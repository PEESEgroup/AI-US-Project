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Industrial Prices\With Nuclear-CC\With Nuclear-LC\SSP2-45\NOAK\"/>
    </mc:Choice>
  </mc:AlternateContent>
  <xr:revisionPtr revIDLastSave="0" documentId="13_ncr:1_{FF3D1CB4-B6D8-4D47-B382-5435347B3D01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<sst xmlns="http://schemas.openxmlformats.org/spreadsheetml/2006/main" count="1079" uniqueCount="55">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</sst>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826.62553360774382</v>
      </c>
      <c r="C19" s="2">
        <f>C8/'Output-Calculation-sheet'!C7*'Output-Calculation-sheet'!C25</f>
        <v>3889.2453601553857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1178.0991866502491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818.35446895156792</v>
      </c>
      <c r="N19" s="2">
        <f>N8/'Output-Calculation-sheet'!N7*'Output-Calculation-sheet'!N25</f>
        <v>680.77421254423825</v>
      </c>
      <c r="O19" s="2">
        <f>O8/'Output-Calculation-sheet'!O7*'Output-Calculation-sheet'!O25</f>
        <v>427.25940405498068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314.83855610533618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88.568717886911315</v>
      </c>
      <c r="Y19" s="2">
        <f>Y8/'Output-Calculation-sheet'!Y7*'Output-Calculation-sheet'!Y25</f>
        <v>0</v>
      </c>
      <c r="AA19" s="2">
        <f t="shared" si="0"/>
        <v>8.2237654399564146</v>
      </c>
    </row>
    <row r="20" spans="1:27" x14ac:dyDescent="0.25">
      <c r="A20" s="2">
        <v>2032</v>
      </c>
      <c r="B20" s="2">
        <f>B9/'Output-Calculation-sheet'!B8*'Output-Calculation-sheet'!B26</f>
        <v>3743.0711409735013</v>
      </c>
      <c r="C20" s="2">
        <f>C9/'Output-Calculation-sheet'!C8*'Output-Calculation-sheet'!C26</f>
        <v>2052.6088317160475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1232.1912167934631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861.06372617706279</v>
      </c>
      <c r="N20" s="2">
        <f>N9/'Output-Calculation-sheet'!N8*'Output-Calculation-sheet'!N26</f>
        <v>596.74062609824898</v>
      </c>
      <c r="O20" s="2">
        <f>O9/'Output-Calculation-sheet'!O8*'Output-Calculation-sheet'!O26</f>
        <v>401.04172655159897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283.06583225245538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93.696309183930339</v>
      </c>
      <c r="Y20" s="2">
        <f>Y9/'Output-Calculation-sheet'!Y8*'Output-Calculation-sheet'!Y26</f>
        <v>0</v>
      </c>
      <c r="AA20" s="2">
        <f t="shared" si="0"/>
        <v>9.2634794097463082</v>
      </c>
    </row>
    <row r="21" spans="1:27" x14ac:dyDescent="0.25">
      <c r="A21" s="2">
        <v>2033</v>
      </c>
      <c r="B21" s="2">
        <f>B10/'Output-Calculation-sheet'!B9*'Output-Calculation-sheet'!B27</f>
        <v>3304.8246611419254</v>
      </c>
      <c r="C21" s="2">
        <f>C10/'Output-Calculation-sheet'!C9*'Output-Calculation-sheet'!C27</f>
        <v>2031.2850976054201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666.01124245075641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471.40825155034173</v>
      </c>
      <c r="N21" s="2">
        <f>N10/'Output-Calculation-sheet'!N9*'Output-Calculation-sheet'!N27</f>
        <v>477.39385970358813</v>
      </c>
      <c r="O21" s="2">
        <f>O10/'Output-Calculation-sheet'!O9*'Output-Calculation-sheet'!O27</f>
        <v>397.68207282920827</v>
      </c>
      <c r="P21" s="2">
        <f>P10/'Output-Calculation-sheet'!P9*'Output-Calculation-sheet'!P27</f>
        <v>0</v>
      </c>
      <c r="Q21" s="2">
        <f>Q10/'Output-Calculation-sheet'!Q9*'Output-Calculation-sheet'!Q27</f>
        <v>5.4588525641866479</v>
      </c>
      <c r="R21" s="2">
        <f>R10/'Output-Calculation-sheet'!R9*'Output-Calculation-sheet'!R27</f>
        <v>0</v>
      </c>
      <c r="S21" s="2">
        <f>S10/'Output-Calculation-sheet'!S9*'Output-Calculation-sheet'!S27</f>
        <v>227.31728078138784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47.072139900692072</v>
      </c>
      <c r="Y21" s="2">
        <f>Y10/'Output-Calculation-sheet'!Y9*'Output-Calculation-sheet'!Y27</f>
        <v>0</v>
      </c>
      <c r="AA21" s="2">
        <f t="shared" si="0"/>
        <v>7.628453458527507</v>
      </c>
    </row>
    <row r="22" spans="1:27" x14ac:dyDescent="0.25">
      <c r="A22" s="2">
        <v>2034</v>
      </c>
      <c r="B22" s="2">
        <f>B11/'Output-Calculation-sheet'!B10*'Output-Calculation-sheet'!B28</f>
        <v>2759.7766737755064</v>
      </c>
      <c r="C22" s="2">
        <f>C11/'Output-Calculation-sheet'!C10*'Output-Calculation-sheet'!C28</f>
        <v>278.02506125673557</v>
      </c>
      <c r="D22" s="2">
        <f>D11/'Output-Calculation-sheet'!D10*'Output-Calculation-sheet'!D28</f>
        <v>0</v>
      </c>
      <c r="E22" s="2">
        <f>E11/'Output-Calculation-sheet'!E10*'Output-Calculation-sheet'!E28</f>
        <v>941.00527030371609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732.06176862722566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559.91798180663523</v>
      </c>
      <c r="M22" s="2">
        <f>M11/'Output-Calculation-sheet'!M10*'Output-Calculation-sheet'!M28</f>
        <v>521.00557034494841</v>
      </c>
      <c r="N22" s="2">
        <f>N11/'Output-Calculation-sheet'!N10*'Output-Calculation-sheet'!N28</f>
        <v>348.29519620706571</v>
      </c>
      <c r="O22" s="2">
        <f>O11/'Output-Calculation-sheet'!O10*'Output-Calculation-sheet'!O28</f>
        <v>54.535262812987703</v>
      </c>
      <c r="P22" s="2">
        <f>P11/'Output-Calculation-sheet'!P10*'Output-Calculation-sheet'!P28</f>
        <v>0</v>
      </c>
      <c r="Q22" s="2">
        <f>Q11/'Output-Calculation-sheet'!Q10*'Output-Calculation-sheet'!Q28</f>
        <v>178.53874219990766</v>
      </c>
      <c r="R22" s="2">
        <f>R11/'Output-Calculation-sheet'!R10*'Output-Calculation-sheet'!R28</f>
        <v>0</v>
      </c>
      <c r="S22" s="2">
        <f>S11/'Output-Calculation-sheet'!S10*'Output-Calculation-sheet'!S28</f>
        <v>130.41277117030009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51.192424816994581</v>
      </c>
      <c r="Y22" s="2">
        <f>Y11/'Output-Calculation-sheet'!Y10*'Output-Calculation-sheet'!Y28</f>
        <v>20.867478276216001</v>
      </c>
      <c r="AA22" s="2">
        <f t="shared" si="0"/>
        <v>6.5756342015982385</v>
      </c>
    </row>
    <row r="23" spans="1:27" x14ac:dyDescent="0.25">
      <c r="A23" s="2">
        <v>2035</v>
      </c>
      <c r="B23" s="2">
        <f>B12/'Output-Calculation-sheet'!B11*'Output-Calculation-sheet'!B29</f>
        <v>609.56126587092581</v>
      </c>
      <c r="C23" s="2">
        <f>C12/'Output-Calculation-sheet'!C11*'Output-Calculation-sheet'!C29</f>
        <v>114.55839895942469</v>
      </c>
      <c r="D23" s="2">
        <f>D12/'Output-Calculation-sheet'!D11*'Output-Calculation-sheet'!D29</f>
        <v>0</v>
      </c>
      <c r="E23" s="2">
        <f>E12/'Output-Calculation-sheet'!E11*'Output-Calculation-sheet'!E29</f>
        <v>1543.409520921379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185.82509058912032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778.03668320504983</v>
      </c>
      <c r="M23" s="2">
        <f>M12/'Output-Calculation-sheet'!M11*'Output-Calculation-sheet'!M29</f>
        <v>155.81006634341458</v>
      </c>
      <c r="N23" s="2">
        <f>N12/'Output-Calculation-sheet'!N11*'Output-Calculation-sheet'!N29</f>
        <v>108.66494306171411</v>
      </c>
      <c r="O23" s="2">
        <f>O12/'Output-Calculation-sheet'!O11*'Output-Calculation-sheet'!O29</f>
        <v>12.554152510510548</v>
      </c>
      <c r="P23" s="2">
        <f>P12/'Output-Calculation-sheet'!P11*'Output-Calculation-sheet'!P29</f>
        <v>21.62423874531871</v>
      </c>
      <c r="Q23" s="2">
        <f>Q12/'Output-Calculation-sheet'!Q11*'Output-Calculation-sheet'!Q29</f>
        <v>303.19748331338963</v>
      </c>
      <c r="R23" s="2">
        <f>R12/'Output-Calculation-sheet'!R11*'Output-Calculation-sheet'!R29</f>
        <v>0</v>
      </c>
      <c r="S23" s="2">
        <f>S12/'Output-Calculation-sheet'!S11*'Output-Calculation-sheet'!S29</f>
        <v>64.556749164866005</v>
      </c>
      <c r="T23" s="2">
        <f>T12/'Output-Calculation-sheet'!T11*'Output-Calculation-sheet'!T29</f>
        <v>0</v>
      </c>
      <c r="U23" s="2">
        <f>U12/'Output-Calculation-sheet'!U11*'Output-Calculation-sheet'!U29</f>
        <v>70.383176270986311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5.6475628601396792</v>
      </c>
      <c r="Y23" s="2">
        <f>Y12/'Output-Calculation-sheet'!Y11*'Output-Calculation-sheet'!Y29</f>
        <v>47.829545354533366</v>
      </c>
      <c r="AA23" s="2">
        <f t="shared" si="0"/>
        <v>4.0216588771707729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14408.909523897722</v>
      </c>
      <c r="C30" s="2">
        <f>C8/'Output-Calculation-sheet'!C7*'Output-Calculation-sheet'!C16</f>
        <v>0</v>
      </c>
      <c r="D30" s="2">
        <f>D8/'Output-Calculation-sheet'!D7*'Output-Calculation-sheet'!D16</f>
        <v>2426.2517958924118</v>
      </c>
      <c r="E30" s="2">
        <f>E8/'Output-Calculation-sheet'!E7*'Output-Calculation-sheet'!E16</f>
        <v>2610.5132085839623</v>
      </c>
      <c r="F30" s="2">
        <f>F8/'Output-Calculation-sheet'!F7*'Output-Calculation-sheet'!F16</f>
        <v>1317.0393268515988</v>
      </c>
      <c r="G30" s="2">
        <f>G8/'Output-Calculation-sheet'!G7*'Output-Calculation-sheet'!G16</f>
        <v>862.49286164595026</v>
      </c>
      <c r="H30" s="2">
        <f>H8/'Output-Calculation-sheet'!H7*'Output-Calculation-sheet'!H16</f>
        <v>0</v>
      </c>
      <c r="I30" s="2">
        <f>I8/'Output-Calculation-sheet'!I7*'Output-Calculation-sheet'!I16</f>
        <v>840.81167129809876</v>
      </c>
      <c r="J30" s="2">
        <f>J8/'Output-Calculation-sheet'!J7*'Output-Calculation-sheet'!J16</f>
        <v>748.47375697425457</v>
      </c>
      <c r="K30" s="2">
        <f>K8/'Output-Calculation-sheet'!K7*'Output-Calculation-sheet'!K16</f>
        <v>999.35639444116032</v>
      </c>
      <c r="L30" s="2">
        <f>L8/'Output-Calculation-sheet'!L7*'Output-Calculation-sheet'!L16</f>
        <v>844.13185339053598</v>
      </c>
      <c r="M30" s="2">
        <f>M8/'Output-Calculation-sheet'!M7*'Output-Calculation-sheet'!M16</f>
        <v>0</v>
      </c>
      <c r="N30" s="2">
        <f>N8/'Output-Calculation-sheet'!N7*'Output-Calculation-sheet'!N16</f>
        <v>776.06820184809783</v>
      </c>
      <c r="O30" s="2">
        <f>O8/'Output-Calculation-sheet'!O7*'Output-Calculation-sheet'!O16</f>
        <v>0</v>
      </c>
      <c r="P30" s="2">
        <f>P8/'Output-Calculation-sheet'!P7*'Output-Calculation-sheet'!P16</f>
        <v>1077.6435209385916</v>
      </c>
      <c r="Q30" s="2">
        <f>Q8/'Output-Calculation-sheet'!Q7*'Output-Calculation-sheet'!Q16</f>
        <v>1185.0574779082963</v>
      </c>
      <c r="R30" s="2">
        <f>R8/'Output-Calculation-sheet'!R7*'Output-Calculation-sheet'!R16</f>
        <v>751.92320438647971</v>
      </c>
      <c r="S30" s="2">
        <f>S8/'Output-Calculation-sheet'!S7*'Output-Calculation-sheet'!S16</f>
        <v>756.21536792499603</v>
      </c>
      <c r="T30" s="2">
        <f>T8/'Output-Calculation-sheet'!T7*'Output-Calculation-sheet'!T16</f>
        <v>225.71513425192398</v>
      </c>
      <c r="U30" s="2">
        <f>U8/'Output-Calculation-sheet'!U7*'Output-Calculation-sheet'!U16</f>
        <v>225.31270420207053</v>
      </c>
      <c r="V30" s="2">
        <f>V8/'Output-Calculation-sheet'!V7*'Output-Calculation-sheet'!V16</f>
        <v>175.35583328867563</v>
      </c>
      <c r="W30" s="2">
        <f>W8/'Output-Calculation-sheet'!W7*'Output-Calculation-sheet'!W16</f>
        <v>106.36347135534574</v>
      </c>
      <c r="X30" s="2">
        <f>X8/'Output-Calculation-sheet'!X7*'Output-Calculation-sheet'!X16</f>
        <v>0</v>
      </c>
      <c r="Y30" s="2">
        <f>Y8/'Output-Calculation-sheet'!Y7*'Output-Calculation-sheet'!Y16</f>
        <v>90.022978733271998</v>
      </c>
      <c r="AA30" s="2">
        <f t="shared" si="1"/>
        <v>30.42765828781345</v>
      </c>
    </row>
    <row r="31" spans="1:27" x14ac:dyDescent="0.25">
      <c r="A31" s="2">
        <v>2032</v>
      </c>
      <c r="B31" s="2">
        <f>B9/'Output-Calculation-sheet'!B8*'Output-Calculation-sheet'!B17</f>
        <v>15737.42103418192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615.34974840394977</v>
      </c>
      <c r="O31" s="2">
        <f>O9/'Output-Calculation-sheet'!O8*'Output-Calculation-sheet'!O17</f>
        <v>0</v>
      </c>
      <c r="P31" s="2">
        <f>P9/'Output-Calculation-sheet'!P8*'Output-Calculation-sheet'!P17</f>
        <v>1537.9651844387754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509.30515847453813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36.05629742654618</v>
      </c>
    </row>
    <row r="32" spans="1:27" x14ac:dyDescent="0.25">
      <c r="A32" s="2">
        <v>2033</v>
      </c>
      <c r="B32" s="2">
        <f>B10/'Output-Calculation-sheet'!B9*'Output-Calculation-sheet'!B18</f>
        <v>11954.424542903938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1871.5420581252608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483.85762162562304</v>
      </c>
      <c r="O32" s="2">
        <f>O10/'Output-Calculation-sheet'!O9*'Output-Calculation-sheet'!O18</f>
        <v>0</v>
      </c>
      <c r="P32" s="2">
        <f>P10/'Output-Calculation-sheet'!P9*'Output-Calculation-sheet'!P18</f>
        <v>1926.2268164840568</v>
      </c>
      <c r="Q32" s="2">
        <f>Q10/'Output-Calculation-sheet'!Q9*'Output-Calculation-sheet'!Q18</f>
        <v>1783.6228454420725</v>
      </c>
      <c r="R32" s="2">
        <f>R10/'Output-Calculation-sheet'!R9*'Output-Calculation-sheet'!R18</f>
        <v>1383.1968284029829</v>
      </c>
      <c r="S32" s="2">
        <f>S10/'Output-Calculation-sheet'!S9*'Output-Calculation-sheet'!S18</f>
        <v>440.16741644148362</v>
      </c>
      <c r="T32" s="2">
        <f>T10/'Output-Calculation-sheet'!T9*'Output-Calculation-sheet'!T18</f>
        <v>403.85633834094079</v>
      </c>
      <c r="U32" s="2">
        <f>U10/'Output-Calculation-sheet'!U9*'Output-Calculation-sheet'!U18</f>
        <v>446.44984092287956</v>
      </c>
      <c r="V32" s="2">
        <f>V10/'Output-Calculation-sheet'!V9*'Output-Calculation-sheet'!V18</f>
        <v>329.51158024970835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190.80457633321774</v>
      </c>
      <c r="AA32" s="2">
        <f t="shared" si="1"/>
        <v>38.004190480429372</v>
      </c>
    </row>
    <row r="33" spans="1:27" x14ac:dyDescent="0.25">
      <c r="A33" s="2">
        <v>2034</v>
      </c>
      <c r="B33" s="2">
        <f>B11/'Output-Calculation-sheet'!B10*'Output-Calculation-sheet'!B19</f>
        <v>8329.3857016630645</v>
      </c>
      <c r="C33" s="2">
        <f>C11/'Output-Calculation-sheet'!C10*'Output-Calculation-sheet'!C19</f>
        <v>0</v>
      </c>
      <c r="D33" s="2">
        <f>D11/'Output-Calculation-sheet'!D10*'Output-Calculation-sheet'!D19</f>
        <v>5541.042685728592</v>
      </c>
      <c r="E33" s="2">
        <f>E11/'Output-Calculation-sheet'!E10*'Output-Calculation-sheet'!E19</f>
        <v>6856.4190718112677</v>
      </c>
      <c r="F33" s="2">
        <f>F11/'Output-Calculation-sheet'!F10*'Output-Calculation-sheet'!F19</f>
        <v>3144.9479392744483</v>
      </c>
      <c r="G33" s="2">
        <f>G11/'Output-Calculation-sheet'!G10*'Output-Calculation-sheet'!G19</f>
        <v>1886.027243963239</v>
      </c>
      <c r="H33" s="2">
        <f>H11/'Output-Calculation-sheet'!H10*'Output-Calculation-sheet'!H19</f>
        <v>0</v>
      </c>
      <c r="I33" s="2">
        <f>I11/'Output-Calculation-sheet'!I10*'Output-Calculation-sheet'!I19</f>
        <v>2058.1509105608543</v>
      </c>
      <c r="J33" s="2">
        <f>J11/'Output-Calculation-sheet'!J10*'Output-Calculation-sheet'!J19</f>
        <v>1740.2512680239115</v>
      </c>
      <c r="K33" s="2">
        <f>K11/'Output-Calculation-sheet'!K10*'Output-Calculation-sheet'!K19</f>
        <v>2413.7901470153379</v>
      </c>
      <c r="L33" s="2">
        <f>L11/'Output-Calculation-sheet'!L10*'Output-Calculation-sheet'!L19</f>
        <v>1963.3011971910425</v>
      </c>
      <c r="M33" s="2">
        <f>M11/'Output-Calculation-sheet'!M10*'Output-Calculation-sheet'!M19</f>
        <v>0</v>
      </c>
      <c r="N33" s="2">
        <f>N11/'Output-Calculation-sheet'!N10*'Output-Calculation-sheet'!N19</f>
        <v>372.6840792210586</v>
      </c>
      <c r="O33" s="2">
        <f>O11/'Output-Calculation-sheet'!O10*'Output-Calculation-sheet'!O19</f>
        <v>0</v>
      </c>
      <c r="P33" s="2">
        <f>P11/'Output-Calculation-sheet'!P10*'Output-Calculation-sheet'!P19</f>
        <v>1844.8469161144649</v>
      </c>
      <c r="Q33" s="2">
        <f>Q11/'Output-Calculation-sheet'!Q10*'Output-Calculation-sheet'!Q19</f>
        <v>1176.018339769116</v>
      </c>
      <c r="R33" s="2">
        <f>R11/'Output-Calculation-sheet'!R10*'Output-Calculation-sheet'!R19</f>
        <v>1743.7332562517506</v>
      </c>
      <c r="S33" s="2">
        <f>S11/'Output-Calculation-sheet'!S10*'Output-Calculation-sheet'!S19</f>
        <v>236.9149171728144</v>
      </c>
      <c r="T33" s="2">
        <f>T11/'Output-Calculation-sheet'!T10*'Output-Calculation-sheet'!T19</f>
        <v>511.6076375963799</v>
      </c>
      <c r="U33" s="2">
        <f>U11/'Output-Calculation-sheet'!U10*'Output-Calculation-sheet'!U19</f>
        <v>588.45770092393821</v>
      </c>
      <c r="V33" s="2">
        <f>V11/'Output-Calculation-sheet'!V10*'Output-Calculation-sheet'!V19</f>
        <v>401.30537440936052</v>
      </c>
      <c r="W33" s="2">
        <f>W11/'Output-Calculation-sheet'!W10*'Output-Calculation-sheet'!W19</f>
        <v>249.83448470257855</v>
      </c>
      <c r="X33" s="2">
        <f>X11/'Output-Calculation-sheet'!X10*'Output-Calculation-sheet'!X19</f>
        <v>0</v>
      </c>
      <c r="Y33" s="2">
        <f>Y11/'Output-Calculation-sheet'!Y10*'Output-Calculation-sheet'!Y19</f>
        <v>204.57293198433422</v>
      </c>
      <c r="AA33" s="2">
        <f t="shared" si="1"/>
        <v>41.263291803377555</v>
      </c>
    </row>
    <row r="34" spans="1:27" x14ac:dyDescent="0.25">
      <c r="A34" s="2">
        <v>2035</v>
      </c>
      <c r="B34" s="2">
        <f>B12/'Output-Calculation-sheet'!B11*'Output-Calculation-sheet'!B20</f>
        <v>124.59177096055653</v>
      </c>
      <c r="C34" s="2">
        <f>C12/'Output-Calculation-sheet'!C11*'Output-Calculation-sheet'!C20</f>
        <v>0</v>
      </c>
      <c r="D34" s="2">
        <f>D12/'Output-Calculation-sheet'!D11*'Output-Calculation-sheet'!D20</f>
        <v>5549.2730235353665</v>
      </c>
      <c r="E34" s="2">
        <f>E12/'Output-Calculation-sheet'!E11*'Output-Calculation-sheet'!E20</f>
        <v>3275.364135120089</v>
      </c>
      <c r="F34" s="2">
        <f>F12/'Output-Calculation-sheet'!F11*'Output-Calculation-sheet'!F20</f>
        <v>3790.0877509909901</v>
      </c>
      <c r="G34" s="2">
        <f>G12/'Output-Calculation-sheet'!G11*'Output-Calculation-sheet'!G20</f>
        <v>2043.8982312292844</v>
      </c>
      <c r="H34" s="2">
        <f>H12/'Output-Calculation-sheet'!H11*'Output-Calculation-sheet'!H20</f>
        <v>0</v>
      </c>
      <c r="I34" s="2">
        <f>I12/'Output-Calculation-sheet'!I11*'Output-Calculation-sheet'!I20</f>
        <v>2225.1816252616218</v>
      </c>
      <c r="J34" s="2">
        <f>J12/'Output-Calculation-sheet'!J11*'Output-Calculation-sheet'!J20</f>
        <v>1907.1044576131949</v>
      </c>
      <c r="K34" s="2">
        <f>K12/'Output-Calculation-sheet'!K11*'Output-Calculation-sheet'!K20</f>
        <v>2507.4131954523168</v>
      </c>
      <c r="L34" s="2">
        <f>L12/'Output-Calculation-sheet'!L11*'Output-Calculation-sheet'!L20</f>
        <v>1981.0127351458325</v>
      </c>
      <c r="M34" s="2">
        <f>M12/'Output-Calculation-sheet'!M11*'Output-Calculation-sheet'!M20</f>
        <v>0</v>
      </c>
      <c r="N34" s="2">
        <f>N12/'Output-Calculation-sheet'!N11*'Output-Calculation-sheet'!N20</f>
        <v>0.38222155632770599</v>
      </c>
      <c r="O34" s="2">
        <f>O12/'Output-Calculation-sheet'!O11*'Output-Calculation-sheet'!O20</f>
        <v>0</v>
      </c>
      <c r="P34" s="2">
        <f>P12/'Output-Calculation-sheet'!P11*'Output-Calculation-sheet'!P20</f>
        <v>624.1204070604781</v>
      </c>
      <c r="Q34" s="2">
        <f>Q12/'Output-Calculation-sheet'!Q11*'Output-Calculation-sheet'!Q20</f>
        <v>971.77291842142199</v>
      </c>
      <c r="R34" s="2">
        <f>R12/'Output-Calculation-sheet'!R11*'Output-Calculation-sheet'!R20</f>
        <v>1968.9918880282412</v>
      </c>
      <c r="S34" s="2">
        <f>S12/'Output-Calculation-sheet'!S11*'Output-Calculation-sheet'!S20</f>
        <v>4.05565884249362</v>
      </c>
      <c r="T34" s="2">
        <f>T12/'Output-Calculation-sheet'!T11*'Output-Calculation-sheet'!T20</f>
        <v>615.30182757158047</v>
      </c>
      <c r="U34" s="2">
        <f>U12/'Output-Calculation-sheet'!U11*'Output-Calculation-sheet'!U20</f>
        <v>562.53517786455427</v>
      </c>
      <c r="V34" s="2">
        <f>V12/'Output-Calculation-sheet'!V11*'Output-Calculation-sheet'!V20</f>
        <v>515.35538632677753</v>
      </c>
      <c r="W34" s="2">
        <f>W12/'Output-Calculation-sheet'!W11*'Output-Calculation-sheet'!W20</f>
        <v>332.96423057228395</v>
      </c>
      <c r="X34" s="2">
        <f>X12/'Output-Calculation-sheet'!X11*'Output-Calculation-sheet'!X20</f>
        <v>0</v>
      </c>
      <c r="Y34" s="2">
        <f>Y12/'Output-Calculation-sheet'!Y11*'Output-Calculation-sheet'!Y20</f>
        <v>82.896373014021748</v>
      </c>
      <c r="AA34" s="2">
        <f t="shared" si="1"/>
        <v>29.082303014567429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8.2737006404750069E-2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8.2935590869256906E-2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1.2088184795749813E-2</v>
      </c>
      <c r="I45" s="2">
        <f>I12/'Output-Calculation-sheet'!I11*'Output-Calculation-sheet'!I38*0.0114</f>
        <v>4.489395393012581E-2</v>
      </c>
      <c r="J45" s="2">
        <f>J12/'Output-Calculation-sheet'!J11*'Output-Calculation-sheet'!J38*0.0114</f>
        <v>3.3322607326844153E-2</v>
      </c>
      <c r="K45" s="2">
        <f>K12/'Output-Calculation-sheet'!K11*'Output-Calculation-sheet'!K38*0.0114</f>
        <v>5.5154513289322964E-2</v>
      </c>
      <c r="L45" s="2">
        <f>L12/'Output-Calculation-sheet'!L11*'Output-Calculation-sheet'!L38*0.0114</f>
        <v>3.5085063932277644E-2</v>
      </c>
      <c r="M45" s="2">
        <f>M12/'Output-Calculation-sheet'!M11*'Output-Calculation-sheet'!M38*0.0114</f>
        <v>8.3178475558543935E-3</v>
      </c>
      <c r="N45" s="2">
        <f>N12/'Output-Calculation-sheet'!N11*'Output-Calculation-sheet'!N38*0.0114</f>
        <v>8.1750952010053446E-3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7.5523520019801262E-3</v>
      </c>
      <c r="Q45" s="2">
        <f>Q12/'Output-Calculation-sheet'!Q11*'Output-Calculation-sheet'!Q38*0.0114</f>
        <v>5.7301080426513072E-2</v>
      </c>
      <c r="R45" s="2">
        <f>R12/'Output-Calculation-sheet'!R11*'Output-Calculation-sheet'!R38*0.0114</f>
        <v>2.8412410527039751E-2</v>
      </c>
      <c r="S45" s="2">
        <f>S12/'Output-Calculation-sheet'!S11*'Output-Calculation-sheet'!S38*0.0114</f>
        <v>4.6862467873938036E-3</v>
      </c>
      <c r="T45" s="2">
        <f>T12/'Output-Calculation-sheet'!T11*'Output-Calculation-sheet'!T38*0.0114</f>
        <v>7.8836411812310755E-3</v>
      </c>
      <c r="U45" s="2">
        <f>U12/'Output-Calculation-sheet'!U11*'Output-Calculation-sheet'!U38*0.0114</f>
        <v>1.1426556253371481E-2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2.6416969489044804E-3</v>
      </c>
      <c r="AA45" s="2">
        <f t="shared" si="2"/>
        <v>0.77797998982811412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0.10034113892750149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1399.179696916023</v>
      </c>
      <c r="Q54" s="2">
        <f>Q10/'Output-Calculation-sheet'!Q9*'Output-Calculation-sheet'!Q45</f>
        <v>122.63551267470004</v>
      </c>
      <c r="R54" s="2">
        <f>R10/'Output-Calculation-sheet'!R9*'Output-Calculation-sheet'!R45</f>
        <v>918.0465769191743</v>
      </c>
      <c r="S54" s="2">
        <f>S10/'Output-Calculation-sheet'!S9*'Output-Calculation-sheet'!S45</f>
        <v>0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11.442799046017123</v>
      </c>
      <c r="AA54" s="2">
        <f t="shared" si="3"/>
        <v>3.0208537824579595</v>
      </c>
    </row>
    <row r="55" spans="1:27" x14ac:dyDescent="0.25">
      <c r="A55" s="2">
        <v>2034</v>
      </c>
      <c r="B55" s="2">
        <f>B11/'Output-Calculation-sheet'!B10*'Output-Calculation-sheet'!B46</f>
        <v>1088.7981511719361</v>
      </c>
      <c r="C55" s="2">
        <f>C11/'Output-Calculation-sheet'!C10*'Output-Calculation-sheet'!C46</f>
        <v>0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371.18075212017158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2286.8152847890383</v>
      </c>
      <c r="L55" s="2">
        <f>L11/'Output-Calculation-sheet'!L10*'Output-Calculation-sheet'!L46</f>
        <v>845.6999128743937</v>
      </c>
      <c r="M55" s="2">
        <f>M11/'Output-Calculation-sheet'!M10*'Output-Calculation-sheet'!M46</f>
        <v>275.1114205238452</v>
      </c>
      <c r="N55" s="2">
        <f>N11/'Output-Calculation-sheet'!N10*'Output-Calculation-sheet'!N46</f>
        <v>93.955114684107414</v>
      </c>
      <c r="O55" s="2">
        <f>O11/'Output-Calculation-sheet'!O10*'Output-Calculation-sheet'!O46</f>
        <v>0</v>
      </c>
      <c r="P55" s="2">
        <f>P11/'Output-Calculation-sheet'!P10*'Output-Calculation-sheet'!P46</f>
        <v>2043.3977242327383</v>
      </c>
      <c r="Q55" s="2">
        <f>Q11/'Output-Calculation-sheet'!Q10*'Output-Calculation-sheet'!Q46</f>
        <v>437.98770000575684</v>
      </c>
      <c r="R55" s="2">
        <f>R11/'Output-Calculation-sheet'!R10*'Output-Calculation-sheet'!R46</f>
        <v>2533.173593787164</v>
      </c>
      <c r="S55" s="2">
        <f>S11/'Output-Calculation-sheet'!S10*'Output-Calculation-sheet'!S46</f>
        <v>0</v>
      </c>
      <c r="T55" s="2">
        <f>T11/'Output-Calculation-sheet'!T10*'Output-Calculation-sheet'!T46</f>
        <v>573.60414797761484</v>
      </c>
      <c r="U55" s="2">
        <f>U11/'Output-Calculation-sheet'!U10*'Output-Calculation-sheet'!U46</f>
        <v>961.77035973724753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26.257657203134166</v>
      </c>
      <c r="Y55" s="2">
        <f>Y11/'Output-Calculation-sheet'!Y10*'Output-Calculation-sheet'!Y46</f>
        <v>182.6272268867736</v>
      </c>
      <c r="AA55" s="2">
        <f t="shared" si="3"/>
        <v>27.338464017596504</v>
      </c>
    </row>
    <row r="56" spans="1:27" x14ac:dyDescent="0.25">
      <c r="A56" s="2">
        <v>2035</v>
      </c>
      <c r="B56" s="2">
        <f>B12/'Output-Calculation-sheet'!B11*'Output-Calculation-sheet'!B47</f>
        <v>297.56291777146953</v>
      </c>
      <c r="C56" s="2">
        <f>C12/'Output-Calculation-sheet'!C11*'Output-Calculation-sheet'!C47</f>
        <v>234.23553324836516</v>
      </c>
      <c r="D56" s="2">
        <f>D12/'Output-Calculation-sheet'!D11*'Output-Calculation-sheet'!D47</f>
        <v>5413.1062444163808</v>
      </c>
      <c r="E56" s="2">
        <f>E12/'Output-Calculation-sheet'!E11*'Output-Calculation-sheet'!E47</f>
        <v>6593.621975833611</v>
      </c>
      <c r="F56" s="2">
        <f>F12/'Output-Calculation-sheet'!F11*'Output-Calculation-sheet'!F47</f>
        <v>1718.8654998522536</v>
      </c>
      <c r="G56" s="2">
        <f>G12/'Output-Calculation-sheet'!G11*'Output-Calculation-sheet'!G47</f>
        <v>4242.6328591896126</v>
      </c>
      <c r="H56" s="2">
        <f>H12/'Output-Calculation-sheet'!H11*'Output-Calculation-sheet'!H47</f>
        <v>88.010468249757409</v>
      </c>
      <c r="I56" s="2">
        <f>I12/'Output-Calculation-sheet'!I11*'Output-Calculation-sheet'!I47</f>
        <v>2118.6795802112001</v>
      </c>
      <c r="J56" s="2">
        <f>J12/'Output-Calculation-sheet'!J11*'Output-Calculation-sheet'!J47</f>
        <v>1934.0753082978258</v>
      </c>
      <c r="K56" s="2">
        <f>K12/'Output-Calculation-sheet'!K11*'Output-Calculation-sheet'!K47</f>
        <v>2756.7580414259846</v>
      </c>
      <c r="L56" s="2">
        <f>L12/'Output-Calculation-sheet'!L11*'Output-Calculation-sheet'!L47</f>
        <v>1531.893909850105</v>
      </c>
      <c r="M56" s="2">
        <f>M12/'Output-Calculation-sheet'!M11*'Output-Calculation-sheet'!M47</f>
        <v>61.289403043137632</v>
      </c>
      <c r="N56" s="2">
        <f>N12/'Output-Calculation-sheet'!N11*'Output-Calculation-sheet'!N47</f>
        <v>56.651975515738791</v>
      </c>
      <c r="O56" s="2">
        <f>O12/'Output-Calculation-sheet'!O11*'Output-Calculation-sheet'!O47</f>
        <v>8.0303747401986438</v>
      </c>
      <c r="P56" s="2">
        <f>P12/'Output-Calculation-sheet'!P11*'Output-Calculation-sheet'!P47</f>
        <v>811.54659670400474</v>
      </c>
      <c r="Q56" s="2">
        <f>Q12/'Output-Calculation-sheet'!Q11*'Output-Calculation-sheet'!Q47</f>
        <v>722.54651853607481</v>
      </c>
      <c r="R56" s="2">
        <f>R12/'Output-Calculation-sheet'!R11*'Output-Calculation-sheet'!R47</f>
        <v>3265.5579730748977</v>
      </c>
      <c r="S56" s="2">
        <f>S12/'Output-Calculation-sheet'!S11*'Output-Calculation-sheet'!S47</f>
        <v>25.897679614544703</v>
      </c>
      <c r="T56" s="2">
        <f>T12/'Output-Calculation-sheet'!T11*'Output-Calculation-sheet'!T47</f>
        <v>1150.9655092949345</v>
      </c>
      <c r="U56" s="2">
        <f>U12/'Output-Calculation-sheet'!U11*'Output-Calculation-sheet'!U47</f>
        <v>1098.3526616179358</v>
      </c>
      <c r="V56" s="2">
        <f>V12/'Output-Calculation-sheet'!V11*'Output-Calculation-sheet'!V47</f>
        <v>766.70053497078163</v>
      </c>
      <c r="W56" s="2">
        <f>W12/'Output-Calculation-sheet'!W11*'Output-Calculation-sheet'!W47</f>
        <v>445.86390486190481</v>
      </c>
      <c r="X56" s="2">
        <f>X12/'Output-Calculation-sheet'!X11*'Output-Calculation-sheet'!X47</f>
        <v>6.8836601041996168</v>
      </c>
      <c r="Y56" s="2">
        <f>Y12/'Output-Calculation-sheet'!Y11*'Output-Calculation-sheet'!Y47</f>
        <v>178.27592275062983</v>
      </c>
      <c r="AA56" s="2">
        <f t="shared" si="3"/>
        <v>35.528005053175555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5.4777667608142586</v>
      </c>
      <c r="C63" s="2">
        <f>C8*'Output-Calculation-sheet'!C52/10^9</f>
        <v>2.5810407396769146</v>
      </c>
      <c r="D63" s="2">
        <f>D8*'Output-Calculation-sheet'!D52/10^9</f>
        <v>1.2825678705813166</v>
      </c>
      <c r="E63" s="2">
        <f>E8*'Output-Calculation-sheet'!E52/10^9</f>
        <v>1.4673141784483725</v>
      </c>
      <c r="F63" s="2">
        <f>F8*'Output-Calculation-sheet'!F52/10^9</f>
        <v>0.68587511489389208</v>
      </c>
      <c r="G63" s="2">
        <f>G8*'Output-Calculation-sheet'!G52/10^9</f>
        <v>0.52316199904137684</v>
      </c>
      <c r="H63" s="2">
        <f>H8*'Output-Calculation-sheet'!H52/10^9</f>
        <v>0.71188789874576286</v>
      </c>
      <c r="I63" s="2">
        <f>I8*'Output-Calculation-sheet'!I52/10^9</f>
        <v>0.41326321439767599</v>
      </c>
      <c r="J63" s="2">
        <f>J8*'Output-Calculation-sheet'!J52/10^9</f>
        <v>0.58421690302303253</v>
      </c>
      <c r="K63" s="2">
        <f>K8*'Output-Calculation-sheet'!K52/10^9</f>
        <v>0.38350971085185359</v>
      </c>
      <c r="L63" s="2">
        <f>L8*'Output-Calculation-sheet'!L52/10^9</f>
        <v>0.45405978321705359</v>
      </c>
      <c r="M63" s="2">
        <f>M8*'Output-Calculation-sheet'!M52/10^9</f>
        <v>0.52278831081141874</v>
      </c>
      <c r="N63" s="2">
        <f>N8*'Output-Calculation-sheet'!N52/10^9</f>
        <v>0.45207757572286644</v>
      </c>
      <c r="O63" s="2">
        <f>O8*'Output-Calculation-sheet'!O52/10^9</f>
        <v>0.46222199938948422</v>
      </c>
      <c r="P63" s="2">
        <f>P8*'Output-Calculation-sheet'!P52/10^9</f>
        <v>0.39003598297832442</v>
      </c>
      <c r="Q63" s="2">
        <f>Q8*'Output-Calculation-sheet'!Q52/10^9</f>
        <v>0.36381872107720359</v>
      </c>
      <c r="R63" s="2">
        <f>R8*'Output-Calculation-sheet'!R52/10^9</f>
        <v>0.32953480502010857</v>
      </c>
      <c r="S63" s="2">
        <f>S8*'Output-Calculation-sheet'!S52/10^9</f>
        <v>0.27959802518545873</v>
      </c>
      <c r="T63" s="2">
        <f>T8*'Output-Calculation-sheet'!T52/10^9</f>
        <v>0.13384406485106612</v>
      </c>
      <c r="U63" s="2">
        <f>U8*'Output-Calculation-sheet'!U52/10^9</f>
        <v>0.10437825183748214</v>
      </c>
      <c r="V63" s="2">
        <f>V8*'Output-Calculation-sheet'!V52/10^9</f>
        <v>0.17281924938361878</v>
      </c>
      <c r="W63" s="2">
        <f>W8*'Output-Calculation-sheet'!W52/10^9</f>
        <v>7.2522810009737079E-2</v>
      </c>
      <c r="X63" s="2">
        <f>X8*'Output-Calculation-sheet'!X52/10^9</f>
        <v>6.7978241070634743E-2</v>
      </c>
      <c r="Y63" s="2">
        <f>Y8*'Output-Calculation-sheet'!Y52/10^9</f>
        <v>4.187922688005425E-2</v>
      </c>
      <c r="AA63" s="2">
        <f t="shared" si="4"/>
        <v>17.95816143790897</v>
      </c>
    </row>
    <row r="64" spans="1:27" x14ac:dyDescent="0.25">
      <c r="A64" s="2">
        <v>2032</v>
      </c>
      <c r="B64" s="2">
        <f>B9*'Output-Calculation-sheet'!B53/10^9</f>
        <v>5.2658334462392622</v>
      </c>
      <c r="C64" s="2">
        <f>C9*'Output-Calculation-sheet'!C53/10^9</f>
        <v>2.5312961277675972</v>
      </c>
      <c r="D64" s="2">
        <f>D9*'Output-Calculation-sheet'!D53/10^9</f>
        <v>1.1066143576981722</v>
      </c>
      <c r="E64" s="2">
        <f>E9*'Output-Calculation-sheet'!E53/10^9</f>
        <v>1.2921016781199168</v>
      </c>
      <c r="F64" s="2">
        <f>F9*'Output-Calculation-sheet'!F53/10^9</f>
        <v>0.59292365693801141</v>
      </c>
      <c r="G64" s="2">
        <f>G9*'Output-Calculation-sheet'!G53/10^9</f>
        <v>0.44395671802729836</v>
      </c>
      <c r="H64" s="2">
        <f>H9*'Output-Calculation-sheet'!H53/10^9</f>
        <v>0.71565004282341249</v>
      </c>
      <c r="I64" s="2">
        <f>I9*'Output-Calculation-sheet'!I53/10^9</f>
        <v>0.36001844556896667</v>
      </c>
      <c r="J64" s="2">
        <f>J9*'Output-Calculation-sheet'!J53/10^9</f>
        <v>0.48322154362472286</v>
      </c>
      <c r="K64" s="2">
        <f>K9*'Output-Calculation-sheet'!K53/10^9</f>
        <v>0.35672560424450239</v>
      </c>
      <c r="L64" s="2">
        <f>L9*'Output-Calculation-sheet'!L53/10^9</f>
        <v>0.40048551993147058</v>
      </c>
      <c r="M64" s="2">
        <f>M9*'Output-Calculation-sheet'!M53/10^9</f>
        <v>0.51775468488526621</v>
      </c>
      <c r="N64" s="2">
        <f>N9*'Output-Calculation-sheet'!N53/10^9</f>
        <v>0.46264425054030206</v>
      </c>
      <c r="O64" s="2">
        <f>O9*'Output-Calculation-sheet'!O53/10^9</f>
        <v>0.46243021351597041</v>
      </c>
      <c r="P64" s="2">
        <f>P9*'Output-Calculation-sheet'!P53/10^9</f>
        <v>0.38064698210312475</v>
      </c>
      <c r="Q64" s="2">
        <f>Q9*'Output-Calculation-sheet'!Q53/10^9</f>
        <v>0.36105305139433574</v>
      </c>
      <c r="R64" s="2">
        <f>R9*'Output-Calculation-sheet'!R53/10^9</f>
        <v>0.30715478215877395</v>
      </c>
      <c r="S64" s="2">
        <f>S9*'Output-Calculation-sheet'!S53/10^9</f>
        <v>0.28003267421759265</v>
      </c>
      <c r="T64" s="2">
        <f>T9*'Output-Calculation-sheet'!T53/10^9</f>
        <v>0.11482028372833342</v>
      </c>
      <c r="U64" s="2">
        <f>U9*'Output-Calculation-sheet'!U53/10^9</f>
        <v>9.7826271432237336E-2</v>
      </c>
      <c r="V64" s="2">
        <f>V9*'Output-Calculation-sheet'!V53/10^9</f>
        <v>0.14257831047462929</v>
      </c>
      <c r="W64" s="2">
        <f>W9*'Output-Calculation-sheet'!W53/10^9</f>
        <v>6.0771623331929071E-2</v>
      </c>
      <c r="X64" s="2">
        <f>X9*'Output-Calculation-sheet'!X53/10^9</f>
        <v>6.5002031867620366E-2</v>
      </c>
      <c r="Y64" s="2">
        <f>Y9*'Output-Calculation-sheet'!Y53/10^9</f>
        <v>3.8654154044175958E-2</v>
      </c>
      <c r="AA64" s="2">
        <f t="shared" si="4"/>
        <v>16.840196454677628</v>
      </c>
    </row>
    <row r="65" spans="1:27" x14ac:dyDescent="0.25">
      <c r="A65" s="2">
        <v>2033</v>
      </c>
      <c r="B65" s="2">
        <f>B10*'Output-Calculation-sheet'!B54/10^9</f>
        <v>5.1233292220003088</v>
      </c>
      <c r="C65" s="2">
        <f>C10*'Output-Calculation-sheet'!C54/10^9</f>
        <v>2.474292014382053</v>
      </c>
      <c r="D65" s="2">
        <f>D10*'Output-Calculation-sheet'!D54/10^9</f>
        <v>0.93837114929732413</v>
      </c>
      <c r="E65" s="2">
        <f>E10*'Output-Calculation-sheet'!E54/10^9</f>
        <v>1.1950280807347651</v>
      </c>
      <c r="F65" s="2">
        <f>F10*'Output-Calculation-sheet'!F54/10^9</f>
        <v>0.51351329189939643</v>
      </c>
      <c r="G65" s="2">
        <f>G10*'Output-Calculation-sheet'!G54/10^9</f>
        <v>0.3655965928051389</v>
      </c>
      <c r="H65" s="2">
        <f>H10*'Output-Calculation-sheet'!H54/10^9</f>
        <v>0.72464219598884483</v>
      </c>
      <c r="I65" s="2">
        <f>I10*'Output-Calculation-sheet'!I54/10^9</f>
        <v>0.32055190208103179</v>
      </c>
      <c r="J65" s="2">
        <f>J10*'Output-Calculation-sheet'!J54/10^9</f>
        <v>0.37926332857868983</v>
      </c>
      <c r="K65" s="2">
        <f>K10*'Output-Calculation-sheet'!K54/10^9</f>
        <v>0.35492106026559622</v>
      </c>
      <c r="L65" s="2">
        <f>L10*'Output-Calculation-sheet'!L54/10^9</f>
        <v>0.36601471376469419</v>
      </c>
      <c r="M65" s="2">
        <f>M10*'Output-Calculation-sheet'!M54/10^9</f>
        <v>0.51566979484442477</v>
      </c>
      <c r="N65" s="2">
        <f>N10*'Output-Calculation-sheet'!N54/10^9</f>
        <v>0.47305081168649132</v>
      </c>
      <c r="O65" s="2">
        <f>O10*'Output-Calculation-sheet'!O54/10^9</f>
        <v>0.46203864879901246</v>
      </c>
      <c r="P65" s="2">
        <f>P10*'Output-Calculation-sheet'!P54/10^9</f>
        <v>0.38395138136072937</v>
      </c>
      <c r="Q65" s="2">
        <f>Q10*'Output-Calculation-sheet'!Q54/10^9</f>
        <v>0.37809496053126562</v>
      </c>
      <c r="R65" s="2">
        <f>R10*'Output-Calculation-sheet'!R54/10^9</f>
        <v>0.30035898174478587</v>
      </c>
      <c r="S65" s="2">
        <f>S10*'Output-Calculation-sheet'!S54/10^9</f>
        <v>0.28033722502012215</v>
      </c>
      <c r="T65" s="2">
        <f>T10*'Output-Calculation-sheet'!T54/10^9</f>
        <v>0.10171555873263451</v>
      </c>
      <c r="U65" s="2">
        <f>U10*'Output-Calculation-sheet'!U54/10^9</f>
        <v>9.7690164561802781E-2</v>
      </c>
      <c r="V65" s="2">
        <f>V10*'Output-Calculation-sheet'!V54/10^9</f>
        <v>0.11510423220267926</v>
      </c>
      <c r="W65" s="2">
        <f>W10*'Output-Calculation-sheet'!W54/10^9</f>
        <v>4.9192338304657718E-2</v>
      </c>
      <c r="X65" s="2">
        <f>X10*'Output-Calculation-sheet'!X54/10^9</f>
        <v>6.1602046995662685E-2</v>
      </c>
      <c r="Y65" s="2">
        <f>Y10*'Output-Calculation-sheet'!Y54/10^9</f>
        <v>3.8164207390623504E-2</v>
      </c>
      <c r="AA65" s="2">
        <f t="shared" si="4"/>
        <v>16.012493903972732</v>
      </c>
    </row>
    <row r="66" spans="1:27" x14ac:dyDescent="0.25">
      <c r="A66" s="2">
        <v>2034</v>
      </c>
      <c r="B66" s="2">
        <f>B11*'Output-Calculation-sheet'!B55/10^9</f>
        <v>5.0312227143721193</v>
      </c>
      <c r="C66" s="2">
        <f>C11*'Output-Calculation-sheet'!C55/10^9</f>
        <v>2.4434805461977129</v>
      </c>
      <c r="D66" s="2">
        <f>D11*'Output-Calculation-sheet'!D55/10^9</f>
        <v>0.98256033657345532</v>
      </c>
      <c r="E66" s="2">
        <f>E11*'Output-Calculation-sheet'!E55/10^9</f>
        <v>1.2726116441195559</v>
      </c>
      <c r="F66" s="2">
        <f>F11*'Output-Calculation-sheet'!F55/10^9</f>
        <v>0.5008708584164121</v>
      </c>
      <c r="G66" s="2">
        <f>G11*'Output-Calculation-sheet'!G55/10^9</f>
        <v>0.36536319186524252</v>
      </c>
      <c r="H66" s="2">
        <f>H11*'Output-Calculation-sheet'!H55/10^9</f>
        <v>0.7345151880968579</v>
      </c>
      <c r="I66" s="2">
        <f>I11*'Output-Calculation-sheet'!I55/10^9</f>
        <v>0.33964861068119712</v>
      </c>
      <c r="J66" s="2">
        <f>J11*'Output-Calculation-sheet'!J55/10^9</f>
        <v>0.34196036216741438</v>
      </c>
      <c r="K66" s="2">
        <f>K11*'Output-Calculation-sheet'!K55/10^9</f>
        <v>0.38937752483902943</v>
      </c>
      <c r="L66" s="2">
        <f>L11*'Output-Calculation-sheet'!L55/10^9</f>
        <v>0.37748865120629643</v>
      </c>
      <c r="M66" s="2">
        <f>M11*'Output-Calculation-sheet'!M55/10^9</f>
        <v>0.51498646293790362</v>
      </c>
      <c r="N66" s="2">
        <f>N11*'Output-Calculation-sheet'!N55/10^9</f>
        <v>0.48816176167161829</v>
      </c>
      <c r="O66" s="2">
        <f>O11*'Output-Calculation-sheet'!O55/10^9</f>
        <v>0.46437759054588057</v>
      </c>
      <c r="P66" s="2">
        <f>P11*'Output-Calculation-sheet'!P55/10^9</f>
        <v>0.40363481496091996</v>
      </c>
      <c r="Q66" s="2">
        <f>Q11*'Output-Calculation-sheet'!Q55/10^9</f>
        <v>0.40643008283783882</v>
      </c>
      <c r="R66" s="2">
        <f>R11*'Output-Calculation-sheet'!R55/10^9</f>
        <v>0.30995626845213331</v>
      </c>
      <c r="S66" s="2">
        <f>S11*'Output-Calculation-sheet'!S55/10^9</f>
        <v>0.28351174902139115</v>
      </c>
      <c r="T66" s="2">
        <f>T11*'Output-Calculation-sheet'!T55/10^9</f>
        <v>9.7119646234809912E-2</v>
      </c>
      <c r="U66" s="2">
        <f>U11*'Output-Calculation-sheet'!U55/10^9</f>
        <v>0.10570029909972818</v>
      </c>
      <c r="V66" s="2">
        <f>V11*'Output-Calculation-sheet'!V55/10^9</f>
        <v>9.1780532721111502E-2</v>
      </c>
      <c r="W66" s="2">
        <f>W11*'Output-Calculation-sheet'!W55/10^9</f>
        <v>4.4966374905659495E-2</v>
      </c>
      <c r="X66" s="2">
        <f>X11*'Output-Calculation-sheet'!X55/10^9</f>
        <v>5.891195795201247E-2</v>
      </c>
      <c r="Y66" s="2">
        <f>Y11*'Output-Calculation-sheet'!Y55/10^9</f>
        <v>4.2978565924659706E-2</v>
      </c>
      <c r="AA66" s="2">
        <f t="shared" si="4"/>
        <v>16.091615735800957</v>
      </c>
    </row>
    <row r="67" spans="1:27" x14ac:dyDescent="0.25">
      <c r="A67" s="2">
        <v>2035</v>
      </c>
      <c r="B67" s="2">
        <f>B12*'Output-Calculation-sheet'!B56/10^9</f>
        <v>5.1346850744006449</v>
      </c>
      <c r="C67" s="2">
        <f>C12*'Output-Calculation-sheet'!C56/10^9</f>
        <v>2.4018465306367185</v>
      </c>
      <c r="D67" s="2">
        <f>D12*'Output-Calculation-sheet'!D56/10^9</f>
        <v>1.178310984645188</v>
      </c>
      <c r="E67" s="2">
        <f>E12*'Output-Calculation-sheet'!E56/10^9</f>
        <v>1.5830040419496128</v>
      </c>
      <c r="F67" s="2">
        <f>F12*'Output-Calculation-sheet'!F56/10^9</f>
        <v>0.6326501794317263</v>
      </c>
      <c r="G67" s="2">
        <f>G12*'Output-Calculation-sheet'!G56/10^9</f>
        <v>0.4661150880481415</v>
      </c>
      <c r="H67" s="2">
        <f>H12*'Output-Calculation-sheet'!H56/10^9</f>
        <v>0.75620286615467858</v>
      </c>
      <c r="I67" s="2">
        <f>I12*'Output-Calculation-sheet'!I56/10^9</f>
        <v>0.42711954934683338</v>
      </c>
      <c r="J67" s="2">
        <f>J12*'Output-Calculation-sheet'!J56/10^9</f>
        <v>0.39109991595178062</v>
      </c>
      <c r="K67" s="2">
        <f>K12*'Output-Calculation-sheet'!K56/10^9</f>
        <v>0.46845219942624355</v>
      </c>
      <c r="L67" s="2">
        <f>L12*'Output-Calculation-sheet'!L56/10^9</f>
        <v>0.4365981135378823</v>
      </c>
      <c r="M67" s="2">
        <f>M12*'Output-Calculation-sheet'!M56/10^9</f>
        <v>0.52442544050919937</v>
      </c>
      <c r="N67" s="2">
        <f>N12*'Output-Calculation-sheet'!N56/10^9</f>
        <v>0.51141665444993933</v>
      </c>
      <c r="O67" s="2">
        <f>O12*'Output-Calculation-sheet'!O56/10^9</f>
        <v>0.46644722678864758</v>
      </c>
      <c r="P67" s="2">
        <f>P12*'Output-Calculation-sheet'!P56/10^9</f>
        <v>0.45284040092478511</v>
      </c>
      <c r="Q67" s="2">
        <f>Q12*'Output-Calculation-sheet'!Q56/10^9</f>
        <v>0.44863365761269086</v>
      </c>
      <c r="R67" s="2">
        <f>R12*'Output-Calculation-sheet'!R56/10^9</f>
        <v>0.36068013207971605</v>
      </c>
      <c r="S67" s="2">
        <f>S12*'Output-Calculation-sheet'!S56/10^9</f>
        <v>0.29350708768714406</v>
      </c>
      <c r="T67" s="2">
        <f>T12*'Output-Calculation-sheet'!T56/10^9</f>
        <v>0.11224229656233878</v>
      </c>
      <c r="U67" s="2">
        <f>U12*'Output-Calculation-sheet'!U56/10^9</f>
        <v>0.12133962291605088</v>
      </c>
      <c r="V67" s="2">
        <f>V12*'Output-Calculation-sheet'!V56/10^9</f>
        <v>8.6563559924744432E-2</v>
      </c>
      <c r="W67" s="2">
        <f>W12*'Output-Calculation-sheet'!W56/10^9</f>
        <v>5.8759182228261181E-2</v>
      </c>
      <c r="X67" s="2">
        <f>X12*'Output-Calculation-sheet'!X56/10^9</f>
        <v>5.6240727493877783E-2</v>
      </c>
      <c r="Y67" s="2">
        <f>Y12*'Output-Calculation-sheet'!Y56/10^9</f>
        <v>5.2291829697879044E-2</v>
      </c>
      <c r="AA67" s="2">
        <f t="shared" si="4"/>
        <v>17.421472362404725</v>
      </c>
    </row>
    <row r="68" spans="1:27" x14ac:dyDescent="0.25">
      <c r="B68" s="2">
        <f>SUM(B60:B67)</f>
        <v>26.032837217826597</v>
      </c>
      <c r="C68" s="2">
        <f t="shared" ref="C68:Y68" si="5">SUM(C60:C67)</f>
        <v>12.431955958660996</v>
      </c>
      <c r="D68" s="2">
        <f t="shared" si="5"/>
        <v>5.4884246987954564</v>
      </c>
      <c r="E68" s="2">
        <f t="shared" si="5"/>
        <v>6.8100596233722221</v>
      </c>
      <c r="F68" s="2">
        <f t="shared" si="5"/>
        <v>2.9258331015794381</v>
      </c>
      <c r="G68" s="2">
        <f t="shared" si="5"/>
        <v>2.1641935897871978</v>
      </c>
      <c r="H68" s="2">
        <f t="shared" si="5"/>
        <v>3.6428981918095564</v>
      </c>
      <c r="I68" s="2">
        <f t="shared" si="5"/>
        <v>1.860601722075705</v>
      </c>
      <c r="J68" s="2">
        <f t="shared" si="5"/>
        <v>2.1797620533456401</v>
      </c>
      <c r="K68" s="2">
        <f t="shared" si="5"/>
        <v>1.9529860996272252</v>
      </c>
      <c r="L68" s="2">
        <f t="shared" si="5"/>
        <v>2.034646781657397</v>
      </c>
      <c r="M68" s="2">
        <f t="shared" si="5"/>
        <v>2.5956246939882126</v>
      </c>
      <c r="N68" s="2">
        <f t="shared" si="5"/>
        <v>2.3873510540712175</v>
      </c>
      <c r="O68" s="2">
        <f t="shared" si="5"/>
        <v>2.317515679038995</v>
      </c>
      <c r="P68" s="2">
        <f t="shared" si="5"/>
        <v>2.0111095623278836</v>
      </c>
      <c r="Q68" s="2">
        <f t="shared" si="5"/>
        <v>1.9580304734533347</v>
      </c>
      <c r="R68" s="2">
        <f t="shared" si="5"/>
        <v>1.6076849694555175</v>
      </c>
      <c r="S68" s="2">
        <f t="shared" si="5"/>
        <v>1.4169867611317088</v>
      </c>
      <c r="T68" s="2">
        <f t="shared" si="5"/>
        <v>0.55974185010918276</v>
      </c>
      <c r="U68" s="2">
        <f t="shared" si="5"/>
        <v>0.52693460984730134</v>
      </c>
      <c r="V68" s="2">
        <f t="shared" si="5"/>
        <v>0.60884588470678325</v>
      </c>
      <c r="W68" s="2">
        <f t="shared" si="5"/>
        <v>0.28621232878024455</v>
      </c>
      <c r="X68" s="2">
        <f t="shared" si="5"/>
        <v>0.30973500537980803</v>
      </c>
      <c r="Y68" s="2">
        <f t="shared" si="5"/>
        <v>0.21396798393739247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36.754759835887647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3.6754759835887649E-2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326.85500838298066</v>
      </c>
      <c r="Q76" s="2">
        <f>Q10/'Output-Calculation-sheet'!Q9*'Output-Calculation-sheet'!Q63</f>
        <v>38.767915606765172</v>
      </c>
      <c r="R76" s="2">
        <f>R10/'Output-Calculation-sheet'!R9*'Output-Calculation-sheet'!R63</f>
        <v>248.34531986145473</v>
      </c>
      <c r="S76" s="2">
        <f>S10/'Output-Calculation-sheet'!S9*'Output-Calculation-sheet'!S63</f>
        <v>0</v>
      </c>
      <c r="T76" s="2">
        <f>T10/'Output-Calculation-sheet'!T9*'Output-Calculation-sheet'!T63</f>
        <v>16.344148846700872</v>
      </c>
      <c r="U76" s="2">
        <f>U10/'Output-Calculation-sheet'!U9*'Output-Calculation-sheet'!U63</f>
        <v>88.368712066033837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4.1914663640721646</v>
      </c>
      <c r="AA76" s="2">
        <f t="shared" si="6"/>
        <v>0.79148975718989245</v>
      </c>
    </row>
    <row r="77" spans="1:27" x14ac:dyDescent="0.25">
      <c r="A77" s="2">
        <v>2034</v>
      </c>
      <c r="B77" s="2">
        <f>B11/'Output-Calculation-sheet'!B10*'Output-Calculation-sheet'!B64</f>
        <v>328.38878104779707</v>
      </c>
      <c r="C77" s="2">
        <f>C11/'Output-Calculation-sheet'!C10*'Output-Calculation-sheet'!C64</f>
        <v>0</v>
      </c>
      <c r="D77" s="2">
        <f>D11/'Output-Calculation-sheet'!D10*'Output-Calculation-sheet'!D64</f>
        <v>1105.3508445829007</v>
      </c>
      <c r="E77" s="2">
        <f>E11/'Output-Calculation-sheet'!E10*'Output-Calculation-sheet'!E64</f>
        <v>1383.8976205557647</v>
      </c>
      <c r="F77" s="2">
        <f>F11/'Output-Calculation-sheet'!F10*'Output-Calculation-sheet'!F64</f>
        <v>98.898261587947871</v>
      </c>
      <c r="G77" s="2">
        <f>G11/'Output-Calculation-sheet'!G10*'Output-Calculation-sheet'!G64</f>
        <v>583.67955180410297</v>
      </c>
      <c r="H77" s="2">
        <f>H11/'Output-Calculation-sheet'!H10*'Output-Calculation-sheet'!H64</f>
        <v>90.882016381972065</v>
      </c>
      <c r="I77" s="2">
        <f>I11/'Output-Calculation-sheet'!I10*'Output-Calculation-sheet'!I64</f>
        <v>345.31266989354174</v>
      </c>
      <c r="J77" s="2">
        <f>J11/'Output-Calculation-sheet'!J10*'Output-Calculation-sheet'!J64</f>
        <v>241.78566825470685</v>
      </c>
      <c r="K77" s="2">
        <f>K11/'Output-Calculation-sheet'!K10*'Output-Calculation-sheet'!K64</f>
        <v>527.4559293432078</v>
      </c>
      <c r="L77" s="2">
        <f>L11/'Output-Calculation-sheet'!L10*'Output-Calculation-sheet'!L64</f>
        <v>218.39296066725871</v>
      </c>
      <c r="M77" s="2">
        <f>M11/'Output-Calculation-sheet'!M10*'Output-Calculation-sheet'!M64</f>
        <v>65.454625929195814</v>
      </c>
      <c r="N77" s="2">
        <f>N11/'Output-Calculation-sheet'!N10*'Output-Calculation-sheet'!N64</f>
        <v>21.647688751987893</v>
      </c>
      <c r="O77" s="2">
        <f>O11/'Output-Calculation-sheet'!O10*'Output-Calculation-sheet'!O64</f>
        <v>0</v>
      </c>
      <c r="P77" s="2">
        <f>P11/'Output-Calculation-sheet'!P10*'Output-Calculation-sheet'!P64</f>
        <v>445.74428826210521</v>
      </c>
      <c r="Q77" s="2">
        <f>Q11/'Output-Calculation-sheet'!Q10*'Output-Calculation-sheet'!Q64</f>
        <v>107.60232971375291</v>
      </c>
      <c r="R77" s="2">
        <f>R11/'Output-Calculation-sheet'!R10*'Output-Calculation-sheet'!R64</f>
        <v>554.12751726412591</v>
      </c>
      <c r="S77" s="2">
        <f>S11/'Output-Calculation-sheet'!S10*'Output-Calculation-sheet'!S64</f>
        <v>0</v>
      </c>
      <c r="T77" s="2">
        <f>T11/'Output-Calculation-sheet'!T10*'Output-Calculation-sheet'!T64</f>
        <v>153.67565213056545</v>
      </c>
      <c r="U77" s="2">
        <f>U11/'Output-Calculation-sheet'!U10*'Output-Calculation-sheet'!U64</f>
        <v>203.71848043830352</v>
      </c>
      <c r="V77" s="2">
        <f>V11/'Output-Calculation-sheet'!V10*'Output-Calculation-sheet'!V64</f>
        <v>79.574008263276824</v>
      </c>
      <c r="W77" s="2">
        <f>W11/'Output-Calculation-sheet'!W10*'Output-Calculation-sheet'!W64</f>
        <v>17.567316582796305</v>
      </c>
      <c r="X77" s="2">
        <f>X11/'Output-Calculation-sheet'!X10*'Output-Calculation-sheet'!X64</f>
        <v>6.5251078688117765</v>
      </c>
      <c r="Y77" s="2">
        <f>Y11/'Output-Calculation-sheet'!Y10*'Output-Calculation-sheet'!Y64</f>
        <v>36.778914045466188</v>
      </c>
      <c r="AA77" s="2">
        <f t="shared" si="6"/>
        <v>6.6164602333695868</v>
      </c>
    </row>
    <row r="78" spans="1:27" x14ac:dyDescent="0.25">
      <c r="A78" s="2">
        <v>2035</v>
      </c>
      <c r="B78" s="2">
        <f>B12/'Output-Calculation-sheet'!B11*'Output-Calculation-sheet'!B65</f>
        <v>57.233687062092898</v>
      </c>
      <c r="C78" s="2">
        <f>C12/'Output-Calculation-sheet'!C11*'Output-Calculation-sheet'!C65</f>
        <v>41.776596282884896</v>
      </c>
      <c r="D78" s="2">
        <f>D12/'Output-Calculation-sheet'!D11*'Output-Calculation-sheet'!D65</f>
        <v>1204.1872876530329</v>
      </c>
      <c r="E78" s="2">
        <f>E12/'Output-Calculation-sheet'!E11*'Output-Calculation-sheet'!E65</f>
        <v>1076.4287939473713</v>
      </c>
      <c r="F78" s="2">
        <f>F12/'Output-Calculation-sheet'!F11*'Output-Calculation-sheet'!F65</f>
        <v>484.63618666153707</v>
      </c>
      <c r="G78" s="2">
        <f>G12/'Output-Calculation-sheet'!G11*'Output-Calculation-sheet'!G65</f>
        <v>932.4466378978683</v>
      </c>
      <c r="H78" s="2">
        <f>H12/'Output-Calculation-sheet'!H11*'Output-Calculation-sheet'!H65</f>
        <v>16.382671499503033</v>
      </c>
      <c r="I78" s="2">
        <f>I12/'Output-Calculation-sheet'!I11*'Output-Calculation-sheet'!I65</f>
        <v>542.18802277695693</v>
      </c>
      <c r="J78" s="2">
        <f>J12/'Output-Calculation-sheet'!J11*'Output-Calculation-sheet'!J65</f>
        <v>487.17749346370499</v>
      </c>
      <c r="K78" s="2">
        <f>K12/'Output-Calculation-sheet'!K11*'Output-Calculation-sheet'!K65</f>
        <v>614.78316906007899</v>
      </c>
      <c r="L78" s="2">
        <f>L12/'Output-Calculation-sheet'!L11*'Output-Calculation-sheet'!L65</f>
        <v>364.41224758747654</v>
      </c>
      <c r="M78" s="2">
        <f>M12/'Output-Calculation-sheet'!M11*'Output-Calculation-sheet'!M65</f>
        <v>11.225446021650862</v>
      </c>
      <c r="N78" s="2">
        <f>N12/'Output-Calculation-sheet'!N11*'Output-Calculation-sheet'!N65</f>
        <v>9.6086053156377709</v>
      </c>
      <c r="O78" s="2">
        <f>O12/'Output-Calculation-sheet'!O11*'Output-Calculation-sheet'!O65</f>
        <v>1.913236781852327</v>
      </c>
      <c r="P78" s="2">
        <f>P12/'Output-Calculation-sheet'!P11*'Output-Calculation-sheet'!P65</f>
        <v>161.65743211536687</v>
      </c>
      <c r="Q78" s="2">
        <f>Q12/'Output-Calculation-sheet'!Q11*'Output-Calculation-sheet'!Q65</f>
        <v>153.92816880232306</v>
      </c>
      <c r="R78" s="2">
        <f>R12/'Output-Calculation-sheet'!R11*'Output-Calculation-sheet'!R65</f>
        <v>705.16549840139362</v>
      </c>
      <c r="S78" s="2">
        <f>S12/'Output-Calculation-sheet'!S11*'Output-Calculation-sheet'!S65</f>
        <v>4.2759946563570477</v>
      </c>
      <c r="T78" s="2">
        <f>T12/'Output-Calculation-sheet'!T11*'Output-Calculation-sheet'!T65</f>
        <v>252.95953618594376</v>
      </c>
      <c r="U78" s="2">
        <f>U12/'Output-Calculation-sheet'!U11*'Output-Calculation-sheet'!U65</f>
        <v>215.69348934971634</v>
      </c>
      <c r="V78" s="2">
        <f>V12/'Output-Calculation-sheet'!V11*'Output-Calculation-sheet'!V65</f>
        <v>136.161377709188</v>
      </c>
      <c r="W78" s="2">
        <f>W12/'Output-Calculation-sheet'!W11*'Output-Calculation-sheet'!W65</f>
        <v>97.992078769901582</v>
      </c>
      <c r="X78" s="2">
        <f>X12/'Output-Calculation-sheet'!X11*'Output-Calculation-sheet'!X65</f>
        <v>1.4332420677418412</v>
      </c>
      <c r="Y78" s="2">
        <f>Y12/'Output-Calculation-sheet'!Y11*'Output-Calculation-sheet'!Y65</f>
        <v>28.693540663754213</v>
      </c>
      <c r="AA78" s="2">
        <f t="shared" si="6"/>
        <v>7.6023604407333343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14.515264281535099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76.283909870580331</v>
      </c>
      <c r="E89" s="2">
        <f>E12/'Output-Calculation-sheet'!E11*'Output-Calculation-sheet'!E74</f>
        <v>53.350380091334848</v>
      </c>
      <c r="F89" s="2">
        <f>F12/'Output-Calculation-sheet'!F11*'Output-Calculation-sheet'!F74</f>
        <v>32.02854968668796</v>
      </c>
      <c r="G89" s="2">
        <f>G12/'Output-Calculation-sheet'!G11*'Output-Calculation-sheet'!G74</f>
        <v>28.459353544615567</v>
      </c>
      <c r="H89" s="2">
        <f>H12/'Output-Calculation-sheet'!H11*'Output-Calculation-sheet'!H74</f>
        <v>4.2414683493858991</v>
      </c>
      <c r="I89" s="2">
        <f>I12/'Output-Calculation-sheet'!I11*'Output-Calculation-sheet'!I74</f>
        <v>26.581946405995541</v>
      </c>
      <c r="J89" s="2">
        <f>J12/'Output-Calculation-sheet'!J11*'Output-Calculation-sheet'!J74</f>
        <v>15.589523895599603</v>
      </c>
      <c r="K89" s="2">
        <f>K12/'Output-Calculation-sheet'!K11*'Output-Calculation-sheet'!K74</f>
        <v>30.963937285233943</v>
      </c>
      <c r="L89" s="2">
        <f>L12/'Output-Calculation-sheet'!L11*'Output-Calculation-sheet'!L74</f>
        <v>20.774051012532816</v>
      </c>
      <c r="M89" s="2">
        <f>M12/'Output-Calculation-sheet'!M11*'Output-Calculation-sheet'!M74</f>
        <v>3.6481787525677163</v>
      </c>
      <c r="N89" s="2">
        <f>N12/'Output-Calculation-sheet'!N11*'Output-Calculation-sheet'!N74</f>
        <v>2.8684544564931032</v>
      </c>
      <c r="O89" s="2">
        <f>O12/'Output-Calculation-sheet'!O11*'Output-Calculation-sheet'!O74</f>
        <v>1.3383957900331074</v>
      </c>
      <c r="P89" s="2">
        <f>P12/'Output-Calculation-sheet'!P11*'Output-Calculation-sheet'!P74</f>
        <v>3.3124350885877747</v>
      </c>
      <c r="Q89" s="2">
        <f>Q12/'Output-Calculation-sheet'!Q11*'Output-Calculation-sheet'!Q74</f>
        <v>33.92827130517221</v>
      </c>
      <c r="R89" s="2">
        <f>R12/'Output-Calculation-sheet'!R11*'Output-Calculation-sheet'!R74</f>
        <v>15.576979455613898</v>
      </c>
      <c r="S89" s="2">
        <f>S12/'Output-Calculation-sheet'!S11*'Output-Calculation-sheet'!S74</f>
        <v>1.233222838787843</v>
      </c>
      <c r="T89" s="2">
        <f>T12/'Output-Calculation-sheet'!T11*'Output-Calculation-sheet'!T74</f>
        <v>3.6882531842016726</v>
      </c>
      <c r="U89" s="2">
        <f>U12/'Output-Calculation-sheet'!U11*'Output-Calculation-sheet'!U74</f>
        <v>6.815840572186497</v>
      </c>
      <c r="V89" s="2">
        <f>V12/'Output-Calculation-sheet'!V11*'Output-Calculation-sheet'!V74</f>
        <v>0.92746032456142946</v>
      </c>
      <c r="W89" s="2">
        <f>W12/'Output-Calculation-sheet'!W11*'Output-Calculation-sheet'!W74</f>
        <v>2.4093516323969637</v>
      </c>
      <c r="X89" s="2">
        <f>X12/'Output-Calculation-sheet'!X11*'Output-Calculation-sheet'!X74</f>
        <v>0.16008511870231668</v>
      </c>
      <c r="Y89" s="2">
        <f>Y12/'Output-Calculation-sheet'!Y11*'Output-Calculation-sheet'!Y74</f>
        <v>1.6993372185935254</v>
      </c>
      <c r="AA89" s="2">
        <f t="shared" si="7"/>
        <v>0.38383929035622877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9089905072.9253044</v>
      </c>
      <c r="C96" s="2">
        <f>C8/'Output-Calculation-sheet'!C7*'Output-Calculation-sheet'!C79</f>
        <v>3075162144.1711578</v>
      </c>
      <c r="D96" s="2">
        <f>D8/'Output-Calculation-sheet'!D7*'Output-Calculation-sheet'!D79</f>
        <v>3210250431.7778268</v>
      </c>
      <c r="E96" s="2">
        <f>E8/'Output-Calculation-sheet'!E7*'Output-Calculation-sheet'!E79</f>
        <v>5707560782.4656067</v>
      </c>
      <c r="F96" s="2">
        <f>F8/'Output-Calculation-sheet'!F7*'Output-Calculation-sheet'!F79</f>
        <v>2362302629.6985497</v>
      </c>
      <c r="G96" s="2">
        <f>G8/'Output-Calculation-sheet'!G7*'Output-Calculation-sheet'!G79</f>
        <v>1840043517.8442879</v>
      </c>
      <c r="H96" s="2">
        <f>H8/'Output-Calculation-sheet'!H7*'Output-Calculation-sheet'!H79</f>
        <v>1574975583.2443051</v>
      </c>
      <c r="I96" s="2">
        <f>I8/'Output-Calculation-sheet'!I7*'Output-Calculation-sheet'!I79</f>
        <v>1281782754.1748447</v>
      </c>
      <c r="J96" s="2">
        <f>J8/'Output-Calculation-sheet'!J7*'Output-Calculation-sheet'!J79</f>
        <v>866772167.32333136</v>
      </c>
      <c r="K96" s="2">
        <f>K8/'Output-Calculation-sheet'!K7*'Output-Calculation-sheet'!K79</f>
        <v>1240094243.9155931</v>
      </c>
      <c r="L96" s="2">
        <f>L8/'Output-Calculation-sheet'!L7*'Output-Calculation-sheet'!L79</f>
        <v>875011526.27864909</v>
      </c>
      <c r="M96" s="2">
        <f>M8/'Output-Calculation-sheet'!M7*'Output-Calculation-sheet'!M79</f>
        <v>1175687434.1046607</v>
      </c>
      <c r="N96" s="2">
        <f>N8/'Output-Calculation-sheet'!N7*'Output-Calculation-sheet'!N79</f>
        <v>874803813.20127475</v>
      </c>
      <c r="O96" s="2">
        <f>O8/'Output-Calculation-sheet'!O7*'Output-Calculation-sheet'!O79</f>
        <v>442242517.98267591</v>
      </c>
      <c r="P96" s="2">
        <f>P8/'Output-Calculation-sheet'!P7*'Output-Calculation-sheet'!P79</f>
        <v>1479218066.7069111</v>
      </c>
      <c r="Q96" s="2">
        <f>Q8/'Output-Calculation-sheet'!Q7*'Output-Calculation-sheet'!Q79</f>
        <v>689377731.19132364</v>
      </c>
      <c r="R96" s="2">
        <f>R8/'Output-Calculation-sheet'!R7*'Output-Calculation-sheet'!R79</f>
        <v>860082132.96050966</v>
      </c>
      <c r="S96" s="2">
        <f>S8/'Output-Calculation-sheet'!S7*'Output-Calculation-sheet'!S79</f>
        <v>501154900.29641318</v>
      </c>
      <c r="T96" s="2">
        <f>T8/'Output-Calculation-sheet'!T7*'Output-Calculation-sheet'!T79</f>
        <v>382765188.80143815</v>
      </c>
      <c r="U96" s="2">
        <f>U8/'Output-Calculation-sheet'!U7*'Output-Calculation-sheet'!U79</f>
        <v>240443720.04684007</v>
      </c>
      <c r="V96" s="2">
        <f>V8/'Output-Calculation-sheet'!V7*'Output-Calculation-sheet'!V79</f>
        <v>124754179.94884066</v>
      </c>
      <c r="W96" s="2">
        <f>W8/'Output-Calculation-sheet'!W7*'Output-Calculation-sheet'!W79</f>
        <v>368641520.85965693</v>
      </c>
      <c r="X96" s="2">
        <f>X8/'Output-Calculation-sheet'!X7*'Output-Calculation-sheet'!X79</f>
        <v>129566344.25087766</v>
      </c>
      <c r="Y96" s="2">
        <f>Y8/'Output-Calculation-sheet'!Y7*'Output-Calculation-sheet'!Y79</f>
        <v>202639995.41486821</v>
      </c>
      <c r="AA96" s="2">
        <f t="shared" si="8"/>
        <v>38.595238399585739</v>
      </c>
    </row>
    <row r="97" spans="1:27" x14ac:dyDescent="0.25">
      <c r="A97" s="2">
        <v>2032</v>
      </c>
      <c r="B97" s="2">
        <f>B9/'Output-Calculation-sheet'!B8*'Output-Calculation-sheet'!B80</f>
        <v>11390060681.930737</v>
      </c>
      <c r="C97" s="2">
        <f>C9/'Output-Calculation-sheet'!C8*'Output-Calculation-sheet'!C80</f>
        <v>3879522944.8020945</v>
      </c>
      <c r="D97" s="2">
        <f>D9/'Output-Calculation-sheet'!D8*'Output-Calculation-sheet'!D80</f>
        <v>3865547559.7391057</v>
      </c>
      <c r="E97" s="2">
        <f>E9/'Output-Calculation-sheet'!E8*'Output-Calculation-sheet'!E80</f>
        <v>7069518708.80023</v>
      </c>
      <c r="F97" s="2">
        <f>F9/'Output-Calculation-sheet'!F8*'Output-Calculation-sheet'!F80</f>
        <v>2920417713.0383806</v>
      </c>
      <c r="G97" s="2">
        <f>G9/'Output-Calculation-sheet'!G8*'Output-Calculation-sheet'!G80</f>
        <v>2210600869.6683798</v>
      </c>
      <c r="H97" s="2">
        <f>H9/'Output-Calculation-sheet'!H8*'Output-Calculation-sheet'!H80</f>
        <v>1944884091.1487558</v>
      </c>
      <c r="I97" s="2">
        <f>I9/'Output-Calculation-sheet'!I8*'Output-Calculation-sheet'!I80</f>
        <v>1599842432.8212352</v>
      </c>
      <c r="J97" s="2">
        <f>J9/'Output-Calculation-sheet'!J8*'Output-Calculation-sheet'!J80</f>
        <v>1051745808.0728389</v>
      </c>
      <c r="K97" s="2">
        <f>K9/'Output-Calculation-sheet'!K8*'Output-Calculation-sheet'!K80</f>
        <v>1516314278.9312387</v>
      </c>
      <c r="L97" s="2">
        <f>L9/'Output-Calculation-sheet'!L8*'Output-Calculation-sheet'!L80</f>
        <v>1103628819.9236057</v>
      </c>
      <c r="M97" s="2">
        <f>M9/'Output-Calculation-sheet'!M8*'Output-Calculation-sheet'!M80</f>
        <v>1456117314.5341806</v>
      </c>
      <c r="N97" s="2">
        <f>N9/'Output-Calculation-sheet'!N8*'Output-Calculation-sheet'!N80</f>
        <v>1063886349.0829272</v>
      </c>
      <c r="O97" s="2">
        <f>O9/'Output-Calculation-sheet'!O8*'Output-Calculation-sheet'!O80</f>
        <v>550384397.07338214</v>
      </c>
      <c r="P97" s="2">
        <f>P9/'Output-Calculation-sheet'!P8*'Output-Calculation-sheet'!P80</f>
        <v>1800765936.9092941</v>
      </c>
      <c r="Q97" s="2">
        <f>Q9/'Output-Calculation-sheet'!Q8*'Output-Calculation-sheet'!Q80</f>
        <v>842327808.80246925</v>
      </c>
      <c r="R97" s="2">
        <f>R9/'Output-Calculation-sheet'!R8*'Output-Calculation-sheet'!R80</f>
        <v>1064281040.6623458</v>
      </c>
      <c r="S97" s="2">
        <f>S9/'Output-Calculation-sheet'!S8*'Output-Calculation-sheet'!S80</f>
        <v>617704260.74237525</v>
      </c>
      <c r="T97" s="2">
        <f>T9/'Output-Calculation-sheet'!T8*'Output-Calculation-sheet'!T80</f>
        <v>465150880.36253142</v>
      </c>
      <c r="U97" s="2">
        <f>U9/'Output-Calculation-sheet'!U8*'Output-Calculation-sheet'!U80</f>
        <v>297368067.94136339</v>
      </c>
      <c r="V97" s="2">
        <f>V9/'Output-Calculation-sheet'!V8*'Output-Calculation-sheet'!V80</f>
        <v>155921398.61378899</v>
      </c>
      <c r="W97" s="2">
        <f>W9/'Output-Calculation-sheet'!W8*'Output-Calculation-sheet'!W80</f>
        <v>451555114.26625234</v>
      </c>
      <c r="X97" s="2">
        <f>X9/'Output-Calculation-sheet'!X8*'Output-Calculation-sheet'!X80</f>
        <v>162151002.1115675</v>
      </c>
      <c r="Y97" s="2">
        <f>Y9/'Output-Calculation-sheet'!Y8*'Output-Calculation-sheet'!Y80</f>
        <v>248202753.28929308</v>
      </c>
      <c r="AA97" s="2">
        <f t="shared" si="8"/>
        <v>47.727900233268358</v>
      </c>
    </row>
    <row r="98" spans="1:27" x14ac:dyDescent="0.25">
      <c r="A98" s="2">
        <v>2033</v>
      </c>
      <c r="B98" s="2">
        <f>B10/'Output-Calculation-sheet'!B9*'Output-Calculation-sheet'!B81</f>
        <v>13633399694.540936</v>
      </c>
      <c r="C98" s="2">
        <f>C10/'Output-Calculation-sheet'!C9*'Output-Calculation-sheet'!C81</f>
        <v>4674214458.7128229</v>
      </c>
      <c r="D98" s="2">
        <f>D10/'Output-Calculation-sheet'!D9*'Output-Calculation-sheet'!D81</f>
        <v>4448407540.0844879</v>
      </c>
      <c r="E98" s="2">
        <f>E10/'Output-Calculation-sheet'!E9*'Output-Calculation-sheet'!E81</f>
        <v>8367743121.5263939</v>
      </c>
      <c r="F98" s="2">
        <f>F10/'Output-Calculation-sheet'!F9*'Output-Calculation-sheet'!F81</f>
        <v>3451059820.5239882</v>
      </c>
      <c r="G98" s="2">
        <f>G10/'Output-Calculation-sheet'!G9*'Output-Calculation-sheet'!G81</f>
        <v>2533877349.5850949</v>
      </c>
      <c r="H98" s="2">
        <f>H10/'Output-Calculation-sheet'!H9*'Output-Calculation-sheet'!H81</f>
        <v>2295718295.0397067</v>
      </c>
      <c r="I98" s="2">
        <f>I10/'Output-Calculation-sheet'!I9*'Output-Calculation-sheet'!I81</f>
        <v>1908411932.8174031</v>
      </c>
      <c r="J98" s="2">
        <f>J10/'Output-Calculation-sheet'!J9*'Output-Calculation-sheet'!J81</f>
        <v>1220283000.7542779</v>
      </c>
      <c r="K98" s="2">
        <f>K10/'Output-Calculation-sheet'!K9*'Output-Calculation-sheet'!K81</f>
        <v>1772512191.3405278</v>
      </c>
      <c r="L98" s="2">
        <f>L10/'Output-Calculation-sheet'!L9*'Output-Calculation-sheet'!L81</f>
        <v>1329413841.7180905</v>
      </c>
      <c r="M98" s="2">
        <f>M10/'Output-Calculation-sheet'!M9*'Output-Calculation-sheet'!M81</f>
        <v>1723985910.8221045</v>
      </c>
      <c r="N98" s="2">
        <f>N10/'Output-Calculation-sheet'!N9*'Output-Calculation-sheet'!N81</f>
        <v>1236823078.3058</v>
      </c>
      <c r="O98" s="2">
        <f>O10/'Output-Calculation-sheet'!O9*'Output-Calculation-sheet'!O81</f>
        <v>654966735.29766679</v>
      </c>
      <c r="P98" s="2">
        <f>P10/'Output-Calculation-sheet'!P9*'Output-Calculation-sheet'!P81</f>
        <v>2093096567.9772966</v>
      </c>
      <c r="Q98" s="2">
        <f>Q10/'Output-Calculation-sheet'!Q9*'Output-Calculation-sheet'!Q81</f>
        <v>984119173.11128294</v>
      </c>
      <c r="R98" s="2">
        <f>R10/'Output-Calculation-sheet'!R9*'Output-Calculation-sheet'!R81</f>
        <v>1258840808.6260502</v>
      </c>
      <c r="S98" s="2">
        <f>S10/'Output-Calculation-sheet'!S9*'Output-Calculation-sheet'!S81</f>
        <v>727831948.98820615</v>
      </c>
      <c r="T98" s="2">
        <f>T10/'Output-Calculation-sheet'!T9*'Output-Calculation-sheet'!T81</f>
        <v>540078883.30756247</v>
      </c>
      <c r="U98" s="2">
        <f>U10/'Output-Calculation-sheet'!U9*'Output-Calculation-sheet'!U81</f>
        <v>351410891.03392893</v>
      </c>
      <c r="V98" s="2">
        <f>V10/'Output-Calculation-sheet'!V9*'Output-Calculation-sheet'!V81</f>
        <v>186112424.77142075</v>
      </c>
      <c r="W98" s="2">
        <f>W10/'Output-Calculation-sheet'!W9*'Output-Calculation-sheet'!W81</f>
        <v>527696908.00699061</v>
      </c>
      <c r="X98" s="2">
        <f>X10/'Output-Calculation-sheet'!X9*'Output-Calculation-sheet'!X81</f>
        <v>193911539.906124</v>
      </c>
      <c r="Y98" s="2">
        <f>Y10/'Output-Calculation-sheet'!Y9*'Output-Calculation-sheet'!Y81</f>
        <v>290159153.16897404</v>
      </c>
      <c r="AA98" s="2">
        <f t="shared" si="8"/>
        <v>56.404075269967144</v>
      </c>
    </row>
    <row r="99" spans="1:27" x14ac:dyDescent="0.25">
      <c r="A99" s="2">
        <v>2034</v>
      </c>
      <c r="B99" s="2">
        <f>B11/'Output-Calculation-sheet'!B10*'Output-Calculation-sheet'!B82</f>
        <v>15887336137.257788</v>
      </c>
      <c r="C99" s="2">
        <f>C11/'Output-Calculation-sheet'!C10*'Output-Calculation-sheet'!C82</f>
        <v>5481793891.2792282</v>
      </c>
      <c r="D99" s="2">
        <f>D11/'Output-Calculation-sheet'!D10*'Output-Calculation-sheet'!D82</f>
        <v>4986865784.6450586</v>
      </c>
      <c r="E99" s="2">
        <f>E11/'Output-Calculation-sheet'!E10*'Output-Calculation-sheet'!E82</f>
        <v>9646665859.5951042</v>
      </c>
      <c r="F99" s="2">
        <f>F11/'Output-Calculation-sheet'!F10*'Output-Calculation-sheet'!F82</f>
        <v>3972967475.6822677</v>
      </c>
      <c r="G99" s="2">
        <f>G11/'Output-Calculation-sheet'!G10*'Output-Calculation-sheet'!G82</f>
        <v>2824501507.0943046</v>
      </c>
      <c r="H99" s="2">
        <f>H11/'Output-Calculation-sheet'!H10*'Output-Calculation-sheet'!H82</f>
        <v>2640013554.8068085</v>
      </c>
      <c r="I99" s="2">
        <f>I11/'Output-Calculation-sheet'!I10*'Output-Calculation-sheet'!I82</f>
        <v>2217419873.440032</v>
      </c>
      <c r="J99" s="2">
        <f>J11/'Output-Calculation-sheet'!J10*'Output-Calculation-sheet'!J82</f>
        <v>1379895444.621063</v>
      </c>
      <c r="K99" s="2">
        <f>K11/'Output-Calculation-sheet'!K10*'Output-Calculation-sheet'!K82</f>
        <v>2018970471.9492195</v>
      </c>
      <c r="L99" s="2">
        <f>L11/'Output-Calculation-sheet'!L10*'Output-Calculation-sheet'!L82</f>
        <v>1558795772.3489435</v>
      </c>
      <c r="M99" s="2">
        <f>M11/'Output-Calculation-sheet'!M10*'Output-Calculation-sheet'!M82</f>
        <v>1988671727.9279962</v>
      </c>
      <c r="N99" s="2">
        <f>N11/'Output-Calculation-sheet'!N10*'Output-Calculation-sheet'!N82</f>
        <v>1401018506.1509187</v>
      </c>
      <c r="O99" s="2">
        <f>O11/'Output-Calculation-sheet'!O10*'Output-Calculation-sheet'!O82</f>
        <v>759561588.01163197</v>
      </c>
      <c r="P99" s="2">
        <f>P11/'Output-Calculation-sheet'!P10*'Output-Calculation-sheet'!P82</f>
        <v>2367740069.7515659</v>
      </c>
      <c r="Q99" s="2">
        <f>Q11/'Output-Calculation-sheet'!Q10*'Output-Calculation-sheet'!Q82</f>
        <v>1120561053.5587745</v>
      </c>
      <c r="R99" s="2">
        <f>R11/'Output-Calculation-sheet'!R10*'Output-Calculation-sheet'!R82</f>
        <v>1450563748.1654618</v>
      </c>
      <c r="S99" s="2">
        <f>S11/'Output-Calculation-sheet'!S10*'Output-Calculation-sheet'!S82</f>
        <v>835563247.15213513</v>
      </c>
      <c r="T99" s="2">
        <f>T11/'Output-Calculation-sheet'!T10*'Output-Calculation-sheet'!T82</f>
        <v>610696831.96634901</v>
      </c>
      <c r="U99" s="2">
        <f>U11/'Output-Calculation-sheet'!U10*'Output-Calculation-sheet'!U82</f>
        <v>404416516.75122833</v>
      </c>
      <c r="V99" s="2">
        <f>V11/'Output-Calculation-sheet'!V10*'Output-Calculation-sheet'!V82</f>
        <v>216235364.91675502</v>
      </c>
      <c r="W99" s="2">
        <f>W11/'Output-Calculation-sheet'!W10*'Output-Calculation-sheet'!W82</f>
        <v>599633125.39250195</v>
      </c>
      <c r="X99" s="2">
        <f>X11/'Output-Calculation-sheet'!X10*'Output-Calculation-sheet'!X82</f>
        <v>225837226.32034785</v>
      </c>
      <c r="Y99" s="2">
        <f>Y11/'Output-Calculation-sheet'!Y10*'Output-Calculation-sheet'!Y82</f>
        <v>329986849.5587011</v>
      </c>
      <c r="AA99" s="2">
        <f t="shared" si="8"/>
        <v>64.925711628344189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1326.2611634814132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408.26432005662258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280.92558428785111</v>
      </c>
      <c r="N107" s="2">
        <f>N8/'Output-Calculation-sheet'!N7*'Output-Calculation-sheet'!N88</f>
        <v>110.44171610646126</v>
      </c>
      <c r="O107" s="2">
        <f>O8/'Output-Calculation-sheet'!O7*'Output-Calculation-sheet'!O88</f>
        <v>309.18683937196005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30.818120874412635</v>
      </c>
      <c r="Y107" s="2">
        <f>Y8/'Output-Calculation-sheet'!Y7*'Output-Calculation-sheet'!Y88</f>
        <v>0</v>
      </c>
      <c r="AA107" s="2">
        <f t="shared" si="9"/>
        <v>2.4658977441787209</v>
      </c>
    </row>
    <row r="108" spans="1:27" x14ac:dyDescent="0.25">
      <c r="A108" s="2">
        <v>2032</v>
      </c>
      <c r="B108" s="2">
        <f>B9/'Output-Calculation-sheet'!B8*'Output-Calculation-sheet'!B89</f>
        <v>560.54487186186645</v>
      </c>
      <c r="C108" s="2">
        <f>C9/'Output-Calculation-sheet'!C8*'Output-Calculation-sheet'!C89</f>
        <v>2128.3805617807416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573.28385498499074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394.47508394099685</v>
      </c>
      <c r="N108" s="2">
        <f>N9/'Output-Calculation-sheet'!N8*'Output-Calculation-sheet'!N89</f>
        <v>276.93216681592492</v>
      </c>
      <c r="O108" s="2">
        <f>O9/'Output-Calculation-sheet'!O8*'Output-Calculation-sheet'!O89</f>
        <v>413.48521505264767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126.997662550282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43.274737150251966</v>
      </c>
      <c r="Y108" s="2">
        <f>Y9/'Output-Calculation-sheet'!Y8*'Output-Calculation-sheet'!Y89</f>
        <v>0</v>
      </c>
      <c r="AA108" s="2">
        <f t="shared" si="9"/>
        <v>4.5173741541377019</v>
      </c>
    </row>
    <row r="109" spans="1:27" x14ac:dyDescent="0.25">
      <c r="A109" s="2">
        <v>2033</v>
      </c>
      <c r="B109" s="2">
        <f>B10/'Output-Calculation-sheet'!B9*'Output-Calculation-sheet'!B90</f>
        <v>2796.8511173042616</v>
      </c>
      <c r="C109" s="2">
        <f>C10/'Output-Calculation-sheet'!C9*'Output-Calculation-sheet'!C90</f>
        <v>2654.9005490376085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817.26073062832575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562.3549180967774</v>
      </c>
      <c r="N109" s="2">
        <f>N10/'Output-Calculation-sheet'!N9*'Output-Calculation-sheet'!N90</f>
        <v>442.16294769278119</v>
      </c>
      <c r="O109" s="2">
        <f>O10/'Output-Calculation-sheet'!O9*'Output-Calculation-sheet'!O90</f>
        <v>515.77342143349995</v>
      </c>
      <c r="P109" s="2">
        <f>P10/'Output-Calculation-sheet'!P9*'Output-Calculation-sheet'!P90</f>
        <v>0</v>
      </c>
      <c r="Q109" s="2">
        <f>Q10/'Output-Calculation-sheet'!Q9*'Output-Calculation-sheet'!Q90</f>
        <v>96.850610009763102</v>
      </c>
      <c r="R109" s="2">
        <f>R10/'Output-Calculation-sheet'!R9*'Output-Calculation-sheet'!R90</f>
        <v>0</v>
      </c>
      <c r="S109" s="2">
        <f>S10/'Output-Calculation-sheet'!S9*'Output-Calculation-sheet'!S90</f>
        <v>221.78018260456113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61.691504119001614</v>
      </c>
      <c r="Y109" s="2">
        <f>Y10/'Output-Calculation-sheet'!Y9*'Output-Calculation-sheet'!Y90</f>
        <v>0</v>
      </c>
      <c r="AA109" s="2">
        <f t="shared" si="9"/>
        <v>8.1696259809265808</v>
      </c>
    </row>
    <row r="110" spans="1:27" x14ac:dyDescent="0.25">
      <c r="A110" s="2">
        <v>2034</v>
      </c>
      <c r="B110" s="2">
        <f>B11/'Output-Calculation-sheet'!B10*'Output-Calculation-sheet'!B91</f>
        <v>5030.2474584143447</v>
      </c>
      <c r="C110" s="2">
        <f>C11/'Output-Calculation-sheet'!C10*'Output-Calculation-sheet'!C91</f>
        <v>3448.5704801426541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979.91718559725291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674.27838876401324</v>
      </c>
      <c r="N110" s="2">
        <f>N11/'Output-Calculation-sheet'!N10*'Output-Calculation-sheet'!N91</f>
        <v>607.48077967510665</v>
      </c>
      <c r="O110" s="2">
        <f>O11/'Output-Calculation-sheet'!O10*'Output-Calculation-sheet'!O91</f>
        <v>669.96144026657043</v>
      </c>
      <c r="P110" s="2">
        <f>P11/'Output-Calculation-sheet'!P10*'Output-Calculation-sheet'!P91</f>
        <v>153.05605521976736</v>
      </c>
      <c r="Q110" s="2">
        <f>Q11/'Output-Calculation-sheet'!Q10*'Output-Calculation-sheet'!Q91</f>
        <v>338.70210947360539</v>
      </c>
      <c r="R110" s="2">
        <f>R11/'Output-Calculation-sheet'!R10*'Output-Calculation-sheet'!R91</f>
        <v>0</v>
      </c>
      <c r="S110" s="2">
        <f>S11/'Output-Calculation-sheet'!S10*'Output-Calculation-sheet'!S91</f>
        <v>348.22895417852288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73.969741633219428</v>
      </c>
      <c r="Y110" s="2">
        <f>Y11/'Output-Calculation-sheet'!Y10*'Output-Calculation-sheet'!Y91</f>
        <v>11.89703593086427</v>
      </c>
      <c r="AA110" s="2">
        <f t="shared" si="9"/>
        <v>12.33630962929592</v>
      </c>
    </row>
    <row r="111" spans="1:27" x14ac:dyDescent="0.25">
      <c r="A111" s="2">
        <v>2035</v>
      </c>
      <c r="B111" s="2">
        <f>B12/'Output-Calculation-sheet'!B11*'Output-Calculation-sheet'!B92</f>
        <v>8382.5651225865204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1493.8106425573758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612.13800437102077</v>
      </c>
      <c r="Q111" s="2">
        <f>Q12/'Output-Calculation-sheet'!Q11*'Output-Calculation-sheet'!Q92</f>
        <v>435.41281508304337</v>
      </c>
      <c r="R111" s="2">
        <f>R12/'Output-Calculation-sheet'!R11*'Output-Calculation-sheet'!R92</f>
        <v>0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59.476802650773386</v>
      </c>
      <c r="AA111" s="2">
        <f t="shared" si="9"/>
        <v>19.197845832044845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1063563552.2577814</v>
      </c>
      <c r="C118" s="2">
        <f>C8/'Output-Calculation-sheet'!C7*'Output-Calculation-sheet'!C97</f>
        <v>6234729615.6867876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1918298305.3149858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1332423479.1856971</v>
      </c>
      <c r="N118" s="2">
        <f>N8/'Output-Calculation-sheet'!N7*'Output-Calculation-sheet'!N97</f>
        <v>1045572523.8458887</v>
      </c>
      <c r="O118" s="2">
        <f>O8/'Output-Calculation-sheet'!O7*'Output-Calculation-sheet'!O97</f>
        <v>695735973.67404962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378244373.85816288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143609961.81567949</v>
      </c>
      <c r="Y118" s="2">
        <f>Y8/'Output-Calculation-sheet'!Y7*'Output-Calculation-sheet'!Y97</f>
        <v>0</v>
      </c>
      <c r="AA118" s="2">
        <f t="shared" si="10"/>
        <v>12812.177785639033</v>
      </c>
    </row>
    <row r="119" spans="1:27" x14ac:dyDescent="0.25">
      <c r="A119" s="2">
        <v>2032</v>
      </c>
      <c r="B119" s="2">
        <f>B9/'Output-Calculation-sheet'!B8*'Output-Calculation-sheet'!B98</f>
        <v>4205236747.9218445</v>
      </c>
      <c r="C119" s="2">
        <f>C9/'Output-Calculation-sheet'!C8*'Output-Calculation-sheet'!C98</f>
        <v>3342407106.6388516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1998098447.0534108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1394680198.7707095</v>
      </c>
      <c r="N119" s="2">
        <f>N9/'Output-Calculation-sheet'!N8*'Output-Calculation-sheet'!N98</f>
        <v>941356453.09264481</v>
      </c>
      <c r="O119" s="2">
        <f>O9/'Output-Calculation-sheet'!O8*'Output-Calculation-sheet'!O98</f>
        <v>653044586.81572139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391419495.74622416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149235781.25405174</v>
      </c>
      <c r="Y119" s="2">
        <f>Y9/'Output-Calculation-sheet'!Y8*'Output-Calculation-sheet'!Y98</f>
        <v>0</v>
      </c>
      <c r="AA119" s="2">
        <f t="shared" si="10"/>
        <v>13075.478817293459</v>
      </c>
    </row>
    <row r="120" spans="1:27" x14ac:dyDescent="0.25">
      <c r="A120" s="2">
        <v>2033</v>
      </c>
      <c r="B120" s="2">
        <f>B10/'Output-Calculation-sheet'!B9*'Output-Calculation-sheet'!B99</f>
        <v>4023643003.572876</v>
      </c>
      <c r="C120" s="2">
        <f>C10/'Output-Calculation-sheet'!C9*'Output-Calculation-sheet'!C99</f>
        <v>3307684392.9044638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1084511357.8092217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767626148.49910069</v>
      </c>
      <c r="N120" s="2">
        <f>N10/'Output-Calculation-sheet'!N9*'Output-Calculation-sheet'!N99</f>
        <v>765241938.65158868</v>
      </c>
      <c r="O120" s="2">
        <f>O10/'Output-Calculation-sheet'!O9*'Output-Calculation-sheet'!O99</f>
        <v>647573357.74388182</v>
      </c>
      <c r="P120" s="2">
        <f>P10/'Output-Calculation-sheet'!P9*'Output-Calculation-sheet'!P99</f>
        <v>0</v>
      </c>
      <c r="Q120" s="2">
        <f>Q10/'Output-Calculation-sheet'!Q9*'Output-Calculation-sheet'!Q99</f>
        <v>4586478.8280882472</v>
      </c>
      <c r="R120" s="2">
        <f>R10/'Output-Calculation-sheet'!R9*'Output-Calculation-sheet'!R99</f>
        <v>0</v>
      </c>
      <c r="S120" s="2">
        <f>S10/'Output-Calculation-sheet'!S9*'Output-Calculation-sheet'!S99</f>
        <v>320478330.12082231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76650876.655727014</v>
      </c>
      <c r="Y120" s="2">
        <f>Y10/'Output-Calculation-sheet'!Y9*'Output-Calculation-sheet'!Y99</f>
        <v>0</v>
      </c>
      <c r="AA120" s="2">
        <f t="shared" si="10"/>
        <v>10997.995884785772</v>
      </c>
    </row>
    <row r="121" spans="1:27" x14ac:dyDescent="0.25">
      <c r="A121" s="2">
        <v>2034</v>
      </c>
      <c r="B121" s="2">
        <f>B11/'Output-Calculation-sheet'!B10*'Output-Calculation-sheet'!B100</f>
        <v>3776330890.0208826</v>
      </c>
      <c r="C121" s="2">
        <f>C11/'Output-Calculation-sheet'!C10*'Output-Calculation-sheet'!C100</f>
        <v>452724956.41027993</v>
      </c>
      <c r="D121" s="2">
        <f>D11/'Output-Calculation-sheet'!D10*'Output-Calculation-sheet'!D100</f>
        <v>0</v>
      </c>
      <c r="E121" s="2">
        <f>E11/'Output-Calculation-sheet'!E10*'Output-Calculation-sheet'!E100</f>
        <v>534287146.97372127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1192067135.2461889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435482358.41148806</v>
      </c>
      <c r="M121" s="2">
        <f>M11/'Output-Calculation-sheet'!M10*'Output-Calculation-sheet'!M100</f>
        <v>848389620.2453562</v>
      </c>
      <c r="N121" s="2">
        <f>N11/'Output-Calculation-sheet'!N10*'Output-Calculation-sheet'!N100</f>
        <v>565602403.08778274</v>
      </c>
      <c r="O121" s="2">
        <f>O11/'Output-Calculation-sheet'!O10*'Output-Calculation-sheet'!O100</f>
        <v>88803489.301156119</v>
      </c>
      <c r="P121" s="2">
        <f>P11/'Output-Calculation-sheet'!P10*'Output-Calculation-sheet'!P100</f>
        <v>0</v>
      </c>
      <c r="Q121" s="2">
        <f>Q11/'Output-Calculation-sheet'!Q10*'Output-Calculation-sheet'!Q100</f>
        <v>191394969.3941943</v>
      </c>
      <c r="R121" s="2">
        <f>R11/'Output-Calculation-sheet'!R10*'Output-Calculation-sheet'!R100</f>
        <v>0</v>
      </c>
      <c r="S121" s="2">
        <f>S11/'Output-Calculation-sheet'!S10*'Output-Calculation-sheet'!S100</f>
        <v>211474551.39970699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83360216.344323218</v>
      </c>
      <c r="Y121" s="2">
        <f>Y11/'Output-Calculation-sheet'!Y10*'Output-Calculation-sheet'!Y100</f>
        <v>12092757.622623</v>
      </c>
      <c r="AA121" s="2">
        <f t="shared" si="10"/>
        <v>8392.0104944577051</v>
      </c>
    </row>
    <row r="122" spans="1:27" x14ac:dyDescent="0.25">
      <c r="A122" s="2">
        <v>2035</v>
      </c>
      <c r="B122" s="2">
        <f>B12/'Output-Calculation-sheet'!B11*'Output-Calculation-sheet'!B101</f>
        <v>992592237.02171612</v>
      </c>
      <c r="C122" s="2">
        <f>C12/'Output-Calculation-sheet'!C11*'Output-Calculation-sheet'!C101</f>
        <v>186544903.10778242</v>
      </c>
      <c r="D122" s="2">
        <f>D12/'Output-Calculation-sheet'!D11*'Output-Calculation-sheet'!D101</f>
        <v>0</v>
      </c>
      <c r="E122" s="2">
        <f>E12/'Output-Calculation-sheet'!E11*'Output-Calculation-sheet'!E101</f>
        <v>1542987567.9152021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302592396.1375879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663500337.88418436</v>
      </c>
      <c r="M122" s="2">
        <f>M12/'Output-Calculation-sheet'!M11*'Output-Calculation-sheet'!M101</f>
        <v>253716093.59892428</v>
      </c>
      <c r="N122" s="2">
        <f>N12/'Output-Calculation-sheet'!N11*'Output-Calculation-sheet'!N101</f>
        <v>176947067.17130417</v>
      </c>
      <c r="O122" s="2">
        <f>O12/'Output-Calculation-sheet'!O11*'Output-Calculation-sheet'!O101</f>
        <v>20442623.837070931</v>
      </c>
      <c r="P122" s="2">
        <f>P12/'Output-Calculation-sheet'!P11*'Output-Calculation-sheet'!P101</f>
        <v>27593008.279627502</v>
      </c>
      <c r="Q122" s="2">
        <f>Q12/'Output-Calculation-sheet'!Q11*'Output-Calculation-sheet'!Q101</f>
        <v>387567732.35967797</v>
      </c>
      <c r="R122" s="2">
        <f>R12/'Output-Calculation-sheet'!R11*'Output-Calculation-sheet'!R101</f>
        <v>0</v>
      </c>
      <c r="S122" s="2">
        <f>S12/'Output-Calculation-sheet'!S11*'Output-Calculation-sheet'!S101</f>
        <v>105122299.0090974</v>
      </c>
      <c r="T122" s="2">
        <f>T12/'Output-Calculation-sheet'!T11*'Output-Calculation-sheet'!T101</f>
        <v>0</v>
      </c>
      <c r="U122" s="2">
        <f>U12/'Output-Calculation-sheet'!U11*'Output-Calculation-sheet'!U101</f>
        <v>36323899.720432512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9196329.7715326343</v>
      </c>
      <c r="Y122" s="2">
        <f>Y12/'Output-Calculation-sheet'!Y11*'Output-Calculation-sheet'!Y101</f>
        <v>54836878.239305034</v>
      </c>
      <c r="AA122" s="2">
        <f t="shared" si="10"/>
        <v>4759.9633740534455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36113594480.068146</v>
      </c>
      <c r="C129" s="2">
        <f>C8/'Output-Calculation-sheet'!C7*'Output-Calculation-sheet'!C106</f>
        <v>0</v>
      </c>
      <c r="D129" s="2">
        <f>D8/'Output-Calculation-sheet'!D7*'Output-Calculation-sheet'!D106</f>
        <v>15614785971.406796</v>
      </c>
      <c r="E129" s="2">
        <f>E8/'Output-Calculation-sheet'!E7*'Output-Calculation-sheet'!E106</f>
        <v>12388762631.835072</v>
      </c>
      <c r="F129" s="2">
        <f>F8/'Output-Calculation-sheet'!F7*'Output-Calculation-sheet'!F106</f>
        <v>7975088237.4675035</v>
      </c>
      <c r="G129" s="2">
        <f>G8/'Output-Calculation-sheet'!G7*'Output-Calculation-sheet'!G106</f>
        <v>5603528818.1302128</v>
      </c>
      <c r="H129" s="2">
        <f>H8/'Output-Calculation-sheet'!H7*'Output-Calculation-sheet'!H106</f>
        <v>0</v>
      </c>
      <c r="I129" s="2">
        <f>I8/'Output-Calculation-sheet'!I7*'Output-Calculation-sheet'!I106</f>
        <v>5105243981.5888252</v>
      </c>
      <c r="J129" s="2">
        <f>J8/'Output-Calculation-sheet'!J7*'Output-Calculation-sheet'!J106</f>
        <v>4969077144.8064632</v>
      </c>
      <c r="K129" s="2">
        <f>K8/'Output-Calculation-sheet'!K7*'Output-Calculation-sheet'!K106</f>
        <v>4921446340.7526503</v>
      </c>
      <c r="L129" s="2">
        <f>L8/'Output-Calculation-sheet'!L7*'Output-Calculation-sheet'!L106</f>
        <v>3948057589.7175374</v>
      </c>
      <c r="M129" s="2">
        <f>M8/'Output-Calculation-sheet'!M7*'Output-Calculation-sheet'!M106</f>
        <v>0</v>
      </c>
      <c r="N129" s="2">
        <f>N8/'Output-Calculation-sheet'!N7*'Output-Calculation-sheet'!N106</f>
        <v>1735038642.8785057</v>
      </c>
      <c r="O129" s="2">
        <f>O8/'Output-Calculation-sheet'!O7*'Output-Calculation-sheet'!O106</f>
        <v>0</v>
      </c>
      <c r="P129" s="2">
        <f>P8/'Output-Calculation-sheet'!P7*'Output-Calculation-sheet'!P106</f>
        <v>3369480801.923893</v>
      </c>
      <c r="Q129" s="2">
        <f>Q8/'Output-Calculation-sheet'!Q7*'Output-Calculation-sheet'!Q106</f>
        <v>3315018374.9454269</v>
      </c>
      <c r="R129" s="2">
        <f>R8/'Output-Calculation-sheet'!R7*'Output-Calculation-sheet'!R106</f>
        <v>3189206627.2023473</v>
      </c>
      <c r="S129" s="2">
        <f>S8/'Output-Calculation-sheet'!S7*'Output-Calculation-sheet'!S106</f>
        <v>1741460925.2722526</v>
      </c>
      <c r="T129" s="2">
        <f>T8/'Output-Calculation-sheet'!T7*'Output-Calculation-sheet'!T106</f>
        <v>1172316898.5449274</v>
      </c>
      <c r="U129" s="2">
        <f>U8/'Output-Calculation-sheet'!U7*'Output-Calculation-sheet'!U106</f>
        <v>1021049770.201367</v>
      </c>
      <c r="V129" s="2">
        <f>V8/'Output-Calculation-sheet'!V7*'Output-Calculation-sheet'!V106</f>
        <v>786225342.52913654</v>
      </c>
      <c r="W129" s="2">
        <f>W8/'Output-Calculation-sheet'!W7*'Output-Calculation-sheet'!W106</f>
        <v>680702255.66139138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113650.08483493244</v>
      </c>
    </row>
    <row r="130" spans="1:27" x14ac:dyDescent="0.25">
      <c r="A130" s="2">
        <v>2032</v>
      </c>
      <c r="B130" s="2">
        <f>B9/'Output-Calculation-sheet'!B8*'Output-Calculation-sheet'!B107</f>
        <v>38054983681.704391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0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1384953590.9416873</v>
      </c>
      <c r="O130" s="2">
        <f>O9/'Output-Calculation-sheet'!O8*'Output-Calculation-sheet'!O107</f>
        <v>0</v>
      </c>
      <c r="P130" s="2">
        <f>P9/'Output-Calculation-sheet'!P8*'Output-Calculation-sheet'!P107</f>
        <v>4224447006.237102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1229607862.0147591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133522.08247593199</v>
      </c>
    </row>
    <row r="131" spans="1:27" x14ac:dyDescent="0.25">
      <c r="A131" s="2">
        <v>2033</v>
      </c>
      <c r="B131" s="2">
        <f>B10/'Output-Calculation-sheet'!B9*'Output-Calculation-sheet'!B108</f>
        <v>30015152381.55724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1099836546.7692196</v>
      </c>
      <c r="O131" s="2">
        <f>O10/'Output-Calculation-sheet'!O9*'Output-Calculation-sheet'!O108</f>
        <v>0</v>
      </c>
      <c r="P131" s="2">
        <f>P10/'Output-Calculation-sheet'!P9*'Output-Calculation-sheet'!P108</f>
        <v>5058455684.4971771</v>
      </c>
      <c r="Q131" s="2">
        <f>Q10/'Output-Calculation-sheet'!Q9*'Output-Calculation-sheet'!Q108</f>
        <v>4267321520.7388072</v>
      </c>
      <c r="R131" s="2">
        <f>R10/'Output-Calculation-sheet'!R9*'Output-Calculation-sheet'!R108</f>
        <v>4787872970.2520914</v>
      </c>
      <c r="S131" s="2">
        <f>S10/'Output-Calculation-sheet'!S9*'Output-Calculation-sheet'!S108</f>
        <v>1066782840.1627214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142661.49098207819</v>
      </c>
    </row>
    <row r="132" spans="1:27" x14ac:dyDescent="0.25">
      <c r="A132" s="2">
        <v>2034</v>
      </c>
      <c r="B132" s="2">
        <f>B11/'Output-Calculation-sheet'!B10*'Output-Calculation-sheet'!B109</f>
        <v>21915438066.603848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21151457326.057888</v>
      </c>
      <c r="F132" s="2">
        <f>F11/'Output-Calculation-sheet'!F10*'Output-Calculation-sheet'!F109</f>
        <v>13957674035.01738</v>
      </c>
      <c r="G132" s="2">
        <f>G11/'Output-Calculation-sheet'!G10*'Output-Calculation-sheet'!G109</f>
        <v>9807319554.7661381</v>
      </c>
      <c r="H132" s="2">
        <f>H11/'Output-Calculation-sheet'!H10*'Output-Calculation-sheet'!H109</f>
        <v>0</v>
      </c>
      <c r="I132" s="2">
        <f>I11/'Output-Calculation-sheet'!I10*'Output-Calculation-sheet'!I109</f>
        <v>8934618488.7020111</v>
      </c>
      <c r="J132" s="2">
        <f>J11/'Output-Calculation-sheet'!J10*'Output-Calculation-sheet'!J109</f>
        <v>8696400493.9465294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6474003665.9749193</v>
      </c>
      <c r="M132" s="2">
        <f>M11/'Output-Calculation-sheet'!M10*'Output-Calculation-sheet'!M109</f>
        <v>0</v>
      </c>
      <c r="N132" s="2">
        <f>N11/'Output-Calculation-sheet'!N10*'Output-Calculation-sheet'!N109</f>
        <v>851339486.80116773</v>
      </c>
      <c r="O132" s="2">
        <f>O11/'Output-Calculation-sheet'!O10*'Output-Calculation-sheet'!O109</f>
        <v>0</v>
      </c>
      <c r="P132" s="2">
        <f>P11/'Output-Calculation-sheet'!P10*'Output-Calculation-sheet'!P109</f>
        <v>4837078881.4740791</v>
      </c>
      <c r="Q132" s="2">
        <f>Q11/'Output-Calculation-sheet'!Q10*'Output-Calculation-sheet'!Q109</f>
        <v>3115596283.864624</v>
      </c>
      <c r="R132" s="2">
        <f>R11/'Output-Calculation-sheet'!R10*'Output-Calculation-sheet'!R109</f>
        <v>5581078714.3278437</v>
      </c>
      <c r="S132" s="2">
        <f>S11/'Output-Calculation-sheet'!S10*'Output-Calculation-sheet'!S109</f>
        <v>584282960.57205772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1787949945.2001185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148254.64683851536</v>
      </c>
    </row>
    <row r="133" spans="1:27" x14ac:dyDescent="0.25">
      <c r="A133" s="2">
        <v>2035</v>
      </c>
      <c r="B133" s="2">
        <f>B12/'Output-Calculation-sheet'!B11*'Output-Calculation-sheet'!B110</f>
        <v>341016756.41685128</v>
      </c>
      <c r="C133" s="2">
        <f>C12/'Output-Calculation-sheet'!C11*'Output-Calculation-sheet'!C110</f>
        <v>0</v>
      </c>
      <c r="D133" s="2">
        <f>D12/'Output-Calculation-sheet'!D11*'Output-Calculation-sheet'!D110</f>
        <v>28252868919.722721</v>
      </c>
      <c r="E133" s="2">
        <f>E12/'Output-Calculation-sheet'!E11*'Output-Calculation-sheet'!E110</f>
        <v>13738748655.826843</v>
      </c>
      <c r="F133" s="2">
        <f>F12/'Output-Calculation-sheet'!F11*'Output-Calculation-sheet'!F110</f>
        <v>15235227652.455307</v>
      </c>
      <c r="G133" s="2">
        <f>G12/'Output-Calculation-sheet'!G11*'Output-Calculation-sheet'!G110</f>
        <v>10560283158.119026</v>
      </c>
      <c r="H133" s="2">
        <f>H12/'Output-Calculation-sheet'!H11*'Output-Calculation-sheet'!H110</f>
        <v>0</v>
      </c>
      <c r="I133" s="2">
        <f>I12/'Output-Calculation-sheet'!I11*'Output-Calculation-sheet'!I110</f>
        <v>9532633515.5263462</v>
      </c>
      <c r="J133" s="2">
        <f>J12/'Output-Calculation-sheet'!J11*'Output-Calculation-sheet'!J110</f>
        <v>9180644314.7970333</v>
      </c>
      <c r="K133" s="2">
        <f>K12/'Output-Calculation-sheet'!K11*'Output-Calculation-sheet'!K110</f>
        <v>9082254030.8081646</v>
      </c>
      <c r="L133" s="2">
        <f>L12/'Output-Calculation-sheet'!L11*'Output-Calculation-sheet'!L110</f>
        <v>6679988432.1955385</v>
      </c>
      <c r="M133" s="2">
        <f>M12/'Output-Calculation-sheet'!M11*'Output-Calculation-sheet'!M110</f>
        <v>0</v>
      </c>
      <c r="N133" s="2">
        <f>N12/'Output-Calculation-sheet'!N11*'Output-Calculation-sheet'!N110</f>
        <v>873076.94374297734</v>
      </c>
      <c r="O133" s="2">
        <f>O12/'Output-Calculation-sheet'!O11*'Output-Calculation-sheet'!O110</f>
        <v>0</v>
      </c>
      <c r="P133" s="2">
        <f>P12/'Output-Calculation-sheet'!P11*'Output-Calculation-sheet'!P110</f>
        <v>2069961223.9560497</v>
      </c>
      <c r="Q133" s="2">
        <f>Q12/'Output-Calculation-sheet'!Q11*'Output-Calculation-sheet'!Q110</f>
        <v>2749582919.7464228</v>
      </c>
      <c r="R133" s="2">
        <f>R12/'Output-Calculation-sheet'!R11*'Output-Calculation-sheet'!R110</f>
        <v>6041142057.3734598</v>
      </c>
      <c r="S133" s="2">
        <f>S12/'Output-Calculation-sheet'!S11*'Output-Calculation-sheet'!S110</f>
        <v>10002037.391017618</v>
      </c>
      <c r="T133" s="2">
        <f>T12/'Output-Calculation-sheet'!T11*'Output-Calculation-sheet'!T110</f>
        <v>2269765993.0862703</v>
      </c>
      <c r="U133" s="2">
        <f>U12/'Output-Calculation-sheet'!U11*'Output-Calculation-sheet'!U110</f>
        <v>1841605442.0042329</v>
      </c>
      <c r="V133" s="2">
        <f>V12/'Output-Calculation-sheet'!V11*'Output-Calculation-sheet'!V110</f>
        <v>1526420230.6553102</v>
      </c>
      <c r="W133" s="2">
        <f>W12/'Output-Calculation-sheet'!W11*'Output-Calculation-sheet'!W110</f>
        <v>1341018348.0184567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120454.03676504279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11285049450.203428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3547735288.4280391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2438660271.4396625</v>
      </c>
      <c r="N140" s="2">
        <f>N8/'Output-Calculation-sheet'!N7*'Output-Calculation-sheet'!N115</f>
        <v>920690911.93550801</v>
      </c>
      <c r="O140" s="2">
        <f>O8/'Output-Calculation-sheet'!O7*'Output-Calculation-sheet'!O115</f>
        <v>2708356919.729003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264809226.27268773</v>
      </c>
      <c r="Y140" s="2">
        <f>Y8/'Output-Calculation-sheet'!Y7*'Output-Calculation-sheet'!Y115</f>
        <v>0</v>
      </c>
      <c r="AA140" s="2">
        <f t="shared" si="12"/>
        <v>21165.302068008328</v>
      </c>
    </row>
    <row r="141" spans="1:27" x14ac:dyDescent="0.25">
      <c r="A141" s="2">
        <v>2032</v>
      </c>
      <c r="B141" s="2">
        <f>B9/'Output-Calculation-sheet'!B8*'Output-Calculation-sheet'!B116</f>
        <v>4350562737.8243284</v>
      </c>
      <c r="C141" s="2">
        <f>C9/'Output-Calculation-sheet'!C8*'Output-Calculation-sheet'!C116</f>
        <v>18622980944.093273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4854930373.798708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3333308604.3836656</v>
      </c>
      <c r="N141" s="2">
        <f>N9/'Output-Calculation-sheet'!N8*'Output-Calculation-sheet'!N116</f>
        <v>2314189766.0840764</v>
      </c>
      <c r="O141" s="2">
        <f>O9/'Output-Calculation-sheet'!O8*'Output-Calculation-sheet'!O116</f>
        <v>3614830053.3434782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1036548736.7843035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362818928.89931655</v>
      </c>
      <c r="Y141" s="2">
        <f>Y9/'Output-Calculation-sheet'!Y8*'Output-Calculation-sheet'!Y116</f>
        <v>0</v>
      </c>
      <c r="AA141" s="2">
        <f t="shared" si="12"/>
        <v>38490.170145211145</v>
      </c>
    </row>
    <row r="142" spans="1:27" x14ac:dyDescent="0.25">
      <c r="A142" s="2">
        <v>2033</v>
      </c>
      <c r="B142" s="2">
        <f>B10/'Output-Calculation-sheet'!B9*'Output-Calculation-sheet'!B117</f>
        <v>21776936608.683079</v>
      </c>
      <c r="C142" s="2">
        <f>C10/'Output-Calculation-sheet'!C9*'Output-Calculation-sheet'!C117</f>
        <v>22995545230.709721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7121890210.3743029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4894071145.1853848</v>
      </c>
      <c r="N142" s="2">
        <f>N10/'Output-Calculation-sheet'!N9*'Output-Calculation-sheet'!N117</f>
        <v>3691851734.3097577</v>
      </c>
      <c r="O142" s="2">
        <f>O10/'Output-Calculation-sheet'!O9*'Output-Calculation-sheet'!O117</f>
        <v>4463143487.3617296</v>
      </c>
      <c r="P142" s="2">
        <f>P10/'Output-Calculation-sheet'!P9*'Output-Calculation-sheet'!P117</f>
        <v>0</v>
      </c>
      <c r="Q142" s="2">
        <f>Q10/'Output-Calculation-sheet'!Q9*'Output-Calculation-sheet'!Q117</f>
        <v>705042882.56802046</v>
      </c>
      <c r="R142" s="2">
        <f>R10/'Output-Calculation-sheet'!R9*'Output-Calculation-sheet'!R117</f>
        <v>0</v>
      </c>
      <c r="S142" s="2">
        <f>S10/'Output-Calculation-sheet'!S9*'Output-Calculation-sheet'!S117</f>
        <v>1795147226.1755848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536527165.61880416</v>
      </c>
      <c r="Y142" s="2">
        <f>Y10/'Output-Calculation-sheet'!Y9*'Output-Calculation-sheet'!Y117</f>
        <v>0</v>
      </c>
      <c r="AA142" s="2">
        <f t="shared" si="12"/>
        <v>67980.155690986401</v>
      </c>
    </row>
    <row r="143" spans="1:27" x14ac:dyDescent="0.25">
      <c r="A143" s="2">
        <v>2034</v>
      </c>
      <c r="B143" s="2">
        <f>B11/'Output-Calculation-sheet'!B10*'Output-Calculation-sheet'!B118</f>
        <v>39373452640.779251</v>
      </c>
      <c r="C143" s="2">
        <f>C11/'Output-Calculation-sheet'!C10*'Output-Calculation-sheet'!C118</f>
        <v>30209477406.049648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8374217432.7146683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5751505628.0580835</v>
      </c>
      <c r="N143" s="2">
        <f>N11/'Output-Calculation-sheet'!N10*'Output-Calculation-sheet'!N118</f>
        <v>5060863563.8748093</v>
      </c>
      <c r="O143" s="2">
        <f>O11/'Output-Calculation-sheet'!O10*'Output-Calculation-sheet'!O118</f>
        <v>5868862216.735157</v>
      </c>
      <c r="P143" s="2">
        <f>P11/'Output-Calculation-sheet'!P10*'Output-Calculation-sheet'!P118</f>
        <v>1059605745.1257982</v>
      </c>
      <c r="Q143" s="2">
        <f>Q11/'Output-Calculation-sheet'!Q10*'Output-Calculation-sheet'!Q118</f>
        <v>2494683680.760767</v>
      </c>
      <c r="R143" s="2">
        <f>R11/'Output-Calculation-sheet'!R10*'Output-Calculation-sheet'!R118</f>
        <v>0</v>
      </c>
      <c r="S143" s="2">
        <f>S11/'Output-Calculation-sheet'!S10*'Output-Calculation-sheet'!S118</f>
        <v>2914039913.8637662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631427809.43905139</v>
      </c>
      <c r="Y143" s="2">
        <f>Y11/'Output-Calculation-sheet'!Y10*'Output-Calculation-sheet'!Y118</f>
        <v>73994016.69010669</v>
      </c>
      <c r="AA143" s="2">
        <f t="shared" si="12"/>
        <v>101812.13005409113</v>
      </c>
    </row>
    <row r="144" spans="1:27" x14ac:dyDescent="0.25">
      <c r="A144" s="2">
        <v>2035</v>
      </c>
      <c r="B144" s="2">
        <f>B12/'Output-Calculation-sheet'!B11*'Output-Calculation-sheet'!B119</f>
        <v>72751956105.482071</v>
      </c>
      <c r="C144" s="2">
        <f>C12/'Output-Calculation-sheet'!C11*'Output-Calculation-sheet'!C119</f>
        <v>34813256129.038269</v>
      </c>
      <c r="D144" s="2">
        <f>D12/'Output-Calculation-sheet'!D11*'Output-Calculation-sheet'!D119</f>
        <v>0</v>
      </c>
      <c r="E144" s="2">
        <f>E12/'Output-Calculation-sheet'!E11*'Output-Calculation-sheet'!E119</f>
        <v>9171788793.8164749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10576860552.02828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7246770729.8947811</v>
      </c>
      <c r="N144" s="2">
        <f>N12/'Output-Calculation-sheet'!N11*'Output-Calculation-sheet'!N119</f>
        <v>7175367111.5560856</v>
      </c>
      <c r="O144" s="2">
        <f>O12/'Output-Calculation-sheet'!O11*'Output-Calculation-sheet'!O119</f>
        <v>6768869788.3029385</v>
      </c>
      <c r="P144" s="2">
        <f>P12/'Output-Calculation-sheet'!P11*'Output-Calculation-sheet'!P119</f>
        <v>4602594106.2677917</v>
      </c>
      <c r="Q144" s="2">
        <f>Q12/'Output-Calculation-sheet'!Q11*'Output-Calculation-sheet'!Q119</f>
        <v>3154283737.9837599</v>
      </c>
      <c r="R144" s="2">
        <f>R12/'Output-Calculation-sheet'!R11*'Output-Calculation-sheet'!R119</f>
        <v>0</v>
      </c>
      <c r="S144" s="2">
        <f>S12/'Output-Calculation-sheet'!S11*'Output-Calculation-sheet'!S119</f>
        <v>4098963051.4033751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806372755.67137444</v>
      </c>
      <c r="Y144" s="2">
        <f>Y12/'Output-Calculation-sheet'!Y11*'Output-Calculation-sheet'!Y119</f>
        <v>384784711.29357338</v>
      </c>
      <c r="AA144" s="2">
        <f t="shared" si="12"/>
        <v>161551.86757273879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37177158758.13002</v>
      </c>
      <c r="C151" s="2">
        <f>C8/'Output-Calculation-sheet'!C7*'Output-Calculation-sheet'!C124</f>
        <v>17519779065.890217</v>
      </c>
      <c r="D151" s="2">
        <f>D8/'Output-Calculation-sheet'!D7*'Output-Calculation-sheet'!D124</f>
        <v>15614785971.406796</v>
      </c>
      <c r="E151" s="2">
        <f>E8/'Output-Calculation-sheet'!E7*'Output-Calculation-sheet'!E124</f>
        <v>12388762631.835072</v>
      </c>
      <c r="F151" s="2">
        <f>F8/'Output-Calculation-sheet'!F7*'Output-Calculation-sheet'!F124</f>
        <v>7975088237.4675035</v>
      </c>
      <c r="G151" s="2">
        <f>G8/'Output-Calculation-sheet'!G7*'Output-Calculation-sheet'!G124</f>
        <v>5603528818.1302128</v>
      </c>
      <c r="H151" s="2">
        <f>H8/'Output-Calculation-sheet'!H7*'Output-Calculation-sheet'!H124</f>
        <v>5466033593.7430248</v>
      </c>
      <c r="I151" s="2">
        <f>I8/'Output-Calculation-sheet'!I7*'Output-Calculation-sheet'!I124</f>
        <v>5105243981.5888252</v>
      </c>
      <c r="J151" s="2">
        <f>J8/'Output-Calculation-sheet'!J7*'Output-Calculation-sheet'!J124</f>
        <v>4969077144.8064632</v>
      </c>
      <c r="K151" s="2">
        <f>K8/'Output-Calculation-sheet'!K7*'Output-Calculation-sheet'!K124</f>
        <v>4921446340.7526503</v>
      </c>
      <c r="L151" s="2">
        <f>L8/'Output-Calculation-sheet'!L7*'Output-Calculation-sheet'!L124</f>
        <v>3948057589.7175374</v>
      </c>
      <c r="M151" s="2">
        <f>M8/'Output-Calculation-sheet'!M7*'Output-Calculation-sheet'!M124</f>
        <v>3771083750.6253595</v>
      </c>
      <c r="N151" s="2">
        <f>N8/'Output-Calculation-sheet'!N7*'Output-Calculation-sheet'!N124</f>
        <v>3701301361.5059018</v>
      </c>
      <c r="O151" s="2">
        <f>O8/'Output-Calculation-sheet'!O7*'Output-Calculation-sheet'!O124</f>
        <v>3404092893.4030523</v>
      </c>
      <c r="P151" s="2">
        <f>P8/'Output-Calculation-sheet'!P7*'Output-Calculation-sheet'!P124</f>
        <v>3369480801.923893</v>
      </c>
      <c r="Q151" s="2">
        <f>Q8/'Output-Calculation-sheet'!Q7*'Output-Calculation-sheet'!Q124</f>
        <v>3315018374.9454269</v>
      </c>
      <c r="R151" s="2">
        <f>R8/'Output-Calculation-sheet'!R7*'Output-Calculation-sheet'!R124</f>
        <v>3189206627.2023473</v>
      </c>
      <c r="S151" s="2">
        <f>S8/'Output-Calculation-sheet'!S7*'Output-Calculation-sheet'!S124</f>
        <v>2119705093.5817001</v>
      </c>
      <c r="T151" s="2">
        <f>T8/'Output-Calculation-sheet'!T7*'Output-Calculation-sheet'!T124</f>
        <v>1172316898.5449274</v>
      </c>
      <c r="U151" s="2">
        <f>U8/'Output-Calculation-sheet'!U7*'Output-Calculation-sheet'!U124</f>
        <v>1021049770.201367</v>
      </c>
      <c r="V151" s="2">
        <f>V8/'Output-Calculation-sheet'!V7*'Output-Calculation-sheet'!V124</f>
        <v>786225342.52913654</v>
      </c>
      <c r="W151" s="2">
        <f>W8/'Output-Calculation-sheet'!W7*'Output-Calculation-sheet'!W124</f>
        <v>680702255.66139138</v>
      </c>
      <c r="X151" s="2">
        <f>X8/'Output-Calculation-sheet'!X7*'Output-Calculation-sheet'!X124</f>
        <v>408419188.08836722</v>
      </c>
      <c r="Y151" s="2">
        <f>Y8/'Output-Calculation-sheet'!Y7*'Output-Calculation-sheet'!Y124</f>
        <v>397183815.14116514</v>
      </c>
      <c r="AA151" s="2">
        <f t="shared" si="13"/>
        <v>148024.74830682235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13179233037.749069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2560724676.6967626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111351.440113877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1703572147.7347479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74078.727953205191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1366623898.320394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828824798.7457577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529971166.55334997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255283967.6931591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37009.319063393967</v>
      </c>
    </row>
    <row r="155" spans="1:27" x14ac:dyDescent="0.25">
      <c r="A155" s="2">
        <v>2035</v>
      </c>
      <c r="B155" s="2">
        <f>B12/'Output-Calculation-sheet'!B11*'Output-Calculation-sheet'!B128</f>
        <v>379522486.62130058</v>
      </c>
      <c r="C155" s="2">
        <f>C12/'Output-Calculation-sheet'!C11*'Output-Calculation-sheet'!C128</f>
        <v>48775932.926767476</v>
      </c>
      <c r="D155" s="2">
        <f>D12/'Output-Calculation-sheet'!D11*'Output-Calculation-sheet'!D128</f>
        <v>3803466924.4448185</v>
      </c>
      <c r="E155" s="2">
        <f>E12/'Output-Calculation-sheet'!E11*'Output-Calculation-sheet'!E128</f>
        <v>708456429.85204589</v>
      </c>
      <c r="F155" s="2">
        <f>F12/'Output-Calculation-sheet'!F11*'Output-Calculation-sheet'!F128</f>
        <v>1096716107.7630513</v>
      </c>
      <c r="G155" s="2">
        <f>G12/'Output-Calculation-sheet'!G11*'Output-Calculation-sheet'!G128</f>
        <v>979585725.97770059</v>
      </c>
      <c r="H155" s="2">
        <f>H12/'Output-Calculation-sheet'!H11*'Output-Calculation-sheet'!H128</f>
        <v>78515336.94041729</v>
      </c>
      <c r="I155" s="2">
        <f>I12/'Output-Calculation-sheet'!I11*'Output-Calculation-sheet'!I128</f>
        <v>976826179.55682921</v>
      </c>
      <c r="J155" s="2">
        <f>J12/'Output-Calculation-sheet'!J11*'Output-Calculation-sheet'!J128</f>
        <v>935313947.36661112</v>
      </c>
      <c r="K155" s="2">
        <f>K12/'Output-Calculation-sheet'!K11*'Output-Calculation-sheet'!K128</f>
        <v>1062099818.5590504</v>
      </c>
      <c r="L155" s="2">
        <f>L12/'Output-Calculation-sheet'!L11*'Output-Calculation-sheet'!L128</f>
        <v>768055751.92561364</v>
      </c>
      <c r="M155" s="2">
        <f>M12/'Output-Calculation-sheet'!M11*'Output-Calculation-sheet'!M128</f>
        <v>65482743.739416555</v>
      </c>
      <c r="N155" s="2">
        <f>N12/'Output-Calculation-sheet'!N11*'Output-Calculation-sheet'!N128</f>
        <v>66275059.355245709</v>
      </c>
      <c r="O155" s="2">
        <f>O12/'Output-Calculation-sheet'!O11*'Output-Calculation-sheet'!O128</f>
        <v>21948138.417426523</v>
      </c>
      <c r="P155" s="2">
        <f>P12/'Output-Calculation-sheet'!P11*'Output-Calculation-sheet'!P128</f>
        <v>74081815.771844313</v>
      </c>
      <c r="Q155" s="2">
        <f>Q12/'Output-Calculation-sheet'!Q11*'Output-Calculation-sheet'!Q128</f>
        <v>441521977.31233191</v>
      </c>
      <c r="R155" s="2">
        <f>R12/'Output-Calculation-sheet'!R11*'Output-Calculation-sheet'!R128</f>
        <v>493685135.28559411</v>
      </c>
      <c r="S155" s="2">
        <f>S12/'Output-Calculation-sheet'!S11*'Output-Calculation-sheet'!S128</f>
        <v>34609609.707963988</v>
      </c>
      <c r="T155" s="2">
        <f>T12/'Output-Calculation-sheet'!T11*'Output-Calculation-sheet'!T128</f>
        <v>116103651.51302211</v>
      </c>
      <c r="U155" s="2">
        <f>U12/'Output-Calculation-sheet'!U11*'Output-Calculation-sheet'!U128</f>
        <v>228495442.13737521</v>
      </c>
      <c r="V155" s="2">
        <f>V12/'Output-Calculation-sheet'!V11*'Output-Calculation-sheet'!V128</f>
        <v>57017200.134965628</v>
      </c>
      <c r="W155" s="2">
        <f>W12/'Output-Calculation-sheet'!W11*'Output-Calculation-sheet'!W128</f>
        <v>52916375.737744972</v>
      </c>
      <c r="X155" s="2">
        <f>X12/'Output-Calculation-sheet'!X11*'Output-Calculation-sheet'!X128</f>
        <v>2013613.0562340331</v>
      </c>
      <c r="Y155" s="2">
        <f>Y12/'Output-Calculation-sheet'!Y11*'Output-Calculation-sheet'!Y128</f>
        <v>15658032.999564461</v>
      </c>
      <c r="AA155" s="2">
        <f t="shared" si="13"/>
        <v>12507.143437102935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1047.3376169085163</v>
      </c>
      <c r="C19" s="2">
        <f>C8/'Output-Calculation-sheet'!C7*'Output-Calculation-sheet'!C25</f>
        <v>4927.6882959322702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1492.6560388753207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1036.8581473130296</v>
      </c>
      <c r="N19" s="2">
        <f>N8/'Output-Calculation-sheet'!N7*'Output-Calculation-sheet'!N25</f>
        <v>862.54345218084245</v>
      </c>
      <c r="O19" s="2">
        <f>O8/'Output-Calculation-sheet'!O7*'Output-Calculation-sheet'!O25</f>
        <v>541.33924957735462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398.90161827344735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112.21689405052682</v>
      </c>
      <c r="Y19" s="2">
        <f>Y8/'Output-Calculation-sheet'!Y7*'Output-Calculation-sheet'!Y25</f>
        <v>0</v>
      </c>
      <c r="AA19" s="2">
        <f t="shared" si="0"/>
        <v>10.419541313111308</v>
      </c>
    </row>
    <row r="20" spans="1:27" x14ac:dyDescent="0.25">
      <c r="A20" s="2">
        <v>2032</v>
      </c>
      <c r="B20" s="2">
        <f>B9/'Output-Calculation-sheet'!B8*'Output-Calculation-sheet'!B26</f>
        <v>4987.9685146047777</v>
      </c>
      <c r="C20" s="2">
        <f>C9/'Output-Calculation-sheet'!C8*'Output-Calculation-sheet'!C26</f>
        <v>2735.2801589382943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1642.0021853337932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1147.4424592748785</v>
      </c>
      <c r="N20" s="2">
        <f>N9/'Output-Calculation-sheet'!N8*'Output-Calculation-sheet'!N26</f>
        <v>795.2088919126104</v>
      </c>
      <c r="O20" s="2">
        <f>O9/'Output-Calculation-sheet'!O8*'Output-Calculation-sheet'!O26</f>
        <v>534.42305255300414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377.20989146587016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124.85849788646262</v>
      </c>
      <c r="Y20" s="2">
        <f>Y9/'Output-Calculation-sheet'!Y8*'Output-Calculation-sheet'!Y26</f>
        <v>0</v>
      </c>
      <c r="AA20" s="2">
        <f t="shared" si="0"/>
        <v>12.344393651969691</v>
      </c>
    </row>
    <row r="21" spans="1:27" x14ac:dyDescent="0.25">
      <c r="A21" s="2">
        <v>2033</v>
      </c>
      <c r="B21" s="2">
        <f>B10/'Output-Calculation-sheet'!B9*'Output-Calculation-sheet'!B27</f>
        <v>4443.3678774504497</v>
      </c>
      <c r="C21" s="2">
        <f>C10/'Output-Calculation-sheet'!C9*'Output-Calculation-sheet'!C27</f>
        <v>2731.0819417345515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895.45838710366183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633.81283331990812</v>
      </c>
      <c r="N21" s="2">
        <f>N10/'Output-Calculation-sheet'!N9*'Output-Calculation-sheet'!N27</f>
        <v>641.86053984662931</v>
      </c>
      <c r="O21" s="2">
        <f>O10/'Output-Calculation-sheet'!O9*'Output-Calculation-sheet'!O27</f>
        <v>534.68729177197599</v>
      </c>
      <c r="P21" s="2">
        <f>P10/'Output-Calculation-sheet'!P9*'Output-Calculation-sheet'!P27</f>
        <v>0</v>
      </c>
      <c r="Q21" s="2">
        <f>Q10/'Output-Calculation-sheet'!Q9*'Output-Calculation-sheet'!Q27</f>
        <v>7.3394786769304226</v>
      </c>
      <c r="R21" s="2">
        <f>R10/'Output-Calculation-sheet'!R9*'Output-Calculation-sheet'!R27</f>
        <v>0</v>
      </c>
      <c r="S21" s="2">
        <f>S10/'Output-Calculation-sheet'!S9*'Output-Calculation-sheet'!S27</f>
        <v>305.63022458940253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63.288935360739387</v>
      </c>
      <c r="Y21" s="2">
        <f>Y10/'Output-Calculation-sheet'!Y9*'Output-Calculation-sheet'!Y27</f>
        <v>0</v>
      </c>
      <c r="AA21" s="2">
        <f t="shared" si="0"/>
        <v>10.25652750985425</v>
      </c>
    </row>
    <row r="22" spans="1:27" x14ac:dyDescent="0.25">
      <c r="A22" s="2">
        <v>2034</v>
      </c>
      <c r="B22" s="2">
        <f>B11/'Output-Calculation-sheet'!B10*'Output-Calculation-sheet'!B28</f>
        <v>3571.6613662375375</v>
      </c>
      <c r="C22" s="2">
        <f>C11/'Output-Calculation-sheet'!C10*'Output-Calculation-sheet'!C28</f>
        <v>359.81584291674591</v>
      </c>
      <c r="D22" s="2">
        <f>D11/'Output-Calculation-sheet'!D10*'Output-Calculation-sheet'!D28</f>
        <v>0</v>
      </c>
      <c r="E22" s="2">
        <f>E11/'Output-Calculation-sheet'!E10*'Output-Calculation-sheet'!E28</f>
        <v>1217.8348347193435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947.42330477356404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724.63741102086283</v>
      </c>
      <c r="M22" s="2">
        <f>M11/'Output-Calculation-sheet'!M10*'Output-Calculation-sheet'!M28</f>
        <v>674.27755473049444</v>
      </c>
      <c r="N22" s="2">
        <f>N11/'Output-Calculation-sheet'!N10*'Output-Calculation-sheet'!N28</f>
        <v>450.75839221333024</v>
      </c>
      <c r="O22" s="2">
        <f>O11/'Output-Calculation-sheet'!O10*'Output-Calculation-sheet'!O28</f>
        <v>70.578714987212507</v>
      </c>
      <c r="P22" s="2">
        <f>P11/'Output-Calculation-sheet'!P10*'Output-Calculation-sheet'!P28</f>
        <v>0</v>
      </c>
      <c r="Q22" s="2">
        <f>Q11/'Output-Calculation-sheet'!Q10*'Output-Calculation-sheet'!Q28</f>
        <v>231.06214859758092</v>
      </c>
      <c r="R22" s="2">
        <f>R11/'Output-Calculation-sheet'!R10*'Output-Calculation-sheet'!R28</f>
        <v>0</v>
      </c>
      <c r="S22" s="2">
        <f>S11/'Output-Calculation-sheet'!S10*'Output-Calculation-sheet'!S28</f>
        <v>168.77824241325797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66.25246444769121</v>
      </c>
      <c r="Y22" s="2">
        <f>Y11/'Output-Calculation-sheet'!Y10*'Output-Calculation-sheet'!Y28</f>
        <v>27.006375797792007</v>
      </c>
      <c r="AA22" s="2">
        <f t="shared" si="0"/>
        <v>8.5100866528554118</v>
      </c>
    </row>
    <row r="23" spans="1:27" x14ac:dyDescent="0.25">
      <c r="A23" s="2">
        <v>2035</v>
      </c>
      <c r="B23" s="2">
        <f>B12/'Output-Calculation-sheet'!B11*'Output-Calculation-sheet'!B29</f>
        <v>722.045195403359</v>
      </c>
      <c r="C23" s="2">
        <f>C12/'Output-Calculation-sheet'!C11*'Output-Calculation-sheet'!C29</f>
        <v>135.69815897598212</v>
      </c>
      <c r="D23" s="2">
        <f>D12/'Output-Calculation-sheet'!D11*'Output-Calculation-sheet'!D29</f>
        <v>0</v>
      </c>
      <c r="E23" s="2">
        <f>E12/'Output-Calculation-sheet'!E11*'Output-Calculation-sheet'!E29</f>
        <v>1828.2189035237318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220.11587900613026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921.60982071772207</v>
      </c>
      <c r="M23" s="2">
        <f>M12/'Output-Calculation-sheet'!M11*'Output-Calculation-sheet'!M29</f>
        <v>184.56210408645512</v>
      </c>
      <c r="N23" s="2">
        <f>N12/'Output-Calculation-sheet'!N11*'Output-Calculation-sheet'!N29</f>
        <v>128.71716829708191</v>
      </c>
      <c r="O23" s="2">
        <f>O12/'Output-Calculation-sheet'!O11*'Output-Calculation-sheet'!O29</f>
        <v>14.870803002260638</v>
      </c>
      <c r="P23" s="2">
        <f>P12/'Output-Calculation-sheet'!P11*'Output-Calculation-sheet'!P29</f>
        <v>25.614615895916724</v>
      </c>
      <c r="Q23" s="2">
        <f>Q12/'Output-Calculation-sheet'!Q11*'Output-Calculation-sheet'!Q29</f>
        <v>359.14730535253494</v>
      </c>
      <c r="R23" s="2">
        <f>R12/'Output-Calculation-sheet'!R11*'Output-Calculation-sheet'!R29</f>
        <v>0</v>
      </c>
      <c r="S23" s="2">
        <f>S12/'Output-Calculation-sheet'!S11*'Output-Calculation-sheet'!S29</f>
        <v>76.469574389297847</v>
      </c>
      <c r="T23" s="2">
        <f>T12/'Output-Calculation-sheet'!T11*'Output-Calculation-sheet'!T29</f>
        <v>0</v>
      </c>
      <c r="U23" s="2">
        <f>U12/'Output-Calculation-sheet'!U11*'Output-Calculation-sheet'!U29</f>
        <v>83.371167278949869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6.6897223580570788</v>
      </c>
      <c r="Y23" s="2">
        <f>Y12/'Output-Calculation-sheet'!Y11*'Output-Calculation-sheet'!Y29</f>
        <v>56.655656051611146</v>
      </c>
      <c r="AA23" s="2">
        <f t="shared" si="0"/>
        <v>4.7637860743390901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18256.141807217089</v>
      </c>
      <c r="C30" s="2">
        <f>C8/'Output-Calculation-sheet'!C7*'Output-Calculation-sheet'!C16</f>
        <v>0</v>
      </c>
      <c r="D30" s="2">
        <f>D8/'Output-Calculation-sheet'!D7*'Output-Calculation-sheet'!D16</f>
        <v>3074.070023992012</v>
      </c>
      <c r="E30" s="2">
        <f>E8/'Output-Calculation-sheet'!E7*'Output-Calculation-sheet'!E16</f>
        <v>3307.5299172695659</v>
      </c>
      <c r="F30" s="2">
        <f>F8/'Output-Calculation-sheet'!F7*'Output-Calculation-sheet'!F16</f>
        <v>1668.693711818132</v>
      </c>
      <c r="G30" s="2">
        <f>G8/'Output-Calculation-sheet'!G7*'Output-Calculation-sheet'!G16</f>
        <v>1092.7816545593507</v>
      </c>
      <c r="H30" s="2">
        <f>H8/'Output-Calculation-sheet'!H7*'Output-Calculation-sheet'!H16</f>
        <v>0</v>
      </c>
      <c r="I30" s="2">
        <f>I8/'Output-Calculation-sheet'!I7*'Output-Calculation-sheet'!I16</f>
        <v>1065.3115059764084</v>
      </c>
      <c r="J30" s="2">
        <f>J8/'Output-Calculation-sheet'!J7*'Output-Calculation-sheet'!J16</f>
        <v>948.31902606091523</v>
      </c>
      <c r="K30" s="2">
        <f>K8/'Output-Calculation-sheet'!K7*'Output-Calculation-sheet'!K16</f>
        <v>1266.1882582167639</v>
      </c>
      <c r="L30" s="2">
        <f>L8/'Output-Calculation-sheet'!L7*'Output-Calculation-sheet'!L16</f>
        <v>1069.5181890015731</v>
      </c>
      <c r="M30" s="2">
        <f>M8/'Output-Calculation-sheet'!M7*'Output-Calculation-sheet'!M16</f>
        <v>0</v>
      </c>
      <c r="N30" s="2">
        <f>N8/'Output-Calculation-sheet'!N7*'Output-Calculation-sheet'!N16</f>
        <v>983.28129005964433</v>
      </c>
      <c r="O30" s="2">
        <f>O8/'Output-Calculation-sheet'!O7*'Output-Calculation-sheet'!O16</f>
        <v>0</v>
      </c>
      <c r="P30" s="2">
        <f>P8/'Output-Calculation-sheet'!P7*'Output-Calculation-sheet'!P16</f>
        <v>1365.3783378439716</v>
      </c>
      <c r="Q30" s="2">
        <f>Q8/'Output-Calculation-sheet'!Q7*'Output-Calculation-sheet'!Q16</f>
        <v>1501.4722197065032</v>
      </c>
      <c r="R30" s="2">
        <f>R8/'Output-Calculation-sheet'!R7*'Output-Calculation-sheet'!R16</f>
        <v>952.68948872567637</v>
      </c>
      <c r="S30" s="2">
        <f>S8/'Output-Calculation-sheet'!S7*'Output-Calculation-sheet'!S16</f>
        <v>958.12767584795358</v>
      </c>
      <c r="T30" s="2">
        <f>T8/'Output-Calculation-sheet'!T7*'Output-Calculation-sheet'!T16</f>
        <v>285.98191224005194</v>
      </c>
      <c r="U30" s="2">
        <f>U8/'Output-Calculation-sheet'!U7*'Output-Calculation-sheet'!U16</f>
        <v>285.47203187433627</v>
      </c>
      <c r="V30" s="2">
        <f>V8/'Output-Calculation-sheet'!V7*'Output-Calculation-sheet'!V16</f>
        <v>222.17649114468159</v>
      </c>
      <c r="W30" s="2">
        <f>W8/'Output-Calculation-sheet'!W7*'Output-Calculation-sheet'!W16</f>
        <v>134.76291269304855</v>
      </c>
      <c r="X30" s="2">
        <f>X8/'Output-Calculation-sheet'!X7*'Output-Calculation-sheet'!X16</f>
        <v>0</v>
      </c>
      <c r="Y30" s="2">
        <f>Y8/'Output-Calculation-sheet'!Y7*'Output-Calculation-sheet'!Y16</f>
        <v>114.05944793649657</v>
      </c>
      <c r="AA30" s="2">
        <f t="shared" si="1"/>
        <v>38.551955902184169</v>
      </c>
    </row>
    <row r="31" spans="1:27" x14ac:dyDescent="0.25">
      <c r="A31" s="2">
        <v>2032</v>
      </c>
      <c r="B31" s="2">
        <f>B9/'Output-Calculation-sheet'!B8*'Output-Calculation-sheet'!B17</f>
        <v>20971.485088889498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820.00716922270283</v>
      </c>
      <c r="O31" s="2">
        <f>O9/'Output-Calculation-sheet'!O8*'Output-Calculation-sheet'!O17</f>
        <v>0</v>
      </c>
      <c r="P31" s="2">
        <f>P9/'Output-Calculation-sheet'!P8*'Output-Calculation-sheet'!P17</f>
        <v>2049.4726462889985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678.69351105522514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48.048158729375004</v>
      </c>
    </row>
    <row r="32" spans="1:27" x14ac:dyDescent="0.25">
      <c r="A32" s="2">
        <v>2033</v>
      </c>
      <c r="B32" s="2">
        <f>B10/'Output-Calculation-sheet'!B9*'Output-Calculation-sheet'!B18</f>
        <v>16072.836369173865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2516.3059209010657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650.55112861811745</v>
      </c>
      <c r="O32" s="2">
        <f>O10/'Output-Calculation-sheet'!O9*'Output-Calculation-sheet'!O18</f>
        <v>0</v>
      </c>
      <c r="P32" s="2">
        <f>P10/'Output-Calculation-sheet'!P9*'Output-Calculation-sheet'!P18</f>
        <v>2589.8300934644762</v>
      </c>
      <c r="Q32" s="2">
        <f>Q10/'Output-Calculation-sheet'!Q9*'Output-Calculation-sheet'!Q18</f>
        <v>2398.0977115395963</v>
      </c>
      <c r="R32" s="2">
        <f>R10/'Output-Calculation-sheet'!R9*'Output-Calculation-sheet'!R18</f>
        <v>1859.7211609385329</v>
      </c>
      <c r="S32" s="2">
        <f>S10/'Output-Calculation-sheet'!S9*'Output-Calculation-sheet'!S18</f>
        <v>591.80923633045052</v>
      </c>
      <c r="T32" s="2">
        <f>T10/'Output-Calculation-sheet'!T9*'Output-Calculation-sheet'!T18</f>
        <v>542.98864989371123</v>
      </c>
      <c r="U32" s="2">
        <f>U10/'Output-Calculation-sheet'!U9*'Output-Calculation-sheet'!U18</f>
        <v>600.25601520539931</v>
      </c>
      <c r="V32" s="2">
        <f>V10/'Output-Calculation-sheet'!V9*'Output-Calculation-sheet'!V18</f>
        <v>443.03142255770422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256.53854962962362</v>
      </c>
      <c r="AA32" s="2">
        <f t="shared" si="1"/>
        <v>51.09699197502934</v>
      </c>
    </row>
    <row r="33" spans="1:27" x14ac:dyDescent="0.25">
      <c r="A33" s="2">
        <v>2034</v>
      </c>
      <c r="B33" s="2">
        <f>B11/'Output-Calculation-sheet'!B10*'Output-Calculation-sheet'!B19</f>
        <v>10779.765405590675</v>
      </c>
      <c r="C33" s="2">
        <f>C11/'Output-Calculation-sheet'!C10*'Output-Calculation-sheet'!C19</f>
        <v>0</v>
      </c>
      <c r="D33" s="2">
        <f>D11/'Output-Calculation-sheet'!D10*'Output-Calculation-sheet'!D19</f>
        <v>7171.1339099823736</v>
      </c>
      <c r="E33" s="2">
        <f>E11/'Output-Calculation-sheet'!E10*'Output-Calculation-sheet'!E19</f>
        <v>8873.474198917942</v>
      </c>
      <c r="F33" s="2">
        <f>F11/'Output-Calculation-sheet'!F10*'Output-Calculation-sheet'!F19</f>
        <v>4070.1442114039055</v>
      </c>
      <c r="G33" s="2">
        <f>G11/'Output-Calculation-sheet'!G10*'Output-Calculation-sheet'!G19</f>
        <v>2440.8680263680344</v>
      </c>
      <c r="H33" s="2">
        <f>H11/'Output-Calculation-sheet'!H10*'Output-Calculation-sheet'!H19</f>
        <v>0</v>
      </c>
      <c r="I33" s="2">
        <f>I11/'Output-Calculation-sheet'!I10*'Output-Calculation-sheet'!I19</f>
        <v>2663.6278808314833</v>
      </c>
      <c r="J33" s="2">
        <f>J11/'Output-Calculation-sheet'!J10*'Output-Calculation-sheet'!J19</f>
        <v>2252.2069559504125</v>
      </c>
      <c r="K33" s="2">
        <f>K11/'Output-Calculation-sheet'!K10*'Output-Calculation-sheet'!K19</f>
        <v>3123.890819218077</v>
      </c>
      <c r="L33" s="2">
        <f>L11/'Output-Calculation-sheet'!L10*'Output-Calculation-sheet'!L19</f>
        <v>2540.8748116933907</v>
      </c>
      <c r="M33" s="2">
        <f>M11/'Output-Calculation-sheet'!M10*'Output-Calculation-sheet'!M19</f>
        <v>0</v>
      </c>
      <c r="N33" s="2">
        <f>N11/'Output-Calculation-sheet'!N10*'Output-Calculation-sheet'!N19</f>
        <v>482.32211693588039</v>
      </c>
      <c r="O33" s="2">
        <f>O11/'Output-Calculation-sheet'!O10*'Output-Calculation-sheet'!O19</f>
        <v>0</v>
      </c>
      <c r="P33" s="2">
        <f>P11/'Output-Calculation-sheet'!P10*'Output-Calculation-sheet'!P19</f>
        <v>2387.5730668794295</v>
      </c>
      <c r="Q33" s="2">
        <f>Q11/'Output-Calculation-sheet'!Q10*'Output-Calculation-sheet'!Q19</f>
        <v>1521.9852062862378</v>
      </c>
      <c r="R33" s="2">
        <f>R11/'Output-Calculation-sheet'!R10*'Output-Calculation-sheet'!R19</f>
        <v>2256.7132926222325</v>
      </c>
      <c r="S33" s="2">
        <f>S11/'Output-Calculation-sheet'!S10*'Output-Calculation-sheet'!S19</f>
        <v>306.61171419855958</v>
      </c>
      <c r="T33" s="2">
        <f>T11/'Output-Calculation-sheet'!T10*'Output-Calculation-sheet'!T19</f>
        <v>662.11489184566005</v>
      </c>
      <c r="U33" s="2">
        <f>U11/'Output-Calculation-sheet'!U10*'Output-Calculation-sheet'!U19</f>
        <v>761.57308525246344</v>
      </c>
      <c r="V33" s="2">
        <f>V11/'Output-Calculation-sheet'!V10*'Output-Calculation-sheet'!V19</f>
        <v>519.36336568876902</v>
      </c>
      <c r="W33" s="2">
        <f>W11/'Output-Calculation-sheet'!W10*'Output-Calculation-sheet'!W19</f>
        <v>323.33202372687663</v>
      </c>
      <c r="X33" s="2">
        <f>X11/'Output-Calculation-sheet'!X10*'Output-Calculation-sheet'!X19</f>
        <v>0</v>
      </c>
      <c r="Y33" s="2">
        <f>Y11/'Output-Calculation-sheet'!Y10*'Output-Calculation-sheet'!Y19</f>
        <v>264.75520453863425</v>
      </c>
      <c r="AA33" s="2">
        <f t="shared" si="1"/>
        <v>53.402330187931035</v>
      </c>
    </row>
    <row r="34" spans="1:27" x14ac:dyDescent="0.25">
      <c r="A34" s="2">
        <v>2035</v>
      </c>
      <c r="B34" s="2">
        <f>B12/'Output-Calculation-sheet'!B11*'Output-Calculation-sheet'!B20</f>
        <v>147.58301526973133</v>
      </c>
      <c r="C34" s="2">
        <f>C12/'Output-Calculation-sheet'!C11*'Output-Calculation-sheet'!C20</f>
        <v>0</v>
      </c>
      <c r="D34" s="2">
        <f>D12/'Output-Calculation-sheet'!D11*'Output-Calculation-sheet'!D20</f>
        <v>6573.2948416601421</v>
      </c>
      <c r="E34" s="2">
        <f>E12/'Output-Calculation-sheet'!E11*'Output-Calculation-sheet'!E20</f>
        <v>3879.7756179289745</v>
      </c>
      <c r="F34" s="2">
        <f>F12/'Output-Calculation-sheet'!F11*'Output-Calculation-sheet'!F20</f>
        <v>4489.4825245337088</v>
      </c>
      <c r="G34" s="2">
        <f>G12/'Output-Calculation-sheet'!G11*'Output-Calculation-sheet'!G20</f>
        <v>2421.0641003311812</v>
      </c>
      <c r="H34" s="2">
        <f>H12/'Output-Calculation-sheet'!H11*'Output-Calculation-sheet'!H20</f>
        <v>0</v>
      </c>
      <c r="I34" s="2">
        <f>I12/'Output-Calculation-sheet'!I11*'Output-Calculation-sheet'!I20</f>
        <v>2635.8001916745902</v>
      </c>
      <c r="J34" s="2">
        <f>J12/'Output-Calculation-sheet'!J11*'Output-Calculation-sheet'!J20</f>
        <v>2259.0274150449691</v>
      </c>
      <c r="K34" s="2">
        <f>K12/'Output-Calculation-sheet'!K11*'Output-Calculation-sheet'!K20</f>
        <v>2970.1126892972457</v>
      </c>
      <c r="L34" s="2">
        <f>L12/'Output-Calculation-sheet'!L11*'Output-Calculation-sheet'!L20</f>
        <v>2346.5741797114088</v>
      </c>
      <c r="M34" s="2">
        <f>M12/'Output-Calculation-sheet'!M11*'Output-Calculation-sheet'!M20</f>
        <v>0</v>
      </c>
      <c r="N34" s="2">
        <f>N12/'Output-Calculation-sheet'!N11*'Output-Calculation-sheet'!N20</f>
        <v>0.45275389657789267</v>
      </c>
      <c r="O34" s="2">
        <f>O12/'Output-Calculation-sheet'!O11*'Output-Calculation-sheet'!O20</f>
        <v>0</v>
      </c>
      <c r="P34" s="2">
        <f>P12/'Output-Calculation-sheet'!P11*'Output-Calculation-sheet'!P20</f>
        <v>739.29097287266006</v>
      </c>
      <c r="Q34" s="2">
        <f>Q12/'Output-Calculation-sheet'!Q11*'Output-Calculation-sheet'!Q20</f>
        <v>1151.0967084937204</v>
      </c>
      <c r="R34" s="2">
        <f>R12/'Output-Calculation-sheet'!R11*'Output-Calculation-sheet'!R20</f>
        <v>2332.3350943365631</v>
      </c>
      <c r="S34" s="2">
        <f>S12/'Output-Calculation-sheet'!S11*'Output-Calculation-sheet'!S20</f>
        <v>4.8040601419017115</v>
      </c>
      <c r="T34" s="2">
        <f>T12/'Output-Calculation-sheet'!T11*'Output-Calculation-sheet'!T20</f>
        <v>728.84507792042177</v>
      </c>
      <c r="U34" s="2">
        <f>U12/'Output-Calculation-sheet'!U11*'Output-Calculation-sheet'!U20</f>
        <v>666.3412607789993</v>
      </c>
      <c r="V34" s="2">
        <f>V12/'Output-Calculation-sheet'!V11*'Output-Calculation-sheet'!V20</f>
        <v>610.45525930987526</v>
      </c>
      <c r="W34" s="2">
        <f>W12/'Output-Calculation-sheet'!W11*'Output-Calculation-sheet'!W20</f>
        <v>394.4069880857582</v>
      </c>
      <c r="X34" s="2">
        <f>X12/'Output-Calculation-sheet'!X11*'Output-Calculation-sheet'!X20</f>
        <v>0</v>
      </c>
      <c r="Y34" s="2">
        <f>Y12/'Output-Calculation-sheet'!Y11*'Output-Calculation-sheet'!Y20</f>
        <v>98.193456839190489</v>
      </c>
      <c r="AA34" s="2">
        <f t="shared" si="1"/>
        <v>34.44893620812762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9.8004681894037216E-2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9.8239911667494115E-2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1.4318849050305768E-2</v>
      </c>
      <c r="I45" s="2">
        <f>I12/'Output-Calculation-sheet'!I11*'Output-Calculation-sheet'!I38*0.0114</f>
        <v>5.3178352288498341E-2</v>
      </c>
      <c r="J45" s="2">
        <f>J12/'Output-Calculation-sheet'!J11*'Output-Calculation-sheet'!J38*0.0114</f>
        <v>3.9471714929726807E-2</v>
      </c>
      <c r="K45" s="2">
        <f>K12/'Output-Calculation-sheet'!K11*'Output-Calculation-sheet'!K38*0.0114</f>
        <v>6.5332319415779744E-2</v>
      </c>
      <c r="L45" s="2">
        <f>L12/'Output-Calculation-sheet'!L11*'Output-Calculation-sheet'!L38*0.0114</f>
        <v>4.1559402247328833E-2</v>
      </c>
      <c r="M45" s="2">
        <f>M12/'Output-Calculation-sheet'!M11*'Output-Calculation-sheet'!M38*0.0114</f>
        <v>9.8527616501701675E-3</v>
      </c>
      <c r="N45" s="2">
        <f>N12/'Output-Calculation-sheet'!N11*'Output-Calculation-sheet'!N38*0.0114</f>
        <v>9.6836668311219079E-3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8.9460072060736709E-3</v>
      </c>
      <c r="Q45" s="2">
        <f>Q12/'Output-Calculation-sheet'!Q11*'Output-Calculation-sheet'!Q38*0.0114</f>
        <v>6.7874998182949078E-2</v>
      </c>
      <c r="R45" s="2">
        <f>R12/'Output-Calculation-sheet'!R11*'Output-Calculation-sheet'!R38*0.0114</f>
        <v>3.3655426713450204E-2</v>
      </c>
      <c r="S45" s="2">
        <f>S12/'Output-Calculation-sheet'!S11*'Output-Calculation-sheet'!S38*0.0114</f>
        <v>5.5510121242326694E-3</v>
      </c>
      <c r="T45" s="2">
        <f>T12/'Output-Calculation-sheet'!T11*'Output-Calculation-sheet'!T38*0.0114</f>
        <v>9.3384300412508673E-3</v>
      </c>
      <c r="U45" s="2">
        <f>U12/'Output-Calculation-sheet'!U11*'Output-Calculation-sheet'!U38*0.0114</f>
        <v>1.3535128468120418E-2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3.1291761738549985E-3</v>
      </c>
      <c r="AA45" s="2">
        <f t="shared" si="2"/>
        <v>0.92154266556413911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0.13371331263551436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164.88460161306824</v>
      </c>
      <c r="R54" s="2">
        <f>R10/'Output-Calculation-sheet'!R9*'Output-Calculation-sheet'!R45</f>
        <v>1234.3222676377929</v>
      </c>
      <c r="S54" s="2">
        <f>S10/'Output-Calculation-sheet'!S9*'Output-Calculation-sheet'!S45</f>
        <v>0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15.3849510707853</v>
      </c>
      <c r="AA54" s="2">
        <f t="shared" si="3"/>
        <v>4.0615663569910474</v>
      </c>
    </row>
    <row r="55" spans="1:27" x14ac:dyDescent="0.25">
      <c r="A55" s="2">
        <v>2034</v>
      </c>
      <c r="B55" s="2">
        <f>B11/'Output-Calculation-sheet'!B10*'Output-Calculation-sheet'!B46</f>
        <v>1409.1061530901241</v>
      </c>
      <c r="C55" s="2">
        <f>C11/'Output-Calculation-sheet'!C10*'Output-Calculation-sheet'!C46</f>
        <v>0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480.37653366529247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2959.5618667320114</v>
      </c>
      <c r="L55" s="2">
        <f>L11/'Output-Calculation-sheet'!L10*'Output-Calculation-sheet'!L46</f>
        <v>1094.492077908486</v>
      </c>
      <c r="M55" s="2">
        <f>M11/'Output-Calculation-sheet'!M10*'Output-Calculation-sheet'!M46</f>
        <v>356.04505300477672</v>
      </c>
      <c r="N55" s="2">
        <f>N11/'Output-Calculation-sheet'!N10*'Output-Calculation-sheet'!N46</f>
        <v>121.59529300556041</v>
      </c>
      <c r="O55" s="2">
        <f>O11/'Output-Calculation-sheet'!O10*'Output-Calculation-sheet'!O46</f>
        <v>0</v>
      </c>
      <c r="P55" s="2">
        <f>P11/'Output-Calculation-sheet'!P10*'Output-Calculation-sheet'!P46</f>
        <v>2644.5345294970257</v>
      </c>
      <c r="Q55" s="2">
        <f>Q11/'Output-Calculation-sheet'!Q10*'Output-Calculation-sheet'!Q46</f>
        <v>566.83707847189726</v>
      </c>
      <c r="R55" s="2">
        <f>R11/'Output-Calculation-sheet'!R10*'Output-Calculation-sheet'!R46</f>
        <v>3278.3950762672084</v>
      </c>
      <c r="S55" s="2">
        <f>S11/'Output-Calculation-sheet'!S10*'Output-Calculation-sheet'!S46</f>
        <v>0</v>
      </c>
      <c r="T55" s="2">
        <f>T11/'Output-Calculation-sheet'!T10*'Output-Calculation-sheet'!T46</f>
        <v>742.34984095379696</v>
      </c>
      <c r="U55" s="2">
        <f>U11/'Output-Calculation-sheet'!U10*'Output-Calculation-sheet'!U46</f>
        <v>1244.7087004204946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33.982264105465759</v>
      </c>
      <c r="Y55" s="2">
        <f>Y11/'Output-Calculation-sheet'!Y10*'Output-Calculation-sheet'!Y46</f>
        <v>236.35340384344673</v>
      </c>
      <c r="AA55" s="2">
        <f t="shared" si="3"/>
        <v>35.381027991059568</v>
      </c>
    </row>
    <row r="56" spans="1:27" x14ac:dyDescent="0.25">
      <c r="A56" s="2">
        <v>2035</v>
      </c>
      <c r="B56" s="2">
        <f>B12/'Output-Calculation-sheet'!B11*'Output-Calculation-sheet'!B47</f>
        <v>352.47297874171278</v>
      </c>
      <c r="C56" s="2">
        <f>C12/'Output-Calculation-sheet'!C11*'Output-Calculation-sheet'!C47</f>
        <v>277.45962685650494</v>
      </c>
      <c r="D56" s="2">
        <f>D12/'Output-Calculation-sheet'!D11*'Output-Calculation-sheet'!D47</f>
        <v>6412.0008518001741</v>
      </c>
      <c r="E56" s="2">
        <f>E12/'Output-Calculation-sheet'!E11*'Output-Calculation-sheet'!E47</f>
        <v>7810.3602287694885</v>
      </c>
      <c r="F56" s="2">
        <f>F12/'Output-Calculation-sheet'!F11*'Output-Calculation-sheet'!F47</f>
        <v>2036.0522316647903</v>
      </c>
      <c r="G56" s="2">
        <f>G12/'Output-Calculation-sheet'!G11*'Output-Calculation-sheet'!G47</f>
        <v>5025.5369613444955</v>
      </c>
      <c r="H56" s="2">
        <f>H12/'Output-Calculation-sheet'!H11*'Output-Calculation-sheet'!H47</f>
        <v>104.25126940134902</v>
      </c>
      <c r="I56" s="2">
        <f>I12/'Output-Calculation-sheet'!I11*'Output-Calculation-sheet'!I47</f>
        <v>2509.6450465975531</v>
      </c>
      <c r="J56" s="2">
        <f>J12/'Output-Calculation-sheet'!J11*'Output-Calculation-sheet'!J47</f>
        <v>2290.9752671201086</v>
      </c>
      <c r="K56" s="2">
        <f>K12/'Output-Calculation-sheet'!K11*'Output-Calculation-sheet'!K47</f>
        <v>3265.4697897466044</v>
      </c>
      <c r="L56" s="2">
        <f>L12/'Output-Calculation-sheet'!L11*'Output-Calculation-sheet'!L47</f>
        <v>1814.5782867199935</v>
      </c>
      <c r="M56" s="2">
        <f>M12/'Output-Calculation-sheet'!M11*'Output-Calculation-sheet'!M47</f>
        <v>72.599296369674917</v>
      </c>
      <c r="N56" s="2">
        <f>N12/'Output-Calculation-sheet'!N11*'Output-Calculation-sheet'!N47</f>
        <v>67.106112250757079</v>
      </c>
      <c r="O56" s="2">
        <f>O12/'Output-Calculation-sheet'!O11*'Output-Calculation-sheet'!O47</f>
        <v>9.5122407263927311</v>
      </c>
      <c r="P56" s="2">
        <f>P12/'Output-Calculation-sheet'!P11*'Output-Calculation-sheet'!P47</f>
        <v>961.30340591581103</v>
      </c>
      <c r="Q56" s="2">
        <f>Q12/'Output-Calculation-sheet'!Q11*'Output-Calculation-sheet'!Q47</f>
        <v>855.87991129815168</v>
      </c>
      <c r="R56" s="2">
        <f>R12/'Output-Calculation-sheet'!R11*'Output-Calculation-sheet'!R47</f>
        <v>3868.159899236678</v>
      </c>
      <c r="S56" s="2">
        <f>S12/'Output-Calculation-sheet'!S11*'Output-Calculation-sheet'!S47</f>
        <v>30.67664594970686</v>
      </c>
      <c r="T56" s="2">
        <f>T12/'Output-Calculation-sheet'!T11*'Output-Calculation-sheet'!T47</f>
        <v>1363.3561753206309</v>
      </c>
      <c r="U56" s="2">
        <f>U12/'Output-Calculation-sheet'!U11*'Output-Calculation-sheet'!U47</f>
        <v>1301.034541698803</v>
      </c>
      <c r="V56" s="2">
        <f>V12/'Output-Calculation-sheet'!V11*'Output-Calculation-sheet'!V47</f>
        <v>908.18178349616619</v>
      </c>
      <c r="W56" s="2">
        <f>W12/'Output-Calculation-sheet'!W11*'Output-Calculation-sheet'!W47</f>
        <v>528.14033360428141</v>
      </c>
      <c r="X56" s="2">
        <f>X12/'Output-Calculation-sheet'!X11*'Output-Calculation-sheet'!X47</f>
        <v>8.1539198490994345</v>
      </c>
      <c r="Y56" s="2">
        <f>Y12/'Output-Calculation-sheet'!Y11*'Output-Calculation-sheet'!Y47</f>
        <v>211.17364354553615</v>
      </c>
      <c r="AA56" s="2">
        <f t="shared" si="3"/>
        <v>42.084080448024473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6.9403508021496512</v>
      </c>
      <c r="C63" s="2">
        <f>C8*'Output-Calculation-sheet'!C52/10^9</f>
        <v>3.2701881898554639</v>
      </c>
      <c r="D63" s="2">
        <f>D8*'Output-Calculation-sheet'!D52/10^9</f>
        <v>1.6250182488743328</v>
      </c>
      <c r="E63" s="2">
        <f>E8*'Output-Calculation-sheet'!E52/10^9</f>
        <v>1.859092506137654</v>
      </c>
      <c r="F63" s="2">
        <f>F8*'Output-Calculation-sheet'!F52/10^9</f>
        <v>0.86900631437631926</v>
      </c>
      <c r="G63" s="2">
        <f>G8*'Output-Calculation-sheet'!G52/10^9</f>
        <v>0.66284819311315568</v>
      </c>
      <c r="H63" s="2">
        <f>H8*'Output-Calculation-sheet'!H52/10^9</f>
        <v>0.90196460799407108</v>
      </c>
      <c r="I63" s="2">
        <f>I8*'Output-Calculation-sheet'!I52/10^9</f>
        <v>0.52360602537182577</v>
      </c>
      <c r="J63" s="2">
        <f>J8*'Output-Calculation-sheet'!J52/10^9</f>
        <v>0.74020498290120174</v>
      </c>
      <c r="K63" s="2">
        <f>K8*'Output-Calculation-sheet'!K52/10^9</f>
        <v>0.48590822602808081</v>
      </c>
      <c r="L63" s="2">
        <f>L8*'Output-Calculation-sheet'!L52/10^9</f>
        <v>0.57529542937420286</v>
      </c>
      <c r="M63" s="2">
        <f>M8*'Output-Calculation-sheet'!M52/10^9</f>
        <v>0.66237472873984649</v>
      </c>
      <c r="N63" s="2">
        <f>N8*'Output-Calculation-sheet'!N52/10^9</f>
        <v>0.57278396512736374</v>
      </c>
      <c r="O63" s="2">
        <f>O8*'Output-Calculation-sheet'!O52/10^9</f>
        <v>0.58563698753708204</v>
      </c>
      <c r="P63" s="2">
        <f>P8*'Output-Calculation-sheet'!P52/10^9</f>
        <v>0.49417703701726318</v>
      </c>
      <c r="Q63" s="2">
        <f>Q8*'Output-Calculation-sheet'!Q52/10^9</f>
        <v>0.46095966895273388</v>
      </c>
      <c r="R63" s="2">
        <f>R8*'Output-Calculation-sheet'!R52/10^9</f>
        <v>0.41752182015460049</v>
      </c>
      <c r="S63" s="2">
        <f>S8*'Output-Calculation-sheet'!S52/10^9</f>
        <v>0.35425173489623063</v>
      </c>
      <c r="T63" s="2">
        <f>T8*'Output-Calculation-sheet'!T52/10^9</f>
        <v>0.16958092657343882</v>
      </c>
      <c r="U63" s="2">
        <f>U8*'Output-Calculation-sheet'!U52/10^9</f>
        <v>0.13224763220104022</v>
      </c>
      <c r="V63" s="2">
        <f>V8*'Output-Calculation-sheet'!V52/10^9</f>
        <v>0.21896262992917337</v>
      </c>
      <c r="W63" s="2">
        <f>W8*'Output-Calculation-sheet'!W52/10^9</f>
        <v>9.1886669258332193E-2</v>
      </c>
      <c r="X63" s="2">
        <f>X8*'Output-Calculation-sheet'!X52/10^9</f>
        <v>8.6128683557379349E-2</v>
      </c>
      <c r="Y63" s="2">
        <f>Y8*'Output-Calculation-sheet'!Y52/10^9</f>
        <v>5.3061135780667359E-2</v>
      </c>
      <c r="AA63" s="2">
        <f t="shared" si="4"/>
        <v>22.75305714590111</v>
      </c>
    </row>
    <row r="64" spans="1:27" x14ac:dyDescent="0.25">
      <c r="A64" s="2">
        <v>2032</v>
      </c>
      <c r="B64" s="2">
        <f>B9*'Output-Calculation-sheet'!B53/10^9</f>
        <v>7.0171819994217319</v>
      </c>
      <c r="C64" s="2">
        <f>C9*'Output-Calculation-sheet'!C53/10^9</f>
        <v>3.3731726998814078</v>
      </c>
      <c r="D64" s="2">
        <f>D9*'Output-Calculation-sheet'!D53/10^9</f>
        <v>1.4746600762101705</v>
      </c>
      <c r="E64" s="2">
        <f>E9*'Output-Calculation-sheet'!E53/10^9</f>
        <v>1.7218380964177802</v>
      </c>
      <c r="F64" s="2">
        <f>F9*'Output-Calculation-sheet'!F53/10^9</f>
        <v>0.79012244784691454</v>
      </c>
      <c r="G64" s="2">
        <f>G9*'Output-Calculation-sheet'!G53/10^9</f>
        <v>0.59161101885749923</v>
      </c>
      <c r="H64" s="2">
        <f>H9*'Output-Calculation-sheet'!H53/10^9</f>
        <v>0.95366605299154106</v>
      </c>
      <c r="I64" s="2">
        <f>I9*'Output-Calculation-sheet'!I53/10^9</f>
        <v>0.47975595534845134</v>
      </c>
      <c r="J64" s="2">
        <f>J9*'Output-Calculation-sheet'!J53/10^9</f>
        <v>0.64393482100689259</v>
      </c>
      <c r="K64" s="2">
        <f>K9*'Output-Calculation-sheet'!K53/10^9</f>
        <v>0.47536795730314951</v>
      </c>
      <c r="L64" s="2">
        <f>L9*'Output-Calculation-sheet'!L53/10^9</f>
        <v>0.53368185875669982</v>
      </c>
      <c r="M64" s="2">
        <f>M9*'Output-Calculation-sheet'!M53/10^9</f>
        <v>0.68995324139769243</v>
      </c>
      <c r="N64" s="2">
        <f>N9*'Output-Calculation-sheet'!N53/10^9</f>
        <v>0.61651378460249462</v>
      </c>
      <c r="O64" s="2">
        <f>O9*'Output-Calculation-sheet'!O53/10^9</f>
        <v>0.61622856161363959</v>
      </c>
      <c r="P64" s="2">
        <f>P9*'Output-Calculation-sheet'!P53/10^9</f>
        <v>0.50724527811563602</v>
      </c>
      <c r="Q64" s="2">
        <f>Q9*'Output-Calculation-sheet'!Q53/10^9</f>
        <v>0.48113465777958531</v>
      </c>
      <c r="R64" s="2">
        <f>R9*'Output-Calculation-sheet'!R53/10^9</f>
        <v>0.40931051663629064</v>
      </c>
      <c r="S64" s="2">
        <f>S9*'Output-Calculation-sheet'!S53/10^9</f>
        <v>0.37316794403609704</v>
      </c>
      <c r="T64" s="2">
        <f>T9*'Output-Calculation-sheet'!T53/10^9</f>
        <v>0.15300803498112539</v>
      </c>
      <c r="U64" s="2">
        <f>U9*'Output-Calculation-sheet'!U53/10^9</f>
        <v>0.13036203252024572</v>
      </c>
      <c r="V64" s="2">
        <f>V9*'Output-Calculation-sheet'!V53/10^9</f>
        <v>0.18999802481126019</v>
      </c>
      <c r="W64" s="2">
        <f>W9*'Output-Calculation-sheet'!W53/10^9</f>
        <v>8.0983484508992204E-2</v>
      </c>
      <c r="X64" s="2">
        <f>X9*'Output-Calculation-sheet'!X53/10^9</f>
        <v>8.6620872574893509E-2</v>
      </c>
      <c r="Y64" s="2">
        <f>Y9*'Output-Calculation-sheet'!Y53/10^9</f>
        <v>5.1510029082933097E-2</v>
      </c>
      <c r="AA64" s="2">
        <f t="shared" si="4"/>
        <v>22.44102944670313</v>
      </c>
    </row>
    <row r="65" spans="1:27" x14ac:dyDescent="0.25">
      <c r="A65" s="2">
        <v>2033</v>
      </c>
      <c r="B65" s="2">
        <f>B10*'Output-Calculation-sheet'!B54/10^9</f>
        <v>6.8883643838379545</v>
      </c>
      <c r="C65" s="2">
        <f>C10*'Output-Calculation-sheet'!C54/10^9</f>
        <v>3.3267089130043352</v>
      </c>
      <c r="D65" s="2">
        <f>D10*'Output-Calculation-sheet'!D54/10^9</f>
        <v>1.2616488465906328</v>
      </c>
      <c r="E65" s="2">
        <f>E10*'Output-Calculation-sheet'!E54/10^9</f>
        <v>1.6067265077698119</v>
      </c>
      <c r="F65" s="2">
        <f>F10*'Output-Calculation-sheet'!F54/10^9</f>
        <v>0.69042345655978055</v>
      </c>
      <c r="G65" s="2">
        <f>G10*'Output-Calculation-sheet'!G54/10^9</f>
        <v>0.49154806174024818</v>
      </c>
      <c r="H65" s="2">
        <f>H10*'Output-Calculation-sheet'!H54/10^9</f>
        <v>0.97428825624577042</v>
      </c>
      <c r="I65" s="2">
        <f>I10*'Output-Calculation-sheet'!I54/10^9</f>
        <v>0.43098505088930977</v>
      </c>
      <c r="J65" s="2">
        <f>J10*'Output-Calculation-sheet'!J54/10^9</f>
        <v>0.50992311668334966</v>
      </c>
      <c r="K65" s="2">
        <f>K10*'Output-Calculation-sheet'!K54/10^9</f>
        <v>0.47719470771253697</v>
      </c>
      <c r="L65" s="2">
        <f>L10*'Output-Calculation-sheet'!L54/10^9</f>
        <v>0.49211022930769033</v>
      </c>
      <c r="M65" s="2">
        <f>M10*'Output-Calculation-sheet'!M54/10^9</f>
        <v>0.69332289507651435</v>
      </c>
      <c r="N65" s="2">
        <f>N10*'Output-Calculation-sheet'!N54/10^9</f>
        <v>0.63602127089045868</v>
      </c>
      <c r="O65" s="2">
        <f>O10*'Output-Calculation-sheet'!O54/10^9</f>
        <v>0.6212153141900002</v>
      </c>
      <c r="P65" s="2">
        <f>P10*'Output-Calculation-sheet'!P54/10^9</f>
        <v>0.5162262477947922</v>
      </c>
      <c r="Q65" s="2">
        <f>Q10*'Output-Calculation-sheet'!Q54/10^9</f>
        <v>0.50835223484141545</v>
      </c>
      <c r="R65" s="2">
        <f>R10*'Output-Calculation-sheet'!R54/10^9</f>
        <v>0.4038354793465373</v>
      </c>
      <c r="S65" s="2">
        <f>S10*'Output-Calculation-sheet'!S54/10^9</f>
        <v>0.37691603889133374</v>
      </c>
      <c r="T65" s="2">
        <f>T10*'Output-Calculation-sheet'!T54/10^9</f>
        <v>0.13675752654101345</v>
      </c>
      <c r="U65" s="2">
        <f>U10*'Output-Calculation-sheet'!U54/10^9</f>
        <v>0.13134534617239757</v>
      </c>
      <c r="V65" s="2">
        <f>V10*'Output-Calculation-sheet'!V54/10^9</f>
        <v>0.15475872409862121</v>
      </c>
      <c r="W65" s="2">
        <f>W10*'Output-Calculation-sheet'!W54/10^9</f>
        <v>6.6139562080145251E-2</v>
      </c>
      <c r="X65" s="2">
        <f>X10*'Output-Calculation-sheet'!X54/10^9</f>
        <v>8.282453227371557E-2</v>
      </c>
      <c r="Y65" s="2">
        <f>Y10*'Output-Calculation-sheet'!Y54/10^9</f>
        <v>5.1312136217616724E-2</v>
      </c>
      <c r="AA65" s="2">
        <f t="shared" si="4"/>
        <v>21.528948838755984</v>
      </c>
    </row>
    <row r="66" spans="1:27" x14ac:dyDescent="0.25">
      <c r="A66" s="2">
        <v>2034</v>
      </c>
      <c r="B66" s="2">
        <f>B11*'Output-Calculation-sheet'!B55/10^9</f>
        <v>6.5113325888344704</v>
      </c>
      <c r="C66" s="2">
        <f>C11*'Output-Calculation-sheet'!C55/10^9</f>
        <v>3.1623156862428385</v>
      </c>
      <c r="D66" s="2">
        <f>D11*'Output-Calculation-sheet'!D55/10^9</f>
        <v>1.2716147750229994</v>
      </c>
      <c r="E66" s="2">
        <f>E11*'Output-Calculation-sheet'!E55/10^9</f>
        <v>1.6469948045859852</v>
      </c>
      <c r="F66" s="2">
        <f>F11*'Output-Calculation-sheet'!F55/10^9</f>
        <v>0.64821951409306366</v>
      </c>
      <c r="G66" s="2">
        <f>G11*'Output-Calculation-sheet'!G55/10^9</f>
        <v>0.47284753488588654</v>
      </c>
      <c r="H66" s="2">
        <f>H11*'Output-Calculation-sheet'!H55/10^9</f>
        <v>0.95059848326468155</v>
      </c>
      <c r="I66" s="2">
        <f>I11*'Output-Calculation-sheet'!I55/10^9</f>
        <v>0.43956811157719272</v>
      </c>
      <c r="J66" s="2">
        <f>J11*'Output-Calculation-sheet'!J55/10^9</f>
        <v>0.44255994549988786</v>
      </c>
      <c r="K66" s="2">
        <f>K11*'Output-Calculation-sheet'!K55/10^9</f>
        <v>0.50392652259292436</v>
      </c>
      <c r="L66" s="2">
        <f>L11*'Output-Calculation-sheet'!L55/10^9</f>
        <v>0.48854012156793813</v>
      </c>
      <c r="M66" s="2">
        <f>M11*'Output-Calculation-sheet'!M55/10^9</f>
        <v>0.66648771666524054</v>
      </c>
      <c r="N66" s="2">
        <f>N11*'Output-Calculation-sheet'!N55/10^9</f>
        <v>0.63177159268170691</v>
      </c>
      <c r="O66" s="2">
        <f>O11*'Output-Calculation-sheet'!O55/10^9</f>
        <v>0.60099047696861363</v>
      </c>
      <c r="P66" s="2">
        <f>P11*'Output-Calculation-sheet'!P55/10^9</f>
        <v>0.52237809253315881</v>
      </c>
      <c r="Q66" s="2">
        <f>Q11*'Output-Calculation-sheet'!Q55/10^9</f>
        <v>0.52599568607945757</v>
      </c>
      <c r="R66" s="2">
        <f>R11*'Output-Calculation-sheet'!R55/10^9</f>
        <v>0.4011407298907001</v>
      </c>
      <c r="S66" s="2">
        <f>S11*'Output-Calculation-sheet'!S55/10^9</f>
        <v>0.36691663150730208</v>
      </c>
      <c r="T66" s="2">
        <f>T11*'Output-Calculation-sheet'!T55/10^9</f>
        <v>0.12569078203164208</v>
      </c>
      <c r="U66" s="2">
        <f>U11*'Output-Calculation-sheet'!U55/10^9</f>
        <v>0.13679573361194416</v>
      </c>
      <c r="V66" s="2">
        <f>V11*'Output-Calculation-sheet'!V55/10^9</f>
        <v>0.11878098181192166</v>
      </c>
      <c r="W66" s="2">
        <f>W11*'Output-Calculation-sheet'!W55/10^9</f>
        <v>5.8194804513142809E-2</v>
      </c>
      <c r="X66" s="2">
        <f>X11*'Output-Calculation-sheet'!X55/10^9</f>
        <v>7.624296785535091E-2</v>
      </c>
      <c r="Y66" s="2">
        <f>Y11*'Output-Calculation-sheet'!Y55/10^9</f>
        <v>5.5622212097110796E-2</v>
      </c>
      <c r="AA66" s="2">
        <f t="shared" si="4"/>
        <v>20.825526496415161</v>
      </c>
    </row>
    <row r="67" spans="1:27" x14ac:dyDescent="0.25">
      <c r="A67" s="2">
        <v>2035</v>
      </c>
      <c r="B67" s="2">
        <f>B12*'Output-Calculation-sheet'!B56/10^9</f>
        <v>6.0822018974305685</v>
      </c>
      <c r="C67" s="2">
        <f>C12*'Output-Calculation-sheet'!C56/10^9</f>
        <v>2.8450655326083241</v>
      </c>
      <c r="D67" s="2">
        <f>D12*'Output-Calculation-sheet'!D56/10^9</f>
        <v>1.3957477825275961</v>
      </c>
      <c r="E67" s="2">
        <f>E12*'Output-Calculation-sheet'!E56/10^9</f>
        <v>1.8751199047411995</v>
      </c>
      <c r="F67" s="2">
        <f>F12*'Output-Calculation-sheet'!F56/10^9</f>
        <v>0.74939476637690183</v>
      </c>
      <c r="G67" s="2">
        <f>G12*'Output-Calculation-sheet'!G56/10^9</f>
        <v>0.55212852041920879</v>
      </c>
      <c r="H67" s="2">
        <f>H12*'Output-Calculation-sheet'!H56/10^9</f>
        <v>0.89574695248574543</v>
      </c>
      <c r="I67" s="2">
        <f>I12*'Output-Calculation-sheet'!I56/10^9</f>
        <v>0.50593703329901607</v>
      </c>
      <c r="J67" s="2">
        <f>J12*'Output-Calculation-sheet'!J56/10^9</f>
        <v>0.46327060304950057</v>
      </c>
      <c r="K67" s="2">
        <f>K12*'Output-Calculation-sheet'!K56/10^9</f>
        <v>0.55489690505281908</v>
      </c>
      <c r="L67" s="2">
        <f>L12*'Output-Calculation-sheet'!L56/10^9</f>
        <v>0.5171647016510903</v>
      </c>
      <c r="M67" s="2">
        <f>M12*'Output-Calculation-sheet'!M56/10^9</f>
        <v>0.62119903423643441</v>
      </c>
      <c r="N67" s="2">
        <f>N12*'Output-Calculation-sheet'!N56/10^9</f>
        <v>0.60578970297143253</v>
      </c>
      <c r="O67" s="2">
        <f>O12*'Output-Calculation-sheet'!O56/10^9</f>
        <v>0.55252194958739431</v>
      </c>
      <c r="P67" s="2">
        <f>P12*'Output-Calculation-sheet'!P56/10^9</f>
        <v>0.53640422067354243</v>
      </c>
      <c r="Q67" s="2">
        <f>Q12*'Output-Calculation-sheet'!Q56/10^9</f>
        <v>0.5314211960509837</v>
      </c>
      <c r="R67" s="2">
        <f>R12*'Output-Calculation-sheet'!R56/10^9</f>
        <v>0.4272373771543963</v>
      </c>
      <c r="S67" s="2">
        <f>S12*'Output-Calculation-sheet'!S56/10^9</f>
        <v>0.34766871575827768</v>
      </c>
      <c r="T67" s="2">
        <f>T12*'Output-Calculation-sheet'!T56/10^9</f>
        <v>0.13295466016542576</v>
      </c>
      <c r="U67" s="2">
        <f>U12*'Output-Calculation-sheet'!U56/10^9</f>
        <v>0.1437307398681428</v>
      </c>
      <c r="V67" s="2">
        <f>V12*'Output-Calculation-sheet'!V56/10^9</f>
        <v>0.10253735931099567</v>
      </c>
      <c r="W67" s="2">
        <f>W12*'Output-Calculation-sheet'!W56/10^9</f>
        <v>6.9602167311481167E-2</v>
      </c>
      <c r="X67" s="2">
        <f>X12*'Output-Calculation-sheet'!X56/10^9</f>
        <v>6.6618975559288321E-2</v>
      </c>
      <c r="Y67" s="2">
        <f>Y12*'Output-Calculation-sheet'!Y56/10^9</f>
        <v>6.1941377358119873E-2</v>
      </c>
      <c r="AA67" s="2">
        <f t="shared" si="4"/>
        <v>20.63630207564788</v>
      </c>
    </row>
    <row r="68" spans="1:27" x14ac:dyDescent="0.25">
      <c r="B68" s="2">
        <f>SUM(B60:B67)</f>
        <v>33.43943167167437</v>
      </c>
      <c r="C68" s="2">
        <f t="shared" ref="C68:Y68" si="5">SUM(C60:C67)</f>
        <v>15.977451021592369</v>
      </c>
      <c r="D68" s="2">
        <f t="shared" si="5"/>
        <v>7.0286897292257304</v>
      </c>
      <c r="E68" s="2">
        <f t="shared" si="5"/>
        <v>8.7097718196524312</v>
      </c>
      <c r="F68" s="2">
        <f t="shared" si="5"/>
        <v>3.7471664992529803</v>
      </c>
      <c r="G68" s="2">
        <f t="shared" si="5"/>
        <v>2.7709833290159986</v>
      </c>
      <c r="H68" s="2">
        <f t="shared" si="5"/>
        <v>4.6762643529818098</v>
      </c>
      <c r="I68" s="2">
        <f t="shared" si="5"/>
        <v>2.3798521764857958</v>
      </c>
      <c r="J68" s="2">
        <f t="shared" si="5"/>
        <v>2.7998934691408324</v>
      </c>
      <c r="K68" s="2">
        <f t="shared" si="5"/>
        <v>2.4972943186895109</v>
      </c>
      <c r="L68" s="2">
        <f t="shared" si="5"/>
        <v>2.6067923406576217</v>
      </c>
      <c r="M68" s="2">
        <f t="shared" si="5"/>
        <v>3.3333376161157284</v>
      </c>
      <c r="N68" s="2">
        <f t="shared" si="5"/>
        <v>3.062880316273457</v>
      </c>
      <c r="O68" s="2">
        <f t="shared" si="5"/>
        <v>2.9765932898967291</v>
      </c>
      <c r="P68" s="2">
        <f t="shared" si="5"/>
        <v>2.5764308761343928</v>
      </c>
      <c r="Q68" s="2">
        <f t="shared" si="5"/>
        <v>2.507863443704176</v>
      </c>
      <c r="R68" s="2">
        <f t="shared" si="5"/>
        <v>2.0590459231825249</v>
      </c>
      <c r="S68" s="2">
        <f t="shared" si="5"/>
        <v>1.8189210650892411</v>
      </c>
      <c r="T68" s="2">
        <f t="shared" si="5"/>
        <v>0.71799193029264552</v>
      </c>
      <c r="U68" s="2">
        <f t="shared" si="5"/>
        <v>0.67448148437377042</v>
      </c>
      <c r="V68" s="2">
        <f t="shared" si="5"/>
        <v>0.78503771996197202</v>
      </c>
      <c r="W68" s="2">
        <f t="shared" si="5"/>
        <v>0.36680668767209362</v>
      </c>
      <c r="X68" s="2">
        <f t="shared" si="5"/>
        <v>0.39843603182062765</v>
      </c>
      <c r="Y68" s="2">
        <f t="shared" si="5"/>
        <v>0.27344689053644783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48.978920762800897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4.8978920762800894E-2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439.45963666674629</v>
      </c>
      <c r="Q76" s="2">
        <f>Q10/'Output-Calculation-sheet'!Q9*'Output-Calculation-sheet'!Q63</f>
        <v>52.123827599158865</v>
      </c>
      <c r="R76" s="2">
        <f>R10/'Output-Calculation-sheet'!R9*'Output-Calculation-sheet'!R63</f>
        <v>333.90262114730558</v>
      </c>
      <c r="S76" s="2">
        <f>S10/'Output-Calculation-sheet'!S9*'Output-Calculation-sheet'!S63</f>
        <v>0</v>
      </c>
      <c r="T76" s="2">
        <f>T10/'Output-Calculation-sheet'!T9*'Output-Calculation-sheet'!T63</f>
        <v>21.974862032349332</v>
      </c>
      <c r="U76" s="2">
        <f>U10/'Output-Calculation-sheet'!U9*'Output-Calculation-sheet'!U63</f>
        <v>118.8125655145068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5.6354659962798159</v>
      </c>
      <c r="AA76" s="2">
        <f t="shared" si="6"/>
        <v>1.0641654317640641</v>
      </c>
    </row>
    <row r="77" spans="1:27" x14ac:dyDescent="0.25">
      <c r="A77" s="2">
        <v>2034</v>
      </c>
      <c r="B77" s="2">
        <f>B11/'Output-Calculation-sheet'!B10*'Output-Calculation-sheet'!B64</f>
        <v>424.99580981300204</v>
      </c>
      <c r="C77" s="2">
        <f>C11/'Output-Calculation-sheet'!C10*'Output-Calculation-sheet'!C64</f>
        <v>0</v>
      </c>
      <c r="D77" s="2">
        <f>D11/'Output-Calculation-sheet'!D10*'Output-Calculation-sheet'!D64</f>
        <v>1430.5283993627679</v>
      </c>
      <c r="E77" s="2">
        <f>E11/'Output-Calculation-sheet'!E10*'Output-Calculation-sheet'!E64</f>
        <v>1791.0194376000263</v>
      </c>
      <c r="F77" s="2">
        <f>F11/'Output-Calculation-sheet'!F10*'Output-Calculation-sheet'!F64</f>
        <v>127.99263920819004</v>
      </c>
      <c r="G77" s="2">
        <f>G11/'Output-Calculation-sheet'!G10*'Output-Calculation-sheet'!G64</f>
        <v>755.38927669447196</v>
      </c>
      <c r="H77" s="2">
        <f>H11/'Output-Calculation-sheet'!H10*'Output-Calculation-sheet'!H64</f>
        <v>117.61813551137401</v>
      </c>
      <c r="I77" s="2">
        <f>I11/'Output-Calculation-sheet'!I10*'Output-Calculation-sheet'!I64</f>
        <v>446.89845162138823</v>
      </c>
      <c r="J77" s="2">
        <f>J11/'Output-Calculation-sheet'!J10*'Output-Calculation-sheet'!J64</f>
        <v>312.91536681982603</v>
      </c>
      <c r="K77" s="2">
        <f>K11/'Output-Calculation-sheet'!K10*'Output-Calculation-sheet'!K64</f>
        <v>682.62551210377262</v>
      </c>
      <c r="L77" s="2">
        <f>L11/'Output-Calculation-sheet'!L10*'Output-Calculation-sheet'!L64</f>
        <v>282.64087731648578</v>
      </c>
      <c r="M77" s="2">
        <f>M11/'Output-Calculation-sheet'!M10*'Output-Calculation-sheet'!M64</f>
        <v>84.710390117550276</v>
      </c>
      <c r="N77" s="2">
        <f>N11/'Output-Calculation-sheet'!N10*'Output-Calculation-sheet'!N64</f>
        <v>28.016112433487251</v>
      </c>
      <c r="O77" s="2">
        <f>O11/'Output-Calculation-sheet'!O10*'Output-Calculation-sheet'!O64</f>
        <v>0</v>
      </c>
      <c r="P77" s="2">
        <f>P11/'Output-Calculation-sheet'!P10*'Output-Calculation-sheet'!P64</f>
        <v>576.87553805895891</v>
      </c>
      <c r="Q77" s="2">
        <f>Q11/'Output-Calculation-sheet'!Q10*'Output-Calculation-sheet'!Q64</f>
        <v>139.25731295858728</v>
      </c>
      <c r="R77" s="2">
        <f>R11/'Output-Calculation-sheet'!R10*'Output-Calculation-sheet'!R64</f>
        <v>717.14347910398931</v>
      </c>
      <c r="S77" s="2">
        <f>S11/'Output-Calculation-sheet'!S10*'Output-Calculation-sheet'!S64</f>
        <v>0</v>
      </c>
      <c r="T77" s="2">
        <f>T11/'Output-Calculation-sheet'!T10*'Output-Calculation-sheet'!T64</f>
        <v>198.88471225289734</v>
      </c>
      <c r="U77" s="2">
        <f>U11/'Output-Calculation-sheet'!U10*'Output-Calculation-sheet'!U64</f>
        <v>263.64938622903003</v>
      </c>
      <c r="V77" s="2">
        <f>V11/'Output-Calculation-sheet'!V10*'Output-Calculation-sheet'!V64</f>
        <v>102.98348187782801</v>
      </c>
      <c r="W77" s="2">
        <f>W11/'Output-Calculation-sheet'!W10*'Output-Calculation-sheet'!W64</f>
        <v>22.735356285695431</v>
      </c>
      <c r="X77" s="2">
        <f>X11/'Output-Calculation-sheet'!X10*'Output-Calculation-sheet'!X64</f>
        <v>8.4446962346719783</v>
      </c>
      <c r="Y77" s="2">
        <f>Y11/'Output-Calculation-sheet'!Y10*'Output-Calculation-sheet'!Y64</f>
        <v>47.598716097796938</v>
      </c>
      <c r="AA77" s="2">
        <f t="shared" si="6"/>
        <v>8.5629230877017974</v>
      </c>
    </row>
    <row r="78" spans="1:27" x14ac:dyDescent="0.25">
      <c r="A78" s="2">
        <v>2035</v>
      </c>
      <c r="B78" s="2">
        <f>B12/'Output-Calculation-sheet'!B11*'Output-Calculation-sheet'!B65</f>
        <v>67.795168545296278</v>
      </c>
      <c r="C78" s="2">
        <f>C12/'Output-Calculation-sheet'!C11*'Output-Calculation-sheet'!C65</f>
        <v>49.485740507583706</v>
      </c>
      <c r="D78" s="2">
        <f>D12/'Output-Calculation-sheet'!D11*'Output-Calculation-sheet'!D65</f>
        <v>1426.3991071896396</v>
      </c>
      <c r="E78" s="2">
        <f>E12/'Output-Calculation-sheet'!E11*'Output-Calculation-sheet'!E65</f>
        <v>1275.0650055709248</v>
      </c>
      <c r="F78" s="2">
        <f>F12/'Output-Calculation-sheet'!F11*'Output-Calculation-sheet'!F65</f>
        <v>574.06736564469577</v>
      </c>
      <c r="G78" s="2">
        <f>G12/'Output-Calculation-sheet'!G11*'Output-Calculation-sheet'!G65</f>
        <v>1104.5134469005709</v>
      </c>
      <c r="H78" s="2">
        <f>H12/'Output-Calculation-sheet'!H11*'Output-Calculation-sheet'!H65</f>
        <v>19.40580858133545</v>
      </c>
      <c r="I78" s="2">
        <f>I12/'Output-Calculation-sheet'!I11*'Output-Calculation-sheet'!I65</f>
        <v>642.2393921175518</v>
      </c>
      <c r="J78" s="2">
        <f>J12/'Output-Calculation-sheet'!J11*'Output-Calculation-sheet'!J65</f>
        <v>577.07762641631734</v>
      </c>
      <c r="K78" s="2">
        <f>K12/'Output-Calculation-sheet'!K11*'Output-Calculation-sheet'!K65</f>
        <v>728.23071000163725</v>
      </c>
      <c r="L78" s="2">
        <f>L12/'Output-Calculation-sheet'!L11*'Output-Calculation-sheet'!L65</f>
        <v>431.65818966652114</v>
      </c>
      <c r="M78" s="2">
        <f>M12/'Output-Calculation-sheet'!M11*'Output-Calculation-sheet'!M65</f>
        <v>13.296906841041055</v>
      </c>
      <c r="N78" s="2">
        <f>N12/'Output-Calculation-sheet'!N11*'Output-Calculation-sheet'!N65</f>
        <v>11.381706304403721</v>
      </c>
      <c r="O78" s="2">
        <f>O12/'Output-Calculation-sheet'!O11*'Output-Calculation-sheet'!O65</f>
        <v>2.2662913530630684</v>
      </c>
      <c r="P78" s="2">
        <f>P12/'Output-Calculation-sheet'!P11*'Output-Calculation-sheet'!P65</f>
        <v>191.48849950853267</v>
      </c>
      <c r="Q78" s="2">
        <f>Q12/'Output-Calculation-sheet'!Q11*'Output-Calculation-sheet'!Q65</f>
        <v>182.33293508595261</v>
      </c>
      <c r="R78" s="2">
        <f>R12/'Output-Calculation-sheet'!R11*'Output-Calculation-sheet'!R65</f>
        <v>835.29152620526907</v>
      </c>
      <c r="S78" s="2">
        <f>S12/'Output-Calculation-sheet'!S11*'Output-Calculation-sheet'!S65</f>
        <v>5.0650550979182656</v>
      </c>
      <c r="T78" s="2">
        <f>T12/'Output-Calculation-sheet'!T11*'Output-Calculation-sheet'!T65</f>
        <v>299.63881887009285</v>
      </c>
      <c r="U78" s="2">
        <f>U12/'Output-Calculation-sheet'!U11*'Output-Calculation-sheet'!U65</f>
        <v>255.49597125767215</v>
      </c>
      <c r="V78" s="2">
        <f>V12/'Output-Calculation-sheet'!V11*'Output-Calculation-sheet'!V65</f>
        <v>161.2875917139383</v>
      </c>
      <c r="W78" s="2">
        <f>W12/'Output-Calculation-sheet'!W11*'Output-Calculation-sheet'!W65</f>
        <v>116.07481253308049</v>
      </c>
      <c r="X78" s="2">
        <f>X12/'Output-Calculation-sheet'!X11*'Output-Calculation-sheet'!X65</f>
        <v>1.6977219629997029</v>
      </c>
      <c r="Y78" s="2">
        <f>Y12/'Output-Calculation-sheet'!Y11*'Output-Calculation-sheet'!Y65</f>
        <v>33.988434527205783</v>
      </c>
      <c r="AA78" s="2">
        <f t="shared" si="6"/>
        <v>9.0052438324032469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17.193803841059161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90.360778633035153</v>
      </c>
      <c r="E89" s="2">
        <f>E12/'Output-Calculation-sheet'!E11*'Output-Calculation-sheet'!E74</f>
        <v>63.195264815347088</v>
      </c>
      <c r="F89" s="2">
        <f>F12/'Output-Calculation-sheet'!F11*'Output-Calculation-sheet'!F74</f>
        <v>37.938861459592367</v>
      </c>
      <c r="G89" s="2">
        <f>G12/'Output-Calculation-sheet'!G11*'Output-Calculation-sheet'!G74</f>
        <v>33.711032248440887</v>
      </c>
      <c r="H89" s="2">
        <f>H12/'Output-Calculation-sheet'!H11*'Output-Calculation-sheet'!H74</f>
        <v>5.0241575615107958</v>
      </c>
      <c r="I89" s="2">
        <f>I12/'Output-Calculation-sheet'!I11*'Output-Calculation-sheet'!I74</f>
        <v>31.487182276084543</v>
      </c>
      <c r="J89" s="2">
        <f>J12/'Output-Calculation-sheet'!J11*'Output-Calculation-sheet'!J74</f>
        <v>18.46629938232833</v>
      </c>
      <c r="K89" s="2">
        <f>K12/'Output-Calculation-sheet'!K11*'Output-Calculation-sheet'!K74</f>
        <v>36.67779335622722</v>
      </c>
      <c r="L89" s="2">
        <f>L12/'Output-Calculation-sheet'!L11*'Output-Calculation-sheet'!L74</f>
        <v>24.60754080433944</v>
      </c>
      <c r="M89" s="2">
        <f>M12/'Output-Calculation-sheet'!M11*'Output-Calculation-sheet'!M74</f>
        <v>4.3213866886711259</v>
      </c>
      <c r="N89" s="2">
        <f>N12/'Output-Calculation-sheet'!N11*'Output-Calculation-sheet'!N74</f>
        <v>3.3977778354813708</v>
      </c>
      <c r="O89" s="2">
        <f>O12/'Output-Calculation-sheet'!O11*'Output-Calculation-sheet'!O74</f>
        <v>1.5853734543987885</v>
      </c>
      <c r="P89" s="2">
        <f>P12/'Output-Calculation-sheet'!P11*'Output-Calculation-sheet'!P74</f>
        <v>3.9236873710849429</v>
      </c>
      <c r="Q89" s="2">
        <f>Q12/'Output-Calculation-sheet'!Q11*'Output-Calculation-sheet'!Q74</f>
        <v>40.189143660956688</v>
      </c>
      <c r="R89" s="2">
        <f>R12/'Output-Calculation-sheet'!R11*'Output-Calculation-sheet'!R74</f>
        <v>18.4514400841284</v>
      </c>
      <c r="S89" s="2">
        <f>S12/'Output-Calculation-sheet'!S11*'Output-Calculation-sheet'!S74</f>
        <v>1.460792664271755</v>
      </c>
      <c r="T89" s="2">
        <f>T12/'Output-Calculation-sheet'!T11*'Output-Calculation-sheet'!T74</f>
        <v>4.3688561596495283</v>
      </c>
      <c r="U89" s="2">
        <f>U12/'Output-Calculation-sheet'!U11*'Output-Calculation-sheet'!U74</f>
        <v>8.0735854020367395</v>
      </c>
      <c r="V89" s="2">
        <f>V12/'Output-Calculation-sheet'!V11*'Output-Calculation-sheet'!V74</f>
        <v>1.0986069961647171</v>
      </c>
      <c r="W89" s="2">
        <f>W12/'Output-Calculation-sheet'!W11*'Output-Calculation-sheet'!W74</f>
        <v>2.8539555703623734</v>
      </c>
      <c r="X89" s="2">
        <f>X12/'Output-Calculation-sheet'!X11*'Output-Calculation-sheet'!X74</f>
        <v>0.18962604300231242</v>
      </c>
      <c r="Y89" s="2">
        <f>Y12/'Output-Calculation-sheet'!Y11*'Output-Calculation-sheet'!Y74</f>
        <v>2.0129203457546776</v>
      </c>
      <c r="AA89" s="2">
        <f t="shared" si="7"/>
        <v>0.4546701552841711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11516943440.462141</v>
      </c>
      <c r="C96" s="2">
        <f>C8/'Output-Calculation-sheet'!C7*'Output-Calculation-sheet'!C79</f>
        <v>3896241841.9702835</v>
      </c>
      <c r="D96" s="2">
        <f>D8/'Output-Calculation-sheet'!D7*'Output-Calculation-sheet'!D79</f>
        <v>4067399203.3897028</v>
      </c>
      <c r="E96" s="2">
        <f>E8/'Output-Calculation-sheet'!E7*'Output-Calculation-sheet'!E79</f>
        <v>7231500679.8527422</v>
      </c>
      <c r="F96" s="2">
        <f>F8/'Output-Calculation-sheet'!F7*'Output-Calculation-sheet'!F79</f>
        <v>2993046193.2467251</v>
      </c>
      <c r="G96" s="2">
        <f>G8/'Output-Calculation-sheet'!G7*'Output-Calculation-sheet'!G79</f>
        <v>2331341961.5483146</v>
      </c>
      <c r="H96" s="2">
        <f>H8/'Output-Calculation-sheet'!H7*'Output-Calculation-sheet'!H79</f>
        <v>1995499905.3137624</v>
      </c>
      <c r="I96" s="2">
        <f>I8/'Output-Calculation-sheet'!I7*'Output-Calculation-sheet'!I79</f>
        <v>1624023503.4754567</v>
      </c>
      <c r="J96" s="2">
        <f>J8/'Output-Calculation-sheet'!J7*'Output-Calculation-sheet'!J79</f>
        <v>1098203550.723882</v>
      </c>
      <c r="K96" s="2">
        <f>K8/'Output-Calculation-sheet'!K7*'Output-Calculation-sheet'!K79</f>
        <v>1571204006.3606844</v>
      </c>
      <c r="L96" s="2">
        <f>L8/'Output-Calculation-sheet'!L7*'Output-Calculation-sheet'!L79</f>
        <v>1108642849.0787899</v>
      </c>
      <c r="M96" s="2">
        <f>M8/'Output-Calculation-sheet'!M7*'Output-Calculation-sheet'!M79</f>
        <v>1489600339.4552398</v>
      </c>
      <c r="N96" s="2">
        <f>N8/'Output-Calculation-sheet'!N7*'Output-Calculation-sheet'!N79</f>
        <v>1108379675.8393805</v>
      </c>
      <c r="O96" s="2">
        <f>O8/'Output-Calculation-sheet'!O7*'Output-Calculation-sheet'!O79</f>
        <v>560322910.49381936</v>
      </c>
      <c r="P96" s="2">
        <f>P8/'Output-Calculation-sheet'!P7*'Output-Calculation-sheet'!P79</f>
        <v>1874174776.7109206</v>
      </c>
      <c r="Q96" s="2">
        <f>Q8/'Output-Calculation-sheet'!Q7*'Output-Calculation-sheet'!Q79</f>
        <v>873444142.21583247</v>
      </c>
      <c r="R96" s="2">
        <f>R8/'Output-Calculation-sheet'!R7*'Output-Calculation-sheet'!R79</f>
        <v>1089727252.3738737</v>
      </c>
      <c r="S96" s="2">
        <f>S8/'Output-Calculation-sheet'!S7*'Output-Calculation-sheet'!S79</f>
        <v>634965117.3823278</v>
      </c>
      <c r="T96" s="2">
        <f>T8/'Output-Calculation-sheet'!T7*'Output-Calculation-sheet'!T79</f>
        <v>484964913.82888615</v>
      </c>
      <c r="U96" s="2">
        <f>U8/'Output-Calculation-sheet'!U7*'Output-Calculation-sheet'!U79</f>
        <v>304643085.06827968</v>
      </c>
      <c r="V96" s="2">
        <f>V8/'Output-Calculation-sheet'!V7*'Output-Calculation-sheet'!V79</f>
        <v>158064008.68932822</v>
      </c>
      <c r="W96" s="2">
        <f>W8/'Output-Calculation-sheet'!W7*'Output-Calculation-sheet'!W79</f>
        <v>467070174.16412807</v>
      </c>
      <c r="X96" s="2">
        <f>X8/'Output-Calculation-sheet'!X7*'Output-Calculation-sheet'!X79</f>
        <v>164161038.70758951</v>
      </c>
      <c r="Y96" s="2">
        <f>Y8/'Output-Calculation-sheet'!Y7*'Output-Calculation-sheet'!Y79</f>
        <v>256745625.75134635</v>
      </c>
      <c r="AA96" s="2">
        <f t="shared" si="8"/>
        <v>48.90031019610344</v>
      </c>
    </row>
    <row r="97" spans="1:27" x14ac:dyDescent="0.25">
      <c r="A97" s="2">
        <v>2032</v>
      </c>
      <c r="B97" s="2">
        <f>B9/'Output-Calculation-sheet'!B8*'Output-Calculation-sheet'!B80</f>
        <v>15178248534.739922</v>
      </c>
      <c r="C97" s="2">
        <f>C9/'Output-Calculation-sheet'!C8*'Output-Calculation-sheet'!C80</f>
        <v>5169802435.3677788</v>
      </c>
      <c r="D97" s="2">
        <f>D9/'Output-Calculation-sheet'!D8*'Output-Calculation-sheet'!D80</f>
        <v>5151179016.7769337</v>
      </c>
      <c r="E97" s="2">
        <f>E9/'Output-Calculation-sheet'!E8*'Output-Calculation-sheet'!E80</f>
        <v>9420749808.0663948</v>
      </c>
      <c r="F97" s="2">
        <f>F9/'Output-Calculation-sheet'!F8*'Output-Calculation-sheet'!F80</f>
        <v>3891711125.3036318</v>
      </c>
      <c r="G97" s="2">
        <f>G9/'Output-Calculation-sheet'!G8*'Output-Calculation-sheet'!G80</f>
        <v>2945818318.9636254</v>
      </c>
      <c r="H97" s="2">
        <f>H9/'Output-Calculation-sheet'!H8*'Output-Calculation-sheet'!H80</f>
        <v>2591727553.615952</v>
      </c>
      <c r="I97" s="2">
        <f>I9/'Output-Calculation-sheet'!I8*'Output-Calculation-sheet'!I80</f>
        <v>2131929472.5361793</v>
      </c>
      <c r="J97" s="2">
        <f>J9/'Output-Calculation-sheet'!J8*'Output-Calculation-sheet'!J80</f>
        <v>1401542951.8848193</v>
      </c>
      <c r="K97" s="2">
        <f>K9/'Output-Calculation-sheet'!K8*'Output-Calculation-sheet'!K80</f>
        <v>2020620927.7624335</v>
      </c>
      <c r="L97" s="2">
        <f>L9/'Output-Calculation-sheet'!L8*'Output-Calculation-sheet'!L80</f>
        <v>1470681586.9274824</v>
      </c>
      <c r="M97" s="2">
        <f>M9/'Output-Calculation-sheet'!M8*'Output-Calculation-sheet'!M80</f>
        <v>1940403226.3673117</v>
      </c>
      <c r="N97" s="2">
        <f>N9/'Output-Calculation-sheet'!N8*'Output-Calculation-sheet'!N80</f>
        <v>1417721280.8633168</v>
      </c>
      <c r="O97" s="2">
        <f>O9/'Output-Calculation-sheet'!O8*'Output-Calculation-sheet'!O80</f>
        <v>733435176.66024482</v>
      </c>
      <c r="P97" s="2">
        <f>P9/'Output-Calculation-sheet'!P8*'Output-Calculation-sheet'!P80</f>
        <v>2399677552.786305</v>
      </c>
      <c r="Q97" s="2">
        <f>Q9/'Output-Calculation-sheet'!Q8*'Output-Calculation-sheet'!Q80</f>
        <v>1122475216.4849367</v>
      </c>
      <c r="R97" s="2">
        <f>R9/'Output-Calculation-sheet'!R8*'Output-Calculation-sheet'!R80</f>
        <v>1418247241.7913814</v>
      </c>
      <c r="S97" s="2">
        <f>S9/'Output-Calculation-sheet'!S8*'Output-Calculation-sheet'!S80</f>
        <v>823144762.11607766</v>
      </c>
      <c r="T97" s="2">
        <f>T9/'Output-Calculation-sheet'!T8*'Output-Calculation-sheet'!T80</f>
        <v>619854087.3005079</v>
      </c>
      <c r="U97" s="2">
        <f>U9/'Output-Calculation-sheet'!U8*'Output-Calculation-sheet'!U80</f>
        <v>396268867.00171214</v>
      </c>
      <c r="V97" s="2">
        <f>V9/'Output-Calculation-sheet'!V8*'Output-Calculation-sheet'!V80</f>
        <v>207778852.64463541</v>
      </c>
      <c r="W97" s="2">
        <f>W9/'Output-Calculation-sheet'!W8*'Output-Calculation-sheet'!W80</f>
        <v>601736544.0676713</v>
      </c>
      <c r="X97" s="2">
        <f>X9/'Output-Calculation-sheet'!X8*'Output-Calculation-sheet'!X80</f>
        <v>216080342.23302451</v>
      </c>
      <c r="Y97" s="2">
        <f>Y9/'Output-Calculation-sheet'!Y8*'Output-Calculation-sheet'!Y80</f>
        <v>330751800.3313247</v>
      </c>
      <c r="AA97" s="2">
        <f t="shared" si="8"/>
        <v>63.60158668259362</v>
      </c>
    </row>
    <row r="98" spans="1:27" x14ac:dyDescent="0.25">
      <c r="A98" s="2">
        <v>2033</v>
      </c>
      <c r="B98" s="2">
        <f>B10/'Output-Calculation-sheet'!B9*'Output-Calculation-sheet'!B81</f>
        <v>18330234270.956509</v>
      </c>
      <c r="C98" s="2">
        <f>C10/'Output-Calculation-sheet'!C9*'Output-Calculation-sheet'!C81</f>
        <v>6284525355.4185619</v>
      </c>
      <c r="D98" s="2">
        <f>D10/'Output-Calculation-sheet'!D9*'Output-Calculation-sheet'!D81</f>
        <v>5980925826.9665699</v>
      </c>
      <c r="E98" s="2">
        <f>E10/'Output-Calculation-sheet'!E9*'Output-Calculation-sheet'!E81</f>
        <v>11250509423.425838</v>
      </c>
      <c r="F98" s="2">
        <f>F10/'Output-Calculation-sheet'!F9*'Output-Calculation-sheet'!F81</f>
        <v>4639982426.2923794</v>
      </c>
      <c r="G98" s="2">
        <f>G10/'Output-Calculation-sheet'!G9*'Output-Calculation-sheet'!G81</f>
        <v>3406821957.2821012</v>
      </c>
      <c r="H98" s="2">
        <f>H10/'Output-Calculation-sheet'!H9*'Output-Calculation-sheet'!H81</f>
        <v>3086614865.7732606</v>
      </c>
      <c r="I98" s="2">
        <f>I10/'Output-Calculation-sheet'!I9*'Output-Calculation-sheet'!I81</f>
        <v>2565877814.6172309</v>
      </c>
      <c r="J98" s="2">
        <f>J10/'Output-Calculation-sheet'!J9*'Output-Calculation-sheet'!J81</f>
        <v>1640681985.5540733</v>
      </c>
      <c r="K98" s="2">
        <f>K10/'Output-Calculation-sheet'!K9*'Output-Calculation-sheet'!K81</f>
        <v>2383159332.4743633</v>
      </c>
      <c r="L98" s="2">
        <f>L10/'Output-Calculation-sheet'!L9*'Output-Calculation-sheet'!L81</f>
        <v>1787409428.8823996</v>
      </c>
      <c r="M98" s="2">
        <f>M10/'Output-Calculation-sheet'!M9*'Output-Calculation-sheet'!M81</f>
        <v>2317915291.3598771</v>
      </c>
      <c r="N98" s="2">
        <f>N10/'Output-Calculation-sheet'!N9*'Output-Calculation-sheet'!N81</f>
        <v>1662920275.5750563</v>
      </c>
      <c r="O98" s="2">
        <f>O10/'Output-Calculation-sheet'!O9*'Output-Calculation-sheet'!O81</f>
        <v>880608943.23351312</v>
      </c>
      <c r="P98" s="2">
        <f>P10/'Output-Calculation-sheet'!P9*'Output-Calculation-sheet'!P81</f>
        <v>2814188045.7096648</v>
      </c>
      <c r="Q98" s="2">
        <f>Q10/'Output-Calculation-sheet'!Q9*'Output-Calculation-sheet'!Q81</f>
        <v>1323157495.4039545</v>
      </c>
      <c r="R98" s="2">
        <f>R10/'Output-Calculation-sheet'!R9*'Output-Calculation-sheet'!R81</f>
        <v>1692523321.3250122</v>
      </c>
      <c r="S98" s="2">
        <f>S10/'Output-Calculation-sheet'!S9*'Output-Calculation-sheet'!S81</f>
        <v>978576909.19036126</v>
      </c>
      <c r="T98" s="2">
        <f>T10/'Output-Calculation-sheet'!T9*'Output-Calculation-sheet'!T81</f>
        <v>726141144.36828637</v>
      </c>
      <c r="U98" s="2">
        <f>U10/'Output-Calculation-sheet'!U9*'Output-Calculation-sheet'!U81</f>
        <v>472475252.12634689</v>
      </c>
      <c r="V98" s="2">
        <f>V10/'Output-Calculation-sheet'!V9*'Output-Calculation-sheet'!V81</f>
        <v>250229907.67020011</v>
      </c>
      <c r="W98" s="2">
        <f>W10/'Output-Calculation-sheet'!W9*'Output-Calculation-sheet'!W81</f>
        <v>709493461.97931051</v>
      </c>
      <c r="X98" s="2">
        <f>X10/'Output-Calculation-sheet'!X9*'Output-Calculation-sheet'!X81</f>
        <v>260715891.41074258</v>
      </c>
      <c r="Y98" s="2">
        <f>Y10/'Output-Calculation-sheet'!Y9*'Output-Calculation-sheet'!Y81</f>
        <v>390121713.77762413</v>
      </c>
      <c r="AA98" s="2">
        <f t="shared" si="8"/>
        <v>75.835810340773236</v>
      </c>
    </row>
    <row r="99" spans="1:27" x14ac:dyDescent="0.25">
      <c r="A99" s="2">
        <v>2034</v>
      </c>
      <c r="B99" s="2">
        <f>B11/'Output-Calculation-sheet'!B10*'Output-Calculation-sheet'!B82</f>
        <v>20561150919.593937</v>
      </c>
      <c r="C99" s="2">
        <f>C11/'Output-Calculation-sheet'!C10*'Output-Calculation-sheet'!C82</f>
        <v>7094455013.4101229</v>
      </c>
      <c r="D99" s="2">
        <f>D11/'Output-Calculation-sheet'!D10*'Output-Calculation-sheet'!D82</f>
        <v>6453926519.0837917</v>
      </c>
      <c r="E99" s="2">
        <f>E11/'Output-Calculation-sheet'!E10*'Output-Calculation-sheet'!E82</f>
        <v>12484569527.353413</v>
      </c>
      <c r="F99" s="2">
        <f>F11/'Output-Calculation-sheet'!F10*'Output-Calculation-sheet'!F82</f>
        <v>5141754612.6295424</v>
      </c>
      <c r="G99" s="2">
        <f>G11/'Output-Calculation-sheet'!G10*'Output-Calculation-sheet'!G82</f>
        <v>3655427269.7606854</v>
      </c>
      <c r="H99" s="2">
        <f>H11/'Output-Calculation-sheet'!H10*'Output-Calculation-sheet'!H82</f>
        <v>3416665743.1549554</v>
      </c>
      <c r="I99" s="2">
        <f>I11/'Output-Calculation-sheet'!I10*'Output-Calculation-sheet'!I82</f>
        <v>2869751371.5333805</v>
      </c>
      <c r="J99" s="2">
        <f>J11/'Output-Calculation-sheet'!J10*'Output-Calculation-sheet'!J82</f>
        <v>1785839881.8400652</v>
      </c>
      <c r="K99" s="2">
        <f>K11/'Output-Calculation-sheet'!K10*'Output-Calculation-sheet'!K82</f>
        <v>2612921147.8442898</v>
      </c>
      <c r="L99" s="2">
        <f>L11/'Output-Calculation-sheet'!L10*'Output-Calculation-sheet'!L82</f>
        <v>2017369988.9768734</v>
      </c>
      <c r="M99" s="2">
        <f>M11/'Output-Calculation-sheet'!M10*'Output-Calculation-sheet'!M82</f>
        <v>2573708970.1001844</v>
      </c>
      <c r="N99" s="2">
        <f>N11/'Output-Calculation-sheet'!N10*'Output-Calculation-sheet'!N82</f>
        <v>1813177029.6316779</v>
      </c>
      <c r="O99" s="2">
        <f>O11/'Output-Calculation-sheet'!O10*'Output-Calculation-sheet'!O82</f>
        <v>983013156.44783914</v>
      </c>
      <c r="P99" s="2">
        <f>P11/'Output-Calculation-sheet'!P10*'Output-Calculation-sheet'!P82</f>
        <v>3064293503.4504004</v>
      </c>
      <c r="Q99" s="2">
        <f>Q11/'Output-Calculation-sheet'!Q10*'Output-Calculation-sheet'!Q82</f>
        <v>1450213222.5181167</v>
      </c>
      <c r="R99" s="2">
        <f>R11/'Output-Calculation-sheet'!R10*'Output-Calculation-sheet'!R82</f>
        <v>1877297734.9285097</v>
      </c>
      <c r="S99" s="2">
        <f>S11/'Output-Calculation-sheet'!S10*'Output-Calculation-sheet'!S82</f>
        <v>1081373357.9458568</v>
      </c>
      <c r="T99" s="2">
        <f>T11/'Output-Calculation-sheet'!T10*'Output-Calculation-sheet'!T82</f>
        <v>790354633.38193822</v>
      </c>
      <c r="U99" s="2">
        <f>U11/'Output-Calculation-sheet'!U10*'Output-Calculation-sheet'!U82</f>
        <v>523389759.20564502</v>
      </c>
      <c r="V99" s="2">
        <f>V11/'Output-Calculation-sheet'!V10*'Output-Calculation-sheet'!V82</f>
        <v>279848549.42297906</v>
      </c>
      <c r="W99" s="2">
        <f>W11/'Output-Calculation-sheet'!W10*'Output-Calculation-sheet'!W82</f>
        <v>776036151.12477136</v>
      </c>
      <c r="X99" s="2">
        <f>X11/'Output-Calculation-sheet'!X10*'Output-Calculation-sheet'!X82</f>
        <v>292275133.69882309</v>
      </c>
      <c r="Y99" s="2">
        <f>Y11/'Output-Calculation-sheet'!Y10*'Output-Calculation-sheet'!Y82</f>
        <v>427064005.98816139</v>
      </c>
      <c r="AA99" s="2">
        <f t="shared" si="8"/>
        <v>84.025877203025971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1680.3778130304868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517.27240770157755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355.93375720267528</v>
      </c>
      <c r="N107" s="2">
        <f>N8/'Output-Calculation-sheet'!N7*'Output-Calculation-sheet'!N88</f>
        <v>139.93006391829709</v>
      </c>
      <c r="O107" s="2">
        <f>O8/'Output-Calculation-sheet'!O7*'Output-Calculation-sheet'!O88</f>
        <v>391.74087221090809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39.04667344757128</v>
      </c>
      <c r="Y107" s="2">
        <f>Y8/'Output-Calculation-sheet'!Y7*'Output-Calculation-sheet'!Y88</f>
        <v>0</v>
      </c>
      <c r="AA107" s="2">
        <f t="shared" si="9"/>
        <v>3.1243015875115163</v>
      </c>
    </row>
    <row r="108" spans="1:27" x14ac:dyDescent="0.25">
      <c r="A108" s="2">
        <v>2032</v>
      </c>
      <c r="B108" s="2">
        <f>B9/'Output-Calculation-sheet'!B8*'Output-Calculation-sheet'!B89</f>
        <v>746.97489483007212</v>
      </c>
      <c r="C108" s="2">
        <f>C9/'Output-Calculation-sheet'!C8*'Output-Calculation-sheet'!C89</f>
        <v>2836.2525929705071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763.95070008011601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525.67242897286394</v>
      </c>
      <c r="N108" s="2">
        <f>N9/'Output-Calculation-sheet'!N8*'Output-Calculation-sheet'!N89</f>
        <v>369.03624770536811</v>
      </c>
      <c r="O108" s="2">
        <f>O9/'Output-Calculation-sheet'!O8*'Output-Calculation-sheet'!O89</f>
        <v>551.00508546593858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169.23545355444625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57.667358768691557</v>
      </c>
      <c r="Y108" s="2">
        <f>Y9/'Output-Calculation-sheet'!Y8*'Output-Calculation-sheet'!Y89</f>
        <v>0</v>
      </c>
      <c r="AA108" s="2">
        <f t="shared" si="9"/>
        <v>6.0197947623480035</v>
      </c>
    </row>
    <row r="109" spans="1:27" x14ac:dyDescent="0.25">
      <c r="A109" s="2">
        <v>2033</v>
      </c>
      <c r="B109" s="2">
        <f>B10/'Output-Calculation-sheet'!B9*'Output-Calculation-sheet'!B90</f>
        <v>3760.3926643258183</v>
      </c>
      <c r="C109" s="2">
        <f>C10/'Output-Calculation-sheet'!C9*'Output-Calculation-sheet'!C90</f>
        <v>3569.5387885852679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1098.8147482295847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756.09148290914129</v>
      </c>
      <c r="N109" s="2">
        <f>N10/'Output-Calculation-sheet'!N9*'Output-Calculation-sheet'!N90</f>
        <v>594.49224688914092</v>
      </c>
      <c r="O109" s="2">
        <f>O10/'Output-Calculation-sheet'!O9*'Output-Calculation-sheet'!O90</f>
        <v>693.46222200134662</v>
      </c>
      <c r="P109" s="2">
        <f>P10/'Output-Calculation-sheet'!P9*'Output-Calculation-sheet'!P90</f>
        <v>0</v>
      </c>
      <c r="Q109" s="2">
        <f>Q10/'Output-Calculation-sheet'!Q9*'Output-Calculation-sheet'!Q90</f>
        <v>130.21655717134621</v>
      </c>
      <c r="R109" s="2">
        <f>R10/'Output-Calculation-sheet'!R9*'Output-Calculation-sheet'!R90</f>
        <v>0</v>
      </c>
      <c r="S109" s="2">
        <f>S10/'Output-Calculation-sheet'!S9*'Output-Calculation-sheet'!S90</f>
        <v>298.1855439494621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82.944808218435725</v>
      </c>
      <c r="Y109" s="2">
        <f>Y10/'Output-Calculation-sheet'!Y9*'Output-Calculation-sheet'!Y90</f>
        <v>0</v>
      </c>
      <c r="AA109" s="2">
        <f t="shared" si="9"/>
        <v>10.984139062279546</v>
      </c>
    </row>
    <row r="110" spans="1:27" x14ac:dyDescent="0.25">
      <c r="A110" s="2">
        <v>2034</v>
      </c>
      <c r="B110" s="2">
        <f>B11/'Output-Calculation-sheet'!B10*'Output-Calculation-sheet'!B91</f>
        <v>6510.0704272763733</v>
      </c>
      <c r="C110" s="2">
        <f>C11/'Output-Calculation-sheet'!C10*'Output-Calculation-sheet'!C91</f>
        <v>4463.0879265394815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1268.1940488763721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872.64092566687987</v>
      </c>
      <c r="N110" s="2">
        <f>N11/'Output-Calculation-sheet'!N10*'Output-Calculation-sheet'!N91</f>
        <v>786.19246699015014</v>
      </c>
      <c r="O110" s="2">
        <f>O11/'Output-Calculation-sheet'!O10*'Output-Calculation-sheet'!O91</f>
        <v>867.0539960015675</v>
      </c>
      <c r="P110" s="2">
        <f>P11/'Output-Calculation-sheet'!P10*'Output-Calculation-sheet'!P91</f>
        <v>198.0828392716644</v>
      </c>
      <c r="Q110" s="2">
        <f>Q11/'Output-Calculation-sheet'!Q10*'Output-Calculation-sheet'!Q91</f>
        <v>438.34316398328923</v>
      </c>
      <c r="R110" s="2">
        <f>R11/'Output-Calculation-sheet'!R10*'Output-Calculation-sheet'!R91</f>
        <v>0</v>
      </c>
      <c r="S110" s="2">
        <f>S11/'Output-Calculation-sheet'!S10*'Output-Calculation-sheet'!S91</f>
        <v>450.67266277862035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95.730524492226721</v>
      </c>
      <c r="Y110" s="2">
        <f>Y11/'Output-Calculation-sheet'!Y10*'Output-Calculation-sheet'!Y91</f>
        <v>15.396964548177154</v>
      </c>
      <c r="AA110" s="2">
        <f t="shared" si="9"/>
        <v>15.965465946424803</v>
      </c>
    </row>
    <row r="111" spans="1:27" x14ac:dyDescent="0.25">
      <c r="A111" s="2">
        <v>2035</v>
      </c>
      <c r="B111" s="2">
        <f>B12/'Output-Calculation-sheet'!B11*'Output-Calculation-sheet'!B92</f>
        <v>9929.4217182116663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1769.4674148297186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725.09742617649749</v>
      </c>
      <c r="Q111" s="2">
        <f>Q12/'Output-Calculation-sheet'!Q11*'Output-Calculation-sheet'!Q92</f>
        <v>515.76067698227757</v>
      </c>
      <c r="R111" s="2">
        <f>R12/'Output-Calculation-sheet'!R11*'Output-Calculation-sheet'!R92</f>
        <v>0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70.452212101413707</v>
      </c>
      <c r="AA111" s="2">
        <f t="shared" si="9"/>
        <v>22.740474372690194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1347538965.3049378</v>
      </c>
      <c r="C118" s="2">
        <f>C8/'Output-Calculation-sheet'!C7*'Output-Calculation-sheet'!C97</f>
        <v>7899425546.7324457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2430491067.5087109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1688185489.8828995</v>
      </c>
      <c r="N118" s="2">
        <f>N8/'Output-Calculation-sheet'!N7*'Output-Calculation-sheet'!N97</f>
        <v>1324744265.5811007</v>
      </c>
      <c r="O118" s="2">
        <f>O8/'Output-Calculation-sheet'!O7*'Output-Calculation-sheet'!O97</f>
        <v>881500059.02319396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479237024.52874607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181954354.24782017</v>
      </c>
      <c r="Y118" s="2">
        <f>Y8/'Output-Calculation-sheet'!Y7*'Output-Calculation-sheet'!Y97</f>
        <v>0</v>
      </c>
      <c r="AA118" s="2">
        <f t="shared" si="10"/>
        <v>16233.076772809854</v>
      </c>
    </row>
    <row r="119" spans="1:27" x14ac:dyDescent="0.25">
      <c r="A119" s="2">
        <v>2032</v>
      </c>
      <c r="B119" s="2">
        <f>B9/'Output-Calculation-sheet'!B8*'Output-Calculation-sheet'!B98</f>
        <v>5603844464.9058418</v>
      </c>
      <c r="C119" s="2">
        <f>C9/'Output-Calculation-sheet'!C8*'Output-Calculation-sheet'!C98</f>
        <v>4454048769.847806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2662640320.6408286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1858532915.1937385</v>
      </c>
      <c r="N119" s="2">
        <f>N9/'Output-Calculation-sheet'!N8*'Output-Calculation-sheet'!N98</f>
        <v>1254439515.628587</v>
      </c>
      <c r="O119" s="2">
        <f>O9/'Output-Calculation-sheet'!O8*'Output-Calculation-sheet'!O98</f>
        <v>870238826.61838102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521600591.40015876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198869684.84228605</v>
      </c>
      <c r="Y119" s="2">
        <f>Y9/'Output-Calculation-sheet'!Y8*'Output-Calculation-sheet'!Y98</f>
        <v>0</v>
      </c>
      <c r="AA119" s="2">
        <f t="shared" si="10"/>
        <v>17424.215089077628</v>
      </c>
    </row>
    <row r="120" spans="1:27" x14ac:dyDescent="0.25">
      <c r="A120" s="2">
        <v>2033</v>
      </c>
      <c r="B120" s="2">
        <f>B10/'Output-Calculation-sheet'!B9*'Output-Calculation-sheet'!B99</f>
        <v>5409825907.7461443</v>
      </c>
      <c r="C120" s="2">
        <f>C10/'Output-Calculation-sheet'!C9*'Output-Calculation-sheet'!C99</f>
        <v>4447212813.7344189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1458135733.093502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1032080585.1628306</v>
      </c>
      <c r="N120" s="2">
        <f>N10/'Output-Calculation-sheet'!N9*'Output-Calculation-sheet'!N99</f>
        <v>1028874992.57146</v>
      </c>
      <c r="O120" s="2">
        <f>O10/'Output-Calculation-sheet'!O9*'Output-Calculation-sheet'!O99</f>
        <v>870668477.49122477</v>
      </c>
      <c r="P120" s="2">
        <f>P10/'Output-Calculation-sheet'!P9*'Output-Calculation-sheet'!P99</f>
        <v>0</v>
      </c>
      <c r="Q120" s="2">
        <f>Q10/'Output-Calculation-sheet'!Q9*'Output-Calculation-sheet'!Q99</f>
        <v>6166563.973863638</v>
      </c>
      <c r="R120" s="2">
        <f>R10/'Output-Calculation-sheet'!R9*'Output-Calculation-sheet'!R99</f>
        <v>0</v>
      </c>
      <c r="S120" s="2">
        <f>S10/'Output-Calculation-sheet'!S9*'Output-Calculation-sheet'!S99</f>
        <v>430886132.6960029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103057825.46199882</v>
      </c>
      <c r="Y120" s="2">
        <f>Y10/'Output-Calculation-sheet'!Y9*'Output-Calculation-sheet'!Y99</f>
        <v>0</v>
      </c>
      <c r="AA120" s="2">
        <f t="shared" si="10"/>
        <v>14786.909031931445</v>
      </c>
    </row>
    <row r="121" spans="1:27" x14ac:dyDescent="0.25">
      <c r="A121" s="2">
        <v>2034</v>
      </c>
      <c r="B121" s="2">
        <f>B11/'Output-Calculation-sheet'!B10*'Output-Calculation-sheet'!B100</f>
        <v>4887270507.8578253</v>
      </c>
      <c r="C121" s="2">
        <f>C11/'Output-Calculation-sheet'!C10*'Output-Calculation-sheet'!C100</f>
        <v>585909813.53939176</v>
      </c>
      <c r="D121" s="2">
        <f>D11/'Output-Calculation-sheet'!D10*'Output-Calculation-sheet'!D100</f>
        <v>0</v>
      </c>
      <c r="E121" s="2">
        <f>E11/'Output-Calculation-sheet'!E10*'Output-Calculation-sheet'!E100</f>
        <v>691466370.97728682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1542755315.4493427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563594703.14982593</v>
      </c>
      <c r="M121" s="2">
        <f>M11/'Output-Calculation-sheet'!M10*'Output-Calculation-sheet'!M100</f>
        <v>1097973056.6393511</v>
      </c>
      <c r="N121" s="2">
        <f>N11/'Output-Calculation-sheet'!N10*'Output-Calculation-sheet'!N100</f>
        <v>731994103.34753501</v>
      </c>
      <c r="O121" s="2">
        <f>O11/'Output-Calculation-sheet'!O10*'Output-Calculation-sheet'!O100</f>
        <v>114928137.098179</v>
      </c>
      <c r="P121" s="2">
        <f>P11/'Output-Calculation-sheet'!P10*'Output-Calculation-sheet'!P100</f>
        <v>0</v>
      </c>
      <c r="Q121" s="2">
        <f>Q11/'Output-Calculation-sheet'!Q10*'Output-Calculation-sheet'!Q100</f>
        <v>247700484.01860896</v>
      </c>
      <c r="R121" s="2">
        <f>R11/'Output-Calculation-sheet'!R10*'Output-Calculation-sheet'!R100</f>
        <v>0</v>
      </c>
      <c r="S121" s="2">
        <f>S11/'Output-Calculation-sheet'!S10*'Output-Calculation-sheet'!S100</f>
        <v>273687176.34077245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107883535.29740764</v>
      </c>
      <c r="Y121" s="2">
        <f>Y11/'Output-Calculation-sheet'!Y10*'Output-Calculation-sheet'!Y100</f>
        <v>15650264.611052524</v>
      </c>
      <c r="AA121" s="2">
        <f t="shared" si="10"/>
        <v>10860.813468326578</v>
      </c>
    </row>
    <row r="122" spans="1:27" x14ac:dyDescent="0.25">
      <c r="A122" s="2">
        <v>2035</v>
      </c>
      <c r="B122" s="2">
        <f>B12/'Output-Calculation-sheet'!B11*'Output-Calculation-sheet'!B101</f>
        <v>1175757870.2318041</v>
      </c>
      <c r="C122" s="2">
        <f>C12/'Output-Calculation-sheet'!C11*'Output-Calculation-sheet'!C101</f>
        <v>220968520.40543011</v>
      </c>
      <c r="D122" s="2">
        <f>D12/'Output-Calculation-sheet'!D11*'Output-Calculation-sheet'!D101</f>
        <v>0</v>
      </c>
      <c r="E122" s="2">
        <f>E12/'Output-Calculation-sheet'!E11*'Output-Calculation-sheet'!E101</f>
        <v>1827719086.4292831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358430559.86270535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785937784.99571693</v>
      </c>
      <c r="M122" s="2">
        <f>M12/'Output-Calculation-sheet'!M11*'Output-Calculation-sheet'!M101</f>
        <v>300534985.79485458</v>
      </c>
      <c r="N122" s="2">
        <f>N12/'Output-Calculation-sheet'!N11*'Output-Calculation-sheet'!N101</f>
        <v>209599570.78179818</v>
      </c>
      <c r="O122" s="2">
        <f>O12/'Output-Calculation-sheet'!O11*'Output-Calculation-sheet'!O101</f>
        <v>24214954.508150734</v>
      </c>
      <c r="P122" s="2">
        <f>P12/'Output-Calculation-sheet'!P11*'Output-Calculation-sheet'!P101</f>
        <v>32684818.033121072</v>
      </c>
      <c r="Q122" s="2">
        <f>Q12/'Output-Calculation-sheet'!Q11*'Output-Calculation-sheet'!Q101</f>
        <v>459086616.41065741</v>
      </c>
      <c r="R122" s="2">
        <f>R12/'Output-Calculation-sheet'!R11*'Output-Calculation-sheet'!R101</f>
        <v>0</v>
      </c>
      <c r="S122" s="2">
        <f>S12/'Output-Calculation-sheet'!S11*'Output-Calculation-sheet'!S101</f>
        <v>124520790.90167533</v>
      </c>
      <c r="T122" s="2">
        <f>T12/'Output-Calculation-sheet'!T11*'Output-Calculation-sheet'!T101</f>
        <v>0</v>
      </c>
      <c r="U122" s="2">
        <f>U12/'Output-Calculation-sheet'!U11*'Output-Calculation-sheet'!U101</f>
        <v>43026843.633147411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10893352.479332341</v>
      </c>
      <c r="Y122" s="2">
        <f>Y12/'Output-Calculation-sheet'!Y11*'Output-Calculation-sheet'!Y101</f>
        <v>64956070.341899589</v>
      </c>
      <c r="AA122" s="2">
        <f t="shared" si="10"/>
        <v>5638.3318248095757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45756058146.037415</v>
      </c>
      <c r="C129" s="2">
        <f>C8/'Output-Calculation-sheet'!C7*'Output-Calculation-sheet'!C106</f>
        <v>0</v>
      </c>
      <c r="D129" s="2">
        <f>D8/'Output-Calculation-sheet'!D7*'Output-Calculation-sheet'!D106</f>
        <v>19783991738.622147</v>
      </c>
      <c r="E129" s="2">
        <f>E8/'Output-Calculation-sheet'!E7*'Output-Calculation-sheet'!E106</f>
        <v>15696608202.558275</v>
      </c>
      <c r="F129" s="2">
        <f>F8/'Output-Calculation-sheet'!F7*'Output-Calculation-sheet'!F106</f>
        <v>10104466375.252199</v>
      </c>
      <c r="G129" s="2">
        <f>G8/'Output-Calculation-sheet'!G7*'Output-Calculation-sheet'!G106</f>
        <v>7099691795.2011757</v>
      </c>
      <c r="H129" s="2">
        <f>H8/'Output-Calculation-sheet'!H7*'Output-Calculation-sheet'!H106</f>
        <v>0</v>
      </c>
      <c r="I129" s="2">
        <f>I8/'Output-Calculation-sheet'!I7*'Output-Calculation-sheet'!I106</f>
        <v>6468363059.2410936</v>
      </c>
      <c r="J129" s="2">
        <f>J8/'Output-Calculation-sheet'!J7*'Output-Calculation-sheet'!J106</f>
        <v>6295839172.0158968</v>
      </c>
      <c r="K129" s="2">
        <f>K8/'Output-Calculation-sheet'!K7*'Output-Calculation-sheet'!K106</f>
        <v>6235490766.6243563</v>
      </c>
      <c r="L129" s="2">
        <f>L8/'Output-Calculation-sheet'!L7*'Output-Calculation-sheet'!L106</f>
        <v>5002203608.9130688</v>
      </c>
      <c r="M129" s="2">
        <f>M8/'Output-Calculation-sheet'!M7*'Output-Calculation-sheet'!M106</f>
        <v>0</v>
      </c>
      <c r="N129" s="2">
        <f>N8/'Output-Calculation-sheet'!N7*'Output-Calculation-sheet'!N106</f>
        <v>2198300395.5196691</v>
      </c>
      <c r="O129" s="2">
        <f>O8/'Output-Calculation-sheet'!O7*'Output-Calculation-sheet'!O106</f>
        <v>0</v>
      </c>
      <c r="P129" s="2">
        <f>P8/'Output-Calculation-sheet'!P7*'Output-Calculation-sheet'!P106</f>
        <v>4269144672.9258242</v>
      </c>
      <c r="Q129" s="2">
        <f>Q8/'Output-Calculation-sheet'!Q7*'Output-Calculation-sheet'!Q106</f>
        <v>4200140575.9513068</v>
      </c>
      <c r="R129" s="2">
        <f>R8/'Output-Calculation-sheet'!R7*'Output-Calculation-sheet'!R106</f>
        <v>4040736624.9443212</v>
      </c>
      <c r="S129" s="2">
        <f>S8/'Output-Calculation-sheet'!S7*'Output-Calculation-sheet'!S106</f>
        <v>2206437451.1318073</v>
      </c>
      <c r="T129" s="2">
        <f>T8/'Output-Calculation-sheet'!T7*'Output-Calculation-sheet'!T106</f>
        <v>1485329858.4002571</v>
      </c>
      <c r="U129" s="2">
        <f>U8/'Output-Calculation-sheet'!U7*'Output-Calculation-sheet'!U106</f>
        <v>1293673845.7623544</v>
      </c>
      <c r="V129" s="2">
        <f>V8/'Output-Calculation-sheet'!V7*'Output-Calculation-sheet'!V106</f>
        <v>996150424.97379947</v>
      </c>
      <c r="W129" s="2">
        <f>W8/'Output-Calculation-sheet'!W7*'Output-Calculation-sheet'!W106</f>
        <v>862452282.54339838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143995.07899661837</v>
      </c>
    </row>
    <row r="130" spans="1:27" x14ac:dyDescent="0.25">
      <c r="A130" s="2">
        <v>2032</v>
      </c>
      <c r="B130" s="2">
        <f>B9/'Output-Calculation-sheet'!B8*'Output-Calculation-sheet'!B107</f>
        <v>50711582355.544632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0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1845571362.5601289</v>
      </c>
      <c r="O130" s="2">
        <f>O9/'Output-Calculation-sheet'!O8*'Output-Calculation-sheet'!O107</f>
        <v>0</v>
      </c>
      <c r="P130" s="2">
        <f>P9/'Output-Calculation-sheet'!P8*'Output-Calculation-sheet'!P107</f>
        <v>5629443808.3393755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1638559639.9444802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177929.81172706129</v>
      </c>
    </row>
    <row r="131" spans="1:27" x14ac:dyDescent="0.25">
      <c r="A131" s="2">
        <v>2033</v>
      </c>
      <c r="B131" s="2">
        <f>B10/'Output-Calculation-sheet'!B9*'Output-Calculation-sheet'!B108</f>
        <v>40355655020.714066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1478740593.962939</v>
      </c>
      <c r="O131" s="2">
        <f>O10/'Output-Calculation-sheet'!O9*'Output-Calculation-sheet'!O108</f>
        <v>0</v>
      </c>
      <c r="P131" s="2">
        <f>P10/'Output-Calculation-sheet'!P9*'Output-Calculation-sheet'!P108</f>
        <v>6801141301.770298</v>
      </c>
      <c r="Q131" s="2">
        <f>Q10/'Output-Calculation-sheet'!Q9*'Output-Calculation-sheet'!Q108</f>
        <v>5737453968.7234344</v>
      </c>
      <c r="R131" s="2">
        <f>R10/'Output-Calculation-sheet'!R9*'Output-Calculation-sheet'!R108</f>
        <v>6437340294.4713106</v>
      </c>
      <c r="S131" s="2">
        <f>S10/'Output-Calculation-sheet'!S9*'Output-Calculation-sheet'!S108</f>
        <v>1434299574.1736352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191809.71802598474</v>
      </c>
    </row>
    <row r="132" spans="1:27" x14ac:dyDescent="0.25">
      <c r="A132" s="2">
        <v>2034</v>
      </c>
      <c r="B132" s="2">
        <f>B11/'Output-Calculation-sheet'!B10*'Output-Calculation-sheet'!B109</f>
        <v>28362629560.013329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27373897202.97641</v>
      </c>
      <c r="F132" s="2">
        <f>F11/'Output-Calculation-sheet'!F10*'Output-Calculation-sheet'!F109</f>
        <v>18063811317.460094</v>
      </c>
      <c r="G132" s="2">
        <f>G11/'Output-Calculation-sheet'!G10*'Output-Calculation-sheet'!G109</f>
        <v>12692485117.711926</v>
      </c>
      <c r="H132" s="2">
        <f>H11/'Output-Calculation-sheet'!H10*'Output-Calculation-sheet'!H109</f>
        <v>0</v>
      </c>
      <c r="I132" s="2">
        <f>I11/'Output-Calculation-sheet'!I10*'Output-Calculation-sheet'!I109</f>
        <v>11563048554.400679</v>
      </c>
      <c r="J132" s="2">
        <f>J11/'Output-Calculation-sheet'!J10*'Output-Calculation-sheet'!J109</f>
        <v>11254750416.839151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8378557945.7809935</v>
      </c>
      <c r="M132" s="2">
        <f>M11/'Output-Calculation-sheet'!M10*'Output-Calculation-sheet'!M109</f>
        <v>0</v>
      </c>
      <c r="N132" s="2">
        <f>N11/'Output-Calculation-sheet'!N10*'Output-Calculation-sheet'!N109</f>
        <v>1101790729.4652233</v>
      </c>
      <c r="O132" s="2">
        <f>O11/'Output-Calculation-sheet'!O10*'Output-Calculation-sheet'!O109</f>
        <v>0</v>
      </c>
      <c r="P132" s="2">
        <f>P11/'Output-Calculation-sheet'!P10*'Output-Calculation-sheet'!P109</f>
        <v>6260074567.1096258</v>
      </c>
      <c r="Q132" s="2">
        <f>Q11/'Output-Calculation-sheet'!Q10*'Output-Calculation-sheet'!Q109</f>
        <v>4032157741.4628553</v>
      </c>
      <c r="R132" s="2">
        <f>R11/'Output-Calculation-sheet'!R10*'Output-Calculation-sheet'!R109</f>
        <v>7222947934.6331081</v>
      </c>
      <c r="S132" s="2">
        <f>S11/'Output-Calculation-sheet'!S10*'Output-Calculation-sheet'!S109</f>
        <v>756170199.225281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2313937864.8713264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191868.92892819224</v>
      </c>
    </row>
    <row r="133" spans="1:27" x14ac:dyDescent="0.25">
      <c r="A133" s="2">
        <v>2035</v>
      </c>
      <c r="B133" s="2">
        <f>B12/'Output-Calculation-sheet'!B11*'Output-Calculation-sheet'!B110</f>
        <v>403945467.51755714</v>
      </c>
      <c r="C133" s="2">
        <f>C12/'Output-Calculation-sheet'!C11*'Output-Calculation-sheet'!C110</f>
        <v>0</v>
      </c>
      <c r="D133" s="2">
        <f>D12/'Output-Calculation-sheet'!D11*'Output-Calculation-sheet'!D110</f>
        <v>33466444477.406048</v>
      </c>
      <c r="E133" s="2">
        <f>E12/'Output-Calculation-sheet'!E11*'Output-Calculation-sheet'!E110</f>
        <v>16273995762.543552</v>
      </c>
      <c r="F133" s="2">
        <f>F12/'Output-Calculation-sheet'!F11*'Output-Calculation-sheet'!F110</f>
        <v>18046623929.777561</v>
      </c>
      <c r="G133" s="2">
        <f>G12/'Output-Calculation-sheet'!G11*'Output-Calculation-sheet'!G110</f>
        <v>12508999740.205677</v>
      </c>
      <c r="H133" s="2">
        <f>H12/'Output-Calculation-sheet'!H11*'Output-Calculation-sheet'!H110</f>
        <v>0</v>
      </c>
      <c r="I133" s="2">
        <f>I12/'Output-Calculation-sheet'!I11*'Output-Calculation-sheet'!I110</f>
        <v>11291715229.957378</v>
      </c>
      <c r="J133" s="2">
        <f>J12/'Output-Calculation-sheet'!J11*'Output-Calculation-sheet'!J110</f>
        <v>10874772544.372946</v>
      </c>
      <c r="K133" s="2">
        <f>K12/'Output-Calculation-sheet'!K11*'Output-Calculation-sheet'!K110</f>
        <v>10758226044.773712</v>
      </c>
      <c r="L133" s="2">
        <f>L12/'Output-Calculation-sheet'!L11*'Output-Calculation-sheet'!L110</f>
        <v>7912664112.483366</v>
      </c>
      <c r="M133" s="2">
        <f>M12/'Output-Calculation-sheet'!M11*'Output-Calculation-sheet'!M110</f>
        <v>0</v>
      </c>
      <c r="N133" s="2">
        <f>N12/'Output-Calculation-sheet'!N11*'Output-Calculation-sheet'!N110</f>
        <v>1034188.1083050191</v>
      </c>
      <c r="O133" s="2">
        <f>O12/'Output-Calculation-sheet'!O11*'Output-Calculation-sheet'!O110</f>
        <v>0</v>
      </c>
      <c r="P133" s="2">
        <f>P12/'Output-Calculation-sheet'!P11*'Output-Calculation-sheet'!P110</f>
        <v>2451936565.0526814</v>
      </c>
      <c r="Q133" s="2">
        <f>Q12/'Output-Calculation-sheet'!Q11*'Output-Calculation-sheet'!Q110</f>
        <v>3256970624.1577945</v>
      </c>
      <c r="R133" s="2">
        <f>R12/'Output-Calculation-sheet'!R11*'Output-Calculation-sheet'!R110</f>
        <v>7155929750.6270971</v>
      </c>
      <c r="S133" s="2">
        <f>S12/'Output-Calculation-sheet'!S11*'Output-Calculation-sheet'!S110</f>
        <v>11847739.426340546</v>
      </c>
      <c r="T133" s="2">
        <f>T12/'Output-Calculation-sheet'!T11*'Output-Calculation-sheet'!T110</f>
        <v>2688611829.1264682</v>
      </c>
      <c r="U133" s="2">
        <f>U12/'Output-Calculation-sheet'!U11*'Output-Calculation-sheet'!U110</f>
        <v>2181441695.3281345</v>
      </c>
      <c r="V133" s="2">
        <f>V12/'Output-Calculation-sheet'!V11*'Output-Calculation-sheet'!V110</f>
        <v>1808094535.2333665</v>
      </c>
      <c r="W133" s="2">
        <f>W12/'Output-Calculation-sheet'!W11*'Output-Calculation-sheet'!W110</f>
        <v>1588479959.8462484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142681.73419594424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14298199507.927832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4494993768.4451685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3089791608.5315142</v>
      </c>
      <c r="N140" s="2">
        <f>N8/'Output-Calculation-sheet'!N7*'Output-Calculation-sheet'!N115</f>
        <v>1166518800.1238756</v>
      </c>
      <c r="O140" s="2">
        <f>O8/'Output-Calculation-sheet'!O7*'Output-Calculation-sheet'!O115</f>
        <v>3431498262.1776724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335514271.8243596</v>
      </c>
      <c r="Y140" s="2">
        <f>Y8/'Output-Calculation-sheet'!Y7*'Output-Calculation-sheet'!Y115</f>
        <v>0</v>
      </c>
      <c r="AA140" s="2">
        <f t="shared" si="12"/>
        <v>26816.516219030422</v>
      </c>
    </row>
    <row r="141" spans="1:27" x14ac:dyDescent="0.25">
      <c r="A141" s="2">
        <v>2032</v>
      </c>
      <c r="B141" s="2">
        <f>B9/'Output-Calculation-sheet'!B8*'Output-Calculation-sheet'!B116</f>
        <v>5797504012.0227671</v>
      </c>
      <c r="C141" s="2">
        <f>C9/'Output-Calculation-sheet'!C8*'Output-Calculation-sheet'!C116</f>
        <v>24816745153.570038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6469617844.0274525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4441924222.632515</v>
      </c>
      <c r="N141" s="2">
        <f>N9/'Output-Calculation-sheet'!N8*'Output-Calculation-sheet'!N116</f>
        <v>3083859551.5034294</v>
      </c>
      <c r="O141" s="2">
        <f>O9/'Output-Calculation-sheet'!O8*'Output-Calculation-sheet'!O116</f>
        <v>4817076088.7635574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1381291529.9250159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483487843.45620131</v>
      </c>
      <c r="Y141" s="2">
        <f>Y9/'Output-Calculation-sheet'!Y8*'Output-Calculation-sheet'!Y116</f>
        <v>0</v>
      </c>
      <c r="AA141" s="2">
        <f t="shared" si="12"/>
        <v>51291.506245900971</v>
      </c>
    </row>
    <row r="142" spans="1:27" x14ac:dyDescent="0.25">
      <c r="A142" s="2">
        <v>2033</v>
      </c>
      <c r="B142" s="2">
        <f>B10/'Output-Calculation-sheet'!B9*'Output-Calculation-sheet'!B117</f>
        <v>29279296337.271442</v>
      </c>
      <c r="C142" s="2">
        <f>C10/'Output-Calculation-sheet'!C9*'Output-Calculation-sheet'!C117</f>
        <v>30917727104.859074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9575448452.5577068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6580124740.7055645</v>
      </c>
      <c r="N142" s="2">
        <f>N10/'Output-Calculation-sheet'!N9*'Output-Calculation-sheet'!N117</f>
        <v>4963729421.842761</v>
      </c>
      <c r="O142" s="2">
        <f>O10/'Output-Calculation-sheet'!O9*'Output-Calculation-sheet'!O117</f>
        <v>6000738446.8448296</v>
      </c>
      <c r="P142" s="2">
        <f>P10/'Output-Calculation-sheet'!P9*'Output-Calculation-sheet'!P117</f>
        <v>0</v>
      </c>
      <c r="Q142" s="2">
        <f>Q10/'Output-Calculation-sheet'!Q9*'Output-Calculation-sheet'!Q117</f>
        <v>947936794.79060137</v>
      </c>
      <c r="R142" s="2">
        <f>R10/'Output-Calculation-sheet'!R9*'Output-Calculation-sheet'!R117</f>
        <v>0</v>
      </c>
      <c r="S142" s="2">
        <f>S10/'Output-Calculation-sheet'!S9*'Output-Calculation-sheet'!S117</f>
        <v>2413592349.9574485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721365826.49028814</v>
      </c>
      <c r="Y142" s="2">
        <f>Y10/'Output-Calculation-sheet'!Y9*'Output-Calculation-sheet'!Y117</f>
        <v>0</v>
      </c>
      <c r="AA142" s="2">
        <f t="shared" si="12"/>
        <v>91399.959475319716</v>
      </c>
    </row>
    <row r="143" spans="1:27" x14ac:dyDescent="0.25">
      <c r="A143" s="2">
        <v>2034</v>
      </c>
      <c r="B143" s="2">
        <f>B11/'Output-Calculation-sheet'!B10*'Output-Calculation-sheet'!B118</f>
        <v>50956528833.932014</v>
      </c>
      <c r="C143" s="2">
        <f>C11/'Output-Calculation-sheet'!C10*'Output-Calculation-sheet'!C118</f>
        <v>39096650236.485855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10837785956.057718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7443511877.1149664</v>
      </c>
      <c r="N143" s="2">
        <f>N11/'Output-Calculation-sheet'!N10*'Output-Calculation-sheet'!N118</f>
        <v>6549693329.4107695</v>
      </c>
      <c r="O143" s="2">
        <f>O11/'Output-Calculation-sheet'!O10*'Output-Calculation-sheet'!O118</f>
        <v>7595393004.973732</v>
      </c>
      <c r="P143" s="2">
        <f>P11/'Output-Calculation-sheet'!P10*'Output-Calculation-sheet'!P118</f>
        <v>1371325781.2747951</v>
      </c>
      <c r="Q143" s="2">
        <f>Q11/'Output-Calculation-sheet'!Q10*'Output-Calculation-sheet'!Q118</f>
        <v>3228582011.0824246</v>
      </c>
      <c r="R143" s="2">
        <f>R11/'Output-Calculation-sheet'!R10*'Output-Calculation-sheet'!R118</f>
        <v>0</v>
      </c>
      <c r="S143" s="2">
        <f>S11/'Output-Calculation-sheet'!S10*'Output-Calculation-sheet'!S118</f>
        <v>3771306525.9671097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817184351.89763844</v>
      </c>
      <c r="Y143" s="2">
        <f>Y11/'Output-Calculation-sheet'!Y10*'Output-Calculation-sheet'!Y118</f>
        <v>95761940.904892042</v>
      </c>
      <c r="AA143" s="2">
        <f t="shared" si="12"/>
        <v>131763.72384910195</v>
      </c>
    </row>
    <row r="144" spans="1:27" x14ac:dyDescent="0.25">
      <c r="A144" s="2">
        <v>2035</v>
      </c>
      <c r="B144" s="2">
        <f>B12/'Output-Calculation-sheet'!B11*'Output-Calculation-sheet'!B119</f>
        <v>86177064231.772614</v>
      </c>
      <c r="C144" s="2">
        <f>C12/'Output-Calculation-sheet'!C11*'Output-Calculation-sheet'!C119</f>
        <v>41237437041.54805</v>
      </c>
      <c r="D144" s="2">
        <f>D12/'Output-Calculation-sheet'!D11*'Output-Calculation-sheet'!D119</f>
        <v>0</v>
      </c>
      <c r="E144" s="2">
        <f>E12/'Output-Calculation-sheet'!E11*'Output-Calculation-sheet'!E119</f>
        <v>10864282891.019285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12528636203.830679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8584036225.1924963</v>
      </c>
      <c r="N144" s="2">
        <f>N12/'Output-Calculation-sheet'!N11*'Output-Calculation-sheet'!N119</f>
        <v>8499456311.0107622</v>
      </c>
      <c r="O144" s="2">
        <f>O12/'Output-Calculation-sheet'!O11*'Output-Calculation-sheet'!O119</f>
        <v>8017946976.9491529</v>
      </c>
      <c r="P144" s="2">
        <f>P12/'Output-Calculation-sheet'!P11*'Output-Calculation-sheet'!P119</f>
        <v>5451922795.7738686</v>
      </c>
      <c r="Q144" s="2">
        <f>Q12/'Output-Calculation-sheet'!Q11*'Output-Calculation-sheet'!Q119</f>
        <v>3736351939.4494939</v>
      </c>
      <c r="R144" s="2">
        <f>R12/'Output-Calculation-sheet'!R11*'Output-Calculation-sheet'!R119</f>
        <v>0</v>
      </c>
      <c r="S144" s="2">
        <f>S12/'Output-Calculation-sheet'!S11*'Output-Calculation-sheet'!S119</f>
        <v>4855355389.3767271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955174822.50909805</v>
      </c>
      <c r="Y144" s="2">
        <f>Y12/'Output-Calculation-sheet'!Y11*'Output-Calculation-sheet'!Y119</f>
        <v>455790037.21181989</v>
      </c>
      <c r="AA144" s="2">
        <f t="shared" si="12"/>
        <v>191363.45486564407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47103598030.93882</v>
      </c>
      <c r="C151" s="2">
        <f>C8/'Output-Calculation-sheet'!C7*'Output-Calculation-sheet'!C124</f>
        <v>22197625054.660275</v>
      </c>
      <c r="D151" s="2">
        <f>D8/'Output-Calculation-sheet'!D7*'Output-Calculation-sheet'!D124</f>
        <v>19783991738.622147</v>
      </c>
      <c r="E151" s="2">
        <f>E8/'Output-Calculation-sheet'!E7*'Output-Calculation-sheet'!E124</f>
        <v>15696608202.558275</v>
      </c>
      <c r="F151" s="2">
        <f>F8/'Output-Calculation-sheet'!F7*'Output-Calculation-sheet'!F124</f>
        <v>10104466375.252199</v>
      </c>
      <c r="G151" s="2">
        <f>G8/'Output-Calculation-sheet'!G7*'Output-Calculation-sheet'!G124</f>
        <v>7099691795.2011757</v>
      </c>
      <c r="H151" s="2">
        <f>H8/'Output-Calculation-sheet'!H7*'Output-Calculation-sheet'!H124</f>
        <v>6925484835.9538794</v>
      </c>
      <c r="I151" s="2">
        <f>I8/'Output-Calculation-sheet'!I7*'Output-Calculation-sheet'!I124</f>
        <v>6468363059.2410936</v>
      </c>
      <c r="J151" s="2">
        <f>J8/'Output-Calculation-sheet'!J7*'Output-Calculation-sheet'!J124</f>
        <v>6295839172.0158968</v>
      </c>
      <c r="K151" s="2">
        <f>K8/'Output-Calculation-sheet'!K7*'Output-Calculation-sheet'!K124</f>
        <v>6235490766.6243563</v>
      </c>
      <c r="L151" s="2">
        <f>L8/'Output-Calculation-sheet'!L7*'Output-Calculation-sheet'!L124</f>
        <v>5002203608.9130688</v>
      </c>
      <c r="M151" s="2">
        <f>M8/'Output-Calculation-sheet'!M7*'Output-Calculation-sheet'!M124</f>
        <v>4777977098.4144144</v>
      </c>
      <c r="N151" s="2">
        <f>N8/'Output-Calculation-sheet'!N7*'Output-Calculation-sheet'!N124</f>
        <v>4689562552.5878668</v>
      </c>
      <c r="O151" s="2">
        <f>O8/'Output-Calculation-sheet'!O7*'Output-Calculation-sheet'!O124</f>
        <v>4312998321.2008667</v>
      </c>
      <c r="P151" s="2">
        <f>P8/'Output-Calculation-sheet'!P7*'Output-Calculation-sheet'!P124</f>
        <v>4269144672.9258242</v>
      </c>
      <c r="Q151" s="2">
        <f>Q8/'Output-Calculation-sheet'!Q7*'Output-Calculation-sheet'!Q124</f>
        <v>4200140575.9513068</v>
      </c>
      <c r="R151" s="2">
        <f>R8/'Output-Calculation-sheet'!R7*'Output-Calculation-sheet'!R124</f>
        <v>4040736624.9443212</v>
      </c>
      <c r="S151" s="2">
        <f>S8/'Output-Calculation-sheet'!S7*'Output-Calculation-sheet'!S124</f>
        <v>2685674215.229569</v>
      </c>
      <c r="T151" s="2">
        <f>T8/'Output-Calculation-sheet'!T7*'Output-Calculation-sheet'!T124</f>
        <v>1485329858.4002571</v>
      </c>
      <c r="U151" s="2">
        <f>U8/'Output-Calculation-sheet'!U7*'Output-Calculation-sheet'!U124</f>
        <v>1293673845.7623544</v>
      </c>
      <c r="V151" s="2">
        <f>V8/'Output-Calculation-sheet'!V7*'Output-Calculation-sheet'!V124</f>
        <v>996150424.97379947</v>
      </c>
      <c r="W151" s="2">
        <f>W8/'Output-Calculation-sheet'!W7*'Output-Calculation-sheet'!W124</f>
        <v>862452282.54339838</v>
      </c>
      <c r="X151" s="2">
        <f>X8/'Output-Calculation-sheet'!X7*'Output-Calculation-sheet'!X124</f>
        <v>517468626.07217973</v>
      </c>
      <c r="Y151" s="2">
        <f>Y8/'Output-Calculation-sheet'!Y7*'Output-Calculation-sheet'!Y124</f>
        <v>503233366.87779719</v>
      </c>
      <c r="AA151" s="2">
        <f t="shared" si="13"/>
        <v>187547.90510586512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17562476630.309074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3412388806.1109591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148385.49854531072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2290468794.658627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99599.547310303402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1768664046.6926928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1072652559.6036792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685880694.18272591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330384662.459705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47896.90279853245</v>
      </c>
    </row>
    <row r="155" spans="1:27" x14ac:dyDescent="0.25">
      <c r="A155" s="2">
        <v>2035</v>
      </c>
      <c r="B155" s="2">
        <f>B12/'Output-Calculation-sheet'!B11*'Output-Calculation-sheet'!B128</f>
        <v>449556760.50202286</v>
      </c>
      <c r="C155" s="2">
        <f>C12/'Output-Calculation-sheet'!C11*'Output-Calculation-sheet'!C128</f>
        <v>57776682.9898054</v>
      </c>
      <c r="D155" s="2">
        <f>D12/'Output-Calculation-sheet'!D11*'Output-Calculation-sheet'!D128</f>
        <v>4505330591.7448072</v>
      </c>
      <c r="E155" s="2">
        <f>E12/'Output-Calculation-sheet'!E11*'Output-Calculation-sheet'!E128</f>
        <v>839189741.8160497</v>
      </c>
      <c r="F155" s="2">
        <f>F12/'Output-Calculation-sheet'!F11*'Output-Calculation-sheet'!F128</f>
        <v>1299095990.2945402</v>
      </c>
      <c r="G155" s="2">
        <f>G12/'Output-Calculation-sheet'!G11*'Output-Calculation-sheet'!G128</f>
        <v>1160351233.7965412</v>
      </c>
      <c r="H155" s="2">
        <f>H12/'Output-Calculation-sheet'!H11*'Output-Calculation-sheet'!H128</f>
        <v>93003976.757454589</v>
      </c>
      <c r="I155" s="2">
        <f>I12/'Output-Calculation-sheet'!I11*'Output-Calculation-sheet'!I128</f>
        <v>1157082461.080421</v>
      </c>
      <c r="J155" s="2">
        <f>J12/'Output-Calculation-sheet'!J11*'Output-Calculation-sheet'!J128</f>
        <v>1107909868.4607275</v>
      </c>
      <c r="K155" s="2">
        <f>K12/'Output-Calculation-sheet'!K11*'Output-Calculation-sheet'!K128</f>
        <v>1258091866.9982042</v>
      </c>
      <c r="L155" s="2">
        <f>L12/'Output-Calculation-sheet'!L11*'Output-Calculation-sheet'!L128</f>
        <v>909787082.1687572</v>
      </c>
      <c r="M155" s="2">
        <f>M12/'Output-Calculation-sheet'!M11*'Output-Calculation-sheet'!M128</f>
        <v>77566445.156780928</v>
      </c>
      <c r="N155" s="2">
        <f>N12/'Output-Calculation-sheet'!N11*'Output-Calculation-sheet'!N128</f>
        <v>78504968.83878538</v>
      </c>
      <c r="O155" s="2">
        <f>O12/'Output-Calculation-sheet'!O11*'Output-Calculation-sheet'!O128</f>
        <v>25998285.618933029</v>
      </c>
      <c r="P155" s="2">
        <f>P12/'Output-Calculation-sheet'!P11*'Output-Calculation-sheet'!P128</f>
        <v>87752326.369345695</v>
      </c>
      <c r="Q155" s="2">
        <f>Q12/'Output-Calculation-sheet'!Q11*'Output-Calculation-sheet'!Q128</f>
        <v>522997178.84447342</v>
      </c>
      <c r="R155" s="2">
        <f>R12/'Output-Calculation-sheet'!R11*'Output-Calculation-sheet'!R128</f>
        <v>584786140.34918261</v>
      </c>
      <c r="S155" s="2">
        <f>S12/'Output-Calculation-sheet'!S11*'Output-Calculation-sheet'!S128</f>
        <v>40996211.215481676</v>
      </c>
      <c r="T155" s="2">
        <f>T12/'Output-Calculation-sheet'!T11*'Output-Calculation-sheet'!T128</f>
        <v>137528561.0118064</v>
      </c>
      <c r="U155" s="2">
        <f>U12/'Output-Calculation-sheet'!U11*'Output-Calculation-sheet'!U128</f>
        <v>270660301.76824474</v>
      </c>
      <c r="V155" s="2">
        <f>V12/'Output-Calculation-sheet'!V11*'Output-Calculation-sheet'!V128</f>
        <v>67538732.721119463</v>
      </c>
      <c r="W155" s="2">
        <f>W12/'Output-Calculation-sheet'!W11*'Output-Calculation-sheet'!W128</f>
        <v>62681172.506929211</v>
      </c>
      <c r="X155" s="2">
        <f>X12/'Output-Calculation-sheet'!X11*'Output-Calculation-sheet'!X128</f>
        <v>2385190.3230398567</v>
      </c>
      <c r="Y155" s="2">
        <f>Y12/'Output-Calculation-sheet'!Y11*'Output-Calculation-sheet'!Y128</f>
        <v>18547450.649852749</v>
      </c>
      <c r="AA155" s="2">
        <f t="shared" si="13"/>
        <v>14815.119221983305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1064.1262224923735</v>
      </c>
      <c r="C19" s="2">
        <f>C8/'Output-Calculation-sheet'!C7*'Output-Calculation-sheet'!C25</f>
        <v>5006.6781210898826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1516.5830067455383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1053.4787691646818</v>
      </c>
      <c r="N19" s="2">
        <f>N8/'Output-Calculation-sheet'!N7*'Output-Calculation-sheet'!N25</f>
        <v>876.36984548880605</v>
      </c>
      <c r="O19" s="2">
        <f>O8/'Output-Calculation-sheet'!O7*'Output-Calculation-sheet'!O25</f>
        <v>550.01680588917873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405.29592878787639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114.01570767437123</v>
      </c>
      <c r="Y19" s="2">
        <f>Y8/'Output-Calculation-sheet'!Y7*'Output-Calculation-sheet'!Y25</f>
        <v>0</v>
      </c>
      <c r="AA19" s="2">
        <f t="shared" si="0"/>
        <v>10.586564407332709</v>
      </c>
    </row>
    <row r="20" spans="1:27" x14ac:dyDescent="0.25">
      <c r="A20" s="2">
        <v>2032</v>
      </c>
      <c r="B20" s="2">
        <f>B9/'Output-Calculation-sheet'!B8*'Output-Calculation-sheet'!B26</f>
        <v>5272.5976585277222</v>
      </c>
      <c r="C20" s="2">
        <f>C9/'Output-Calculation-sheet'!C8*'Output-Calculation-sheet'!C26</f>
        <v>2891.3638326319947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1735.6999853424995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1212.9191285697975</v>
      </c>
      <c r="N20" s="2">
        <f>N9/'Output-Calculation-sheet'!N8*'Output-Calculation-sheet'!N26</f>
        <v>840.58600796341864</v>
      </c>
      <c r="O20" s="2">
        <f>O9/'Output-Calculation-sheet'!O8*'Output-Calculation-sheet'!O26</f>
        <v>564.91890983347082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398.7346721802698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131.98331578795342</v>
      </c>
      <c r="Y20" s="2">
        <f>Y9/'Output-Calculation-sheet'!Y8*'Output-Calculation-sheet'!Y26</f>
        <v>0</v>
      </c>
      <c r="AA20" s="2">
        <f t="shared" si="0"/>
        <v>13.048803510837127</v>
      </c>
    </row>
    <row r="21" spans="1:27" x14ac:dyDescent="0.25">
      <c r="A21" s="2">
        <v>2033</v>
      </c>
      <c r="B21" s="2">
        <f>B10/'Output-Calculation-sheet'!B9*'Output-Calculation-sheet'!B27</f>
        <v>5011.1095167515477</v>
      </c>
      <c r="C21" s="2">
        <f>C10/'Output-Calculation-sheet'!C9*'Output-Calculation-sheet'!C27</f>
        <v>3080.0399801933636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1009.8736294697424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714.79688571522581</v>
      </c>
      <c r="N21" s="2">
        <f>N10/'Output-Calculation-sheet'!N9*'Output-Calculation-sheet'!N27</f>
        <v>723.87287039088937</v>
      </c>
      <c r="O21" s="2">
        <f>O10/'Output-Calculation-sheet'!O9*'Output-Calculation-sheet'!O27</f>
        <v>603.0057942944967</v>
      </c>
      <c r="P21" s="2">
        <f>P10/'Output-Calculation-sheet'!P9*'Output-Calculation-sheet'!P27</f>
        <v>0</v>
      </c>
      <c r="Q21" s="2">
        <f>Q10/'Output-Calculation-sheet'!Q9*'Output-Calculation-sheet'!Q27</f>
        <v>8.2772645570513514</v>
      </c>
      <c r="R21" s="2">
        <f>R10/'Output-Calculation-sheet'!R9*'Output-Calculation-sheet'!R27</f>
        <v>0</v>
      </c>
      <c r="S21" s="2">
        <f>S10/'Output-Calculation-sheet'!S9*'Output-Calculation-sheet'!S27</f>
        <v>344.68145993926811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71.375541039660718</v>
      </c>
      <c r="Y21" s="2">
        <f>Y10/'Output-Calculation-sheet'!Y9*'Output-Calculation-sheet'!Y27</f>
        <v>0</v>
      </c>
      <c r="AA21" s="2">
        <f t="shared" si="0"/>
        <v>11.567032942351245</v>
      </c>
    </row>
    <row r="22" spans="1:27" x14ac:dyDescent="0.25">
      <c r="A22" s="2">
        <v>2034</v>
      </c>
      <c r="B22" s="2">
        <f>B11/'Output-Calculation-sheet'!B10*'Output-Calculation-sheet'!B28</f>
        <v>4439.6794416020302</v>
      </c>
      <c r="C22" s="2">
        <f>C11/'Output-Calculation-sheet'!C10*'Output-Calculation-sheet'!C28</f>
        <v>447.26160650638269</v>
      </c>
      <c r="D22" s="2">
        <f>D11/'Output-Calculation-sheet'!D10*'Output-Calculation-sheet'!D28</f>
        <v>0</v>
      </c>
      <c r="E22" s="2">
        <f>E11/'Output-Calculation-sheet'!E10*'Output-Calculation-sheet'!E28</f>
        <v>1513.8042844934955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1177.6748513896225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900.74547568714934</v>
      </c>
      <c r="M22" s="2">
        <f>M11/'Output-Calculation-sheet'!M10*'Output-Calculation-sheet'!M28</f>
        <v>838.14670281134738</v>
      </c>
      <c r="N22" s="2">
        <f>N11/'Output-Calculation-sheet'!N10*'Output-Calculation-sheet'!N28</f>
        <v>560.30585260865212</v>
      </c>
      <c r="O22" s="2">
        <f>O11/'Output-Calculation-sheet'!O10*'Output-Calculation-sheet'!O28</f>
        <v>87.731405027767977</v>
      </c>
      <c r="P22" s="2">
        <f>P11/'Output-Calculation-sheet'!P10*'Output-Calculation-sheet'!P28</f>
        <v>0</v>
      </c>
      <c r="Q22" s="2">
        <f>Q11/'Output-Calculation-sheet'!Q10*'Output-Calculation-sheet'!Q28</f>
        <v>287.21700230548913</v>
      </c>
      <c r="R22" s="2">
        <f>R11/'Output-Calculation-sheet'!R10*'Output-Calculation-sheet'!R28</f>
        <v>0</v>
      </c>
      <c r="S22" s="2">
        <f>S11/'Output-Calculation-sheet'!S10*'Output-Calculation-sheet'!S28</f>
        <v>209.7962869926877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82.353749194800329</v>
      </c>
      <c r="Y22" s="2">
        <f>Y11/'Output-Calculation-sheet'!Y10*'Output-Calculation-sheet'!Y28</f>
        <v>33.569714238598323</v>
      </c>
      <c r="AA22" s="2">
        <f t="shared" si="0"/>
        <v>10.578286372858024</v>
      </c>
    </row>
    <row r="23" spans="1:27" x14ac:dyDescent="0.25">
      <c r="A23" s="2">
        <v>2035</v>
      </c>
      <c r="B23" s="2">
        <f>B12/'Output-Calculation-sheet'!B11*'Output-Calculation-sheet'!B29</f>
        <v>1029.2874884598327</v>
      </c>
      <c r="C23" s="2">
        <f>C12/'Output-Calculation-sheet'!C11*'Output-Calculation-sheet'!C29</f>
        <v>193.43999257966945</v>
      </c>
      <c r="D23" s="2">
        <f>D12/'Output-Calculation-sheet'!D11*'Output-Calculation-sheet'!D29</f>
        <v>0</v>
      </c>
      <c r="E23" s="2">
        <f>E12/'Output-Calculation-sheet'!E11*'Output-Calculation-sheet'!E29</f>
        <v>2606.1565890089673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313.77886275634415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1313.7701957514441</v>
      </c>
      <c r="M23" s="2">
        <f>M12/'Output-Calculation-sheet'!M11*'Output-Calculation-sheet'!M29</f>
        <v>263.09636265066115</v>
      </c>
      <c r="N23" s="2">
        <f>N12/'Output-Calculation-sheet'!N11*'Output-Calculation-sheet'!N29</f>
        <v>183.48847374318905</v>
      </c>
      <c r="O23" s="2">
        <f>O12/'Output-Calculation-sheet'!O11*'Output-Calculation-sheet'!O29</f>
        <v>21.198578109819227</v>
      </c>
      <c r="P23" s="2">
        <f>P12/'Output-Calculation-sheet'!P11*'Output-Calculation-sheet'!P29</f>
        <v>36.514062874752817</v>
      </c>
      <c r="Q23" s="2">
        <f>Q12/'Output-Calculation-sheet'!Q11*'Output-Calculation-sheet'!Q29</f>
        <v>511.97048365777084</v>
      </c>
      <c r="R23" s="2">
        <f>R12/'Output-Calculation-sheet'!R11*'Output-Calculation-sheet'!R29</f>
        <v>0</v>
      </c>
      <c r="S23" s="2">
        <f>S12/'Output-Calculation-sheet'!S11*'Output-Calculation-sheet'!S29</f>
        <v>109.00865578474365</v>
      </c>
      <c r="T23" s="2">
        <f>T12/'Output-Calculation-sheet'!T11*'Output-Calculation-sheet'!T29</f>
        <v>0</v>
      </c>
      <c r="U23" s="2">
        <f>U12/'Output-Calculation-sheet'!U11*'Output-Calculation-sheet'!U29</f>
        <v>118.84699174623951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9.5363109792200813</v>
      </c>
      <c r="Y23" s="2">
        <f>Y12/'Output-Calculation-sheet'!Y11*'Output-Calculation-sheet'!Y29</f>
        <v>80.763584185101095</v>
      </c>
      <c r="AA23" s="2">
        <f t="shared" si="0"/>
        <v>6.790856632287757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18548.783988053703</v>
      </c>
      <c r="C30" s="2">
        <f>C8/'Output-Calculation-sheet'!C7*'Output-Calculation-sheet'!C16</f>
        <v>0</v>
      </c>
      <c r="D30" s="2">
        <f>D8/'Output-Calculation-sheet'!D7*'Output-Calculation-sheet'!D16</f>
        <v>3123.3467312703183</v>
      </c>
      <c r="E30" s="2">
        <f>E8/'Output-Calculation-sheet'!E7*'Output-Calculation-sheet'!E16</f>
        <v>3360.5489383964432</v>
      </c>
      <c r="F30" s="2">
        <f>F8/'Output-Calculation-sheet'!F7*'Output-Calculation-sheet'!F16</f>
        <v>1695.4425272103169</v>
      </c>
      <c r="G30" s="2">
        <f>G8/'Output-Calculation-sheet'!G7*'Output-Calculation-sheet'!G16</f>
        <v>1110.2987186764833</v>
      </c>
      <c r="H30" s="2">
        <f>H8/'Output-Calculation-sheet'!H7*'Output-Calculation-sheet'!H16</f>
        <v>0</v>
      </c>
      <c r="I30" s="2">
        <f>I8/'Output-Calculation-sheet'!I7*'Output-Calculation-sheet'!I16</f>
        <v>1082.3882292880135</v>
      </c>
      <c r="J30" s="2">
        <f>J8/'Output-Calculation-sheet'!J7*'Output-Calculation-sheet'!J16</f>
        <v>963.52038409405725</v>
      </c>
      <c r="K30" s="2">
        <f>K8/'Output-Calculation-sheet'!K7*'Output-Calculation-sheet'!K16</f>
        <v>1286.4849943588868</v>
      </c>
      <c r="L30" s="2">
        <f>L8/'Output-Calculation-sheet'!L7*'Output-Calculation-sheet'!L16</f>
        <v>1086.6623445728294</v>
      </c>
      <c r="M30" s="2">
        <f>M8/'Output-Calculation-sheet'!M7*'Output-Calculation-sheet'!M16</f>
        <v>0</v>
      </c>
      <c r="N30" s="2">
        <f>N8/'Output-Calculation-sheet'!N7*'Output-Calculation-sheet'!N16</f>
        <v>999.0430859603058</v>
      </c>
      <c r="O30" s="2">
        <f>O8/'Output-Calculation-sheet'!O7*'Output-Calculation-sheet'!O16</f>
        <v>0</v>
      </c>
      <c r="P30" s="2">
        <f>P8/'Output-Calculation-sheet'!P7*'Output-Calculation-sheet'!P16</f>
        <v>1387.2650704665111</v>
      </c>
      <c r="Q30" s="2">
        <f>Q8/'Output-Calculation-sheet'!Q7*'Output-Calculation-sheet'!Q16</f>
        <v>1525.540509133725</v>
      </c>
      <c r="R30" s="2">
        <f>R8/'Output-Calculation-sheet'!R7*'Output-Calculation-sheet'!R16</f>
        <v>967.96090437224996</v>
      </c>
      <c r="S30" s="2">
        <f>S8/'Output-Calculation-sheet'!S7*'Output-Calculation-sheet'!S16</f>
        <v>973.48626451038479</v>
      </c>
      <c r="T30" s="2">
        <f>T8/'Output-Calculation-sheet'!T7*'Output-Calculation-sheet'!T16</f>
        <v>290.56614319977581</v>
      </c>
      <c r="U30" s="2">
        <f>U8/'Output-Calculation-sheet'!U7*'Output-Calculation-sheet'!U16</f>
        <v>290.04808955715606</v>
      </c>
      <c r="V30" s="2">
        <f>V8/'Output-Calculation-sheet'!V7*'Output-Calculation-sheet'!V16</f>
        <v>225.7379343885932</v>
      </c>
      <c r="W30" s="2">
        <f>W8/'Output-Calculation-sheet'!W7*'Output-Calculation-sheet'!W16</f>
        <v>136.9231343369666</v>
      </c>
      <c r="X30" s="2">
        <f>X8/'Output-Calculation-sheet'!X7*'Output-Calculation-sheet'!X16</f>
        <v>0</v>
      </c>
      <c r="Y30" s="2">
        <f>Y8/'Output-Calculation-sheet'!Y7*'Output-Calculation-sheet'!Y16</f>
        <v>115.88779731839944</v>
      </c>
      <c r="AA30" s="2">
        <f t="shared" si="1"/>
        <v>39.169935789165116</v>
      </c>
    </row>
    <row r="31" spans="1:27" x14ac:dyDescent="0.25">
      <c r="A31" s="2">
        <v>2032</v>
      </c>
      <c r="B31" s="2">
        <f>B9/'Output-Calculation-sheet'!B8*'Output-Calculation-sheet'!B17</f>
        <v>22168.183871202556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866.79935283475754</v>
      </c>
      <c r="O31" s="2">
        <f>O9/'Output-Calculation-sheet'!O8*'Output-Calculation-sheet'!O17</f>
        <v>0</v>
      </c>
      <c r="P31" s="2">
        <f>P9/'Output-Calculation-sheet'!P8*'Output-Calculation-sheet'!P17</f>
        <v>2166.4219901147885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717.4218936566964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50.789937520915636</v>
      </c>
    </row>
    <row r="32" spans="1:27" x14ac:dyDescent="0.25">
      <c r="A32" s="2">
        <v>2033</v>
      </c>
      <c r="B32" s="2">
        <f>B10/'Output-Calculation-sheet'!B9*'Output-Calculation-sheet'!B18</f>
        <v>18126.507980467286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2837.8214217366958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733.67388018798204</v>
      </c>
      <c r="O32" s="2">
        <f>O10/'Output-Calculation-sheet'!O9*'Output-Calculation-sheet'!O18</f>
        <v>0</v>
      </c>
      <c r="P32" s="2">
        <f>P10/'Output-Calculation-sheet'!P9*'Output-Calculation-sheet'!P18</f>
        <v>2920.7399850889597</v>
      </c>
      <c r="Q32" s="2">
        <f>Q10/'Output-Calculation-sheet'!Q9*'Output-Calculation-sheet'!Q18</f>
        <v>2704.5094162429473</v>
      </c>
      <c r="R32" s="2">
        <f>R10/'Output-Calculation-sheet'!R9*'Output-Calculation-sheet'!R18</f>
        <v>2097.3429761189614</v>
      </c>
      <c r="S32" s="2">
        <f>S10/'Output-Calculation-sheet'!S9*'Output-Calculation-sheet'!S18</f>
        <v>667.42637073269384</v>
      </c>
      <c r="T32" s="2">
        <f>T10/'Output-Calculation-sheet'!T9*'Output-Calculation-sheet'!T18</f>
        <v>612.36784034449863</v>
      </c>
      <c r="U32" s="2">
        <f>U10/'Output-Calculation-sheet'!U9*'Output-Calculation-sheet'!U18</f>
        <v>676.95241835548006</v>
      </c>
      <c r="V32" s="2">
        <f>V10/'Output-Calculation-sheet'!V9*'Output-Calculation-sheet'!V18</f>
        <v>499.63879629807786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289.31720328326156</v>
      </c>
      <c r="AA32" s="2">
        <f t="shared" si="1"/>
        <v>57.625798679169208</v>
      </c>
    </row>
    <row r="33" spans="1:27" x14ac:dyDescent="0.25">
      <c r="A33" s="2">
        <v>2034</v>
      </c>
      <c r="B33" s="2">
        <f>B11/'Output-Calculation-sheet'!B10*'Output-Calculation-sheet'!B19</f>
        <v>13399.563382154856</v>
      </c>
      <c r="C33" s="2">
        <f>C11/'Output-Calculation-sheet'!C10*'Output-Calculation-sheet'!C19</f>
        <v>0</v>
      </c>
      <c r="D33" s="2">
        <f>D11/'Output-Calculation-sheet'!D10*'Output-Calculation-sheet'!D19</f>
        <v>8913.9289894837511</v>
      </c>
      <c r="E33" s="2">
        <f>E11/'Output-Calculation-sheet'!E10*'Output-Calculation-sheet'!E19</f>
        <v>11029.987710739206</v>
      </c>
      <c r="F33" s="2">
        <f>F11/'Output-Calculation-sheet'!F10*'Output-Calculation-sheet'!F19</f>
        <v>5059.3081837321224</v>
      </c>
      <c r="G33" s="2">
        <f>G11/'Output-Calculation-sheet'!G10*'Output-Calculation-sheet'!G19</f>
        <v>3034.0702785453204</v>
      </c>
      <c r="H33" s="2">
        <f>H11/'Output-Calculation-sheet'!H10*'Output-Calculation-sheet'!H19</f>
        <v>0</v>
      </c>
      <c r="I33" s="2">
        <f>I11/'Output-Calculation-sheet'!I10*'Output-Calculation-sheet'!I19</f>
        <v>3310.9672866503888</v>
      </c>
      <c r="J33" s="2">
        <f>J11/'Output-Calculation-sheet'!J10*'Output-Calculation-sheet'!J19</f>
        <v>2799.5590553701832</v>
      </c>
      <c r="K33" s="2">
        <f>K11/'Output-Calculation-sheet'!K10*'Output-Calculation-sheet'!K19</f>
        <v>3883.0875678737134</v>
      </c>
      <c r="L33" s="2">
        <f>L11/'Output-Calculation-sheet'!L10*'Output-Calculation-sheet'!L19</f>
        <v>3158.3816348868668</v>
      </c>
      <c r="M33" s="2">
        <f>M11/'Output-Calculation-sheet'!M10*'Output-Calculation-sheet'!M19</f>
        <v>0</v>
      </c>
      <c r="N33" s="2">
        <f>N11/'Output-Calculation-sheet'!N10*'Output-Calculation-sheet'!N19</f>
        <v>599.54048472572504</v>
      </c>
      <c r="O33" s="2">
        <f>O11/'Output-Calculation-sheet'!O10*'Output-Calculation-sheet'!O19</f>
        <v>0</v>
      </c>
      <c r="P33" s="2">
        <f>P11/'Output-Calculation-sheet'!P10*'Output-Calculation-sheet'!P19</f>
        <v>2967.8230866308691</v>
      </c>
      <c r="Q33" s="2">
        <f>Q11/'Output-Calculation-sheet'!Q10*'Output-Calculation-sheet'!Q19</f>
        <v>1891.8720835759223</v>
      </c>
      <c r="R33" s="2">
        <f>R11/'Output-Calculation-sheet'!R10*'Output-Calculation-sheet'!R19</f>
        <v>2805.1605635276856</v>
      </c>
      <c r="S33" s="2">
        <f>S11/'Output-Calculation-sheet'!S10*'Output-Calculation-sheet'!S19</f>
        <v>381.1273198936214</v>
      </c>
      <c r="T33" s="2">
        <f>T11/'Output-Calculation-sheet'!T10*'Output-Calculation-sheet'!T19</f>
        <v>823.02815745445139</v>
      </c>
      <c r="U33" s="2">
        <f>U11/'Output-Calculation-sheet'!U10*'Output-Calculation-sheet'!U19</f>
        <v>946.65759801146999</v>
      </c>
      <c r="V33" s="2">
        <f>V11/'Output-Calculation-sheet'!V10*'Output-Calculation-sheet'!V19</f>
        <v>645.58383926487693</v>
      </c>
      <c r="W33" s="2">
        <f>W11/'Output-Calculation-sheet'!W10*'Output-Calculation-sheet'!W19</f>
        <v>401.91115320206563</v>
      </c>
      <c r="X33" s="2">
        <f>X11/'Output-Calculation-sheet'!X10*'Output-Calculation-sheet'!X19</f>
        <v>0</v>
      </c>
      <c r="Y33" s="2">
        <f>Y11/'Output-Calculation-sheet'!Y10*'Output-Calculation-sheet'!Y19</f>
        <v>329.09845534587612</v>
      </c>
      <c r="AA33" s="2">
        <f t="shared" si="1"/>
        <v>66.380656831068947</v>
      </c>
    </row>
    <row r="34" spans="1:27" x14ac:dyDescent="0.25">
      <c r="A34" s="2">
        <v>2035</v>
      </c>
      <c r="B34" s="2">
        <f>B12/'Output-Calculation-sheet'!B11*'Output-Calculation-sheet'!B20</f>
        <v>210.38205377358881</v>
      </c>
      <c r="C34" s="2">
        <f>C12/'Output-Calculation-sheet'!C11*'Output-Calculation-sheet'!C20</f>
        <v>0</v>
      </c>
      <c r="D34" s="2">
        <f>D12/'Output-Calculation-sheet'!D11*'Output-Calculation-sheet'!D20</f>
        <v>9370.3416095702014</v>
      </c>
      <c r="E34" s="2">
        <f>E12/'Output-Calculation-sheet'!E11*'Output-Calculation-sheet'!E20</f>
        <v>5530.6849584878937</v>
      </c>
      <c r="F34" s="2">
        <f>F12/'Output-Calculation-sheet'!F11*'Output-Calculation-sheet'!F20</f>
        <v>6399.8323395534553</v>
      </c>
      <c r="G34" s="2">
        <f>G12/'Output-Calculation-sheet'!G11*'Output-Calculation-sheet'!G20</f>
        <v>3451.267321068518</v>
      </c>
      <c r="H34" s="2">
        <f>H12/'Output-Calculation-sheet'!H11*'Output-Calculation-sheet'!H20</f>
        <v>0</v>
      </c>
      <c r="I34" s="2">
        <f>I12/'Output-Calculation-sheet'!I11*'Output-Calculation-sheet'!I20</f>
        <v>3757.3772066374777</v>
      </c>
      <c r="J34" s="2">
        <f>J12/'Output-Calculation-sheet'!J11*'Output-Calculation-sheet'!J20</f>
        <v>3220.2813192249209</v>
      </c>
      <c r="K34" s="2">
        <f>K12/'Output-Calculation-sheet'!K11*'Output-Calculation-sheet'!K20</f>
        <v>4233.9452569885771</v>
      </c>
      <c r="L34" s="2">
        <f>L12/'Output-Calculation-sheet'!L11*'Output-Calculation-sheet'!L20</f>
        <v>3345.0806948041241</v>
      </c>
      <c r="M34" s="2">
        <f>M12/'Output-Calculation-sheet'!M11*'Output-Calculation-sheet'!M20</f>
        <v>0</v>
      </c>
      <c r="N34" s="2">
        <f>N12/'Output-Calculation-sheet'!N11*'Output-Calculation-sheet'!N20</f>
        <v>0.64540824323154844</v>
      </c>
      <c r="O34" s="2">
        <f>O12/'Output-Calculation-sheet'!O11*'Output-Calculation-sheet'!O20</f>
        <v>0</v>
      </c>
      <c r="P34" s="2">
        <f>P12/'Output-Calculation-sheet'!P11*'Output-Calculation-sheet'!P20</f>
        <v>1053.871632348496</v>
      </c>
      <c r="Q34" s="2">
        <f>Q12/'Output-Calculation-sheet'!Q11*'Output-Calculation-sheet'!Q20</f>
        <v>1640.9075880603386</v>
      </c>
      <c r="R34" s="2">
        <f>R12/'Output-Calculation-sheet'!R11*'Output-Calculation-sheet'!R20</f>
        <v>3324.7826407255948</v>
      </c>
      <c r="S34" s="2">
        <f>S12/'Output-Calculation-sheet'!S11*'Output-Calculation-sheet'!S20</f>
        <v>6.8482679884126787</v>
      </c>
      <c r="T34" s="2">
        <f>T12/'Output-Calculation-sheet'!T11*'Output-Calculation-sheet'!T20</f>
        <v>1038.9808345860395</v>
      </c>
      <c r="U34" s="2">
        <f>U12/'Output-Calculation-sheet'!U11*'Output-Calculation-sheet'!U20</f>
        <v>949.88059906863839</v>
      </c>
      <c r="V34" s="2">
        <f>V12/'Output-Calculation-sheet'!V11*'Output-Calculation-sheet'!V20</f>
        <v>870.21417034864214</v>
      </c>
      <c r="W34" s="2">
        <f>W12/'Output-Calculation-sheet'!W11*'Output-Calculation-sheet'!W20</f>
        <v>562.23375043859289</v>
      </c>
      <c r="X34" s="2">
        <f>X12/'Output-Calculation-sheet'!X11*'Output-Calculation-sheet'!X20</f>
        <v>0</v>
      </c>
      <c r="Y34" s="2">
        <f>Y12/'Output-Calculation-sheet'!Y11*'Output-Calculation-sheet'!Y20</f>
        <v>139.97641313399865</v>
      </c>
      <c r="AA34" s="2">
        <f t="shared" si="1"/>
        <v>49.107534065050736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0.13970731129602798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0.14004263526781502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2.0411758530421938E-2</v>
      </c>
      <c r="I45" s="2">
        <f>I12/'Output-Calculation-sheet'!I11*'Output-Calculation-sheet'!I38*0.0114</f>
        <v>7.5806629579306825E-2</v>
      </c>
      <c r="J45" s="2">
        <f>J12/'Output-Calculation-sheet'!J11*'Output-Calculation-sheet'!J38*0.0114</f>
        <v>5.6267589042712153E-2</v>
      </c>
      <c r="K45" s="2">
        <f>K12/'Output-Calculation-sheet'!K11*'Output-Calculation-sheet'!K38*0.0114</f>
        <v>9.3132312762164077E-2</v>
      </c>
      <c r="L45" s="2">
        <f>L12/'Output-Calculation-sheet'!L11*'Output-Calculation-sheet'!L38*0.0114</f>
        <v>5.9243622190642192E-2</v>
      </c>
      <c r="M45" s="2">
        <f>M12/'Output-Calculation-sheet'!M11*'Output-Calculation-sheet'!M38*0.0114</f>
        <v>1.4045276331534512E-2</v>
      </c>
      <c r="N45" s="2">
        <f>N12/'Output-Calculation-sheet'!N11*'Output-Calculation-sheet'!N38*0.0114</f>
        <v>1.380422884210066E-2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1.2752682723329009E-2</v>
      </c>
      <c r="Q45" s="2">
        <f>Q12/'Output-Calculation-sheet'!Q11*'Output-Calculation-sheet'!Q38*0.0114</f>
        <v>9.6756943822492433E-2</v>
      </c>
      <c r="R45" s="2">
        <f>R12/'Output-Calculation-sheet'!R11*'Output-Calculation-sheet'!R38*0.0114</f>
        <v>4.7976373024100551E-2</v>
      </c>
      <c r="S45" s="2">
        <f>S12/'Output-Calculation-sheet'!S11*'Output-Calculation-sheet'!S38*0.0114</f>
        <v>7.9130605177280093E-3</v>
      </c>
      <c r="T45" s="2">
        <f>T12/'Output-Calculation-sheet'!T11*'Output-Calculation-sheet'!T38*0.0114</f>
        <v>1.3312088030649392E-2</v>
      </c>
      <c r="U45" s="2">
        <f>U12/'Output-Calculation-sheet'!U11*'Output-Calculation-sheet'!U38*0.0114</f>
        <v>1.9294551747761745E-2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4.4606929115237719E-3</v>
      </c>
      <c r="AA45" s="2">
        <f t="shared" si="2"/>
        <v>1.3136744649581256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0.14134341406761275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185.9523719614071</v>
      </c>
      <c r="R54" s="2">
        <f>R10/'Output-Calculation-sheet'!R9*'Output-Calculation-sheet'!R45</f>
        <v>1392.0351032575675</v>
      </c>
      <c r="S54" s="2">
        <f>S10/'Output-Calculation-sheet'!S9*'Output-Calculation-sheet'!S45</f>
        <v>0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17.350729638394402</v>
      </c>
      <c r="AA54" s="2">
        <f t="shared" si="3"/>
        <v>4.580524139746454</v>
      </c>
    </row>
    <row r="55" spans="1:27" x14ac:dyDescent="0.25">
      <c r="A55" s="2">
        <v>2034</v>
      </c>
      <c r="B55" s="2">
        <f>B11/'Output-Calculation-sheet'!B10*'Output-Calculation-sheet'!B46</f>
        <v>1751.5601221454335</v>
      </c>
      <c r="C55" s="2">
        <f>C11/'Output-Calculation-sheet'!C10*'Output-Calculation-sheet'!C46</f>
        <v>0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597.12206787075513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3678.8218782680597</v>
      </c>
      <c r="L55" s="2">
        <f>L11/'Output-Calculation-sheet'!L10*'Output-Calculation-sheet'!L46</f>
        <v>1360.4856337221486</v>
      </c>
      <c r="M55" s="2">
        <f>M11/'Output-Calculation-sheet'!M10*'Output-Calculation-sheet'!M46</f>
        <v>442.57440446393224</v>
      </c>
      <c r="N55" s="2">
        <f>N11/'Output-Calculation-sheet'!N10*'Output-Calculation-sheet'!N46</f>
        <v>151.14650220075168</v>
      </c>
      <c r="O55" s="2">
        <f>O11/'Output-Calculation-sheet'!O10*'Output-Calculation-sheet'!O46</f>
        <v>0</v>
      </c>
      <c r="P55" s="2">
        <f>P11/'Output-Calculation-sheet'!P10*'Output-Calculation-sheet'!P46</f>
        <v>3287.2336930370138</v>
      </c>
      <c r="Q55" s="2">
        <f>Q11/'Output-Calculation-sheet'!Q10*'Output-Calculation-sheet'!Q46</f>
        <v>704.59505142853209</v>
      </c>
      <c r="R55" s="2">
        <f>R11/'Output-Calculation-sheet'!R10*'Output-Calculation-sheet'!R46</f>
        <v>4075.1408739752419</v>
      </c>
      <c r="S55" s="2">
        <f>S11/'Output-Calculation-sheet'!S10*'Output-Calculation-sheet'!S46</f>
        <v>0</v>
      </c>
      <c r="T55" s="2">
        <f>T11/'Output-Calculation-sheet'!T10*'Output-Calculation-sheet'!T46</f>
        <v>922.76254364813121</v>
      </c>
      <c r="U55" s="2">
        <f>U11/'Output-Calculation-sheet'!U10*'Output-Calculation-sheet'!U46</f>
        <v>1547.2092848100456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42.240947239367465</v>
      </c>
      <c r="Y55" s="2">
        <f>Y11/'Output-Calculation-sheet'!Y10*'Output-Calculation-sheet'!Y46</f>
        <v>293.79418718572481</v>
      </c>
      <c r="AA55" s="2">
        <f t="shared" si="3"/>
        <v>43.979651620815595</v>
      </c>
    </row>
    <row r="56" spans="1:27" x14ac:dyDescent="0.25">
      <c r="A56" s="2">
        <v>2035</v>
      </c>
      <c r="B56" s="2">
        <f>B12/'Output-Calculation-sheet'!B11*'Output-Calculation-sheet'!B47</f>
        <v>502.45611957343397</v>
      </c>
      <c r="C56" s="2">
        <f>C12/'Output-Calculation-sheet'!C11*'Output-Calculation-sheet'!C47</f>
        <v>395.52333329577306</v>
      </c>
      <c r="D56" s="2">
        <f>D12/'Output-Calculation-sheet'!D11*'Output-Calculation-sheet'!D47</f>
        <v>9140.4143324641082</v>
      </c>
      <c r="E56" s="2">
        <f>E12/'Output-Calculation-sheet'!E11*'Output-Calculation-sheet'!E47</f>
        <v>11133.798985180967</v>
      </c>
      <c r="F56" s="2">
        <f>F12/'Output-Calculation-sheet'!F11*'Output-Calculation-sheet'!F47</f>
        <v>2902.4264703161271</v>
      </c>
      <c r="G56" s="2">
        <f>G12/'Output-Calculation-sheet'!G11*'Output-Calculation-sheet'!G47</f>
        <v>7163.9868944972004</v>
      </c>
      <c r="H56" s="2">
        <f>H12/'Output-Calculation-sheet'!H11*'Output-Calculation-sheet'!H47</f>
        <v>148.61192614254568</v>
      </c>
      <c r="I56" s="2">
        <f>I12/'Output-Calculation-sheet'!I11*'Output-Calculation-sheet'!I47</f>
        <v>3577.5409397953572</v>
      </c>
      <c r="J56" s="2">
        <f>J12/'Output-Calculation-sheet'!J11*'Output-Calculation-sheet'!J47</f>
        <v>3265.8235160755444</v>
      </c>
      <c r="K56" s="2">
        <f>K12/'Output-Calculation-sheet'!K11*'Output-Calculation-sheet'!K47</f>
        <v>4654.9817378843054</v>
      </c>
      <c r="L56" s="2">
        <f>L12/'Output-Calculation-sheet'!L11*'Output-Calculation-sheet'!L47</f>
        <v>2586.7116618765044</v>
      </c>
      <c r="M56" s="2">
        <f>M12/'Output-Calculation-sheet'!M11*'Output-Calculation-sheet'!M47</f>
        <v>103.49150981130693</v>
      </c>
      <c r="N56" s="2">
        <f>N12/'Output-Calculation-sheet'!N11*'Output-Calculation-sheet'!N47</f>
        <v>95.66088408122387</v>
      </c>
      <c r="O56" s="2">
        <f>O12/'Output-Calculation-sheet'!O11*'Output-Calculation-sheet'!O47</f>
        <v>13.559858065982446</v>
      </c>
      <c r="P56" s="2">
        <f>P12/'Output-Calculation-sheet'!P11*'Output-Calculation-sheet'!P47</f>
        <v>1370.3540645682488</v>
      </c>
      <c r="Q56" s="2">
        <f>Q12/'Output-Calculation-sheet'!Q11*'Output-Calculation-sheet'!Q47</f>
        <v>1220.0711117967794</v>
      </c>
      <c r="R56" s="2">
        <f>R12/'Output-Calculation-sheet'!R11*'Output-Calculation-sheet'!R47</f>
        <v>5514.1265574410299</v>
      </c>
      <c r="S56" s="2">
        <f>S12/'Output-Calculation-sheet'!S11*'Output-Calculation-sheet'!S47</f>
        <v>43.730071282181108</v>
      </c>
      <c r="T56" s="2">
        <f>T12/'Output-Calculation-sheet'!T11*'Output-Calculation-sheet'!T47</f>
        <v>1943.4870040067958</v>
      </c>
      <c r="U56" s="2">
        <f>U12/'Output-Calculation-sheet'!U11*'Output-Calculation-sheet'!U47</f>
        <v>1854.6464741401155</v>
      </c>
      <c r="V56" s="2">
        <f>V12/'Output-Calculation-sheet'!V11*'Output-Calculation-sheet'!V47</f>
        <v>1294.6283043647154</v>
      </c>
      <c r="W56" s="2">
        <f>W12/'Output-Calculation-sheet'!W11*'Output-Calculation-sheet'!W47</f>
        <v>752.87286861068424</v>
      </c>
      <c r="X56" s="2">
        <f>X12/'Output-Calculation-sheet'!X11*'Output-Calculation-sheet'!X47</f>
        <v>11.623548963432784</v>
      </c>
      <c r="Y56" s="2">
        <f>Y12/'Output-Calculation-sheet'!Y11*'Output-Calculation-sheet'!Y47</f>
        <v>301.03155671920655</v>
      </c>
      <c r="AA56" s="2">
        <f t="shared" si="3"/>
        <v>59.991559730953576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7.0516031913981454</v>
      </c>
      <c r="C63" s="2">
        <f>C8*'Output-Calculation-sheet'!C52/10^9</f>
        <v>3.3226086308079501</v>
      </c>
      <c r="D63" s="2">
        <f>D8*'Output-Calculation-sheet'!D52/10^9</f>
        <v>1.651066955620349</v>
      </c>
      <c r="E63" s="2">
        <f>E8*'Output-Calculation-sheet'!E52/10^9</f>
        <v>1.8888933748599845</v>
      </c>
      <c r="F63" s="2">
        <f>F8*'Output-Calculation-sheet'!F52/10^9</f>
        <v>0.88293630602983175</v>
      </c>
      <c r="G63" s="2">
        <f>G8*'Output-Calculation-sheet'!G52/10^9</f>
        <v>0.67347351268202316</v>
      </c>
      <c r="H63" s="2">
        <f>H8*'Output-Calculation-sheet'!H52/10^9</f>
        <v>0.91642291428398392</v>
      </c>
      <c r="I63" s="2">
        <f>I8*'Output-Calculation-sheet'!I52/10^9</f>
        <v>0.53199932176391607</v>
      </c>
      <c r="J63" s="2">
        <f>J8*'Output-Calculation-sheet'!J52/10^9</f>
        <v>0.75207031582585626</v>
      </c>
      <c r="K63" s="2">
        <f>K8*'Output-Calculation-sheet'!K52/10^9</f>
        <v>0.49369723448632435</v>
      </c>
      <c r="L63" s="2">
        <f>L8*'Output-Calculation-sheet'!L52/10^9</f>
        <v>0.58451729623168136</v>
      </c>
      <c r="M63" s="2">
        <f>M8*'Output-Calculation-sheet'!M52/10^9</f>
        <v>0.67299245877264346</v>
      </c>
      <c r="N63" s="2">
        <f>N8*'Output-Calculation-sheet'!N52/10^9</f>
        <v>0.58196557373191826</v>
      </c>
      <c r="O63" s="2">
        <f>O8*'Output-Calculation-sheet'!O52/10^9</f>
        <v>0.59502462743499773</v>
      </c>
      <c r="P63" s="2">
        <f>P8*'Output-Calculation-sheet'!P52/10^9</f>
        <v>0.50209859280704872</v>
      </c>
      <c r="Q63" s="2">
        <f>Q8*'Output-Calculation-sheet'!Q52/10^9</f>
        <v>0.46834875719627089</v>
      </c>
      <c r="R63" s="2">
        <f>R8*'Output-Calculation-sheet'!R52/10^9</f>
        <v>0.42421460865762428</v>
      </c>
      <c r="S63" s="2">
        <f>S8*'Output-Calculation-sheet'!S52/10^9</f>
        <v>0.35993031700629091</v>
      </c>
      <c r="T63" s="2">
        <f>T8*'Output-Calculation-sheet'!T52/10^9</f>
        <v>0.17229927378528651</v>
      </c>
      <c r="U63" s="2">
        <f>U8*'Output-Calculation-sheet'!U52/10^9</f>
        <v>0.13436753441841295</v>
      </c>
      <c r="V63" s="2">
        <f>V8*'Output-Calculation-sheet'!V52/10^9</f>
        <v>0.22247255564189225</v>
      </c>
      <c r="W63" s="2">
        <f>W8*'Output-Calculation-sheet'!W52/10^9</f>
        <v>9.3359593579666111E-2</v>
      </c>
      <c r="X63" s="2">
        <f>X8*'Output-Calculation-sheet'!X52/10^9</f>
        <v>8.7509308557720544E-2</v>
      </c>
      <c r="Y63" s="2">
        <f>Y8*'Output-Calculation-sheet'!Y52/10^9</f>
        <v>5.39116948230157E-2</v>
      </c>
      <c r="AA63" s="2">
        <f t="shared" si="4"/>
        <v>23.117783950402831</v>
      </c>
    </row>
    <row r="64" spans="1:27" x14ac:dyDescent="0.25">
      <c r="A64" s="2">
        <v>2032</v>
      </c>
      <c r="B64" s="2">
        <f>B9*'Output-Calculation-sheet'!B53/10^9</f>
        <v>7.4176044358101771</v>
      </c>
      <c r="C64" s="2">
        <f>C9*'Output-Calculation-sheet'!C53/10^9</f>
        <v>3.5656565247211818</v>
      </c>
      <c r="D64" s="2">
        <f>D9*'Output-Calculation-sheet'!D53/10^9</f>
        <v>1.558808810076487</v>
      </c>
      <c r="E64" s="2">
        <f>E9*'Output-Calculation-sheet'!E53/10^9</f>
        <v>1.8200915841698251</v>
      </c>
      <c r="F64" s="2">
        <f>F9*'Output-Calculation-sheet'!F53/10^9</f>
        <v>0.83520931542967591</v>
      </c>
      <c r="G64" s="2">
        <f>G9*'Output-Calculation-sheet'!G53/10^9</f>
        <v>0.62537020104554752</v>
      </c>
      <c r="H64" s="2">
        <f>H9*'Output-Calculation-sheet'!H53/10^9</f>
        <v>1.008085232153674</v>
      </c>
      <c r="I64" s="2">
        <f>I9*'Output-Calculation-sheet'!I53/10^9</f>
        <v>0.50713233642682776</v>
      </c>
      <c r="J64" s="2">
        <f>J9*'Output-Calculation-sheet'!J53/10^9</f>
        <v>0.68067976362405513</v>
      </c>
      <c r="K64" s="2">
        <f>K9*'Output-Calculation-sheet'!K53/10^9</f>
        <v>0.50249394543627934</v>
      </c>
      <c r="L64" s="2">
        <f>L9*'Output-Calculation-sheet'!L53/10^9</f>
        <v>0.56413542119205962</v>
      </c>
      <c r="M64" s="2">
        <f>M9*'Output-Calculation-sheet'!M53/10^9</f>
        <v>0.72932413956412678</v>
      </c>
      <c r="N64" s="2">
        <f>N9*'Output-Calculation-sheet'!N53/10^9</f>
        <v>0.651693996789942</v>
      </c>
      <c r="O64" s="2">
        <f>O9*'Output-Calculation-sheet'!O53/10^9</f>
        <v>0.6513924980818423</v>
      </c>
      <c r="P64" s="2">
        <f>P9*'Output-Calculation-sheet'!P53/10^9</f>
        <v>0.53619028625798371</v>
      </c>
      <c r="Q64" s="2">
        <f>Q9*'Output-Calculation-sheet'!Q53/10^9</f>
        <v>0.50858971194732661</v>
      </c>
      <c r="R64" s="2">
        <f>R9*'Output-Calculation-sheet'!R53/10^9</f>
        <v>0.43266705980766962</v>
      </c>
      <c r="S64" s="2">
        <f>S9*'Output-Calculation-sheet'!S53/10^9</f>
        <v>0.39446207853985005</v>
      </c>
      <c r="T64" s="2">
        <f>T9*'Output-Calculation-sheet'!T53/10^9</f>
        <v>0.16173915384895579</v>
      </c>
      <c r="U64" s="2">
        <f>U9*'Output-Calculation-sheet'!U53/10^9</f>
        <v>0.1378008993871174</v>
      </c>
      <c r="V64" s="2">
        <f>V9*'Output-Calculation-sheet'!V53/10^9</f>
        <v>0.2008399086344512</v>
      </c>
      <c r="W64" s="2">
        <f>W9*'Output-Calculation-sheet'!W53/10^9</f>
        <v>8.5604656394941428E-2</v>
      </c>
      <c r="X64" s="2">
        <f>X9*'Output-Calculation-sheet'!X53/10^9</f>
        <v>9.1563731523313277E-2</v>
      </c>
      <c r="Y64" s="2">
        <f>Y9*'Output-Calculation-sheet'!Y53/10^9</f>
        <v>5.4449353065911948E-2</v>
      </c>
      <c r="AA64" s="2">
        <f t="shared" si="4"/>
        <v>23.72158504392922</v>
      </c>
    </row>
    <row r="65" spans="1:27" x14ac:dyDescent="0.25">
      <c r="A65" s="2">
        <v>2033</v>
      </c>
      <c r="B65" s="2">
        <f>B10*'Output-Calculation-sheet'!B54/10^9</f>
        <v>7.7685101190651347</v>
      </c>
      <c r="C65" s="2">
        <f>C10*'Output-Calculation-sheet'!C54/10^9</f>
        <v>3.7517718886205653</v>
      </c>
      <c r="D65" s="2">
        <f>D10*'Output-Calculation-sheet'!D54/10^9</f>
        <v>1.4228532762352712</v>
      </c>
      <c r="E65" s="2">
        <f>E10*'Output-Calculation-sheet'!E54/10^9</f>
        <v>1.8120224829374527</v>
      </c>
      <c r="F65" s="2">
        <f>F10*'Output-Calculation-sheet'!F54/10^9</f>
        <v>0.77864080786855761</v>
      </c>
      <c r="G65" s="2">
        <f>G10*'Output-Calculation-sheet'!G54/10^9</f>
        <v>0.55435454323459932</v>
      </c>
      <c r="H65" s="2">
        <f>H10*'Output-Calculation-sheet'!H54/10^9</f>
        <v>1.0987758132090193</v>
      </c>
      <c r="I65" s="2">
        <f>I10*'Output-Calculation-sheet'!I54/10^9</f>
        <v>0.48605322576358173</v>
      </c>
      <c r="J65" s="2">
        <f>J10*'Output-Calculation-sheet'!J54/10^9</f>
        <v>0.57507743074600703</v>
      </c>
      <c r="K65" s="2">
        <f>K10*'Output-Calculation-sheet'!K54/10^9</f>
        <v>0.53816722070148548</v>
      </c>
      <c r="L65" s="2">
        <f>L10*'Output-Calculation-sheet'!L54/10^9</f>
        <v>0.55498854053685176</v>
      </c>
      <c r="M65" s="2">
        <f>M10*'Output-Calculation-sheet'!M54/10^9</f>
        <v>0.78191071581792526</v>
      </c>
      <c r="N65" s="2">
        <f>N10*'Output-Calculation-sheet'!N54/10^9</f>
        <v>0.71728750157962451</v>
      </c>
      <c r="O65" s="2">
        <f>O10*'Output-Calculation-sheet'!O54/10^9</f>
        <v>0.70058974605440538</v>
      </c>
      <c r="P65" s="2">
        <f>P10*'Output-Calculation-sheet'!P54/10^9</f>
        <v>0.58218593068772384</v>
      </c>
      <c r="Q65" s="2">
        <f>Q10*'Output-Calculation-sheet'!Q54/10^9</f>
        <v>0.57330583290290305</v>
      </c>
      <c r="R65" s="2">
        <f>R10*'Output-Calculation-sheet'!R54/10^9</f>
        <v>0.45543467693170381</v>
      </c>
      <c r="S65" s="2">
        <f>S10*'Output-Calculation-sheet'!S54/10^9</f>
        <v>0.42507566368517996</v>
      </c>
      <c r="T65" s="2">
        <f>T10*'Output-Calculation-sheet'!T54/10^9</f>
        <v>0.15423142121878405</v>
      </c>
      <c r="U65" s="2">
        <f>U10*'Output-Calculation-sheet'!U54/10^9</f>
        <v>0.14812771130784405</v>
      </c>
      <c r="V65" s="2">
        <f>V10*'Output-Calculation-sheet'!V54/10^9</f>
        <v>0.1745326825326711</v>
      </c>
      <c r="W65" s="2">
        <f>W10*'Output-Calculation-sheet'!W54/10^9</f>
        <v>7.4590400370758342E-2</v>
      </c>
      <c r="X65" s="2">
        <f>X10*'Output-Calculation-sheet'!X54/10^9</f>
        <v>9.3407256239935357E-2</v>
      </c>
      <c r="Y65" s="2">
        <f>Y10*'Output-Calculation-sheet'!Y54/10^9</f>
        <v>5.7868432508111273E-2</v>
      </c>
      <c r="AA65" s="2">
        <f t="shared" si="4"/>
        <v>24.279763320756096</v>
      </c>
    </row>
    <row r="66" spans="1:27" x14ac:dyDescent="0.25">
      <c r="A66" s="2">
        <v>2034</v>
      </c>
      <c r="B66" s="2">
        <f>B11*'Output-Calculation-sheet'!B55/10^9</f>
        <v>8.0937766680087755</v>
      </c>
      <c r="C66" s="2">
        <f>C11*'Output-Calculation-sheet'!C55/10^9</f>
        <v>3.9308508003539049</v>
      </c>
      <c r="D66" s="2">
        <f>D11*'Output-Calculation-sheet'!D55/10^9</f>
        <v>1.5806543217321172</v>
      </c>
      <c r="E66" s="2">
        <f>E11*'Output-Calculation-sheet'!E55/10^9</f>
        <v>2.0472626670227987</v>
      </c>
      <c r="F66" s="2">
        <f>F11*'Output-Calculation-sheet'!F55/10^9</f>
        <v>0.80575579688727839</v>
      </c>
      <c r="G66" s="2">
        <f>G11*'Output-Calculation-sheet'!G55/10^9</f>
        <v>0.58776330239182417</v>
      </c>
      <c r="H66" s="2">
        <f>H11*'Output-Calculation-sheet'!H55/10^9</f>
        <v>1.1816216910322848</v>
      </c>
      <c r="I66" s="2">
        <f>I11*'Output-Calculation-sheet'!I55/10^9</f>
        <v>0.54639600679973888</v>
      </c>
      <c r="J66" s="2">
        <f>J11*'Output-Calculation-sheet'!J55/10^9</f>
        <v>0.55011494378655335</v>
      </c>
      <c r="K66" s="2">
        <f>K11*'Output-Calculation-sheet'!K55/10^9</f>
        <v>0.62639539223467788</v>
      </c>
      <c r="L66" s="2">
        <f>L11*'Output-Calculation-sheet'!L55/10^9</f>
        <v>0.60726964617246471</v>
      </c>
      <c r="M66" s="2">
        <f>M11*'Output-Calculation-sheet'!M55/10^9</f>
        <v>0.82846370647842549</v>
      </c>
      <c r="N66" s="2">
        <f>N11*'Output-Calculation-sheet'!N55/10^9</f>
        <v>0.7853105499673525</v>
      </c>
      <c r="O66" s="2">
        <f>O11*'Output-Calculation-sheet'!O55/10^9</f>
        <v>0.74704872371674336</v>
      </c>
      <c r="P66" s="2">
        <f>P11*'Output-Calculation-sheet'!P55/10^9</f>
        <v>0.64933123282228555</v>
      </c>
      <c r="Q66" s="2">
        <f>Q11*'Output-Calculation-sheet'!Q55/10^9</f>
        <v>0.65382800730583435</v>
      </c>
      <c r="R66" s="2">
        <f>R11*'Output-Calculation-sheet'!R55/10^9</f>
        <v>0.49862964852153646</v>
      </c>
      <c r="S66" s="2">
        <f>S11*'Output-Calculation-sheet'!S55/10^9</f>
        <v>0.45608809420834084</v>
      </c>
      <c r="T66" s="2">
        <f>T11*'Output-Calculation-sheet'!T55/10^9</f>
        <v>0.15623731472969968</v>
      </c>
      <c r="U66" s="2">
        <f>U11*'Output-Calculation-sheet'!U55/10^9</f>
        <v>0.17004109402890835</v>
      </c>
      <c r="V66" s="2">
        <f>V11*'Output-Calculation-sheet'!V55/10^9</f>
        <v>0.14764823115333978</v>
      </c>
      <c r="W66" s="2">
        <f>W11*'Output-Calculation-sheet'!W55/10^9</f>
        <v>7.2337842452633638E-2</v>
      </c>
      <c r="X66" s="2">
        <f>X11*'Output-Calculation-sheet'!X55/10^9</f>
        <v>9.4772236851418765E-2</v>
      </c>
      <c r="Y66" s="2">
        <f>Y11*'Output-Calculation-sheet'!Y55/10^9</f>
        <v>6.9140034908770576E-2</v>
      </c>
      <c r="AA66" s="2">
        <f t="shared" si="4"/>
        <v>25.886737953567707</v>
      </c>
    </row>
    <row r="67" spans="1:27" x14ac:dyDescent="0.25">
      <c r="A67" s="2">
        <v>2035</v>
      </c>
      <c r="B67" s="2">
        <f>B12*'Output-Calculation-sheet'!B56/10^9</f>
        <v>8.6702804134230202</v>
      </c>
      <c r="C67" s="2">
        <f>C12*'Output-Calculation-sheet'!C56/10^9</f>
        <v>4.0556884461036535</v>
      </c>
      <c r="D67" s="2">
        <f>D12*'Output-Calculation-sheet'!D56/10^9</f>
        <v>1.9896617812111643</v>
      </c>
      <c r="E67" s="2">
        <f>E12*'Output-Calculation-sheet'!E56/10^9</f>
        <v>2.6730147497677423</v>
      </c>
      <c r="F67" s="2">
        <f>F12*'Output-Calculation-sheet'!F56/10^9</f>
        <v>1.0682747587817216</v>
      </c>
      <c r="G67" s="2">
        <f>G12*'Output-Calculation-sheet'!G56/10^9</f>
        <v>0.78706842965953083</v>
      </c>
      <c r="H67" s="2">
        <f>H12*'Output-Calculation-sheet'!H56/10^9</f>
        <v>1.2769022450243606</v>
      </c>
      <c r="I67" s="2">
        <f>I12*'Output-Calculation-sheet'!I56/10^9</f>
        <v>0.72122169309949047</v>
      </c>
      <c r="J67" s="2">
        <f>J12*'Output-Calculation-sheet'!J56/10^9</f>
        <v>0.66039998399783595</v>
      </c>
      <c r="K67" s="2">
        <f>K12*'Output-Calculation-sheet'!K56/10^9</f>
        <v>0.79101480820308967</v>
      </c>
      <c r="L67" s="2">
        <f>L12*'Output-Calculation-sheet'!L56/10^9</f>
        <v>0.73722692190363814</v>
      </c>
      <c r="M67" s="2">
        <f>M12*'Output-Calculation-sheet'!M56/10^9</f>
        <v>0.8855296009908451</v>
      </c>
      <c r="N67" s="2">
        <f>N12*'Output-Calculation-sheet'!N56/10^9</f>
        <v>0.86356334184589068</v>
      </c>
      <c r="O67" s="2">
        <f>O12*'Output-Calculation-sheet'!O56/10^9</f>
        <v>0.78762926951136636</v>
      </c>
      <c r="P67" s="2">
        <f>P12*'Output-Calculation-sheet'!P56/10^9</f>
        <v>0.76465317768355845</v>
      </c>
      <c r="Q67" s="2">
        <f>Q12*'Output-Calculation-sheet'!Q56/10^9</f>
        <v>0.75754979283820723</v>
      </c>
      <c r="R67" s="2">
        <f>R12*'Output-Calculation-sheet'!R56/10^9</f>
        <v>0.60903401851702021</v>
      </c>
      <c r="S67" s="2">
        <f>S12*'Output-Calculation-sheet'!S56/10^9</f>
        <v>0.49560756243102666</v>
      </c>
      <c r="T67" s="2">
        <f>T12*'Output-Calculation-sheet'!T56/10^9</f>
        <v>0.18952908919261405</v>
      </c>
      <c r="U67" s="2">
        <f>U12*'Output-Calculation-sheet'!U56/10^9</f>
        <v>0.20489057083291001</v>
      </c>
      <c r="V67" s="2">
        <f>V12*'Output-Calculation-sheet'!V56/10^9</f>
        <v>0.14616871867634229</v>
      </c>
      <c r="W67" s="2">
        <f>W12*'Output-Calculation-sheet'!W56/10^9</f>
        <v>9.9219052269123698E-2</v>
      </c>
      <c r="X67" s="2">
        <f>X12*'Output-Calculation-sheet'!X56/10^9</f>
        <v>9.4966462589479966E-2</v>
      </c>
      <c r="Y67" s="2">
        <f>Y12*'Output-Calculation-sheet'!Y56/10^9</f>
        <v>8.8298468210242662E-2</v>
      </c>
      <c r="AA67" s="2">
        <f t="shared" si="4"/>
        <v>29.417393356763874</v>
      </c>
    </row>
    <row r="68" spans="1:27" x14ac:dyDescent="0.25">
      <c r="B68" s="2">
        <f>SUM(B60:B67)</f>
        <v>39.001774827705255</v>
      </c>
      <c r="C68" s="2">
        <f t="shared" ref="C68:Y68" si="5">SUM(C60:C67)</f>
        <v>18.626576290607254</v>
      </c>
      <c r="D68" s="2">
        <f t="shared" si="5"/>
        <v>8.2030451448753894</v>
      </c>
      <c r="E68" s="2">
        <f t="shared" si="5"/>
        <v>10.241284858757803</v>
      </c>
      <c r="F68" s="2">
        <f t="shared" si="5"/>
        <v>4.3708169849970648</v>
      </c>
      <c r="G68" s="2">
        <f t="shared" si="5"/>
        <v>3.2280299890135247</v>
      </c>
      <c r="H68" s="2">
        <f t="shared" si="5"/>
        <v>5.4818078957033221</v>
      </c>
      <c r="I68" s="2">
        <f t="shared" si="5"/>
        <v>2.7928025838535548</v>
      </c>
      <c r="J68" s="2">
        <f t="shared" si="5"/>
        <v>3.2183424379803078</v>
      </c>
      <c r="K68" s="2">
        <f t="shared" si="5"/>
        <v>2.9517686010618567</v>
      </c>
      <c r="L68" s="2">
        <f t="shared" si="5"/>
        <v>3.0481378260366956</v>
      </c>
      <c r="M68" s="2">
        <f t="shared" si="5"/>
        <v>3.8982206216239663</v>
      </c>
      <c r="N68" s="2">
        <f t="shared" si="5"/>
        <v>3.5998209639147283</v>
      </c>
      <c r="O68" s="2">
        <f t="shared" si="5"/>
        <v>3.4816848647993552</v>
      </c>
      <c r="P68" s="2">
        <f t="shared" si="5"/>
        <v>3.0344592202586003</v>
      </c>
      <c r="Q68" s="2">
        <f t="shared" si="5"/>
        <v>2.961622102190542</v>
      </c>
      <c r="R68" s="2">
        <f t="shared" si="5"/>
        <v>2.4199800124355546</v>
      </c>
      <c r="S68" s="2">
        <f t="shared" si="5"/>
        <v>2.1311637158706884</v>
      </c>
      <c r="T68" s="2">
        <f t="shared" si="5"/>
        <v>0.8340362527753401</v>
      </c>
      <c r="U68" s="2">
        <f t="shared" si="5"/>
        <v>0.79522780997519282</v>
      </c>
      <c r="V68" s="2">
        <f t="shared" si="5"/>
        <v>0.89166209663869667</v>
      </c>
      <c r="W68" s="2">
        <f t="shared" si="5"/>
        <v>0.42511154506712318</v>
      </c>
      <c r="X68" s="2">
        <f t="shared" si="5"/>
        <v>0.46221899576186787</v>
      </c>
      <c r="Y68" s="2">
        <f t="shared" si="5"/>
        <v>0.32366798351605214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51.773811758236604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5.1773811758236601E-2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495.61063325517267</v>
      </c>
      <c r="Q76" s="2">
        <f>Q10/'Output-Calculation-sheet'!Q9*'Output-Calculation-sheet'!Q63</f>
        <v>58.783835985584503</v>
      </c>
      <c r="R76" s="2">
        <f>R10/'Output-Calculation-sheet'!R9*'Output-Calculation-sheet'!R63</f>
        <v>376.56630030363914</v>
      </c>
      <c r="S76" s="2">
        <f>S10/'Output-Calculation-sheet'!S9*'Output-Calculation-sheet'!S63</f>
        <v>0</v>
      </c>
      <c r="T76" s="2">
        <f>T10/'Output-Calculation-sheet'!T9*'Output-Calculation-sheet'!T63</f>
        <v>24.782652100098591</v>
      </c>
      <c r="U76" s="2">
        <f>U10/'Output-Calculation-sheet'!U9*'Output-Calculation-sheet'!U63</f>
        <v>133.99358193610453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6.3555253726799821</v>
      </c>
      <c r="AA76" s="2">
        <f t="shared" si="6"/>
        <v>1.2001368488018891</v>
      </c>
    </row>
    <row r="77" spans="1:27" x14ac:dyDescent="0.25">
      <c r="A77" s="2">
        <v>2034</v>
      </c>
      <c r="B77" s="2">
        <f>B11/'Output-Calculation-sheet'!B10*'Output-Calculation-sheet'!B64</f>
        <v>528.2822099065437</v>
      </c>
      <c r="C77" s="2">
        <f>C11/'Output-Calculation-sheet'!C10*'Output-Calculation-sheet'!C64</f>
        <v>0</v>
      </c>
      <c r="D77" s="2">
        <f>D11/'Output-Calculation-sheet'!D10*'Output-Calculation-sheet'!D64</f>
        <v>1778.188600216909</v>
      </c>
      <c r="E77" s="2">
        <f>E11/'Output-Calculation-sheet'!E10*'Output-Calculation-sheet'!E64</f>
        <v>2226.2894942357871</v>
      </c>
      <c r="F77" s="2">
        <f>F11/'Output-Calculation-sheet'!F10*'Output-Calculation-sheet'!F64</f>
        <v>159.09859046004402</v>
      </c>
      <c r="G77" s="2">
        <f>G11/'Output-Calculation-sheet'!G10*'Output-Calculation-sheet'!G64</f>
        <v>938.97094328399839</v>
      </c>
      <c r="H77" s="2">
        <f>H11/'Output-Calculation-sheet'!H10*'Output-Calculation-sheet'!H64</f>
        <v>146.20277922357781</v>
      </c>
      <c r="I77" s="2">
        <f>I11/'Output-Calculation-sheet'!I10*'Output-Calculation-sheet'!I64</f>
        <v>555.50783366602707</v>
      </c>
      <c r="J77" s="2">
        <f>J11/'Output-Calculation-sheet'!J10*'Output-Calculation-sheet'!J64</f>
        <v>388.96294429356794</v>
      </c>
      <c r="K77" s="2">
        <f>K11/'Output-Calculation-sheet'!K10*'Output-Calculation-sheet'!K64</f>
        <v>848.52345775229969</v>
      </c>
      <c r="L77" s="2">
        <f>L11/'Output-Calculation-sheet'!L10*'Output-Calculation-sheet'!L64</f>
        <v>351.33086922521784</v>
      </c>
      <c r="M77" s="2">
        <f>M11/'Output-Calculation-sheet'!M10*'Output-Calculation-sheet'!M64</f>
        <v>105.29749014004473</v>
      </c>
      <c r="N77" s="2">
        <f>N11/'Output-Calculation-sheet'!N10*'Output-Calculation-sheet'!N64</f>
        <v>34.824846381109069</v>
      </c>
      <c r="O77" s="2">
        <f>O11/'Output-Calculation-sheet'!O10*'Output-Calculation-sheet'!O64</f>
        <v>0</v>
      </c>
      <c r="P77" s="2">
        <f>P11/'Output-Calculation-sheet'!P10*'Output-Calculation-sheet'!P64</f>
        <v>717.07315001741915</v>
      </c>
      <c r="Q77" s="2">
        <f>Q11/'Output-Calculation-sheet'!Q10*'Output-Calculation-sheet'!Q64</f>
        <v>173.10090908373701</v>
      </c>
      <c r="R77" s="2">
        <f>R11/'Output-Calculation-sheet'!R10*'Output-Calculation-sheet'!R64</f>
        <v>891.43029934299454</v>
      </c>
      <c r="S77" s="2">
        <f>S11/'Output-Calculation-sheet'!S10*'Output-Calculation-sheet'!S64</f>
        <v>0</v>
      </c>
      <c r="T77" s="2">
        <f>T11/'Output-Calculation-sheet'!T10*'Output-Calculation-sheet'!T64</f>
        <v>247.21950870954996</v>
      </c>
      <c r="U77" s="2">
        <f>U11/'Output-Calculation-sheet'!U10*'Output-Calculation-sheet'!U64</f>
        <v>327.72389087520548</v>
      </c>
      <c r="V77" s="2">
        <f>V11/'Output-Calculation-sheet'!V10*'Output-Calculation-sheet'!V64</f>
        <v>128.0114771348625</v>
      </c>
      <c r="W77" s="2">
        <f>W11/'Output-Calculation-sheet'!W10*'Output-Calculation-sheet'!W64</f>
        <v>28.260712186561339</v>
      </c>
      <c r="X77" s="2">
        <f>X11/'Output-Calculation-sheet'!X10*'Output-Calculation-sheet'!X64</f>
        <v>10.497004172358544</v>
      </c>
      <c r="Y77" s="2">
        <f>Y11/'Output-Calculation-sheet'!Y10*'Output-Calculation-sheet'!Y64</f>
        <v>59.166594936365087</v>
      </c>
      <c r="AA77" s="2">
        <f t="shared" si="6"/>
        <v>10.64396360524418</v>
      </c>
    </row>
    <row r="78" spans="1:27" x14ac:dyDescent="0.25">
      <c r="A78" s="2">
        <v>2035</v>
      </c>
      <c r="B78" s="2">
        <f>B12/'Output-Calculation-sheet'!B11*'Output-Calculation-sheet'!B65</f>
        <v>96.643145340392692</v>
      </c>
      <c r="C78" s="2">
        <f>C12/'Output-Calculation-sheet'!C11*'Output-Calculation-sheet'!C65</f>
        <v>70.542749797222584</v>
      </c>
      <c r="D78" s="2">
        <f>D12/'Output-Calculation-sheet'!D11*'Output-Calculation-sheet'!D65</f>
        <v>2033.3557565747662</v>
      </c>
      <c r="E78" s="2">
        <f>E12/'Output-Calculation-sheet'!E11*'Output-Calculation-sheet'!E65</f>
        <v>1817.6264665454407</v>
      </c>
      <c r="F78" s="2">
        <f>F12/'Output-Calculation-sheet'!F11*'Output-Calculation-sheet'!F65</f>
        <v>818.34262003654146</v>
      </c>
      <c r="G78" s="2">
        <f>G12/'Output-Calculation-sheet'!G11*'Output-Calculation-sheet'!G65</f>
        <v>1574.5023704441542</v>
      </c>
      <c r="H78" s="2">
        <f>H12/'Output-Calculation-sheet'!H11*'Output-Calculation-sheet'!H65</f>
        <v>27.663304324124468</v>
      </c>
      <c r="I78" s="2">
        <f>I12/'Output-Calculation-sheet'!I11*'Output-Calculation-sheet'!I65</f>
        <v>915.52298264842022</v>
      </c>
      <c r="J78" s="2">
        <f>J12/'Output-Calculation-sheet'!J11*'Output-Calculation-sheet'!J65</f>
        <v>822.63379705559316</v>
      </c>
      <c r="K78" s="2">
        <f>K12/'Output-Calculation-sheet'!K11*'Output-Calculation-sheet'!K65</f>
        <v>1038.1050428542455</v>
      </c>
      <c r="L78" s="2">
        <f>L12/'Output-Calculation-sheet'!L11*'Output-Calculation-sheet'!L65</f>
        <v>615.33596060669072</v>
      </c>
      <c r="M78" s="2">
        <f>M12/'Output-Calculation-sheet'!M11*'Output-Calculation-sheet'!M65</f>
        <v>18.95496283865425</v>
      </c>
      <c r="N78" s="2">
        <f>N12/'Output-Calculation-sheet'!N11*'Output-Calculation-sheet'!N65</f>
        <v>16.224812478535679</v>
      </c>
      <c r="O78" s="2">
        <f>O12/'Output-Calculation-sheet'!O11*'Output-Calculation-sheet'!O65</f>
        <v>3.2306361842203177</v>
      </c>
      <c r="P78" s="2">
        <f>P12/'Output-Calculation-sheet'!P11*'Output-Calculation-sheet'!P65</f>
        <v>272.97005503647819</v>
      </c>
      <c r="Q78" s="2">
        <f>Q12/'Output-Calculation-sheet'!Q11*'Output-Calculation-sheet'!Q65</f>
        <v>259.91864500017812</v>
      </c>
      <c r="R78" s="2">
        <f>R12/'Output-Calculation-sheet'!R11*'Output-Calculation-sheet'!R65</f>
        <v>1190.7220248994436</v>
      </c>
      <c r="S78" s="2">
        <f>S12/'Output-Calculation-sheet'!S11*'Output-Calculation-sheet'!S65</f>
        <v>7.2203206583690136</v>
      </c>
      <c r="T78" s="2">
        <f>T12/'Output-Calculation-sheet'!T11*'Output-Calculation-sheet'!T65</f>
        <v>427.14014203443008</v>
      </c>
      <c r="U78" s="2">
        <f>U12/'Output-Calculation-sheet'!U11*'Output-Calculation-sheet'!U65</f>
        <v>364.21377531707844</v>
      </c>
      <c r="V78" s="2">
        <f>V12/'Output-Calculation-sheet'!V11*'Output-Calculation-sheet'!V65</f>
        <v>229.9181564420422</v>
      </c>
      <c r="W78" s="2">
        <f>W12/'Output-Calculation-sheet'!W11*'Output-Calculation-sheet'!W65</f>
        <v>165.46658439971739</v>
      </c>
      <c r="X78" s="2">
        <f>X12/'Output-Calculation-sheet'!X11*'Output-Calculation-sheet'!X65</f>
        <v>2.4201310202235744</v>
      </c>
      <c r="Y78" s="2">
        <f>Y12/'Output-Calculation-sheet'!Y11*'Output-Calculation-sheet'!Y65</f>
        <v>48.451081225803215</v>
      </c>
      <c r="AA78" s="2">
        <f t="shared" si="6"/>
        <v>12.837125523762767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24.510054613338241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128.81079949921235</v>
      </c>
      <c r="E89" s="2">
        <f>E12/'Output-Calculation-sheet'!E11*'Output-Calculation-sheet'!E74</f>
        <v>90.085905727834231</v>
      </c>
      <c r="F89" s="2">
        <f>F12/'Output-Calculation-sheet'!F11*'Output-Calculation-sheet'!F74</f>
        <v>54.082480813343984</v>
      </c>
      <c r="G89" s="2">
        <f>G12/'Output-Calculation-sheet'!G11*'Output-Calculation-sheet'!G74</f>
        <v>48.055639643170075</v>
      </c>
      <c r="H89" s="2">
        <f>H12/'Output-Calculation-sheet'!H11*'Output-Calculation-sheet'!H74</f>
        <v>7.1620205369901537</v>
      </c>
      <c r="I89" s="2">
        <f>I12/'Output-Calculation-sheet'!I11*'Output-Calculation-sheet'!I74</f>
        <v>44.885504356168518</v>
      </c>
      <c r="J89" s="2">
        <f>J12/'Output-Calculation-sheet'!J11*'Output-Calculation-sheet'!J74</f>
        <v>26.324018265596326</v>
      </c>
      <c r="K89" s="2">
        <f>K12/'Output-Calculation-sheet'!K11*'Output-Calculation-sheet'!K74</f>
        <v>52.284807164723688</v>
      </c>
      <c r="L89" s="2">
        <f>L12/'Output-Calculation-sheet'!L11*'Output-Calculation-sheet'!L74</f>
        <v>35.078460507617088</v>
      </c>
      <c r="M89" s="2">
        <f>M12/'Output-Calculation-sheet'!M11*'Output-Calculation-sheet'!M74</f>
        <v>6.1602089173396983</v>
      </c>
      <c r="N89" s="2">
        <f>N12/'Output-Calculation-sheet'!N11*'Output-Calculation-sheet'!N74</f>
        <v>4.8435890674037401</v>
      </c>
      <c r="O89" s="2">
        <f>O12/'Output-Calculation-sheet'!O11*'Output-Calculation-sheet'!O74</f>
        <v>2.2599763443304077</v>
      </c>
      <c r="P89" s="2">
        <f>P12/'Output-Calculation-sheet'!P11*'Output-Calculation-sheet'!P74</f>
        <v>5.5932818961969328</v>
      </c>
      <c r="Q89" s="2">
        <f>Q12/'Output-Calculation-sheet'!Q11*'Output-Calculation-sheet'!Q74</f>
        <v>57.290295684370513</v>
      </c>
      <c r="R89" s="2">
        <f>R12/'Output-Calculation-sheet'!R11*'Output-Calculation-sheet'!R74</f>
        <v>26.302836087774423</v>
      </c>
      <c r="S89" s="2">
        <f>S12/'Output-Calculation-sheet'!S11*'Output-Calculation-sheet'!S74</f>
        <v>2.082384346770529</v>
      </c>
      <c r="T89" s="2">
        <f>T12/'Output-Calculation-sheet'!T11*'Output-Calculation-sheet'!T74</f>
        <v>6.2278774412394817</v>
      </c>
      <c r="U89" s="2">
        <f>U12/'Output-Calculation-sheet'!U11*'Output-Calculation-sheet'!U74</f>
        <v>11.509030867085951</v>
      </c>
      <c r="V89" s="2">
        <f>V12/'Output-Calculation-sheet'!V11*'Output-Calculation-sheet'!V74</f>
        <v>1.5660826262476397</v>
      </c>
      <c r="W89" s="2">
        <f>W12/'Output-Calculation-sheet'!W11*'Output-Calculation-sheet'!W74</f>
        <v>4.0683613434381014</v>
      </c>
      <c r="X89" s="2">
        <f>X12/'Output-Calculation-sheet'!X11*'Output-Calculation-sheet'!X74</f>
        <v>0.27031509217285543</v>
      </c>
      <c r="Y89" s="2">
        <f>Y12/'Output-Calculation-sheet'!Y11*'Output-Calculation-sheet'!Y74</f>
        <v>2.8694515805123677</v>
      </c>
      <c r="AA89" s="2">
        <f t="shared" si="7"/>
        <v>0.64813990203016802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11701557664.024778</v>
      </c>
      <c r="C96" s="2">
        <f>C8/'Output-Calculation-sheet'!C7*'Output-Calculation-sheet'!C79</f>
        <v>3958697793.6024237</v>
      </c>
      <c r="D96" s="2">
        <f>D8/'Output-Calculation-sheet'!D7*'Output-Calculation-sheet'!D79</f>
        <v>4132598772.1585279</v>
      </c>
      <c r="E96" s="2">
        <f>E8/'Output-Calculation-sheet'!E7*'Output-Calculation-sheet'!E79</f>
        <v>7347420141.4794569</v>
      </c>
      <c r="F96" s="2">
        <f>F8/'Output-Calculation-sheet'!F7*'Output-Calculation-sheet'!F79</f>
        <v>3041024105.2604332</v>
      </c>
      <c r="G96" s="2">
        <f>G8/'Output-Calculation-sheet'!G7*'Output-Calculation-sheet'!G79</f>
        <v>2368712891.4582529</v>
      </c>
      <c r="H96" s="2">
        <f>H8/'Output-Calculation-sheet'!H7*'Output-Calculation-sheet'!H79</f>
        <v>2027487356.4585288</v>
      </c>
      <c r="I96" s="2">
        <f>I8/'Output-Calculation-sheet'!I7*'Output-Calculation-sheet'!I79</f>
        <v>1650056264.6582763</v>
      </c>
      <c r="J96" s="2">
        <f>J8/'Output-Calculation-sheet'!J7*'Output-Calculation-sheet'!J79</f>
        <v>1115807526.716186</v>
      </c>
      <c r="K96" s="2">
        <f>K8/'Output-Calculation-sheet'!K7*'Output-Calculation-sheet'!K79</f>
        <v>1596390081.9190395</v>
      </c>
      <c r="L96" s="2">
        <f>L8/'Output-Calculation-sheet'!L7*'Output-Calculation-sheet'!L79</f>
        <v>1126414164.8666129</v>
      </c>
      <c r="M96" s="2">
        <f>M8/'Output-Calculation-sheet'!M7*'Output-Calculation-sheet'!M79</f>
        <v>1513478325.0951636</v>
      </c>
      <c r="N96" s="2">
        <f>N8/'Output-Calculation-sheet'!N7*'Output-Calculation-sheet'!N79</f>
        <v>1126146773.0145562</v>
      </c>
      <c r="O96" s="2">
        <f>O8/'Output-Calculation-sheet'!O7*'Output-Calculation-sheet'!O79</f>
        <v>569304770.96747136</v>
      </c>
      <c r="P96" s="2">
        <f>P8/'Output-Calculation-sheet'!P7*'Output-Calculation-sheet'!P79</f>
        <v>1904217411.1140361</v>
      </c>
      <c r="Q96" s="2">
        <f>Q8/'Output-Calculation-sheet'!Q7*'Output-Calculation-sheet'!Q79</f>
        <v>887445271.33260787</v>
      </c>
      <c r="R96" s="2">
        <f>R8/'Output-Calculation-sheet'!R7*'Output-Calculation-sheet'!R79</f>
        <v>1107195355.0551157</v>
      </c>
      <c r="S96" s="2">
        <f>S8/'Output-Calculation-sheet'!S7*'Output-Calculation-sheet'!S79</f>
        <v>645143477.00881159</v>
      </c>
      <c r="T96" s="2">
        <f>T8/'Output-Calculation-sheet'!T7*'Output-Calculation-sheet'!T79</f>
        <v>492738801.1874966</v>
      </c>
      <c r="U96" s="2">
        <f>U8/'Output-Calculation-sheet'!U7*'Output-Calculation-sheet'!U79</f>
        <v>309526450.77241385</v>
      </c>
      <c r="V96" s="2">
        <f>V8/'Output-Calculation-sheet'!V7*'Output-Calculation-sheet'!V79</f>
        <v>160597742.08727631</v>
      </c>
      <c r="W96" s="2">
        <f>W8/'Output-Calculation-sheet'!W7*'Output-Calculation-sheet'!W79</f>
        <v>474557212.54356772</v>
      </c>
      <c r="X96" s="2">
        <f>X8/'Output-Calculation-sheet'!X7*'Output-Calculation-sheet'!X79</f>
        <v>166792506.23687881</v>
      </c>
      <c r="Y96" s="2">
        <f>Y8/'Output-Calculation-sheet'!Y7*'Output-Calculation-sheet'!Y79</f>
        <v>260861205.07985663</v>
      </c>
      <c r="AA96" s="2">
        <f t="shared" si="8"/>
        <v>49.684172064097773</v>
      </c>
    </row>
    <row r="97" spans="1:27" x14ac:dyDescent="0.25">
      <c r="A97" s="2">
        <v>2032</v>
      </c>
      <c r="B97" s="2">
        <f>B9/'Output-Calculation-sheet'!B8*'Output-Calculation-sheet'!B80</f>
        <v>16044367050.533125</v>
      </c>
      <c r="C97" s="2">
        <f>C9/'Output-Calculation-sheet'!C8*'Output-Calculation-sheet'!C80</f>
        <v>5464807593.7044849</v>
      </c>
      <c r="D97" s="2">
        <f>D9/'Output-Calculation-sheet'!D8*'Output-Calculation-sheet'!D80</f>
        <v>5445121464.3778133</v>
      </c>
      <c r="E97" s="2">
        <f>E9/'Output-Calculation-sheet'!E8*'Output-Calculation-sheet'!E80</f>
        <v>9958327369.9798222</v>
      </c>
      <c r="F97" s="2">
        <f>F9/'Output-Calculation-sheet'!F8*'Output-Calculation-sheet'!F80</f>
        <v>4113784380.7276068</v>
      </c>
      <c r="G97" s="2">
        <f>G9/'Output-Calculation-sheet'!G8*'Output-Calculation-sheet'!G80</f>
        <v>3113915961.0846844</v>
      </c>
      <c r="H97" s="2">
        <f>H9/'Output-Calculation-sheet'!H8*'Output-Calculation-sheet'!H80</f>
        <v>2739619664.9449</v>
      </c>
      <c r="I97" s="2">
        <f>I9/'Output-Calculation-sheet'!I8*'Output-Calculation-sheet'!I80</f>
        <v>2253584061.7532783</v>
      </c>
      <c r="J97" s="2">
        <f>J9/'Output-Calculation-sheet'!J8*'Output-Calculation-sheet'!J80</f>
        <v>1481519393.0748899</v>
      </c>
      <c r="K97" s="2">
        <f>K9/'Output-Calculation-sheet'!K8*'Output-Calculation-sheet'!K80</f>
        <v>2135923901.9447751</v>
      </c>
      <c r="L97" s="2">
        <f>L9/'Output-Calculation-sheet'!L8*'Output-Calculation-sheet'!L80</f>
        <v>1554603295.7042618</v>
      </c>
      <c r="M97" s="2">
        <f>M9/'Output-Calculation-sheet'!M8*'Output-Calculation-sheet'!M80</f>
        <v>2051128726.6524727</v>
      </c>
      <c r="N97" s="2">
        <f>N9/'Output-Calculation-sheet'!N8*'Output-Calculation-sheet'!N80</f>
        <v>1498620908.2992046</v>
      </c>
      <c r="O97" s="2">
        <f>O9/'Output-Calculation-sheet'!O8*'Output-Calculation-sheet'!O80</f>
        <v>775287290.57085562</v>
      </c>
      <c r="P97" s="2">
        <f>P9/'Output-Calculation-sheet'!P8*'Output-Calculation-sheet'!P80</f>
        <v>2536610688.0979638</v>
      </c>
      <c r="Q97" s="2">
        <f>Q9/'Output-Calculation-sheet'!Q8*'Output-Calculation-sheet'!Q80</f>
        <v>1186527176.5178368</v>
      </c>
      <c r="R97" s="2">
        <f>R9/'Output-Calculation-sheet'!R8*'Output-Calculation-sheet'!R80</f>
        <v>1499176882.2091584</v>
      </c>
      <c r="S97" s="2">
        <f>S9/'Output-Calculation-sheet'!S8*'Output-Calculation-sheet'!S80</f>
        <v>870115986.62957466</v>
      </c>
      <c r="T97" s="2">
        <f>T9/'Output-Calculation-sheet'!T8*'Output-Calculation-sheet'!T80</f>
        <v>655224907.6472882</v>
      </c>
      <c r="U97" s="2">
        <f>U9/'Output-Calculation-sheet'!U8*'Output-Calculation-sheet'!U80</f>
        <v>418881212.69871569</v>
      </c>
      <c r="V97" s="2">
        <f>V9/'Output-Calculation-sheet'!V8*'Output-Calculation-sheet'!V80</f>
        <v>219635366.32959002</v>
      </c>
      <c r="W97" s="2">
        <f>W9/'Output-Calculation-sheet'!W8*'Output-Calculation-sheet'!W80</f>
        <v>636073520.5148257</v>
      </c>
      <c r="X97" s="2">
        <f>X9/'Output-Calculation-sheet'!X8*'Output-Calculation-sheet'!X80</f>
        <v>228410564.97767141</v>
      </c>
      <c r="Y97" s="2">
        <f>Y9/'Output-Calculation-sheet'!Y8*'Output-Calculation-sheet'!Y80</f>
        <v>349625536.5034017</v>
      </c>
      <c r="AA97" s="2">
        <f t="shared" si="8"/>
        <v>67.2308929054782</v>
      </c>
    </row>
    <row r="98" spans="1:27" x14ac:dyDescent="0.25">
      <c r="A98" s="2">
        <v>2033</v>
      </c>
      <c r="B98" s="2">
        <f>B10/'Output-Calculation-sheet'!B9*'Output-Calculation-sheet'!B81</f>
        <v>20672339975.635941</v>
      </c>
      <c r="C98" s="2">
        <f>C10/'Output-Calculation-sheet'!C9*'Output-Calculation-sheet'!C81</f>
        <v>7087516875.7970018</v>
      </c>
      <c r="D98" s="2">
        <f>D10/'Output-Calculation-sheet'!D9*'Output-Calculation-sheet'!D81</f>
        <v>6745125579.7650356</v>
      </c>
      <c r="E98" s="2">
        <f>E10/'Output-Calculation-sheet'!E9*'Output-Calculation-sheet'!E81</f>
        <v>12688018726.997892</v>
      </c>
      <c r="F98" s="2">
        <f>F10/'Output-Calculation-sheet'!F9*'Output-Calculation-sheet'!F81</f>
        <v>5232846060.7441502</v>
      </c>
      <c r="G98" s="2">
        <f>G10/'Output-Calculation-sheet'!G9*'Output-Calculation-sheet'!G81</f>
        <v>3842121202.3997784</v>
      </c>
      <c r="H98" s="2">
        <f>H10/'Output-Calculation-sheet'!H9*'Output-Calculation-sheet'!H81</f>
        <v>3481000348.1634231</v>
      </c>
      <c r="I98" s="2">
        <f>I10/'Output-Calculation-sheet'!I9*'Output-Calculation-sheet'!I81</f>
        <v>2893727256.0533009</v>
      </c>
      <c r="J98" s="2">
        <f>J10/'Output-Calculation-sheet'!J9*'Output-Calculation-sheet'!J81</f>
        <v>1850316547.8367546</v>
      </c>
      <c r="K98" s="2">
        <f>K10/'Output-Calculation-sheet'!K9*'Output-Calculation-sheet'!K81</f>
        <v>2687662318.3741159</v>
      </c>
      <c r="L98" s="2">
        <f>L10/'Output-Calculation-sheet'!L9*'Output-Calculation-sheet'!L81</f>
        <v>2015791770.21539</v>
      </c>
      <c r="M98" s="2">
        <f>M10/'Output-Calculation-sheet'!M9*'Output-Calculation-sheet'!M81</f>
        <v>2614081862.2072206</v>
      </c>
      <c r="N98" s="2">
        <f>N10/'Output-Calculation-sheet'!N9*'Output-Calculation-sheet'!N81</f>
        <v>1875396286.8621833</v>
      </c>
      <c r="O98" s="2">
        <f>O10/'Output-Calculation-sheet'!O9*'Output-Calculation-sheet'!O81</f>
        <v>993126830.296574</v>
      </c>
      <c r="P98" s="2">
        <f>P10/'Output-Calculation-sheet'!P9*'Output-Calculation-sheet'!P81</f>
        <v>3173764785.344718</v>
      </c>
      <c r="Q98" s="2">
        <f>Q10/'Output-Calculation-sheet'!Q9*'Output-Calculation-sheet'!Q81</f>
        <v>1492221058.4968247</v>
      </c>
      <c r="R98" s="2">
        <f>R10/'Output-Calculation-sheet'!R9*'Output-Calculation-sheet'!R81</f>
        <v>1908781797.2168989</v>
      </c>
      <c r="S98" s="2">
        <f>S10/'Output-Calculation-sheet'!S9*'Output-Calculation-sheet'!S81</f>
        <v>1103612439.4298072</v>
      </c>
      <c r="T98" s="2">
        <f>T10/'Output-Calculation-sheet'!T9*'Output-Calculation-sheet'!T81</f>
        <v>818922245.33446991</v>
      </c>
      <c r="U98" s="2">
        <f>U10/'Output-Calculation-sheet'!U9*'Output-Calculation-sheet'!U81</f>
        <v>532844746.97117317</v>
      </c>
      <c r="V98" s="2">
        <f>V10/'Output-Calculation-sheet'!V9*'Output-Calculation-sheet'!V81</f>
        <v>282202488.35698253</v>
      </c>
      <c r="W98" s="2">
        <f>W10/'Output-Calculation-sheet'!W9*'Output-Calculation-sheet'!W81</f>
        <v>800147441.63779259</v>
      </c>
      <c r="X98" s="2">
        <f>X10/'Output-Calculation-sheet'!X9*'Output-Calculation-sheet'!X81</f>
        <v>294028295.79944104</v>
      </c>
      <c r="Y98" s="2">
        <f>Y10/'Output-Calculation-sheet'!Y9*'Output-Calculation-sheet'!Y81</f>
        <v>439968664.87773198</v>
      </c>
      <c r="AA98" s="2">
        <f t="shared" si="8"/>
        <v>85.525565604814574</v>
      </c>
    </row>
    <row r="99" spans="1:27" x14ac:dyDescent="0.25">
      <c r="A99" s="2">
        <v>2034</v>
      </c>
      <c r="B99" s="2">
        <f>B11/'Output-Calculation-sheet'!B10*'Output-Calculation-sheet'!B82</f>
        <v>25558111386.56723</v>
      </c>
      <c r="C99" s="2">
        <f>C11/'Output-Calculation-sheet'!C10*'Output-Calculation-sheet'!C82</f>
        <v>8818614880.4994602</v>
      </c>
      <c r="D99" s="2">
        <f>D11/'Output-Calculation-sheet'!D10*'Output-Calculation-sheet'!D82</f>
        <v>8022419245.9125872</v>
      </c>
      <c r="E99" s="2">
        <f>E11/'Output-Calculation-sheet'!E10*'Output-Calculation-sheet'!E82</f>
        <v>15518684719.607281</v>
      </c>
      <c r="F99" s="2">
        <f>F11/'Output-Calculation-sheet'!F10*'Output-Calculation-sheet'!F82</f>
        <v>6391351224.7385902</v>
      </c>
      <c r="G99" s="2">
        <f>G11/'Output-Calculation-sheet'!G10*'Output-Calculation-sheet'!G82</f>
        <v>4543802907.3074875</v>
      </c>
      <c r="H99" s="2">
        <f>H11/'Output-Calculation-sheet'!H10*'Output-Calculation-sheet'!H82</f>
        <v>4247015353.1632867</v>
      </c>
      <c r="I99" s="2">
        <f>I11/'Output-Calculation-sheet'!I10*'Output-Calculation-sheet'!I82</f>
        <v>3567184808.4879837</v>
      </c>
      <c r="J99" s="2">
        <f>J11/'Output-Calculation-sheet'!J10*'Output-Calculation-sheet'!J82</f>
        <v>2219851155.0803723</v>
      </c>
      <c r="K99" s="2">
        <f>K11/'Output-Calculation-sheet'!K10*'Output-Calculation-sheet'!K82</f>
        <v>3247937335.9047527</v>
      </c>
      <c r="L99" s="2">
        <f>L11/'Output-Calculation-sheet'!L10*'Output-Calculation-sheet'!L82</f>
        <v>2507649843.5237927</v>
      </c>
      <c r="M99" s="2">
        <f>M11/'Output-Calculation-sheet'!M10*'Output-Calculation-sheet'!M82</f>
        <v>3199195453.1953225</v>
      </c>
      <c r="N99" s="2">
        <f>N11/'Output-Calculation-sheet'!N10*'Output-Calculation-sheet'!N82</f>
        <v>2253832028.5723934</v>
      </c>
      <c r="O99" s="2">
        <f>O11/'Output-Calculation-sheet'!O10*'Output-Calculation-sheet'!O82</f>
        <v>1221914076.950469</v>
      </c>
      <c r="P99" s="2">
        <f>P11/'Output-Calculation-sheet'!P10*'Output-Calculation-sheet'!P82</f>
        <v>3809006362.950542</v>
      </c>
      <c r="Q99" s="2">
        <f>Q11/'Output-Calculation-sheet'!Q10*'Output-Calculation-sheet'!Q82</f>
        <v>1802657410.5863638</v>
      </c>
      <c r="R99" s="2">
        <f>R11/'Output-Calculation-sheet'!R10*'Output-Calculation-sheet'!R82</f>
        <v>2333535938.8530173</v>
      </c>
      <c r="S99" s="2">
        <f>S11/'Output-Calculation-sheet'!S10*'Output-Calculation-sheet'!S82</f>
        <v>1344178681.4817209</v>
      </c>
      <c r="T99" s="2">
        <f>T11/'Output-Calculation-sheet'!T10*'Output-Calculation-sheet'!T82</f>
        <v>982433903.32859921</v>
      </c>
      <c r="U99" s="2">
        <f>U11/'Output-Calculation-sheet'!U10*'Output-Calculation-sheet'!U82</f>
        <v>650588764.05692267</v>
      </c>
      <c r="V99" s="2">
        <f>V11/'Output-Calculation-sheet'!V10*'Output-Calculation-sheet'!V82</f>
        <v>347859924.06221867</v>
      </c>
      <c r="W99" s="2">
        <f>W11/'Output-Calculation-sheet'!W10*'Output-Calculation-sheet'!W82</f>
        <v>964635611.49919951</v>
      </c>
      <c r="X99" s="2">
        <f>X11/'Output-Calculation-sheet'!X10*'Output-Calculation-sheet'!X82</f>
        <v>363306531.41988003</v>
      </c>
      <c r="Y99" s="2">
        <f>Y11/'Output-Calculation-sheet'!Y10*'Output-Calculation-sheet'!Y82</f>
        <v>530853038.18462533</v>
      </c>
      <c r="AA99" s="2">
        <f t="shared" si="8"/>
        <v>104.4466205859341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1707.3139221507772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525.56417751115225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361.63930178274546</v>
      </c>
      <c r="N107" s="2">
        <f>N8/'Output-Calculation-sheet'!N7*'Output-Calculation-sheet'!N88</f>
        <v>142.1731139286486</v>
      </c>
      <c r="O107" s="2">
        <f>O8/'Output-Calculation-sheet'!O7*'Output-Calculation-sheet'!O88</f>
        <v>398.02039744560562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39.672583554579496</v>
      </c>
      <c r="Y107" s="2">
        <f>Y8/'Output-Calculation-sheet'!Y7*'Output-Calculation-sheet'!Y88</f>
        <v>0</v>
      </c>
      <c r="AA107" s="2">
        <f t="shared" si="9"/>
        <v>3.1743834963735087</v>
      </c>
    </row>
    <row r="108" spans="1:27" x14ac:dyDescent="0.25">
      <c r="A108" s="2">
        <v>2032</v>
      </c>
      <c r="B108" s="2">
        <f>B9/'Output-Calculation-sheet'!B8*'Output-Calculation-sheet'!B89</f>
        <v>789.59962756944094</v>
      </c>
      <c r="C108" s="2">
        <f>C9/'Output-Calculation-sheet'!C8*'Output-Calculation-sheet'!C89</f>
        <v>2998.0980707682738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807.54412556515376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555.66894819794481</v>
      </c>
      <c r="N108" s="2">
        <f>N9/'Output-Calculation-sheet'!N8*'Output-Calculation-sheet'!N89</f>
        <v>390.09461464440579</v>
      </c>
      <c r="O108" s="2">
        <f>O9/'Output-Calculation-sheet'!O8*'Output-Calculation-sheet'!O89</f>
        <v>582.447165606211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178.89255987449886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60.958039315405166</v>
      </c>
      <c r="Y108" s="2">
        <f>Y9/'Output-Calculation-sheet'!Y8*'Output-Calculation-sheet'!Y89</f>
        <v>0</v>
      </c>
      <c r="AA108" s="2">
        <f t="shared" si="9"/>
        <v>6.3633031515413343</v>
      </c>
    </row>
    <row r="109" spans="1:27" x14ac:dyDescent="0.25">
      <c r="A109" s="2">
        <v>2033</v>
      </c>
      <c r="B109" s="2">
        <f>B10/'Output-Calculation-sheet'!B9*'Output-Calculation-sheet'!B90</f>
        <v>4240.8686353780204</v>
      </c>
      <c r="C109" s="2">
        <f>C10/'Output-Calculation-sheet'!C9*'Output-Calculation-sheet'!C90</f>
        <v>4025.6288219279681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1239.2134061066454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852.69942305897678</v>
      </c>
      <c r="N109" s="2">
        <f>N10/'Output-Calculation-sheet'!N9*'Output-Calculation-sheet'!N90</f>
        <v>670.45219711372113</v>
      </c>
      <c r="O109" s="2">
        <f>O10/'Output-Calculation-sheet'!O9*'Output-Calculation-sheet'!O90</f>
        <v>782.06784493669784</v>
      </c>
      <c r="P109" s="2">
        <f>P10/'Output-Calculation-sheet'!P9*'Output-Calculation-sheet'!P90</f>
        <v>0</v>
      </c>
      <c r="Q109" s="2">
        <f>Q10/'Output-Calculation-sheet'!Q9*'Output-Calculation-sheet'!Q90</f>
        <v>146.85469375413689</v>
      </c>
      <c r="R109" s="2">
        <f>R10/'Output-Calculation-sheet'!R9*'Output-Calculation-sheet'!R90</f>
        <v>0</v>
      </c>
      <c r="S109" s="2">
        <f>S10/'Output-Calculation-sheet'!S9*'Output-Calculation-sheet'!S90</f>
        <v>336.28555146783464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93.542900181163404</v>
      </c>
      <c r="Y109" s="2">
        <f>Y10/'Output-Calculation-sheet'!Y9*'Output-Calculation-sheet'!Y90</f>
        <v>0</v>
      </c>
      <c r="AA109" s="2">
        <f t="shared" si="9"/>
        <v>12.387613473925164</v>
      </c>
    </row>
    <row r="110" spans="1:27" x14ac:dyDescent="0.25">
      <c r="A110" s="2">
        <v>2034</v>
      </c>
      <c r="B110" s="2">
        <f>B11/'Output-Calculation-sheet'!B10*'Output-Calculation-sheet'!B91</f>
        <v>8092.2077643119028</v>
      </c>
      <c r="C110" s="2">
        <f>C11/'Output-Calculation-sheet'!C10*'Output-Calculation-sheet'!C91</f>
        <v>5547.7487033975922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1576.4022591787937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1084.7181690309637</v>
      </c>
      <c r="N110" s="2">
        <f>N11/'Output-Calculation-sheet'!N10*'Output-Calculation-sheet'!N91</f>
        <v>977.26020888577614</v>
      </c>
      <c r="O110" s="2">
        <f>O11/'Output-Calculation-sheet'!O10*'Output-Calculation-sheet'!O91</f>
        <v>1077.7734522077974</v>
      </c>
      <c r="P110" s="2">
        <f>P11/'Output-Calculation-sheet'!P10*'Output-Calculation-sheet'!P91</f>
        <v>246.22275716327826</v>
      </c>
      <c r="Q110" s="2">
        <f>Q11/'Output-Calculation-sheet'!Q10*'Output-Calculation-sheet'!Q91</f>
        <v>544.87336114774575</v>
      </c>
      <c r="R110" s="2">
        <f>R11/'Output-Calculation-sheet'!R10*'Output-Calculation-sheet'!R91</f>
        <v>0</v>
      </c>
      <c r="S110" s="2">
        <f>S11/'Output-Calculation-sheet'!S10*'Output-Calculation-sheet'!S91</f>
        <v>560.1992884163077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118.99583917431566</v>
      </c>
      <c r="Y110" s="2">
        <f>Y11/'Output-Calculation-sheet'!Y10*'Output-Calculation-sheet'!Y91</f>
        <v>19.138876830203731</v>
      </c>
      <c r="AA110" s="2">
        <f t="shared" si="9"/>
        <v>19.84554067974468</v>
      </c>
    </row>
    <row r="111" spans="1:27" x14ac:dyDescent="0.25">
      <c r="A111" s="2">
        <v>2035</v>
      </c>
      <c r="B111" s="2">
        <f>B12/'Output-Calculation-sheet'!B11*'Output-Calculation-sheet'!B92</f>
        <v>14154.556539202835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2522.4053603793586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1033.6384944171932</v>
      </c>
      <c r="Q111" s="2">
        <f>Q12/'Output-Calculation-sheet'!Q11*'Output-Calculation-sheet'!Q92</f>
        <v>735.22546128275496</v>
      </c>
      <c r="R111" s="2">
        <f>R12/'Output-Calculation-sheet'!R11*'Output-Calculation-sheet'!R92</f>
        <v>0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100.43080531793287</v>
      </c>
      <c r="AA111" s="2">
        <f t="shared" si="9"/>
        <v>32.416926118282426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1369139736.4718914</v>
      </c>
      <c r="C118" s="2">
        <f>C8/'Output-Calculation-sheet'!C7*'Output-Calculation-sheet'!C97</f>
        <v>8026051705.9594927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2469451337.0996537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1715246754.4498057</v>
      </c>
      <c r="N118" s="2">
        <f>N8/'Output-Calculation-sheet'!N7*'Output-Calculation-sheet'!N97</f>
        <v>1345979642.4216328</v>
      </c>
      <c r="O118" s="2">
        <f>O8/'Output-Calculation-sheet'!O7*'Output-Calculation-sheet'!O97</f>
        <v>895630322.82176781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486919095.00544995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184871044.94852176</v>
      </c>
      <c r="Y118" s="2">
        <f>Y8/'Output-Calculation-sheet'!Y7*'Output-Calculation-sheet'!Y97</f>
        <v>0</v>
      </c>
      <c r="AA118" s="2">
        <f t="shared" si="10"/>
        <v>16493.289639178216</v>
      </c>
    </row>
    <row r="119" spans="1:27" x14ac:dyDescent="0.25">
      <c r="A119" s="2">
        <v>2032</v>
      </c>
      <c r="B119" s="2">
        <f>B9/'Output-Calculation-sheet'!B8*'Output-Calculation-sheet'!B98</f>
        <v>5923617424.1884174</v>
      </c>
      <c r="C119" s="2">
        <f>C9/'Output-Calculation-sheet'!C8*'Output-Calculation-sheet'!C98</f>
        <v>4708210776.8133364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2814578937.0975451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1964586638.4791431</v>
      </c>
      <c r="N119" s="2">
        <f>N9/'Output-Calculation-sheet'!N8*'Output-Calculation-sheet'!N98</f>
        <v>1326021772.8924479</v>
      </c>
      <c r="O119" s="2">
        <f>O9/'Output-Calculation-sheet'!O8*'Output-Calculation-sheet'!O98</f>
        <v>919897386.3112992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551364758.78919291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210217813.44076228</v>
      </c>
      <c r="Y119" s="2">
        <f>Y9/'Output-Calculation-sheet'!Y8*'Output-Calculation-sheet'!Y98</f>
        <v>0</v>
      </c>
      <c r="AA119" s="2">
        <f t="shared" si="10"/>
        <v>18418.495508012147</v>
      </c>
    </row>
    <row r="120" spans="1:27" x14ac:dyDescent="0.25">
      <c r="A120" s="2">
        <v>2033</v>
      </c>
      <c r="B120" s="2">
        <f>B10/'Output-Calculation-sheet'!B9*'Output-Calculation-sheet'!B99</f>
        <v>6101054613.9678926</v>
      </c>
      <c r="C120" s="2">
        <f>C10/'Output-Calculation-sheet'!C9*'Output-Calculation-sheet'!C99</f>
        <v>5015445731.3831758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1644445846.1118777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1163952430.9050734</v>
      </c>
      <c r="N120" s="2">
        <f>N10/'Output-Calculation-sheet'!N9*'Output-Calculation-sheet'!N99</f>
        <v>1160337250.7119219</v>
      </c>
      <c r="O120" s="2">
        <f>O10/'Output-Calculation-sheet'!O9*'Output-Calculation-sheet'!O99</f>
        <v>981916243.22479045</v>
      </c>
      <c r="P120" s="2">
        <f>P10/'Output-Calculation-sheet'!P9*'Output-Calculation-sheet'!P99</f>
        <v>0</v>
      </c>
      <c r="Q120" s="2">
        <f>Q10/'Output-Calculation-sheet'!Q9*'Output-Calculation-sheet'!Q99</f>
        <v>6954483.2359944331</v>
      </c>
      <c r="R120" s="2">
        <f>R10/'Output-Calculation-sheet'!R9*'Output-Calculation-sheet'!R99</f>
        <v>0</v>
      </c>
      <c r="S120" s="2">
        <f>S10/'Output-Calculation-sheet'!S9*'Output-Calculation-sheet'!S99</f>
        <v>485941668.51387131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116225814.33537884</v>
      </c>
      <c r="Y120" s="2">
        <f>Y10/'Output-Calculation-sheet'!Y9*'Output-Calculation-sheet'!Y99</f>
        <v>0</v>
      </c>
      <c r="AA120" s="2">
        <f t="shared" si="10"/>
        <v>16676.274082389977</v>
      </c>
    </row>
    <row r="121" spans="1:27" x14ac:dyDescent="0.25">
      <c r="A121" s="2">
        <v>2034</v>
      </c>
      <c r="B121" s="2">
        <f>B11/'Output-Calculation-sheet'!B10*'Output-Calculation-sheet'!B100</f>
        <v>6075020046.5228701</v>
      </c>
      <c r="C121" s="2">
        <f>C11/'Output-Calculation-sheet'!C10*'Output-Calculation-sheet'!C100</f>
        <v>728303018.41966891</v>
      </c>
      <c r="D121" s="2">
        <f>D11/'Output-Calculation-sheet'!D10*'Output-Calculation-sheet'!D100</f>
        <v>0</v>
      </c>
      <c r="E121" s="2">
        <f>E11/'Output-Calculation-sheet'!E10*'Output-Calculation-sheet'!E100</f>
        <v>859512903.66054738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1917689936.1649003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700564684.16151357</v>
      </c>
      <c r="M121" s="2">
        <f>M11/'Output-Calculation-sheet'!M10*'Output-Calculation-sheet'!M100</f>
        <v>1364812591.9982514</v>
      </c>
      <c r="N121" s="2">
        <f>N11/'Output-Calculation-sheet'!N10*'Output-Calculation-sheet'!N100</f>
        <v>909890059.21056581</v>
      </c>
      <c r="O121" s="2">
        <f>O11/'Output-Calculation-sheet'!O10*'Output-Calculation-sheet'!O100</f>
        <v>142859032.59465685</v>
      </c>
      <c r="P121" s="2">
        <f>P11/'Output-Calculation-sheet'!P10*'Output-Calculation-sheet'!P100</f>
        <v>0</v>
      </c>
      <c r="Q121" s="2">
        <f>Q11/'Output-Calculation-sheet'!Q10*'Output-Calculation-sheet'!Q100</f>
        <v>307898939.40330315</v>
      </c>
      <c r="R121" s="2">
        <f>R11/'Output-Calculation-sheet'!R10*'Output-Calculation-sheet'!R100</f>
        <v>0</v>
      </c>
      <c r="S121" s="2">
        <f>S11/'Output-Calculation-sheet'!S10*'Output-Calculation-sheet'!S100</f>
        <v>340201157.28670871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134102386.71417017</v>
      </c>
      <c r="Y121" s="2">
        <f>Y11/'Output-Calculation-sheet'!Y10*'Output-Calculation-sheet'!Y100</f>
        <v>19453736.209744778</v>
      </c>
      <c r="AA121" s="2">
        <f t="shared" si="10"/>
        <v>13500.308492346901</v>
      </c>
    </row>
    <row r="122" spans="1:27" x14ac:dyDescent="0.25">
      <c r="A122" s="2">
        <v>2035</v>
      </c>
      <c r="B122" s="2">
        <f>B12/'Output-Calculation-sheet'!B11*'Output-Calculation-sheet'!B101</f>
        <v>1676062486.1047943</v>
      </c>
      <c r="C122" s="2">
        <f>C12/'Output-Calculation-sheet'!C11*'Output-Calculation-sheet'!C101</f>
        <v>314994317.31518507</v>
      </c>
      <c r="D122" s="2">
        <f>D12/'Output-Calculation-sheet'!D11*'Output-Calculation-sheet'!D101</f>
        <v>0</v>
      </c>
      <c r="E122" s="2">
        <f>E12/'Output-Calculation-sheet'!E11*'Output-Calculation-sheet'!E101</f>
        <v>2605444091.3909383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510948750.98814279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1120367442.3067312</v>
      </c>
      <c r="M122" s="2">
        <f>M12/'Output-Calculation-sheet'!M11*'Output-Calculation-sheet'!M101</f>
        <v>428417642.95694995</v>
      </c>
      <c r="N122" s="2">
        <f>N12/'Output-Calculation-sheet'!N11*'Output-Calculation-sheet'!N101</f>
        <v>298787689.69820136</v>
      </c>
      <c r="O122" s="2">
        <f>O12/'Output-Calculation-sheet'!O11*'Output-Calculation-sheet'!O101</f>
        <v>34518822.183894038</v>
      </c>
      <c r="P122" s="2">
        <f>P12/'Output-Calculation-sheet'!P11*'Output-Calculation-sheet'!P101</f>
        <v>46592754.135403164</v>
      </c>
      <c r="Q122" s="2">
        <f>Q12/'Output-Calculation-sheet'!Q11*'Output-Calculation-sheet'!Q101</f>
        <v>654435641.1469171</v>
      </c>
      <c r="R122" s="2">
        <f>R12/'Output-Calculation-sheet'!R11*'Output-Calculation-sheet'!R101</f>
        <v>0</v>
      </c>
      <c r="S122" s="2">
        <f>S12/'Output-Calculation-sheet'!S11*'Output-Calculation-sheet'!S101</f>
        <v>177506467.66179031</v>
      </c>
      <c r="T122" s="2">
        <f>T12/'Output-Calculation-sheet'!T11*'Output-Calculation-sheet'!T101</f>
        <v>0</v>
      </c>
      <c r="U122" s="2">
        <f>U12/'Output-Calculation-sheet'!U11*'Output-Calculation-sheet'!U101</f>
        <v>61335484.40105059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15528655.942507939</v>
      </c>
      <c r="Y122" s="2">
        <f>Y12/'Output-Calculation-sheet'!Y11*'Output-Calculation-sheet'!Y101</f>
        <v>92595963.421769783</v>
      </c>
      <c r="AA122" s="2">
        <f t="shared" si="10"/>
        <v>8037.5362096542767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46489518303.377441</v>
      </c>
      <c r="C129" s="2">
        <f>C8/'Output-Calculation-sheet'!C7*'Output-Calculation-sheet'!C106</f>
        <v>0</v>
      </c>
      <c r="D129" s="2">
        <f>D8/'Output-Calculation-sheet'!D7*'Output-Calculation-sheet'!D106</f>
        <v>20101125038.153988</v>
      </c>
      <c r="E129" s="2">
        <f>E8/'Output-Calculation-sheet'!E7*'Output-Calculation-sheet'!E106</f>
        <v>15948221588.597961</v>
      </c>
      <c r="F129" s="2">
        <f>F8/'Output-Calculation-sheet'!F7*'Output-Calculation-sheet'!F106</f>
        <v>10266438883.324802</v>
      </c>
      <c r="G129" s="2">
        <f>G8/'Output-Calculation-sheet'!G7*'Output-Calculation-sheet'!G106</f>
        <v>7213498387.643075</v>
      </c>
      <c r="H129" s="2">
        <f>H8/'Output-Calculation-sheet'!H7*'Output-Calculation-sheet'!H106</f>
        <v>0</v>
      </c>
      <c r="I129" s="2">
        <f>I8/'Output-Calculation-sheet'!I7*'Output-Calculation-sheet'!I106</f>
        <v>6572049582.4993086</v>
      </c>
      <c r="J129" s="2">
        <f>J8/'Output-Calculation-sheet'!J7*'Output-Calculation-sheet'!J106</f>
        <v>6396760173.0111322</v>
      </c>
      <c r="K129" s="2">
        <f>K8/'Output-Calculation-sheet'!K7*'Output-Calculation-sheet'!K106</f>
        <v>6335444395.1511755</v>
      </c>
      <c r="L129" s="2">
        <f>L8/'Output-Calculation-sheet'!L7*'Output-Calculation-sheet'!L106</f>
        <v>5082387899.1403933</v>
      </c>
      <c r="M129" s="2">
        <f>M8/'Output-Calculation-sheet'!M7*'Output-Calculation-sheet'!M106</f>
        <v>0</v>
      </c>
      <c r="N129" s="2">
        <f>N8/'Output-Calculation-sheet'!N7*'Output-Calculation-sheet'!N106</f>
        <v>2233538696.6170311</v>
      </c>
      <c r="O129" s="2">
        <f>O8/'Output-Calculation-sheet'!O7*'Output-Calculation-sheet'!O106</f>
        <v>0</v>
      </c>
      <c r="P129" s="2">
        <f>P8/'Output-Calculation-sheet'!P7*'Output-Calculation-sheet'!P106</f>
        <v>4337578179.8839111</v>
      </c>
      <c r="Q129" s="2">
        <f>Q8/'Output-Calculation-sheet'!Q7*'Output-Calculation-sheet'!Q106</f>
        <v>4267467961.4934616</v>
      </c>
      <c r="R129" s="2">
        <f>R8/'Output-Calculation-sheet'!R7*'Output-Calculation-sheet'!R106</f>
        <v>4105508798.0900521</v>
      </c>
      <c r="S129" s="2">
        <f>S8/'Output-Calculation-sheet'!S7*'Output-Calculation-sheet'!S106</f>
        <v>2241806187.5492435</v>
      </c>
      <c r="T129" s="2">
        <f>T8/'Output-Calculation-sheet'!T7*'Output-Calculation-sheet'!T106</f>
        <v>1509139389.1112943</v>
      </c>
      <c r="U129" s="2">
        <f>U8/'Output-Calculation-sheet'!U7*'Output-Calculation-sheet'!U106</f>
        <v>1314411170.1933858</v>
      </c>
      <c r="V129" s="2">
        <f>V8/'Output-Calculation-sheet'!V7*'Output-Calculation-sheet'!V106</f>
        <v>1012118510.4479388</v>
      </c>
      <c r="W129" s="2">
        <f>W8/'Output-Calculation-sheet'!W7*'Output-Calculation-sheet'!W106</f>
        <v>876277214.4209125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146303.29035870655</v>
      </c>
    </row>
    <row r="130" spans="1:27" x14ac:dyDescent="0.25">
      <c r="A130" s="2">
        <v>2032</v>
      </c>
      <c r="B130" s="2">
        <f>B9/'Output-Calculation-sheet'!B8*'Output-Calculation-sheet'!B107</f>
        <v>53605344461.414749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0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1950885458.9575102</v>
      </c>
      <c r="O130" s="2">
        <f>O9/'Output-Calculation-sheet'!O8*'Output-Calculation-sheet'!O107</f>
        <v>0</v>
      </c>
      <c r="P130" s="2">
        <f>P9/'Output-Calculation-sheet'!P8*'Output-Calculation-sheet'!P107</f>
        <v>5950677546.5312681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1732060997.5048816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188083.04542169228</v>
      </c>
    </row>
    <row r="131" spans="1:27" x14ac:dyDescent="0.25">
      <c r="A131" s="2">
        <v>2033</v>
      </c>
      <c r="B131" s="2">
        <f>B10/'Output-Calculation-sheet'!B9*'Output-Calculation-sheet'!B108</f>
        <v>45512010822.988121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1667683448.1385243</v>
      </c>
      <c r="O131" s="2">
        <f>O10/'Output-Calculation-sheet'!O9*'Output-Calculation-sheet'!O108</f>
        <v>0</v>
      </c>
      <c r="P131" s="2">
        <f>P10/'Output-Calculation-sheet'!P9*'Output-Calculation-sheet'!P108</f>
        <v>7670142297.9248276</v>
      </c>
      <c r="Q131" s="2">
        <f>Q10/'Output-Calculation-sheet'!Q9*'Output-Calculation-sheet'!Q108</f>
        <v>6470544635.8609676</v>
      </c>
      <c r="R131" s="2">
        <f>R10/'Output-Calculation-sheet'!R9*'Output-Calculation-sheet'!R108</f>
        <v>7259857410.3890686</v>
      </c>
      <c r="S131" s="2">
        <f>S10/'Output-Calculation-sheet'!S9*'Output-Calculation-sheet'!S108</f>
        <v>1617564073.9740546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216317.78639876115</v>
      </c>
    </row>
    <row r="132" spans="1:27" x14ac:dyDescent="0.25">
      <c r="A132" s="2">
        <v>2034</v>
      </c>
      <c r="B132" s="2">
        <f>B11/'Output-Calculation-sheet'!B10*'Output-Calculation-sheet'!B109</f>
        <v>35255577294.555504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34026554084.158695</v>
      </c>
      <c r="F132" s="2">
        <f>F11/'Output-Calculation-sheet'!F10*'Output-Calculation-sheet'!F109</f>
        <v>22453845289.254681</v>
      </c>
      <c r="G132" s="2">
        <f>G11/'Output-Calculation-sheet'!G10*'Output-Calculation-sheet'!G109</f>
        <v>15777129873.682909</v>
      </c>
      <c r="H132" s="2">
        <f>H11/'Output-Calculation-sheet'!H10*'Output-Calculation-sheet'!H109</f>
        <v>0</v>
      </c>
      <c r="I132" s="2">
        <f>I11/'Output-Calculation-sheet'!I10*'Output-Calculation-sheet'!I109</f>
        <v>14373207223.532904</v>
      </c>
      <c r="J132" s="2">
        <f>J11/'Output-Calculation-sheet'!J10*'Output-Calculation-sheet'!J109</f>
        <v>13989983630.122097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10414792346.716921</v>
      </c>
      <c r="M132" s="2">
        <f>M11/'Output-Calculation-sheet'!M10*'Output-Calculation-sheet'!M109</f>
        <v>0</v>
      </c>
      <c r="N132" s="2">
        <f>N11/'Output-Calculation-sheet'!N10*'Output-Calculation-sheet'!N109</f>
        <v>1369558070.8725941</v>
      </c>
      <c r="O132" s="2">
        <f>O11/'Output-Calculation-sheet'!O10*'Output-Calculation-sheet'!O109</f>
        <v>0</v>
      </c>
      <c r="P132" s="2">
        <f>P11/'Output-Calculation-sheet'!P10*'Output-Calculation-sheet'!P109</f>
        <v>7781455605.285944</v>
      </c>
      <c r="Q132" s="2">
        <f>Q11/'Output-Calculation-sheet'!Q10*'Output-Calculation-sheet'!Q109</f>
        <v>5012089891.6368752</v>
      </c>
      <c r="R132" s="2">
        <f>R11/'Output-Calculation-sheet'!R10*'Output-Calculation-sheet'!R109</f>
        <v>8978335336.1220531</v>
      </c>
      <c r="S132" s="2">
        <f>S11/'Output-Calculation-sheet'!S10*'Output-Calculation-sheet'!S109</f>
        <v>939941652.80822456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2876292378.9260759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238498.6850368848</v>
      </c>
    </row>
    <row r="133" spans="1:27" x14ac:dyDescent="0.25">
      <c r="A133" s="2">
        <v>2035</v>
      </c>
      <c r="B133" s="2">
        <f>B12/'Output-Calculation-sheet'!B11*'Output-Calculation-sheet'!B110</f>
        <v>575831012.21747315</v>
      </c>
      <c r="C133" s="2">
        <f>C12/'Output-Calculation-sheet'!C11*'Output-Calculation-sheet'!C110</f>
        <v>0</v>
      </c>
      <c r="D133" s="2">
        <f>D12/'Output-Calculation-sheet'!D11*'Output-Calculation-sheet'!D110</f>
        <v>47706975689.501923</v>
      </c>
      <c r="E133" s="2">
        <f>E12/'Output-Calculation-sheet'!E11*'Output-Calculation-sheet'!E110</f>
        <v>23198852831.195629</v>
      </c>
      <c r="F133" s="2">
        <f>F12/'Output-Calculation-sheet'!F11*'Output-Calculation-sheet'!F110</f>
        <v>25725763896.930504</v>
      </c>
      <c r="G133" s="2">
        <f>G12/'Output-Calculation-sheet'!G11*'Output-Calculation-sheet'!G110</f>
        <v>17831788103.718895</v>
      </c>
      <c r="H133" s="2">
        <f>H12/'Output-Calculation-sheet'!H11*'Output-Calculation-sheet'!H110</f>
        <v>0</v>
      </c>
      <c r="I133" s="2">
        <f>I12/'Output-Calculation-sheet'!I11*'Output-Calculation-sheet'!I110</f>
        <v>16096528698.530834</v>
      </c>
      <c r="J133" s="2">
        <f>J12/'Output-Calculation-sheet'!J11*'Output-Calculation-sheet'!J110</f>
        <v>15502169934.828854</v>
      </c>
      <c r="K133" s="2">
        <f>K12/'Output-Calculation-sheet'!K11*'Output-Calculation-sheet'!K110</f>
        <v>15336030952.636377</v>
      </c>
      <c r="L133" s="2">
        <f>L12/'Output-Calculation-sheet'!L11*'Output-Calculation-sheet'!L110</f>
        <v>11279634880.493196</v>
      </c>
      <c r="M133" s="2">
        <f>M12/'Output-Calculation-sheet'!M11*'Output-Calculation-sheet'!M110</f>
        <v>0</v>
      </c>
      <c r="N133" s="2">
        <f>N12/'Output-Calculation-sheet'!N11*'Output-Calculation-sheet'!N110</f>
        <v>1474252.4254283635</v>
      </c>
      <c r="O133" s="2">
        <f>O12/'Output-Calculation-sheet'!O11*'Output-Calculation-sheet'!O110</f>
        <v>0</v>
      </c>
      <c r="P133" s="2">
        <f>P12/'Output-Calculation-sheet'!P11*'Output-Calculation-sheet'!P110</f>
        <v>3495276535.28122</v>
      </c>
      <c r="Q133" s="2">
        <f>Q12/'Output-Calculation-sheet'!Q11*'Output-Calculation-sheet'!Q110</f>
        <v>4642866035.3512754</v>
      </c>
      <c r="R133" s="2">
        <f>R12/'Output-Calculation-sheet'!R11*'Output-Calculation-sheet'!R110</f>
        <v>10200897405.741116</v>
      </c>
      <c r="S133" s="2">
        <f>S12/'Output-Calculation-sheet'!S11*'Output-Calculation-sheet'!S110</f>
        <v>16889150.479357749</v>
      </c>
      <c r="T133" s="2">
        <f>T12/'Output-Calculation-sheet'!T11*'Output-Calculation-sheet'!T110</f>
        <v>3832661078.0908823</v>
      </c>
      <c r="U133" s="2">
        <f>U12/'Output-Calculation-sheet'!U11*'Output-Calculation-sheet'!U110</f>
        <v>3109681579.6295652</v>
      </c>
      <c r="V133" s="2">
        <f>V12/'Output-Calculation-sheet'!V11*'Output-Calculation-sheet'!V110</f>
        <v>2577468965.8154359</v>
      </c>
      <c r="W133" s="2">
        <f>W12/'Output-Calculation-sheet'!W11*'Output-Calculation-sheet'!W110</f>
        <v>2264404719.7427201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203395.19572261069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14527396691.550869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4567047589.7364101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3139320329.5613804</v>
      </c>
      <c r="N140" s="2">
        <f>N8/'Output-Calculation-sheet'!N7*'Output-Calculation-sheet'!N115</f>
        <v>1185217855.4478326</v>
      </c>
      <c r="O140" s="2">
        <f>O8/'Output-Calculation-sheet'!O7*'Output-Calculation-sheet'!O115</f>
        <v>3486504470.2573957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340892496.27316803</v>
      </c>
      <c r="Y140" s="2">
        <f>Y8/'Output-Calculation-sheet'!Y7*'Output-Calculation-sheet'!Y115</f>
        <v>0</v>
      </c>
      <c r="AA140" s="2">
        <f t="shared" si="12"/>
        <v>27246.379432827052</v>
      </c>
    </row>
    <row r="141" spans="1:27" x14ac:dyDescent="0.25">
      <c r="A141" s="2">
        <v>2032</v>
      </c>
      <c r="B141" s="2">
        <f>B9/'Output-Calculation-sheet'!B8*'Output-Calculation-sheet'!B116</f>
        <v>6128327793.0871964</v>
      </c>
      <c r="C141" s="2">
        <f>C9/'Output-Calculation-sheet'!C8*'Output-Calculation-sheet'!C116</f>
        <v>26232866547.947807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6838794550.5488348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4695394364.867095</v>
      </c>
      <c r="N141" s="2">
        <f>N9/'Output-Calculation-sheet'!N8*'Output-Calculation-sheet'!N116</f>
        <v>3259834259.7544823</v>
      </c>
      <c r="O141" s="2">
        <f>O9/'Output-Calculation-sheet'!O8*'Output-Calculation-sheet'!O116</f>
        <v>5091953574.3254519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1460112361.3956656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511077177.78683168</v>
      </c>
      <c r="Y141" s="2">
        <f>Y9/'Output-Calculation-sheet'!Y8*'Output-Calculation-sheet'!Y116</f>
        <v>0</v>
      </c>
      <c r="AA141" s="2">
        <f t="shared" si="12"/>
        <v>54218.360629713374</v>
      </c>
    </row>
    <row r="142" spans="1:27" x14ac:dyDescent="0.25">
      <c r="A142" s="2">
        <v>2033</v>
      </c>
      <c r="B142" s="2">
        <f>B10/'Output-Calculation-sheet'!B9*'Output-Calculation-sheet'!B117</f>
        <v>33020394566.942055</v>
      </c>
      <c r="C142" s="2">
        <f>C10/'Output-Calculation-sheet'!C9*'Output-Calculation-sheet'!C117</f>
        <v>34868172252.346748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10798930493.981117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7420885827.8198404</v>
      </c>
      <c r="N142" s="2">
        <f>N10/'Output-Calculation-sheet'!N9*'Output-Calculation-sheet'!N117</f>
        <v>5597959122.5402212</v>
      </c>
      <c r="O142" s="2">
        <f>O10/'Output-Calculation-sheet'!O9*'Output-Calculation-sheet'!O117</f>
        <v>6767469713.9357786</v>
      </c>
      <c r="P142" s="2">
        <f>P10/'Output-Calculation-sheet'!P9*'Output-Calculation-sheet'!P117</f>
        <v>0</v>
      </c>
      <c r="Q142" s="2">
        <f>Q10/'Output-Calculation-sheet'!Q9*'Output-Calculation-sheet'!Q117</f>
        <v>1069057351.2404642</v>
      </c>
      <c r="R142" s="2">
        <f>R10/'Output-Calculation-sheet'!R9*'Output-Calculation-sheet'!R117</f>
        <v>0</v>
      </c>
      <c r="S142" s="2">
        <f>S10/'Output-Calculation-sheet'!S9*'Output-Calculation-sheet'!S117</f>
        <v>2721983848.2899456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813536771.62985253</v>
      </c>
      <c r="Y142" s="2">
        <f>Y10/'Output-Calculation-sheet'!Y9*'Output-Calculation-sheet'!Y117</f>
        <v>0</v>
      </c>
      <c r="AA142" s="2">
        <f t="shared" si="12"/>
        <v>103078.38994872604</v>
      </c>
    </row>
    <row r="143" spans="1:27" x14ac:dyDescent="0.25">
      <c r="A143" s="2">
        <v>2034</v>
      </c>
      <c r="B143" s="2">
        <f>B11/'Output-Calculation-sheet'!B10*'Output-Calculation-sheet'!B118</f>
        <v>63340454282.127289</v>
      </c>
      <c r="C143" s="2">
        <f>C11/'Output-Calculation-sheet'!C10*'Output-Calculation-sheet'!C118</f>
        <v>48598278641.762909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13471684621.736515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9252502761.4698124</v>
      </c>
      <c r="N143" s="2">
        <f>N11/'Output-Calculation-sheet'!N10*'Output-Calculation-sheet'!N118</f>
        <v>8141460189.4397631</v>
      </c>
      <c r="O143" s="2">
        <f>O11/'Output-Calculation-sheet'!O10*'Output-Calculation-sheet'!O118</f>
        <v>9441295441.3403053</v>
      </c>
      <c r="P143" s="2">
        <f>P11/'Output-Calculation-sheet'!P10*'Output-Calculation-sheet'!P118</f>
        <v>1704598016.0426121</v>
      </c>
      <c r="Q143" s="2">
        <f>Q11/'Output-Calculation-sheet'!Q10*'Output-Calculation-sheet'!Q118</f>
        <v>4013221778.4208293</v>
      </c>
      <c r="R143" s="2">
        <f>R11/'Output-Calculation-sheet'!R10*'Output-Calculation-sheet'!R118</f>
        <v>0</v>
      </c>
      <c r="S143" s="2">
        <f>S11/'Output-Calculation-sheet'!S10*'Output-Calculation-sheet'!S118</f>
        <v>4687844208.7452412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1015784027.4036599</v>
      </c>
      <c r="Y143" s="2">
        <f>Y11/'Output-Calculation-sheet'!Y10*'Output-Calculation-sheet'!Y118</f>
        <v>119034890.69324119</v>
      </c>
      <c r="AA143" s="2">
        <f t="shared" si="12"/>
        <v>163786.15885918215</v>
      </c>
    </row>
    <row r="144" spans="1:27" x14ac:dyDescent="0.25">
      <c r="A144" s="2">
        <v>2035</v>
      </c>
      <c r="B144" s="2">
        <f>B12/'Output-Calculation-sheet'!B11*'Output-Calculation-sheet'!B119</f>
        <v>122846844727.5126</v>
      </c>
      <c r="C144" s="2">
        <f>C12/'Output-Calculation-sheet'!C11*'Output-Calculation-sheet'!C119</f>
        <v>58784655411.084267</v>
      </c>
      <c r="D144" s="2">
        <f>D12/'Output-Calculation-sheet'!D11*'Output-Calculation-sheet'!D119</f>
        <v>0</v>
      </c>
      <c r="E144" s="2">
        <f>E12/'Output-Calculation-sheet'!E11*'Output-Calculation-sheet'!E119</f>
        <v>15487216758.734144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17859780210.661068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12236687043.033131</v>
      </c>
      <c r="N144" s="2">
        <f>N12/'Output-Calculation-sheet'!N11*'Output-Calculation-sheet'!N119</f>
        <v>12116116962.38377</v>
      </c>
      <c r="O144" s="2">
        <f>O12/'Output-Calculation-sheet'!O11*'Output-Calculation-sheet'!O119</f>
        <v>11429717362.633821</v>
      </c>
      <c r="P144" s="2">
        <f>P12/'Output-Calculation-sheet'!P11*'Output-Calculation-sheet'!P119</f>
        <v>7771807024.6339188</v>
      </c>
      <c r="Q144" s="2">
        <f>Q12/'Output-Calculation-sheet'!Q11*'Output-Calculation-sheet'!Q119</f>
        <v>5326232108.7942581</v>
      </c>
      <c r="R144" s="2">
        <f>R12/'Output-Calculation-sheet'!R11*'Output-Calculation-sheet'!R119</f>
        <v>0</v>
      </c>
      <c r="S144" s="2">
        <f>S12/'Output-Calculation-sheet'!S11*'Output-Calculation-sheet'!S119</f>
        <v>6921390220.6214104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1361617666.5384986</v>
      </c>
      <c r="Y144" s="2">
        <f>Y12/'Output-Calculation-sheet'!Y11*'Output-Calculation-sheet'!Y119</f>
        <v>649736312.42666292</v>
      </c>
      <c r="AA144" s="2">
        <f t="shared" si="12"/>
        <v>272791.80180905754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47858658974.186745</v>
      </c>
      <c r="C151" s="2">
        <f>C8/'Output-Calculation-sheet'!C7*'Output-Calculation-sheet'!C124</f>
        <v>22553448397.510361</v>
      </c>
      <c r="D151" s="2">
        <f>D8/'Output-Calculation-sheet'!D7*'Output-Calculation-sheet'!D124</f>
        <v>20101125038.153988</v>
      </c>
      <c r="E151" s="2">
        <f>E8/'Output-Calculation-sheet'!E7*'Output-Calculation-sheet'!E124</f>
        <v>15948221588.597961</v>
      </c>
      <c r="F151" s="2">
        <f>F8/'Output-Calculation-sheet'!F7*'Output-Calculation-sheet'!F124</f>
        <v>10266438883.324802</v>
      </c>
      <c r="G151" s="2">
        <f>G8/'Output-Calculation-sheet'!G7*'Output-Calculation-sheet'!G124</f>
        <v>7213498387.643075</v>
      </c>
      <c r="H151" s="2">
        <f>H8/'Output-Calculation-sheet'!H7*'Output-Calculation-sheet'!H124</f>
        <v>7036498926.8360643</v>
      </c>
      <c r="I151" s="2">
        <f>I8/'Output-Calculation-sheet'!I7*'Output-Calculation-sheet'!I124</f>
        <v>6572049582.4993086</v>
      </c>
      <c r="J151" s="2">
        <f>J8/'Output-Calculation-sheet'!J7*'Output-Calculation-sheet'!J124</f>
        <v>6396760173.0111322</v>
      </c>
      <c r="K151" s="2">
        <f>K8/'Output-Calculation-sheet'!K7*'Output-Calculation-sheet'!K124</f>
        <v>6335444395.1511755</v>
      </c>
      <c r="L151" s="2">
        <f>L8/'Output-Calculation-sheet'!L7*'Output-Calculation-sheet'!L124</f>
        <v>5082387899.1403933</v>
      </c>
      <c r="M151" s="2">
        <f>M8/'Output-Calculation-sheet'!M7*'Output-Calculation-sheet'!M124</f>
        <v>4854567084.0111866</v>
      </c>
      <c r="N151" s="2">
        <f>N8/'Output-Calculation-sheet'!N7*'Output-Calculation-sheet'!N124</f>
        <v>4764735271.2844582</v>
      </c>
      <c r="O151" s="2">
        <f>O8/'Output-Calculation-sheet'!O7*'Output-Calculation-sheet'!O124</f>
        <v>4382134793.0791636</v>
      </c>
      <c r="P151" s="2">
        <f>P8/'Output-Calculation-sheet'!P7*'Output-Calculation-sheet'!P124</f>
        <v>4337578179.8839111</v>
      </c>
      <c r="Q151" s="2">
        <f>Q8/'Output-Calculation-sheet'!Q7*'Output-Calculation-sheet'!Q124</f>
        <v>4267467961.4934616</v>
      </c>
      <c r="R151" s="2">
        <f>R8/'Output-Calculation-sheet'!R7*'Output-Calculation-sheet'!R124</f>
        <v>4105508798.0900521</v>
      </c>
      <c r="S151" s="2">
        <f>S8/'Output-Calculation-sheet'!S7*'Output-Calculation-sheet'!S124</f>
        <v>2728725017.9490538</v>
      </c>
      <c r="T151" s="2">
        <f>T8/'Output-Calculation-sheet'!T7*'Output-Calculation-sheet'!T124</f>
        <v>1509139389.1112943</v>
      </c>
      <c r="U151" s="2">
        <f>U8/'Output-Calculation-sheet'!U7*'Output-Calculation-sheet'!U124</f>
        <v>1314411170.1933858</v>
      </c>
      <c r="V151" s="2">
        <f>V8/'Output-Calculation-sheet'!V7*'Output-Calculation-sheet'!V124</f>
        <v>1012118510.4479388</v>
      </c>
      <c r="W151" s="2">
        <f>W8/'Output-Calculation-sheet'!W7*'Output-Calculation-sheet'!W124</f>
        <v>876277214.4209125</v>
      </c>
      <c r="X151" s="2">
        <f>X8/'Output-Calculation-sheet'!X7*'Output-Calculation-sheet'!X124</f>
        <v>525763541.22168982</v>
      </c>
      <c r="Y151" s="2">
        <f>Y8/'Output-Calculation-sheet'!Y7*'Output-Calculation-sheet'!Y124</f>
        <v>511300093.76390469</v>
      </c>
      <c r="AA151" s="2">
        <f t="shared" si="13"/>
        <v>190554.25927100546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18564646686.879223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3607110425.0970721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156852.84097096301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2583128449.2523513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112325.66223555348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2198501090.1170568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1333338474.3220735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852569744.19233382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410677789.22393703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59537.249718346589</v>
      </c>
    </row>
    <row r="155" spans="1:27" x14ac:dyDescent="0.25">
      <c r="A155" s="2">
        <v>2035</v>
      </c>
      <c r="B155" s="2">
        <f>B12/'Output-Calculation-sheet'!B11*'Output-Calculation-sheet'!B128</f>
        <v>640850672.34437156</v>
      </c>
      <c r="C155" s="2">
        <f>C12/'Output-Calculation-sheet'!C11*'Output-Calculation-sheet'!C128</f>
        <v>82361626.813257083</v>
      </c>
      <c r="D155" s="2">
        <f>D12/'Output-Calculation-sheet'!D11*'Output-Calculation-sheet'!D128</f>
        <v>6422424024.1190481</v>
      </c>
      <c r="E155" s="2">
        <f>E12/'Output-Calculation-sheet'!E11*'Output-Calculation-sheet'!E128</f>
        <v>1196278996.3757982</v>
      </c>
      <c r="F155" s="2">
        <f>F12/'Output-Calculation-sheet'!F11*'Output-Calculation-sheet'!F128</f>
        <v>1851883036.7280996</v>
      </c>
      <c r="G155" s="2">
        <f>G12/'Output-Calculation-sheet'!G11*'Output-Calculation-sheet'!G128</f>
        <v>1654100068.4846518</v>
      </c>
      <c r="H155" s="2">
        <f>H12/'Output-Calculation-sheet'!H11*'Output-Calculation-sheet'!H128</f>
        <v>132578722.58256671</v>
      </c>
      <c r="I155" s="2">
        <f>I12/'Output-Calculation-sheet'!I11*'Output-Calculation-sheet'!I128</f>
        <v>1649440378.3700435</v>
      </c>
      <c r="J155" s="2">
        <f>J12/'Output-Calculation-sheet'!J11*'Output-Calculation-sheet'!J128</f>
        <v>1579344026.1184251</v>
      </c>
      <c r="K155" s="2">
        <f>K12/'Output-Calculation-sheet'!K11*'Output-Calculation-sheet'!K128</f>
        <v>1793430973.9585307</v>
      </c>
      <c r="L155" s="2">
        <f>L12/'Output-Calculation-sheet'!L11*'Output-Calculation-sheet'!L128</f>
        <v>1296916684.4404476</v>
      </c>
      <c r="M155" s="2">
        <f>M12/'Output-Calculation-sheet'!M11*'Output-Calculation-sheet'!M128</f>
        <v>110572263.38800037</v>
      </c>
      <c r="N155" s="2">
        <f>N12/'Output-Calculation-sheet'!N11*'Output-Calculation-sheet'!N128</f>
        <v>111910144.57557726</v>
      </c>
      <c r="O155" s="2">
        <f>O12/'Output-Calculation-sheet'!O11*'Output-Calculation-sheet'!O128</f>
        <v>37060990.474459261</v>
      </c>
      <c r="P155" s="2">
        <f>P12/'Output-Calculation-sheet'!P11*'Output-Calculation-sheet'!P128</f>
        <v>125092407.22078933</v>
      </c>
      <c r="Q155" s="2">
        <f>Q12/'Output-Calculation-sheet'!Q11*'Output-Calculation-sheet'!Q128</f>
        <v>745541215.57956684</v>
      </c>
      <c r="R155" s="2">
        <f>R12/'Output-Calculation-sheet'!R11*'Output-Calculation-sheet'!R128</f>
        <v>833622412.44452894</v>
      </c>
      <c r="S155" s="2">
        <f>S12/'Output-Calculation-sheet'!S11*'Output-Calculation-sheet'!S128</f>
        <v>58440783.966132961</v>
      </c>
      <c r="T155" s="2">
        <f>T12/'Output-Calculation-sheet'!T11*'Output-Calculation-sheet'!T128</f>
        <v>196049261.26024401</v>
      </c>
      <c r="U155" s="2">
        <f>U12/'Output-Calculation-sheet'!U11*'Output-Calculation-sheet'!U128</f>
        <v>385830781.79363656</v>
      </c>
      <c r="V155" s="2">
        <f>V12/'Output-Calculation-sheet'!V11*'Output-Calculation-sheet'!V128</f>
        <v>96277591.789038271</v>
      </c>
      <c r="W155" s="2">
        <f>W12/'Output-Calculation-sheet'!W11*'Output-Calculation-sheet'!W128</f>
        <v>89353058.55381161</v>
      </c>
      <c r="X155" s="2">
        <f>X12/'Output-Calculation-sheet'!X11*'Output-Calculation-sheet'!X128</f>
        <v>3400128.6522361231</v>
      </c>
      <c r="Y155" s="2">
        <f>Y12/'Output-Calculation-sheet'!Y11*'Output-Calculation-sheet'!Y128</f>
        <v>26439700.753157057</v>
      </c>
      <c r="AA155" s="2">
        <f t="shared" si="13"/>
        <v>21119.199950786424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1066.052887653877</v>
      </c>
      <c r="C19" s="2">
        <f>C8/'Output-Calculation-sheet'!C7*'Output-Calculation-sheet'!C25</f>
        <v>5015.7430159368232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1519.3288723974354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1055.3861564652025</v>
      </c>
      <c r="N19" s="2">
        <f>N8/'Output-Calculation-sheet'!N7*'Output-Calculation-sheet'!N25</f>
        <v>877.95656632530677</v>
      </c>
      <c r="O19" s="2">
        <f>O8/'Output-Calculation-sheet'!O7*'Output-Calculation-sheet'!O25</f>
        <v>551.01264472460014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406.02974168487077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114.22214003849984</v>
      </c>
      <c r="Y19" s="2">
        <f>Y8/'Output-Calculation-sheet'!Y7*'Output-Calculation-sheet'!Y25</f>
        <v>0</v>
      </c>
      <c r="AA19" s="2">
        <f t="shared" si="0"/>
        <v>10.605732025226619</v>
      </c>
    </row>
    <row r="20" spans="1:27" x14ac:dyDescent="0.25">
      <c r="A20" s="2">
        <v>2032</v>
      </c>
      <c r="B20" s="2">
        <f>B9/'Output-Calculation-sheet'!B8*'Output-Calculation-sheet'!B26</f>
        <v>5292.5863631096654</v>
      </c>
      <c r="C20" s="2">
        <f>C9/'Output-Calculation-sheet'!C8*'Output-Calculation-sheet'!C26</f>
        <v>2902.3251502276817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1742.2801184186087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1217.5173709757123</v>
      </c>
      <c r="N20" s="2">
        <f>N9/'Output-Calculation-sheet'!N8*'Output-Calculation-sheet'!N26</f>
        <v>843.7727152521345</v>
      </c>
      <c r="O20" s="2">
        <f>O9/'Output-Calculation-sheet'!O8*'Output-Calculation-sheet'!O26</f>
        <v>567.06054815536163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400.24629701587594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132.48367171872763</v>
      </c>
      <c r="Y20" s="2">
        <f>Y9/'Output-Calculation-sheet'!Y8*'Output-Calculation-sheet'!Y26</f>
        <v>0</v>
      </c>
      <c r="AA20" s="2">
        <f t="shared" si="0"/>
        <v>13.098272234873768</v>
      </c>
    </row>
    <row r="21" spans="1:27" x14ac:dyDescent="0.25">
      <c r="A21" s="2">
        <v>2033</v>
      </c>
      <c r="B21" s="2">
        <f>B10/'Output-Calculation-sheet'!B9*'Output-Calculation-sheet'!B27</f>
        <v>5038.1587228611425</v>
      </c>
      <c r="C21" s="2">
        <f>C10/'Output-Calculation-sheet'!C9*'Output-Calculation-sheet'!C27</f>
        <v>3096.6655669963534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1015.3247735440949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718.65525045931565</v>
      </c>
      <c r="N21" s="2">
        <f>N10/'Output-Calculation-sheet'!N9*'Output-Calculation-sheet'!N27</f>
        <v>727.78022591822162</v>
      </c>
      <c r="O21" s="2">
        <f>O10/'Output-Calculation-sheet'!O9*'Output-Calculation-sheet'!O27</f>
        <v>606.26072774997726</v>
      </c>
      <c r="P21" s="2">
        <f>P10/'Output-Calculation-sheet'!P9*'Output-Calculation-sheet'!P27</f>
        <v>0</v>
      </c>
      <c r="Q21" s="2">
        <f>Q10/'Output-Calculation-sheet'!Q9*'Output-Calculation-sheet'!Q27</f>
        <v>8.3219439707178999</v>
      </c>
      <c r="R21" s="2">
        <f>R10/'Output-Calculation-sheet'!R9*'Output-Calculation-sheet'!R27</f>
        <v>0</v>
      </c>
      <c r="S21" s="2">
        <f>S10/'Output-Calculation-sheet'!S9*'Output-Calculation-sheet'!S27</f>
        <v>346.5419979739861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71.760815341551663</v>
      </c>
      <c r="Y21" s="2">
        <f>Y10/'Output-Calculation-sheet'!Y9*'Output-Calculation-sheet'!Y27</f>
        <v>0</v>
      </c>
      <c r="AA21" s="2">
        <f t="shared" si="0"/>
        <v>11.629470024815358</v>
      </c>
    </row>
    <row r="22" spans="1:27" x14ac:dyDescent="0.25">
      <c r="A22" s="2">
        <v>2034</v>
      </c>
      <c r="B22" s="2">
        <f>B11/'Output-Calculation-sheet'!B10*'Output-Calculation-sheet'!B28</f>
        <v>4474.2078158752365</v>
      </c>
      <c r="C22" s="2">
        <f>C11/'Output-Calculation-sheet'!C10*'Output-Calculation-sheet'!C28</f>
        <v>450.74005947818443</v>
      </c>
      <c r="D22" s="2">
        <f>D11/'Output-Calculation-sheet'!D10*'Output-Calculation-sheet'!D28</f>
        <v>0</v>
      </c>
      <c r="E22" s="2">
        <f>E11/'Output-Calculation-sheet'!E10*'Output-Calculation-sheet'!E28</f>
        <v>1525.5774770401431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1186.8338905895898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907.75077355122232</v>
      </c>
      <c r="M22" s="2">
        <f>M11/'Output-Calculation-sheet'!M10*'Output-Calculation-sheet'!M28</f>
        <v>844.6651560986146</v>
      </c>
      <c r="N22" s="2">
        <f>N11/'Output-Calculation-sheet'!N10*'Output-Calculation-sheet'!N28</f>
        <v>564.66347582015089</v>
      </c>
      <c r="O22" s="2">
        <f>O11/'Output-Calculation-sheet'!O10*'Output-Calculation-sheet'!O28</f>
        <v>88.413711673587414</v>
      </c>
      <c r="P22" s="2">
        <f>P11/'Output-Calculation-sheet'!P10*'Output-Calculation-sheet'!P28</f>
        <v>0</v>
      </c>
      <c r="Q22" s="2">
        <f>Q11/'Output-Calculation-sheet'!Q10*'Output-Calculation-sheet'!Q28</f>
        <v>289.45075280114509</v>
      </c>
      <c r="R22" s="2">
        <f>R11/'Output-Calculation-sheet'!R10*'Output-Calculation-sheet'!R28</f>
        <v>0</v>
      </c>
      <c r="S22" s="2">
        <f>S11/'Output-Calculation-sheet'!S10*'Output-Calculation-sheet'!S28</f>
        <v>211.42791936923567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82.994232615372198</v>
      </c>
      <c r="Y22" s="2">
        <f>Y11/'Output-Calculation-sheet'!Y10*'Output-Calculation-sheet'!Y28</f>
        <v>33.830793371162152</v>
      </c>
      <c r="AA22" s="2">
        <f t="shared" si="0"/>
        <v>10.660556058283644</v>
      </c>
    </row>
    <row r="23" spans="1:27" x14ac:dyDescent="0.25">
      <c r="A23" s="2">
        <v>2035</v>
      </c>
      <c r="B23" s="2">
        <f>B12/'Output-Calculation-sheet'!B11*'Output-Calculation-sheet'!B29</f>
        <v>1041.763071031774</v>
      </c>
      <c r="C23" s="2">
        <f>C12/'Output-Calculation-sheet'!C11*'Output-Calculation-sheet'!C29</f>
        <v>195.78460147388074</v>
      </c>
      <c r="D23" s="2">
        <f>D12/'Output-Calculation-sheet'!D11*'Output-Calculation-sheet'!D29</f>
        <v>0</v>
      </c>
      <c r="E23" s="2">
        <f>E12/'Output-Calculation-sheet'!E11*'Output-Calculation-sheet'!E29</f>
        <v>2637.7447721804547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317.58205103516411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1329.6938796020829</v>
      </c>
      <c r="M23" s="2">
        <f>M12/'Output-Calculation-sheet'!M11*'Output-Calculation-sheet'!M29</f>
        <v>266.28524858722005</v>
      </c>
      <c r="N23" s="2">
        <f>N12/'Output-Calculation-sheet'!N11*'Output-Calculation-sheet'!N29</f>
        <v>185.71246425200977</v>
      </c>
      <c r="O23" s="2">
        <f>O12/'Output-Calculation-sheet'!O11*'Output-Calculation-sheet'!O29</f>
        <v>21.455517608824042</v>
      </c>
      <c r="P23" s="2">
        <f>P12/'Output-Calculation-sheet'!P11*'Output-Calculation-sheet'!P29</f>
        <v>36.956635247912295</v>
      </c>
      <c r="Q23" s="2">
        <f>Q12/'Output-Calculation-sheet'!Q11*'Output-Calculation-sheet'!Q29</f>
        <v>518.17587341999013</v>
      </c>
      <c r="R23" s="2">
        <f>R12/'Output-Calculation-sheet'!R11*'Output-Calculation-sheet'!R29</f>
        <v>0</v>
      </c>
      <c r="S23" s="2">
        <f>S12/'Output-Calculation-sheet'!S11*'Output-Calculation-sheet'!S29</f>
        <v>110.32990616575604</v>
      </c>
      <c r="T23" s="2">
        <f>T12/'Output-Calculation-sheet'!T11*'Output-Calculation-sheet'!T29</f>
        <v>0</v>
      </c>
      <c r="U23" s="2">
        <f>U12/'Output-Calculation-sheet'!U11*'Output-Calculation-sheet'!U29</f>
        <v>120.28748866821765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9.6518967959980433</v>
      </c>
      <c r="Y23" s="2">
        <f>Y12/'Output-Calculation-sheet'!Y11*'Output-Calculation-sheet'!Y29</f>
        <v>81.74248733373922</v>
      </c>
      <c r="AA23" s="2">
        <f t="shared" si="0"/>
        <v>6.8731658934030238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18582.367688128619</v>
      </c>
      <c r="C30" s="2">
        <f>C8/'Output-Calculation-sheet'!C7*'Output-Calculation-sheet'!C16</f>
        <v>0</v>
      </c>
      <c r="D30" s="2">
        <f>D8/'Output-Calculation-sheet'!D7*'Output-Calculation-sheet'!D16</f>
        <v>3129.0017402412836</v>
      </c>
      <c r="E30" s="2">
        <f>E8/'Output-Calculation-sheet'!E7*'Output-Calculation-sheet'!E16</f>
        <v>3366.6334163712186</v>
      </c>
      <c r="F30" s="2">
        <f>F8/'Output-Calculation-sheet'!F7*'Output-Calculation-sheet'!F16</f>
        <v>1698.512228888053</v>
      </c>
      <c r="G30" s="2">
        <f>G8/'Output-Calculation-sheet'!G7*'Output-Calculation-sheet'!G16</f>
        <v>1112.3089819468739</v>
      </c>
      <c r="H30" s="2">
        <f>H8/'Output-Calculation-sheet'!H7*'Output-Calculation-sheet'!H16</f>
        <v>0</v>
      </c>
      <c r="I30" s="2">
        <f>I8/'Output-Calculation-sheet'!I7*'Output-Calculation-sheet'!I16</f>
        <v>1084.3479589220658</v>
      </c>
      <c r="J30" s="2">
        <f>J8/'Output-Calculation-sheet'!J7*'Output-Calculation-sheet'!J16</f>
        <v>965.26489627427998</v>
      </c>
      <c r="K30" s="2">
        <f>K8/'Output-Calculation-sheet'!K7*'Output-Calculation-sheet'!K16</f>
        <v>1288.814253583063</v>
      </c>
      <c r="L30" s="2">
        <f>L8/'Output-Calculation-sheet'!L7*'Output-Calculation-sheet'!L16</f>
        <v>1088.6298127522173</v>
      </c>
      <c r="M30" s="2">
        <f>M8/'Output-Calculation-sheet'!M7*'Output-Calculation-sheet'!M16</f>
        <v>0</v>
      </c>
      <c r="N30" s="2">
        <f>N8/'Output-Calculation-sheet'!N7*'Output-Calculation-sheet'!N16</f>
        <v>1000.8519141499282</v>
      </c>
      <c r="O30" s="2">
        <f>O8/'Output-Calculation-sheet'!O7*'Output-Calculation-sheet'!O16</f>
        <v>0</v>
      </c>
      <c r="P30" s="2">
        <f>P8/'Output-Calculation-sheet'!P7*'Output-Calculation-sheet'!P16</f>
        <v>1389.7767981399243</v>
      </c>
      <c r="Q30" s="2">
        <f>Q8/'Output-Calculation-sheet'!Q7*'Output-Calculation-sheet'!Q16</f>
        <v>1528.3025928877801</v>
      </c>
      <c r="R30" s="2">
        <f>R8/'Output-Calculation-sheet'!R7*'Output-Calculation-sheet'!R16</f>
        <v>969.71345638415653</v>
      </c>
      <c r="S30" s="2">
        <f>S8/'Output-Calculation-sheet'!S7*'Output-Calculation-sheet'!S16</f>
        <v>975.24882052243515</v>
      </c>
      <c r="T30" s="2">
        <f>T8/'Output-Calculation-sheet'!T7*'Output-Calculation-sheet'!T16</f>
        <v>291.09223085120516</v>
      </c>
      <c r="U30" s="2">
        <f>U8/'Output-Calculation-sheet'!U7*'Output-Calculation-sheet'!U16</f>
        <v>290.57323924099859</v>
      </c>
      <c r="V30" s="2">
        <f>V8/'Output-Calculation-sheet'!V7*'Output-Calculation-sheet'!V16</f>
        <v>226.14664663026474</v>
      </c>
      <c r="W30" s="2">
        <f>W8/'Output-Calculation-sheet'!W7*'Output-Calculation-sheet'!W16</f>
        <v>137.17104198847903</v>
      </c>
      <c r="X30" s="2">
        <f>X8/'Output-Calculation-sheet'!X7*'Output-Calculation-sheet'!X16</f>
        <v>0</v>
      </c>
      <c r="Y30" s="2">
        <f>Y8/'Output-Calculation-sheet'!Y7*'Output-Calculation-sheet'!Y16</f>
        <v>116.09761921454047</v>
      </c>
      <c r="AA30" s="2">
        <f t="shared" si="1"/>
        <v>39.240855337117381</v>
      </c>
    </row>
    <row r="31" spans="1:27" x14ac:dyDescent="0.25">
      <c r="A31" s="2">
        <v>2032</v>
      </c>
      <c r="B31" s="2">
        <f>B9/'Output-Calculation-sheet'!B8*'Output-Calculation-sheet'!B17</f>
        <v>22252.224662330056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870.08543634003149</v>
      </c>
      <c r="O31" s="2">
        <f>O9/'Output-Calculation-sheet'!O8*'Output-Calculation-sheet'!O17</f>
        <v>0</v>
      </c>
      <c r="P31" s="2">
        <f>P9/'Output-Calculation-sheet'!P8*'Output-Calculation-sheet'!P17</f>
        <v>2174.6350137446484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720.14167908726654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50.982484937310844</v>
      </c>
    </row>
    <row r="32" spans="1:27" x14ac:dyDescent="0.25">
      <c r="A32" s="2">
        <v>2033</v>
      </c>
      <c r="B32" s="2">
        <f>B10/'Output-Calculation-sheet'!B9*'Output-Calculation-sheet'!B18</f>
        <v>18224.352110349464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2853.1395496447321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737.63414007375968</v>
      </c>
      <c r="O32" s="2">
        <f>O10/'Output-Calculation-sheet'!O9*'Output-Calculation-sheet'!O18</f>
        <v>0</v>
      </c>
      <c r="P32" s="2">
        <f>P10/'Output-Calculation-sheet'!P9*'Output-Calculation-sheet'!P18</f>
        <v>2936.5056947756279</v>
      </c>
      <c r="Q32" s="2">
        <f>Q10/'Output-Calculation-sheet'!Q9*'Output-Calculation-sheet'!Q18</f>
        <v>2719.1079462452844</v>
      </c>
      <c r="R32" s="2">
        <f>R10/'Output-Calculation-sheet'!R9*'Output-Calculation-sheet'!R18</f>
        <v>2108.6641141331893</v>
      </c>
      <c r="S32" s="2">
        <f>S10/'Output-Calculation-sheet'!S9*'Output-Calculation-sheet'!S18</f>
        <v>671.02903665020722</v>
      </c>
      <c r="T32" s="2">
        <f>T10/'Output-Calculation-sheet'!T9*'Output-Calculation-sheet'!T18</f>
        <v>615.6733086989608</v>
      </c>
      <c r="U32" s="2">
        <f>U10/'Output-Calculation-sheet'!U9*'Output-Calculation-sheet'!U18</f>
        <v>680.60650442749159</v>
      </c>
      <c r="V32" s="2">
        <f>V10/'Output-Calculation-sheet'!V9*'Output-Calculation-sheet'!V18</f>
        <v>502.33577043848288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290.87889349108877</v>
      </c>
      <c r="AA32" s="2">
        <f t="shared" si="1"/>
        <v>57.936853965526893</v>
      </c>
    </row>
    <row r="33" spans="1:27" x14ac:dyDescent="0.25">
      <c r="A33" s="2">
        <v>2034</v>
      </c>
      <c r="B33" s="2">
        <f>B11/'Output-Calculation-sheet'!B10*'Output-Calculation-sheet'!B19</f>
        <v>13503.774766251912</v>
      </c>
      <c r="C33" s="2">
        <f>C11/'Output-Calculation-sheet'!C10*'Output-Calculation-sheet'!C19</f>
        <v>0</v>
      </c>
      <c r="D33" s="2">
        <f>D11/'Output-Calculation-sheet'!D10*'Output-Calculation-sheet'!D19</f>
        <v>8983.2545974340883</v>
      </c>
      <c r="E33" s="2">
        <f>E11/'Output-Calculation-sheet'!E10*'Output-Calculation-sheet'!E19</f>
        <v>11115.770377914798</v>
      </c>
      <c r="F33" s="2">
        <f>F11/'Output-Calculation-sheet'!F10*'Output-Calculation-sheet'!F19</f>
        <v>5098.6555485203253</v>
      </c>
      <c r="G33" s="2">
        <f>G11/'Output-Calculation-sheet'!G10*'Output-Calculation-sheet'!G19</f>
        <v>3057.6669177907474</v>
      </c>
      <c r="H33" s="2">
        <f>H11/'Output-Calculation-sheet'!H10*'Output-Calculation-sheet'!H19</f>
        <v>0</v>
      </c>
      <c r="I33" s="2">
        <f>I11/'Output-Calculation-sheet'!I10*'Output-Calculation-sheet'!I19</f>
        <v>3336.7174155017078</v>
      </c>
      <c r="J33" s="2">
        <f>J11/'Output-Calculation-sheet'!J10*'Output-Calculation-sheet'!J19</f>
        <v>2821.3318486844869</v>
      </c>
      <c r="K33" s="2">
        <f>K11/'Output-Calculation-sheet'!K10*'Output-Calculation-sheet'!K19</f>
        <v>3913.2872033750537</v>
      </c>
      <c r="L33" s="2">
        <f>L11/'Output-Calculation-sheet'!L10*'Output-Calculation-sheet'!L19</f>
        <v>3182.9450711938007</v>
      </c>
      <c r="M33" s="2">
        <f>M11/'Output-Calculation-sheet'!M10*'Output-Calculation-sheet'!M19</f>
        <v>0</v>
      </c>
      <c r="N33" s="2">
        <f>N11/'Output-Calculation-sheet'!N10*'Output-Calculation-sheet'!N19</f>
        <v>604.20324439584192</v>
      </c>
      <c r="O33" s="2">
        <f>O11/'Output-Calculation-sheet'!O10*'Output-Calculation-sheet'!O19</f>
        <v>0</v>
      </c>
      <c r="P33" s="2">
        <f>P11/'Output-Calculation-sheet'!P10*'Output-Calculation-sheet'!P19</f>
        <v>2990.9045067333241</v>
      </c>
      <c r="Q33" s="2">
        <f>Q11/'Output-Calculation-sheet'!Q10*'Output-Calculation-sheet'!Q19</f>
        <v>1906.5855934673407</v>
      </c>
      <c r="R33" s="2">
        <f>R11/'Output-Calculation-sheet'!R10*'Output-Calculation-sheet'!R19</f>
        <v>2826.9769210165427</v>
      </c>
      <c r="S33" s="2">
        <f>S11/'Output-Calculation-sheet'!S10*'Output-Calculation-sheet'!S19</f>
        <v>384.09143181208958</v>
      </c>
      <c r="T33" s="2">
        <f>T11/'Output-Calculation-sheet'!T10*'Output-Calculation-sheet'!T19</f>
        <v>829.4290304525523</v>
      </c>
      <c r="U33" s="2">
        <f>U11/'Output-Calculation-sheet'!U10*'Output-Calculation-sheet'!U19</f>
        <v>954.0199646603827</v>
      </c>
      <c r="V33" s="2">
        <f>V11/'Output-Calculation-sheet'!V10*'Output-Calculation-sheet'!V19</f>
        <v>650.60468834195069</v>
      </c>
      <c r="W33" s="2">
        <f>W11/'Output-Calculation-sheet'!W10*'Output-Calculation-sheet'!W19</f>
        <v>405.03690561389499</v>
      </c>
      <c r="X33" s="2">
        <f>X11/'Output-Calculation-sheet'!X10*'Output-Calculation-sheet'!X19</f>
        <v>0</v>
      </c>
      <c r="Y33" s="2">
        <f>Y11/'Output-Calculation-sheet'!Y10*'Output-Calculation-sheet'!Y19</f>
        <v>331.65792721504698</v>
      </c>
      <c r="AA33" s="2">
        <f t="shared" si="1"/>
        <v>66.896913960375869</v>
      </c>
    </row>
    <row r="34" spans="1:27" x14ac:dyDescent="0.25">
      <c r="A34" s="2">
        <v>2035</v>
      </c>
      <c r="B34" s="2">
        <f>B12/'Output-Calculation-sheet'!B11*'Output-Calculation-sheet'!B20</f>
        <v>212.93201062523025</v>
      </c>
      <c r="C34" s="2">
        <f>C12/'Output-Calculation-sheet'!C11*'Output-Calculation-sheet'!C20</f>
        <v>0</v>
      </c>
      <c r="D34" s="2">
        <f>D12/'Output-Calculation-sheet'!D11*'Output-Calculation-sheet'!D20</f>
        <v>9483.9157779032994</v>
      </c>
      <c r="E34" s="2">
        <f>E12/'Output-Calculation-sheet'!E11*'Output-Calculation-sheet'!E20</f>
        <v>5597.720182030982</v>
      </c>
      <c r="F34" s="2">
        <f>F12/'Output-Calculation-sheet'!F11*'Output-Calculation-sheet'!F20</f>
        <v>6477.4021513833341</v>
      </c>
      <c r="G34" s="2">
        <f>G12/'Output-Calculation-sheet'!G11*'Output-Calculation-sheet'!G20</f>
        <v>3493.0987539039252</v>
      </c>
      <c r="H34" s="2">
        <f>H12/'Output-Calculation-sheet'!H11*'Output-Calculation-sheet'!H20</f>
        <v>0</v>
      </c>
      <c r="I34" s="2">
        <f>I12/'Output-Calculation-sheet'!I11*'Output-Calculation-sheet'!I20</f>
        <v>3802.9188751420429</v>
      </c>
      <c r="J34" s="2">
        <f>J12/'Output-Calculation-sheet'!J11*'Output-Calculation-sheet'!J20</f>
        <v>3259.3130629829111</v>
      </c>
      <c r="K34" s="2">
        <f>K12/'Output-Calculation-sheet'!K11*'Output-Calculation-sheet'!K20</f>
        <v>4285.2632165002351</v>
      </c>
      <c r="L34" s="2">
        <f>L12/'Output-Calculation-sheet'!L11*'Output-Calculation-sheet'!L20</f>
        <v>3385.6250819512761</v>
      </c>
      <c r="M34" s="2">
        <f>M12/'Output-Calculation-sheet'!M11*'Output-Calculation-sheet'!M20</f>
        <v>0</v>
      </c>
      <c r="N34" s="2">
        <f>N12/'Output-Calculation-sheet'!N11*'Output-Calculation-sheet'!N20</f>
        <v>0.65323097878533898</v>
      </c>
      <c r="O34" s="2">
        <f>O12/'Output-Calculation-sheet'!O11*'Output-Calculation-sheet'!O20</f>
        <v>0</v>
      </c>
      <c r="P34" s="2">
        <f>P12/'Output-Calculation-sheet'!P11*'Output-Calculation-sheet'!P20</f>
        <v>1066.6451895101238</v>
      </c>
      <c r="Q34" s="2">
        <f>Q12/'Output-Calculation-sheet'!Q11*'Output-Calculation-sheet'!Q20</f>
        <v>1660.7963735913891</v>
      </c>
      <c r="R34" s="2">
        <f>R12/'Output-Calculation-sheet'!R11*'Output-Calculation-sheet'!R20</f>
        <v>3365.0810032658737</v>
      </c>
      <c r="S34" s="2">
        <f>S12/'Output-Calculation-sheet'!S11*'Output-Calculation-sheet'!S20</f>
        <v>6.9312731096466536</v>
      </c>
      <c r="T34" s="2">
        <f>T12/'Output-Calculation-sheet'!T11*'Output-Calculation-sheet'!T20</f>
        <v>1051.5739063350586</v>
      </c>
      <c r="U34" s="2">
        <f>U12/'Output-Calculation-sheet'!U11*'Output-Calculation-sheet'!U20</f>
        <v>961.39372244770288</v>
      </c>
      <c r="V34" s="2">
        <f>V12/'Output-Calculation-sheet'!V11*'Output-Calculation-sheet'!V20</f>
        <v>880.76168876228064</v>
      </c>
      <c r="W34" s="2">
        <f>W12/'Output-Calculation-sheet'!W11*'Output-Calculation-sheet'!W20</f>
        <v>569.04836118337562</v>
      </c>
      <c r="X34" s="2">
        <f>X12/'Output-Calculation-sheet'!X11*'Output-Calculation-sheet'!X20</f>
        <v>0</v>
      </c>
      <c r="Y34" s="2">
        <f>Y12/'Output-Calculation-sheet'!Y11*'Output-Calculation-sheet'!Y20</f>
        <v>141.67301133397325</v>
      </c>
      <c r="AA34" s="2">
        <f t="shared" si="1"/>
        <v>49.702746872941447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0.14140064782009812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0.14174003611982591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2.0659161303543994E-2</v>
      </c>
      <c r="I45" s="2">
        <f>I12/'Output-Calculation-sheet'!I11*'Output-Calculation-sheet'!I38*0.0114</f>
        <v>7.672545146087105E-2</v>
      </c>
      <c r="J45" s="2">
        <f>J12/'Output-Calculation-sheet'!J11*'Output-Calculation-sheet'!J38*0.0114</f>
        <v>5.6949586017412381E-2</v>
      </c>
      <c r="K45" s="2">
        <f>K12/'Output-Calculation-sheet'!K11*'Output-Calculation-sheet'!K38*0.0114</f>
        <v>9.4261132330075825E-2</v>
      </c>
      <c r="L45" s="2">
        <f>L12/'Output-Calculation-sheet'!L11*'Output-Calculation-sheet'!L38*0.0114</f>
        <v>5.9961690474563706E-2</v>
      </c>
      <c r="M45" s="2">
        <f>M12/'Output-Calculation-sheet'!M11*'Output-Calculation-sheet'!M38*0.0114</f>
        <v>1.421551351656236E-2</v>
      </c>
      <c r="N45" s="2">
        <f>N12/'Output-Calculation-sheet'!N11*'Output-Calculation-sheet'!N38*0.0114</f>
        <v>1.3971544386778358E-2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1.2907252897466383E-2</v>
      </c>
      <c r="Q45" s="2">
        <f>Q12/'Output-Calculation-sheet'!Q11*'Output-Calculation-sheet'!Q38*0.0114</f>
        <v>9.7929696095885338E-2</v>
      </c>
      <c r="R45" s="2">
        <f>R12/'Output-Calculation-sheet'!R11*'Output-Calculation-sheet'!R38*0.0114</f>
        <v>4.8557875480775711E-2</v>
      </c>
      <c r="S45" s="2">
        <f>S12/'Output-Calculation-sheet'!S11*'Output-Calculation-sheet'!S38*0.0114</f>
        <v>8.0089715639541717E-3</v>
      </c>
      <c r="T45" s="2">
        <f>T12/'Output-Calculation-sheet'!T11*'Output-Calculation-sheet'!T38*0.0114</f>
        <v>1.3473438533102136E-2</v>
      </c>
      <c r="U45" s="2">
        <f>U12/'Output-Calculation-sheet'!U11*'Output-Calculation-sheet'!U38*0.0114</f>
        <v>1.9528413303659963E-2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4.5147591887978291E-3</v>
      </c>
      <c r="AA45" s="2">
        <f t="shared" si="2"/>
        <v>1.3295969884940497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0.14187925464020629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186.95611454953809</v>
      </c>
      <c r="R54" s="2">
        <f>R10/'Output-Calculation-sheet'!R9*'Output-Calculation-sheet'!R45</f>
        <v>1399.5490967741598</v>
      </c>
      <c r="S54" s="2">
        <f>S10/'Output-Calculation-sheet'!S9*'Output-Calculation-sheet'!S45</f>
        <v>0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17.444386234916966</v>
      </c>
      <c r="AA54" s="2">
        <f t="shared" si="3"/>
        <v>4.6052491115579457</v>
      </c>
    </row>
    <row r="55" spans="1:27" x14ac:dyDescent="0.25">
      <c r="A55" s="2">
        <v>2034</v>
      </c>
      <c r="B55" s="2">
        <f>B11/'Output-Calculation-sheet'!B10*'Output-Calculation-sheet'!B46</f>
        <v>1765.182394711499</v>
      </c>
      <c r="C55" s="2">
        <f>C11/'Output-Calculation-sheet'!C10*'Output-Calculation-sheet'!C46</f>
        <v>0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601.76601897520516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3707.4328940785749</v>
      </c>
      <c r="L55" s="2">
        <f>L11/'Output-Calculation-sheet'!L10*'Output-Calculation-sheet'!L46</f>
        <v>1371.066433028129</v>
      </c>
      <c r="M55" s="2">
        <f>M11/'Output-Calculation-sheet'!M10*'Output-Calculation-sheet'!M46</f>
        <v>446.01640402315212</v>
      </c>
      <c r="N55" s="2">
        <f>N11/'Output-Calculation-sheet'!N10*'Output-Calculation-sheet'!N46</f>
        <v>152.32200215896268</v>
      </c>
      <c r="O55" s="2">
        <f>O11/'Output-Calculation-sheet'!O10*'Output-Calculation-sheet'!O46</f>
        <v>0</v>
      </c>
      <c r="P55" s="2">
        <f>P11/'Output-Calculation-sheet'!P10*'Output-Calculation-sheet'!P46</f>
        <v>3312.7992404531387</v>
      </c>
      <c r="Q55" s="2">
        <f>Q11/'Output-Calculation-sheet'!Q10*'Output-Calculation-sheet'!Q46</f>
        <v>710.07484382498353</v>
      </c>
      <c r="R55" s="2">
        <f>R11/'Output-Calculation-sheet'!R10*'Output-Calculation-sheet'!R46</f>
        <v>4106.834150745216</v>
      </c>
      <c r="S55" s="2">
        <f>S11/'Output-Calculation-sheet'!S10*'Output-Calculation-sheet'!S46</f>
        <v>0</v>
      </c>
      <c r="T55" s="2">
        <f>T11/'Output-Calculation-sheet'!T10*'Output-Calculation-sheet'!T46</f>
        <v>929.93907314569344</v>
      </c>
      <c r="U55" s="2">
        <f>U11/'Output-Calculation-sheet'!U10*'Output-Calculation-sheet'!U46</f>
        <v>1559.2422754724578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42.569464479208854</v>
      </c>
      <c r="Y55" s="2">
        <f>Y11/'Output-Calculation-sheet'!Y10*'Output-Calculation-sheet'!Y46</f>
        <v>296.07908991076948</v>
      </c>
      <c r="AA55" s="2">
        <f t="shared" si="3"/>
        <v>44.321691151268894</v>
      </c>
    </row>
    <row r="56" spans="1:27" x14ac:dyDescent="0.25">
      <c r="A56" s="2">
        <v>2035</v>
      </c>
      <c r="B56" s="2">
        <f>B12/'Output-Calculation-sheet'!B11*'Output-Calculation-sheet'!B47</f>
        <v>508.5461895284231</v>
      </c>
      <c r="C56" s="2">
        <f>C12/'Output-Calculation-sheet'!C11*'Output-Calculation-sheet'!C47</f>
        <v>400.31731365498666</v>
      </c>
      <c r="D56" s="2">
        <f>D12/'Output-Calculation-sheet'!D11*'Output-Calculation-sheet'!D47</f>
        <v>9251.2016440994994</v>
      </c>
      <c r="E56" s="2">
        <f>E12/'Output-Calculation-sheet'!E11*'Output-Calculation-sheet'!E47</f>
        <v>11268.747316076218</v>
      </c>
      <c r="F56" s="2">
        <f>F12/'Output-Calculation-sheet'!F11*'Output-Calculation-sheet'!F47</f>
        <v>2937.6056223950063</v>
      </c>
      <c r="G56" s="2">
        <f>G12/'Output-Calculation-sheet'!G11*'Output-Calculation-sheet'!G47</f>
        <v>7250.8187185003653</v>
      </c>
      <c r="H56" s="2">
        <f>H12/'Output-Calculation-sheet'!H11*'Output-Calculation-sheet'!H47</f>
        <v>150.41319194685539</v>
      </c>
      <c r="I56" s="2">
        <f>I12/'Output-Calculation-sheet'!I11*'Output-Calculation-sheet'!I47</f>
        <v>3620.9028847323352</v>
      </c>
      <c r="J56" s="2">
        <f>J12/'Output-Calculation-sheet'!J11*'Output-Calculation-sheet'!J47</f>
        <v>3305.4072586129696</v>
      </c>
      <c r="K56" s="2">
        <f>K12/'Output-Calculation-sheet'!K11*'Output-Calculation-sheet'!K47</f>
        <v>4711.402912427825</v>
      </c>
      <c r="L56" s="2">
        <f>L12/'Output-Calculation-sheet'!L11*'Output-Calculation-sheet'!L47</f>
        <v>2618.0641608521123</v>
      </c>
      <c r="M56" s="2">
        <f>M12/'Output-Calculation-sheet'!M11*'Output-Calculation-sheet'!M47</f>
        <v>104.74588906940686</v>
      </c>
      <c r="N56" s="2">
        <f>N12/'Output-Calculation-sheet'!N11*'Output-Calculation-sheet'!N47</f>
        <v>96.820351452235982</v>
      </c>
      <c r="O56" s="2">
        <f>O12/'Output-Calculation-sheet'!O11*'Output-Calculation-sheet'!O47</f>
        <v>13.724211690079343</v>
      </c>
      <c r="P56" s="2">
        <f>P12/'Output-Calculation-sheet'!P11*'Output-Calculation-sheet'!P47</f>
        <v>1386.963578894414</v>
      </c>
      <c r="Q56" s="2">
        <f>Q12/'Output-Calculation-sheet'!Q11*'Output-Calculation-sheet'!Q47</f>
        <v>1234.8591064722384</v>
      </c>
      <c r="R56" s="2">
        <f>R12/'Output-Calculation-sheet'!R11*'Output-Calculation-sheet'!R47</f>
        <v>5580.9610832181033</v>
      </c>
      <c r="S56" s="2">
        <f>S12/'Output-Calculation-sheet'!S11*'Output-Calculation-sheet'!S47</f>
        <v>44.260106011325682</v>
      </c>
      <c r="T56" s="2">
        <f>T12/'Output-Calculation-sheet'!T11*'Output-Calculation-sheet'!T47</f>
        <v>1967.0432337947063</v>
      </c>
      <c r="U56" s="2">
        <f>U12/'Output-Calculation-sheet'!U11*'Output-Calculation-sheet'!U47</f>
        <v>1877.1259033465428</v>
      </c>
      <c r="V56" s="2">
        <f>V12/'Output-Calculation-sheet'!V11*'Output-Calculation-sheet'!V47</f>
        <v>1310.3199769947228</v>
      </c>
      <c r="W56" s="2">
        <f>W12/'Output-Calculation-sheet'!W11*'Output-Calculation-sheet'!W47</f>
        <v>761.99813996959404</v>
      </c>
      <c r="X56" s="2">
        <f>X12/'Output-Calculation-sheet'!X11*'Output-Calculation-sheet'!X47</f>
        <v>11.764433358218628</v>
      </c>
      <c r="Y56" s="2">
        <f>Y12/'Output-Calculation-sheet'!Y11*'Output-Calculation-sheet'!Y47</f>
        <v>304.68023999255524</v>
      </c>
      <c r="AA56" s="2">
        <f t="shared" si="3"/>
        <v>60.718693467090752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7.0643705472948852</v>
      </c>
      <c r="C63" s="2">
        <f>C8*'Output-Calculation-sheet'!C52/10^9</f>
        <v>3.3286244155513187</v>
      </c>
      <c r="D63" s="2">
        <f>D8*'Output-Calculation-sheet'!D52/10^9</f>
        <v>1.6540563126303212</v>
      </c>
      <c r="E63" s="2">
        <f>E8*'Output-Calculation-sheet'!E52/10^9</f>
        <v>1.8923133310477138</v>
      </c>
      <c r="F63" s="2">
        <f>F8*'Output-Calculation-sheet'!F52/10^9</f>
        <v>0.88453491584199295</v>
      </c>
      <c r="G63" s="2">
        <f>G8*'Output-Calculation-sheet'!G52/10^9</f>
        <v>0.67469287738392925</v>
      </c>
      <c r="H63" s="2">
        <f>H8*'Output-Calculation-sheet'!H52/10^9</f>
        <v>0.91808215363438639</v>
      </c>
      <c r="I63" s="2">
        <f>I8*'Output-Calculation-sheet'!I52/10^9</f>
        <v>0.5329625388499355</v>
      </c>
      <c r="J63" s="2">
        <f>J8*'Output-Calculation-sheet'!J52/10^9</f>
        <v>0.7534319848138723</v>
      </c>
      <c r="K63" s="2">
        <f>K8*'Output-Calculation-sheet'!K52/10^9</f>
        <v>0.49459110331683542</v>
      </c>
      <c r="L63" s="2">
        <f>L8*'Output-Calculation-sheet'!L52/10^9</f>
        <v>0.58557560030044864</v>
      </c>
      <c r="M63" s="2">
        <f>M8*'Output-Calculation-sheet'!M52/10^9</f>
        <v>0.67421095249722696</v>
      </c>
      <c r="N63" s="2">
        <f>N8*'Output-Calculation-sheet'!N52/10^9</f>
        <v>0.5830192577521065</v>
      </c>
      <c r="O63" s="2">
        <f>O8*'Output-Calculation-sheet'!O52/10^9</f>
        <v>0.59610195566513047</v>
      </c>
      <c r="P63" s="2">
        <f>P8*'Output-Calculation-sheet'!P52/10^9</f>
        <v>0.50300767280710312</v>
      </c>
      <c r="Q63" s="2">
        <f>Q8*'Output-Calculation-sheet'!Q52/10^9</f>
        <v>0.46919673106896614</v>
      </c>
      <c r="R63" s="2">
        <f>R8*'Output-Calculation-sheet'!R52/10^9</f>
        <v>0.42498267497365511</v>
      </c>
      <c r="S63" s="2">
        <f>S8*'Output-Calculation-sheet'!S52/10^9</f>
        <v>0.36058199270761954</v>
      </c>
      <c r="T63" s="2">
        <f>T8*'Output-Calculation-sheet'!T52/10^9</f>
        <v>0.1726112320860386</v>
      </c>
      <c r="U63" s="2">
        <f>U8*'Output-Calculation-sheet'!U52/10^9</f>
        <v>0.13461081500104416</v>
      </c>
      <c r="V63" s="2">
        <f>V8*'Output-Calculation-sheet'!V52/10^9</f>
        <v>0.22287535571700173</v>
      </c>
      <c r="W63" s="2">
        <f>W8*'Output-Calculation-sheet'!W52/10^9</f>
        <v>9.3528626794561198E-2</v>
      </c>
      <c r="X63" s="2">
        <f>X8*'Output-Calculation-sheet'!X52/10^9</f>
        <v>8.76677494762335E-2</v>
      </c>
      <c r="Y63" s="2">
        <f>Y8*'Output-Calculation-sheet'!Y52/10^9</f>
        <v>5.400930522112226E-2</v>
      </c>
      <c r="AA63" s="2">
        <f t="shared" si="4"/>
        <v>23.159640102433443</v>
      </c>
    </row>
    <row r="64" spans="1:27" x14ac:dyDescent="0.25">
      <c r="A64" s="2">
        <v>2032</v>
      </c>
      <c r="B64" s="2">
        <f>B9*'Output-Calculation-sheet'!B53/10^9</f>
        <v>7.4457249777850274</v>
      </c>
      <c r="C64" s="2">
        <f>C9*'Output-Calculation-sheet'!C53/10^9</f>
        <v>3.5791741225978293</v>
      </c>
      <c r="D64" s="2">
        <f>D9*'Output-Calculation-sheet'!D53/10^9</f>
        <v>1.5647183390833048</v>
      </c>
      <c r="E64" s="2">
        <f>E9*'Output-Calculation-sheet'!E53/10^9</f>
        <v>1.8269916503884582</v>
      </c>
      <c r="F64" s="2">
        <f>F9*'Output-Calculation-sheet'!F53/10^9</f>
        <v>0.83837563938447435</v>
      </c>
      <c r="G64" s="2">
        <f>G9*'Output-Calculation-sheet'!G53/10^9</f>
        <v>0.62774101350130773</v>
      </c>
      <c r="H64" s="2">
        <f>H9*'Output-Calculation-sheet'!H53/10^9</f>
        <v>1.0119069381141788</v>
      </c>
      <c r="I64" s="2">
        <f>I9*'Output-Calculation-sheet'!I53/10^9</f>
        <v>0.50905490270502507</v>
      </c>
      <c r="J64" s="2">
        <f>J9*'Output-Calculation-sheet'!J53/10^9</f>
        <v>0.68326025764069664</v>
      </c>
      <c r="K64" s="2">
        <f>K9*'Output-Calculation-sheet'!K53/10^9</f>
        <v>0.50439892732187719</v>
      </c>
      <c r="L64" s="2">
        <f>L9*'Output-Calculation-sheet'!L53/10^9</f>
        <v>0.56627408926588463</v>
      </c>
      <c r="M64" s="2">
        <f>M9*'Output-Calculation-sheet'!M53/10^9</f>
        <v>0.73208904705647992</v>
      </c>
      <c r="N64" s="2">
        <f>N9*'Output-Calculation-sheet'!N53/10^9</f>
        <v>0.65416460418752931</v>
      </c>
      <c r="O64" s="2">
        <f>O9*'Output-Calculation-sheet'!O53/10^9</f>
        <v>0.65386196248142392</v>
      </c>
      <c r="P64" s="2">
        <f>P9*'Output-Calculation-sheet'!P53/10^9</f>
        <v>0.53822301280490403</v>
      </c>
      <c r="Q64" s="2">
        <f>Q9*'Output-Calculation-sheet'!Q53/10^9</f>
        <v>0.51051780321541129</v>
      </c>
      <c r="R64" s="2">
        <f>R9*'Output-Calculation-sheet'!R53/10^9</f>
        <v>0.4343073241708808</v>
      </c>
      <c r="S64" s="2">
        <f>S9*'Output-Calculation-sheet'!S53/10^9</f>
        <v>0.39595750574051275</v>
      </c>
      <c r="T64" s="2">
        <f>T9*'Output-Calculation-sheet'!T53/10^9</f>
        <v>0.16235231578070136</v>
      </c>
      <c r="U64" s="2">
        <f>U9*'Output-Calculation-sheet'!U53/10^9</f>
        <v>0.13832331009382481</v>
      </c>
      <c r="V64" s="2">
        <f>V9*'Output-Calculation-sheet'!V53/10^9</f>
        <v>0.2016013036548859</v>
      </c>
      <c r="W64" s="2">
        <f>W9*'Output-Calculation-sheet'!W53/10^9</f>
        <v>8.5929188304701282E-2</v>
      </c>
      <c r="X64" s="2">
        <f>X9*'Output-Calculation-sheet'!X53/10^9</f>
        <v>9.1910854611091414E-2</v>
      </c>
      <c r="Y64" s="2">
        <f>Y9*'Output-Calculation-sheet'!Y53/10^9</f>
        <v>5.4655773525730686E-2</v>
      </c>
      <c r="AA64" s="2">
        <f t="shared" si="4"/>
        <v>23.811514863416136</v>
      </c>
    </row>
    <row r="65" spans="1:27" x14ac:dyDescent="0.25">
      <c r="A65" s="2">
        <v>2033</v>
      </c>
      <c r="B65" s="2">
        <f>B10*'Output-Calculation-sheet'!B54/10^9</f>
        <v>7.8104433537455229</v>
      </c>
      <c r="C65" s="2">
        <f>C10*'Output-Calculation-sheet'!C54/10^9</f>
        <v>3.7720233819779221</v>
      </c>
      <c r="D65" s="2">
        <f>D10*'Output-Calculation-sheet'!D54/10^9</f>
        <v>1.4305336215567896</v>
      </c>
      <c r="E65" s="2">
        <f>E10*'Output-Calculation-sheet'!E54/10^9</f>
        <v>1.8218035043763874</v>
      </c>
      <c r="F65" s="2">
        <f>F10*'Output-Calculation-sheet'!F54/10^9</f>
        <v>0.78284379238265978</v>
      </c>
      <c r="G65" s="2">
        <f>G10*'Output-Calculation-sheet'!G54/10^9</f>
        <v>0.55734686464518057</v>
      </c>
      <c r="H65" s="2">
        <f>H10*'Output-Calculation-sheet'!H54/10^9</f>
        <v>1.1047068377337026</v>
      </c>
      <c r="I65" s="2">
        <f>I10*'Output-Calculation-sheet'!I54/10^9</f>
        <v>0.48867686706297109</v>
      </c>
      <c r="J65" s="2">
        <f>J10*'Output-Calculation-sheet'!J54/10^9</f>
        <v>0.5781816111478173</v>
      </c>
      <c r="K65" s="2">
        <f>K10*'Output-Calculation-sheet'!K54/10^9</f>
        <v>0.54107216540994174</v>
      </c>
      <c r="L65" s="2">
        <f>L10*'Output-Calculation-sheet'!L54/10^9</f>
        <v>0.55798428416832913</v>
      </c>
      <c r="M65" s="2">
        <f>M10*'Output-Calculation-sheet'!M54/10^9</f>
        <v>0.78613135079721619</v>
      </c>
      <c r="N65" s="2">
        <f>N10*'Output-Calculation-sheet'!N54/10^9</f>
        <v>0.72115931028889413</v>
      </c>
      <c r="O65" s="2">
        <f>O10*'Output-Calculation-sheet'!O54/10^9</f>
        <v>0.70437142282198439</v>
      </c>
      <c r="P65" s="2">
        <f>P10*'Output-Calculation-sheet'!P54/10^9</f>
        <v>0.58532848168977969</v>
      </c>
      <c r="Q65" s="2">
        <f>Q10*'Output-Calculation-sheet'!Q54/10^9</f>
        <v>0.57640045048932453</v>
      </c>
      <c r="R65" s="2">
        <f>R10*'Output-Calculation-sheet'!R54/10^9</f>
        <v>0.4578930439669085</v>
      </c>
      <c r="S65" s="2">
        <f>S10*'Output-Calculation-sheet'!S54/10^9</f>
        <v>0.42737015738976919</v>
      </c>
      <c r="T65" s="2">
        <f>T10*'Output-Calculation-sheet'!T54/10^9</f>
        <v>0.15506393894508333</v>
      </c>
      <c r="U65" s="2">
        <f>U10*'Output-Calculation-sheet'!U54/10^9</f>
        <v>0.14892728213748055</v>
      </c>
      <c r="V65" s="2">
        <f>V10*'Output-Calculation-sheet'!V54/10^9</f>
        <v>0.17547478337618785</v>
      </c>
      <c r="W65" s="2">
        <f>W10*'Output-Calculation-sheet'!W54/10^9</f>
        <v>7.499302799377898E-2</v>
      </c>
      <c r="X65" s="2">
        <f>X10*'Output-Calculation-sheet'!X54/10^9</f>
        <v>9.3911454385619375E-2</v>
      </c>
      <c r="Y65" s="2">
        <f>Y10*'Output-Calculation-sheet'!Y54/10^9</f>
        <v>5.8180797494930749E-2</v>
      </c>
      <c r="AA65" s="2">
        <f t="shared" si="4"/>
        <v>24.410821785984179</v>
      </c>
    </row>
    <row r="66" spans="1:27" x14ac:dyDescent="0.25">
      <c r="A66" s="2">
        <v>2034</v>
      </c>
      <c r="B66" s="2">
        <f>B11*'Output-Calculation-sheet'!B55/10^9</f>
        <v>8.1567237689769261</v>
      </c>
      <c r="C66" s="2">
        <f>C11*'Output-Calculation-sheet'!C55/10^9</f>
        <v>3.9614219011354006</v>
      </c>
      <c r="D66" s="2">
        <f>D11*'Output-Calculation-sheet'!D55/10^9</f>
        <v>1.5929474218838777</v>
      </c>
      <c r="E66" s="2">
        <f>E11*'Output-Calculation-sheet'!E55/10^9</f>
        <v>2.0631846840360395</v>
      </c>
      <c r="F66" s="2">
        <f>F11*'Output-Calculation-sheet'!F55/10^9</f>
        <v>0.81202233889637676</v>
      </c>
      <c r="G66" s="2">
        <f>G11*'Output-Calculation-sheet'!G55/10^9</f>
        <v>0.59233446829602654</v>
      </c>
      <c r="H66" s="2">
        <f>H11*'Output-Calculation-sheet'!H55/10^9</f>
        <v>1.1908114256818156</v>
      </c>
      <c r="I66" s="2">
        <f>I11*'Output-Calculation-sheet'!I55/10^9</f>
        <v>0.55064545004723575</v>
      </c>
      <c r="J66" s="2">
        <f>J11*'Output-Calculation-sheet'!J55/10^9</f>
        <v>0.55439331003398051</v>
      </c>
      <c r="K66" s="2">
        <f>K11*'Output-Calculation-sheet'!K55/10^9</f>
        <v>0.63126700849224404</v>
      </c>
      <c r="L66" s="2">
        <f>L11*'Output-Calculation-sheet'!L55/10^9</f>
        <v>0.61199251724989423</v>
      </c>
      <c r="M66" s="2">
        <f>M11*'Output-Calculation-sheet'!M55/10^9</f>
        <v>0.83490685294999423</v>
      </c>
      <c r="N66" s="2">
        <f>N11*'Output-Calculation-sheet'!N55/10^9</f>
        <v>0.79141808474472486</v>
      </c>
      <c r="O66" s="2">
        <f>O11*'Output-Calculation-sheet'!O55/10^9</f>
        <v>0.75285868776304521</v>
      </c>
      <c r="P66" s="2">
        <f>P11*'Output-Calculation-sheet'!P55/10^9</f>
        <v>0.65438122621236672</v>
      </c>
      <c r="Q66" s="2">
        <f>Q11*'Output-Calculation-sheet'!Q55/10^9</f>
        <v>0.65891297311102626</v>
      </c>
      <c r="R66" s="2">
        <f>R11*'Output-Calculation-sheet'!R55/10^9</f>
        <v>0.50250760217885193</v>
      </c>
      <c r="S66" s="2">
        <f>S11*'Output-Calculation-sheet'!S55/10^9</f>
        <v>0.45963519273775544</v>
      </c>
      <c r="T66" s="2">
        <f>T11*'Output-Calculation-sheet'!T55/10^9</f>
        <v>0.15745240706899727</v>
      </c>
      <c r="U66" s="2">
        <f>U11*'Output-Calculation-sheet'!U55/10^9</f>
        <v>0.17136354142937585</v>
      </c>
      <c r="V66" s="2">
        <f>V11*'Output-Calculation-sheet'!V55/10^9</f>
        <v>0.14879652427970111</v>
      </c>
      <c r="W66" s="2">
        <f>W11*'Output-Calculation-sheet'!W55/10^9</f>
        <v>7.2900429939224659E-2</v>
      </c>
      <c r="X66" s="2">
        <f>X11*'Output-Calculation-sheet'!X55/10^9</f>
        <v>9.5509301612007422E-2</v>
      </c>
      <c r="Y66" s="2">
        <f>Y11*'Output-Calculation-sheet'!Y55/10^9</f>
        <v>6.967775233499339E-2</v>
      </c>
      <c r="AA66" s="2">
        <f t="shared" si="4"/>
        <v>26.088064871091881</v>
      </c>
    </row>
    <row r="67" spans="1:27" x14ac:dyDescent="0.25">
      <c r="A67" s="2">
        <v>2035</v>
      </c>
      <c r="B67" s="2">
        <f>B12*'Output-Calculation-sheet'!B56/10^9</f>
        <v>8.7753694195872711</v>
      </c>
      <c r="C67" s="2">
        <f>C12*'Output-Calculation-sheet'!C56/10^9</f>
        <v>4.104845826002582</v>
      </c>
      <c r="D67" s="2">
        <f>D12*'Output-Calculation-sheet'!D56/10^9</f>
        <v>2.0137776770323383</v>
      </c>
      <c r="E67" s="2">
        <f>E12*'Output-Calculation-sheet'!E56/10^9</f>
        <v>2.7054132940040496</v>
      </c>
      <c r="F67" s="2">
        <f>F12*'Output-Calculation-sheet'!F56/10^9</f>
        <v>1.0812228904865422</v>
      </c>
      <c r="G67" s="2">
        <f>G12*'Output-Calculation-sheet'!G56/10^9</f>
        <v>0.796608171756929</v>
      </c>
      <c r="H67" s="2">
        <f>H12*'Output-Calculation-sheet'!H56/10^9</f>
        <v>1.2923790671685169</v>
      </c>
      <c r="I67" s="2">
        <f>I12*'Output-Calculation-sheet'!I56/10^9</f>
        <v>0.72996333320083984</v>
      </c>
      <c r="J67" s="2">
        <f>J12*'Output-Calculation-sheet'!J56/10^9</f>
        <v>0.66840442845407022</v>
      </c>
      <c r="K67" s="2">
        <f>K12*'Output-Calculation-sheet'!K56/10^9</f>
        <v>0.80060238277871409</v>
      </c>
      <c r="L67" s="2">
        <f>L12*'Output-Calculation-sheet'!L56/10^9</f>
        <v>0.74616255499117246</v>
      </c>
      <c r="M67" s="2">
        <f>M12*'Output-Calculation-sheet'!M56/10^9</f>
        <v>0.89626275162263802</v>
      </c>
      <c r="N67" s="2">
        <f>N12*'Output-Calculation-sheet'!N56/10^9</f>
        <v>0.87403024822344755</v>
      </c>
      <c r="O67" s="2">
        <f>O12*'Output-Calculation-sheet'!O56/10^9</f>
        <v>0.79717580932462095</v>
      </c>
      <c r="P67" s="2">
        <f>P12*'Output-Calculation-sheet'!P56/10^9</f>
        <v>0.77392123346393404</v>
      </c>
      <c r="Q67" s="2">
        <f>Q12*'Output-Calculation-sheet'!Q56/10^9</f>
        <v>0.76673175132781402</v>
      </c>
      <c r="R67" s="2">
        <f>R12*'Output-Calculation-sheet'!R56/10^9</f>
        <v>0.61641587662014308</v>
      </c>
      <c r="S67" s="2">
        <f>S12*'Output-Calculation-sheet'!S56/10^9</f>
        <v>0.50161462376006161</v>
      </c>
      <c r="T67" s="2">
        <f>T12*'Output-Calculation-sheet'!T56/10^9</f>
        <v>0.19182629558880301</v>
      </c>
      <c r="U67" s="2">
        <f>U12*'Output-Calculation-sheet'!U56/10^9</f>
        <v>0.20737396761300975</v>
      </c>
      <c r="V67" s="2">
        <f>V12*'Output-Calculation-sheet'!V56/10^9</f>
        <v>0.1479403713387196</v>
      </c>
      <c r="W67" s="2">
        <f>W12*'Output-Calculation-sheet'!W56/10^9</f>
        <v>0.10042164677568415</v>
      </c>
      <c r="X67" s="2">
        <f>X12*'Output-Calculation-sheet'!X56/10^9</f>
        <v>9.6117513154927933E-2</v>
      </c>
      <c r="Y67" s="2">
        <f>Y12*'Output-Calculation-sheet'!Y56/10^9</f>
        <v>8.9368698678875994E-2</v>
      </c>
      <c r="AA67" s="2">
        <f t="shared" si="4"/>
        <v>29.773949832955708</v>
      </c>
    </row>
    <row r="68" spans="1:27" x14ac:dyDescent="0.25">
      <c r="B68" s="2">
        <f>SUM(B60:B67)</f>
        <v>39.252632067389634</v>
      </c>
      <c r="C68" s="2">
        <f t="shared" ref="C68:Y68" si="5">SUM(C60:C67)</f>
        <v>18.746089647265052</v>
      </c>
      <c r="D68" s="2">
        <f t="shared" si="5"/>
        <v>8.2560333721866321</v>
      </c>
      <c r="E68" s="2">
        <f t="shared" si="5"/>
        <v>10.309706463852649</v>
      </c>
      <c r="F68" s="2">
        <f t="shared" si="5"/>
        <v>4.3989995769920451</v>
      </c>
      <c r="G68" s="2">
        <f t="shared" si="5"/>
        <v>3.2487233955833732</v>
      </c>
      <c r="H68" s="2">
        <f t="shared" si="5"/>
        <v>5.5178864223325998</v>
      </c>
      <c r="I68" s="2">
        <f t="shared" si="5"/>
        <v>2.8113030918660074</v>
      </c>
      <c r="J68" s="2">
        <f t="shared" si="5"/>
        <v>3.2376715920904369</v>
      </c>
      <c r="K68" s="2">
        <f t="shared" si="5"/>
        <v>2.9719315873196126</v>
      </c>
      <c r="L68" s="2">
        <f t="shared" si="5"/>
        <v>3.0679890459757293</v>
      </c>
      <c r="M68" s="2">
        <f t="shared" si="5"/>
        <v>3.9236009549235553</v>
      </c>
      <c r="N68" s="2">
        <f t="shared" si="5"/>
        <v>3.623791505196702</v>
      </c>
      <c r="O68" s="2">
        <f t="shared" si="5"/>
        <v>3.5043698380562049</v>
      </c>
      <c r="P68" s="2">
        <f t="shared" si="5"/>
        <v>3.0548616269780879</v>
      </c>
      <c r="Q68" s="2">
        <f t="shared" si="5"/>
        <v>2.9817597092125423</v>
      </c>
      <c r="R68" s="2">
        <f t="shared" si="5"/>
        <v>2.4361065219104394</v>
      </c>
      <c r="S68" s="2">
        <f t="shared" si="5"/>
        <v>2.1451594723357186</v>
      </c>
      <c r="T68" s="2">
        <f t="shared" si="5"/>
        <v>0.83930618946962365</v>
      </c>
      <c r="U68" s="2">
        <f t="shared" si="5"/>
        <v>0.80059891627473512</v>
      </c>
      <c r="V68" s="2">
        <f t="shared" si="5"/>
        <v>0.8966883383664962</v>
      </c>
      <c r="W68" s="2">
        <f t="shared" si="5"/>
        <v>0.42777291980795024</v>
      </c>
      <c r="X68" s="2">
        <f t="shared" si="5"/>
        <v>0.46511687323987966</v>
      </c>
      <c r="Y68" s="2">
        <f t="shared" si="5"/>
        <v>0.32589232725565304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51.97008909539371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5.1970089095393711E-2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498.28586398485669</v>
      </c>
      <c r="Q76" s="2">
        <f>Q10/'Output-Calculation-sheet'!Q9*'Output-Calculation-sheet'!Q63</f>
        <v>59.101142180983203</v>
      </c>
      <c r="R76" s="2">
        <f>R10/'Output-Calculation-sheet'!R9*'Output-Calculation-sheet'!R63</f>
        <v>378.59894785141091</v>
      </c>
      <c r="S76" s="2">
        <f>S10/'Output-Calculation-sheet'!S9*'Output-Calculation-sheet'!S63</f>
        <v>0</v>
      </c>
      <c r="T76" s="2">
        <f>T10/'Output-Calculation-sheet'!T9*'Output-Calculation-sheet'!T63</f>
        <v>24.91642508238067</v>
      </c>
      <c r="U76" s="2">
        <f>U10/'Output-Calculation-sheet'!U9*'Output-Calculation-sheet'!U63</f>
        <v>134.71685888765322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6.3898315308602616</v>
      </c>
      <c r="AA76" s="2">
        <f t="shared" si="6"/>
        <v>1.2066150047620494</v>
      </c>
    </row>
    <row r="77" spans="1:27" x14ac:dyDescent="0.25">
      <c r="A77" s="2">
        <v>2034</v>
      </c>
      <c r="B77" s="2">
        <f>B11/'Output-Calculation-sheet'!B10*'Output-Calculation-sheet'!B64</f>
        <v>532.39077812761946</v>
      </c>
      <c r="C77" s="2">
        <f>C11/'Output-Calculation-sheet'!C10*'Output-Calculation-sheet'!C64</f>
        <v>0</v>
      </c>
      <c r="D77" s="2">
        <f>D11/'Output-Calculation-sheet'!D10*'Output-Calculation-sheet'!D64</f>
        <v>1792.0179683783367</v>
      </c>
      <c r="E77" s="2">
        <f>E11/'Output-Calculation-sheet'!E10*'Output-Calculation-sheet'!E64</f>
        <v>2243.6038426946347</v>
      </c>
      <c r="F77" s="2">
        <f>F11/'Output-Calculation-sheet'!F10*'Output-Calculation-sheet'!F64</f>
        <v>160.33593557696125</v>
      </c>
      <c r="G77" s="2">
        <f>G11/'Output-Calculation-sheet'!G10*'Output-Calculation-sheet'!G64</f>
        <v>946.27352910980653</v>
      </c>
      <c r="H77" s="2">
        <f>H11/'Output-Calculation-sheet'!H10*'Output-Calculation-sheet'!H64</f>
        <v>147.33983074885481</v>
      </c>
      <c r="I77" s="2">
        <f>I11/'Output-Calculation-sheet'!I10*'Output-Calculation-sheet'!I64</f>
        <v>559.82814161726901</v>
      </c>
      <c r="J77" s="2">
        <f>J11/'Output-Calculation-sheet'!J10*'Output-Calculation-sheet'!J64</f>
        <v>391.98799560540999</v>
      </c>
      <c r="K77" s="2">
        <f>K11/'Output-Calculation-sheet'!K10*'Output-Calculation-sheet'!K64</f>
        <v>855.12261337023176</v>
      </c>
      <c r="L77" s="2">
        <f>L11/'Output-Calculation-sheet'!L10*'Output-Calculation-sheet'!L64</f>
        <v>354.06324752097197</v>
      </c>
      <c r="M77" s="2">
        <f>M11/'Output-Calculation-sheet'!M10*'Output-Calculation-sheet'!M64</f>
        <v>106.1164121359699</v>
      </c>
      <c r="N77" s="2">
        <f>N11/'Output-Calculation-sheet'!N10*'Output-Calculation-sheet'!N64</f>
        <v>35.095686955450155</v>
      </c>
      <c r="O77" s="2">
        <f>O11/'Output-Calculation-sheet'!O10*'Output-Calculation-sheet'!O64</f>
        <v>0</v>
      </c>
      <c r="P77" s="2">
        <f>P11/'Output-Calculation-sheet'!P10*'Output-Calculation-sheet'!P64</f>
        <v>722.6499873613634</v>
      </c>
      <c r="Q77" s="2">
        <f>Q11/'Output-Calculation-sheet'!Q10*'Output-Calculation-sheet'!Q64</f>
        <v>174.44715334629996</v>
      </c>
      <c r="R77" s="2">
        <f>R11/'Output-Calculation-sheet'!R10*'Output-Calculation-sheet'!R64</f>
        <v>898.36315100921399</v>
      </c>
      <c r="S77" s="2">
        <f>S11/'Output-Calculation-sheet'!S10*'Output-Calculation-sheet'!S64</f>
        <v>0</v>
      </c>
      <c r="T77" s="2">
        <f>T11/'Output-Calculation-sheet'!T10*'Output-Calculation-sheet'!T64</f>
        <v>249.14218980322843</v>
      </c>
      <c r="U77" s="2">
        <f>U11/'Output-Calculation-sheet'!U10*'Output-Calculation-sheet'!U64</f>
        <v>330.27267245082464</v>
      </c>
      <c r="V77" s="2">
        <f>V11/'Output-Calculation-sheet'!V10*'Output-Calculation-sheet'!V64</f>
        <v>129.00705085857791</v>
      </c>
      <c r="W77" s="2">
        <f>W11/'Output-Calculation-sheet'!W10*'Output-Calculation-sheet'!W64</f>
        <v>28.480502029598483</v>
      </c>
      <c r="X77" s="2">
        <f>X11/'Output-Calculation-sheet'!X10*'Output-Calculation-sheet'!X64</f>
        <v>10.578641708036081</v>
      </c>
      <c r="Y77" s="2">
        <f>Y11/'Output-Calculation-sheet'!Y10*'Output-Calculation-sheet'!Y64</f>
        <v>59.626746702118886</v>
      </c>
      <c r="AA77" s="2">
        <f t="shared" si="6"/>
        <v>10.72674407711078</v>
      </c>
    </row>
    <row r="78" spans="1:27" x14ac:dyDescent="0.25">
      <c r="A78" s="2">
        <v>2035</v>
      </c>
      <c r="B78" s="2">
        <f>B12/'Output-Calculation-sheet'!B11*'Output-Calculation-sheet'!B65</f>
        <v>97.814518307832799</v>
      </c>
      <c r="C78" s="2">
        <f>C12/'Output-Calculation-sheet'!C11*'Output-Calculation-sheet'!C65</f>
        <v>71.397770294230568</v>
      </c>
      <c r="D78" s="2">
        <f>D12/'Output-Calculation-sheet'!D11*'Output-Calculation-sheet'!D65</f>
        <v>2058.0012496208719</v>
      </c>
      <c r="E78" s="2">
        <f>E12/'Output-Calculation-sheet'!E11*'Output-Calculation-sheet'!E65</f>
        <v>1839.6571910248224</v>
      </c>
      <c r="F78" s="2">
        <f>F12/'Output-Calculation-sheet'!F11*'Output-Calculation-sheet'!F65</f>
        <v>828.26142410524835</v>
      </c>
      <c r="G78" s="2">
        <f>G12/'Output-Calculation-sheet'!G11*'Output-Calculation-sheet'!G65</f>
        <v>1593.5862848533204</v>
      </c>
      <c r="H78" s="2">
        <f>H12/'Output-Calculation-sheet'!H11*'Output-Calculation-sheet'!H65</f>
        <v>27.998600187697779</v>
      </c>
      <c r="I78" s="2">
        <f>I12/'Output-Calculation-sheet'!I11*'Output-Calculation-sheet'!I65</f>
        <v>926.61967108056149</v>
      </c>
      <c r="J78" s="2">
        <f>J12/'Output-Calculation-sheet'!J11*'Output-Calculation-sheet'!J65</f>
        <v>832.6046127671425</v>
      </c>
      <c r="K78" s="2">
        <f>K12/'Output-Calculation-sheet'!K11*'Output-Calculation-sheet'!K65</f>
        <v>1050.6874994814561</v>
      </c>
      <c r="L78" s="2">
        <f>L12/'Output-Calculation-sheet'!L11*'Output-Calculation-sheet'!L65</f>
        <v>622.79420203301993</v>
      </c>
      <c r="M78" s="2">
        <f>M12/'Output-Calculation-sheet'!M11*'Output-Calculation-sheet'!M65</f>
        <v>19.184708373009816</v>
      </c>
      <c r="N78" s="2">
        <f>N12/'Output-Calculation-sheet'!N11*'Output-Calculation-sheet'!N65</f>
        <v>16.42146695074063</v>
      </c>
      <c r="O78" s="2">
        <f>O12/'Output-Calculation-sheet'!O11*'Output-Calculation-sheet'!O65</f>
        <v>3.2697934351614033</v>
      </c>
      <c r="P78" s="2">
        <f>P12/'Output-Calculation-sheet'!P11*'Output-Calculation-sheet'!P65</f>
        <v>276.27861605510145</v>
      </c>
      <c r="Q78" s="2">
        <f>Q12/'Output-Calculation-sheet'!Q11*'Output-Calculation-sheet'!Q65</f>
        <v>263.06901509020884</v>
      </c>
      <c r="R78" s="2">
        <f>R12/'Output-Calculation-sheet'!R11*'Output-Calculation-sheet'!R65</f>
        <v>1205.1542910140249</v>
      </c>
      <c r="S78" s="2">
        <f>S12/'Output-Calculation-sheet'!S11*'Output-Calculation-sheet'!S65</f>
        <v>7.3078352814255512</v>
      </c>
      <c r="T78" s="2">
        <f>T12/'Output-Calculation-sheet'!T11*'Output-Calculation-sheet'!T65</f>
        <v>432.31733710527948</v>
      </c>
      <c r="U78" s="2">
        <f>U12/'Output-Calculation-sheet'!U11*'Output-Calculation-sheet'!U65</f>
        <v>368.62826502840841</v>
      </c>
      <c r="V78" s="2">
        <f>V12/'Output-Calculation-sheet'!V11*'Output-Calculation-sheet'!V65</f>
        <v>232.70490259182128</v>
      </c>
      <c r="W78" s="2">
        <f>W12/'Output-Calculation-sheet'!W11*'Output-Calculation-sheet'!W65</f>
        <v>167.4721387853678</v>
      </c>
      <c r="X78" s="2">
        <f>X12/'Output-Calculation-sheet'!X11*'Output-Calculation-sheet'!X65</f>
        <v>2.4494644617704968</v>
      </c>
      <c r="Y78" s="2">
        <f>Y12/'Output-Calculation-sheet'!Y11*'Output-Calculation-sheet'!Y65</f>
        <v>49.038337431002802</v>
      </c>
      <c r="AA78" s="2">
        <f t="shared" si="6"/>
        <v>12.992719195359527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24.807131196508443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130.37206375562994</v>
      </c>
      <c r="E89" s="2">
        <f>E12/'Output-Calculation-sheet'!E11*'Output-Calculation-sheet'!E74</f>
        <v>91.177801012753505</v>
      </c>
      <c r="F89" s="2">
        <f>F12/'Output-Calculation-sheet'!F11*'Output-Calculation-sheet'!F74</f>
        <v>54.737992963882107</v>
      </c>
      <c r="G89" s="2">
        <f>G12/'Output-Calculation-sheet'!G11*'Output-Calculation-sheet'!G74</f>
        <v>48.638102858877581</v>
      </c>
      <c r="H89" s="2">
        <f>H12/'Output-Calculation-sheet'!H11*'Output-Calculation-sheet'!H74</f>
        <v>7.2488285275592954</v>
      </c>
      <c r="I89" s="2">
        <f>I12/'Output-Calculation-sheet'!I11*'Output-Calculation-sheet'!I74</f>
        <v>45.429543628147329</v>
      </c>
      <c r="J89" s="2">
        <f>J12/'Output-Calculation-sheet'!J11*'Output-Calculation-sheet'!J74</f>
        <v>26.643081177736782</v>
      </c>
      <c r="K89" s="2">
        <f>K12/'Output-Calculation-sheet'!K11*'Output-Calculation-sheet'!K74</f>
        <v>52.918530430919759</v>
      </c>
      <c r="L89" s="2">
        <f>L12/'Output-Calculation-sheet'!L11*'Output-Calculation-sheet'!L74</f>
        <v>35.503632517833772</v>
      </c>
      <c r="M89" s="2">
        <f>M12/'Output-Calculation-sheet'!M11*'Output-Calculation-sheet'!M74</f>
        <v>6.2348743493694556</v>
      </c>
      <c r="N89" s="2">
        <f>N12/'Output-Calculation-sheet'!N11*'Output-Calculation-sheet'!N74</f>
        <v>4.9022962760625814</v>
      </c>
      <c r="O89" s="2">
        <f>O12/'Output-Calculation-sheet'!O11*'Output-Calculation-sheet'!O74</f>
        <v>2.2873686150132237</v>
      </c>
      <c r="P89" s="2">
        <f>P12/'Output-Calculation-sheet'!P11*'Output-Calculation-sheet'!P74</f>
        <v>5.6610758322220978</v>
      </c>
      <c r="Q89" s="2">
        <f>Q12/'Output-Calculation-sheet'!Q11*'Output-Calculation-sheet'!Q74</f>
        <v>57.984688477826843</v>
      </c>
      <c r="R89" s="2">
        <f>R12/'Output-Calculation-sheet'!R11*'Output-Calculation-sheet'!R74</f>
        <v>26.621642259197209</v>
      </c>
      <c r="S89" s="2">
        <f>S12/'Output-Calculation-sheet'!S11*'Output-Calculation-sheet'!S74</f>
        <v>2.1076240957774135</v>
      </c>
      <c r="T89" s="2">
        <f>T12/'Output-Calculation-sheet'!T11*'Output-Calculation-sheet'!T74</f>
        <v>6.3033630564220511</v>
      </c>
      <c r="U89" s="2">
        <f>U12/'Output-Calculation-sheet'!U11*'Output-Calculation-sheet'!U74</f>
        <v>11.648527233762083</v>
      </c>
      <c r="V89" s="2">
        <f>V12/'Output-Calculation-sheet'!V11*'Output-Calculation-sheet'!V74</f>
        <v>1.585064488300068</v>
      </c>
      <c r="W89" s="2">
        <f>W12/'Output-Calculation-sheet'!W11*'Output-Calculation-sheet'!W74</f>
        <v>4.1176723264643327</v>
      </c>
      <c r="X89" s="2">
        <f>X12/'Output-Calculation-sheet'!X11*'Output-Calculation-sheet'!X74</f>
        <v>0.27359147344694484</v>
      </c>
      <c r="Y89" s="2">
        <f>Y12/'Output-Calculation-sheet'!Y11*'Output-Calculation-sheet'!Y74</f>
        <v>2.9042310571214105</v>
      </c>
      <c r="AA89" s="2">
        <f t="shared" si="7"/>
        <v>0.65599574692928964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11722744044.935301</v>
      </c>
      <c r="C96" s="2">
        <f>C8/'Output-Calculation-sheet'!C7*'Output-Calculation-sheet'!C79</f>
        <v>3965865256.4114785</v>
      </c>
      <c r="D96" s="2">
        <f>D8/'Output-Calculation-sheet'!D7*'Output-Calculation-sheet'!D79</f>
        <v>4140081093.2521105</v>
      </c>
      <c r="E96" s="2">
        <f>E8/'Output-Calculation-sheet'!E7*'Output-Calculation-sheet'!E79</f>
        <v>7360723091.9324226</v>
      </c>
      <c r="F96" s="2">
        <f>F8/'Output-Calculation-sheet'!F7*'Output-Calculation-sheet'!F79</f>
        <v>3046530064.1166816</v>
      </c>
      <c r="G96" s="2">
        <f>G8/'Output-Calculation-sheet'!G7*'Output-Calculation-sheet'!G79</f>
        <v>2373001590.0253158</v>
      </c>
      <c r="H96" s="2">
        <f>H8/'Output-Calculation-sheet'!H7*'Output-Calculation-sheet'!H79</f>
        <v>2031158245.4682255</v>
      </c>
      <c r="I96" s="2">
        <f>I8/'Output-Calculation-sheet'!I7*'Output-Calculation-sheet'!I79</f>
        <v>1653043791.7508721</v>
      </c>
      <c r="J96" s="2">
        <f>J8/'Output-Calculation-sheet'!J7*'Output-Calculation-sheet'!J79</f>
        <v>1117827764.0181408</v>
      </c>
      <c r="K96" s="2">
        <f>K8/'Output-Calculation-sheet'!K7*'Output-Calculation-sheet'!K79</f>
        <v>1599280443.1280689</v>
      </c>
      <c r="L96" s="2">
        <f>L8/'Output-Calculation-sheet'!L7*'Output-Calculation-sheet'!L79</f>
        <v>1128453606.1311927</v>
      </c>
      <c r="M96" s="2">
        <f>M8/'Output-Calculation-sheet'!M7*'Output-Calculation-sheet'!M79</f>
        <v>1516218569.5323522</v>
      </c>
      <c r="N96" s="2">
        <f>N8/'Output-Calculation-sheet'!N7*'Output-Calculation-sheet'!N79</f>
        <v>1128185730.1499465</v>
      </c>
      <c r="O96" s="2">
        <f>O8/'Output-Calculation-sheet'!O7*'Output-Calculation-sheet'!O79</f>
        <v>570335531.83522987</v>
      </c>
      <c r="P96" s="2">
        <f>P8/'Output-Calculation-sheet'!P7*'Output-Calculation-sheet'!P79</f>
        <v>1907665112.4001946</v>
      </c>
      <c r="Q96" s="2">
        <f>Q8/'Output-Calculation-sheet'!Q7*'Output-Calculation-sheet'!Q79</f>
        <v>889052044.90032697</v>
      </c>
      <c r="R96" s="2">
        <f>R8/'Output-Calculation-sheet'!R7*'Output-Calculation-sheet'!R79</f>
        <v>1109199999.4971697</v>
      </c>
      <c r="S96" s="2">
        <f>S8/'Output-Calculation-sheet'!S7*'Output-Calculation-sheet'!S79</f>
        <v>646311548.46034753</v>
      </c>
      <c r="T96" s="2">
        <f>T8/'Output-Calculation-sheet'!T7*'Output-Calculation-sheet'!T79</f>
        <v>493630934.71630436</v>
      </c>
      <c r="U96" s="2">
        <f>U8/'Output-Calculation-sheet'!U7*'Output-Calculation-sheet'!U79</f>
        <v>310086867.21236426</v>
      </c>
      <c r="V96" s="2">
        <f>V8/'Output-Calculation-sheet'!V7*'Output-Calculation-sheet'!V79</f>
        <v>160888514.05413094</v>
      </c>
      <c r="W96" s="2">
        <f>W8/'Output-Calculation-sheet'!W7*'Output-Calculation-sheet'!W79</f>
        <v>475416427.20177466</v>
      </c>
      <c r="X96" s="2">
        <f>X8/'Output-Calculation-sheet'!X7*'Output-Calculation-sheet'!X79</f>
        <v>167094494.20050004</v>
      </c>
      <c r="Y96" s="2">
        <f>Y8/'Output-Calculation-sheet'!Y7*'Output-Calculation-sheet'!Y79</f>
        <v>261333510.13652372</v>
      </c>
      <c r="AA96" s="2">
        <f t="shared" si="8"/>
        <v>49.774128275466964</v>
      </c>
    </row>
    <row r="97" spans="1:27" x14ac:dyDescent="0.25">
      <c r="A97" s="2">
        <v>2032</v>
      </c>
      <c r="B97" s="2">
        <f>B9/'Output-Calculation-sheet'!B8*'Output-Calculation-sheet'!B80</f>
        <v>16105192118.923973</v>
      </c>
      <c r="C97" s="2">
        <f>C9/'Output-Calculation-sheet'!C8*'Output-Calculation-sheet'!C80</f>
        <v>5485524976.6079664</v>
      </c>
      <c r="D97" s="2">
        <f>D9/'Output-Calculation-sheet'!D8*'Output-Calculation-sheet'!D80</f>
        <v>5465764216.0939817</v>
      </c>
      <c r="E97" s="2">
        <f>E9/'Output-Calculation-sheet'!E8*'Output-Calculation-sheet'!E80</f>
        <v>9996079930.827486</v>
      </c>
      <c r="F97" s="2">
        <f>F9/'Output-Calculation-sheet'!F8*'Output-Calculation-sheet'!F80</f>
        <v>4129379961.1275601</v>
      </c>
      <c r="G97" s="2">
        <f>G9/'Output-Calculation-sheet'!G8*'Output-Calculation-sheet'!G80</f>
        <v>3125720985.9074016</v>
      </c>
      <c r="H97" s="2">
        <f>H9/'Output-Calculation-sheet'!H8*'Output-Calculation-sheet'!H80</f>
        <v>2750005712.1451626</v>
      </c>
      <c r="I97" s="2">
        <f>I9/'Output-Calculation-sheet'!I8*'Output-Calculation-sheet'!I80</f>
        <v>2262127521.5388179</v>
      </c>
      <c r="J97" s="2">
        <f>J9/'Output-Calculation-sheet'!J8*'Output-Calculation-sheet'!J80</f>
        <v>1487135913.696883</v>
      </c>
      <c r="K97" s="2">
        <f>K9/'Output-Calculation-sheet'!K8*'Output-Calculation-sheet'!K80</f>
        <v>2144021305.6631174</v>
      </c>
      <c r="L97" s="2">
        <f>L9/'Output-Calculation-sheet'!L8*'Output-Calculation-sheet'!L80</f>
        <v>1560496881.3772912</v>
      </c>
      <c r="M97" s="2">
        <f>M9/'Output-Calculation-sheet'!M8*'Output-Calculation-sheet'!M80</f>
        <v>2058904667.2479556</v>
      </c>
      <c r="N97" s="2">
        <f>N9/'Output-Calculation-sheet'!N8*'Output-Calculation-sheet'!N80</f>
        <v>1504302261.6958303</v>
      </c>
      <c r="O97" s="2">
        <f>O9/'Output-Calculation-sheet'!O8*'Output-Calculation-sheet'!O80</f>
        <v>778226446.86932492</v>
      </c>
      <c r="P97" s="2">
        <f>P9/'Output-Calculation-sheet'!P8*'Output-Calculation-sheet'!P80</f>
        <v>2546227117.2221899</v>
      </c>
      <c r="Q97" s="2">
        <f>Q9/'Output-Calculation-sheet'!Q8*'Output-Calculation-sheet'!Q80</f>
        <v>1191025365.5976548</v>
      </c>
      <c r="R97" s="2">
        <f>R9/'Output-Calculation-sheet'!R8*'Output-Calculation-sheet'!R80</f>
        <v>1504860343.3331246</v>
      </c>
      <c r="S97" s="2">
        <f>S9/'Output-Calculation-sheet'!S8*'Output-Calculation-sheet'!S80</f>
        <v>873414643.67400789</v>
      </c>
      <c r="T97" s="2">
        <f>T9/'Output-Calculation-sheet'!T8*'Output-Calculation-sheet'!T80</f>
        <v>657708900.92003667</v>
      </c>
      <c r="U97" s="2">
        <f>U9/'Output-Calculation-sheet'!U8*'Output-Calculation-sheet'!U80</f>
        <v>420469214.16551054</v>
      </c>
      <c r="V97" s="2">
        <f>V9/'Output-Calculation-sheet'!V8*'Output-Calculation-sheet'!V80</f>
        <v>220468015.95272383</v>
      </c>
      <c r="W97" s="2">
        <f>W9/'Output-Calculation-sheet'!W8*'Output-Calculation-sheet'!W80</f>
        <v>638484909.83701396</v>
      </c>
      <c r="X97" s="2">
        <f>X9/'Output-Calculation-sheet'!X8*'Output-Calculation-sheet'!X80</f>
        <v>229276481.85629937</v>
      </c>
      <c r="Y97" s="2">
        <f>Y9/'Output-Calculation-sheet'!Y8*'Output-Calculation-sheet'!Y80</f>
        <v>350950985.93384844</v>
      </c>
      <c r="AA97" s="2">
        <f t="shared" si="8"/>
        <v>67.485768878215168</v>
      </c>
    </row>
    <row r="98" spans="1:27" x14ac:dyDescent="0.25">
      <c r="A98" s="2">
        <v>2033</v>
      </c>
      <c r="B98" s="2">
        <f>B10/'Output-Calculation-sheet'!B9*'Output-Calculation-sheet'!B81</f>
        <v>20783926118.963947</v>
      </c>
      <c r="C98" s="2">
        <f>C10/'Output-Calculation-sheet'!C9*'Output-Calculation-sheet'!C81</f>
        <v>7125774212.6478119</v>
      </c>
      <c r="D98" s="2">
        <f>D10/'Output-Calculation-sheet'!D9*'Output-Calculation-sheet'!D81</f>
        <v>6781534740.5371675</v>
      </c>
      <c r="E98" s="2">
        <f>E10/'Output-Calculation-sheet'!E9*'Output-Calculation-sheet'!E81</f>
        <v>12756506720.030512</v>
      </c>
      <c r="F98" s="2">
        <f>F10/'Output-Calculation-sheet'!F9*'Output-Calculation-sheet'!F81</f>
        <v>5261092166.9534988</v>
      </c>
      <c r="G98" s="2">
        <f>G10/'Output-Calculation-sheet'!G9*'Output-Calculation-sheet'!G81</f>
        <v>3862860387.5950623</v>
      </c>
      <c r="H98" s="2">
        <f>H10/'Output-Calculation-sheet'!H9*'Output-Calculation-sheet'!H81</f>
        <v>3499790257.9768653</v>
      </c>
      <c r="I98" s="2">
        <f>I10/'Output-Calculation-sheet'!I9*'Output-Calculation-sheet'!I81</f>
        <v>2909347155.1419721</v>
      </c>
      <c r="J98" s="2">
        <f>J10/'Output-Calculation-sheet'!J9*'Output-Calculation-sheet'!J81</f>
        <v>1860304274.8068235</v>
      </c>
      <c r="K98" s="2">
        <f>K10/'Output-Calculation-sheet'!K9*'Output-Calculation-sheet'!K81</f>
        <v>2702169910.3075323</v>
      </c>
      <c r="L98" s="2">
        <f>L10/'Output-Calculation-sheet'!L9*'Output-Calculation-sheet'!L81</f>
        <v>2026672707.2382808</v>
      </c>
      <c r="M98" s="2">
        <f>M10/'Output-Calculation-sheet'!M9*'Output-Calculation-sheet'!M81</f>
        <v>2628192278.0426407</v>
      </c>
      <c r="N98" s="2">
        <f>N10/'Output-Calculation-sheet'!N9*'Output-Calculation-sheet'!N81</f>
        <v>1885519390.4445181</v>
      </c>
      <c r="O98" s="2">
        <f>O10/'Output-Calculation-sheet'!O9*'Output-Calculation-sheet'!O81</f>
        <v>998487577.69909227</v>
      </c>
      <c r="P98" s="2">
        <f>P10/'Output-Calculation-sheet'!P9*'Output-Calculation-sheet'!P81</f>
        <v>3190896284.3740611</v>
      </c>
      <c r="Q98" s="2">
        <f>Q10/'Output-Calculation-sheet'!Q9*'Output-Calculation-sheet'!Q81</f>
        <v>1500275840.5440793</v>
      </c>
      <c r="R98" s="2">
        <f>R10/'Output-Calculation-sheet'!R9*'Output-Calculation-sheet'!R81</f>
        <v>1919085110.7003834</v>
      </c>
      <c r="S98" s="2">
        <f>S10/'Output-Calculation-sheet'!S9*'Output-Calculation-sheet'!S81</f>
        <v>1109569571.3263381</v>
      </c>
      <c r="T98" s="2">
        <f>T10/'Output-Calculation-sheet'!T9*'Output-Calculation-sheet'!T81</f>
        <v>823342662.91419661</v>
      </c>
      <c r="U98" s="2">
        <f>U10/'Output-Calculation-sheet'!U9*'Output-Calculation-sheet'!U81</f>
        <v>535720961.7769078</v>
      </c>
      <c r="V98" s="2">
        <f>V10/'Output-Calculation-sheet'!V9*'Output-Calculation-sheet'!V81</f>
        <v>283725774.41702396</v>
      </c>
      <c r="W98" s="2">
        <f>W10/'Output-Calculation-sheet'!W9*'Output-Calculation-sheet'!W81</f>
        <v>804466515.68607938</v>
      </c>
      <c r="X98" s="2">
        <f>X10/'Output-Calculation-sheet'!X9*'Output-Calculation-sheet'!X81</f>
        <v>295615415.76729345</v>
      </c>
      <c r="Y98" s="2">
        <f>Y10/'Output-Calculation-sheet'!Y9*'Output-Calculation-sheet'!Y81</f>
        <v>442343548.73494124</v>
      </c>
      <c r="AA98" s="2">
        <f t="shared" si="8"/>
        <v>85.987219584627027</v>
      </c>
    </row>
    <row r="99" spans="1:27" x14ac:dyDescent="0.25">
      <c r="A99" s="2">
        <v>2034</v>
      </c>
      <c r="B99" s="2">
        <f>B11/'Output-Calculation-sheet'!B10*'Output-Calculation-sheet'!B82</f>
        <v>25756882502.202835</v>
      </c>
      <c r="C99" s="2">
        <f>C11/'Output-Calculation-sheet'!C10*'Output-Calculation-sheet'!C82</f>
        <v>8887199209.4291363</v>
      </c>
      <c r="D99" s="2">
        <f>D11/'Output-Calculation-sheet'!D10*'Output-Calculation-sheet'!D82</f>
        <v>8084811384.3412752</v>
      </c>
      <c r="E99" s="2">
        <f>E11/'Output-Calculation-sheet'!E10*'Output-Calculation-sheet'!E82</f>
        <v>15639376981.57679</v>
      </c>
      <c r="F99" s="2">
        <f>F11/'Output-Calculation-sheet'!F10*'Output-Calculation-sheet'!F82</f>
        <v>6441058184.4644156</v>
      </c>
      <c r="G99" s="2">
        <f>G11/'Output-Calculation-sheet'!G10*'Output-Calculation-sheet'!G82</f>
        <v>4579141072.9275217</v>
      </c>
      <c r="H99" s="2">
        <f>H11/'Output-Calculation-sheet'!H10*'Output-Calculation-sheet'!H82</f>
        <v>4280045335.9778018</v>
      </c>
      <c r="I99" s="2">
        <f>I11/'Output-Calculation-sheet'!I10*'Output-Calculation-sheet'!I82</f>
        <v>3594927597.9819751</v>
      </c>
      <c r="J99" s="2">
        <f>J11/'Output-Calculation-sheet'!J10*'Output-Calculation-sheet'!J82</f>
        <v>2237115431.1439085</v>
      </c>
      <c r="K99" s="2">
        <f>K11/'Output-Calculation-sheet'!K10*'Output-Calculation-sheet'!K82</f>
        <v>3273197266.8130908</v>
      </c>
      <c r="L99" s="2">
        <f>L11/'Output-Calculation-sheet'!L10*'Output-Calculation-sheet'!L82</f>
        <v>2527152393.9854302</v>
      </c>
      <c r="M99" s="2">
        <f>M11/'Output-Calculation-sheet'!M10*'Output-Calculation-sheet'!M82</f>
        <v>3224076307.6430497</v>
      </c>
      <c r="N99" s="2">
        <f>N11/'Output-Calculation-sheet'!N10*'Output-Calculation-sheet'!N82</f>
        <v>2271360581.445437</v>
      </c>
      <c r="O99" s="2">
        <f>O11/'Output-Calculation-sheet'!O10*'Output-Calculation-sheet'!O82</f>
        <v>1231417174.4451435</v>
      </c>
      <c r="P99" s="2">
        <f>P11/'Output-Calculation-sheet'!P10*'Output-Calculation-sheet'!P82</f>
        <v>3838629852.4476843</v>
      </c>
      <c r="Q99" s="2">
        <f>Q11/'Output-Calculation-sheet'!Q10*'Output-Calculation-sheet'!Q82</f>
        <v>1816677078.1271882</v>
      </c>
      <c r="R99" s="2">
        <f>R11/'Output-Calculation-sheet'!R10*'Output-Calculation-sheet'!R82</f>
        <v>2351684366.76015</v>
      </c>
      <c r="S99" s="2">
        <f>S11/'Output-Calculation-sheet'!S10*'Output-Calculation-sheet'!S82</f>
        <v>1354632657.9939346</v>
      </c>
      <c r="T99" s="2">
        <f>T11/'Output-Calculation-sheet'!T10*'Output-Calculation-sheet'!T82</f>
        <v>990074510.25957513</v>
      </c>
      <c r="U99" s="2">
        <f>U11/'Output-Calculation-sheet'!U10*'Output-Calculation-sheet'!U82</f>
        <v>655648537.54705429</v>
      </c>
      <c r="V99" s="2">
        <f>V11/'Output-Calculation-sheet'!V10*'Output-Calculation-sheet'!V82</f>
        <v>350565308.04560262</v>
      </c>
      <c r="W99" s="2">
        <f>W11/'Output-Calculation-sheet'!W10*'Output-Calculation-sheet'!W82</f>
        <v>972137797.15679491</v>
      </c>
      <c r="X99" s="2">
        <f>X11/'Output-Calculation-sheet'!X10*'Output-Calculation-sheet'!X82</f>
        <v>366132047.10356182</v>
      </c>
      <c r="Y99" s="2">
        <f>Y11/'Output-Calculation-sheet'!Y10*'Output-Calculation-sheet'!Y82</f>
        <v>534981600.30889738</v>
      </c>
      <c r="AA99" s="2">
        <f t="shared" si="8"/>
        <v>105.25892518012826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1710.4051177101285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526.51574337762747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362.29407170481664</v>
      </c>
      <c r="N107" s="2">
        <f>N8/'Output-Calculation-sheet'!N7*'Output-Calculation-sheet'!N88</f>
        <v>142.43052698709877</v>
      </c>
      <c r="O107" s="2">
        <f>O8/'Output-Calculation-sheet'!O7*'Output-Calculation-sheet'!O88</f>
        <v>398.7410375511846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39.744413176842173</v>
      </c>
      <c r="Y107" s="2">
        <f>Y8/'Output-Calculation-sheet'!Y7*'Output-Calculation-sheet'!Y88</f>
        <v>0</v>
      </c>
      <c r="AA107" s="2">
        <f t="shared" si="9"/>
        <v>3.1801309105076978</v>
      </c>
    </row>
    <row r="108" spans="1:27" x14ac:dyDescent="0.25">
      <c r="A108" s="2">
        <v>2032</v>
      </c>
      <c r="B108" s="2">
        <f>B9/'Output-Calculation-sheet'!B8*'Output-Calculation-sheet'!B89</f>
        <v>792.59304271614212</v>
      </c>
      <c r="C108" s="2">
        <f>C9/'Output-Calculation-sheet'!C8*'Output-Calculation-sheet'!C89</f>
        <v>3009.4640236676682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810.60556928003655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557.77551941202626</v>
      </c>
      <c r="N108" s="2">
        <f>N9/'Output-Calculation-sheet'!N8*'Output-Calculation-sheet'!N89</f>
        <v>391.57348455182665</v>
      </c>
      <c r="O108" s="2">
        <f>O9/'Output-Calculation-sheet'!O8*'Output-Calculation-sheet'!O89</f>
        <v>584.65525449937024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179.57075130172743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61.189134558904243</v>
      </c>
      <c r="Y108" s="2">
        <f>Y9/'Output-Calculation-sheet'!Y8*'Output-Calculation-sheet'!Y89</f>
        <v>0</v>
      </c>
      <c r="AA108" s="2">
        <f t="shared" si="9"/>
        <v>6.3874267799877016</v>
      </c>
    </row>
    <row r="109" spans="1:27" x14ac:dyDescent="0.25">
      <c r="A109" s="2">
        <v>2033</v>
      </c>
      <c r="B109" s="2">
        <f>B10/'Output-Calculation-sheet'!B9*'Output-Calculation-sheet'!B90</f>
        <v>4263.7601984976418</v>
      </c>
      <c r="C109" s="2">
        <f>C10/'Output-Calculation-sheet'!C9*'Output-Calculation-sheet'!C90</f>
        <v>4047.3585533100199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1245.9024913727924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857.3021647006733</v>
      </c>
      <c r="N109" s="2">
        <f>N10/'Output-Calculation-sheet'!N9*'Output-Calculation-sheet'!N90</f>
        <v>674.07119598128429</v>
      </c>
      <c r="O109" s="2">
        <f>O10/'Output-Calculation-sheet'!O9*'Output-Calculation-sheet'!O90</f>
        <v>786.28932807504532</v>
      </c>
      <c r="P109" s="2">
        <f>P10/'Output-Calculation-sheet'!P9*'Output-Calculation-sheet'!P90</f>
        <v>0</v>
      </c>
      <c r="Q109" s="2">
        <f>Q10/'Output-Calculation-sheet'!Q9*'Output-Calculation-sheet'!Q90</f>
        <v>147.64739302886596</v>
      </c>
      <c r="R109" s="2">
        <f>R10/'Output-Calculation-sheet'!R9*'Output-Calculation-sheet'!R90</f>
        <v>0</v>
      </c>
      <c r="S109" s="2">
        <f>S10/'Output-Calculation-sheet'!S9*'Output-Calculation-sheet'!S90</f>
        <v>338.10076966710267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94.047830512187119</v>
      </c>
      <c r="Y109" s="2">
        <f>Y10/'Output-Calculation-sheet'!Y9*'Output-Calculation-sheet'!Y90</f>
        <v>0</v>
      </c>
      <c r="AA109" s="2">
        <f t="shared" si="9"/>
        <v>12.454479925145613</v>
      </c>
    </row>
    <row r="110" spans="1:27" x14ac:dyDescent="0.25">
      <c r="A110" s="2">
        <v>2034</v>
      </c>
      <c r="B110" s="2">
        <f>B11/'Output-Calculation-sheet'!B10*'Output-Calculation-sheet'!B91</f>
        <v>8155.1426635671251</v>
      </c>
      <c r="C110" s="2">
        <f>C11/'Output-Calculation-sheet'!C10*'Output-Calculation-sheet'!C91</f>
        <v>5590.8947787222296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1588.6622900945415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1093.1542634413595</v>
      </c>
      <c r="N110" s="2">
        <f>N11/'Output-Calculation-sheet'!N10*'Output-Calculation-sheet'!N91</f>
        <v>984.86057884459069</v>
      </c>
      <c r="O110" s="2">
        <f>O11/'Output-Calculation-sheet'!O10*'Output-Calculation-sheet'!O91</f>
        <v>1086.1555360111558</v>
      </c>
      <c r="P110" s="2">
        <f>P11/'Output-Calculation-sheet'!P10*'Output-Calculation-sheet'!P91</f>
        <v>248.13768629853277</v>
      </c>
      <c r="Q110" s="2">
        <f>Q11/'Output-Calculation-sheet'!Q10*'Output-Calculation-sheet'!Q91</f>
        <v>549.11096244141481</v>
      </c>
      <c r="R110" s="2">
        <f>R11/'Output-Calculation-sheet'!R10*'Output-Calculation-sheet'!R91</f>
        <v>0</v>
      </c>
      <c r="S110" s="2">
        <f>S11/'Output-Calculation-sheet'!S10*'Output-Calculation-sheet'!S91</f>
        <v>564.55608285438586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119.92129627679567</v>
      </c>
      <c r="Y110" s="2">
        <f>Y11/'Output-Calculation-sheet'!Y10*'Output-Calculation-sheet'!Y91</f>
        <v>19.287724131243021</v>
      </c>
      <c r="AA110" s="2">
        <f t="shared" si="9"/>
        <v>19.999883862683372</v>
      </c>
    </row>
    <row r="111" spans="1:27" x14ac:dyDescent="0.25">
      <c r="A111" s="2">
        <v>2035</v>
      </c>
      <c r="B111" s="2">
        <f>B12/'Output-Calculation-sheet'!B11*'Output-Calculation-sheet'!B92</f>
        <v>14326.118265983627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2552.9784283570984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1046.1668137946438</v>
      </c>
      <c r="Q111" s="2">
        <f>Q12/'Output-Calculation-sheet'!Q11*'Output-Calculation-sheet'!Q92</f>
        <v>744.13683546544451</v>
      </c>
      <c r="R111" s="2">
        <f>R12/'Output-Calculation-sheet'!R11*'Output-Calculation-sheet'!R92</f>
        <v>0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101.64808699924936</v>
      </c>
      <c r="AA111" s="2">
        <f t="shared" si="9"/>
        <v>32.80983873312659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1371618647.1271632</v>
      </c>
      <c r="C118" s="2">
        <f>C8/'Output-Calculation-sheet'!C7*'Output-Calculation-sheet'!C97</f>
        <v>8040583360.0804472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2473922428.7414651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1718352312.8838794</v>
      </c>
      <c r="N118" s="2">
        <f>N8/'Output-Calculation-sheet'!N7*'Output-Calculation-sheet'!N97</f>
        <v>1348416620.3198681</v>
      </c>
      <c r="O118" s="2">
        <f>O8/'Output-Calculation-sheet'!O7*'Output-Calculation-sheet'!O97</f>
        <v>897251915.92237318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487800691.60272259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185205765.20458198</v>
      </c>
      <c r="Y118" s="2">
        <f>Y8/'Output-Calculation-sheet'!Y7*'Output-Calculation-sheet'!Y97</f>
        <v>0</v>
      </c>
      <c r="AA118" s="2">
        <f t="shared" si="10"/>
        <v>16523.151741882499</v>
      </c>
    </row>
    <row r="119" spans="1:27" x14ac:dyDescent="0.25">
      <c r="A119" s="2">
        <v>2032</v>
      </c>
      <c r="B119" s="2">
        <f>B9/'Output-Calculation-sheet'!B8*'Output-Calculation-sheet'!B98</f>
        <v>5946074180.1210546</v>
      </c>
      <c r="C119" s="2">
        <f>C9/'Output-Calculation-sheet'!C8*'Output-Calculation-sheet'!C98</f>
        <v>4726059860.0209341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2825249158.9767375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1972034493.3099928</v>
      </c>
      <c r="N119" s="2">
        <f>N9/'Output-Calculation-sheet'!N8*'Output-Calculation-sheet'!N98</f>
        <v>1331048793.5763993</v>
      </c>
      <c r="O119" s="2">
        <f>O9/'Output-Calculation-sheet'!O8*'Output-Calculation-sheet'!O98</f>
        <v>923384767.35030937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553455012.58705413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211014760.60852754</v>
      </c>
      <c r="Y119" s="2">
        <f>Y9/'Output-Calculation-sheet'!Y8*'Output-Calculation-sheet'!Y98</f>
        <v>0</v>
      </c>
      <c r="AA119" s="2">
        <f t="shared" si="10"/>
        <v>18488.32102655101</v>
      </c>
    </row>
    <row r="120" spans="1:27" x14ac:dyDescent="0.25">
      <c r="A120" s="2">
        <v>2033</v>
      </c>
      <c r="B120" s="2">
        <f>B10/'Output-Calculation-sheet'!B9*'Output-Calculation-sheet'!B99</f>
        <v>6133987177.74193</v>
      </c>
      <c r="C120" s="2">
        <f>C10/'Output-Calculation-sheet'!C9*'Output-Calculation-sheet'!C99</f>
        <v>5042518343.719059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1653322314.382797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1170235268.8873739</v>
      </c>
      <c r="N120" s="2">
        <f>N10/'Output-Calculation-sheet'!N9*'Output-Calculation-sheet'!N99</f>
        <v>1166600574.5020375</v>
      </c>
      <c r="O120" s="2">
        <f>O10/'Output-Calculation-sheet'!O9*'Output-Calculation-sheet'!O99</f>
        <v>987216477.5853765</v>
      </c>
      <c r="P120" s="2">
        <f>P10/'Output-Calculation-sheet'!P9*'Output-Calculation-sheet'!P99</f>
        <v>0</v>
      </c>
      <c r="Q120" s="2">
        <f>Q10/'Output-Calculation-sheet'!Q9*'Output-Calculation-sheet'!Q99</f>
        <v>6992022.4775151564</v>
      </c>
      <c r="R120" s="2">
        <f>R10/'Output-Calculation-sheet'!R9*'Output-Calculation-sheet'!R99</f>
        <v>0</v>
      </c>
      <c r="S120" s="2">
        <f>S10/'Output-Calculation-sheet'!S9*'Output-Calculation-sheet'!S99</f>
        <v>488564707.64421409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116853183.58298829</v>
      </c>
      <c r="Y120" s="2">
        <f>Y10/'Output-Calculation-sheet'!Y9*'Output-Calculation-sheet'!Y99</f>
        <v>0</v>
      </c>
      <c r="AA120" s="2">
        <f t="shared" si="10"/>
        <v>16766.29007052329</v>
      </c>
    </row>
    <row r="121" spans="1:27" x14ac:dyDescent="0.25">
      <c r="A121" s="2">
        <v>2034</v>
      </c>
      <c r="B121" s="2">
        <f>B11/'Output-Calculation-sheet'!B10*'Output-Calculation-sheet'!B100</f>
        <v>6122266828.3328381</v>
      </c>
      <c r="C121" s="2">
        <f>C11/'Output-Calculation-sheet'!C10*'Output-Calculation-sheet'!C100</f>
        <v>733967192.94737446</v>
      </c>
      <c r="D121" s="2">
        <f>D11/'Output-Calculation-sheet'!D10*'Output-Calculation-sheet'!D100</f>
        <v>0</v>
      </c>
      <c r="E121" s="2">
        <f>E11/'Output-Calculation-sheet'!E10*'Output-Calculation-sheet'!E100</f>
        <v>866197526.64304185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1932604237.2370443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706013131.49549294</v>
      </c>
      <c r="M121" s="2">
        <f>M11/'Output-Calculation-sheet'!M10*'Output-Calculation-sheet'!M100</f>
        <v>1375427043.0209351</v>
      </c>
      <c r="N121" s="2">
        <f>N11/'Output-Calculation-sheet'!N10*'Output-Calculation-sheet'!N100</f>
        <v>916966476.53419006</v>
      </c>
      <c r="O121" s="2">
        <f>O11/'Output-Calculation-sheet'!O10*'Output-Calculation-sheet'!O100</f>
        <v>143970079.05884853</v>
      </c>
      <c r="P121" s="2">
        <f>P11/'Output-Calculation-sheet'!P10*'Output-Calculation-sheet'!P100</f>
        <v>0</v>
      </c>
      <c r="Q121" s="2">
        <f>Q11/'Output-Calculation-sheet'!Q10*'Output-Calculation-sheet'!Q100</f>
        <v>310293537.92283142</v>
      </c>
      <c r="R121" s="2">
        <f>R11/'Output-Calculation-sheet'!R10*'Output-Calculation-sheet'!R100</f>
        <v>0</v>
      </c>
      <c r="S121" s="2">
        <f>S11/'Output-Calculation-sheet'!S10*'Output-Calculation-sheet'!S100</f>
        <v>342846977.3377921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135145330.79612541</v>
      </c>
      <c r="Y121" s="2">
        <f>Y11/'Output-Calculation-sheet'!Y10*'Output-Calculation-sheet'!Y100</f>
        <v>19605032.242194347</v>
      </c>
      <c r="AA121" s="2">
        <f t="shared" si="10"/>
        <v>13605.303393568707</v>
      </c>
    </row>
    <row r="122" spans="1:27" x14ac:dyDescent="0.25">
      <c r="A122" s="2">
        <v>2035</v>
      </c>
      <c r="B122" s="2">
        <f>B12/'Output-Calculation-sheet'!B11*'Output-Calculation-sheet'!B101</f>
        <v>1696377370.114918</v>
      </c>
      <c r="C122" s="2">
        <f>C12/'Output-Calculation-sheet'!C11*'Output-Calculation-sheet'!C101</f>
        <v>318812237.63328588</v>
      </c>
      <c r="D122" s="2">
        <f>D12/'Output-Calculation-sheet'!D11*'Output-Calculation-sheet'!D101</f>
        <v>0</v>
      </c>
      <c r="E122" s="2">
        <f>E12/'Output-Calculation-sheet'!E11*'Output-Calculation-sheet'!E101</f>
        <v>2637023638.6633539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517141756.73673189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1133946968.623841</v>
      </c>
      <c r="M122" s="2">
        <f>M12/'Output-Calculation-sheet'!M11*'Output-Calculation-sheet'!M101</f>
        <v>433610322.10627419</v>
      </c>
      <c r="N122" s="2">
        <f>N12/'Output-Calculation-sheet'!N11*'Output-Calculation-sheet'!N101</f>
        <v>302409175.95554149</v>
      </c>
      <c r="O122" s="2">
        <f>O12/'Output-Calculation-sheet'!O11*'Output-Calculation-sheet'!O101</f>
        <v>34937211.041496605</v>
      </c>
      <c r="P122" s="2">
        <f>P12/'Output-Calculation-sheet'!P11*'Output-Calculation-sheet'!P101</f>
        <v>47157486.300116599</v>
      </c>
      <c r="Q122" s="2">
        <f>Q12/'Output-Calculation-sheet'!Q11*'Output-Calculation-sheet'!Q101</f>
        <v>662367794.18548775</v>
      </c>
      <c r="R122" s="2">
        <f>R12/'Output-Calculation-sheet'!R11*'Output-Calculation-sheet'!R101</f>
        <v>0</v>
      </c>
      <c r="S122" s="2">
        <f>S12/'Output-Calculation-sheet'!S11*'Output-Calculation-sheet'!S101</f>
        <v>179657952.66398522</v>
      </c>
      <c r="T122" s="2">
        <f>T12/'Output-Calculation-sheet'!T11*'Output-Calculation-sheet'!T101</f>
        <v>0</v>
      </c>
      <c r="U122" s="2">
        <f>U12/'Output-Calculation-sheet'!U11*'Output-Calculation-sheet'!U101</f>
        <v>62078907.311378874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15716872.579369918</v>
      </c>
      <c r="Y122" s="2">
        <f>Y12/'Output-Calculation-sheet'!Y11*'Output-Calculation-sheet'!Y101</f>
        <v>93718282.113533244</v>
      </c>
      <c r="AA122" s="2">
        <f t="shared" si="10"/>
        <v>8134.9559760293141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46573690400.067627</v>
      </c>
      <c r="C129" s="2">
        <f>C8/'Output-Calculation-sheet'!C7*'Output-Calculation-sheet'!C106</f>
        <v>0</v>
      </c>
      <c r="D129" s="2">
        <f>D8/'Output-Calculation-sheet'!D7*'Output-Calculation-sheet'!D106</f>
        <v>20137519345.990257</v>
      </c>
      <c r="E129" s="2">
        <f>E8/'Output-Calculation-sheet'!E7*'Output-Calculation-sheet'!E106</f>
        <v>15977096812.488901</v>
      </c>
      <c r="F129" s="2">
        <f>F8/'Output-Calculation-sheet'!F7*'Output-Calculation-sheet'!F106</f>
        <v>10285026894.512873</v>
      </c>
      <c r="G129" s="2">
        <f>G8/'Output-Calculation-sheet'!G7*'Output-Calculation-sheet'!G106</f>
        <v>7226558864.6262302</v>
      </c>
      <c r="H129" s="2">
        <f>H8/'Output-Calculation-sheet'!H7*'Output-Calculation-sheet'!H106</f>
        <v>0</v>
      </c>
      <c r="I129" s="2">
        <f>I8/'Output-Calculation-sheet'!I7*'Output-Calculation-sheet'!I106</f>
        <v>6583948677.4587564</v>
      </c>
      <c r="J129" s="2">
        <f>J8/'Output-Calculation-sheet'!J7*'Output-Calculation-sheet'!J106</f>
        <v>6408341895.8475132</v>
      </c>
      <c r="K129" s="2">
        <f>K8/'Output-Calculation-sheet'!K7*'Output-Calculation-sheet'!K106</f>
        <v>6346915102.0473843</v>
      </c>
      <c r="L129" s="2">
        <f>L8/'Output-Calculation-sheet'!L7*'Output-Calculation-sheet'!L106</f>
        <v>5091589871.1391525</v>
      </c>
      <c r="M129" s="2">
        <f>M8/'Output-Calculation-sheet'!M7*'Output-Calculation-sheet'!M106</f>
        <v>0</v>
      </c>
      <c r="N129" s="2">
        <f>N8/'Output-Calculation-sheet'!N7*'Output-Calculation-sheet'!N106</f>
        <v>2237582654.09377</v>
      </c>
      <c r="O129" s="2">
        <f>O8/'Output-Calculation-sheet'!O7*'Output-Calculation-sheet'!O106</f>
        <v>0</v>
      </c>
      <c r="P129" s="2">
        <f>P8/'Output-Calculation-sheet'!P7*'Output-Calculation-sheet'!P106</f>
        <v>4345431628.6457577</v>
      </c>
      <c r="Q129" s="2">
        <f>Q8/'Output-Calculation-sheet'!Q7*'Output-Calculation-sheet'!Q106</f>
        <v>4275194471.446373</v>
      </c>
      <c r="R129" s="2">
        <f>R8/'Output-Calculation-sheet'!R7*'Output-Calculation-sheet'!R106</f>
        <v>4112942071.1401234</v>
      </c>
      <c r="S129" s="2">
        <f>S8/'Output-Calculation-sheet'!S7*'Output-Calculation-sheet'!S106</f>
        <v>2245865113.8204875</v>
      </c>
      <c r="T129" s="2">
        <f>T8/'Output-Calculation-sheet'!T7*'Output-Calculation-sheet'!T106</f>
        <v>1511871777.6413348</v>
      </c>
      <c r="U129" s="2">
        <f>U8/'Output-Calculation-sheet'!U7*'Output-Calculation-sheet'!U106</f>
        <v>1316790991.4551635</v>
      </c>
      <c r="V129" s="2">
        <f>V8/'Output-Calculation-sheet'!V7*'Output-Calculation-sheet'!V106</f>
        <v>1013951012.4878056</v>
      </c>
      <c r="W129" s="2">
        <f>W8/'Output-Calculation-sheet'!W7*'Output-Calculation-sheet'!W106</f>
        <v>877863767.54323828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146568.18135245275</v>
      </c>
    </row>
    <row r="130" spans="1:27" x14ac:dyDescent="0.25">
      <c r="A130" s="2">
        <v>2032</v>
      </c>
      <c r="B130" s="2">
        <f>B9/'Output-Calculation-sheet'!B8*'Output-Calculation-sheet'!B107</f>
        <v>53808565238.695099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0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1958281371.8713739</v>
      </c>
      <c r="O130" s="2">
        <f>O9/'Output-Calculation-sheet'!O8*'Output-Calculation-sheet'!O107</f>
        <v>0</v>
      </c>
      <c r="P130" s="2">
        <f>P9/'Output-Calculation-sheet'!P8*'Output-Calculation-sheet'!P107</f>
        <v>5973236888.8599291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1738627334.9801173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188796.0784796435</v>
      </c>
    </row>
    <row r="131" spans="1:27" x14ac:dyDescent="0.25">
      <c r="A131" s="2">
        <v>2033</v>
      </c>
      <c r="B131" s="2">
        <f>B10/'Output-Calculation-sheet'!B9*'Output-Calculation-sheet'!B108</f>
        <v>45757677727.113403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1676685349.4466996</v>
      </c>
      <c r="O131" s="2">
        <f>O10/'Output-Calculation-sheet'!O9*'Output-Calculation-sheet'!O108</f>
        <v>0</v>
      </c>
      <c r="P131" s="2">
        <f>P10/'Output-Calculation-sheet'!P9*'Output-Calculation-sheet'!P108</f>
        <v>7711544558.0855627</v>
      </c>
      <c r="Q131" s="2">
        <f>Q10/'Output-Calculation-sheet'!Q9*'Output-Calculation-sheet'!Q108</f>
        <v>6505471650.5094509</v>
      </c>
      <c r="R131" s="2">
        <f>R10/'Output-Calculation-sheet'!R9*'Output-Calculation-sheet'!R108</f>
        <v>7299045015.2026205</v>
      </c>
      <c r="S131" s="2">
        <f>S10/'Output-Calculation-sheet'!S9*'Output-Calculation-sheet'!S108</f>
        <v>1626295438.5323699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217485.43687016098</v>
      </c>
    </row>
    <row r="132" spans="1:27" x14ac:dyDescent="0.25">
      <c r="A132" s="2">
        <v>2034</v>
      </c>
      <c r="B132" s="2">
        <f>B11/'Output-Calculation-sheet'!B10*'Output-Calculation-sheet'!B109</f>
        <v>35529767758.992523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34291186161.78936</v>
      </c>
      <c r="F132" s="2">
        <f>F11/'Output-Calculation-sheet'!F10*'Output-Calculation-sheet'!F109</f>
        <v>22628473837.15279</v>
      </c>
      <c r="G132" s="2">
        <f>G11/'Output-Calculation-sheet'!G10*'Output-Calculation-sheet'!G109</f>
        <v>15899832121.086367</v>
      </c>
      <c r="H132" s="2">
        <f>H11/'Output-Calculation-sheet'!H10*'Output-Calculation-sheet'!H109</f>
        <v>0</v>
      </c>
      <c r="I132" s="2">
        <f>I11/'Output-Calculation-sheet'!I10*'Output-Calculation-sheet'!I109</f>
        <v>14484990852.294489</v>
      </c>
      <c r="J132" s="2">
        <f>J11/'Output-Calculation-sheet'!J10*'Output-Calculation-sheet'!J109</f>
        <v>14098786843.779921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10495790502.744917</v>
      </c>
      <c r="M132" s="2">
        <f>M11/'Output-Calculation-sheet'!M10*'Output-Calculation-sheet'!M109</f>
        <v>0</v>
      </c>
      <c r="N132" s="2">
        <f>N11/'Output-Calculation-sheet'!N10*'Output-Calculation-sheet'!N109</f>
        <v>1380209428.5397401</v>
      </c>
      <c r="O132" s="2">
        <f>O11/'Output-Calculation-sheet'!O10*'Output-Calculation-sheet'!O109</f>
        <v>0</v>
      </c>
      <c r="P132" s="2">
        <f>P11/'Output-Calculation-sheet'!P10*'Output-Calculation-sheet'!P109</f>
        <v>7841973715.8981581</v>
      </c>
      <c r="Q132" s="2">
        <f>Q11/'Output-Calculation-sheet'!Q10*'Output-Calculation-sheet'!Q109</f>
        <v>5051070029.2674742</v>
      </c>
      <c r="R132" s="2">
        <f>R11/'Output-Calculation-sheet'!R10*'Output-Calculation-sheet'!R109</f>
        <v>9048161846.5522995</v>
      </c>
      <c r="S132" s="2">
        <f>S11/'Output-Calculation-sheet'!S10*'Output-Calculation-sheet'!S109</f>
        <v>947251788.05786026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2898661944.3609381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240353.54234560294</v>
      </c>
    </row>
    <row r="133" spans="1:27" x14ac:dyDescent="0.25">
      <c r="A133" s="2">
        <v>2035</v>
      </c>
      <c r="B133" s="2">
        <f>B12/'Output-Calculation-sheet'!B11*'Output-Calculation-sheet'!B110</f>
        <v>582810429.94181859</v>
      </c>
      <c r="C133" s="2">
        <f>C12/'Output-Calculation-sheet'!C11*'Output-Calculation-sheet'!C110</f>
        <v>0</v>
      </c>
      <c r="D133" s="2">
        <f>D12/'Output-Calculation-sheet'!D11*'Output-Calculation-sheet'!D110</f>
        <v>48285212888.676025</v>
      </c>
      <c r="E133" s="2">
        <f>E12/'Output-Calculation-sheet'!E11*'Output-Calculation-sheet'!E110</f>
        <v>23480036861.230774</v>
      </c>
      <c r="F133" s="2">
        <f>F12/'Output-Calculation-sheet'!F11*'Output-Calculation-sheet'!F110</f>
        <v>26037575606.798519</v>
      </c>
      <c r="G133" s="2">
        <f>G12/'Output-Calculation-sheet'!G11*'Output-Calculation-sheet'!G110</f>
        <v>18047920085.684574</v>
      </c>
      <c r="H133" s="2">
        <f>H12/'Output-Calculation-sheet'!H11*'Output-Calculation-sheet'!H110</f>
        <v>0</v>
      </c>
      <c r="I133" s="2">
        <f>I12/'Output-Calculation-sheet'!I11*'Output-Calculation-sheet'!I110</f>
        <v>16291628294.272179</v>
      </c>
      <c r="J133" s="2">
        <f>J12/'Output-Calculation-sheet'!J11*'Output-Calculation-sheet'!J110</f>
        <v>15690065545.369703</v>
      </c>
      <c r="K133" s="2">
        <f>K12/'Output-Calculation-sheet'!K11*'Output-Calculation-sheet'!K110</f>
        <v>15521912858.926472</v>
      </c>
      <c r="L133" s="2">
        <f>L12/'Output-Calculation-sheet'!L11*'Output-Calculation-sheet'!L110</f>
        <v>11416350830.03175</v>
      </c>
      <c r="M133" s="2">
        <f>M12/'Output-Calculation-sheet'!M11*'Output-Calculation-sheet'!M110</f>
        <v>0</v>
      </c>
      <c r="N133" s="2">
        <f>N12/'Output-Calculation-sheet'!N11*'Output-Calculation-sheet'!N110</f>
        <v>1492121.2502917035</v>
      </c>
      <c r="O133" s="2">
        <f>O12/'Output-Calculation-sheet'!O11*'Output-Calculation-sheet'!O110</f>
        <v>0</v>
      </c>
      <c r="P133" s="2">
        <f>P12/'Output-Calculation-sheet'!P11*'Output-Calculation-sheet'!P110</f>
        <v>3537641386.2257485</v>
      </c>
      <c r="Q133" s="2">
        <f>Q12/'Output-Calculation-sheet'!Q11*'Output-Calculation-sheet'!Q110</f>
        <v>4699140360.3031473</v>
      </c>
      <c r="R133" s="2">
        <f>R12/'Output-Calculation-sheet'!R11*'Output-Calculation-sheet'!R110</f>
        <v>10324538409.173157</v>
      </c>
      <c r="S133" s="2">
        <f>S12/'Output-Calculation-sheet'!S11*'Output-Calculation-sheet'!S110</f>
        <v>17093857.127148099</v>
      </c>
      <c r="T133" s="2">
        <f>T12/'Output-Calculation-sheet'!T11*'Output-Calculation-sheet'!T110</f>
        <v>3879115232.334547</v>
      </c>
      <c r="U133" s="2">
        <f>U12/'Output-Calculation-sheet'!U11*'Output-Calculation-sheet'!U110</f>
        <v>3147372788.1151195</v>
      </c>
      <c r="V133" s="2">
        <f>V12/'Output-Calculation-sheet'!V11*'Output-Calculation-sheet'!V110</f>
        <v>2608709437.7634258</v>
      </c>
      <c r="W133" s="2">
        <f>W12/'Output-Calculation-sheet'!W11*'Output-Calculation-sheet'!W110</f>
        <v>2291850664.9953094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205860.46765821966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14553699425.663927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4575316506.802907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3145004259.7022982</v>
      </c>
      <c r="N140" s="2">
        <f>N8/'Output-Calculation-sheet'!N7*'Output-Calculation-sheet'!N115</f>
        <v>1187363764.3659823</v>
      </c>
      <c r="O140" s="2">
        <f>O8/'Output-Calculation-sheet'!O7*'Output-Calculation-sheet'!O115</f>
        <v>3492816998.3732224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341509702.8436904</v>
      </c>
      <c r="Y140" s="2">
        <f>Y8/'Output-Calculation-sheet'!Y7*'Output-Calculation-sheet'!Y115</f>
        <v>0</v>
      </c>
      <c r="AA140" s="2">
        <f t="shared" si="12"/>
        <v>27295.710657752024</v>
      </c>
    </row>
    <row r="141" spans="1:27" x14ac:dyDescent="0.25">
      <c r="A141" s="2">
        <v>2032</v>
      </c>
      <c r="B141" s="2">
        <f>B9/'Output-Calculation-sheet'!B8*'Output-Calculation-sheet'!B116</f>
        <v>6151560617.1657057</v>
      </c>
      <c r="C141" s="2">
        <f>C9/'Output-Calculation-sheet'!C8*'Output-Calculation-sheet'!C116</f>
        <v>26332316772.244061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6864720792.7581997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4713194860.3597193</v>
      </c>
      <c r="N141" s="2">
        <f>N9/'Output-Calculation-sheet'!N8*'Output-Calculation-sheet'!N116</f>
        <v>3272192468.7862191</v>
      </c>
      <c r="O141" s="2">
        <f>O9/'Output-Calculation-sheet'!O8*'Output-Calculation-sheet'!O116</f>
        <v>5111257447.3561478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1465647726.795902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513014699.17324573</v>
      </c>
      <c r="Y141" s="2">
        <f>Y9/'Output-Calculation-sheet'!Y8*'Output-Calculation-sheet'!Y116</f>
        <v>0</v>
      </c>
      <c r="AA141" s="2">
        <f t="shared" si="12"/>
        <v>54423.905384639198</v>
      </c>
    </row>
    <row r="142" spans="1:27" x14ac:dyDescent="0.25">
      <c r="A142" s="2">
        <v>2033</v>
      </c>
      <c r="B142" s="2">
        <f>B10/'Output-Calculation-sheet'!B9*'Output-Calculation-sheet'!B117</f>
        <v>33198633628.665924</v>
      </c>
      <c r="C142" s="2">
        <f>C10/'Output-Calculation-sheet'!C9*'Output-Calculation-sheet'!C117</f>
        <v>35056385336.647881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10857221476.390984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7460942639.5102358</v>
      </c>
      <c r="N142" s="2">
        <f>N10/'Output-Calculation-sheet'!N9*'Output-Calculation-sheet'!N117</f>
        <v>5628176053.4599075</v>
      </c>
      <c r="O142" s="2">
        <f>O10/'Output-Calculation-sheet'!O9*'Output-Calculation-sheet'!O117</f>
        <v>6803999484.9417324</v>
      </c>
      <c r="P142" s="2">
        <f>P10/'Output-Calculation-sheet'!P9*'Output-Calculation-sheet'!P117</f>
        <v>0</v>
      </c>
      <c r="Q142" s="2">
        <f>Q10/'Output-Calculation-sheet'!Q9*'Output-Calculation-sheet'!Q117</f>
        <v>1074827960.0327914</v>
      </c>
      <c r="R142" s="2">
        <f>R10/'Output-Calculation-sheet'!R9*'Output-Calculation-sheet'!R117</f>
        <v>0</v>
      </c>
      <c r="S142" s="2">
        <f>S10/'Output-Calculation-sheet'!S9*'Output-Calculation-sheet'!S117</f>
        <v>2736676702.615571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817928119.24258924</v>
      </c>
      <c r="Y142" s="2">
        <f>Y10/'Output-Calculation-sheet'!Y9*'Output-Calculation-sheet'!Y117</f>
        <v>0</v>
      </c>
      <c r="AA142" s="2">
        <f t="shared" si="12"/>
        <v>103634.79140150759</v>
      </c>
    </row>
    <row r="143" spans="1:27" x14ac:dyDescent="0.25">
      <c r="A143" s="2">
        <v>2034</v>
      </c>
      <c r="B143" s="2">
        <f>B11/'Output-Calculation-sheet'!B10*'Output-Calculation-sheet'!B118</f>
        <v>63833067080.158272</v>
      </c>
      <c r="C143" s="2">
        <f>C11/'Output-Calculation-sheet'!C10*'Output-Calculation-sheet'!C118</f>
        <v>48976238261.606728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13576456908.751465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9324461532.9338665</v>
      </c>
      <c r="N143" s="2">
        <f>N11/'Output-Calculation-sheet'!N10*'Output-Calculation-sheet'!N118</f>
        <v>8204778135.757514</v>
      </c>
      <c r="O143" s="2">
        <f>O11/'Output-Calculation-sheet'!O10*'Output-Calculation-sheet'!O118</f>
        <v>9514722495.4577255</v>
      </c>
      <c r="P143" s="2">
        <f>P11/'Output-Calculation-sheet'!P10*'Output-Calculation-sheet'!P118</f>
        <v>1717855053.8665061</v>
      </c>
      <c r="Q143" s="2">
        <f>Q11/'Output-Calculation-sheet'!Q10*'Output-Calculation-sheet'!Q118</f>
        <v>4044433496.6156664</v>
      </c>
      <c r="R143" s="2">
        <f>R11/'Output-Calculation-sheet'!R10*'Output-Calculation-sheet'!R118</f>
        <v>0</v>
      </c>
      <c r="S143" s="2">
        <f>S11/'Output-Calculation-sheet'!S10*'Output-Calculation-sheet'!S118</f>
        <v>4724302615.5971622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1023684005.6656677</v>
      </c>
      <c r="Y143" s="2">
        <f>Y11/'Output-Calculation-sheet'!Y10*'Output-Calculation-sheet'!Y118</f>
        <v>119960651.5080678</v>
      </c>
      <c r="AA143" s="2">
        <f t="shared" si="12"/>
        <v>165059.96023791868</v>
      </c>
    </row>
    <row r="144" spans="1:27" x14ac:dyDescent="0.25">
      <c r="A144" s="2">
        <v>2035</v>
      </c>
      <c r="B144" s="2">
        <f>B12/'Output-Calculation-sheet'!B11*'Output-Calculation-sheet'!B119</f>
        <v>124335822270.01997</v>
      </c>
      <c r="C144" s="2">
        <f>C12/'Output-Calculation-sheet'!C11*'Output-Calculation-sheet'!C119</f>
        <v>59497160741.972397</v>
      </c>
      <c r="D144" s="2">
        <f>D12/'Output-Calculation-sheet'!D11*'Output-Calculation-sheet'!D119</f>
        <v>0</v>
      </c>
      <c r="E144" s="2">
        <f>E12/'Output-Calculation-sheet'!E11*'Output-Calculation-sheet'!E119</f>
        <v>15674931127.799534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18076251473.775536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12385003039.607412</v>
      </c>
      <c r="N144" s="2">
        <f>N12/'Output-Calculation-sheet'!N11*'Output-Calculation-sheet'!N119</f>
        <v>12262971577.163647</v>
      </c>
      <c r="O144" s="2">
        <f>O12/'Output-Calculation-sheet'!O11*'Output-Calculation-sheet'!O119</f>
        <v>11568252401.998629</v>
      </c>
      <c r="P144" s="2">
        <f>P12/'Output-Calculation-sheet'!P11*'Output-Calculation-sheet'!P119</f>
        <v>7866005993.6839495</v>
      </c>
      <c r="Q144" s="2">
        <f>Q12/'Output-Calculation-sheet'!Q11*'Output-Calculation-sheet'!Q119</f>
        <v>5390789241.0003576</v>
      </c>
      <c r="R144" s="2">
        <f>R12/'Output-Calculation-sheet'!R11*'Output-Calculation-sheet'!R119</f>
        <v>0</v>
      </c>
      <c r="S144" s="2">
        <f>S12/'Output-Calculation-sheet'!S11*'Output-Calculation-sheet'!S119</f>
        <v>7005281627.2285118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1378121290.4732783</v>
      </c>
      <c r="Y144" s="2">
        <f>Y12/'Output-Calculation-sheet'!Y11*'Output-Calculation-sheet'!Y119</f>
        <v>657611506.77862811</v>
      </c>
      <c r="AA144" s="2">
        <f t="shared" si="12"/>
        <v>276098.20229150192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47945309983.223877</v>
      </c>
      <c r="C151" s="2">
        <f>C8/'Output-Calculation-sheet'!C7*'Output-Calculation-sheet'!C124</f>
        <v>22594282785.744373</v>
      </c>
      <c r="D151" s="2">
        <f>D8/'Output-Calculation-sheet'!D7*'Output-Calculation-sheet'!D124</f>
        <v>20137519345.990257</v>
      </c>
      <c r="E151" s="2">
        <f>E8/'Output-Calculation-sheet'!E7*'Output-Calculation-sheet'!E124</f>
        <v>15977096812.488901</v>
      </c>
      <c r="F151" s="2">
        <f>F8/'Output-Calculation-sheet'!F7*'Output-Calculation-sheet'!F124</f>
        <v>10285026894.512873</v>
      </c>
      <c r="G151" s="2">
        <f>G8/'Output-Calculation-sheet'!G7*'Output-Calculation-sheet'!G124</f>
        <v>7226558864.6262302</v>
      </c>
      <c r="H151" s="2">
        <f>H8/'Output-Calculation-sheet'!H7*'Output-Calculation-sheet'!H124</f>
        <v>7049238935.5443716</v>
      </c>
      <c r="I151" s="2">
        <f>I8/'Output-Calculation-sheet'!I7*'Output-Calculation-sheet'!I124</f>
        <v>6583948677.4587564</v>
      </c>
      <c r="J151" s="2">
        <f>J8/'Output-Calculation-sheet'!J7*'Output-Calculation-sheet'!J124</f>
        <v>6408341895.8475132</v>
      </c>
      <c r="K151" s="2">
        <f>K8/'Output-Calculation-sheet'!K7*'Output-Calculation-sheet'!K124</f>
        <v>6346915102.0473843</v>
      </c>
      <c r="L151" s="2">
        <f>L8/'Output-Calculation-sheet'!L7*'Output-Calculation-sheet'!L124</f>
        <v>5091589871.1391525</v>
      </c>
      <c r="M151" s="2">
        <f>M8/'Output-Calculation-sheet'!M7*'Output-Calculation-sheet'!M124</f>
        <v>4863356572.5861778</v>
      </c>
      <c r="N151" s="2">
        <f>N8/'Output-Calculation-sheet'!N7*'Output-Calculation-sheet'!N124</f>
        <v>4773362113.9060688</v>
      </c>
      <c r="O151" s="2">
        <f>O8/'Output-Calculation-sheet'!O7*'Output-Calculation-sheet'!O124</f>
        <v>4390068914.2955952</v>
      </c>
      <c r="P151" s="2">
        <f>P8/'Output-Calculation-sheet'!P7*'Output-Calculation-sheet'!P124</f>
        <v>4345431628.6457577</v>
      </c>
      <c r="Q151" s="2">
        <f>Q8/'Output-Calculation-sheet'!Q7*'Output-Calculation-sheet'!Q124</f>
        <v>4275194471.446373</v>
      </c>
      <c r="R151" s="2">
        <f>R8/'Output-Calculation-sheet'!R7*'Output-Calculation-sheet'!R124</f>
        <v>4112942071.1401234</v>
      </c>
      <c r="S151" s="2">
        <f>S8/'Output-Calculation-sheet'!S7*'Output-Calculation-sheet'!S124</f>
        <v>2733665540.3384862</v>
      </c>
      <c r="T151" s="2">
        <f>T8/'Output-Calculation-sheet'!T7*'Output-Calculation-sheet'!T124</f>
        <v>1511871777.6413348</v>
      </c>
      <c r="U151" s="2">
        <f>U8/'Output-Calculation-sheet'!U7*'Output-Calculation-sheet'!U124</f>
        <v>1316790991.4551635</v>
      </c>
      <c r="V151" s="2">
        <f>V8/'Output-Calculation-sheet'!V7*'Output-Calculation-sheet'!V124</f>
        <v>1013951012.4878056</v>
      </c>
      <c r="W151" s="2">
        <f>W8/'Output-Calculation-sheet'!W7*'Output-Calculation-sheet'!W124</f>
        <v>877863767.54323828</v>
      </c>
      <c r="X151" s="2">
        <f>X8/'Output-Calculation-sheet'!X7*'Output-Calculation-sheet'!X124</f>
        <v>526715468.04827237</v>
      </c>
      <c r="Y151" s="2">
        <f>Y8/'Output-Calculation-sheet'!Y7*'Output-Calculation-sheet'!Y124</f>
        <v>512225833.64034635</v>
      </c>
      <c r="AA151" s="2">
        <f t="shared" si="13"/>
        <v>190899.26933179848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18635026272.488609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3620785176.9653664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157447.4786247458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2597071783.2780418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112931.97905602001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2215599321.9777384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1343708144.132659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859200368.67968678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413871721.71355397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60000.28414876273</v>
      </c>
    </row>
    <row r="155" spans="1:27" x14ac:dyDescent="0.25">
      <c r="A155" s="2">
        <v>2035</v>
      </c>
      <c r="B155" s="2">
        <f>B12/'Output-Calculation-sheet'!B11*'Output-Calculation-sheet'!B128</f>
        <v>648618167.40163624</v>
      </c>
      <c r="C155" s="2">
        <f>C12/'Output-Calculation-sheet'!C11*'Output-Calculation-sheet'!C128</f>
        <v>83359899.198366597</v>
      </c>
      <c r="D155" s="2">
        <f>D12/'Output-Calculation-sheet'!D11*'Output-Calculation-sheet'!D128</f>
        <v>6500267660.7349043</v>
      </c>
      <c r="E155" s="2">
        <f>E12/'Output-Calculation-sheet'!E11*'Output-Calculation-sheet'!E128</f>
        <v>1210778616.3223078</v>
      </c>
      <c r="F155" s="2">
        <f>F12/'Output-Calculation-sheet'!F11*'Output-Calculation-sheet'!F128</f>
        <v>1874328971.4133146</v>
      </c>
      <c r="G155" s="2">
        <f>G12/'Output-Calculation-sheet'!G11*'Output-Calculation-sheet'!G128</f>
        <v>1674148754.8021276</v>
      </c>
      <c r="H155" s="2">
        <f>H12/'Output-Calculation-sheet'!H11*'Output-Calculation-sheet'!H128</f>
        <v>134185656.32984872</v>
      </c>
      <c r="I155" s="2">
        <f>I12/'Output-Calculation-sheet'!I11*'Output-Calculation-sheet'!I128</f>
        <v>1669432586.4446216</v>
      </c>
      <c r="J155" s="2">
        <f>J12/'Output-Calculation-sheet'!J11*'Output-Calculation-sheet'!J128</f>
        <v>1598486624.3023641</v>
      </c>
      <c r="K155" s="2">
        <f>K12/'Output-Calculation-sheet'!K11*'Output-Calculation-sheet'!K128</f>
        <v>1815168434.5354345</v>
      </c>
      <c r="L155" s="2">
        <f>L12/'Output-Calculation-sheet'!L11*'Output-Calculation-sheet'!L128</f>
        <v>1312636093.6114221</v>
      </c>
      <c r="M155" s="2">
        <f>M12/'Output-Calculation-sheet'!M11*'Output-Calculation-sheet'!M128</f>
        <v>111912465.63229999</v>
      </c>
      <c r="N155" s="2">
        <f>N12/'Output-Calculation-sheet'!N11*'Output-Calculation-sheet'!N128</f>
        <v>113266562.74343005</v>
      </c>
      <c r="O155" s="2">
        <f>O12/'Output-Calculation-sheet'!O11*'Output-Calculation-sheet'!O128</f>
        <v>37510191.938623451</v>
      </c>
      <c r="P155" s="2">
        <f>P12/'Output-Calculation-sheet'!P11*'Output-Calculation-sheet'!P128</f>
        <v>126608602.32944748</v>
      </c>
      <c r="Q155" s="2">
        <f>Q12/'Output-Calculation-sheet'!Q11*'Output-Calculation-sheet'!Q128</f>
        <v>754577622.90019357</v>
      </c>
      <c r="R155" s="2">
        <f>R12/'Output-Calculation-sheet'!R11*'Output-Calculation-sheet'!R128</f>
        <v>843726416.77458644</v>
      </c>
      <c r="S155" s="2">
        <f>S12/'Output-Calculation-sheet'!S11*'Output-Calculation-sheet'!S128</f>
        <v>59149121.36857181</v>
      </c>
      <c r="T155" s="2">
        <f>T12/'Output-Calculation-sheet'!T11*'Output-Calculation-sheet'!T128</f>
        <v>198425496.05804577</v>
      </c>
      <c r="U155" s="2">
        <f>U12/'Output-Calculation-sheet'!U11*'Output-Calculation-sheet'!U128</f>
        <v>390507282.6070931</v>
      </c>
      <c r="V155" s="2">
        <f>V12/'Output-Calculation-sheet'!V11*'Output-Calculation-sheet'!V128</f>
        <v>97444534.027876794</v>
      </c>
      <c r="W155" s="2">
        <f>W12/'Output-Calculation-sheet'!W11*'Output-Calculation-sheet'!W128</f>
        <v>90436071.290818229</v>
      </c>
      <c r="X155" s="2">
        <f>X12/'Output-Calculation-sheet'!X11*'Output-Calculation-sheet'!X128</f>
        <v>3441340.2536903163</v>
      </c>
      <c r="Y155" s="2">
        <f>Y12/'Output-Calculation-sheet'!Y11*'Output-Calculation-sheet'!Y128</f>
        <v>26760165.806528099</v>
      </c>
      <c r="AA155" s="2">
        <f t="shared" si="13"/>
        <v>21375.177338827561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1037.5437039065912</v>
      </c>
      <c r="C19" s="2">
        <f>C8/'Output-Calculation-sheet'!C7*'Output-Calculation-sheet'!C25</f>
        <v>4881.608264343773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1478.6978432080109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1027.1622304222606</v>
      </c>
      <c r="N19" s="2">
        <f>N8/'Output-Calculation-sheet'!N7*'Output-Calculation-sheet'!N25</f>
        <v>854.47759510222943</v>
      </c>
      <c r="O19" s="2">
        <f>O8/'Output-Calculation-sheet'!O7*'Output-Calculation-sheet'!O25</f>
        <v>536.27705241256865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395.17139061559897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111.16752612949178</v>
      </c>
      <c r="Y19" s="2">
        <f>Y8/'Output-Calculation-sheet'!Y7*'Output-Calculation-sheet'!Y25</f>
        <v>0</v>
      </c>
      <c r="AA19" s="2">
        <f t="shared" si="0"/>
        <v>10.322105606140521</v>
      </c>
    </row>
    <row r="20" spans="1:27" x14ac:dyDescent="0.25">
      <c r="A20" s="2">
        <v>2032</v>
      </c>
      <c r="B20" s="2">
        <f>B9/'Output-Calculation-sheet'!B8*'Output-Calculation-sheet'!B26</f>
        <v>4796.0779082769204</v>
      </c>
      <c r="C20" s="2">
        <f>C9/'Output-Calculation-sheet'!C8*'Output-Calculation-sheet'!C26</f>
        <v>2630.052035176408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1578.8332230573078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1103.2995524798803</v>
      </c>
      <c r="N20" s="2">
        <f>N9/'Output-Calculation-sheet'!N8*'Output-Calculation-sheet'!N26</f>
        <v>764.61665461607947</v>
      </c>
      <c r="O20" s="2">
        <f>O9/'Output-Calculation-sheet'!O8*'Output-Calculation-sheet'!O26</f>
        <v>513.86342726874045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362.69836546599396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120.05510492308157</v>
      </c>
      <c r="Y20" s="2">
        <f>Y9/'Output-Calculation-sheet'!Y8*'Output-Calculation-sheet'!Y26</f>
        <v>0</v>
      </c>
      <c r="AA20" s="2">
        <f t="shared" si="0"/>
        <v>11.869496271264413</v>
      </c>
    </row>
    <row r="21" spans="1:27" x14ac:dyDescent="0.25">
      <c r="A21" s="2">
        <v>2033</v>
      </c>
      <c r="B21" s="2">
        <f>B10/'Output-Calculation-sheet'!B9*'Output-Calculation-sheet'!B27</f>
        <v>4052.9865366598092</v>
      </c>
      <c r="C21" s="2">
        <f>C10/'Output-Calculation-sheet'!C9*'Output-Calculation-sheet'!C27</f>
        <v>2491.1370486650203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816.78602518787761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578.12788656197449</v>
      </c>
      <c r="N21" s="2">
        <f>N10/'Output-Calculation-sheet'!N9*'Output-Calculation-sheet'!N27</f>
        <v>585.46854506772615</v>
      </c>
      <c r="O21" s="2">
        <f>O10/'Output-Calculation-sheet'!O9*'Output-Calculation-sheet'!O27</f>
        <v>487.71122595375959</v>
      </c>
      <c r="P21" s="2">
        <f>P10/'Output-Calculation-sheet'!P9*'Output-Calculation-sheet'!P27</f>
        <v>0</v>
      </c>
      <c r="Q21" s="2">
        <f>Q10/'Output-Calculation-sheet'!Q9*'Output-Calculation-sheet'!Q27</f>
        <v>6.6946534890037288</v>
      </c>
      <c r="R21" s="2">
        <f>R10/'Output-Calculation-sheet'!R9*'Output-Calculation-sheet'!R27</f>
        <v>0</v>
      </c>
      <c r="S21" s="2">
        <f>S10/'Output-Calculation-sheet'!S9*'Output-Calculation-sheet'!S27</f>
        <v>278.77844455407143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57.728554108329078</v>
      </c>
      <c r="Y21" s="2">
        <f>Y10/'Output-Calculation-sheet'!Y9*'Output-Calculation-sheet'!Y27</f>
        <v>0</v>
      </c>
      <c r="AA21" s="2">
        <f t="shared" si="0"/>
        <v>9.355418920247569</v>
      </c>
    </row>
    <row r="22" spans="1:27" x14ac:dyDescent="0.25">
      <c r="A22" s="2">
        <v>2034</v>
      </c>
      <c r="B22" s="2">
        <f>B11/'Output-Calculation-sheet'!B10*'Output-Calculation-sheet'!B28</f>
        <v>3015.3167621922457</v>
      </c>
      <c r="C22" s="2">
        <f>C11/'Output-Calculation-sheet'!C10*'Output-Calculation-sheet'!C28</f>
        <v>303.76864747178263</v>
      </c>
      <c r="D22" s="2">
        <f>D11/'Output-Calculation-sheet'!D10*'Output-Calculation-sheet'!D28</f>
        <v>0</v>
      </c>
      <c r="E22" s="2">
        <f>E11/'Output-Calculation-sheet'!E10*'Output-Calculation-sheet'!E28</f>
        <v>1028.137164800477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799.84664805574607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611.76329666004597</v>
      </c>
      <c r="M22" s="2">
        <f>M11/'Output-Calculation-sheet'!M10*'Output-Calculation-sheet'!M28</f>
        <v>569.2478106597863</v>
      </c>
      <c r="N22" s="2">
        <f>N11/'Output-Calculation-sheet'!N10*'Output-Calculation-sheet'!N28</f>
        <v>380.54540908828346</v>
      </c>
      <c r="O22" s="2">
        <f>O11/'Output-Calculation-sheet'!O10*'Output-Calculation-sheet'!O28</f>
        <v>59.584927162094608</v>
      </c>
      <c r="P22" s="2">
        <f>P11/'Output-Calculation-sheet'!P10*'Output-Calculation-sheet'!P28</f>
        <v>0</v>
      </c>
      <c r="Q22" s="2">
        <f>Q11/'Output-Calculation-sheet'!Q10*'Output-Calculation-sheet'!Q28</f>
        <v>195.07044434853194</v>
      </c>
      <c r="R22" s="2">
        <f>R11/'Output-Calculation-sheet'!R10*'Output-Calculation-sheet'!R28</f>
        <v>0</v>
      </c>
      <c r="S22" s="2">
        <f>S11/'Output-Calculation-sheet'!S10*'Output-Calculation-sheet'!S28</f>
        <v>142.48827401522388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55.932560817240443</v>
      </c>
      <c r="Y22" s="2">
        <f>Y11/'Output-Calculation-sheet'!Y10*'Output-Calculation-sheet'!Y28</f>
        <v>22.799691594202898</v>
      </c>
      <c r="AA22" s="2">
        <f t="shared" si="0"/>
        <v>7.1845016368656616</v>
      </c>
    </row>
    <row r="23" spans="1:27" x14ac:dyDescent="0.25">
      <c r="A23" s="2">
        <v>2035</v>
      </c>
      <c r="B23" s="2">
        <f>B12/'Output-Calculation-sheet'!B11*'Output-Calculation-sheet'!B29</f>
        <v>548.73540839974339</v>
      </c>
      <c r="C23" s="2">
        <f>C12/'Output-Calculation-sheet'!C11*'Output-Calculation-sheet'!C29</f>
        <v>103.12704129716094</v>
      </c>
      <c r="D23" s="2">
        <f>D12/'Output-Calculation-sheet'!D11*'Output-Calculation-sheet'!D29</f>
        <v>0</v>
      </c>
      <c r="E23" s="2">
        <f>E12/'Output-Calculation-sheet'!E11*'Output-Calculation-sheet'!E29</f>
        <v>1389.3984103152986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167.2822941425745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700.39928882047479</v>
      </c>
      <c r="M23" s="2">
        <f>M12/'Output-Calculation-sheet'!M11*'Output-Calculation-sheet'!M29</f>
        <v>140.26235782154995</v>
      </c>
      <c r="N23" s="2">
        <f>N12/'Output-Calculation-sheet'!N11*'Output-Calculation-sheet'!N29</f>
        <v>97.821671500909986</v>
      </c>
      <c r="O23" s="2">
        <f>O12/'Output-Calculation-sheet'!O11*'Output-Calculation-sheet'!O29</f>
        <v>11.301420202815825</v>
      </c>
      <c r="P23" s="2">
        <f>P12/'Output-Calculation-sheet'!P11*'Output-Calculation-sheet'!P29</f>
        <v>19.466436178965861</v>
      </c>
      <c r="Q23" s="2">
        <f>Q12/'Output-Calculation-sheet'!Q11*'Output-Calculation-sheet'!Q29</f>
        <v>272.9425312056772</v>
      </c>
      <c r="R23" s="2">
        <f>R12/'Output-Calculation-sheet'!R11*'Output-Calculation-sheet'!R29</f>
        <v>0</v>
      </c>
      <c r="S23" s="2">
        <f>S12/'Output-Calculation-sheet'!S11*'Output-Calculation-sheet'!S29</f>
        <v>58.114870647708905</v>
      </c>
      <c r="T23" s="2">
        <f>T12/'Output-Calculation-sheet'!T11*'Output-Calculation-sheet'!T29</f>
        <v>0</v>
      </c>
      <c r="U23" s="2">
        <f>U12/'Output-Calculation-sheet'!U11*'Output-Calculation-sheet'!U29</f>
        <v>63.359900206829984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5.0840135127257007</v>
      </c>
      <c r="Y23" s="2">
        <f>Y12/'Output-Calculation-sheet'!Y11*'Output-Calculation-sheet'!Y29</f>
        <v>43.056812453781205</v>
      </c>
      <c r="AA23" s="2">
        <f t="shared" si="0"/>
        <v>3.6203524567062164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18085.424111486398</v>
      </c>
      <c r="C30" s="2">
        <f>C8/'Output-Calculation-sheet'!C7*'Output-Calculation-sheet'!C16</f>
        <v>0</v>
      </c>
      <c r="D30" s="2">
        <f>D8/'Output-Calculation-sheet'!D7*'Output-Calculation-sheet'!D16</f>
        <v>3045.3236351573655</v>
      </c>
      <c r="E30" s="2">
        <f>E8/'Output-Calculation-sheet'!E7*'Output-Calculation-sheet'!E16</f>
        <v>3276.6003872517094</v>
      </c>
      <c r="F30" s="2">
        <f>F8/'Output-Calculation-sheet'!F7*'Output-Calculation-sheet'!F16</f>
        <v>1653.0893443471664</v>
      </c>
      <c r="G30" s="2">
        <f>G8/'Output-Calculation-sheet'!G7*'Output-Calculation-sheet'!G16</f>
        <v>1082.562783125662</v>
      </c>
      <c r="H30" s="2">
        <f>H8/'Output-Calculation-sheet'!H7*'Output-Calculation-sheet'!H16</f>
        <v>0</v>
      </c>
      <c r="I30" s="2">
        <f>I8/'Output-Calculation-sheet'!I7*'Output-Calculation-sheet'!I16</f>
        <v>1055.3495146939026</v>
      </c>
      <c r="J30" s="2">
        <f>J8/'Output-Calculation-sheet'!J7*'Output-Calculation-sheet'!J16</f>
        <v>939.45106038359518</v>
      </c>
      <c r="K30" s="2">
        <f>K8/'Output-Calculation-sheet'!K7*'Output-Calculation-sheet'!K16</f>
        <v>1254.3478187588184</v>
      </c>
      <c r="L30" s="2">
        <f>L8/'Output-Calculation-sheet'!L7*'Output-Calculation-sheet'!L16</f>
        <v>1059.5168599860292</v>
      </c>
      <c r="M30" s="2">
        <f>M8/'Output-Calculation-sheet'!M7*'Output-Calculation-sheet'!M16</f>
        <v>0</v>
      </c>
      <c r="N30" s="2">
        <f>N8/'Output-Calculation-sheet'!N7*'Output-Calculation-sheet'!N16</f>
        <v>974.08638360751979</v>
      </c>
      <c r="O30" s="2">
        <f>O8/'Output-Calculation-sheet'!O7*'Output-Calculation-sheet'!O16</f>
        <v>0</v>
      </c>
      <c r="P30" s="2">
        <f>P8/'Output-Calculation-sheet'!P7*'Output-Calculation-sheet'!P16</f>
        <v>1352.6103474274439</v>
      </c>
      <c r="Q30" s="2">
        <f>Q8/'Output-Calculation-sheet'!Q7*'Output-Calculation-sheet'!Q16</f>
        <v>1487.431581752508</v>
      </c>
      <c r="R30" s="2">
        <f>R8/'Output-Calculation-sheet'!R7*'Output-Calculation-sheet'!R16</f>
        <v>943.78065377141468</v>
      </c>
      <c r="S30" s="2">
        <f>S8/'Output-Calculation-sheet'!S7*'Output-Calculation-sheet'!S16</f>
        <v>949.16798706136149</v>
      </c>
      <c r="T30" s="2">
        <f>T8/'Output-Calculation-sheet'!T7*'Output-Calculation-sheet'!T16</f>
        <v>283.30762467185525</v>
      </c>
      <c r="U30" s="2">
        <f>U8/'Output-Calculation-sheet'!U7*'Output-Calculation-sheet'!U16</f>
        <v>282.80251232350327</v>
      </c>
      <c r="V30" s="2">
        <f>V8/'Output-Calculation-sheet'!V7*'Output-Calculation-sheet'!V16</f>
        <v>220.09886384454992</v>
      </c>
      <c r="W30" s="2">
        <f>W8/'Output-Calculation-sheet'!W7*'Output-Calculation-sheet'!W16</f>
        <v>133.50271137735663</v>
      </c>
      <c r="X30" s="2">
        <f>X8/'Output-Calculation-sheet'!X7*'Output-Calculation-sheet'!X16</f>
        <v>0</v>
      </c>
      <c r="Y30" s="2">
        <f>Y8/'Output-Calculation-sheet'!Y7*'Output-Calculation-sheet'!Y16</f>
        <v>112.99284983851646</v>
      </c>
      <c r="AA30" s="2">
        <f t="shared" si="1"/>
        <v>38.191447030866669</v>
      </c>
    </row>
    <row r="31" spans="1:27" x14ac:dyDescent="0.25">
      <c r="A31" s="2">
        <v>2032</v>
      </c>
      <c r="B31" s="2">
        <f>B9/'Output-Calculation-sheet'!B8*'Output-Calculation-sheet'!B17</f>
        <v>20164.697520459653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788.46092500832822</v>
      </c>
      <c r="O31" s="2">
        <f>O9/'Output-Calculation-sheet'!O8*'Output-Calculation-sheet'!O17</f>
        <v>0</v>
      </c>
      <c r="P31" s="2">
        <f>P9/'Output-Calculation-sheet'!P8*'Output-Calculation-sheet'!P17</f>
        <v>1970.6280129282934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652.58370122666634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46.199712756927369</v>
      </c>
    </row>
    <row r="32" spans="1:27" x14ac:dyDescent="0.25">
      <c r="A32" s="2">
        <v>2033</v>
      </c>
      <c r="B32" s="2">
        <f>B10/'Output-Calculation-sheet'!B9*'Output-Calculation-sheet'!B18</f>
        <v>14660.723848860351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2295.2306225387724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593.39560405945178</v>
      </c>
      <c r="O32" s="2">
        <f>O10/'Output-Calculation-sheet'!O9*'Output-Calculation-sheet'!O18</f>
        <v>0</v>
      </c>
      <c r="P32" s="2">
        <f>P10/'Output-Calculation-sheet'!P9*'Output-Calculation-sheet'!P18</f>
        <v>2362.2951757644537</v>
      </c>
      <c r="Q32" s="2">
        <f>Q10/'Output-Calculation-sheet'!Q9*'Output-Calculation-sheet'!Q18</f>
        <v>2187.4078416486163</v>
      </c>
      <c r="R32" s="2">
        <f>R10/'Output-Calculation-sheet'!R9*'Output-Calculation-sheet'!R18</f>
        <v>1696.3314843852422</v>
      </c>
      <c r="S32" s="2">
        <f>S10/'Output-Calculation-sheet'!S9*'Output-Calculation-sheet'!S18</f>
        <v>539.81460308312876</v>
      </c>
      <c r="T32" s="2">
        <f>T10/'Output-Calculation-sheet'!T9*'Output-Calculation-sheet'!T18</f>
        <v>495.28325096526731</v>
      </c>
      <c r="U32" s="2">
        <f>U10/'Output-Calculation-sheet'!U9*'Output-Calculation-sheet'!U18</f>
        <v>547.51927260465243</v>
      </c>
      <c r="V32" s="2">
        <f>V10/'Output-Calculation-sheet'!V9*'Output-Calculation-sheet'!V18</f>
        <v>404.10797405636185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233.99982096006264</v>
      </c>
      <c r="AA32" s="2">
        <f t="shared" si="1"/>
        <v>46.607759305636641</v>
      </c>
    </row>
    <row r="33" spans="1:27" x14ac:dyDescent="0.25">
      <c r="A33" s="2">
        <v>2034</v>
      </c>
      <c r="B33" s="2">
        <f>B11/'Output-Calculation-sheet'!B10*'Output-Calculation-sheet'!B19</f>
        <v>9100.6408466484827</v>
      </c>
      <c r="C33" s="2">
        <f>C11/'Output-Calculation-sheet'!C10*'Output-Calculation-sheet'!C19</f>
        <v>0</v>
      </c>
      <c r="D33" s="2">
        <f>D11/'Output-Calculation-sheet'!D10*'Output-Calculation-sheet'!D19</f>
        <v>6054.1126566747962</v>
      </c>
      <c r="E33" s="2">
        <f>E11/'Output-Calculation-sheet'!E10*'Output-Calculation-sheet'!E19</f>
        <v>7491.2856363713372</v>
      </c>
      <c r="F33" s="2">
        <f>F11/'Output-Calculation-sheet'!F10*'Output-Calculation-sheet'!F19</f>
        <v>3436.1527610648964</v>
      </c>
      <c r="G33" s="2">
        <f>G11/'Output-Calculation-sheet'!G10*'Output-Calculation-sheet'!G19</f>
        <v>2060.6629575187876</v>
      </c>
      <c r="H33" s="2">
        <f>H11/'Output-Calculation-sheet'!H10*'Output-Calculation-sheet'!H19</f>
        <v>0</v>
      </c>
      <c r="I33" s="2">
        <f>I11/'Output-Calculation-sheet'!I10*'Output-Calculation-sheet'!I19</f>
        <v>2248.7243256699112</v>
      </c>
      <c r="J33" s="2">
        <f>J11/'Output-Calculation-sheet'!J10*'Output-Calculation-sheet'!J19</f>
        <v>1901.388930764497</v>
      </c>
      <c r="K33" s="2">
        <f>K11/'Output-Calculation-sheet'!K10*'Output-Calculation-sheet'!K19</f>
        <v>2637.293792599788</v>
      </c>
      <c r="L33" s="2">
        <f>L11/'Output-Calculation-sheet'!L10*'Output-Calculation-sheet'!L19</f>
        <v>2145.0920523302507</v>
      </c>
      <c r="M33" s="2">
        <f>M11/'Output-Calculation-sheet'!M10*'Output-Calculation-sheet'!M19</f>
        <v>0</v>
      </c>
      <c r="N33" s="2">
        <f>N11/'Output-Calculation-sheet'!N10*'Output-Calculation-sheet'!N19</f>
        <v>407.19256806387983</v>
      </c>
      <c r="O33" s="2">
        <f>O11/'Output-Calculation-sheet'!O10*'Output-Calculation-sheet'!O19</f>
        <v>0</v>
      </c>
      <c r="P33" s="2">
        <f>P11/'Output-Calculation-sheet'!P10*'Output-Calculation-sheet'!P19</f>
        <v>2015.6695585909292</v>
      </c>
      <c r="Q33" s="2">
        <f>Q11/'Output-Calculation-sheet'!Q10*'Output-Calculation-sheet'!Q19</f>
        <v>1284.911147429955</v>
      </c>
      <c r="R33" s="2">
        <f>R11/'Output-Calculation-sheet'!R10*'Output-Calculation-sheet'!R19</f>
        <v>1905.1933318846775</v>
      </c>
      <c r="S33" s="2">
        <f>S11/'Output-Calculation-sheet'!S10*'Output-Calculation-sheet'!S19</f>
        <v>258.85193093804855</v>
      </c>
      <c r="T33" s="2">
        <f>T11/'Output-Calculation-sheet'!T10*'Output-Calculation-sheet'!T19</f>
        <v>558.97968120714222</v>
      </c>
      <c r="U33" s="2">
        <f>U11/'Output-Calculation-sheet'!U10*'Output-Calculation-sheet'!U19</f>
        <v>642.94563625310195</v>
      </c>
      <c r="V33" s="2">
        <f>V11/'Output-Calculation-sheet'!V10*'Output-Calculation-sheet'!V19</f>
        <v>438.46403722187995</v>
      </c>
      <c r="W33" s="2">
        <f>W11/'Output-Calculation-sheet'!W10*'Output-Calculation-sheet'!W19</f>
        <v>272.96777911625566</v>
      </c>
      <c r="X33" s="2">
        <f>X11/'Output-Calculation-sheet'!X10*'Output-Calculation-sheet'!X19</f>
        <v>0</v>
      </c>
      <c r="Y33" s="2">
        <f>Y11/'Output-Calculation-sheet'!Y10*'Output-Calculation-sheet'!Y19</f>
        <v>223.51525642083706</v>
      </c>
      <c r="AA33" s="2">
        <f t="shared" si="1"/>
        <v>45.084044886769462</v>
      </c>
    </row>
    <row r="34" spans="1:27" x14ac:dyDescent="0.25">
      <c r="A34" s="2">
        <v>2035</v>
      </c>
      <c r="B34" s="2">
        <f>B12/'Output-Calculation-sheet'!B11*'Output-Calculation-sheet'!B20</f>
        <v>112.15922032645223</v>
      </c>
      <c r="C34" s="2">
        <f>C12/'Output-Calculation-sheet'!C11*'Output-Calculation-sheet'!C20</f>
        <v>0</v>
      </c>
      <c r="D34" s="2">
        <f>D12/'Output-Calculation-sheet'!D11*'Output-Calculation-sheet'!D20</f>
        <v>4995.5316542966702</v>
      </c>
      <c r="E34" s="2">
        <f>E12/'Output-Calculation-sheet'!E11*'Output-Calculation-sheet'!E20</f>
        <v>2948.5276984833445</v>
      </c>
      <c r="F34" s="2">
        <f>F12/'Output-Calculation-sheet'!F11*'Output-Calculation-sheet'!F20</f>
        <v>3411.8889541634571</v>
      </c>
      <c r="G34" s="2">
        <f>G12/'Output-Calculation-sheet'!G11*'Output-Calculation-sheet'!G20</f>
        <v>1839.9452088522373</v>
      </c>
      <c r="H34" s="2">
        <f>H12/'Output-Calculation-sheet'!H11*'Output-Calculation-sheet'!H20</f>
        <v>0</v>
      </c>
      <c r="I34" s="2">
        <f>I12/'Output-Calculation-sheet'!I11*'Output-Calculation-sheet'!I20</f>
        <v>2003.1390054893918</v>
      </c>
      <c r="J34" s="2">
        <f>J12/'Output-Calculation-sheet'!J11*'Output-Calculation-sheet'!J20</f>
        <v>1716.8015784502663</v>
      </c>
      <c r="K34" s="2">
        <f>K12/'Output-Calculation-sheet'!K11*'Output-Calculation-sheet'!K20</f>
        <v>2257.2077342669936</v>
      </c>
      <c r="L34" s="2">
        <f>L12/'Output-Calculation-sheet'!L11*'Output-Calculation-sheet'!L20</f>
        <v>1783.3348231406876</v>
      </c>
      <c r="M34" s="2">
        <f>M12/'Output-Calculation-sheet'!M11*'Output-Calculation-sheet'!M20</f>
        <v>0</v>
      </c>
      <c r="N34" s="2">
        <f>N12/'Output-Calculation-sheet'!N11*'Output-Calculation-sheet'!N20</f>
        <v>0.34408108512439717</v>
      </c>
      <c r="O34" s="2">
        <f>O12/'Output-Calculation-sheet'!O11*'Output-Calculation-sheet'!O20</f>
        <v>0</v>
      </c>
      <c r="P34" s="2">
        <f>P12/'Output-Calculation-sheet'!P11*'Output-Calculation-sheet'!P20</f>
        <v>561.84174689909662</v>
      </c>
      <c r="Q34" s="2">
        <f>Q12/'Output-Calculation-sheet'!Q11*'Output-Calculation-sheet'!Q20</f>
        <v>874.80330381541035</v>
      </c>
      <c r="R34" s="2">
        <f>R12/'Output-Calculation-sheet'!R11*'Output-Calculation-sheet'!R20</f>
        <v>1772.5134917640007</v>
      </c>
      <c r="S34" s="2">
        <f>S12/'Output-Calculation-sheet'!S11*'Output-Calculation-sheet'!S20</f>
        <v>3.6509596916169738</v>
      </c>
      <c r="T34" s="2">
        <f>T12/'Output-Calculation-sheet'!T11*'Output-Calculation-sheet'!T20</f>
        <v>553.90314074368098</v>
      </c>
      <c r="U34" s="2">
        <f>U12/'Output-Calculation-sheet'!U11*'Output-Calculation-sheet'!U20</f>
        <v>506.40187926588499</v>
      </c>
      <c r="V34" s="2">
        <f>V12/'Output-Calculation-sheet'!V11*'Output-Calculation-sheet'!V20</f>
        <v>463.92998410583613</v>
      </c>
      <c r="W34" s="2">
        <f>W12/'Output-Calculation-sheet'!W11*'Output-Calculation-sheet'!W20</f>
        <v>299.73896517938721</v>
      </c>
      <c r="X34" s="2">
        <f>X12/'Output-Calculation-sheet'!X11*'Output-Calculation-sheet'!X20</f>
        <v>0</v>
      </c>
      <c r="Y34" s="2">
        <f>Y12/'Output-Calculation-sheet'!Y11*'Output-Calculation-sheet'!Y20</f>
        <v>74.624451466276042</v>
      </c>
      <c r="AA34" s="2">
        <f t="shared" si="1"/>
        <v>26.180287881485821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7.4480987459751569E-2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7.4659755917221252E-2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1.0881949677740714E-2</v>
      </c>
      <c r="I45" s="2">
        <f>I12/'Output-Calculation-sheet'!I11*'Output-Calculation-sheet'!I38*0.0114</f>
        <v>4.0414152807641289E-2</v>
      </c>
      <c r="J45" s="2">
        <f>J12/'Output-Calculation-sheet'!J11*'Output-Calculation-sheet'!J38*0.0114</f>
        <v>2.9997467956423617E-2</v>
      </c>
      <c r="K45" s="2">
        <f>K12/'Output-Calculation-sheet'!K11*'Output-Calculation-sheet'!K38*0.0114</f>
        <v>4.9650849011318846E-2</v>
      </c>
      <c r="L45" s="2">
        <f>L12/'Output-Calculation-sheet'!L11*'Output-Calculation-sheet'!L38*0.0114</f>
        <v>3.1584055555272383E-2</v>
      </c>
      <c r="M45" s="2">
        <f>M12/'Output-Calculation-sheet'!M11*'Output-Calculation-sheet'!M38*0.0114</f>
        <v>7.4878404044377983E-3</v>
      </c>
      <c r="N45" s="2">
        <f>N12/'Output-Calculation-sheet'!N11*'Output-Calculation-sheet'!N38*0.0114</f>
        <v>7.3593327775199387E-3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6.7987308121752041E-3</v>
      </c>
      <c r="Q45" s="2">
        <f>Q12/'Output-Calculation-sheet'!Q11*'Output-Calculation-sheet'!Q38*0.0114</f>
        <v>5.1583218176870282E-2</v>
      </c>
      <c r="R45" s="2">
        <f>R12/'Output-Calculation-sheet'!R11*'Output-Calculation-sheet'!R38*0.0114</f>
        <v>2.5577241480231612E-2</v>
      </c>
      <c r="S45" s="2">
        <f>S12/'Output-Calculation-sheet'!S11*'Output-Calculation-sheet'!S38*0.0114</f>
        <v>4.2186236047469594E-3</v>
      </c>
      <c r="T45" s="2">
        <f>T12/'Output-Calculation-sheet'!T11*'Output-Calculation-sheet'!T38*0.0114</f>
        <v>7.0969618731907816E-3</v>
      </c>
      <c r="U45" s="2">
        <f>U12/'Output-Calculation-sheet'!U11*'Output-Calculation-sheet'!U38*0.0114</f>
        <v>1.0286342593205626E-2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2.3780918101059369E-3</v>
      </c>
      <c r="AA45" s="2">
        <f t="shared" si="2"/>
        <v>0.70034825266531198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0.1285692688107373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1715.932630449727</v>
      </c>
      <c r="Q54" s="2">
        <f>Q10/'Output-Calculation-sheet'!Q9*'Output-Calculation-sheet'!Q45</f>
        <v>150.39832146955382</v>
      </c>
      <c r="R54" s="2">
        <f>R10/'Output-Calculation-sheet'!R9*'Output-Calculation-sheet'!R45</f>
        <v>1125.8783136150914</v>
      </c>
      <c r="S54" s="2">
        <f>S10/'Output-Calculation-sheet'!S9*'Output-Calculation-sheet'!S45</f>
        <v>0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14.033274146285919</v>
      </c>
      <c r="AA54" s="2">
        <f t="shared" si="3"/>
        <v>3.7047289841057531</v>
      </c>
    </row>
    <row r="55" spans="1:27" x14ac:dyDescent="0.25">
      <c r="A55" s="2">
        <v>2034</v>
      </c>
      <c r="B55" s="2">
        <f>B11/'Output-Calculation-sheet'!B10*'Output-Calculation-sheet'!B46</f>
        <v>1189.6148507485091</v>
      </c>
      <c r="C55" s="2">
        <f>C11/'Output-Calculation-sheet'!C10*'Output-Calculation-sheet'!C46</f>
        <v>0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405.55004117051305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2498.5617589225021</v>
      </c>
      <c r="L55" s="2">
        <f>L11/'Output-Calculation-sheet'!L10*'Output-Calculation-sheet'!L46</f>
        <v>924.00705727615502</v>
      </c>
      <c r="M55" s="2">
        <f>M11/'Output-Calculation-sheet'!M10*'Output-Calculation-sheet'!M46</f>
        <v>300.58521968779769</v>
      </c>
      <c r="N55" s="2">
        <f>N11/'Output-Calculation-sheet'!N10*'Output-Calculation-sheet'!N46</f>
        <v>102.65483975306952</v>
      </c>
      <c r="O55" s="2">
        <f>O11/'Output-Calculation-sheet'!O10*'Output-Calculation-sheet'!O46</f>
        <v>0</v>
      </c>
      <c r="P55" s="2">
        <f>P11/'Output-Calculation-sheet'!P10*'Output-Calculation-sheet'!P46</f>
        <v>2232.6050757126113</v>
      </c>
      <c r="Q55" s="2">
        <f>Q11/'Output-Calculation-sheet'!Q10*'Output-Calculation-sheet'!Q46</f>
        <v>478.54294371386408</v>
      </c>
      <c r="R55" s="2">
        <f>R11/'Output-Calculation-sheet'!R10*'Output-Calculation-sheet'!R46</f>
        <v>2767.7314876495489</v>
      </c>
      <c r="S55" s="2">
        <f>S11/'Output-Calculation-sheet'!S10*'Output-Calculation-sheet'!S46</f>
        <v>0</v>
      </c>
      <c r="T55" s="2">
        <f>T11/'Output-Calculation-sheet'!T10*'Output-Calculation-sheet'!T46</f>
        <v>626.71672628268516</v>
      </c>
      <c r="U55" s="2">
        <f>U11/'Output-Calculation-sheet'!U10*'Output-Calculation-sheet'!U46</f>
        <v>1050.8249869102606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28.688971340638595</v>
      </c>
      <c r="Y55" s="2">
        <f>Y11/'Output-Calculation-sheet'!Y10*'Output-Calculation-sheet'!Y46</f>
        <v>199.53750015251038</v>
      </c>
      <c r="AA55" s="2">
        <f t="shared" si="3"/>
        <v>29.869854901003432</v>
      </c>
    </row>
    <row r="56" spans="1:27" x14ac:dyDescent="0.25">
      <c r="A56" s="2">
        <v>2035</v>
      </c>
      <c r="B56" s="2">
        <f>B12/'Output-Calculation-sheet'!B11*'Output-Calculation-sheet'!B47</f>
        <v>267.87021805700124</v>
      </c>
      <c r="C56" s="2">
        <f>C12/'Output-Calculation-sheet'!C11*'Output-Calculation-sheet'!C47</f>
        <v>210.86203831394729</v>
      </c>
      <c r="D56" s="2">
        <f>D12/'Output-Calculation-sheet'!D11*'Output-Calculation-sheet'!D47</f>
        <v>4872.9524529368582</v>
      </c>
      <c r="E56" s="2">
        <f>E12/'Output-Calculation-sheet'!E11*'Output-Calculation-sheet'!E47</f>
        <v>5935.6688987989637</v>
      </c>
      <c r="F56" s="2">
        <f>F12/'Output-Calculation-sheet'!F11*'Output-Calculation-sheet'!F47</f>
        <v>1547.3462879863796</v>
      </c>
      <c r="G56" s="2">
        <f>G12/'Output-Calculation-sheet'!G11*'Output-Calculation-sheet'!G47</f>
        <v>3819.2762647923132</v>
      </c>
      <c r="H56" s="2">
        <f>H12/'Output-Calculation-sheet'!H11*'Output-Calculation-sheet'!H47</f>
        <v>79.228230109866601</v>
      </c>
      <c r="I56" s="2">
        <f>I12/'Output-Calculation-sheet'!I11*'Output-Calculation-sheet'!I47</f>
        <v>1907.2644044307906</v>
      </c>
      <c r="J56" s="2">
        <f>J12/'Output-Calculation-sheet'!J11*'Output-Calculation-sheet'!J47</f>
        <v>1741.0811079971015</v>
      </c>
      <c r="K56" s="2">
        <f>K12/'Output-Calculation-sheet'!K11*'Output-Calculation-sheet'!K47</f>
        <v>2481.6713830394274</v>
      </c>
      <c r="L56" s="2">
        <f>L12/'Output-Calculation-sheet'!L11*'Output-Calculation-sheet'!L47</f>
        <v>1379.0318993541077</v>
      </c>
      <c r="M56" s="2">
        <f>M12/'Output-Calculation-sheet'!M11*'Output-Calculation-sheet'!M47</f>
        <v>55.173560874804828</v>
      </c>
      <c r="N56" s="2">
        <f>N12/'Output-Calculation-sheet'!N11*'Output-Calculation-sheet'!N47</f>
        <v>50.998885037199578</v>
      </c>
      <c r="O56" s="2">
        <f>O12/'Output-Calculation-sheet'!O11*'Output-Calculation-sheet'!O47</f>
        <v>7.2290534346369881</v>
      </c>
      <c r="P56" s="2">
        <f>P12/'Output-Calculation-sheet'!P11*'Output-Calculation-sheet'!P47</f>
        <v>730.56537236093197</v>
      </c>
      <c r="Q56" s="2">
        <f>Q12/'Output-Calculation-sheet'!Q11*'Output-Calculation-sheet'!Q47</f>
        <v>650.44628183553527</v>
      </c>
      <c r="R56" s="2">
        <f>R12/'Output-Calculation-sheet'!R11*'Output-Calculation-sheet'!R47</f>
        <v>2939.7000569713568</v>
      </c>
      <c r="S56" s="2">
        <f>S12/'Output-Calculation-sheet'!S11*'Output-Calculation-sheet'!S47</f>
        <v>23.313446236759511</v>
      </c>
      <c r="T56" s="2">
        <f>T12/'Output-Calculation-sheet'!T11*'Output-Calculation-sheet'!T47</f>
        <v>1036.1149307848414</v>
      </c>
      <c r="U56" s="2">
        <f>U12/'Output-Calculation-sheet'!U11*'Output-Calculation-sheet'!U47</f>
        <v>988.75212400304599</v>
      </c>
      <c r="V56" s="2">
        <f>V12/'Output-Calculation-sheet'!V11*'Output-Calculation-sheet'!V47</f>
        <v>690.19433276552729</v>
      </c>
      <c r="W56" s="2">
        <f>W12/'Output-Calculation-sheet'!W11*'Output-Calculation-sheet'!W47</f>
        <v>401.37279978828013</v>
      </c>
      <c r="X56" s="2">
        <f>X12/'Output-Calculation-sheet'!X11*'Output-Calculation-sheet'!X47</f>
        <v>6.1967651982710468</v>
      </c>
      <c r="Y56" s="2">
        <f>Y12/'Output-Calculation-sheet'!Y11*'Output-Calculation-sheet'!Y47</f>
        <v>160.48642975802639</v>
      </c>
      <c r="AA56" s="2">
        <f t="shared" si="3"/>
        <v>31.98279722486598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6.8754498658501078</v>
      </c>
      <c r="C63" s="2">
        <f>C8*'Output-Calculation-sheet'!C52/10^9</f>
        <v>3.2396078515631128</v>
      </c>
      <c r="D63" s="2">
        <f>D8*'Output-Calculation-sheet'!D52/10^9</f>
        <v>1.6098223014557782</v>
      </c>
      <c r="E63" s="2">
        <f>E8*'Output-Calculation-sheet'!E52/10^9</f>
        <v>1.841707672466361</v>
      </c>
      <c r="F63" s="2">
        <f>F8*'Output-Calculation-sheet'!F52/10^9</f>
        <v>0.8608800214754232</v>
      </c>
      <c r="G63" s="2">
        <f>G8*'Output-Calculation-sheet'!G52/10^9</f>
        <v>0.6566497357752098</v>
      </c>
      <c r="H63" s="2">
        <f>H8*'Output-Calculation-sheet'!H52/10^9</f>
        <v>0.89353011394086934</v>
      </c>
      <c r="I63" s="2">
        <f>I8*'Output-Calculation-sheet'!I52/10^9</f>
        <v>0.51870965597098972</v>
      </c>
      <c r="J63" s="2">
        <f>J8*'Output-Calculation-sheet'!J52/10^9</f>
        <v>0.73328314309607312</v>
      </c>
      <c r="K63" s="2">
        <f>K8*'Output-Calculation-sheet'!K52/10^9</f>
        <v>0.48136437806940063</v>
      </c>
      <c r="L63" s="2">
        <f>L8*'Output-Calculation-sheet'!L52/10^9</f>
        <v>0.56991569957673094</v>
      </c>
      <c r="M63" s="2">
        <f>M8*'Output-Calculation-sheet'!M52/10^9</f>
        <v>0.65618069888431563</v>
      </c>
      <c r="N63" s="2">
        <f>N8*'Output-Calculation-sheet'!N52/10^9</f>
        <v>0.56742772065300418</v>
      </c>
      <c r="O63" s="2">
        <f>O8*'Output-Calculation-sheet'!O52/10^9</f>
        <v>0.58016055127235777</v>
      </c>
      <c r="P63" s="2">
        <f>P8*'Output-Calculation-sheet'!P52/10^9</f>
        <v>0.4895558653626228</v>
      </c>
      <c r="Q63" s="2">
        <f>Q8*'Output-Calculation-sheet'!Q52/10^9</f>
        <v>0.45664912111960515</v>
      </c>
      <c r="R63" s="2">
        <f>R8*'Output-Calculation-sheet'!R52/10^9</f>
        <v>0.41361747038525887</v>
      </c>
      <c r="S63" s="2">
        <f>S8*'Output-Calculation-sheet'!S52/10^9</f>
        <v>0.35093903933718462</v>
      </c>
      <c r="T63" s="2">
        <f>T8*'Output-Calculation-sheet'!T52/10^9</f>
        <v>0.1679951334014638</v>
      </c>
      <c r="U63" s="2">
        <f>U8*'Output-Calculation-sheet'!U52/10^9</f>
        <v>0.13101095189511294</v>
      </c>
      <c r="V63" s="2">
        <f>V8*'Output-Calculation-sheet'!V52/10^9</f>
        <v>0.21691505623987051</v>
      </c>
      <c r="W63" s="2">
        <f>W8*'Output-Calculation-sheet'!W52/10^9</f>
        <v>9.1027414295821493E-2</v>
      </c>
      <c r="X63" s="2">
        <f>X8*'Output-Calculation-sheet'!X52/10^9</f>
        <v>8.5323272942776168E-2</v>
      </c>
      <c r="Y63" s="2">
        <f>Y8*'Output-Calculation-sheet'!Y52/10^9</f>
        <v>5.2564947981022431E-2</v>
      </c>
      <c r="AA63" s="2">
        <f t="shared" si="4"/>
        <v>22.540287683010476</v>
      </c>
    </row>
    <row r="64" spans="1:27" x14ac:dyDescent="0.25">
      <c r="A64" s="2">
        <v>2032</v>
      </c>
      <c r="B64" s="2">
        <f>B9*'Output-Calculation-sheet'!B53/10^9</f>
        <v>6.7472261437182892</v>
      </c>
      <c r="C64" s="2">
        <f>C9*'Output-Calculation-sheet'!C53/10^9</f>
        <v>3.2434044078936819</v>
      </c>
      <c r="D64" s="2">
        <f>D9*'Output-Calculation-sheet'!D53/10^9</f>
        <v>1.4179288808702426</v>
      </c>
      <c r="E64" s="2">
        <f>E9*'Output-Calculation-sheet'!E53/10^9</f>
        <v>1.6555977913010609</v>
      </c>
      <c r="F64" s="2">
        <f>F9*'Output-Calculation-sheet'!F53/10^9</f>
        <v>0.75972588957942355</v>
      </c>
      <c r="G64" s="2">
        <f>G9*'Output-Calculation-sheet'!G53/10^9</f>
        <v>0.56885133286782097</v>
      </c>
      <c r="H64" s="2">
        <f>H9*'Output-Calculation-sheet'!H53/10^9</f>
        <v>0.91697785886861949</v>
      </c>
      <c r="I64" s="2">
        <f>I9*'Output-Calculation-sheet'!I53/10^9</f>
        <v>0.46129941118790563</v>
      </c>
      <c r="J64" s="2">
        <f>J9*'Output-Calculation-sheet'!J53/10^9</f>
        <v>0.61916220207859862</v>
      </c>
      <c r="K64" s="2">
        <f>K9*'Output-Calculation-sheet'!K53/10^9</f>
        <v>0.4570802224690888</v>
      </c>
      <c r="L64" s="2">
        <f>L9*'Output-Calculation-sheet'!L53/10^9</f>
        <v>0.51315074771156233</v>
      </c>
      <c r="M64" s="2">
        <f>M9*'Output-Calculation-sheet'!M53/10^9</f>
        <v>0.66341026193781427</v>
      </c>
      <c r="N64" s="2">
        <f>N9*'Output-Calculation-sheet'!N53/10^9</f>
        <v>0.59279607195245232</v>
      </c>
      <c r="O64" s="2">
        <f>O9*'Output-Calculation-sheet'!O53/10^9</f>
        <v>0.59252182168969003</v>
      </c>
      <c r="P64" s="2">
        <f>P9*'Output-Calculation-sheet'!P53/10^9</f>
        <v>0.48773120065312736</v>
      </c>
      <c r="Q64" s="2">
        <f>Q9*'Output-Calculation-sheet'!Q53/10^9</f>
        <v>0.46262507398082198</v>
      </c>
      <c r="R64" s="2">
        <f>R9*'Output-Calculation-sheet'!R53/10^9</f>
        <v>0.39356405733452637</v>
      </c>
      <c r="S64" s="2">
        <f>S9*'Output-Calculation-sheet'!S53/10^9</f>
        <v>0.35881191455565026</v>
      </c>
      <c r="T64" s="2">
        <f>T9*'Output-Calculation-sheet'!T53/10^9</f>
        <v>0.1471217098129545</v>
      </c>
      <c r="U64" s="2">
        <f>U9*'Output-Calculation-sheet'!U53/10^9</f>
        <v>0.12534691476455076</v>
      </c>
      <c r="V64" s="2">
        <f>V9*'Output-Calculation-sheet'!V53/10^9</f>
        <v>0.18268866909352138</v>
      </c>
      <c r="W64" s="2">
        <f>W9*'Output-Calculation-sheet'!W53/10^9</f>
        <v>7.7867993723620965E-2</v>
      </c>
      <c r="X64" s="2">
        <f>X9*'Output-Calculation-sheet'!X53/10^9</f>
        <v>8.3288507562889927E-2</v>
      </c>
      <c r="Y64" s="2">
        <f>Y9*'Output-Calculation-sheet'!Y53/10^9</f>
        <v>4.9528402558277146E-2</v>
      </c>
      <c r="AA64" s="2">
        <f t="shared" si="4"/>
        <v>21.577707488166194</v>
      </c>
    </row>
    <row r="65" spans="1:27" x14ac:dyDescent="0.25">
      <c r="A65" s="2">
        <v>2033</v>
      </c>
      <c r="B65" s="2">
        <f>B10*'Output-Calculation-sheet'!B54/10^9</f>
        <v>6.2831727818407508</v>
      </c>
      <c r="C65" s="2">
        <f>C10*'Output-Calculation-sheet'!C54/10^9</f>
        <v>3.0344339716317172</v>
      </c>
      <c r="D65" s="2">
        <f>D10*'Output-Calculation-sheet'!D54/10^9</f>
        <v>1.1508040590504167</v>
      </c>
      <c r="E65" s="2">
        <f>E10*'Output-Calculation-sheet'!E54/10^9</f>
        <v>1.4655642034802683</v>
      </c>
      <c r="F65" s="2">
        <f>F10*'Output-Calculation-sheet'!F54/10^9</f>
        <v>0.6297648655723137</v>
      </c>
      <c r="G65" s="2">
        <f>G10*'Output-Calculation-sheet'!G54/10^9</f>
        <v>0.44836208283919371</v>
      </c>
      <c r="H65" s="2">
        <f>H10*'Output-Calculation-sheet'!H54/10^9</f>
        <v>0.88869013196711277</v>
      </c>
      <c r="I65" s="2">
        <f>I10*'Output-Calculation-sheet'!I54/10^9</f>
        <v>0.39311996146452188</v>
      </c>
      <c r="J65" s="2">
        <f>J10*'Output-Calculation-sheet'!J54/10^9</f>
        <v>0.46512275905344991</v>
      </c>
      <c r="K65" s="2">
        <f>K10*'Output-Calculation-sheet'!K54/10^9</f>
        <v>0.43526977262885713</v>
      </c>
      <c r="L65" s="2">
        <f>L10*'Output-Calculation-sheet'!L54/10^9</f>
        <v>0.44887486000395477</v>
      </c>
      <c r="M65" s="2">
        <f>M10*'Output-Calculation-sheet'!M54/10^9</f>
        <v>0.6324095678783801</v>
      </c>
      <c r="N65" s="2">
        <f>N10*'Output-Calculation-sheet'!N54/10^9</f>
        <v>0.58014229724939903</v>
      </c>
      <c r="O65" s="2">
        <f>O10*'Output-Calculation-sheet'!O54/10^9</f>
        <v>0.56663714871693982</v>
      </c>
      <c r="P65" s="2">
        <f>P10*'Output-Calculation-sheet'!P54/10^9</f>
        <v>0.47087211545113289</v>
      </c>
      <c r="Q65" s="2">
        <f>Q10*'Output-Calculation-sheet'!Q54/10^9</f>
        <v>0.46368989030802077</v>
      </c>
      <c r="R65" s="2">
        <f>R10*'Output-Calculation-sheet'!R54/10^9</f>
        <v>0.36835567208453096</v>
      </c>
      <c r="S65" s="2">
        <f>S10*'Output-Calculation-sheet'!S54/10^9</f>
        <v>0.34380129514602775</v>
      </c>
      <c r="T65" s="2">
        <f>T10*'Output-Calculation-sheet'!T54/10^9</f>
        <v>0.12474240916906951</v>
      </c>
      <c r="U65" s="2">
        <f>U10*'Output-Calculation-sheet'!U54/10^9</f>
        <v>0.11980572718077533</v>
      </c>
      <c r="V65" s="2">
        <f>V10*'Output-Calculation-sheet'!V54/10^9</f>
        <v>0.14116207401721181</v>
      </c>
      <c r="W65" s="2">
        <f>W10*'Output-Calculation-sheet'!W54/10^9</f>
        <v>6.0328733079201058E-2</v>
      </c>
      <c r="X65" s="2">
        <f>X10*'Output-Calculation-sheet'!X54/10^9</f>
        <v>7.5547810460188131E-2</v>
      </c>
      <c r="Y65" s="2">
        <f>Y10*'Output-Calculation-sheet'!Y54/10^9</f>
        <v>4.6804001602627585E-2</v>
      </c>
      <c r="AA65" s="2">
        <f t="shared" si="4"/>
        <v>19.63747819187607</v>
      </c>
    </row>
    <row r="66" spans="1:27" x14ac:dyDescent="0.25">
      <c r="A66" s="2">
        <v>2034</v>
      </c>
      <c r="B66" s="2">
        <f>B11*'Output-Calculation-sheet'!B55/10^9</f>
        <v>5.4970861697350069</v>
      </c>
      <c r="C66" s="2">
        <f>C11*'Output-Calculation-sheet'!C55/10^9</f>
        <v>2.6697333588811856</v>
      </c>
      <c r="D66" s="2">
        <f>D11*'Output-Calculation-sheet'!D55/10^9</f>
        <v>1.0735400008588512</v>
      </c>
      <c r="E66" s="2">
        <f>E11*'Output-Calculation-sheet'!E55/10^9</f>
        <v>1.3904484586519397</v>
      </c>
      <c r="F66" s="2">
        <f>F11*'Output-Calculation-sheet'!F55/10^9</f>
        <v>0.54724873553282305</v>
      </c>
      <c r="G66" s="2">
        <f>G11*'Output-Calculation-sheet'!G55/10^9</f>
        <v>0.39919380694386714</v>
      </c>
      <c r="H66" s="2">
        <f>H11*'Output-Calculation-sheet'!H55/10^9</f>
        <v>0.80252724062751746</v>
      </c>
      <c r="I66" s="2">
        <f>I11*'Output-Calculation-sheet'!I55/10^9</f>
        <v>0.37109819746437606</v>
      </c>
      <c r="J66" s="2">
        <f>J11*'Output-Calculation-sheet'!J55/10^9</f>
        <v>0.37362400437935278</v>
      </c>
      <c r="K66" s="2">
        <f>K11*'Output-Calculation-sheet'!K55/10^9</f>
        <v>0.42543173461272599</v>
      </c>
      <c r="L66" s="2">
        <f>L11*'Output-Calculation-sheet'!L55/10^9</f>
        <v>0.41244201689787824</v>
      </c>
      <c r="M66" s="2">
        <f>M11*'Output-Calculation-sheet'!M55/10^9</f>
        <v>0.56267136712710419</v>
      </c>
      <c r="N66" s="2">
        <f>N11*'Output-Calculation-sheet'!N55/10^9</f>
        <v>0.53336284657265831</v>
      </c>
      <c r="O66" s="2">
        <f>O11*'Output-Calculation-sheet'!O55/10^9</f>
        <v>0.50737639246868416</v>
      </c>
      <c r="P66" s="2">
        <f>P11*'Output-Calculation-sheet'!P55/10^9</f>
        <v>0.44100917111202131</v>
      </c>
      <c r="Q66" s="2">
        <f>Q11*'Output-Calculation-sheet'!Q55/10^9</f>
        <v>0.44406326536688728</v>
      </c>
      <c r="R66" s="2">
        <f>R11*'Output-Calculation-sheet'!R55/10^9</f>
        <v>0.33865650822089066</v>
      </c>
      <c r="S66" s="2">
        <f>S11*'Output-Calculation-sheet'!S55/10^9</f>
        <v>0.30976337224168504</v>
      </c>
      <c r="T66" s="2">
        <f>T11*'Output-Calculation-sheet'!T55/10^9</f>
        <v>0.10611238945989615</v>
      </c>
      <c r="U66" s="2">
        <f>U11*'Output-Calculation-sheet'!U55/10^9</f>
        <v>0.11548756342234036</v>
      </c>
      <c r="V66" s="2">
        <f>V11*'Output-Calculation-sheet'!V55/10^9</f>
        <v>0.10027890350210757</v>
      </c>
      <c r="W66" s="2">
        <f>W11*'Output-Calculation-sheet'!W55/10^9</f>
        <v>4.9130013046514071E-2</v>
      </c>
      <c r="X66" s="2">
        <f>X11*'Output-Calculation-sheet'!X55/10^9</f>
        <v>6.4366880115429917E-2</v>
      </c>
      <c r="Y66" s="2">
        <f>Y11*'Output-Calculation-sheet'!Y55/10^9</f>
        <v>4.6958143924856102E-2</v>
      </c>
      <c r="AA66" s="2">
        <f t="shared" si="4"/>
        <v>17.581610541166597</v>
      </c>
    </row>
    <row r="67" spans="1:27" x14ac:dyDescent="0.25">
      <c r="A67" s="2">
        <v>2035</v>
      </c>
      <c r="B67" s="2">
        <f>B12*'Output-Calculation-sheet'!B56/10^9</f>
        <v>4.6223138986359524</v>
      </c>
      <c r="C67" s="2">
        <f>C12*'Output-Calculation-sheet'!C56/10^9</f>
        <v>2.1621751753195024</v>
      </c>
      <c r="D67" s="2">
        <f>D12*'Output-Calculation-sheet'!D56/10^9</f>
        <v>1.0607317025916376</v>
      </c>
      <c r="E67" s="2">
        <f>E12*'Output-Calculation-sheet'!E56/10^9</f>
        <v>1.4250419409713635</v>
      </c>
      <c r="F67" s="2">
        <f>F12*'Output-Calculation-sheet'!F56/10^9</f>
        <v>0.56952036492776381</v>
      </c>
      <c r="G67" s="2">
        <f>G12*'Output-Calculation-sheet'!G56/10^9</f>
        <v>0.41960319252886918</v>
      </c>
      <c r="H67" s="2">
        <f>H12*'Output-Calculation-sheet'!H56/10^9</f>
        <v>0.68074418737805853</v>
      </c>
      <c r="I67" s="2">
        <f>I12*'Output-Calculation-sheet'!I56/10^9</f>
        <v>0.38449887397533206</v>
      </c>
      <c r="J67" s="2">
        <f>J12*'Output-Calculation-sheet'!J56/10^9</f>
        <v>0.35207350617706296</v>
      </c>
      <c r="K67" s="2">
        <f>K12*'Output-Calculation-sheet'!K56/10^9</f>
        <v>0.42170709223238168</v>
      </c>
      <c r="L67" s="2">
        <f>L12*'Output-Calculation-sheet'!L56/10^9</f>
        <v>0.39303160740777393</v>
      </c>
      <c r="M67" s="2">
        <f>M12*'Output-Calculation-sheet'!M56/10^9</f>
        <v>0.47209497122798844</v>
      </c>
      <c r="N67" s="2">
        <f>N12*'Output-Calculation-sheet'!N56/10^9</f>
        <v>0.46038428367172796</v>
      </c>
      <c r="O67" s="2">
        <f>O12*'Output-Calculation-sheet'!O56/10^9</f>
        <v>0.41990218837657373</v>
      </c>
      <c r="P67" s="2">
        <f>P12*'Output-Calculation-sheet'!P56/10^9</f>
        <v>0.40765313718930268</v>
      </c>
      <c r="Q67" s="2">
        <f>Q12*'Output-Calculation-sheet'!Q56/10^9</f>
        <v>0.40386616918683821</v>
      </c>
      <c r="R67" s="2">
        <f>R12*'Output-Calculation-sheet'!R56/10^9</f>
        <v>0.32468919969128324</v>
      </c>
      <c r="S67" s="2">
        <f>S12*'Output-Calculation-sheet'!S56/10^9</f>
        <v>0.26421910421113964</v>
      </c>
      <c r="T67" s="2">
        <f>T12*'Output-Calculation-sheet'!T56/10^9</f>
        <v>0.10104205416638466</v>
      </c>
      <c r="U67" s="2">
        <f>U12*'Output-Calculation-sheet'!U56/10^9</f>
        <v>0.10923159207102416</v>
      </c>
      <c r="V67" s="2">
        <f>V12*'Output-Calculation-sheet'!V56/10^9</f>
        <v>7.7925703399104276E-2</v>
      </c>
      <c r="W67" s="2">
        <f>W12*'Output-Calculation-sheet'!W56/10^9</f>
        <v>5.2895821408848069E-2</v>
      </c>
      <c r="X67" s="2">
        <f>X12*'Output-Calculation-sheet'!X56/10^9</f>
        <v>5.0628673929859848E-2</v>
      </c>
      <c r="Y67" s="2">
        <f>Y12*'Output-Calculation-sheet'!Y56/10^9</f>
        <v>4.7073821995952593E-2</v>
      </c>
      <c r="AA67" s="2">
        <f t="shared" si="4"/>
        <v>15.683048262671727</v>
      </c>
    </row>
    <row r="68" spans="1:27" x14ac:dyDescent="0.25">
      <c r="B68" s="2">
        <f>SUM(B60:B67)</f>
        <v>30.025248859780106</v>
      </c>
      <c r="C68" s="2">
        <f t="shared" ref="C68:Y68" si="5">SUM(C60:C67)</f>
        <v>14.349354765289199</v>
      </c>
      <c r="D68" s="2">
        <f t="shared" si="5"/>
        <v>6.3128269448269263</v>
      </c>
      <c r="E68" s="2">
        <f t="shared" si="5"/>
        <v>7.7783600668709925</v>
      </c>
      <c r="F68" s="2">
        <f t="shared" si="5"/>
        <v>3.3671398770877476</v>
      </c>
      <c r="G68" s="2">
        <f t="shared" si="5"/>
        <v>2.4926601509549609</v>
      </c>
      <c r="H68" s="2">
        <f t="shared" si="5"/>
        <v>4.1824695327821777</v>
      </c>
      <c r="I68" s="2">
        <f t="shared" si="5"/>
        <v>2.1287261000631252</v>
      </c>
      <c r="J68" s="2">
        <f t="shared" si="5"/>
        <v>2.5432656147845374</v>
      </c>
      <c r="K68" s="2">
        <f t="shared" si="5"/>
        <v>2.2208532000124541</v>
      </c>
      <c r="L68" s="2">
        <f t="shared" si="5"/>
        <v>2.3374149315979</v>
      </c>
      <c r="M68" s="2">
        <f t="shared" si="5"/>
        <v>2.9867668670556027</v>
      </c>
      <c r="N68" s="2">
        <f t="shared" si="5"/>
        <v>2.7341132200992417</v>
      </c>
      <c r="O68" s="2">
        <f t="shared" si="5"/>
        <v>2.6665981025242456</v>
      </c>
      <c r="P68" s="2">
        <f t="shared" si="5"/>
        <v>2.2968214897682073</v>
      </c>
      <c r="Q68" s="2">
        <f t="shared" si="5"/>
        <v>2.2308935199621733</v>
      </c>
      <c r="R68" s="2">
        <f t="shared" si="5"/>
        <v>1.8388829077164903</v>
      </c>
      <c r="S68" s="2">
        <f t="shared" si="5"/>
        <v>1.6275347254916874</v>
      </c>
      <c r="T68" s="2">
        <f t="shared" si="5"/>
        <v>0.64701369600976866</v>
      </c>
      <c r="U68" s="2">
        <f t="shared" si="5"/>
        <v>0.60088274933380348</v>
      </c>
      <c r="V68" s="2">
        <f t="shared" si="5"/>
        <v>0.71897040625181552</v>
      </c>
      <c r="W68" s="2">
        <f t="shared" si="5"/>
        <v>0.3312499755540057</v>
      </c>
      <c r="X68" s="2">
        <f t="shared" si="5"/>
        <v>0.35915514501114404</v>
      </c>
      <c r="Y68" s="2">
        <f t="shared" si="5"/>
        <v>0.24292931806273585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47.094667729739669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4.7094667729739671E-2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400.84999485519108</v>
      </c>
      <c r="Q76" s="2">
        <f>Q10/'Output-Calculation-sheet'!Q9*'Output-Calculation-sheet'!Q63</f>
        <v>47.544380147021414</v>
      </c>
      <c r="R76" s="2">
        <f>R10/'Output-Calculation-sheet'!R9*'Output-Calculation-sheet'!R63</f>
        <v>304.56691081854763</v>
      </c>
      <c r="S76" s="2">
        <f>S10/'Output-Calculation-sheet'!S9*'Output-Calculation-sheet'!S63</f>
        <v>0</v>
      </c>
      <c r="T76" s="2">
        <f>T10/'Output-Calculation-sheet'!T9*'Output-Calculation-sheet'!T63</f>
        <v>20.044214752970753</v>
      </c>
      <c r="U76" s="2">
        <f>U10/'Output-Calculation-sheet'!U9*'Output-Calculation-sheet'!U63</f>
        <v>108.37404007444293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5.1403503920165692</v>
      </c>
      <c r="AA76" s="2">
        <f t="shared" si="6"/>
        <v>0.97067096100836447</v>
      </c>
    </row>
    <row r="77" spans="1:27" x14ac:dyDescent="0.25">
      <c r="A77" s="2">
        <v>2034</v>
      </c>
      <c r="B77" s="2">
        <f>B11/'Output-Calculation-sheet'!B10*'Output-Calculation-sheet'!B64</f>
        <v>358.79576975142197</v>
      </c>
      <c r="C77" s="2">
        <f>C11/'Output-Calculation-sheet'!C10*'Output-Calculation-sheet'!C64</f>
        <v>0</v>
      </c>
      <c r="D77" s="2">
        <f>D11/'Output-Calculation-sheet'!D10*'Output-Calculation-sheet'!D64</f>
        <v>1207.7002322128103</v>
      </c>
      <c r="E77" s="2">
        <f>E11/'Output-Calculation-sheet'!E10*'Output-Calculation-sheet'!E64</f>
        <v>1512.0389023040218</v>
      </c>
      <c r="F77" s="2">
        <f>F11/'Output-Calculation-sheet'!F10*'Output-Calculation-sheet'!F64</f>
        <v>108.05569477831975</v>
      </c>
      <c r="G77" s="2">
        <f>G11/'Output-Calculation-sheet'!G10*'Output-Calculation-sheet'!G64</f>
        <v>637.72505689601087</v>
      </c>
      <c r="H77" s="2">
        <f>H11/'Output-Calculation-sheet'!H10*'Output-Calculation-sheet'!H64</f>
        <v>99.297189508995103</v>
      </c>
      <c r="I77" s="2">
        <f>I11/'Output-Calculation-sheet'!I10*'Output-Calculation-sheet'!I64</f>
        <v>377.28671729908689</v>
      </c>
      <c r="J77" s="2">
        <f>J11/'Output-Calculation-sheet'!J10*'Output-Calculation-sheet'!J64</f>
        <v>264.17368668780057</v>
      </c>
      <c r="K77" s="2">
        <f>K11/'Output-Calculation-sheet'!K10*'Output-Calculation-sheet'!K64</f>
        <v>576.29543730089438</v>
      </c>
      <c r="L77" s="2">
        <f>L11/'Output-Calculation-sheet'!L10*'Output-Calculation-sheet'!L64</f>
        <v>238.6149434852222</v>
      </c>
      <c r="M77" s="2">
        <f>M11/'Output-Calculation-sheet'!M10*'Output-Calculation-sheet'!M64</f>
        <v>71.515363037444843</v>
      </c>
      <c r="N77" s="2">
        <f>N11/'Output-Calculation-sheet'!N10*'Output-Calculation-sheet'!N64</f>
        <v>23.652145253945783</v>
      </c>
      <c r="O77" s="2">
        <f>O11/'Output-Calculation-sheet'!O10*'Output-Calculation-sheet'!O64</f>
        <v>0</v>
      </c>
      <c r="P77" s="2">
        <f>P11/'Output-Calculation-sheet'!P10*'Output-Calculation-sheet'!P64</f>
        <v>487.01774923310711</v>
      </c>
      <c r="Q77" s="2">
        <f>Q11/'Output-Calculation-sheet'!Q10*'Output-Calculation-sheet'!Q64</f>
        <v>117.56571157366359</v>
      </c>
      <c r="R77" s="2">
        <f>R11/'Output-Calculation-sheet'!R10*'Output-Calculation-sheet'!R64</f>
        <v>605.43666705924488</v>
      </c>
      <c r="S77" s="2">
        <f>S11/'Output-Calculation-sheet'!S10*'Output-Calculation-sheet'!S64</f>
        <v>0</v>
      </c>
      <c r="T77" s="2">
        <f>T11/'Output-Calculation-sheet'!T10*'Output-Calculation-sheet'!T64</f>
        <v>167.90516936147279</v>
      </c>
      <c r="U77" s="2">
        <f>U11/'Output-Calculation-sheet'!U10*'Output-Calculation-sheet'!U64</f>
        <v>222.58168737747579</v>
      </c>
      <c r="V77" s="2">
        <f>V11/'Output-Calculation-sheet'!V10*'Output-Calculation-sheet'!V64</f>
        <v>86.94212224891092</v>
      </c>
      <c r="W77" s="2">
        <f>W11/'Output-Calculation-sheet'!W10*'Output-Calculation-sheet'!W64</f>
        <v>19.193953142004279</v>
      </c>
      <c r="X77" s="2">
        <f>X11/'Output-Calculation-sheet'!X10*'Output-Calculation-sheet'!X64</f>
        <v>7.1292968445247293</v>
      </c>
      <c r="Y77" s="2">
        <f>Y11/'Output-Calculation-sheet'!Y10*'Output-Calculation-sheet'!Y64</f>
        <v>40.184438498353344</v>
      </c>
      <c r="AA77" s="2">
        <f t="shared" si="6"/>
        <v>7.2291079338547322</v>
      </c>
    </row>
    <row r="78" spans="1:27" x14ac:dyDescent="0.25">
      <c r="A78" s="2">
        <v>2035</v>
      </c>
      <c r="B78" s="2">
        <f>B12/'Output-Calculation-sheet'!B11*'Output-Calculation-sheet'!B65</f>
        <v>51.522549746280781</v>
      </c>
      <c r="C78" s="2">
        <f>C12/'Output-Calculation-sheet'!C11*'Output-Calculation-sheet'!C65</f>
        <v>37.607864715758126</v>
      </c>
      <c r="D78" s="2">
        <f>D12/'Output-Calculation-sheet'!D11*'Output-Calculation-sheet'!D65</f>
        <v>1084.0259053139807</v>
      </c>
      <c r="E78" s="2">
        <f>E12/'Output-Calculation-sheet'!E11*'Output-Calculation-sheet'!E65</f>
        <v>969.01595775777059</v>
      </c>
      <c r="F78" s="2">
        <f>F12/'Output-Calculation-sheet'!F11*'Output-Calculation-sheet'!F65</f>
        <v>436.27613941815792</v>
      </c>
      <c r="G78" s="2">
        <f>G12/'Output-Calculation-sheet'!G11*'Output-Calculation-sheet'!G65</f>
        <v>839.40124693913788</v>
      </c>
      <c r="H78" s="2">
        <f>H12/'Output-Calculation-sheet'!H11*'Output-Calculation-sheet'!H65</f>
        <v>14.747905484306493</v>
      </c>
      <c r="I78" s="2">
        <f>I12/'Output-Calculation-sheet'!I11*'Output-Calculation-sheet'!I65</f>
        <v>488.08509130395117</v>
      </c>
      <c r="J78" s="2">
        <f>J12/'Output-Calculation-sheet'!J11*'Output-Calculation-sheet'!J65</f>
        <v>438.56385864185933</v>
      </c>
      <c r="K78" s="2">
        <f>K12/'Output-Calculation-sheet'!K11*'Output-Calculation-sheet'!K65</f>
        <v>553.43623724100826</v>
      </c>
      <c r="L78" s="2">
        <f>L12/'Output-Calculation-sheet'!L11*'Output-Calculation-sheet'!L65</f>
        <v>328.04890123731224</v>
      </c>
      <c r="M78" s="2">
        <f>M12/'Output-Calculation-sheet'!M11*'Output-Calculation-sheet'!M65</f>
        <v>10.105300405462765</v>
      </c>
      <c r="N78" s="2">
        <f>N12/'Output-Calculation-sheet'!N11*'Output-Calculation-sheet'!N65</f>
        <v>8.6497982356131278</v>
      </c>
      <c r="O78" s="2">
        <f>O12/'Output-Calculation-sheet'!O11*'Output-Calculation-sheet'!O65</f>
        <v>1.7223219808022623</v>
      </c>
      <c r="P78" s="2">
        <f>P12/'Output-Calculation-sheet'!P11*'Output-Calculation-sheet'!P65</f>
        <v>145.52623665471441</v>
      </c>
      <c r="Q78" s="2">
        <f>Q12/'Output-Calculation-sheet'!Q11*'Output-Calculation-sheet'!Q65</f>
        <v>138.56824785493012</v>
      </c>
      <c r="R78" s="2">
        <f>R12/'Output-Calculation-sheet'!R11*'Output-Calculation-sheet'!R65</f>
        <v>634.79964922284569</v>
      </c>
      <c r="S78" s="2">
        <f>S12/'Output-Calculation-sheet'!S11*'Output-Calculation-sheet'!S65</f>
        <v>3.8493090119805147</v>
      </c>
      <c r="T78" s="2">
        <f>T12/'Output-Calculation-sheet'!T11*'Output-Calculation-sheet'!T65</f>
        <v>227.71764245760983</v>
      </c>
      <c r="U78" s="2">
        <f>U12/'Output-Calculation-sheet'!U11*'Output-Calculation-sheet'!U65</f>
        <v>194.17023619172139</v>
      </c>
      <c r="V78" s="2">
        <f>V12/'Output-Calculation-sheet'!V11*'Output-Calculation-sheet'!V65</f>
        <v>122.57433893666108</v>
      </c>
      <c r="W78" s="2">
        <f>W12/'Output-Calculation-sheet'!W11*'Output-Calculation-sheet'!W65</f>
        <v>88.213812744341766</v>
      </c>
      <c r="X78" s="2">
        <f>X12/'Output-Calculation-sheet'!X11*'Output-Calculation-sheet'!X65</f>
        <v>1.2902241586074576</v>
      </c>
      <c r="Y78" s="2">
        <f>Y12/'Output-Calculation-sheet'!Y11*'Output-Calculation-sheet'!Y65</f>
        <v>25.830318683493648</v>
      </c>
      <c r="AA78" s="2">
        <f t="shared" si="6"/>
        <v>6.8437490943383059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13.066839905219574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68.671821490091006</v>
      </c>
      <c r="E89" s="2">
        <f>E12/'Output-Calculation-sheet'!E11*'Output-Calculation-sheet'!E74</f>
        <v>48.026743572481507</v>
      </c>
      <c r="F89" s="2">
        <f>F12/'Output-Calculation-sheet'!F11*'Output-Calculation-sheet'!F74</f>
        <v>28.832539527696511</v>
      </c>
      <c r="G89" s="2">
        <f>G12/'Output-Calculation-sheet'!G11*'Output-Calculation-sheet'!G74</f>
        <v>25.619500228225011</v>
      </c>
      <c r="H89" s="2">
        <f>H12/'Output-Calculation-sheet'!H11*'Output-Calculation-sheet'!H74</f>
        <v>3.818227957102005</v>
      </c>
      <c r="I89" s="2">
        <f>I12/'Output-Calculation-sheet'!I11*'Output-Calculation-sheet'!I74</f>
        <v>23.929432583471815</v>
      </c>
      <c r="J89" s="2">
        <f>J12/'Output-Calculation-sheet'!J11*'Output-Calculation-sheet'!J74</f>
        <v>14.033903137508123</v>
      </c>
      <c r="K89" s="2">
        <f>K12/'Output-Calculation-sheet'!K11*'Output-Calculation-sheet'!K74</f>
        <v>27.874160848459699</v>
      </c>
      <c r="L89" s="2">
        <f>L12/'Output-Calculation-sheet'!L11*'Output-Calculation-sheet'!L74</f>
        <v>18.701085526148123</v>
      </c>
      <c r="M89" s="2">
        <f>M12/'Output-Calculation-sheet'!M11*'Output-Calculation-sheet'!M74</f>
        <v>3.284140528262192</v>
      </c>
      <c r="N89" s="2">
        <f>N12/'Output-Calculation-sheet'!N11*'Output-Calculation-sheet'!N74</f>
        <v>2.5822220271999785</v>
      </c>
      <c r="O89" s="2">
        <f>O12/'Output-Calculation-sheet'!O11*'Output-Calculation-sheet'!O74</f>
        <v>1.2048422391061646</v>
      </c>
      <c r="P89" s="2">
        <f>P12/'Output-Calculation-sheet'!P11*'Output-Calculation-sheet'!P74</f>
        <v>2.9818994790242122</v>
      </c>
      <c r="Q89" s="2">
        <f>Q12/'Output-Calculation-sheet'!Q11*'Output-Calculation-sheet'!Q74</f>
        <v>30.542694973146876</v>
      </c>
      <c r="R89" s="2">
        <f>R12/'Output-Calculation-sheet'!R11*'Output-Calculation-sheet'!R74</f>
        <v>14.022610460653295</v>
      </c>
      <c r="S89" s="2">
        <f>S12/'Output-Calculation-sheet'!S11*'Output-Calculation-sheet'!S74</f>
        <v>1.1101641065123578</v>
      </c>
      <c r="T89" s="2">
        <f>T12/'Output-Calculation-sheet'!T11*'Output-Calculation-sheet'!T74</f>
        <v>3.320216081024927</v>
      </c>
      <c r="U89" s="2">
        <f>U12/'Output-Calculation-sheet'!U11*'Output-Calculation-sheet'!U74</f>
        <v>6.135713125771777</v>
      </c>
      <c r="V89" s="2">
        <f>V12/'Output-Calculation-sheet'!V11*'Output-Calculation-sheet'!V74</f>
        <v>0.83491249931313782</v>
      </c>
      <c r="W89" s="2">
        <f>W12/'Output-Calculation-sheet'!W11*'Output-Calculation-sheet'!W74</f>
        <v>2.1689313708162841</v>
      </c>
      <c r="X89" s="2">
        <f>X12/'Output-Calculation-sheet'!X11*'Output-Calculation-sheet'!X74</f>
        <v>0.14411081856444294</v>
      </c>
      <c r="Y89" s="2">
        <f>Y12/'Output-Calculation-sheet'!Y11*'Output-Calculation-sheet'!Y74</f>
        <v>1.5297666614716552</v>
      </c>
      <c r="AA89" s="2">
        <f t="shared" si="7"/>
        <v>0.3455373914754169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11409245654.874218</v>
      </c>
      <c r="C96" s="2">
        <f>C8/'Output-Calculation-sheet'!C7*'Output-Calculation-sheet'!C79</f>
        <v>3859807121.1900306</v>
      </c>
      <c r="D96" s="2">
        <f>D8/'Output-Calculation-sheet'!D7*'Output-Calculation-sheet'!D79</f>
        <v>4029363947.8054681</v>
      </c>
      <c r="E96" s="2">
        <f>E8/'Output-Calculation-sheet'!E7*'Output-Calculation-sheet'!E79</f>
        <v>7163877129.0622187</v>
      </c>
      <c r="F96" s="2">
        <f>F8/'Output-Calculation-sheet'!F7*'Output-Calculation-sheet'!F79</f>
        <v>2965057478.2859011</v>
      </c>
      <c r="G96" s="2">
        <f>G8/'Output-Calculation-sheet'!G7*'Output-Calculation-sheet'!G79</f>
        <v>2309541006.4594116</v>
      </c>
      <c r="H96" s="2">
        <f>H8/'Output-Calculation-sheet'!H7*'Output-Calculation-sheet'!H79</f>
        <v>1976839492.3270876</v>
      </c>
      <c r="I96" s="2">
        <f>I8/'Output-Calculation-sheet'!I7*'Output-Calculation-sheet'!I79</f>
        <v>1608836858.1670702</v>
      </c>
      <c r="J96" s="2">
        <f>J8/'Output-Calculation-sheet'!J7*'Output-Calculation-sheet'!J79</f>
        <v>1087933977.7986362</v>
      </c>
      <c r="K96" s="2">
        <f>K8/'Output-Calculation-sheet'!K7*'Output-Calculation-sheet'!K79</f>
        <v>1556511289.2290351</v>
      </c>
      <c r="L96" s="2">
        <f>L8/'Output-Calculation-sheet'!L7*'Output-Calculation-sheet'!L79</f>
        <v>1098275655.6935911</v>
      </c>
      <c r="M96" s="2">
        <f>M8/'Output-Calculation-sheet'!M7*'Output-Calculation-sheet'!M79</f>
        <v>1475670718.3887055</v>
      </c>
      <c r="N96" s="2">
        <f>N8/'Output-Calculation-sheet'!N7*'Output-Calculation-sheet'!N79</f>
        <v>1098014943.4522109</v>
      </c>
      <c r="O96" s="2">
        <f>O8/'Output-Calculation-sheet'!O7*'Output-Calculation-sheet'!O79</f>
        <v>555083192.42223859</v>
      </c>
      <c r="P96" s="2">
        <f>P8/'Output-Calculation-sheet'!P7*'Output-Calculation-sheet'!P79</f>
        <v>1856648904.9985209</v>
      </c>
      <c r="Q96" s="2">
        <f>Q8/'Output-Calculation-sheet'!Q7*'Output-Calculation-sheet'!Q79</f>
        <v>865276350.08959007</v>
      </c>
      <c r="R96" s="2">
        <f>R8/'Output-Calculation-sheet'!R7*'Output-Calculation-sheet'!R79</f>
        <v>1079536943.4101989</v>
      </c>
      <c r="S96" s="2">
        <f>S8/'Output-Calculation-sheet'!S7*'Output-Calculation-sheet'!S79</f>
        <v>629027401.57941806</v>
      </c>
      <c r="T96" s="2">
        <f>T8/'Output-Calculation-sheet'!T7*'Output-Calculation-sheet'!T79</f>
        <v>480429887.01580739</v>
      </c>
      <c r="U96" s="2">
        <f>U8/'Output-Calculation-sheet'!U7*'Output-Calculation-sheet'!U79</f>
        <v>301794292.25913388</v>
      </c>
      <c r="V96" s="2">
        <f>V8/'Output-Calculation-sheet'!V7*'Output-Calculation-sheet'!V79</f>
        <v>156585913.06395739</v>
      </c>
      <c r="W96" s="2">
        <f>W8/'Output-Calculation-sheet'!W7*'Output-Calculation-sheet'!W79</f>
        <v>462702485.4859919</v>
      </c>
      <c r="X96" s="2">
        <f>X8/'Output-Calculation-sheet'!X7*'Output-Calculation-sheet'!X79</f>
        <v>162625928.24707389</v>
      </c>
      <c r="Y96" s="2">
        <f>Y8/'Output-Calculation-sheet'!Y7*'Output-Calculation-sheet'!Y79</f>
        <v>254344733.9265537</v>
      </c>
      <c r="AA96" s="2">
        <f t="shared" si="8"/>
        <v>48.443031305232054</v>
      </c>
    </row>
    <row r="97" spans="1:27" x14ac:dyDescent="0.25">
      <c r="A97" s="2">
        <v>2032</v>
      </c>
      <c r="B97" s="2">
        <f>B9/'Output-Calculation-sheet'!B8*'Output-Calculation-sheet'!B80</f>
        <v>14594330792.316698</v>
      </c>
      <c r="C97" s="2">
        <f>C9/'Output-Calculation-sheet'!C8*'Output-Calculation-sheet'!C80</f>
        <v>4970916552.0641327</v>
      </c>
      <c r="D97" s="2">
        <f>D9/'Output-Calculation-sheet'!D8*'Output-Calculation-sheet'!D80</f>
        <v>4953009589.2958975</v>
      </c>
      <c r="E97" s="2">
        <f>E9/'Output-Calculation-sheet'!E8*'Output-Calculation-sheet'!E80</f>
        <v>9058327032.6539612</v>
      </c>
      <c r="F97" s="2">
        <f>F9/'Output-Calculation-sheet'!F8*'Output-Calculation-sheet'!F80</f>
        <v>3741994300.6483045</v>
      </c>
      <c r="G97" s="2">
        <f>G9/'Output-Calculation-sheet'!G8*'Output-Calculation-sheet'!G80</f>
        <v>2832490646.2442584</v>
      </c>
      <c r="H97" s="2">
        <f>H9/'Output-Calculation-sheet'!H8*'Output-Calculation-sheet'!H80</f>
        <v>2492021998.0889273</v>
      </c>
      <c r="I97" s="2">
        <f>I9/'Output-Calculation-sheet'!I8*'Output-Calculation-sheet'!I80</f>
        <v>2049912667.9121408</v>
      </c>
      <c r="J97" s="2">
        <f>J9/'Output-Calculation-sheet'!J8*'Output-Calculation-sheet'!J80</f>
        <v>1347624623.0011771</v>
      </c>
      <c r="K97" s="2">
        <f>K9/'Output-Calculation-sheet'!K8*'Output-Calculation-sheet'!K80</f>
        <v>1942886240.0129433</v>
      </c>
      <c r="L97" s="2">
        <f>L9/'Output-Calculation-sheet'!L8*'Output-Calculation-sheet'!L80</f>
        <v>1414103446.8280776</v>
      </c>
      <c r="M97" s="2">
        <f>M9/'Output-Calculation-sheet'!M8*'Output-Calculation-sheet'!M80</f>
        <v>1865754569.1959751</v>
      </c>
      <c r="N97" s="2">
        <f>N9/'Output-Calculation-sheet'!N8*'Output-Calculation-sheet'!N80</f>
        <v>1363180560.449342</v>
      </c>
      <c r="O97" s="2">
        <f>O9/'Output-Calculation-sheet'!O8*'Output-Calculation-sheet'!O80</f>
        <v>705219417.00991261</v>
      </c>
      <c r="P97" s="2">
        <f>P9/'Output-Calculation-sheet'!P8*'Output-Calculation-sheet'!P80</f>
        <v>2307360293.9168391</v>
      </c>
      <c r="Q97" s="2">
        <f>Q9/'Output-Calculation-sheet'!Q8*'Output-Calculation-sheet'!Q80</f>
        <v>1079292816.8269162</v>
      </c>
      <c r="R97" s="2">
        <f>R9/'Output-Calculation-sheet'!R8*'Output-Calculation-sheet'!R80</f>
        <v>1363686287.2959175</v>
      </c>
      <c r="S97" s="2">
        <f>S9/'Output-Calculation-sheet'!S8*'Output-Calculation-sheet'!S80</f>
        <v>791477812.52817118</v>
      </c>
      <c r="T97" s="2">
        <f>T9/'Output-Calculation-sheet'!T8*'Output-Calculation-sheet'!T80</f>
        <v>596007870.89023459</v>
      </c>
      <c r="U97" s="2">
        <f>U9/'Output-Calculation-sheet'!U8*'Output-Calculation-sheet'!U80</f>
        <v>381024129.00162941</v>
      </c>
      <c r="V97" s="2">
        <f>V9/'Output-Calculation-sheet'!V8*'Output-Calculation-sheet'!V80</f>
        <v>199785456.1547932</v>
      </c>
      <c r="W97" s="2">
        <f>W9/'Output-Calculation-sheet'!W8*'Output-Calculation-sheet'!W80</f>
        <v>578587322.10432386</v>
      </c>
      <c r="X97" s="2">
        <f>X9/'Output-Calculation-sheet'!X8*'Output-Calculation-sheet'!X80</f>
        <v>207767581.68427205</v>
      </c>
      <c r="Y97" s="2">
        <f>Y9/'Output-Calculation-sheet'!Y8*'Output-Calculation-sheet'!Y80</f>
        <v>318027549.3013165</v>
      </c>
      <c r="AA97" s="2">
        <f t="shared" si="8"/>
        <v>61.154789555426156</v>
      </c>
    </row>
    <row r="98" spans="1:27" x14ac:dyDescent="0.25">
      <c r="A98" s="2">
        <v>2033</v>
      </c>
      <c r="B98" s="2">
        <f>B10/'Output-Calculation-sheet'!B9*'Output-Calculation-sheet'!B81</f>
        <v>16719793355.628012</v>
      </c>
      <c r="C98" s="2">
        <f>C10/'Output-Calculation-sheet'!C9*'Output-Calculation-sheet'!C81</f>
        <v>5732385289.1117449</v>
      </c>
      <c r="D98" s="2">
        <f>D10/'Output-Calculation-sheet'!D9*'Output-Calculation-sheet'!D81</f>
        <v>5455459129.655817</v>
      </c>
      <c r="E98" s="2">
        <f>E10/'Output-Calculation-sheet'!E9*'Output-Calculation-sheet'!E81</f>
        <v>10262072482.25256</v>
      </c>
      <c r="F98" s="2">
        <f>F10/'Output-Calculation-sheet'!F9*'Output-Calculation-sheet'!F81</f>
        <v>4232327104.7482247</v>
      </c>
      <c r="G98" s="2">
        <f>G10/'Output-Calculation-sheet'!G9*'Output-Calculation-sheet'!G81</f>
        <v>3107508517.5221024</v>
      </c>
      <c r="H98" s="2">
        <f>H10/'Output-Calculation-sheet'!H9*'Output-Calculation-sheet'!H81</f>
        <v>2815433887.0566664</v>
      </c>
      <c r="I98" s="2">
        <f>I10/'Output-Calculation-sheet'!I9*'Output-Calculation-sheet'!I81</f>
        <v>2340447274.269989</v>
      </c>
      <c r="J98" s="2">
        <f>J10/'Output-Calculation-sheet'!J9*'Output-Calculation-sheet'!J81</f>
        <v>1496536452.0316148</v>
      </c>
      <c r="K98" s="2">
        <f>K10/'Output-Calculation-sheet'!K9*'Output-Calculation-sheet'!K81</f>
        <v>2173781904.9940867</v>
      </c>
      <c r="L98" s="2">
        <f>L10/'Output-Calculation-sheet'!L9*'Output-Calculation-sheet'!L81</f>
        <v>1630372850.1804543</v>
      </c>
      <c r="M98" s="2">
        <f>M10/'Output-Calculation-sheet'!M9*'Output-Calculation-sheet'!M81</f>
        <v>2114270015.0206594</v>
      </c>
      <c r="N98" s="2">
        <f>N10/'Output-Calculation-sheet'!N9*'Output-Calculation-sheet'!N81</f>
        <v>1516820950.7585347</v>
      </c>
      <c r="O98" s="2">
        <f>O10/'Output-Calculation-sheet'!O9*'Output-Calculation-sheet'!O81</f>
        <v>803241210.1416086</v>
      </c>
      <c r="P98" s="2">
        <f>P10/'Output-Calculation-sheet'!P9*'Output-Calculation-sheet'!P81</f>
        <v>2566941692.7582412</v>
      </c>
      <c r="Q98" s="2">
        <f>Q10/'Output-Calculation-sheet'!Q9*'Output-Calculation-sheet'!Q81</f>
        <v>1206908737.3944411</v>
      </c>
      <c r="R98" s="2">
        <f>R10/'Output-Calculation-sheet'!R9*'Output-Calculation-sheet'!R81</f>
        <v>1543823159.2584391</v>
      </c>
      <c r="S98" s="2">
        <f>S10/'Output-Calculation-sheet'!S9*'Output-Calculation-sheet'!S81</f>
        <v>892601996.37362373</v>
      </c>
      <c r="T98" s="2">
        <f>T10/'Output-Calculation-sheet'!T9*'Output-Calculation-sheet'!T81</f>
        <v>662344501.51538932</v>
      </c>
      <c r="U98" s="2">
        <f>U10/'Output-Calculation-sheet'!U9*'Output-Calculation-sheet'!U81</f>
        <v>430964954.64422345</v>
      </c>
      <c r="V98" s="2">
        <f>V10/'Output-Calculation-sheet'!V9*'Output-Calculation-sheet'!V81</f>
        <v>228245437.88142774</v>
      </c>
      <c r="W98" s="2">
        <f>W10/'Output-Calculation-sheet'!W9*'Output-Calculation-sheet'!W81</f>
        <v>647159435.94125032</v>
      </c>
      <c r="X98" s="2">
        <f>X10/'Output-Calculation-sheet'!X9*'Output-Calculation-sheet'!X81</f>
        <v>237810153.67723936</v>
      </c>
      <c r="Y98" s="2">
        <f>Y10/'Output-Calculation-sheet'!Y9*'Output-Calculation-sheet'!Y81</f>
        <v>355846757.95662713</v>
      </c>
      <c r="AA98" s="2">
        <f t="shared" si="8"/>
        <v>69.173097250772983</v>
      </c>
    </row>
    <row r="99" spans="1:27" x14ac:dyDescent="0.25">
      <c r="A99" s="2">
        <v>2034</v>
      </c>
      <c r="B99" s="2">
        <f>B11/'Output-Calculation-sheet'!B10*'Output-Calculation-sheet'!B82</f>
        <v>17358415779.244629</v>
      </c>
      <c r="C99" s="2">
        <f>C11/'Output-Calculation-sheet'!C10*'Output-Calculation-sheet'!C82</f>
        <v>5989377750.8614063</v>
      </c>
      <c r="D99" s="2">
        <f>D11/'Output-Calculation-sheet'!D10*'Output-Calculation-sheet'!D82</f>
        <v>5448622033.1270227</v>
      </c>
      <c r="E99" s="2">
        <f>E11/'Output-Calculation-sheet'!E10*'Output-Calculation-sheet'!E82</f>
        <v>10539893876.960468</v>
      </c>
      <c r="F99" s="2">
        <f>F11/'Output-Calculation-sheet'!F10*'Output-Calculation-sheet'!F82</f>
        <v>4340842336.5940237</v>
      </c>
      <c r="G99" s="2">
        <f>G11/'Output-Calculation-sheet'!G10*'Output-Calculation-sheet'!G82</f>
        <v>3086034757.8513918</v>
      </c>
      <c r="H99" s="2">
        <f>H11/'Output-Calculation-sheet'!H10*'Output-Calculation-sheet'!H82</f>
        <v>2884464239.3956442</v>
      </c>
      <c r="I99" s="2">
        <f>I11/'Output-Calculation-sheet'!I10*'Output-Calculation-sheet'!I82</f>
        <v>2422740715.4850912</v>
      </c>
      <c r="J99" s="2">
        <f>J11/'Output-Calculation-sheet'!J10*'Output-Calculation-sheet'!J82</f>
        <v>1507666146.9663084</v>
      </c>
      <c r="K99" s="2">
        <f>K11/'Output-Calculation-sheet'!K10*'Output-Calculation-sheet'!K82</f>
        <v>2205915994.684896</v>
      </c>
      <c r="L99" s="2">
        <f>L11/'Output-Calculation-sheet'!L10*'Output-Calculation-sheet'!L82</f>
        <v>1703131657.6670651</v>
      </c>
      <c r="M99" s="2">
        <f>M11/'Output-Calculation-sheet'!M10*'Output-Calculation-sheet'!M82</f>
        <v>2172811754.1901097</v>
      </c>
      <c r="N99" s="2">
        <f>N11/'Output-Calculation-sheet'!N10*'Output-Calculation-sheet'!N82</f>
        <v>1530745087.4128401</v>
      </c>
      <c r="O99" s="2">
        <f>O11/'Output-Calculation-sheet'!O10*'Output-Calculation-sheet'!O82</f>
        <v>829892798.93998432</v>
      </c>
      <c r="P99" s="2">
        <f>P11/'Output-Calculation-sheet'!P10*'Output-Calculation-sheet'!P82</f>
        <v>2586979732.3378978</v>
      </c>
      <c r="Q99" s="2">
        <f>Q11/'Output-Calculation-sheet'!Q10*'Output-Calculation-sheet'!Q82</f>
        <v>1224318822.5926814</v>
      </c>
      <c r="R99" s="2">
        <f>R11/'Output-Calculation-sheet'!R10*'Output-Calculation-sheet'!R82</f>
        <v>1584877945.3911431</v>
      </c>
      <c r="S99" s="2">
        <f>S11/'Output-Calculation-sheet'!S10*'Output-Calculation-sheet'!S82</f>
        <v>912931792.25362289</v>
      </c>
      <c r="T99" s="2">
        <f>T11/'Output-Calculation-sheet'!T10*'Output-Calculation-sheet'!T82</f>
        <v>667243988.08931494</v>
      </c>
      <c r="U99" s="2">
        <f>U11/'Output-Calculation-sheet'!U10*'Output-Calculation-sheet'!U82</f>
        <v>441863254.17379606</v>
      </c>
      <c r="V99" s="2">
        <f>V11/'Output-Calculation-sheet'!V10*'Output-Calculation-sheet'!V82</f>
        <v>236257566.27628005</v>
      </c>
      <c r="W99" s="2">
        <f>W11/'Output-Calculation-sheet'!W10*'Output-Calculation-sheet'!W82</f>
        <v>655155843.34879923</v>
      </c>
      <c r="X99" s="2">
        <f>X11/'Output-Calculation-sheet'!X10*'Output-Calculation-sheet'!X82</f>
        <v>246748507.05189419</v>
      </c>
      <c r="Y99" s="2">
        <f>Y11/'Output-Calculation-sheet'!Y10*'Output-Calculation-sheet'!Y82</f>
        <v>360541810.58648282</v>
      </c>
      <c r="AA99" s="2">
        <f t="shared" si="8"/>
        <v>70.937474191482821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1664.6641846402795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512.43526552551441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352.60533263717451</v>
      </c>
      <c r="N107" s="2">
        <f>N8/'Output-Calculation-sheet'!N7*'Output-Calculation-sheet'!N88</f>
        <v>138.62154329395929</v>
      </c>
      <c r="O107" s="2">
        <f>O8/'Output-Calculation-sheet'!O7*'Output-Calculation-sheet'!O88</f>
        <v>388.07760645993011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38.681538350171749</v>
      </c>
      <c r="Y107" s="2">
        <f>Y8/'Output-Calculation-sheet'!Y7*'Output-Calculation-sheet'!Y88</f>
        <v>0</v>
      </c>
      <c r="AA107" s="2">
        <f t="shared" si="9"/>
        <v>3.095085470907029</v>
      </c>
    </row>
    <row r="108" spans="1:27" x14ac:dyDescent="0.25">
      <c r="A108" s="2">
        <v>2032</v>
      </c>
      <c r="B108" s="2">
        <f>B9/'Output-Calculation-sheet'!B8*'Output-Calculation-sheet'!B89</f>
        <v>718.23825283625501</v>
      </c>
      <c r="C108" s="2">
        <f>C9/'Output-Calculation-sheet'!C8*'Output-Calculation-sheet'!C89</f>
        <v>2727.1399896791072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734.56098709100354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505.44944624350461</v>
      </c>
      <c r="N108" s="2">
        <f>N9/'Output-Calculation-sheet'!N8*'Output-Calculation-sheet'!N89</f>
        <v>354.83916744678282</v>
      </c>
      <c r="O108" s="2">
        <f>O9/'Output-Calculation-sheet'!O8*'Output-Calculation-sheet'!O89</f>
        <v>529.80753788114407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162.72484834520188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55.448855502873108</v>
      </c>
      <c r="Y108" s="2">
        <f>Y9/'Output-Calculation-sheet'!Y8*'Output-Calculation-sheet'!Y89</f>
        <v>0</v>
      </c>
      <c r="AA108" s="2">
        <f t="shared" si="9"/>
        <v>5.7882090850258736</v>
      </c>
    </row>
    <row r="109" spans="1:27" x14ac:dyDescent="0.25">
      <c r="A109" s="2">
        <v>2033</v>
      </c>
      <c r="B109" s="2">
        <f>B10/'Output-Calculation-sheet'!B9*'Output-Calculation-sheet'!B90</f>
        <v>3430.0155335803188</v>
      </c>
      <c r="C109" s="2">
        <f>C10/'Output-Calculation-sheet'!C9*'Output-Calculation-sheet'!C90</f>
        <v>3255.9295226579829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1002.2760895983022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689.6634906746076</v>
      </c>
      <c r="N109" s="2">
        <f>N10/'Output-Calculation-sheet'!N9*'Output-Calculation-sheet'!N90</f>
        <v>542.26189216024386</v>
      </c>
      <c r="O109" s="2">
        <f>O10/'Output-Calculation-sheet'!O9*'Output-Calculation-sheet'!O90</f>
        <v>632.53665394600125</v>
      </c>
      <c r="P109" s="2">
        <f>P10/'Output-Calculation-sheet'!P9*'Output-Calculation-sheet'!P90</f>
        <v>0</v>
      </c>
      <c r="Q109" s="2">
        <f>Q10/'Output-Calculation-sheet'!Q9*'Output-Calculation-sheet'!Q90</f>
        <v>118.77611028877584</v>
      </c>
      <c r="R109" s="2">
        <f>R10/'Output-Calculation-sheet'!R9*'Output-Calculation-sheet'!R90</f>
        <v>0</v>
      </c>
      <c r="S109" s="2">
        <f>S10/'Output-Calculation-sheet'!S9*'Output-Calculation-sheet'!S90</f>
        <v>271.98783183966265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75.657519311239767</v>
      </c>
      <c r="Y109" s="2">
        <f>Y10/'Output-Calculation-sheet'!Y9*'Output-Calculation-sheet'!Y90</f>
        <v>0</v>
      </c>
      <c r="AA109" s="2">
        <f t="shared" si="9"/>
        <v>10.019104644057135</v>
      </c>
    </row>
    <row r="110" spans="1:27" x14ac:dyDescent="0.25">
      <c r="A110" s="2">
        <v>2034</v>
      </c>
      <c r="B110" s="2">
        <f>B11/'Output-Calculation-sheet'!B10*'Output-Calculation-sheet'!B91</f>
        <v>5496.0206104581121</v>
      </c>
      <c r="C110" s="2">
        <f>C11/'Output-Calculation-sheet'!C10*'Output-Calculation-sheet'!C91</f>
        <v>3767.8890734842748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1070.6521086901546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736.71284613136629</v>
      </c>
      <c r="N110" s="2">
        <f>N11/'Output-Calculation-sheet'!N10*'Output-Calculation-sheet'!N91</f>
        <v>663.73014710572431</v>
      </c>
      <c r="O110" s="2">
        <f>O11/'Output-Calculation-sheet'!O10*'Output-Calculation-sheet'!O91</f>
        <v>731.99617202887396</v>
      </c>
      <c r="P110" s="2">
        <f>P11/'Output-Calculation-sheet'!P10*'Output-Calculation-sheet'!P91</f>
        <v>167.22820119637265</v>
      </c>
      <c r="Q110" s="2">
        <f>Q11/'Output-Calculation-sheet'!Q10*'Output-Calculation-sheet'!Q91</f>
        <v>370.06405546882746</v>
      </c>
      <c r="R110" s="2">
        <f>R11/'Output-Calculation-sheet'!R10*'Output-Calculation-sheet'!R91</f>
        <v>0</v>
      </c>
      <c r="S110" s="2">
        <f>S11/'Output-Calculation-sheet'!S10*'Output-Calculation-sheet'!S91</f>
        <v>380.47303341349613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80.818931459603846</v>
      </c>
      <c r="Y110" s="2">
        <f>Y11/'Output-Calculation-sheet'!Y10*'Output-Calculation-sheet'!Y91</f>
        <v>12.99863579673714</v>
      </c>
      <c r="AA110" s="2">
        <f t="shared" si="9"/>
        <v>13.478583815233542</v>
      </c>
    </row>
    <row r="111" spans="1:27" x14ac:dyDescent="0.25">
      <c r="A111" s="2">
        <v>2035</v>
      </c>
      <c r="B111" s="2">
        <f>B12/'Output-Calculation-sheet'!B11*'Output-Calculation-sheet'!B92</f>
        <v>7546.1000452643038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1344.7488200294822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551.05502372367437</v>
      </c>
      <c r="Q111" s="2">
        <f>Q12/'Output-Calculation-sheet'!Q11*'Output-Calculation-sheet'!Q92</f>
        <v>391.96458548871823</v>
      </c>
      <c r="R111" s="2">
        <f>R12/'Output-Calculation-sheet'!R11*'Output-Calculation-sheet'!R92</f>
        <v>0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53.541833151507937</v>
      </c>
      <c r="AA111" s="2">
        <f t="shared" si="9"/>
        <v>17.282164013474443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1334937795.2716708</v>
      </c>
      <c r="C118" s="2">
        <f>C8/'Output-Calculation-sheet'!C7*'Output-Calculation-sheet'!C97</f>
        <v>7825556065.3724146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2407762944.6161137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1672398849.9760571</v>
      </c>
      <c r="N118" s="2">
        <f>N8/'Output-Calculation-sheet'!N7*'Output-Calculation-sheet'!N97</f>
        <v>1312356254.4207666</v>
      </c>
      <c r="O118" s="2">
        <f>O8/'Output-Calculation-sheet'!O7*'Output-Calculation-sheet'!O97</f>
        <v>873256934.02712214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474755560.62468976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180252854.09442669</v>
      </c>
      <c r="Y118" s="2">
        <f>Y8/'Output-Calculation-sheet'!Y7*'Output-Calculation-sheet'!Y97</f>
        <v>0</v>
      </c>
      <c r="AA118" s="2">
        <f t="shared" si="10"/>
        <v>16081.277258403261</v>
      </c>
    </row>
    <row r="119" spans="1:27" x14ac:dyDescent="0.25">
      <c r="A119" s="2">
        <v>2032</v>
      </c>
      <c r="B119" s="2">
        <f>B9/'Output-Calculation-sheet'!B8*'Output-Calculation-sheet'!B98</f>
        <v>5388260683.8556538</v>
      </c>
      <c r="C119" s="2">
        <f>C9/'Output-Calculation-sheet'!C8*'Output-Calculation-sheet'!C98</f>
        <v>4282698426.2044163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2560206701.8108888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1787033865.6442919</v>
      </c>
      <c r="N119" s="2">
        <f>N9/'Output-Calculation-sheet'!N8*'Output-Calculation-sheet'!N98</f>
        <v>1206180357.9072065</v>
      </c>
      <c r="O119" s="2">
        <f>O9/'Output-Calculation-sheet'!O8*'Output-Calculation-sheet'!O98</f>
        <v>836760135.72430372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501534255.08474672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191219030.21347675</v>
      </c>
      <c r="Y119" s="2">
        <f>Y9/'Output-Calculation-sheet'!Y8*'Output-Calculation-sheet'!Y98</f>
        <v>0</v>
      </c>
      <c r="AA119" s="2">
        <f t="shared" si="10"/>
        <v>16753.893456444985</v>
      </c>
    </row>
    <row r="120" spans="1:27" x14ac:dyDescent="0.25">
      <c r="A120" s="2">
        <v>2033</v>
      </c>
      <c r="B120" s="2">
        <f>B10/'Output-Calculation-sheet'!B9*'Output-Calculation-sheet'!B99</f>
        <v>4934534383.4887238</v>
      </c>
      <c r="C120" s="2">
        <f>C10/'Output-Calculation-sheet'!C9*'Output-Calculation-sheet'!C99</f>
        <v>4056493668.0572181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1330028180.8405023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941404995.44077551</v>
      </c>
      <c r="N120" s="2">
        <f>N10/'Output-Calculation-sheet'!N9*'Output-Calculation-sheet'!N99</f>
        <v>938481036.8640449</v>
      </c>
      <c r="O120" s="2">
        <f>O10/'Output-Calculation-sheet'!O9*'Output-Calculation-sheet'!O99</f>
        <v>794174084.7239536</v>
      </c>
      <c r="P120" s="2">
        <f>P10/'Output-Calculation-sheet'!P9*'Output-Calculation-sheet'!P99</f>
        <v>0</v>
      </c>
      <c r="Q120" s="2">
        <f>Q10/'Output-Calculation-sheet'!Q9*'Output-Calculation-sheet'!Q99</f>
        <v>5624787.6504570246</v>
      </c>
      <c r="R120" s="2">
        <f>R10/'Output-Calculation-sheet'!R9*'Output-Calculation-sheet'!R99</f>
        <v>0</v>
      </c>
      <c r="S120" s="2">
        <f>S10/'Output-Calculation-sheet'!S9*'Output-Calculation-sheet'!S99</f>
        <v>393029733.93514305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94003465.527725831</v>
      </c>
      <c r="Y120" s="2">
        <f>Y10/'Output-Calculation-sheet'!Y9*'Output-Calculation-sheet'!Y99</f>
        <v>0</v>
      </c>
      <c r="AA120" s="2">
        <f t="shared" si="10"/>
        <v>13487.774336528542</v>
      </c>
    </row>
    <row r="121" spans="1:27" x14ac:dyDescent="0.25">
      <c r="A121" s="2">
        <v>2034</v>
      </c>
      <c r="B121" s="2">
        <f>B11/'Output-Calculation-sheet'!B10*'Output-Calculation-sheet'!B100</f>
        <v>4125998288.3638897</v>
      </c>
      <c r="C121" s="2">
        <f>C11/'Output-Calculation-sheet'!C10*'Output-Calculation-sheet'!C100</f>
        <v>494644788.72456604</v>
      </c>
      <c r="D121" s="2">
        <f>D11/'Output-Calculation-sheet'!D10*'Output-Calculation-sheet'!D100</f>
        <v>0</v>
      </c>
      <c r="E121" s="2">
        <f>E11/'Output-Calculation-sheet'!E10*'Output-Calculation-sheet'!E100</f>
        <v>583759187.98159397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1302445972.7927663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475805621.31527984</v>
      </c>
      <c r="M121" s="2">
        <f>M11/'Output-Calculation-sheet'!M10*'Output-Calculation-sheet'!M100</f>
        <v>926945816.70481563</v>
      </c>
      <c r="N121" s="2">
        <f>N11/'Output-Calculation-sheet'!N10*'Output-Calculation-sheet'!N100</f>
        <v>617974063.97874987</v>
      </c>
      <c r="O121" s="2">
        <f>O11/'Output-Calculation-sheet'!O10*'Output-Calculation-sheet'!O100</f>
        <v>97026202.292163312</v>
      </c>
      <c r="P121" s="2">
        <f>P11/'Output-Calculation-sheet'!P10*'Output-Calculation-sheet'!P100</f>
        <v>0</v>
      </c>
      <c r="Q121" s="2">
        <f>Q11/'Output-Calculation-sheet'!Q10*'Output-Calculation-sheet'!Q100</f>
        <v>209117087.22578007</v>
      </c>
      <c r="R121" s="2">
        <f>R11/'Output-Calculation-sheet'!R10*'Output-Calculation-sheet'!R100</f>
        <v>0</v>
      </c>
      <c r="S121" s="2">
        <f>S11/'Output-Calculation-sheet'!S10*'Output-Calculation-sheet'!S100</f>
        <v>231055927.70311698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91078912.301675767</v>
      </c>
      <c r="Y121" s="2">
        <f>Y11/'Output-Calculation-sheet'!Y10*'Output-Calculation-sheet'!Y100</f>
        <v>13212480.236938657</v>
      </c>
      <c r="AA121" s="2">
        <f t="shared" si="10"/>
        <v>9169.0643496213379</v>
      </c>
    </row>
    <row r="122" spans="1:27" x14ac:dyDescent="0.25">
      <c r="A122" s="2">
        <v>2035</v>
      </c>
      <c r="B122" s="2">
        <f>B12/'Output-Calculation-sheet'!B11*'Output-Calculation-sheet'!B101</f>
        <v>893545139.84466326</v>
      </c>
      <c r="C122" s="2">
        <f>C12/'Output-Calculation-sheet'!C11*'Output-Calculation-sheet'!C101</f>
        <v>167930279.24024138</v>
      </c>
      <c r="D122" s="2">
        <f>D12/'Output-Calculation-sheet'!D11*'Output-Calculation-sheet'!D101</f>
        <v>0</v>
      </c>
      <c r="E122" s="2">
        <f>E12/'Output-Calculation-sheet'!E11*'Output-Calculation-sheet'!E101</f>
        <v>1389018562.4343164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272397823.43449593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597292100.51109219</v>
      </c>
      <c r="M122" s="2">
        <f>M12/'Output-Calculation-sheet'!M11*'Output-Calculation-sheet'!M101</f>
        <v>228398705.81290129</v>
      </c>
      <c r="N122" s="2">
        <f>N12/'Output-Calculation-sheet'!N11*'Output-Calculation-sheet'!N101</f>
        <v>159290175.74739188</v>
      </c>
      <c r="O122" s="2">
        <f>O12/'Output-Calculation-sheet'!O11*'Output-Calculation-sheet'!O101</f>
        <v>18402730.23905158</v>
      </c>
      <c r="P122" s="2">
        <f>P12/'Output-Calculation-sheet'!P11*'Output-Calculation-sheet'!P101</f>
        <v>24839604.343405001</v>
      </c>
      <c r="Q122" s="2">
        <f>Q12/'Output-Calculation-sheet'!Q11*'Output-Calculation-sheet'!Q101</f>
        <v>348893786.08250272</v>
      </c>
      <c r="R122" s="2">
        <f>R12/'Output-Calculation-sheet'!R11*'Output-Calculation-sheet'!R101</f>
        <v>0</v>
      </c>
      <c r="S122" s="2">
        <f>S12/'Output-Calculation-sheet'!S11*'Output-Calculation-sheet'!S101</f>
        <v>94632534.756385967</v>
      </c>
      <c r="T122" s="2">
        <f>T12/'Output-Calculation-sheet'!T11*'Output-Calculation-sheet'!T101</f>
        <v>0</v>
      </c>
      <c r="U122" s="2">
        <f>U12/'Output-Calculation-sheet'!U11*'Output-Calculation-sheet'!U101</f>
        <v>32699272.515756439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8278662.1386622712</v>
      </c>
      <c r="Y122" s="2">
        <f>Y12/'Output-Calculation-sheet'!Y11*'Output-Calculation-sheet'!Y101</f>
        <v>49364909.58463195</v>
      </c>
      <c r="AA122" s="2">
        <f t="shared" si="10"/>
        <v>4284.9842866854988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45328181933.47847</v>
      </c>
      <c r="C129" s="2">
        <f>C8/'Output-Calculation-sheet'!C7*'Output-Calculation-sheet'!C106</f>
        <v>0</v>
      </c>
      <c r="D129" s="2">
        <f>D8/'Output-Calculation-sheet'!D7*'Output-Calculation-sheet'!D106</f>
        <v>19598986740.433678</v>
      </c>
      <c r="E129" s="2">
        <f>E8/'Output-Calculation-sheet'!E7*'Output-Calculation-sheet'!E106</f>
        <v>15549825338.389858</v>
      </c>
      <c r="F129" s="2">
        <f>F8/'Output-Calculation-sheet'!F7*'Output-Calculation-sheet'!F106</f>
        <v>10009977011.925207</v>
      </c>
      <c r="G129" s="2">
        <f>G8/'Output-Calculation-sheet'!G7*'Output-Calculation-sheet'!G106</f>
        <v>7033300821.8797665</v>
      </c>
      <c r="H129" s="2">
        <f>H8/'Output-Calculation-sheet'!H7*'Output-Calculation-sheet'!H106</f>
        <v>0</v>
      </c>
      <c r="I129" s="2">
        <f>I8/'Output-Calculation-sheet'!I7*'Output-Calculation-sheet'!I106</f>
        <v>6407875797.0208464</v>
      </c>
      <c r="J129" s="2">
        <f>J8/'Output-Calculation-sheet'!J7*'Output-Calculation-sheet'!J106</f>
        <v>6236965223.3203049</v>
      </c>
      <c r="K129" s="2">
        <f>K8/'Output-Calculation-sheet'!K7*'Output-Calculation-sheet'!K106</f>
        <v>6177181150.7882624</v>
      </c>
      <c r="L129" s="2">
        <f>L8/'Output-Calculation-sheet'!L7*'Output-Calculation-sheet'!L106</f>
        <v>4955426766.209548</v>
      </c>
      <c r="M129" s="2">
        <f>M8/'Output-Calculation-sheet'!M7*'Output-Calculation-sheet'!M106</f>
        <v>0</v>
      </c>
      <c r="N129" s="2">
        <f>N8/'Output-Calculation-sheet'!N7*'Output-Calculation-sheet'!N106</f>
        <v>2177743545.0082088</v>
      </c>
      <c r="O129" s="2">
        <f>O8/'Output-Calculation-sheet'!O7*'Output-Calculation-sheet'!O106</f>
        <v>0</v>
      </c>
      <c r="P129" s="2">
        <f>P8/'Output-Calculation-sheet'!P7*'Output-Calculation-sheet'!P106</f>
        <v>4229222845.5759339</v>
      </c>
      <c r="Q129" s="2">
        <f>Q8/'Output-Calculation-sheet'!Q7*'Output-Calculation-sheet'!Q106</f>
        <v>4160864022.9729605</v>
      </c>
      <c r="R129" s="2">
        <f>R8/'Output-Calculation-sheet'!R7*'Output-Calculation-sheet'!R106</f>
        <v>4002950697.723248</v>
      </c>
      <c r="S129" s="2">
        <f>S8/'Output-Calculation-sheet'!S7*'Output-Calculation-sheet'!S106</f>
        <v>2185804509.0014939</v>
      </c>
      <c r="T129" s="2">
        <f>T8/'Output-Calculation-sheet'!T7*'Output-Calculation-sheet'!T106</f>
        <v>1471440171.6579118</v>
      </c>
      <c r="U129" s="2">
        <f>U8/'Output-Calculation-sheet'!U7*'Output-Calculation-sheet'!U106</f>
        <v>1281576381.7796686</v>
      </c>
      <c r="V129" s="2">
        <f>V8/'Output-Calculation-sheet'!V7*'Output-Calculation-sheet'!V106</f>
        <v>986835176.05929768</v>
      </c>
      <c r="W129" s="2">
        <f>W8/'Output-Calculation-sheet'!W7*'Output-Calculation-sheet'!W106</f>
        <v>854387278.014606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142648.54541123926</v>
      </c>
    </row>
    <row r="130" spans="1:27" x14ac:dyDescent="0.25">
      <c r="A130" s="2">
        <v>2032</v>
      </c>
      <c r="B130" s="2">
        <f>B9/'Output-Calculation-sheet'!B8*'Output-Calculation-sheet'!B107</f>
        <v>48760672629.960381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0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1774570952.925215</v>
      </c>
      <c r="O130" s="2">
        <f>O9/'Output-Calculation-sheet'!O8*'Output-Calculation-sheet'!O107</f>
        <v>0</v>
      </c>
      <c r="P130" s="2">
        <f>P9/'Output-Calculation-sheet'!P8*'Output-Calculation-sheet'!P107</f>
        <v>5412875202.80229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1575523114.7754323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171084.72853214203</v>
      </c>
    </row>
    <row r="131" spans="1:27" x14ac:dyDescent="0.25">
      <c r="A131" s="2">
        <v>2033</v>
      </c>
      <c r="B131" s="2">
        <f>B10/'Output-Calculation-sheet'!B9*'Output-Calculation-sheet'!B108</f>
        <v>36810124884.570938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1348822758.7365582</v>
      </c>
      <c r="O131" s="2">
        <f>O10/'Output-Calculation-sheet'!O9*'Output-Calculation-sheet'!O108</f>
        <v>0</v>
      </c>
      <c r="P131" s="2">
        <f>P10/'Output-Calculation-sheet'!P9*'Output-Calculation-sheet'!P108</f>
        <v>6203612865.3413248</v>
      </c>
      <c r="Q131" s="2">
        <f>Q10/'Output-Calculation-sheet'!Q9*'Output-Calculation-sheet'!Q108</f>
        <v>5233377998.6914406</v>
      </c>
      <c r="R131" s="2">
        <f>R10/'Output-Calculation-sheet'!R9*'Output-Calculation-sheet'!R108</f>
        <v>5871774353.3673601</v>
      </c>
      <c r="S131" s="2">
        <f>S10/'Output-Calculation-sheet'!S9*'Output-Calculation-sheet'!S108</f>
        <v>1308286197.3153081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174957.87569268161</v>
      </c>
    </row>
    <row r="132" spans="1:27" x14ac:dyDescent="0.25">
      <c r="A132" s="2">
        <v>2034</v>
      </c>
      <c r="B132" s="2">
        <f>B11/'Output-Calculation-sheet'!B10*'Output-Calculation-sheet'!B109</f>
        <v>23944686677.351063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23109965536.741966</v>
      </c>
      <c r="F132" s="2">
        <f>F11/'Output-Calculation-sheet'!F10*'Output-Calculation-sheet'!F109</f>
        <v>15250077616.398796</v>
      </c>
      <c r="G132" s="2">
        <f>G11/'Output-Calculation-sheet'!G10*'Output-Calculation-sheet'!G109</f>
        <v>10715423217.635204</v>
      </c>
      <c r="H132" s="2">
        <f>H11/'Output-Calculation-sheet'!H10*'Output-Calculation-sheet'!H109</f>
        <v>0</v>
      </c>
      <c r="I132" s="2">
        <f>I11/'Output-Calculation-sheet'!I10*'Output-Calculation-sheet'!I109</f>
        <v>9761914849.406908</v>
      </c>
      <c r="J132" s="2">
        <f>J11/'Output-Calculation-sheet'!J10*'Output-Calculation-sheet'!J109</f>
        <v>9501639183.0938969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7073460674.556078</v>
      </c>
      <c r="M132" s="2">
        <f>M11/'Output-Calculation-sheet'!M10*'Output-Calculation-sheet'!M109</f>
        <v>0</v>
      </c>
      <c r="N132" s="2">
        <f>N11/'Output-Calculation-sheet'!N10*'Output-Calculation-sheet'!N109</f>
        <v>930168824.62298894</v>
      </c>
      <c r="O132" s="2">
        <f>O11/'Output-Calculation-sheet'!O10*'Output-Calculation-sheet'!O109</f>
        <v>0</v>
      </c>
      <c r="P132" s="2">
        <f>P11/'Output-Calculation-sheet'!P10*'Output-Calculation-sheet'!P109</f>
        <v>5284965689.4162693</v>
      </c>
      <c r="Q132" s="2">
        <f>Q11/'Output-Calculation-sheet'!Q10*'Output-Calculation-sheet'!Q109</f>
        <v>3404083304.3598166</v>
      </c>
      <c r="R132" s="2">
        <f>R11/'Output-Calculation-sheet'!R10*'Output-Calculation-sheet'!R109</f>
        <v>6097855800.5581665</v>
      </c>
      <c r="S132" s="2">
        <f>S11/'Output-Calculation-sheet'!S10*'Output-Calculation-sheet'!S109</f>
        <v>638384337.98558497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1953504242.1918716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161982.20889862877</v>
      </c>
    </row>
    <row r="133" spans="1:27" x14ac:dyDescent="0.25">
      <c r="A133" s="2">
        <v>2035</v>
      </c>
      <c r="B133" s="2">
        <f>B12/'Output-Calculation-sheet'!B11*'Output-Calculation-sheet'!B110</f>
        <v>306987959.34186041</v>
      </c>
      <c r="C133" s="2">
        <f>C12/'Output-Calculation-sheet'!C11*'Output-Calculation-sheet'!C110</f>
        <v>0</v>
      </c>
      <c r="D133" s="2">
        <f>D12/'Output-Calculation-sheet'!D11*'Output-Calculation-sheet'!D110</f>
        <v>25433619938.067539</v>
      </c>
      <c r="E133" s="2">
        <f>E12/'Output-Calculation-sheet'!E11*'Output-Calculation-sheet'!E110</f>
        <v>12367809893.210857</v>
      </c>
      <c r="F133" s="2">
        <f>F12/'Output-Calculation-sheet'!F11*'Output-Calculation-sheet'!F110</f>
        <v>13714960802.157293</v>
      </c>
      <c r="G133" s="2">
        <f>G12/'Output-Calculation-sheet'!G11*'Output-Calculation-sheet'!G110</f>
        <v>9506511676.5710354</v>
      </c>
      <c r="H133" s="2">
        <f>H12/'Output-Calculation-sheet'!H11*'Output-Calculation-sheet'!H110</f>
        <v>0</v>
      </c>
      <c r="I133" s="2">
        <f>I12/'Output-Calculation-sheet'!I11*'Output-Calculation-sheet'!I110</f>
        <v>8581407379.6071396</v>
      </c>
      <c r="J133" s="2">
        <f>J12/'Output-Calculation-sheet'!J11*'Output-Calculation-sheet'!J110</f>
        <v>8264541875.4669886</v>
      </c>
      <c r="K133" s="2">
        <f>K12/'Output-Calculation-sheet'!K11*'Output-Calculation-sheet'!K110</f>
        <v>8175969592.9252863</v>
      </c>
      <c r="L133" s="2">
        <f>L12/'Output-Calculation-sheet'!L11*'Output-Calculation-sheet'!L110</f>
        <v>6013417166.8685999</v>
      </c>
      <c r="M133" s="2">
        <f>M12/'Output-Calculation-sheet'!M11*'Output-Calculation-sheet'!M110</f>
        <v>0</v>
      </c>
      <c r="N133" s="2">
        <f>N12/'Output-Calculation-sheet'!N11*'Output-Calculation-sheet'!N110</f>
        <v>785955.83432404173</v>
      </c>
      <c r="O133" s="2">
        <f>O12/'Output-Calculation-sheet'!O11*'Output-Calculation-sheet'!O110</f>
        <v>0</v>
      </c>
      <c r="P133" s="2">
        <f>P12/'Output-Calculation-sheet'!P11*'Output-Calculation-sheet'!P110</f>
        <v>1863407472.2190001</v>
      </c>
      <c r="Q133" s="2">
        <f>Q12/'Output-Calculation-sheet'!Q11*'Output-Calculation-sheet'!Q110</f>
        <v>2475212240.1351833</v>
      </c>
      <c r="R133" s="2">
        <f>R12/'Output-Calculation-sheet'!R11*'Output-Calculation-sheet'!R110</f>
        <v>5438318901.9028645</v>
      </c>
      <c r="S133" s="2">
        <f>S12/'Output-Calculation-sheet'!S11*'Output-Calculation-sheet'!S110</f>
        <v>9003971.1836803909</v>
      </c>
      <c r="T133" s="2">
        <f>T12/'Output-Calculation-sheet'!T11*'Output-Calculation-sheet'!T110</f>
        <v>2043274464.6405692</v>
      </c>
      <c r="U133" s="2">
        <f>U12/'Output-Calculation-sheet'!U11*'Output-Calculation-sheet'!U110</f>
        <v>1657838466.631453</v>
      </c>
      <c r="V133" s="2">
        <f>V12/'Output-Calculation-sheet'!V11*'Output-Calculation-sheet'!V110</f>
        <v>1374104418.3008077</v>
      </c>
      <c r="W133" s="2">
        <f>W12/'Output-Calculation-sheet'!W11*'Output-Calculation-sheet'!W110</f>
        <v>1207203101.7588904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108434.37527682338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14164493509.208752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4452959970.363615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3060898203.2727981</v>
      </c>
      <c r="N140" s="2">
        <f>N8/'Output-Calculation-sheet'!N7*'Output-Calculation-sheet'!N115</f>
        <v>1155610394.411068</v>
      </c>
      <c r="O140" s="2">
        <f>O8/'Output-Calculation-sheet'!O7*'Output-Calculation-sheet'!O115</f>
        <v>3399409473.516355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332376794.91519302</v>
      </c>
      <c r="Y140" s="2">
        <f>Y8/'Output-Calculation-sheet'!Y7*'Output-Calculation-sheet'!Y115</f>
        <v>0</v>
      </c>
      <c r="AA140" s="2">
        <f t="shared" si="12"/>
        <v>26565.748345687774</v>
      </c>
    </row>
    <row r="141" spans="1:27" x14ac:dyDescent="0.25">
      <c r="A141" s="2">
        <v>2032</v>
      </c>
      <c r="B141" s="2">
        <f>B9/'Output-Calculation-sheet'!B8*'Output-Calculation-sheet'!B116</f>
        <v>5574470013.95364</v>
      </c>
      <c r="C141" s="2">
        <f>C9/'Output-Calculation-sheet'!C8*'Output-Calculation-sheet'!C116</f>
        <v>23862027764.986088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6220727160.9437571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4271040318.7250166</v>
      </c>
      <c r="N141" s="2">
        <f>N9/'Output-Calculation-sheet'!N8*'Output-Calculation-sheet'!N116</f>
        <v>2965221336.8805299</v>
      </c>
      <c r="O141" s="2">
        <f>O9/'Output-Calculation-sheet'!O8*'Output-Calculation-sheet'!O116</f>
        <v>4631759832.5174007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1328152287.2820923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464887730.97327203</v>
      </c>
      <c r="Y141" s="2">
        <f>Y9/'Output-Calculation-sheet'!Y8*'Output-Calculation-sheet'!Y116</f>
        <v>0</v>
      </c>
      <c r="AA141" s="2">
        <f t="shared" si="12"/>
        <v>49318.286446261794</v>
      </c>
    </row>
    <row r="142" spans="1:27" x14ac:dyDescent="0.25">
      <c r="A142" s="2">
        <v>2033</v>
      </c>
      <c r="B142" s="2">
        <f>B10/'Output-Calculation-sheet'!B9*'Output-Calculation-sheet'!B117</f>
        <v>26706902766.269405</v>
      </c>
      <c r="C142" s="2">
        <f>C10/'Output-Calculation-sheet'!C9*'Output-Calculation-sheet'!C117</f>
        <v>28201385785.778503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8734177482.2760391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6002014174.6454277</v>
      </c>
      <c r="N142" s="2">
        <f>N10/'Output-Calculation-sheet'!N9*'Output-Calculation-sheet'!N117</f>
        <v>4527630633.6117077</v>
      </c>
      <c r="O142" s="2">
        <f>O10/'Output-Calculation-sheet'!O9*'Output-Calculation-sheet'!O117</f>
        <v>5473531070.5432796</v>
      </c>
      <c r="P142" s="2">
        <f>P10/'Output-Calculation-sheet'!P9*'Output-Calculation-sheet'!P117</f>
        <v>0</v>
      </c>
      <c r="Q142" s="2">
        <f>Q10/'Output-Calculation-sheet'!Q9*'Output-Calculation-sheet'!Q117</f>
        <v>864653833.05044675</v>
      </c>
      <c r="R142" s="2">
        <f>R10/'Output-Calculation-sheet'!R9*'Output-Calculation-sheet'!R117</f>
        <v>0</v>
      </c>
      <c r="S142" s="2">
        <f>S10/'Output-Calculation-sheet'!S9*'Output-Calculation-sheet'!S117</f>
        <v>2201541166.3316045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657988729.13696015</v>
      </c>
      <c r="Y142" s="2">
        <f>Y10/'Output-Calculation-sheet'!Y9*'Output-Calculation-sheet'!Y117</f>
        <v>0</v>
      </c>
      <c r="AA142" s="2">
        <f t="shared" si="12"/>
        <v>83369.825641643372</v>
      </c>
    </row>
    <row r="143" spans="1:27" x14ac:dyDescent="0.25">
      <c r="A143" s="2">
        <v>2034</v>
      </c>
      <c r="B143" s="2">
        <f>B11/'Output-Calculation-sheet'!B10*'Output-Calculation-sheet'!B118</f>
        <v>43019217047.98848</v>
      </c>
      <c r="C143" s="2">
        <f>C11/'Output-Calculation-sheet'!C10*'Output-Calculation-sheet'!C118</f>
        <v>33006708283.722248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9149623748.5631714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6284063305.8909998</v>
      </c>
      <c r="N143" s="2">
        <f>N11/'Output-Calculation-sheet'!N10*'Output-Calculation-sheet'!N118</f>
        <v>5529471598.3098526</v>
      </c>
      <c r="O143" s="2">
        <f>O11/'Output-Calculation-sheet'!O10*'Output-Calculation-sheet'!O118</f>
        <v>6412286466.9729357</v>
      </c>
      <c r="P143" s="2">
        <f>P11/'Output-Calculation-sheet'!P10*'Output-Calculation-sheet'!P118</f>
        <v>1157719389.019274</v>
      </c>
      <c r="Q143" s="2">
        <f>Q11/'Output-Calculation-sheet'!Q10*'Output-Calculation-sheet'!Q118</f>
        <v>2725677621.107861</v>
      </c>
      <c r="R143" s="2">
        <f>R11/'Output-Calculation-sheet'!R10*'Output-Calculation-sheet'!R118</f>
        <v>0</v>
      </c>
      <c r="S143" s="2">
        <f>S11/'Output-Calculation-sheet'!S10*'Output-Calculation-sheet'!S118</f>
        <v>3183863926.9133191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689894539.65896511</v>
      </c>
      <c r="Y143" s="2">
        <f>Y11/'Output-Calculation-sheet'!Y10*'Output-Calculation-sheet'!Y118</f>
        <v>80845454.2527816</v>
      </c>
      <c r="AA143" s="2">
        <f t="shared" si="12"/>
        <v>111239.37138239988</v>
      </c>
    </row>
    <row r="144" spans="1:27" x14ac:dyDescent="0.25">
      <c r="A144" s="2">
        <v>2035</v>
      </c>
      <c r="B144" s="2">
        <f>B12/'Output-Calculation-sheet'!B11*'Output-Calculation-sheet'!B119</f>
        <v>65492308288.951027</v>
      </c>
      <c r="C144" s="2">
        <f>C12/'Output-Calculation-sheet'!C11*'Output-Calculation-sheet'!C119</f>
        <v>31339370444.410416</v>
      </c>
      <c r="D144" s="2">
        <f>D12/'Output-Calculation-sheet'!D11*'Output-Calculation-sheet'!D119</f>
        <v>0</v>
      </c>
      <c r="E144" s="2">
        <f>E12/'Output-Calculation-sheet'!E11*'Output-Calculation-sheet'!E119</f>
        <v>8256570014.0743275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9521434873.838171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6523642361.6361389</v>
      </c>
      <c r="N144" s="2">
        <f>N12/'Output-Calculation-sheet'!N11*'Output-Calculation-sheet'!N119</f>
        <v>6459363845.4900665</v>
      </c>
      <c r="O144" s="2">
        <f>O12/'Output-Calculation-sheet'!O11*'Output-Calculation-sheet'!O119</f>
        <v>6093429382.1674719</v>
      </c>
      <c r="P144" s="2">
        <f>P12/'Output-Calculation-sheet'!P11*'Output-Calculation-sheet'!P119</f>
        <v>4143318314.3495607</v>
      </c>
      <c r="Q144" s="2">
        <f>Q12/'Output-Calculation-sheet'!Q11*'Output-Calculation-sheet'!Q119</f>
        <v>2839529465.0131164</v>
      </c>
      <c r="R144" s="2">
        <f>R12/'Output-Calculation-sheet'!R11*'Output-Calculation-sheet'!R119</f>
        <v>0</v>
      </c>
      <c r="S144" s="2">
        <f>S12/'Output-Calculation-sheet'!S11*'Output-Calculation-sheet'!S119</f>
        <v>3689942734.1624532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725907809.73188376</v>
      </c>
      <c r="Y144" s="2">
        <f>Y12/'Output-Calculation-sheet'!Y11*'Output-Calculation-sheet'!Y119</f>
        <v>346388472.36459106</v>
      </c>
      <c r="AA144" s="2">
        <f t="shared" si="12"/>
        <v>145431.2060061892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46663120639.747238</v>
      </c>
      <c r="C151" s="2">
        <f>C8/'Output-Calculation-sheet'!C7*'Output-Calculation-sheet'!C124</f>
        <v>21990049574.581165</v>
      </c>
      <c r="D151" s="2">
        <f>D8/'Output-Calculation-sheet'!D7*'Output-Calculation-sheet'!D124</f>
        <v>19598986740.433678</v>
      </c>
      <c r="E151" s="2">
        <f>E8/'Output-Calculation-sheet'!E7*'Output-Calculation-sheet'!E124</f>
        <v>15549825338.389858</v>
      </c>
      <c r="F151" s="2">
        <f>F8/'Output-Calculation-sheet'!F7*'Output-Calculation-sheet'!F124</f>
        <v>10009977011.925207</v>
      </c>
      <c r="G151" s="2">
        <f>G8/'Output-Calculation-sheet'!G7*'Output-Calculation-sheet'!G124</f>
        <v>7033300821.8797665</v>
      </c>
      <c r="H151" s="2">
        <f>H8/'Output-Calculation-sheet'!H7*'Output-Calculation-sheet'!H124</f>
        <v>6860722914.9797287</v>
      </c>
      <c r="I151" s="2">
        <f>I8/'Output-Calculation-sheet'!I7*'Output-Calculation-sheet'!I124</f>
        <v>6407875797.0208464</v>
      </c>
      <c r="J151" s="2">
        <f>J8/'Output-Calculation-sheet'!J7*'Output-Calculation-sheet'!J124</f>
        <v>6236965223.3203049</v>
      </c>
      <c r="K151" s="2">
        <f>K8/'Output-Calculation-sheet'!K7*'Output-Calculation-sheet'!K124</f>
        <v>6177181150.7882624</v>
      </c>
      <c r="L151" s="2">
        <f>L8/'Output-Calculation-sheet'!L7*'Output-Calculation-sheet'!L124</f>
        <v>4955426766.209548</v>
      </c>
      <c r="M151" s="2">
        <f>M8/'Output-Calculation-sheet'!M7*'Output-Calculation-sheet'!M124</f>
        <v>4733297053.2488546</v>
      </c>
      <c r="N151" s="2">
        <f>N8/'Output-Calculation-sheet'!N7*'Output-Calculation-sheet'!N124</f>
        <v>4645709293.7001514</v>
      </c>
      <c r="O151" s="2">
        <f>O8/'Output-Calculation-sheet'!O7*'Output-Calculation-sheet'!O124</f>
        <v>4272666407.5434771</v>
      </c>
      <c r="P151" s="2">
        <f>P8/'Output-Calculation-sheet'!P7*'Output-Calculation-sheet'!P124</f>
        <v>4229222845.5759339</v>
      </c>
      <c r="Q151" s="2">
        <f>Q8/'Output-Calculation-sheet'!Q7*'Output-Calculation-sheet'!Q124</f>
        <v>4160864022.9729605</v>
      </c>
      <c r="R151" s="2">
        <f>R8/'Output-Calculation-sheet'!R7*'Output-Calculation-sheet'!R124</f>
        <v>4002950697.723248</v>
      </c>
      <c r="S151" s="2">
        <f>S8/'Output-Calculation-sheet'!S7*'Output-Calculation-sheet'!S124</f>
        <v>2660559811.6305537</v>
      </c>
      <c r="T151" s="2">
        <f>T8/'Output-Calculation-sheet'!T7*'Output-Calculation-sheet'!T124</f>
        <v>1471440171.6579118</v>
      </c>
      <c r="U151" s="2">
        <f>U8/'Output-Calculation-sheet'!U7*'Output-Calculation-sheet'!U124</f>
        <v>1281576381.7796686</v>
      </c>
      <c r="V151" s="2">
        <f>V8/'Output-Calculation-sheet'!V7*'Output-Calculation-sheet'!V124</f>
        <v>986835176.05929768</v>
      </c>
      <c r="W151" s="2">
        <f>W8/'Output-Calculation-sheet'!W7*'Output-Calculation-sheet'!W124</f>
        <v>854387278.014606</v>
      </c>
      <c r="X151" s="2">
        <f>X8/'Output-Calculation-sheet'!X7*'Output-Calculation-sheet'!X124</f>
        <v>512629649.00961971</v>
      </c>
      <c r="Y151" s="2">
        <f>Y8/'Output-Calculation-sheet'!Y7*'Output-Calculation-sheet'!Y124</f>
        <v>498527507.2435227</v>
      </c>
      <c r="AA151" s="2">
        <f t="shared" si="13"/>
        <v>185794.09827543539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16886835980.344822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3281111843.3326755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142677.00555808563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2089234887.4605098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90849.021606938288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1493165728.7256284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905569400.71520865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579043571.59476674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278921854.15534192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40436.177749305265</v>
      </c>
    </row>
    <row r="155" spans="1:27" x14ac:dyDescent="0.25">
      <c r="A155" s="2">
        <v>2035</v>
      </c>
      <c r="B155" s="2">
        <f>B12/'Output-Calculation-sheet'!B11*'Output-Calculation-sheet'!B128</f>
        <v>341651345.57142925</v>
      </c>
      <c r="C155" s="2">
        <f>C12/'Output-Calculation-sheet'!C11*'Output-Calculation-sheet'!C128</f>
        <v>43908763.520934969</v>
      </c>
      <c r="D155" s="2">
        <f>D12/'Output-Calculation-sheet'!D11*'Output-Calculation-sheet'!D128</f>
        <v>3423933069.5301843</v>
      </c>
      <c r="E155" s="2">
        <f>E12/'Output-Calculation-sheet'!E11*'Output-Calculation-sheet'!E128</f>
        <v>637762190.83219326</v>
      </c>
      <c r="F155" s="2">
        <f>F12/'Output-Calculation-sheet'!F11*'Output-Calculation-sheet'!F128</f>
        <v>987278875.78632212</v>
      </c>
      <c r="G155" s="2">
        <f>G12/'Output-Calculation-sheet'!G11*'Output-Calculation-sheet'!G128</f>
        <v>881836500.28831565</v>
      </c>
      <c r="H155" s="2">
        <f>H12/'Output-Calculation-sheet'!H11*'Output-Calculation-sheet'!H128</f>
        <v>70680582.730409876</v>
      </c>
      <c r="I155" s="2">
        <f>I12/'Output-Calculation-sheet'!I11*'Output-Calculation-sheet'!I128</f>
        <v>879352318.76787198</v>
      </c>
      <c r="J155" s="2">
        <f>J12/'Output-Calculation-sheet'!J11*'Output-Calculation-sheet'!J128</f>
        <v>841982438.2326678</v>
      </c>
      <c r="K155" s="2">
        <f>K12/'Output-Calculation-sheet'!K11*'Output-Calculation-sheet'!K128</f>
        <v>956116817.66817522</v>
      </c>
      <c r="L155" s="2">
        <f>L12/'Output-Calculation-sheet'!L11*'Output-Calculation-sheet'!L128</f>
        <v>691414317.64779711</v>
      </c>
      <c r="M155" s="2">
        <f>M12/'Output-Calculation-sheet'!M11*'Output-Calculation-sheet'!M128</f>
        <v>58948463.65876735</v>
      </c>
      <c r="N155" s="2">
        <f>N12/'Output-Calculation-sheet'!N11*'Output-Calculation-sheet'!N128</f>
        <v>59661717.038494997</v>
      </c>
      <c r="O155" s="2">
        <f>O12/'Output-Calculation-sheet'!O11*'Output-Calculation-sheet'!O128</f>
        <v>19758015.104343735</v>
      </c>
      <c r="P155" s="2">
        <f>P12/'Output-Calculation-sheet'!P11*'Output-Calculation-sheet'!P128</f>
        <v>66689466.192501538</v>
      </c>
      <c r="Q155" s="2">
        <f>Q12/'Output-Calculation-sheet'!Q11*'Output-Calculation-sheet'!Q128</f>
        <v>397464137.08191079</v>
      </c>
      <c r="R155" s="2">
        <f>R12/'Output-Calculation-sheet'!R11*'Output-Calculation-sheet'!R128</f>
        <v>444422127.02732098</v>
      </c>
      <c r="S155" s="2">
        <f>S12/'Output-Calculation-sheet'!S11*'Output-Calculation-sheet'!S128</f>
        <v>31156045.14424115</v>
      </c>
      <c r="T155" s="2">
        <f>T12/'Output-Calculation-sheet'!T11*'Output-Calculation-sheet'!T128</f>
        <v>104518098.8307585</v>
      </c>
      <c r="U155" s="2">
        <f>U12/'Output-Calculation-sheet'!U11*'Output-Calculation-sheet'!U128</f>
        <v>205694729.60127759</v>
      </c>
      <c r="V155" s="2">
        <f>V12/'Output-Calculation-sheet'!V11*'Output-Calculation-sheet'!V128</f>
        <v>51327665.246523976</v>
      </c>
      <c r="W155" s="2">
        <f>W12/'Output-Calculation-sheet'!W11*'Output-Calculation-sheet'!W128</f>
        <v>47636046.903338425</v>
      </c>
      <c r="X155" s="2">
        <f>X12/'Output-Calculation-sheet'!X11*'Output-Calculation-sheet'!X128</f>
        <v>1812682.0791228034</v>
      </c>
      <c r="Y155" s="2">
        <f>Y12/'Output-Calculation-sheet'!Y11*'Output-Calculation-sheet'!Y128</f>
        <v>14095575.972132126</v>
      </c>
      <c r="AA155" s="2">
        <f t="shared" si="13"/>
        <v>11259.101990457035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1057.7968590920318</v>
      </c>
      <c r="C19" s="2">
        <f>C8/'Output-Calculation-sheet'!C7*'Output-Calculation-sheet'!C25</f>
        <v>4976.8986789644032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1507.5624556364858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1047.2127362226774</v>
      </c>
      <c r="N19" s="2">
        <f>N8/'Output-Calculation-sheet'!N7*'Output-Calculation-sheet'!N25</f>
        <v>871.15724654334622</v>
      </c>
      <c r="O19" s="2">
        <f>O8/'Output-Calculation-sheet'!O7*'Output-Calculation-sheet'!O25</f>
        <v>546.74533661496616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402.8852512162166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113.33754860642907</v>
      </c>
      <c r="Y19" s="2">
        <f>Y8/'Output-Calculation-sheet'!Y7*'Output-Calculation-sheet'!Y25</f>
        <v>0</v>
      </c>
      <c r="AA19" s="2">
        <f t="shared" si="0"/>
        <v>10.523596112896554</v>
      </c>
    </row>
    <row r="20" spans="1:27" x14ac:dyDescent="0.25">
      <c r="A20" s="2">
        <v>2032</v>
      </c>
      <c r="B20" s="2">
        <f>B9/'Output-Calculation-sheet'!B8*'Output-Calculation-sheet'!B26</f>
        <v>5155.3390532795138</v>
      </c>
      <c r="C20" s="2">
        <f>C9/'Output-Calculation-sheet'!C8*'Output-Calculation-sheet'!C26</f>
        <v>2827.0620762233307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1697.0993234692348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1185.9447196529829</v>
      </c>
      <c r="N20" s="2">
        <f>N9/'Output-Calculation-sheet'!N8*'Output-Calculation-sheet'!N26</f>
        <v>821.89200753546424</v>
      </c>
      <c r="O20" s="2">
        <f>O9/'Output-Calculation-sheet'!O8*'Output-Calculation-sheet'!O26</f>
        <v>552.35553827822355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389.86711304680546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129.04810613843679</v>
      </c>
      <c r="Y20" s="2">
        <f>Y9/'Output-Calculation-sheet'!Y8*'Output-Calculation-sheet'!Y26</f>
        <v>0</v>
      </c>
      <c r="AA20" s="2">
        <f t="shared" si="0"/>
        <v>12.75860793762399</v>
      </c>
    </row>
    <row r="21" spans="1:27" x14ac:dyDescent="0.25">
      <c r="A21" s="2">
        <v>2033</v>
      </c>
      <c r="B21" s="2">
        <f>B10/'Output-Calculation-sheet'!B9*'Output-Calculation-sheet'!B27</f>
        <v>4767.998343148558</v>
      </c>
      <c r="C21" s="2">
        <f>C10/'Output-Calculation-sheet'!C9*'Output-Calculation-sheet'!C27</f>
        <v>2930.6135643814937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960.88017553895463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680.11891486005277</v>
      </c>
      <c r="N21" s="2">
        <f>N10/'Output-Calculation-sheet'!N9*'Output-Calculation-sheet'!N27</f>
        <v>688.75458321879535</v>
      </c>
      <c r="O21" s="2">
        <f>O10/'Output-Calculation-sheet'!O9*'Output-Calculation-sheet'!O27</f>
        <v>573.75130567270935</v>
      </c>
      <c r="P21" s="2">
        <f>P10/'Output-Calculation-sheet'!P9*'Output-Calculation-sheet'!P27</f>
        <v>0</v>
      </c>
      <c r="Q21" s="2">
        <f>Q10/'Output-Calculation-sheet'!Q9*'Output-Calculation-sheet'!Q27</f>
        <v>7.8756976996597272</v>
      </c>
      <c r="R21" s="2">
        <f>R10/'Output-Calculation-sheet'!R9*'Output-Calculation-sheet'!R27</f>
        <v>0</v>
      </c>
      <c r="S21" s="2">
        <f>S10/'Output-Calculation-sheet'!S9*'Output-Calculation-sheet'!S27</f>
        <v>327.95943182056362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67.912796613362715</v>
      </c>
      <c r="Y21" s="2">
        <f>Y10/'Output-Calculation-sheet'!Y9*'Output-Calculation-sheet'!Y27</f>
        <v>0</v>
      </c>
      <c r="AA21" s="2">
        <f t="shared" si="0"/>
        <v>11.005864812954149</v>
      </c>
    </row>
    <row r="22" spans="1:27" x14ac:dyDescent="0.25">
      <c r="A22" s="2">
        <v>2034</v>
      </c>
      <c r="B22" s="2">
        <f>B11/'Output-Calculation-sheet'!B10*'Output-Calculation-sheet'!B28</f>
        <v>4063.5861003495379</v>
      </c>
      <c r="C22" s="2">
        <f>C11/'Output-Calculation-sheet'!C10*'Output-Calculation-sheet'!C28</f>
        <v>409.37326023779605</v>
      </c>
      <c r="D22" s="2">
        <f>D11/'Output-Calculation-sheet'!D10*'Output-Calculation-sheet'!D28</f>
        <v>0</v>
      </c>
      <c r="E22" s="2">
        <f>E11/'Output-Calculation-sheet'!E10*'Output-Calculation-sheet'!E28</f>
        <v>1385.567163132306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1077.9118672386014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824.44168393253472</v>
      </c>
      <c r="M22" s="2">
        <f>M11/'Output-Calculation-sheet'!M10*'Output-Calculation-sheet'!M28</f>
        <v>767.14576725588893</v>
      </c>
      <c r="N22" s="2">
        <f>N11/'Output-Calculation-sheet'!N10*'Output-Calculation-sheet'!N28</f>
        <v>512.84132211658698</v>
      </c>
      <c r="O22" s="2">
        <f>O11/'Output-Calculation-sheet'!O10*'Output-Calculation-sheet'!O28</f>
        <v>80.299517729669958</v>
      </c>
      <c r="P22" s="2">
        <f>P11/'Output-Calculation-sheet'!P10*'Output-Calculation-sheet'!P28</f>
        <v>0</v>
      </c>
      <c r="Q22" s="2">
        <f>Q11/'Output-Calculation-sheet'!Q10*'Output-Calculation-sheet'!Q28</f>
        <v>262.88632630005719</v>
      </c>
      <c r="R22" s="2">
        <f>R11/'Output-Calculation-sheet'!R10*'Output-Calculation-sheet'!R28</f>
        <v>0</v>
      </c>
      <c r="S22" s="2">
        <f>S11/'Output-Calculation-sheet'!S10*'Output-Calculation-sheet'!S28</f>
        <v>192.02406095805867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75.377412928467137</v>
      </c>
      <c r="Y22" s="2">
        <f>Y11/'Output-Calculation-sheet'!Y10*'Output-Calculation-sheet'!Y28</f>
        <v>30.725962531080896</v>
      </c>
      <c r="AA22" s="2">
        <f t="shared" si="0"/>
        <v>9.6821804447105837</v>
      </c>
    </row>
    <row r="23" spans="1:27" x14ac:dyDescent="0.25">
      <c r="A23" s="2">
        <v>2035</v>
      </c>
      <c r="B23" s="2">
        <f>B12/'Output-Calculation-sheet'!B11*'Output-Calculation-sheet'!B29</f>
        <v>895.8541701800284</v>
      </c>
      <c r="C23" s="2">
        <f>C12/'Output-Calculation-sheet'!C11*'Output-Calculation-sheet'!C29</f>
        <v>168.36309192040983</v>
      </c>
      <c r="D23" s="2">
        <f>D12/'Output-Calculation-sheet'!D11*'Output-Calculation-sheet'!D29</f>
        <v>0</v>
      </c>
      <c r="E23" s="2">
        <f>E12/'Output-Calculation-sheet'!E11*'Output-Calculation-sheet'!E29</f>
        <v>2268.3033404976177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273.10164153966338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1143.457509896753</v>
      </c>
      <c r="M23" s="2">
        <f>M12/'Output-Calculation-sheet'!M11*'Output-Calculation-sheet'!M29</f>
        <v>228.98944782907429</v>
      </c>
      <c r="N23" s="2">
        <f>N12/'Output-Calculation-sheet'!N11*'Output-Calculation-sheet'!N29</f>
        <v>159.70165403328838</v>
      </c>
      <c r="O23" s="2">
        <f>O12/'Output-Calculation-sheet'!O11*'Output-Calculation-sheet'!O29</f>
        <v>18.450466768993202</v>
      </c>
      <c r="P23" s="2">
        <f>P12/'Output-Calculation-sheet'!P11*'Output-Calculation-sheet'!P29</f>
        <v>31.780504342387712</v>
      </c>
      <c r="Q23" s="2">
        <f>Q12/'Output-Calculation-sheet'!Q11*'Output-Calculation-sheet'!Q29</f>
        <v>445.60037689780836</v>
      </c>
      <c r="R23" s="2">
        <f>R12/'Output-Calculation-sheet'!R11*'Output-Calculation-sheet'!R29</f>
        <v>0</v>
      </c>
      <c r="S23" s="2">
        <f>S12/'Output-Calculation-sheet'!S11*'Output-Calculation-sheet'!S29</f>
        <v>94.877145564655152</v>
      </c>
      <c r="T23" s="2">
        <f>T12/'Output-Calculation-sheet'!T11*'Output-Calculation-sheet'!T29</f>
        <v>0</v>
      </c>
      <c r="U23" s="2">
        <f>U12/'Output-Calculation-sheet'!U11*'Output-Calculation-sheet'!U29</f>
        <v>103.44007321854761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8.3000561598697509</v>
      </c>
      <c r="Y23" s="2">
        <f>Y12/'Output-Calculation-sheet'!Y11*'Output-Calculation-sheet'!Y29</f>
        <v>70.293668680625473</v>
      </c>
      <c r="AA23" s="2">
        <f t="shared" si="0"/>
        <v>5.9105131475297217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18438.456855789398</v>
      </c>
      <c r="C30" s="2">
        <f>C8/'Output-Calculation-sheet'!C7*'Output-Calculation-sheet'!C16</f>
        <v>0</v>
      </c>
      <c r="D30" s="2">
        <f>D8/'Output-Calculation-sheet'!D7*'Output-Calculation-sheet'!D16</f>
        <v>3104.7692391743367</v>
      </c>
      <c r="E30" s="2">
        <f>E8/'Output-Calculation-sheet'!E7*'Output-Calculation-sheet'!E16</f>
        <v>3340.5605808067535</v>
      </c>
      <c r="F30" s="2">
        <f>F8/'Output-Calculation-sheet'!F7*'Output-Calculation-sheet'!F16</f>
        <v>1685.3581296526913</v>
      </c>
      <c r="G30" s="2">
        <f>G8/'Output-Calculation-sheet'!G7*'Output-Calculation-sheet'!G16</f>
        <v>1103.6947238449516</v>
      </c>
      <c r="H30" s="2">
        <f>H8/'Output-Calculation-sheet'!H7*'Output-Calculation-sheet'!H16</f>
        <v>0</v>
      </c>
      <c r="I30" s="2">
        <f>I8/'Output-Calculation-sheet'!I7*'Output-Calculation-sheet'!I16</f>
        <v>1075.9502444901477</v>
      </c>
      <c r="J30" s="2">
        <f>J8/'Output-Calculation-sheet'!J7*'Output-Calculation-sheet'!J16</f>
        <v>957.78941860738382</v>
      </c>
      <c r="K30" s="2">
        <f>K8/'Output-Calculation-sheet'!K7*'Output-Calculation-sheet'!K16</f>
        <v>1278.833053389598</v>
      </c>
      <c r="L30" s="2">
        <f>L8/'Output-Calculation-sheet'!L7*'Output-Calculation-sheet'!L16</f>
        <v>1080.1989375757162</v>
      </c>
      <c r="M30" s="2">
        <f>M8/'Output-Calculation-sheet'!M7*'Output-Calculation-sheet'!M16</f>
        <v>0</v>
      </c>
      <c r="N30" s="2">
        <f>N8/'Output-Calculation-sheet'!N7*'Output-Calculation-sheet'!N16</f>
        <v>993.10083342485837</v>
      </c>
      <c r="O30" s="2">
        <f>O8/'Output-Calculation-sheet'!O7*'Output-Calculation-sheet'!O16</f>
        <v>0</v>
      </c>
      <c r="P30" s="2">
        <f>P8/'Output-Calculation-sheet'!P7*'Output-Calculation-sheet'!P16</f>
        <v>1379.0136952273808</v>
      </c>
      <c r="Q30" s="2">
        <f>Q8/'Output-Calculation-sheet'!Q7*'Output-Calculation-sheet'!Q16</f>
        <v>1516.4666793002359</v>
      </c>
      <c r="R30" s="2">
        <f>R8/'Output-Calculation-sheet'!R7*'Output-Calculation-sheet'!R16</f>
        <v>962.20352691871278</v>
      </c>
      <c r="S30" s="2">
        <f>S8/'Output-Calculation-sheet'!S7*'Output-Calculation-sheet'!S16</f>
        <v>967.69602252302377</v>
      </c>
      <c r="T30" s="2">
        <f>T8/'Output-Calculation-sheet'!T7*'Output-Calculation-sheet'!T16</f>
        <v>288.83787199164829</v>
      </c>
      <c r="U30" s="2">
        <f>U8/'Output-Calculation-sheet'!U7*'Output-Calculation-sheet'!U16</f>
        <v>288.32289970319101</v>
      </c>
      <c r="V30" s="2">
        <f>V8/'Output-Calculation-sheet'!V7*'Output-Calculation-sheet'!V16</f>
        <v>224.39525774949925</v>
      </c>
      <c r="W30" s="2">
        <f>W8/'Output-Calculation-sheet'!W7*'Output-Calculation-sheet'!W16</f>
        <v>136.10872317331479</v>
      </c>
      <c r="X30" s="2">
        <f>X8/'Output-Calculation-sheet'!X7*'Output-Calculation-sheet'!X16</f>
        <v>0</v>
      </c>
      <c r="Y30" s="2">
        <f>Y8/'Output-Calculation-sheet'!Y7*'Output-Calculation-sheet'!Y16</f>
        <v>115.19850316570455</v>
      </c>
      <c r="AA30" s="2">
        <f t="shared" si="1"/>
        <v>38.936955196508542</v>
      </c>
    </row>
    <row r="31" spans="1:27" x14ac:dyDescent="0.25">
      <c r="A31" s="2">
        <v>2032</v>
      </c>
      <c r="B31" s="2">
        <f>B9/'Output-Calculation-sheet'!B8*'Output-Calculation-sheet'!B17</f>
        <v>21675.18013946155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847.52238733767217</v>
      </c>
      <c r="O31" s="2">
        <f>O9/'Output-Calculation-sheet'!O8*'Output-Calculation-sheet'!O17</f>
        <v>0</v>
      </c>
      <c r="P31" s="2">
        <f>P9/'Output-Calculation-sheet'!P8*'Output-Calculation-sheet'!P17</f>
        <v>2118.2423948959031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701.46697047217208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49.660407520705213</v>
      </c>
    </row>
    <row r="32" spans="1:27" x14ac:dyDescent="0.25">
      <c r="A32" s="2">
        <v>2033</v>
      </c>
      <c r="B32" s="2">
        <f>B10/'Output-Calculation-sheet'!B9*'Output-Calculation-sheet'!B18</f>
        <v>17247.110590782606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2700.1461037242207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698.08010251098074</v>
      </c>
      <c r="O32" s="2">
        <f>O10/'Output-Calculation-sheet'!O9*'Output-Calculation-sheet'!O18</f>
        <v>0</v>
      </c>
      <c r="P32" s="2">
        <f>P10/'Output-Calculation-sheet'!P9*'Output-Calculation-sheet'!P18</f>
        <v>2779.041919383053</v>
      </c>
      <c r="Q32" s="2">
        <f>Q10/'Output-Calculation-sheet'!Q9*'Output-Calculation-sheet'!Q18</f>
        <v>2573.3016555653517</v>
      </c>
      <c r="R32" s="2">
        <f>R10/'Output-Calculation-sheet'!R9*'Output-Calculation-sheet'!R18</f>
        <v>1995.5915554669537</v>
      </c>
      <c r="S32" s="2">
        <f>S10/'Output-Calculation-sheet'!S9*'Output-Calculation-sheet'!S18</f>
        <v>635.0465538997156</v>
      </c>
      <c r="T32" s="2">
        <f>T10/'Output-Calculation-sheet'!T9*'Output-Calculation-sheet'!T18</f>
        <v>582.65915729831659</v>
      </c>
      <c r="U32" s="2">
        <f>U10/'Output-Calculation-sheet'!U9*'Output-Calculation-sheet'!U18</f>
        <v>644.11045065359122</v>
      </c>
      <c r="V32" s="2">
        <f>V10/'Output-Calculation-sheet'!V9*'Output-Calculation-sheet'!V18</f>
        <v>475.39909973196649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275.28114109012796</v>
      </c>
      <c r="AA32" s="2">
        <f t="shared" si="1"/>
        <v>54.83011530807736</v>
      </c>
    </row>
    <row r="33" spans="1:27" x14ac:dyDescent="0.25">
      <c r="A33" s="2">
        <v>2034</v>
      </c>
      <c r="B33" s="2">
        <f>B11/'Output-Calculation-sheet'!B10*'Output-Calculation-sheet'!B19</f>
        <v>12264.461933951943</v>
      </c>
      <c r="C33" s="2">
        <f>C11/'Output-Calculation-sheet'!C10*'Output-Calculation-sheet'!C19</f>
        <v>0</v>
      </c>
      <c r="D33" s="2">
        <f>D11/'Output-Calculation-sheet'!D10*'Output-Calculation-sheet'!D19</f>
        <v>8158.8138102372332</v>
      </c>
      <c r="E33" s="2">
        <f>E11/'Output-Calculation-sheet'!E10*'Output-Calculation-sheet'!E19</f>
        <v>10095.617338582573</v>
      </c>
      <c r="F33" s="2">
        <f>F11/'Output-Calculation-sheet'!F10*'Output-Calculation-sheet'!F19</f>
        <v>4630.7249618409296</v>
      </c>
      <c r="G33" s="2">
        <f>G11/'Output-Calculation-sheet'!G10*'Output-Calculation-sheet'!G19</f>
        <v>2777.0486526233294</v>
      </c>
      <c r="H33" s="2">
        <f>H11/'Output-Calculation-sheet'!H10*'Output-Calculation-sheet'!H19</f>
        <v>0</v>
      </c>
      <c r="I33" s="2">
        <f>I11/'Output-Calculation-sheet'!I10*'Output-Calculation-sheet'!I19</f>
        <v>3030.4892102501904</v>
      </c>
      <c r="J33" s="2">
        <f>J11/'Output-Calculation-sheet'!J10*'Output-Calculation-sheet'!J19</f>
        <v>2562.4033027945165</v>
      </c>
      <c r="K33" s="2">
        <f>K11/'Output-Calculation-sheet'!K10*'Output-Calculation-sheet'!K19</f>
        <v>3554.1441391898934</v>
      </c>
      <c r="L33" s="2">
        <f>L11/'Output-Calculation-sheet'!L10*'Output-Calculation-sheet'!L19</f>
        <v>2890.8293672874561</v>
      </c>
      <c r="M33" s="2">
        <f>M11/'Output-Calculation-sheet'!M10*'Output-Calculation-sheet'!M19</f>
        <v>0</v>
      </c>
      <c r="N33" s="2">
        <f>N11/'Output-Calculation-sheet'!N10*'Output-Calculation-sheet'!N19</f>
        <v>548.75231700268046</v>
      </c>
      <c r="O33" s="2">
        <f>O11/'Output-Calculation-sheet'!O10*'Output-Calculation-sheet'!O19</f>
        <v>0</v>
      </c>
      <c r="P33" s="2">
        <f>P11/'Output-Calculation-sheet'!P10*'Output-Calculation-sheet'!P19</f>
        <v>2716.4133811376892</v>
      </c>
      <c r="Q33" s="2">
        <f>Q11/'Output-Calculation-sheet'!Q10*'Output-Calculation-sheet'!Q19</f>
        <v>1731.6081495479207</v>
      </c>
      <c r="R33" s="2">
        <f>R11/'Output-Calculation-sheet'!R10*'Output-Calculation-sheet'!R19</f>
        <v>2567.5302969816485</v>
      </c>
      <c r="S33" s="2">
        <f>S11/'Output-Calculation-sheet'!S10*'Output-Calculation-sheet'!S19</f>
        <v>348.84132963985735</v>
      </c>
      <c r="T33" s="2">
        <f>T11/'Output-Calculation-sheet'!T10*'Output-Calculation-sheet'!T19</f>
        <v>753.30794144483946</v>
      </c>
      <c r="U33" s="2">
        <f>U11/'Output-Calculation-sheet'!U10*'Output-Calculation-sheet'!U19</f>
        <v>866.46450665401801</v>
      </c>
      <c r="V33" s="2">
        <f>V11/'Output-Calculation-sheet'!V10*'Output-Calculation-sheet'!V19</f>
        <v>590.89525501877483</v>
      </c>
      <c r="W33" s="2">
        <f>W11/'Output-Calculation-sheet'!W10*'Output-Calculation-sheet'!W19</f>
        <v>367.8645265294283</v>
      </c>
      <c r="X33" s="2">
        <f>X11/'Output-Calculation-sheet'!X10*'Output-Calculation-sheet'!X19</f>
        <v>0</v>
      </c>
      <c r="Y33" s="2">
        <f>Y11/'Output-Calculation-sheet'!Y10*'Output-Calculation-sheet'!Y19</f>
        <v>301.21992508257352</v>
      </c>
      <c r="AA33" s="2">
        <f t="shared" si="1"/>
        <v>60.757430345797495</v>
      </c>
    </row>
    <row r="34" spans="1:27" x14ac:dyDescent="0.25">
      <c r="A34" s="2">
        <v>2035</v>
      </c>
      <c r="B34" s="2">
        <f>B12/'Output-Calculation-sheet'!B11*'Output-Calculation-sheet'!B20</f>
        <v>183.10884210409156</v>
      </c>
      <c r="C34" s="2">
        <f>C12/'Output-Calculation-sheet'!C11*'Output-Calculation-sheet'!C20</f>
        <v>0</v>
      </c>
      <c r="D34" s="2">
        <f>D12/'Output-Calculation-sheet'!D11*'Output-Calculation-sheet'!D20</f>
        <v>8155.602493046812</v>
      </c>
      <c r="E34" s="2">
        <f>E12/'Output-Calculation-sheet'!E11*'Output-Calculation-sheet'!E20</f>
        <v>4813.705830066242</v>
      </c>
      <c r="F34" s="2">
        <f>F12/'Output-Calculation-sheet'!F11*'Output-Calculation-sheet'!F20</f>
        <v>5570.1799100084063</v>
      </c>
      <c r="G34" s="2">
        <f>G12/'Output-Calculation-sheet'!G11*'Output-Calculation-sheet'!G20</f>
        <v>3003.8568006026462</v>
      </c>
      <c r="H34" s="2">
        <f>H12/'Output-Calculation-sheet'!H11*'Output-Calculation-sheet'!H20</f>
        <v>0</v>
      </c>
      <c r="I34" s="2">
        <f>I12/'Output-Calculation-sheet'!I11*'Output-Calculation-sheet'!I20</f>
        <v>3270.283644992473</v>
      </c>
      <c r="J34" s="2">
        <f>J12/'Output-Calculation-sheet'!J11*'Output-Calculation-sheet'!J20</f>
        <v>2802.8150359597707</v>
      </c>
      <c r="K34" s="2">
        <f>K12/'Output-Calculation-sheet'!K11*'Output-Calculation-sheet'!K20</f>
        <v>3685.0710392514279</v>
      </c>
      <c r="L34" s="2">
        <f>L12/'Output-Calculation-sheet'!L11*'Output-Calculation-sheet'!L20</f>
        <v>2911.4358462795258</v>
      </c>
      <c r="M34" s="2">
        <f>M12/'Output-Calculation-sheet'!M11*'Output-Calculation-sheet'!M20</f>
        <v>0</v>
      </c>
      <c r="N34" s="2">
        <f>N12/'Output-Calculation-sheet'!N11*'Output-Calculation-sheet'!N20</f>
        <v>0.56173972058352883</v>
      </c>
      <c r="O34" s="2">
        <f>O12/'Output-Calculation-sheet'!O11*'Output-Calculation-sheet'!O20</f>
        <v>0</v>
      </c>
      <c r="P34" s="2">
        <f>P12/'Output-Calculation-sheet'!P11*'Output-Calculation-sheet'!P20</f>
        <v>917.25130953117286</v>
      </c>
      <c r="Q34" s="2">
        <f>Q12/'Output-Calculation-sheet'!Q11*'Output-Calculation-sheet'!Q20</f>
        <v>1428.1859267944192</v>
      </c>
      <c r="R34" s="2">
        <f>R12/'Output-Calculation-sheet'!R11*'Output-Calculation-sheet'!R20</f>
        <v>2893.7691626788151</v>
      </c>
      <c r="S34" s="2">
        <f>S12/'Output-Calculation-sheet'!S11*'Output-Calculation-sheet'!S20</f>
        <v>5.9604818913227353</v>
      </c>
      <c r="T34" s="2">
        <f>T12/'Output-Calculation-sheet'!T11*'Output-Calculation-sheet'!T20</f>
        <v>904.29090398620212</v>
      </c>
      <c r="U34" s="2">
        <f>U12/'Output-Calculation-sheet'!U11*'Output-Calculation-sheet'!U20</f>
        <v>826.74131900900022</v>
      </c>
      <c r="V34" s="2">
        <f>V12/'Output-Calculation-sheet'!V11*'Output-Calculation-sheet'!V20</f>
        <v>757.40257430225961</v>
      </c>
      <c r="W34" s="2">
        <f>W12/'Output-Calculation-sheet'!W11*'Output-Calculation-sheet'!W20</f>
        <v>489.34768526143074</v>
      </c>
      <c r="X34" s="2">
        <f>X12/'Output-Calculation-sheet'!X11*'Output-Calculation-sheet'!X20</f>
        <v>0</v>
      </c>
      <c r="Y34" s="2">
        <f>Y12/'Output-Calculation-sheet'!Y11*'Output-Calculation-sheet'!Y20</f>
        <v>121.83034850697959</v>
      </c>
      <c r="AA34" s="2">
        <f t="shared" si="1"/>
        <v>42.741400893993571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0.12159613211316152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0.12188798582930478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1.7765647795397112E-2</v>
      </c>
      <c r="I45" s="2">
        <f>I12/'Output-Calculation-sheet'!I11*'Output-Calculation-sheet'!I38*0.0114</f>
        <v>6.5979316757783471E-2</v>
      </c>
      <c r="J45" s="2">
        <f>J12/'Output-Calculation-sheet'!J11*'Output-Calculation-sheet'!J38*0.0114</f>
        <v>4.8973250773034015E-2</v>
      </c>
      <c r="K45" s="2">
        <f>K12/'Output-Calculation-sheet'!K11*'Output-Calculation-sheet'!K38*0.0114</f>
        <v>8.1058957484599084E-2</v>
      </c>
      <c r="L45" s="2">
        <f>L12/'Output-Calculation-sheet'!L11*'Output-Calculation-sheet'!L38*0.0114</f>
        <v>5.1563481137299402E-2</v>
      </c>
      <c r="M45" s="2">
        <f>M12/'Output-Calculation-sheet'!M11*'Output-Calculation-sheet'!M38*0.0114</f>
        <v>1.2224494627602835E-2</v>
      </c>
      <c r="N45" s="2">
        <f>N12/'Output-Calculation-sheet'!N11*'Output-Calculation-sheet'!N38*0.0114</f>
        <v>1.201469571229311E-2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1.1099468444692871E-2</v>
      </c>
      <c r="Q45" s="2">
        <f>Q12/'Output-Calculation-sheet'!Q11*'Output-Calculation-sheet'!Q38*0.0114</f>
        <v>8.4213703740786502E-2</v>
      </c>
      <c r="R45" s="2">
        <f>R12/'Output-Calculation-sheet'!R11*'Output-Calculation-sheet'!R38*0.0114</f>
        <v>4.1756879711095748E-2</v>
      </c>
      <c r="S45" s="2">
        <f>S12/'Output-Calculation-sheet'!S11*'Output-Calculation-sheet'!S38*0.0114</f>
        <v>6.8872383499978904E-3</v>
      </c>
      <c r="T45" s="2">
        <f>T12/'Output-Calculation-sheet'!T11*'Output-Calculation-sheet'!T38*0.0114</f>
        <v>1.1586354356551854E-2</v>
      </c>
      <c r="U45" s="2">
        <f>U12/'Output-Calculation-sheet'!U11*'Output-Calculation-sheet'!U38*0.0114</f>
        <v>1.6793271888353719E-2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3.8824239014705647E-3</v>
      </c>
      <c r="AA45" s="2">
        <f t="shared" si="2"/>
        <v>1.143374189316865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0.13820004287413992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176.93099670894549</v>
      </c>
      <c r="R54" s="2">
        <f>R10/'Output-Calculation-sheet'!R9*'Output-Calculation-sheet'!R45</f>
        <v>1324.5012993129101</v>
      </c>
      <c r="S54" s="2">
        <f>S10/'Output-Calculation-sheet'!S9*'Output-Calculation-sheet'!S45</f>
        <v>0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16.508968700790177</v>
      </c>
      <c r="AA54" s="2">
        <f t="shared" si="3"/>
        <v>4.3583025747201809</v>
      </c>
    </row>
    <row r="55" spans="1:27" x14ac:dyDescent="0.25">
      <c r="A55" s="2">
        <v>2034</v>
      </c>
      <c r="B55" s="2">
        <f>B11/'Output-Calculation-sheet'!B10*'Output-Calculation-sheet'!B46</f>
        <v>1603.1822702290362</v>
      </c>
      <c r="C55" s="2">
        <f>C11/'Output-Calculation-sheet'!C10*'Output-Calculation-sheet'!C46</f>
        <v>0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546.53876864947745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3367.1821686291696</v>
      </c>
      <c r="L55" s="2">
        <f>L11/'Output-Calculation-sheet'!L10*'Output-Calculation-sheet'!L46</f>
        <v>1245.2364148443226</v>
      </c>
      <c r="M55" s="2">
        <f>M11/'Output-Calculation-sheet'!M10*'Output-Calculation-sheet'!M46</f>
        <v>405.08311962747337</v>
      </c>
      <c r="N55" s="2">
        <f>N11/'Output-Calculation-sheet'!N10*'Output-Calculation-sheet'!N46</f>
        <v>138.34260638371592</v>
      </c>
      <c r="O55" s="2">
        <f>O11/'Output-Calculation-sheet'!O10*'Output-Calculation-sheet'!O46</f>
        <v>0</v>
      </c>
      <c r="P55" s="2">
        <f>P11/'Output-Calculation-sheet'!P10*'Output-Calculation-sheet'!P46</f>
        <v>3008.7661326300063</v>
      </c>
      <c r="Q55" s="2">
        <f>Q11/'Output-Calculation-sheet'!Q10*'Output-Calculation-sheet'!Q46</f>
        <v>644.90751979311585</v>
      </c>
      <c r="R55" s="2">
        <f>R11/'Output-Calculation-sheet'!R10*'Output-Calculation-sheet'!R46</f>
        <v>3729.9282595224045</v>
      </c>
      <c r="S55" s="2">
        <f>S11/'Output-Calculation-sheet'!S10*'Output-Calculation-sheet'!S46</f>
        <v>0</v>
      </c>
      <c r="T55" s="2">
        <f>T11/'Output-Calculation-sheet'!T10*'Output-Calculation-sheet'!T46</f>
        <v>844.59364591842359</v>
      </c>
      <c r="U55" s="2">
        <f>U11/'Output-Calculation-sheet'!U10*'Output-Calculation-sheet'!U46</f>
        <v>1416.1423649580311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38.662639572363616</v>
      </c>
      <c r="Y55" s="2">
        <f>Y11/'Output-Calculation-sheet'!Y10*'Output-Calculation-sheet'!Y46</f>
        <v>268.90634585559309</v>
      </c>
      <c r="AA55" s="2">
        <f t="shared" si="3"/>
        <v>40.254055135132248</v>
      </c>
    </row>
    <row r="56" spans="1:27" x14ac:dyDescent="0.25">
      <c r="A56" s="2">
        <v>2035</v>
      </c>
      <c r="B56" s="2">
        <f>B12/'Output-Calculation-sheet'!B11*'Output-Calculation-sheet'!B47</f>
        <v>437.31942251224757</v>
      </c>
      <c r="C56" s="2">
        <f>C12/'Output-Calculation-sheet'!C11*'Output-Calculation-sheet'!C47</f>
        <v>344.24903781423063</v>
      </c>
      <c r="D56" s="2">
        <f>D12/'Output-Calculation-sheet'!D11*'Output-Calculation-sheet'!D47</f>
        <v>7955.4822036786281</v>
      </c>
      <c r="E56" s="2">
        <f>E12/'Output-Calculation-sheet'!E11*'Output-Calculation-sheet'!E47</f>
        <v>9690.4512710491144</v>
      </c>
      <c r="F56" s="2">
        <f>F12/'Output-Calculation-sheet'!F11*'Output-Calculation-sheet'!F47</f>
        <v>2526.1658052060075</v>
      </c>
      <c r="G56" s="2">
        <f>G12/'Output-Calculation-sheet'!G11*'Output-Calculation-sheet'!G47</f>
        <v>6235.2720755925529</v>
      </c>
      <c r="H56" s="2">
        <f>H12/'Output-Calculation-sheet'!H11*'Output-Calculation-sheet'!H47</f>
        <v>129.34638307175089</v>
      </c>
      <c r="I56" s="2">
        <f>I12/'Output-Calculation-sheet'!I11*'Output-Calculation-sheet'!I47</f>
        <v>3113.7607382182018</v>
      </c>
      <c r="J56" s="2">
        <f>J12/'Output-Calculation-sheet'!J11*'Output-Calculation-sheet'!J47</f>
        <v>2842.4532977915937</v>
      </c>
      <c r="K56" s="2">
        <f>K12/'Output-Calculation-sheet'!K11*'Output-Calculation-sheet'!K47</f>
        <v>4051.5257872565398</v>
      </c>
      <c r="L56" s="2">
        <f>L12/'Output-Calculation-sheet'!L11*'Output-Calculation-sheet'!L47</f>
        <v>2251.3791873763839</v>
      </c>
      <c r="M56" s="2">
        <f>M12/'Output-Calculation-sheet'!M11*'Output-Calculation-sheet'!M47</f>
        <v>90.075223571810355</v>
      </c>
      <c r="N56" s="2">
        <f>N12/'Output-Calculation-sheet'!N11*'Output-Calculation-sheet'!N47</f>
        <v>83.259733444838218</v>
      </c>
      <c r="O56" s="2">
        <f>O12/'Output-Calculation-sheet'!O11*'Output-Calculation-sheet'!O47</f>
        <v>11.802004329846397</v>
      </c>
      <c r="P56" s="2">
        <f>P12/'Output-Calculation-sheet'!P11*'Output-Calculation-sheet'!P47</f>
        <v>1192.7060390130496</v>
      </c>
      <c r="Q56" s="2">
        <f>Q12/'Output-Calculation-sheet'!Q11*'Output-Calculation-sheet'!Q47</f>
        <v>1061.9052555033386</v>
      </c>
      <c r="R56" s="2">
        <f>R12/'Output-Calculation-sheet'!R11*'Output-Calculation-sheet'!R47</f>
        <v>4799.2940036371228</v>
      </c>
      <c r="S56" s="2">
        <f>S12/'Output-Calculation-sheet'!S11*'Output-Calculation-sheet'!S47</f>
        <v>38.061054039462022</v>
      </c>
      <c r="T56" s="2">
        <f>T12/'Output-Calculation-sheet'!T11*'Output-Calculation-sheet'!T47</f>
        <v>1691.5399795983451</v>
      </c>
      <c r="U56" s="2">
        <f>U12/'Output-Calculation-sheet'!U11*'Output-Calculation-sheet'!U47</f>
        <v>1614.2164329173686</v>
      </c>
      <c r="V56" s="2">
        <f>V12/'Output-Calculation-sheet'!V11*'Output-Calculation-sheet'!V47</f>
        <v>1126.7971080010748</v>
      </c>
      <c r="W56" s="2">
        <f>W12/'Output-Calculation-sheet'!W11*'Output-Calculation-sheet'!W47</f>
        <v>655.27299857643459</v>
      </c>
      <c r="X56" s="2">
        <f>X12/'Output-Calculation-sheet'!X11*'Output-Calculation-sheet'!X47</f>
        <v>10.116711733049854</v>
      </c>
      <c r="Y56" s="2">
        <f>Y12/'Output-Calculation-sheet'!Y11*'Output-Calculation-sheet'!Y47</f>
        <v>262.00685276590826</v>
      </c>
      <c r="AA56" s="2">
        <f t="shared" si="3"/>
        <v>52.214458606698912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7.0096606490474542</v>
      </c>
      <c r="C63" s="2">
        <f>C8*'Output-Calculation-sheet'!C52/10^9</f>
        <v>3.3028459400509842</v>
      </c>
      <c r="D63" s="2">
        <f>D8*'Output-Calculation-sheet'!D52/10^9</f>
        <v>1.6412465014866833</v>
      </c>
      <c r="E63" s="2">
        <f>E8*'Output-Calculation-sheet'!E52/10^9</f>
        <v>1.8776583424537872</v>
      </c>
      <c r="F63" s="2">
        <f>F8*'Output-Calculation-sheet'!F52/10^9</f>
        <v>0.87768465014343811</v>
      </c>
      <c r="G63" s="2">
        <f>G8*'Output-Calculation-sheet'!G52/10^9</f>
        <v>0.6694677298038556</v>
      </c>
      <c r="H63" s="2">
        <f>H8*'Output-Calculation-sheet'!H52/10^9</f>
        <v>0.91097208192002055</v>
      </c>
      <c r="I63" s="2">
        <f>I8*'Output-Calculation-sheet'!I52/10^9</f>
        <v>0.52883501948002676</v>
      </c>
      <c r="J63" s="2">
        <f>J8*'Output-Calculation-sheet'!J52/10^9</f>
        <v>0.74759704354775891</v>
      </c>
      <c r="K63" s="2">
        <f>K8*'Output-Calculation-sheet'!K52/10^9</f>
        <v>0.49076075088056498</v>
      </c>
      <c r="L63" s="2">
        <f>L8*'Output-Calculation-sheet'!L52/10^9</f>
        <v>0.58104061996580525</v>
      </c>
      <c r="M63" s="2">
        <f>M8*'Output-Calculation-sheet'!M52/10^9</f>
        <v>0.66898953717628917</v>
      </c>
      <c r="N63" s="2">
        <f>N8*'Output-Calculation-sheet'!N52/10^9</f>
        <v>0.57850407496910206</v>
      </c>
      <c r="O63" s="2">
        <f>O8*'Output-Calculation-sheet'!O52/10^9</f>
        <v>0.59148545414936249</v>
      </c>
      <c r="P63" s="2">
        <f>P8*'Output-Calculation-sheet'!P52/10^9</f>
        <v>0.49911213839073654</v>
      </c>
      <c r="Q63" s="2">
        <f>Q8*'Output-Calculation-sheet'!Q52/10^9</f>
        <v>0.46556304491915912</v>
      </c>
      <c r="R63" s="2">
        <f>R8*'Output-Calculation-sheet'!R52/10^9</f>
        <v>0.42169140383363352</v>
      </c>
      <c r="S63" s="2">
        <f>S8*'Output-Calculation-sheet'!S52/10^9</f>
        <v>0.35778947156241381</v>
      </c>
      <c r="T63" s="2">
        <f>T8*'Output-Calculation-sheet'!T52/10^9</f>
        <v>0.17127444731794531</v>
      </c>
      <c r="U63" s="2">
        <f>U8*'Output-Calculation-sheet'!U52/10^9</f>
        <v>0.1335683238204915</v>
      </c>
      <c r="V63" s="2">
        <f>V8*'Output-Calculation-sheet'!V52/10^9</f>
        <v>0.2211493012933976</v>
      </c>
      <c r="W63" s="2">
        <f>W8*'Output-Calculation-sheet'!W52/10^9</f>
        <v>9.2804295925887889E-2</v>
      </c>
      <c r="X63" s="2">
        <f>X8*'Output-Calculation-sheet'!X52/10^9</f>
        <v>8.6988808072846521E-2</v>
      </c>
      <c r="Y63" s="2">
        <f>Y8*'Output-Calculation-sheet'!Y52/10^9</f>
        <v>5.3591031070116188E-2</v>
      </c>
      <c r="AA63" s="2">
        <f t="shared" si="4"/>
        <v>22.980280661281761</v>
      </c>
    </row>
    <row r="64" spans="1:27" x14ac:dyDescent="0.25">
      <c r="A64" s="2">
        <v>2032</v>
      </c>
      <c r="B64" s="2">
        <f>B9*'Output-Calculation-sheet'!B53/10^9</f>
        <v>7.2526424935653946</v>
      </c>
      <c r="C64" s="2">
        <f>C9*'Output-Calculation-sheet'!C53/10^9</f>
        <v>3.4863590061239202</v>
      </c>
      <c r="D64" s="2">
        <f>D9*'Output-Calculation-sheet'!D53/10^9</f>
        <v>1.5241420748624774</v>
      </c>
      <c r="E64" s="2">
        <f>E9*'Output-Calculation-sheet'!E53/10^9</f>
        <v>1.7796141166280763</v>
      </c>
      <c r="F64" s="2">
        <f>F9*'Output-Calculation-sheet'!F53/10^9</f>
        <v>0.81663488859868172</v>
      </c>
      <c r="G64" s="2">
        <f>G9*'Output-Calculation-sheet'!G53/10^9</f>
        <v>0.61146243825242197</v>
      </c>
      <c r="H64" s="2">
        <f>H9*'Output-Calculation-sheet'!H53/10^9</f>
        <v>0.9856661749926422</v>
      </c>
      <c r="I64" s="2">
        <f>I9*'Output-Calculation-sheet'!I53/10^9</f>
        <v>0.49585409479018466</v>
      </c>
      <c r="J64" s="2">
        <f>J9*'Output-Calculation-sheet'!J53/10^9</f>
        <v>0.66554195776963998</v>
      </c>
      <c r="K64" s="2">
        <f>K9*'Output-Calculation-sheet'!K53/10^9</f>
        <v>0.49131885812571435</v>
      </c>
      <c r="L64" s="2">
        <f>L9*'Output-Calculation-sheet'!L53/10^9</f>
        <v>0.55158947383476353</v>
      </c>
      <c r="M64" s="2">
        <f>M9*'Output-Calculation-sheet'!M53/10^9</f>
        <v>0.71310451938491171</v>
      </c>
      <c r="N64" s="2">
        <f>N9*'Output-Calculation-sheet'!N53/10^9</f>
        <v>0.63720081258336314</v>
      </c>
      <c r="O64" s="2">
        <f>O9*'Output-Calculation-sheet'!O53/10^9</f>
        <v>0.63690601897970822</v>
      </c>
      <c r="P64" s="2">
        <f>P9*'Output-Calculation-sheet'!P53/10^9</f>
        <v>0.52426581767795477</v>
      </c>
      <c r="Q64" s="2">
        <f>Q9*'Output-Calculation-sheet'!Q53/10^9</f>
        <v>0.49727905937551942</v>
      </c>
      <c r="R64" s="2">
        <f>R9*'Output-Calculation-sheet'!R53/10^9</f>
        <v>0.42304486990136508</v>
      </c>
      <c r="S64" s="2">
        <f>S9*'Output-Calculation-sheet'!S53/10^9</f>
        <v>0.38568953867459371</v>
      </c>
      <c r="T64" s="2">
        <f>T9*'Output-Calculation-sheet'!T53/10^9</f>
        <v>0.15814219674685639</v>
      </c>
      <c r="U64" s="2">
        <f>U9*'Output-Calculation-sheet'!U53/10^9</f>
        <v>0.13473631105503631</v>
      </c>
      <c r="V64" s="2">
        <f>V9*'Output-Calculation-sheet'!V53/10^9</f>
        <v>0.19637338016217831</v>
      </c>
      <c r="W64" s="2">
        <f>W9*'Output-Calculation-sheet'!W53/10^9</f>
        <v>8.3700873238760728E-2</v>
      </c>
      <c r="X64" s="2">
        <f>X9*'Output-Calculation-sheet'!X53/10^9</f>
        <v>8.9527423019405333E-2</v>
      </c>
      <c r="Y64" s="2">
        <f>Y9*'Output-Calculation-sheet'!Y53/10^9</f>
        <v>5.3238440417030089E-2</v>
      </c>
      <c r="AA64" s="2">
        <f t="shared" si="4"/>
        <v>23.194034838760601</v>
      </c>
    </row>
    <row r="65" spans="1:27" x14ac:dyDescent="0.25">
      <c r="A65" s="2">
        <v>2033</v>
      </c>
      <c r="B65" s="2">
        <f>B10*'Output-Calculation-sheet'!B54/10^9</f>
        <v>7.3916251984943075</v>
      </c>
      <c r="C65" s="2">
        <f>C10*'Output-Calculation-sheet'!C54/10^9</f>
        <v>3.5697567752241777</v>
      </c>
      <c r="D65" s="2">
        <f>D10*'Output-Calculation-sheet'!D54/10^9</f>
        <v>1.3538243458768198</v>
      </c>
      <c r="E65" s="2">
        <f>E10*'Output-Calculation-sheet'!E54/10^9</f>
        <v>1.7241132263248582</v>
      </c>
      <c r="F65" s="2">
        <f>F10*'Output-Calculation-sheet'!F54/10^9</f>
        <v>0.7408654848620837</v>
      </c>
      <c r="G65" s="2">
        <f>G10*'Output-Calculation-sheet'!G54/10^9</f>
        <v>0.527460342829002</v>
      </c>
      <c r="H65" s="2">
        <f>H10*'Output-Calculation-sheet'!H54/10^9</f>
        <v>1.0454693195906184</v>
      </c>
      <c r="I65" s="2">
        <f>I10*'Output-Calculation-sheet'!I54/10^9</f>
        <v>0.4624726255484215</v>
      </c>
      <c r="J65" s="2">
        <f>J10*'Output-Calculation-sheet'!J54/10^9</f>
        <v>0.54717787105091498</v>
      </c>
      <c r="K65" s="2">
        <f>K10*'Output-Calculation-sheet'!K54/10^9</f>
        <v>0.51205833918891175</v>
      </c>
      <c r="L65" s="2">
        <f>L10*'Output-Calculation-sheet'!L54/10^9</f>
        <v>0.52806358210696913</v>
      </c>
      <c r="M65" s="2">
        <f>M10*'Output-Calculation-sheet'!M54/10^9</f>
        <v>0.7439767550573797</v>
      </c>
      <c r="N65" s="2">
        <f>N10*'Output-Calculation-sheet'!N54/10^9</f>
        <v>0.68248869988973027</v>
      </c>
      <c r="O65" s="2">
        <f>O10*'Output-Calculation-sheet'!O54/10^9</f>
        <v>0.6666010266284691</v>
      </c>
      <c r="P65" s="2">
        <f>P10*'Output-Calculation-sheet'!P54/10^9</f>
        <v>0.55394150609642268</v>
      </c>
      <c r="Q65" s="2">
        <f>Q10*'Output-Calculation-sheet'!Q54/10^9</f>
        <v>0.54549222128564689</v>
      </c>
      <c r="R65" s="2">
        <f>R10*'Output-Calculation-sheet'!R54/10^9</f>
        <v>0.43333951847662788</v>
      </c>
      <c r="S65" s="2">
        <f>S10*'Output-Calculation-sheet'!S54/10^9</f>
        <v>0.40445335576652081</v>
      </c>
      <c r="T65" s="2">
        <f>T10*'Output-Calculation-sheet'!T54/10^9</f>
        <v>0.14674897013811761</v>
      </c>
      <c r="U65" s="2">
        <f>U10*'Output-Calculation-sheet'!U54/10^9</f>
        <v>0.14094137829740142</v>
      </c>
      <c r="V65" s="2">
        <f>V10*'Output-Calculation-sheet'!V54/10^9</f>
        <v>0.16606532712150829</v>
      </c>
      <c r="W65" s="2">
        <f>W10*'Output-Calculation-sheet'!W54/10^9</f>
        <v>7.097168884329462E-2</v>
      </c>
      <c r="X65" s="2">
        <f>X10*'Output-Calculation-sheet'!X54/10^9</f>
        <v>8.8875655481337981E-2</v>
      </c>
      <c r="Y65" s="2">
        <f>Y10*'Output-Calculation-sheet'!Y54/10^9</f>
        <v>5.5060977892604841E-2</v>
      </c>
      <c r="AA65" s="2">
        <f t="shared" si="4"/>
        <v>23.101844192072146</v>
      </c>
    </row>
    <row r="66" spans="1:27" x14ac:dyDescent="0.25">
      <c r="A66" s="2">
        <v>2034</v>
      </c>
      <c r="B66" s="2">
        <f>B11*'Output-Calculation-sheet'!B55/10^9</f>
        <v>7.4081380874619613</v>
      </c>
      <c r="C66" s="2">
        <f>C11*'Output-Calculation-sheet'!C55/10^9</f>
        <v>3.5978612611504448</v>
      </c>
      <c r="D66" s="2">
        <f>D11*'Output-Calculation-sheet'!D55/10^9</f>
        <v>1.4467542118154173</v>
      </c>
      <c r="E66" s="2">
        <f>E11*'Output-Calculation-sheet'!E55/10^9</f>
        <v>1.8738353133163206</v>
      </c>
      <c r="F66" s="2">
        <f>F11*'Output-Calculation-sheet'!F55/10^9</f>
        <v>0.73749875403745713</v>
      </c>
      <c r="G66" s="2">
        <f>G11*'Output-Calculation-sheet'!G55/10^9</f>
        <v>0.53797280125997338</v>
      </c>
      <c r="H66" s="2">
        <f>H11*'Output-Calculation-sheet'!H55/10^9</f>
        <v>1.0815243628980729</v>
      </c>
      <c r="I66" s="2">
        <f>I11*'Output-Calculation-sheet'!I55/10^9</f>
        <v>0.50010980471074717</v>
      </c>
      <c r="J66" s="2">
        <f>J11*'Output-Calculation-sheet'!J55/10^9</f>
        <v>0.5035137037639279</v>
      </c>
      <c r="K66" s="2">
        <f>K11*'Output-Calculation-sheet'!K55/10^9</f>
        <v>0.57333229632663252</v>
      </c>
      <c r="L66" s="2">
        <f>L11*'Output-Calculation-sheet'!L55/10^9</f>
        <v>0.55582672708914282</v>
      </c>
      <c r="M66" s="2">
        <f>M11*'Output-Calculation-sheet'!M55/10^9</f>
        <v>0.75828303519927032</v>
      </c>
      <c r="N66" s="2">
        <f>N11*'Output-Calculation-sheet'!N55/10^9</f>
        <v>0.71878546126602072</v>
      </c>
      <c r="O66" s="2">
        <f>O11*'Output-Calculation-sheet'!O55/10^9</f>
        <v>0.68376486408753157</v>
      </c>
      <c r="P66" s="2">
        <f>P11*'Output-Calculation-sheet'!P55/10^9</f>
        <v>0.59432520003456413</v>
      </c>
      <c r="Q66" s="2">
        <f>Q11*'Output-Calculation-sheet'!Q55/10^9</f>
        <v>0.59844104455174452</v>
      </c>
      <c r="R66" s="2">
        <f>R11*'Output-Calculation-sheet'!R55/10^9</f>
        <v>0.45638982174423409</v>
      </c>
      <c r="S66" s="2">
        <f>S11*'Output-Calculation-sheet'!S55/10^9</f>
        <v>0.41745204007142317</v>
      </c>
      <c r="T66" s="2">
        <f>T11*'Output-Calculation-sheet'!T55/10^9</f>
        <v>0.14300216690024131</v>
      </c>
      <c r="U66" s="2">
        <f>U11*'Output-Calculation-sheet'!U55/10^9</f>
        <v>0.1556366028838258</v>
      </c>
      <c r="V66" s="2">
        <f>V11*'Output-Calculation-sheet'!V55/10^9</f>
        <v>0.13514068025582668</v>
      </c>
      <c r="W66" s="2">
        <f>W11*'Output-Calculation-sheet'!W55/10^9</f>
        <v>6.6209971910432874E-2</v>
      </c>
      <c r="X66" s="2">
        <f>X11*'Output-Calculation-sheet'!X55/10^9</f>
        <v>8.6743907850584195E-2</v>
      </c>
      <c r="Y66" s="2">
        <f>Y11*'Output-Calculation-sheet'!Y55/10^9</f>
        <v>6.328305647481175E-2</v>
      </c>
      <c r="AA66" s="2">
        <f t="shared" si="4"/>
        <v>23.69382517706061</v>
      </c>
    </row>
    <row r="67" spans="1:27" x14ac:dyDescent="0.25">
      <c r="A67" s="2">
        <v>2035</v>
      </c>
      <c r="B67" s="2">
        <f>B12*'Output-Calculation-sheet'!B56/10^9</f>
        <v>7.5462948418986313</v>
      </c>
      <c r="C67" s="2">
        <f>C12*'Output-Calculation-sheet'!C56/10^9</f>
        <v>3.5299228331528525</v>
      </c>
      <c r="D67" s="2">
        <f>D12*'Output-Calculation-sheet'!D56/10^9</f>
        <v>1.7317288162250921</v>
      </c>
      <c r="E67" s="2">
        <f>E12*'Output-Calculation-sheet'!E56/10^9</f>
        <v>2.3264942374023674</v>
      </c>
      <c r="F67" s="2">
        <f>F12*'Output-Calculation-sheet'!F56/10^9</f>
        <v>0.92978726379419718</v>
      </c>
      <c r="G67" s="2">
        <f>G12*'Output-Calculation-sheet'!G56/10^9</f>
        <v>0.6850355637593597</v>
      </c>
      <c r="H67" s="2">
        <f>H12*'Output-Calculation-sheet'!H56/10^9</f>
        <v>1.1113689945158158</v>
      </c>
      <c r="I67" s="2">
        <f>I12*'Output-Calculation-sheet'!I56/10^9</f>
        <v>0.62772497347099843</v>
      </c>
      <c r="J67" s="2">
        <f>J12*'Output-Calculation-sheet'!J56/10^9</f>
        <v>0.57478798322571178</v>
      </c>
      <c r="K67" s="2">
        <f>K12*'Output-Calculation-sheet'!K56/10^9</f>
        <v>0.6884703472527901</v>
      </c>
      <c r="L67" s="2">
        <f>L12*'Output-Calculation-sheet'!L56/10^9</f>
        <v>0.64165533901963268</v>
      </c>
      <c r="M67" s="2">
        <f>M12*'Output-Calculation-sheet'!M56/10^9</f>
        <v>0.77073256476920948</v>
      </c>
      <c r="N67" s="2">
        <f>N12*'Output-Calculation-sheet'!N56/10^9</f>
        <v>0.75161393651530106</v>
      </c>
      <c r="O67" s="2">
        <f>O12*'Output-Calculation-sheet'!O56/10^9</f>
        <v>0.68552369824627735</v>
      </c>
      <c r="P67" s="2">
        <f>P12*'Output-Calculation-sheet'!P56/10^9</f>
        <v>0.66552614857317216</v>
      </c>
      <c r="Q67" s="2">
        <f>Q12*'Output-Calculation-sheet'!Q56/10^9</f>
        <v>0.65934362230383659</v>
      </c>
      <c r="R67" s="2">
        <f>R12*'Output-Calculation-sheet'!R56/10^9</f>
        <v>0.53008092625937431</v>
      </c>
      <c r="S67" s="2">
        <f>S12*'Output-Calculation-sheet'!S56/10^9</f>
        <v>0.43135868895186752</v>
      </c>
      <c r="T67" s="2">
        <f>T12*'Output-Calculation-sheet'!T56/10^9</f>
        <v>0.16495918470522802</v>
      </c>
      <c r="U67" s="2">
        <f>U12*'Output-Calculation-sheet'!U56/10^9</f>
        <v>0.17832925627599516</v>
      </c>
      <c r="V67" s="2">
        <f>V12*'Output-Calculation-sheet'!V56/10^9</f>
        <v>0.1272199046857283</v>
      </c>
      <c r="W67" s="2">
        <f>W12*'Output-Calculation-sheet'!W56/10^9</f>
        <v>8.6356632848620676E-2</v>
      </c>
      <c r="X67" s="2">
        <f>X12*'Output-Calculation-sheet'!X56/10^9</f>
        <v>8.2655334386056059E-2</v>
      </c>
      <c r="Y67" s="2">
        <f>Y12*'Output-Calculation-sheet'!Y56/10^9</f>
        <v>7.6851756048272879E-2</v>
      </c>
      <c r="AA67" s="2">
        <f t="shared" si="4"/>
        <v>25.603822848286381</v>
      </c>
    </row>
    <row r="68" spans="1:27" x14ac:dyDescent="0.25">
      <c r="B68" s="2">
        <f>SUM(B60:B67)</f>
        <v>36.608361270467746</v>
      </c>
      <c r="C68" s="2">
        <f t="shared" ref="C68:Y68" si="5">SUM(C60:C67)</f>
        <v>17.486745815702378</v>
      </c>
      <c r="D68" s="2">
        <f t="shared" si="5"/>
        <v>7.6976959502664899</v>
      </c>
      <c r="E68" s="2">
        <f t="shared" si="5"/>
        <v>9.5817152361254081</v>
      </c>
      <c r="F68" s="2">
        <f t="shared" si="5"/>
        <v>4.1024710414358578</v>
      </c>
      <c r="G68" s="2">
        <f t="shared" si="5"/>
        <v>3.0313988759046127</v>
      </c>
      <c r="H68" s="2">
        <f t="shared" si="5"/>
        <v>5.1350009339171701</v>
      </c>
      <c r="I68" s="2">
        <f t="shared" si="5"/>
        <v>2.6149965180003782</v>
      </c>
      <c r="J68" s="2">
        <f t="shared" si="5"/>
        <v>3.0386185593579533</v>
      </c>
      <c r="K68" s="2">
        <f t="shared" si="5"/>
        <v>2.7559405917746136</v>
      </c>
      <c r="L68" s="2">
        <f t="shared" si="5"/>
        <v>2.8581757420163134</v>
      </c>
      <c r="M68" s="2">
        <f t="shared" si="5"/>
        <v>3.6550864115870603</v>
      </c>
      <c r="N68" s="2">
        <f t="shared" si="5"/>
        <v>3.368592985223517</v>
      </c>
      <c r="O68" s="2">
        <f t="shared" si="5"/>
        <v>3.2642810620913494</v>
      </c>
      <c r="P68" s="2">
        <f t="shared" si="5"/>
        <v>2.8371708107728502</v>
      </c>
      <c r="Q68" s="2">
        <f t="shared" si="5"/>
        <v>2.7661189924359064</v>
      </c>
      <c r="R68" s="2">
        <f t="shared" si="5"/>
        <v>2.2645465402152349</v>
      </c>
      <c r="S68" s="2">
        <f t="shared" si="5"/>
        <v>1.996743095026819</v>
      </c>
      <c r="T68" s="2">
        <f t="shared" si="5"/>
        <v>0.7841269658083887</v>
      </c>
      <c r="U68" s="2">
        <f t="shared" si="5"/>
        <v>0.74321187233275021</v>
      </c>
      <c r="V68" s="2">
        <f t="shared" si="5"/>
        <v>0.84594859351863916</v>
      </c>
      <c r="W68" s="2">
        <f t="shared" si="5"/>
        <v>0.40004346276699676</v>
      </c>
      <c r="X68" s="2">
        <f t="shared" si="5"/>
        <v>0.43479112881023002</v>
      </c>
      <c r="Y68" s="2">
        <f t="shared" si="5"/>
        <v>0.30202526190283574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50.622401135175849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5.0622401135175847E-2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471.56636076461803</v>
      </c>
      <c r="Q76" s="2">
        <f>Q10/'Output-Calculation-sheet'!Q9*'Output-Calculation-sheet'!Q63</f>
        <v>55.931971082698645</v>
      </c>
      <c r="R76" s="2">
        <f>R10/'Output-Calculation-sheet'!R9*'Output-Calculation-sheet'!R63</f>
        <v>358.29739699986561</v>
      </c>
      <c r="S76" s="2">
        <f>S10/'Output-Calculation-sheet'!S9*'Output-Calculation-sheet'!S63</f>
        <v>0</v>
      </c>
      <c r="T76" s="2">
        <f>T10/'Output-Calculation-sheet'!T9*'Output-Calculation-sheet'!T63</f>
        <v>23.580335603740071</v>
      </c>
      <c r="U76" s="2">
        <f>U10/'Output-Calculation-sheet'!U9*'Output-Calculation-sheet'!U63</f>
        <v>127.49295830158626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6.0471906162651159</v>
      </c>
      <c r="AA76" s="2">
        <f t="shared" si="6"/>
        <v>1.1419128812711301</v>
      </c>
    </row>
    <row r="77" spans="1:27" x14ac:dyDescent="0.25">
      <c r="A77" s="2">
        <v>2034</v>
      </c>
      <c r="B77" s="2">
        <f>B11/'Output-Calculation-sheet'!B10*'Output-Calculation-sheet'!B64</f>
        <v>483.53046058287885</v>
      </c>
      <c r="C77" s="2">
        <f>C11/'Output-Calculation-sheet'!C10*'Output-Calculation-sheet'!C64</f>
        <v>0</v>
      </c>
      <c r="D77" s="2">
        <f>D11/'Output-Calculation-sheet'!D10*'Output-Calculation-sheet'!D64</f>
        <v>1627.5550013660536</v>
      </c>
      <c r="E77" s="2">
        <f>E11/'Output-Calculation-sheet'!E10*'Output-Calculation-sheet'!E64</f>
        <v>2037.696451540721</v>
      </c>
      <c r="F77" s="2">
        <f>F11/'Output-Calculation-sheet'!F10*'Output-Calculation-sheet'!F64</f>
        <v>145.62105874593263</v>
      </c>
      <c r="G77" s="2">
        <f>G11/'Output-Calculation-sheet'!G10*'Output-Calculation-sheet'!G64</f>
        <v>859.42900246512352</v>
      </c>
      <c r="H77" s="2">
        <f>H11/'Output-Calculation-sheet'!H10*'Output-Calculation-sheet'!H64</f>
        <v>133.81767519481605</v>
      </c>
      <c r="I77" s="2">
        <f>I11/'Output-Calculation-sheet'!I10*'Output-Calculation-sheet'!I64</f>
        <v>508.44975210777801</v>
      </c>
      <c r="J77" s="2">
        <f>J11/'Output-Calculation-sheet'!J10*'Output-Calculation-sheet'!J64</f>
        <v>356.01318400862522</v>
      </c>
      <c r="K77" s="2">
        <f>K11/'Output-Calculation-sheet'!K10*'Output-Calculation-sheet'!K64</f>
        <v>776.64348836378304</v>
      </c>
      <c r="L77" s="2">
        <f>L11/'Output-Calculation-sheet'!L10*'Output-Calculation-sheet'!L64</f>
        <v>321.56899064139486</v>
      </c>
      <c r="M77" s="2">
        <f>M11/'Output-Calculation-sheet'!M10*'Output-Calculation-sheet'!M64</f>
        <v>96.37754774033381</v>
      </c>
      <c r="N77" s="2">
        <f>N11/'Output-Calculation-sheet'!N10*'Output-Calculation-sheet'!N64</f>
        <v>31.874770141066392</v>
      </c>
      <c r="O77" s="2">
        <f>O11/'Output-Calculation-sheet'!O10*'Output-Calculation-sheet'!O64</f>
        <v>0</v>
      </c>
      <c r="P77" s="2">
        <f>P11/'Output-Calculation-sheet'!P10*'Output-Calculation-sheet'!P64</f>
        <v>656.32857589672847</v>
      </c>
      <c r="Q77" s="2">
        <f>Q11/'Output-Calculation-sheet'!Q10*'Output-Calculation-sheet'!Q64</f>
        <v>158.43721542578797</v>
      </c>
      <c r="R77" s="2">
        <f>R11/'Output-Calculation-sheet'!R10*'Output-Calculation-sheet'!R64</f>
        <v>815.91561316271486</v>
      </c>
      <c r="S77" s="2">
        <f>S11/'Output-Calculation-sheet'!S10*'Output-Calculation-sheet'!S64</f>
        <v>0</v>
      </c>
      <c r="T77" s="2">
        <f>T11/'Output-Calculation-sheet'!T10*'Output-Calculation-sheet'!T64</f>
        <v>226.27709332204984</v>
      </c>
      <c r="U77" s="2">
        <f>U11/'Output-Calculation-sheet'!U10*'Output-Calculation-sheet'!U64</f>
        <v>299.96180247473131</v>
      </c>
      <c r="V77" s="2">
        <f>V11/'Output-Calculation-sheet'!V10*'Output-Calculation-sheet'!V64</f>
        <v>117.16739147787079</v>
      </c>
      <c r="W77" s="2">
        <f>W11/'Output-Calculation-sheet'!W10*'Output-Calculation-sheet'!W64</f>
        <v>25.86669572383591</v>
      </c>
      <c r="X77" s="2">
        <f>X11/'Output-Calculation-sheet'!X10*'Output-Calculation-sheet'!X64</f>
        <v>9.6077838076334938</v>
      </c>
      <c r="Y77" s="2">
        <f>Y11/'Output-Calculation-sheet'!Y10*'Output-Calculation-sheet'!Y64</f>
        <v>54.1544847890341</v>
      </c>
      <c r="AA77" s="2">
        <f t="shared" si="6"/>
        <v>9.7422940389788923</v>
      </c>
    </row>
    <row r="78" spans="1:27" x14ac:dyDescent="0.25">
      <c r="A78" s="2">
        <v>2035</v>
      </c>
      <c r="B78" s="2">
        <f>B12/'Output-Calculation-sheet'!B11*'Output-Calculation-sheet'!B65</f>
        <v>84.114657705648398</v>
      </c>
      <c r="C78" s="2">
        <f>C12/'Output-Calculation-sheet'!C11*'Output-Calculation-sheet'!C65</f>
        <v>61.397828391338081</v>
      </c>
      <c r="D78" s="2">
        <f>D12/'Output-Calculation-sheet'!D11*'Output-Calculation-sheet'!D65</f>
        <v>1769.7584536977079</v>
      </c>
      <c r="E78" s="2">
        <f>E12/'Output-Calculation-sheet'!E11*'Output-Calculation-sheet'!E65</f>
        <v>1581.9955728023672</v>
      </c>
      <c r="F78" s="2">
        <f>F12/'Output-Calculation-sheet'!F11*'Output-Calculation-sheet'!F65</f>
        <v>712.25547479721001</v>
      </c>
      <c r="G78" s="2">
        <f>G12/'Output-Calculation-sheet'!G11*'Output-Calculation-sheet'!G65</f>
        <v>1370.3892550286062</v>
      </c>
      <c r="H78" s="2">
        <f>H12/'Output-Calculation-sheet'!H11*'Output-Calculation-sheet'!H65</f>
        <v>24.077127933235555</v>
      </c>
      <c r="I78" s="2">
        <f>I12/'Output-Calculation-sheet'!I11*'Output-Calculation-sheet'!I65</f>
        <v>796.8377067601474</v>
      </c>
      <c r="J78" s="2">
        <f>J12/'Output-Calculation-sheet'!J11*'Output-Calculation-sheet'!J65</f>
        <v>715.99035826815407</v>
      </c>
      <c r="K78" s="2">
        <f>K12/'Output-Calculation-sheet'!K11*'Output-Calculation-sheet'!K65</f>
        <v>903.52864690649062</v>
      </c>
      <c r="L78" s="2">
        <f>L12/'Output-Calculation-sheet'!L11*'Output-Calculation-sheet'!L65</f>
        <v>535.56590607751241</v>
      </c>
      <c r="M78" s="2">
        <f>M12/'Output-Calculation-sheet'!M11*'Output-Calculation-sheet'!M65</f>
        <v>16.497706126813124</v>
      </c>
      <c r="N78" s="2">
        <f>N12/'Output-Calculation-sheet'!N11*'Output-Calculation-sheet'!N65</f>
        <v>14.121483144650472</v>
      </c>
      <c r="O78" s="2">
        <f>O12/'Output-Calculation-sheet'!O11*'Output-Calculation-sheet'!O65</f>
        <v>2.8118275315859038</v>
      </c>
      <c r="P78" s="2">
        <f>P12/'Output-Calculation-sheet'!P11*'Output-Calculation-sheet'!P65</f>
        <v>237.58314842106799</v>
      </c>
      <c r="Q78" s="2">
        <f>Q12/'Output-Calculation-sheet'!Q11*'Output-Calculation-sheet'!Q65</f>
        <v>226.22367865305952</v>
      </c>
      <c r="R78" s="2">
        <f>R12/'Output-Calculation-sheet'!R11*'Output-Calculation-sheet'!R65</f>
        <v>1036.3608840981278</v>
      </c>
      <c r="S78" s="2">
        <f>S12/'Output-Calculation-sheet'!S11*'Output-Calculation-sheet'!S65</f>
        <v>6.284302922515618</v>
      </c>
      <c r="T78" s="2">
        <f>T12/'Output-Calculation-sheet'!T11*'Output-Calculation-sheet'!T65</f>
        <v>371.76715133826934</v>
      </c>
      <c r="U78" s="2">
        <f>U12/'Output-Calculation-sheet'!U11*'Output-Calculation-sheet'!U65</f>
        <v>316.9983441099115</v>
      </c>
      <c r="V78" s="2">
        <f>V12/'Output-Calculation-sheet'!V11*'Output-Calculation-sheet'!V65</f>
        <v>200.11235107590218</v>
      </c>
      <c r="W78" s="2">
        <f>W12/'Output-Calculation-sheet'!W11*'Output-Calculation-sheet'!W65</f>
        <v>144.01606093720349</v>
      </c>
      <c r="X78" s="2">
        <f>X12/'Output-Calculation-sheet'!X11*'Output-Calculation-sheet'!X65</f>
        <v>2.1063934917673333</v>
      </c>
      <c r="Y78" s="2">
        <f>Y12/'Output-Calculation-sheet'!Y11*'Output-Calculation-sheet'!Y65</f>
        <v>42.170048361139621</v>
      </c>
      <c r="AA78" s="2">
        <f t="shared" si="6"/>
        <v>11.172964368580434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21.332654756695003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112.11220692895473</v>
      </c>
      <c r="E89" s="2">
        <f>E12/'Output-Calculation-sheet'!E11*'Output-Calculation-sheet'!E74</f>
        <v>78.407476264465075</v>
      </c>
      <c r="F89" s="2">
        <f>F12/'Output-Calculation-sheet'!F11*'Output-Calculation-sheet'!F74</f>
        <v>47.071412519366596</v>
      </c>
      <c r="G89" s="2">
        <f>G12/'Output-Calculation-sheet'!G11*'Output-Calculation-sheet'!G74</f>
        <v>41.825870476111035</v>
      </c>
      <c r="H89" s="2">
        <f>H12/'Output-Calculation-sheet'!H11*'Output-Calculation-sheet'!H74</f>
        <v>6.2335606299638986</v>
      </c>
      <c r="I89" s="2">
        <f>I12/'Output-Calculation-sheet'!I11*'Output-Calculation-sheet'!I74</f>
        <v>39.066700711845471</v>
      </c>
      <c r="J89" s="2">
        <f>J12/'Output-Calculation-sheet'!J11*'Output-Calculation-sheet'!J74</f>
        <v>22.911462349957432</v>
      </c>
      <c r="K89" s="2">
        <f>K12/'Output-Calculation-sheet'!K11*'Output-Calculation-sheet'!K74</f>
        <v>45.506783149248605</v>
      </c>
      <c r="L89" s="2">
        <f>L12/'Output-Calculation-sheet'!L11*'Output-Calculation-sheet'!L74</f>
        <v>30.531008568137803</v>
      </c>
      <c r="M89" s="2">
        <f>M12/'Output-Calculation-sheet'!M11*'Output-Calculation-sheet'!M74</f>
        <v>5.361620450702997</v>
      </c>
      <c r="N89" s="2">
        <f>N12/'Output-Calculation-sheet'!N11*'Output-Calculation-sheet'!N74</f>
        <v>4.2156827060677582</v>
      </c>
      <c r="O89" s="2">
        <f>O12/'Output-Calculation-sheet'!O11*'Output-Calculation-sheet'!O74</f>
        <v>1.9670007216410661</v>
      </c>
      <c r="P89" s="2">
        <f>P12/'Output-Calculation-sheet'!P11*'Output-Calculation-sheet'!P74</f>
        <v>4.8681879143389777</v>
      </c>
      <c r="Q89" s="2">
        <f>Q12/'Output-Calculation-sheet'!Q11*'Output-Calculation-sheet'!Q74</f>
        <v>49.863377214939376</v>
      </c>
      <c r="R89" s="2">
        <f>R12/'Output-Calculation-sheet'!R11*'Output-Calculation-sheet'!R74</f>
        <v>22.893026157398985</v>
      </c>
      <c r="S89" s="2">
        <f>S12/'Output-Calculation-sheet'!S11*'Output-Calculation-sheet'!S74</f>
        <v>1.8124311447362869</v>
      </c>
      <c r="T89" s="2">
        <f>T12/'Output-Calculation-sheet'!T11*'Output-Calculation-sheet'!T74</f>
        <v>5.4205166580359547</v>
      </c>
      <c r="U89" s="2">
        <f>U12/'Output-Calculation-sheet'!U11*'Output-Calculation-sheet'!U74</f>
        <v>10.017039372000463</v>
      </c>
      <c r="V89" s="2">
        <f>V12/'Output-Calculation-sheet'!V11*'Output-Calculation-sheet'!V74</f>
        <v>1.3630610177432356</v>
      </c>
      <c r="W89" s="2">
        <f>W12/'Output-Calculation-sheet'!W11*'Output-Calculation-sheet'!W74</f>
        <v>3.5409528593142667</v>
      </c>
      <c r="X89" s="2">
        <f>X12/'Output-Calculation-sheet'!X11*'Output-Calculation-sheet'!X74</f>
        <v>0.23527236588488032</v>
      </c>
      <c r="Y89" s="2">
        <f>Y12/'Output-Calculation-sheet'!Y11*'Output-Calculation-sheet'!Y74</f>
        <v>2.4974656676126439</v>
      </c>
      <c r="AA89" s="2">
        <f t="shared" si="7"/>
        <v>0.56411725645537181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11631957451.906898</v>
      </c>
      <c r="C96" s="2">
        <f>C8/'Output-Calculation-sheet'!C7*'Output-Calculation-sheet'!C79</f>
        <v>3935151679.9946275</v>
      </c>
      <c r="D96" s="2">
        <f>D8/'Output-Calculation-sheet'!D7*'Output-Calculation-sheet'!D79</f>
        <v>4108018305.2327781</v>
      </c>
      <c r="E96" s="2">
        <f>E8/'Output-Calculation-sheet'!E7*'Output-Calculation-sheet'!E79</f>
        <v>7303718096.4142656</v>
      </c>
      <c r="F96" s="2">
        <f>F8/'Output-Calculation-sheet'!F7*'Output-Calculation-sheet'!F79</f>
        <v>3022936263.5509133</v>
      </c>
      <c r="G96" s="2">
        <f>G8/'Output-Calculation-sheet'!G7*'Output-Calculation-sheet'!G79</f>
        <v>2354623919.3380113</v>
      </c>
      <c r="H96" s="2">
        <f>H8/'Output-Calculation-sheet'!H7*'Output-Calculation-sheet'!H79</f>
        <v>2015427974.7823889</v>
      </c>
      <c r="I96" s="2">
        <f>I8/'Output-Calculation-sheet'!I7*'Output-Calculation-sheet'!I79</f>
        <v>1640241822.0580637</v>
      </c>
      <c r="J96" s="2">
        <f>J8/'Output-Calculation-sheet'!J7*'Output-Calculation-sheet'!J79</f>
        <v>1109170765.8017883</v>
      </c>
      <c r="K96" s="2">
        <f>K8/'Output-Calculation-sheet'!K7*'Output-Calculation-sheet'!K79</f>
        <v>1586894842.7795501</v>
      </c>
      <c r="L96" s="2">
        <f>L8/'Output-Calculation-sheet'!L7*'Output-Calculation-sheet'!L79</f>
        <v>1119714316.2602749</v>
      </c>
      <c r="M96" s="2">
        <f>M8/'Output-Calculation-sheet'!M7*'Output-Calculation-sheet'!M79</f>
        <v>1504476240.4593472</v>
      </c>
      <c r="N96" s="2">
        <f>N8/'Output-Calculation-sheet'!N7*'Output-Calculation-sheet'!N79</f>
        <v>1119448514.8400357</v>
      </c>
      <c r="O96" s="2">
        <f>O8/'Output-Calculation-sheet'!O7*'Output-Calculation-sheet'!O79</f>
        <v>565918577.95311105</v>
      </c>
      <c r="P96" s="2">
        <f>P8/'Output-Calculation-sheet'!P7*'Output-Calculation-sheet'!P79</f>
        <v>1892891232.1951768</v>
      </c>
      <c r="Q96" s="2">
        <f>Q8/'Output-Calculation-sheet'!Q7*'Output-Calculation-sheet'!Q79</f>
        <v>882166796.37216294</v>
      </c>
      <c r="R96" s="2">
        <f>R8/'Output-Calculation-sheet'!R7*'Output-Calculation-sheet'!R79</f>
        <v>1100609818.8572571</v>
      </c>
      <c r="S96" s="2">
        <f>S8/'Output-Calculation-sheet'!S7*'Output-Calculation-sheet'!S79</f>
        <v>641306199.60220397</v>
      </c>
      <c r="T96" s="2">
        <f>T8/'Output-Calculation-sheet'!T7*'Output-Calculation-sheet'!T79</f>
        <v>489808018.28952456</v>
      </c>
      <c r="U96" s="2">
        <f>U8/'Output-Calculation-sheet'!U7*'Output-Calculation-sheet'!U79</f>
        <v>307685404.71270114</v>
      </c>
      <c r="V96" s="2">
        <f>V8/'Output-Calculation-sheet'!V7*'Output-Calculation-sheet'!V79</f>
        <v>159642515.67760858</v>
      </c>
      <c r="W96" s="2">
        <f>W8/'Output-Calculation-sheet'!W7*'Output-Calculation-sheet'!W79</f>
        <v>471734572.72044009</v>
      </c>
      <c r="X96" s="2">
        <f>X8/'Output-Calculation-sheet'!X7*'Output-Calculation-sheet'!X79</f>
        <v>165800433.71567512</v>
      </c>
      <c r="Y96" s="2">
        <f>Y8/'Output-Calculation-sheet'!Y7*'Output-Calculation-sheet'!Y79</f>
        <v>259309617.18633181</v>
      </c>
      <c r="AA96" s="2">
        <f t="shared" si="8"/>
        <v>49.38865338070115</v>
      </c>
    </row>
    <row r="97" spans="1:27" x14ac:dyDescent="0.25">
      <c r="A97" s="2">
        <v>2032</v>
      </c>
      <c r="B97" s="2">
        <f>B9/'Output-Calculation-sheet'!B8*'Output-Calculation-sheet'!B80</f>
        <v>15687552397.81768</v>
      </c>
      <c r="C97" s="2">
        <f>C9/'Output-Calculation-sheet'!C8*'Output-Calculation-sheet'!C80</f>
        <v>5343274384.1012068</v>
      </c>
      <c r="D97" s="2">
        <f>D9/'Output-Calculation-sheet'!D8*'Output-Calculation-sheet'!D80</f>
        <v>5324026059.4805031</v>
      </c>
      <c r="E97" s="2">
        <f>E9/'Output-Calculation-sheet'!E8*'Output-Calculation-sheet'!E80</f>
        <v>9736861661.114233</v>
      </c>
      <c r="F97" s="2">
        <f>F9/'Output-Calculation-sheet'!F8*'Output-Calculation-sheet'!F80</f>
        <v>4022296910.9799757</v>
      </c>
      <c r="G97" s="2">
        <f>G9/'Output-Calculation-sheet'!G8*'Output-Calculation-sheet'!G80</f>
        <v>3044664812.7695136</v>
      </c>
      <c r="H97" s="2">
        <f>H9/'Output-Calculation-sheet'!H8*'Output-Calculation-sheet'!H80</f>
        <v>2678692584.6655173</v>
      </c>
      <c r="I97" s="2">
        <f>I9/'Output-Calculation-sheet'!I8*'Output-Calculation-sheet'!I80</f>
        <v>2203466047.6348696</v>
      </c>
      <c r="J97" s="2">
        <f>J9/'Output-Calculation-sheet'!J8*'Output-Calculation-sheet'!J80</f>
        <v>1448571516.3486688</v>
      </c>
      <c r="K97" s="2">
        <f>K9/'Output-Calculation-sheet'!K8*'Output-Calculation-sheet'!K80</f>
        <v>2088422561.2624876</v>
      </c>
      <c r="L97" s="2">
        <f>L9/'Output-Calculation-sheet'!L8*'Output-Calculation-sheet'!L80</f>
        <v>1520030087.9660003</v>
      </c>
      <c r="M97" s="2">
        <f>M9/'Output-Calculation-sheet'!M8*'Output-Calculation-sheet'!M80</f>
        <v>2005513166.875632</v>
      </c>
      <c r="N97" s="2">
        <f>N9/'Output-Calculation-sheet'!N8*'Output-Calculation-sheet'!N80</f>
        <v>1465292706.7401965</v>
      </c>
      <c r="O97" s="2">
        <f>O9/'Output-Calculation-sheet'!O8*'Output-Calculation-sheet'!O80</f>
        <v>758045484.49222052</v>
      </c>
      <c r="P97" s="2">
        <f>P9/'Output-Calculation-sheet'!P8*'Output-Calculation-sheet'!P80</f>
        <v>2480198374.7360678</v>
      </c>
      <c r="Q97" s="2">
        <f>Q9/'Output-Calculation-sheet'!Q8*'Output-Calculation-sheet'!Q80</f>
        <v>1160139704.7594807</v>
      </c>
      <c r="R97" s="2">
        <f>R9/'Output-Calculation-sheet'!R8*'Output-Calculation-sheet'!R80</f>
        <v>1465836316.2086625</v>
      </c>
      <c r="S97" s="2">
        <f>S9/'Output-Calculation-sheet'!S8*'Output-Calculation-sheet'!S80</f>
        <v>850765261.69206023</v>
      </c>
      <c r="T97" s="2">
        <f>T9/'Output-Calculation-sheet'!T8*'Output-Calculation-sheet'!T80</f>
        <v>640653198.63961458</v>
      </c>
      <c r="U97" s="2">
        <f>U9/'Output-Calculation-sheet'!U8*'Output-Calculation-sheet'!U80</f>
        <v>409565609.66075408</v>
      </c>
      <c r="V97" s="2">
        <f>V9/'Output-Calculation-sheet'!V8*'Output-Calculation-sheet'!V80</f>
        <v>214750841.01836449</v>
      </c>
      <c r="W97" s="2">
        <f>W9/'Output-Calculation-sheet'!W8*'Output-Calculation-sheet'!W80</f>
        <v>621927723.94901824</v>
      </c>
      <c r="X97" s="2">
        <f>X9/'Output-Calculation-sheet'!X8*'Output-Calculation-sheet'!X80</f>
        <v>223330885.85026467</v>
      </c>
      <c r="Y97" s="2">
        <f>Y9/'Output-Calculation-sheet'!Y8*'Output-Calculation-sheet'!Y80</f>
        <v>341850127.60163605</v>
      </c>
      <c r="AA97" s="2">
        <f t="shared" si="8"/>
        <v>65.735728426364659</v>
      </c>
    </row>
    <row r="98" spans="1:27" x14ac:dyDescent="0.25">
      <c r="A98" s="2">
        <v>2033</v>
      </c>
      <c r="B98" s="2">
        <f>B10/'Output-Calculation-sheet'!B9*'Output-Calculation-sheet'!B81</f>
        <v>19669432971.549</v>
      </c>
      <c r="C98" s="2">
        <f>C10/'Output-Calculation-sheet'!C9*'Output-Calculation-sheet'!C81</f>
        <v>6743669961.2871456</v>
      </c>
      <c r="D98" s="2">
        <f>D10/'Output-Calculation-sheet'!D9*'Output-Calculation-sheet'!D81</f>
        <v>6417889587.353672</v>
      </c>
      <c r="E98" s="2">
        <f>E10/'Output-Calculation-sheet'!E9*'Output-Calculation-sheet'!E81</f>
        <v>12072466599.648508</v>
      </c>
      <c r="F98" s="2">
        <f>F10/'Output-Calculation-sheet'!F9*'Output-Calculation-sheet'!F81</f>
        <v>4978977462.8101807</v>
      </c>
      <c r="G98" s="2">
        <f>G10/'Output-Calculation-sheet'!G9*'Output-Calculation-sheet'!G81</f>
        <v>3655722842.6118164</v>
      </c>
      <c r="H98" s="2">
        <f>H10/'Output-Calculation-sheet'!H9*'Output-Calculation-sheet'!H81</f>
        <v>3312121564.5077395</v>
      </c>
      <c r="I98" s="2">
        <f>I10/'Output-Calculation-sheet'!I9*'Output-Calculation-sheet'!I81</f>
        <v>2753339697.7781591</v>
      </c>
      <c r="J98" s="2">
        <f>J10/'Output-Calculation-sheet'!J9*'Output-Calculation-sheet'!J81</f>
        <v>1760549476.0978734</v>
      </c>
      <c r="K98" s="2">
        <f>K10/'Output-Calculation-sheet'!K9*'Output-Calculation-sheet'!K81</f>
        <v>2557271885.2206955</v>
      </c>
      <c r="L98" s="2">
        <f>L10/'Output-Calculation-sheet'!L9*'Output-Calculation-sheet'!L81</f>
        <v>1917996760.6754682</v>
      </c>
      <c r="M98" s="2">
        <f>M10/'Output-Calculation-sheet'!M9*'Output-Calculation-sheet'!M81</f>
        <v>2487261143.7034559</v>
      </c>
      <c r="N98" s="2">
        <f>N10/'Output-Calculation-sheet'!N9*'Output-Calculation-sheet'!N81</f>
        <v>1784412485.6210337</v>
      </c>
      <c r="O98" s="2">
        <f>O10/'Output-Calculation-sheet'!O9*'Output-Calculation-sheet'!O81</f>
        <v>944945837.95487571</v>
      </c>
      <c r="P98" s="2">
        <f>P10/'Output-Calculation-sheet'!P9*'Output-Calculation-sheet'!P81</f>
        <v>3019791363.0665379</v>
      </c>
      <c r="Q98" s="2">
        <f>Q10/'Output-Calculation-sheet'!Q9*'Output-Calculation-sheet'!Q81</f>
        <v>1419826789.0054991</v>
      </c>
      <c r="R98" s="2">
        <f>R10/'Output-Calculation-sheet'!R9*'Output-Calculation-sheet'!R81</f>
        <v>1816178316.6259894</v>
      </c>
      <c r="S98" s="2">
        <f>S10/'Output-Calculation-sheet'!S9*'Output-Calculation-sheet'!S81</f>
        <v>1050071299.5972527</v>
      </c>
      <c r="T98" s="2">
        <f>T10/'Output-Calculation-sheet'!T9*'Output-Calculation-sheet'!T81</f>
        <v>779192690.93392718</v>
      </c>
      <c r="U98" s="2">
        <f>U10/'Output-Calculation-sheet'!U9*'Output-Calculation-sheet'!U81</f>
        <v>506994082.29276001</v>
      </c>
      <c r="V98" s="2">
        <f>V10/'Output-Calculation-sheet'!V9*'Output-Calculation-sheet'!V81</f>
        <v>268511592.57655585</v>
      </c>
      <c r="W98" s="2">
        <f>W10/'Output-Calculation-sheet'!W9*'Output-Calculation-sheet'!W81</f>
        <v>761328736.33077025</v>
      </c>
      <c r="X98" s="2">
        <f>X10/'Output-Calculation-sheet'!X9*'Output-Calculation-sheet'!X81</f>
        <v>279763677.58957458</v>
      </c>
      <c r="Y98" s="2">
        <f>Y10/'Output-Calculation-sheet'!Y9*'Output-Calculation-sheet'!Y81</f>
        <v>418623831.34148479</v>
      </c>
      <c r="AA98" s="2">
        <f t="shared" si="8"/>
        <v>81.376340656179977</v>
      </c>
    </row>
    <row r="99" spans="1:27" x14ac:dyDescent="0.25">
      <c r="A99" s="2">
        <v>2034</v>
      </c>
      <c r="B99" s="2">
        <f>B11/'Output-Calculation-sheet'!B10*'Output-Calculation-sheet'!B82</f>
        <v>23393037165.801212</v>
      </c>
      <c r="C99" s="2">
        <f>C11/'Output-Calculation-sheet'!C10*'Output-Calculation-sheet'!C82</f>
        <v>8071573933.230257</v>
      </c>
      <c r="D99" s="2">
        <f>D11/'Output-Calculation-sheet'!D10*'Output-Calculation-sheet'!D82</f>
        <v>7342825482.7117834</v>
      </c>
      <c r="E99" s="2">
        <f>E11/'Output-Calculation-sheet'!E10*'Output-Calculation-sheet'!E82</f>
        <v>14204068638.691526</v>
      </c>
      <c r="F99" s="2">
        <f>F11/'Output-Calculation-sheet'!F10*'Output-Calculation-sheet'!F82</f>
        <v>5849928207.8635769</v>
      </c>
      <c r="G99" s="2">
        <f>G11/'Output-Calculation-sheet'!G10*'Output-Calculation-sheet'!G82</f>
        <v>4158889077.4059711</v>
      </c>
      <c r="H99" s="2">
        <f>H11/'Output-Calculation-sheet'!H10*'Output-Calculation-sheet'!H82</f>
        <v>3887242938.1653576</v>
      </c>
      <c r="I99" s="2">
        <f>I11/'Output-Calculation-sheet'!I10*'Output-Calculation-sheet'!I82</f>
        <v>3265002078.6003337</v>
      </c>
      <c r="J99" s="2">
        <f>J11/'Output-Calculation-sheet'!J10*'Output-Calculation-sheet'!J82</f>
        <v>2031803515.8354709</v>
      </c>
      <c r="K99" s="2">
        <f>K11/'Output-Calculation-sheet'!K10*'Output-Calculation-sheet'!K82</f>
        <v>2972798641.567317</v>
      </c>
      <c r="L99" s="2">
        <f>L11/'Output-Calculation-sheet'!L10*'Output-Calculation-sheet'!L82</f>
        <v>2295222252.5800114</v>
      </c>
      <c r="M99" s="2">
        <f>M11/'Output-Calculation-sheet'!M10*'Output-Calculation-sheet'!M82</f>
        <v>2928185772.623014</v>
      </c>
      <c r="N99" s="2">
        <f>N11/'Output-Calculation-sheet'!N10*'Output-Calculation-sheet'!N82</f>
        <v>2062905807.5698686</v>
      </c>
      <c r="O99" s="2">
        <f>O11/'Output-Calculation-sheet'!O10*'Output-Calculation-sheet'!O82</f>
        <v>1118403507.3319719</v>
      </c>
      <c r="P99" s="2">
        <f>P11/'Output-Calculation-sheet'!P10*'Output-Calculation-sheet'!P82</f>
        <v>3486338488.2228227</v>
      </c>
      <c r="Q99" s="2">
        <f>Q11/'Output-Calculation-sheet'!Q10*'Output-Calculation-sheet'!Q82</f>
        <v>1649951014.1902423</v>
      </c>
      <c r="R99" s="2">
        <f>R11/'Output-Calculation-sheet'!R10*'Output-Calculation-sheet'!R82</f>
        <v>2135857854.27056</v>
      </c>
      <c r="S99" s="2">
        <f>S11/'Output-Calculation-sheet'!S10*'Output-Calculation-sheet'!S82</f>
        <v>1230310854.2639048</v>
      </c>
      <c r="T99" s="2">
        <f>T11/'Output-Calculation-sheet'!T10*'Output-Calculation-sheet'!T82</f>
        <v>899210135.90964913</v>
      </c>
      <c r="U99" s="2">
        <f>U11/'Output-Calculation-sheet'!U10*'Output-Calculation-sheet'!U82</f>
        <v>595476203.5052073</v>
      </c>
      <c r="V99" s="2">
        <f>V11/'Output-Calculation-sheet'!V10*'Output-Calculation-sheet'!V82</f>
        <v>318392075.57242095</v>
      </c>
      <c r="W99" s="2">
        <f>W11/'Output-Calculation-sheet'!W10*'Output-Calculation-sheet'!W82</f>
        <v>882919569.83629882</v>
      </c>
      <c r="X99" s="2">
        <f>X11/'Output-Calculation-sheet'!X10*'Output-Calculation-sheet'!X82</f>
        <v>332530172.65393019</v>
      </c>
      <c r="Y99" s="2">
        <f>Y11/'Output-Calculation-sheet'!Y10*'Output-Calculation-sheet'!Y82</f>
        <v>485883509.30961943</v>
      </c>
      <c r="AA99" s="2">
        <f t="shared" si="8"/>
        <v>95.59875689771232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1697.1589141983893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522.43815110624075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359.48829139276774</v>
      </c>
      <c r="N107" s="2">
        <f>N8/'Output-Calculation-sheet'!N7*'Output-Calculation-sheet'!N88</f>
        <v>141.32747617929877</v>
      </c>
      <c r="O107" s="2">
        <f>O8/'Output-Calculation-sheet'!O7*'Output-Calculation-sheet'!O88</f>
        <v>395.65299432844427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39.436613241058573</v>
      </c>
      <c r="Y107" s="2">
        <f>Y8/'Output-Calculation-sheet'!Y7*'Output-Calculation-sheet'!Y88</f>
        <v>0</v>
      </c>
      <c r="AA107" s="2">
        <f t="shared" si="9"/>
        <v>3.1555024404461993</v>
      </c>
    </row>
    <row r="108" spans="1:27" x14ac:dyDescent="0.25">
      <c r="A108" s="2">
        <v>2032</v>
      </c>
      <c r="B108" s="2">
        <f>B9/'Output-Calculation-sheet'!B8*'Output-Calculation-sheet'!B89</f>
        <v>772.03952588340576</v>
      </c>
      <c r="C108" s="2">
        <f>C9/'Output-Calculation-sheet'!C8*'Output-Calculation-sheet'!C89</f>
        <v>2931.4226252016961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789.58495174368784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543.31128883054612</v>
      </c>
      <c r="N108" s="2">
        <f>N9/'Output-Calculation-sheet'!N8*'Output-Calculation-sheet'!N89</f>
        <v>381.4192038904564</v>
      </c>
      <c r="O108" s="2">
        <f>O9/'Output-Calculation-sheet'!O8*'Output-Calculation-sheet'!O89</f>
        <v>569.49397882942458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174.91412392723132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59.602378380945446</v>
      </c>
      <c r="Y108" s="2">
        <f>Y9/'Output-Calculation-sheet'!Y8*'Output-Calculation-sheet'!Y89</f>
        <v>0</v>
      </c>
      <c r="AA108" s="2">
        <f t="shared" si="9"/>
        <v>6.2217880766873943</v>
      </c>
    </row>
    <row r="109" spans="1:27" x14ac:dyDescent="0.25">
      <c r="A109" s="2">
        <v>2033</v>
      </c>
      <c r="B109" s="2">
        <f>B10/'Output-Calculation-sheet'!B9*'Output-Calculation-sheet'!B90</f>
        <v>4035.1252670488425</v>
      </c>
      <c r="C109" s="2">
        <f>C10/'Output-Calculation-sheet'!C9*'Output-Calculation-sheet'!C90</f>
        <v>3830.3276926835706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1179.0936612684923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811.33118778543553</v>
      </c>
      <c r="N109" s="2">
        <f>N10/'Output-Calculation-sheet'!N9*'Output-Calculation-sheet'!N90</f>
        <v>637.92558400735243</v>
      </c>
      <c r="O109" s="2">
        <f>O10/'Output-Calculation-sheet'!O9*'Output-Calculation-sheet'!O90</f>
        <v>744.12626114489649</v>
      </c>
      <c r="P109" s="2">
        <f>P10/'Output-Calculation-sheet'!P9*'Output-Calculation-sheet'!P90</f>
        <v>0</v>
      </c>
      <c r="Q109" s="2">
        <f>Q10/'Output-Calculation-sheet'!Q9*'Output-Calculation-sheet'!Q90</f>
        <v>139.73012047783388</v>
      </c>
      <c r="R109" s="2">
        <f>R10/'Output-Calculation-sheet'!R9*'Output-Calculation-sheet'!R90</f>
        <v>0</v>
      </c>
      <c r="S109" s="2">
        <f>S10/'Output-Calculation-sheet'!S9*'Output-Calculation-sheet'!S90</f>
        <v>319.97084614962574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89.004718732674107</v>
      </c>
      <c r="Y109" s="2">
        <f>Y10/'Output-Calculation-sheet'!Y9*'Output-Calculation-sheet'!Y90</f>
        <v>0</v>
      </c>
      <c r="AA109" s="2">
        <f t="shared" si="9"/>
        <v>11.786635339298726</v>
      </c>
    </row>
    <row r="110" spans="1:27" x14ac:dyDescent="0.25">
      <c r="A110" s="2">
        <v>2034</v>
      </c>
      <c r="B110" s="2">
        <f>B11/'Output-Calculation-sheet'!B10*'Output-Calculation-sheet'!B91</f>
        <v>7406.702088458147</v>
      </c>
      <c r="C110" s="2">
        <f>C11/'Output-Calculation-sheet'!C10*'Output-Calculation-sheet'!C91</f>
        <v>5077.7887944143677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1442.8623492346205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992.82971494903279</v>
      </c>
      <c r="N110" s="2">
        <f>N11/'Output-Calculation-sheet'!N10*'Output-Calculation-sheet'!N91</f>
        <v>894.47471455730818</v>
      </c>
      <c r="O110" s="2">
        <f>O11/'Output-Calculation-sheet'!O10*'Output-Calculation-sheet'!O91</f>
        <v>986.4732977516461</v>
      </c>
      <c r="P110" s="2">
        <f>P11/'Output-Calculation-sheet'!P10*'Output-Calculation-sheet'!P91</f>
        <v>225.36477841683899</v>
      </c>
      <c r="Q110" s="2">
        <f>Q11/'Output-Calculation-sheet'!Q10*'Output-Calculation-sheet'!Q91</f>
        <v>498.7161451484784</v>
      </c>
      <c r="R110" s="2">
        <f>R11/'Output-Calculation-sheet'!R10*'Output-Calculation-sheet'!R91</f>
        <v>0</v>
      </c>
      <c r="S110" s="2">
        <f>S11/'Output-Calculation-sheet'!S10*'Output-Calculation-sheet'!S91</f>
        <v>512.74378517129571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108.91548464897555</v>
      </c>
      <c r="Y110" s="2">
        <f>Y11/'Output-Calculation-sheet'!Y10*'Output-Calculation-sheet'!Y91</f>
        <v>17.517587674179921</v>
      </c>
      <c r="AA110" s="2">
        <f t="shared" si="9"/>
        <v>18.164388740424897</v>
      </c>
    </row>
    <row r="111" spans="1:27" x14ac:dyDescent="0.25">
      <c r="A111" s="2">
        <v>2035</v>
      </c>
      <c r="B111" s="2">
        <f>B12/'Output-Calculation-sheet'!B11*'Output-Calculation-sheet'!B92</f>
        <v>12319.608121991365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2195.4093354050219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899.6411265698431</v>
      </c>
      <c r="Q111" s="2">
        <f>Q12/'Output-Calculation-sheet'!Q11*'Output-Calculation-sheet'!Q92</f>
        <v>639.91334092505531</v>
      </c>
      <c r="R111" s="2">
        <f>R12/'Output-Calculation-sheet'!R11*'Output-Calculation-sheet'!R92</f>
        <v>0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87.411298366442537</v>
      </c>
      <c r="AA111" s="2">
        <f t="shared" si="9"/>
        <v>28.214506416410678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1360996169.7080898</v>
      </c>
      <c r="C118" s="2">
        <f>C8/'Output-Calculation-sheet'!C7*'Output-Calculation-sheet'!C97</f>
        <v>7978313198.2118244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2454763178.3252602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1705044562.4535012</v>
      </c>
      <c r="N118" s="2">
        <f>N8/'Output-Calculation-sheet'!N7*'Output-Calculation-sheet'!N97</f>
        <v>1337973830.6050656</v>
      </c>
      <c r="O118" s="2">
        <f>O8/'Output-Calculation-sheet'!O7*'Output-Calculation-sheet'!O97</f>
        <v>890303163.63173604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484022927.3951484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183771442.28772134</v>
      </c>
      <c r="Y118" s="2">
        <f>Y8/'Output-Calculation-sheet'!Y7*'Output-Calculation-sheet'!Y97</f>
        <v>0</v>
      </c>
      <c r="AA118" s="2">
        <f t="shared" si="10"/>
        <v>16395.188472618349</v>
      </c>
    </row>
    <row r="119" spans="1:27" x14ac:dyDescent="0.25">
      <c r="A119" s="2">
        <v>2032</v>
      </c>
      <c r="B119" s="2">
        <f>B9/'Output-Calculation-sheet'!B8*'Output-Calculation-sheet'!B98</f>
        <v>5791880629.1267071</v>
      </c>
      <c r="C119" s="2">
        <f>C9/'Output-Calculation-sheet'!C8*'Output-Calculation-sheet'!C98</f>
        <v>4603503711.2152624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2751984818.9988017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1920895709.6359863</v>
      </c>
      <c r="N119" s="2">
        <f>N9/'Output-Calculation-sheet'!N8*'Output-Calculation-sheet'!N98</f>
        <v>1296532046.2552099</v>
      </c>
      <c r="O119" s="2">
        <f>O9/'Output-Calculation-sheet'!O8*'Output-Calculation-sheet'!O98</f>
        <v>899439560.49637556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539102821.35611963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205542727.4207767</v>
      </c>
      <c r="Y119" s="2">
        <f>Y9/'Output-Calculation-sheet'!Y8*'Output-Calculation-sheet'!Y98</f>
        <v>0</v>
      </c>
      <c r="AA119" s="2">
        <f t="shared" si="10"/>
        <v>18008.882024505241</v>
      </c>
    </row>
    <row r="120" spans="1:27" x14ac:dyDescent="0.25">
      <c r="A120" s="2">
        <v>2033</v>
      </c>
      <c r="B120" s="2">
        <f>B10/'Output-Calculation-sheet'!B9*'Output-Calculation-sheet'!B99</f>
        <v>5805065363.9905386</v>
      </c>
      <c r="C120" s="2">
        <f>C10/'Output-Calculation-sheet'!C9*'Output-Calculation-sheet'!C99</f>
        <v>4772124188.7542124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1564666476.2461042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1107483930.1569955</v>
      </c>
      <c r="N120" s="2">
        <f>N10/'Output-Calculation-sheet'!N9*'Output-Calculation-sheet'!N99</f>
        <v>1104044138.4075818</v>
      </c>
      <c r="O120" s="2">
        <f>O10/'Output-Calculation-sheet'!O9*'Output-Calculation-sheet'!O99</f>
        <v>934279126.24057329</v>
      </c>
      <c r="P120" s="2">
        <f>P10/'Output-Calculation-sheet'!P9*'Output-Calculation-sheet'!P99</f>
        <v>0</v>
      </c>
      <c r="Q120" s="2">
        <f>Q10/'Output-Calculation-sheet'!Q9*'Output-Calculation-sheet'!Q99</f>
        <v>6617090.3740637433</v>
      </c>
      <c r="R120" s="2">
        <f>R10/'Output-Calculation-sheet'!R9*'Output-Calculation-sheet'!R99</f>
        <v>0</v>
      </c>
      <c r="S120" s="2">
        <f>S10/'Output-Calculation-sheet'!S9*'Output-Calculation-sheet'!S99</f>
        <v>462366480.43624473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110587184.00180073</v>
      </c>
      <c r="Y120" s="2">
        <f>Y10/'Output-Calculation-sheet'!Y9*'Output-Calculation-sheet'!Y99</f>
        <v>0</v>
      </c>
      <c r="AA120" s="2">
        <f t="shared" si="10"/>
        <v>15867.233978608116</v>
      </c>
    </row>
    <row r="121" spans="1:27" x14ac:dyDescent="0.25">
      <c r="A121" s="2">
        <v>2034</v>
      </c>
      <c r="B121" s="2">
        <f>B11/'Output-Calculation-sheet'!B10*'Output-Calculation-sheet'!B100</f>
        <v>5560394020.5843372</v>
      </c>
      <c r="C121" s="2">
        <f>C11/'Output-Calculation-sheet'!C10*'Output-Calculation-sheet'!C100</f>
        <v>666607141.66896141</v>
      </c>
      <c r="D121" s="2">
        <f>D11/'Output-Calculation-sheet'!D10*'Output-Calculation-sheet'!D100</f>
        <v>0</v>
      </c>
      <c r="E121" s="2">
        <f>E11/'Output-Calculation-sheet'!E10*'Output-Calculation-sheet'!E100</f>
        <v>786701998.26989102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1755238924.7652378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641218572.28666031</v>
      </c>
      <c r="M121" s="2">
        <f>M11/'Output-Calculation-sheet'!M10*'Output-Calculation-sheet'!M100</f>
        <v>1249196828.5946493</v>
      </c>
      <c r="N121" s="2">
        <f>N11/'Output-Calculation-sheet'!N10*'Output-Calculation-sheet'!N100</f>
        <v>832811613.11053658</v>
      </c>
      <c r="O121" s="2">
        <f>O11/'Output-Calculation-sheet'!O10*'Output-Calculation-sheet'!O100</f>
        <v>130757183.44015218</v>
      </c>
      <c r="P121" s="2">
        <f>P11/'Output-Calculation-sheet'!P10*'Output-Calculation-sheet'!P100</f>
        <v>0</v>
      </c>
      <c r="Q121" s="2">
        <f>Q11/'Output-Calculation-sheet'!Q10*'Output-Calculation-sheet'!Q100</f>
        <v>281816258.79280806</v>
      </c>
      <c r="R121" s="2">
        <f>R11/'Output-Calculation-sheet'!R10*'Output-Calculation-sheet'!R100</f>
        <v>0</v>
      </c>
      <c r="S121" s="2">
        <f>S11/'Output-Calculation-sheet'!S10*'Output-Calculation-sheet'!S100</f>
        <v>311382096.89622384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122742328.99994323</v>
      </c>
      <c r="Y121" s="2">
        <f>Y11/'Output-Calculation-sheet'!Y10*'Output-Calculation-sheet'!Y100</f>
        <v>17805774.741534043</v>
      </c>
      <c r="AA121" s="2">
        <f t="shared" si="10"/>
        <v>12356.672742150937</v>
      </c>
    </row>
    <row r="122" spans="1:27" x14ac:dyDescent="0.25">
      <c r="A122" s="2">
        <v>2035</v>
      </c>
      <c r="B122" s="2">
        <f>B12/'Output-Calculation-sheet'!B11*'Output-Calculation-sheet'!B101</f>
        <v>1458783463.7979095</v>
      </c>
      <c r="C122" s="2">
        <f>C12/'Output-Calculation-sheet'!C11*'Output-Calculation-sheet'!C101</f>
        <v>274159528.71638525</v>
      </c>
      <c r="D122" s="2">
        <f>D12/'Output-Calculation-sheet'!D11*'Output-Calculation-sheet'!D101</f>
        <v>0</v>
      </c>
      <c r="E122" s="2">
        <f>E12/'Output-Calculation-sheet'!E11*'Output-Calculation-sheet'!E101</f>
        <v>2267683208.6398897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444711098.16552222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975126829.55689657</v>
      </c>
      <c r="M122" s="2">
        <f>M12/'Output-Calculation-sheet'!M11*'Output-Calculation-sheet'!M101</f>
        <v>372879041.39977264</v>
      </c>
      <c r="N122" s="2">
        <f>N12/'Output-Calculation-sheet'!N11*'Output-Calculation-sheet'!N101</f>
        <v>260053873.00987831</v>
      </c>
      <c r="O122" s="2">
        <f>O12/'Output-Calculation-sheet'!O11*'Output-Calculation-sheet'!O101</f>
        <v>30043919.847327601</v>
      </c>
      <c r="P122" s="2">
        <f>P12/'Output-Calculation-sheet'!P11*'Output-Calculation-sheet'!P101</f>
        <v>40552628.454496719</v>
      </c>
      <c r="Q122" s="2">
        <f>Q12/'Output-Calculation-sheet'!Q11*'Output-Calculation-sheet'!Q101</f>
        <v>569596837.43283474</v>
      </c>
      <c r="R122" s="2">
        <f>R12/'Output-Calculation-sheet'!R11*'Output-Calculation-sheet'!R101</f>
        <v>0</v>
      </c>
      <c r="S122" s="2">
        <f>S12/'Output-Calculation-sheet'!S11*'Output-Calculation-sheet'!S101</f>
        <v>154495134.81086758</v>
      </c>
      <c r="T122" s="2">
        <f>T12/'Output-Calculation-sheet'!T11*'Output-Calculation-sheet'!T101</f>
        <v>0</v>
      </c>
      <c r="U122" s="2">
        <f>U12/'Output-Calculation-sheet'!U11*'Output-Calculation-sheet'!U101</f>
        <v>53384161.46776814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13515573.966805777</v>
      </c>
      <c r="Y122" s="2">
        <f>Y12/'Output-Calculation-sheet'!Y11*'Output-Calculation-sheet'!Y101</f>
        <v>80592138.642776266</v>
      </c>
      <c r="AA122" s="2">
        <f t="shared" si="10"/>
        <v>6995.577437909129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46213001242.309509</v>
      </c>
      <c r="C129" s="2">
        <f>C8/'Output-Calculation-sheet'!C7*'Output-Calculation-sheet'!C106</f>
        <v>0</v>
      </c>
      <c r="D129" s="2">
        <f>D8/'Output-Calculation-sheet'!D7*'Output-Calculation-sheet'!D106</f>
        <v>19981564667.933815</v>
      </c>
      <c r="E129" s="2">
        <f>E8/'Output-Calculation-sheet'!E7*'Output-Calculation-sheet'!E106</f>
        <v>15853362456.391834</v>
      </c>
      <c r="F129" s="2">
        <f>F8/'Output-Calculation-sheet'!F7*'Output-Calculation-sheet'!F106</f>
        <v>10205374677.644609</v>
      </c>
      <c r="G129" s="2">
        <f>G8/'Output-Calculation-sheet'!G7*'Output-Calculation-sheet'!G106</f>
        <v>7170592901.6977758</v>
      </c>
      <c r="H129" s="2">
        <f>H8/'Output-Calculation-sheet'!H7*'Output-Calculation-sheet'!H106</f>
        <v>0</v>
      </c>
      <c r="I129" s="2">
        <f>I8/'Output-Calculation-sheet'!I7*'Output-Calculation-sheet'!I106</f>
        <v>6532959398.2585011</v>
      </c>
      <c r="J129" s="2">
        <f>J8/'Output-Calculation-sheet'!J7*'Output-Calculation-sheet'!J106</f>
        <v>6358712600.3979969</v>
      </c>
      <c r="K129" s="2">
        <f>K8/'Output-Calculation-sheet'!K7*'Output-Calculation-sheet'!K106</f>
        <v>6297761525.3637466</v>
      </c>
      <c r="L129" s="2">
        <f>L8/'Output-Calculation-sheet'!L7*'Output-Calculation-sheet'!L106</f>
        <v>5052158139.4791613</v>
      </c>
      <c r="M129" s="2">
        <f>M8/'Output-Calculation-sheet'!M7*'Output-Calculation-sheet'!M106</f>
        <v>0</v>
      </c>
      <c r="N129" s="2">
        <f>N8/'Output-Calculation-sheet'!N7*'Output-Calculation-sheet'!N106</f>
        <v>2220253733.0658994</v>
      </c>
      <c r="O129" s="2">
        <f>O8/'Output-Calculation-sheet'!O7*'Output-Calculation-sheet'!O106</f>
        <v>0</v>
      </c>
      <c r="P129" s="2">
        <f>P8/'Output-Calculation-sheet'!P7*'Output-Calculation-sheet'!P106</f>
        <v>4311778506.8774748</v>
      </c>
      <c r="Q129" s="2">
        <f>Q8/'Output-Calculation-sheet'!Q7*'Output-Calculation-sheet'!Q106</f>
        <v>4242085300.1543355</v>
      </c>
      <c r="R129" s="2">
        <f>R8/'Output-Calculation-sheet'!R7*'Output-Calculation-sheet'!R106</f>
        <v>4081089460.8186245</v>
      </c>
      <c r="S129" s="2">
        <f>S8/'Output-Calculation-sheet'!S7*'Output-Calculation-sheet'!S106</f>
        <v>2228472049.423317</v>
      </c>
      <c r="T129" s="2">
        <f>T8/'Output-Calculation-sheet'!T7*'Output-Calculation-sheet'!T106</f>
        <v>1500163112.2246273</v>
      </c>
      <c r="U129" s="2">
        <f>U8/'Output-Calculation-sheet'!U7*'Output-Calculation-sheet'!U106</f>
        <v>1306593125.8883252</v>
      </c>
      <c r="V129" s="2">
        <f>V8/'Output-Calculation-sheet'!V7*'Output-Calculation-sheet'!V106</f>
        <v>1006098486.0171592</v>
      </c>
      <c r="W129" s="2">
        <f>W8/'Output-Calculation-sheet'!W7*'Output-Calculation-sheet'!W106</f>
        <v>871065166.43987644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145433.08655038659</v>
      </c>
    </row>
    <row r="130" spans="1:27" x14ac:dyDescent="0.25">
      <c r="A130" s="2">
        <v>2032</v>
      </c>
      <c r="B130" s="2">
        <f>B9/'Output-Calculation-sheet'!B8*'Output-Calculation-sheet'!B107</f>
        <v>52413201928.932869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0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1907499234.0392518</v>
      </c>
      <c r="O130" s="2">
        <f>O9/'Output-Calculation-sheet'!O8*'Output-Calculation-sheet'!O107</f>
        <v>0</v>
      </c>
      <c r="P130" s="2">
        <f>P9/'Output-Calculation-sheet'!P8*'Output-Calculation-sheet'!P107</f>
        <v>5818338954.7065086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1693541263.9834442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183900.21999003564</v>
      </c>
    </row>
    <row r="131" spans="1:27" x14ac:dyDescent="0.25">
      <c r="A131" s="2">
        <v>2033</v>
      </c>
      <c r="B131" s="2">
        <f>B10/'Output-Calculation-sheet'!B9*'Output-Calculation-sheet'!B108</f>
        <v>43304021089.931725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1586776719.0159767</v>
      </c>
      <c r="O131" s="2">
        <f>O10/'Output-Calculation-sheet'!O9*'Output-Calculation-sheet'!O108</f>
        <v>0</v>
      </c>
      <c r="P131" s="2">
        <f>P10/'Output-Calculation-sheet'!P9*'Output-Calculation-sheet'!P108</f>
        <v>7298029637.1424255</v>
      </c>
      <c r="Q131" s="2">
        <f>Q10/'Output-Calculation-sheet'!Q9*'Output-Calculation-sheet'!Q108</f>
        <v>6156629784.2665005</v>
      </c>
      <c r="R131" s="2">
        <f>R10/'Output-Calculation-sheet'!R9*'Output-Calculation-sheet'!R108</f>
        <v>6907649491.2984934</v>
      </c>
      <c r="S131" s="2">
        <f>S10/'Output-Calculation-sheet'!S9*'Output-Calculation-sheet'!S108</f>
        <v>1539088858.2384405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205823.25005969204</v>
      </c>
    </row>
    <row r="132" spans="1:27" x14ac:dyDescent="0.25">
      <c r="A132" s="2">
        <v>2034</v>
      </c>
      <c r="B132" s="2">
        <f>B11/'Output-Calculation-sheet'!B10*'Output-Calculation-sheet'!B109</f>
        <v>32269013053.397064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31144102640.276493</v>
      </c>
      <c r="F132" s="2">
        <f>F11/'Output-Calculation-sheet'!F10*'Output-Calculation-sheet'!F109</f>
        <v>20551739110.220482</v>
      </c>
      <c r="G132" s="2">
        <f>G11/'Output-Calculation-sheet'!G10*'Output-Calculation-sheet'!G109</f>
        <v>14440620432.490732</v>
      </c>
      <c r="H132" s="2">
        <f>H11/'Output-Calculation-sheet'!H10*'Output-Calculation-sheet'!H109</f>
        <v>0</v>
      </c>
      <c r="I132" s="2">
        <f>I11/'Output-Calculation-sheet'!I10*'Output-Calculation-sheet'!I109</f>
        <v>13155626630.087547</v>
      </c>
      <c r="J132" s="2">
        <f>J11/'Output-Calculation-sheet'!J10*'Output-Calculation-sheet'!J109</f>
        <v>12804866606.082697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9532536295.6552143</v>
      </c>
      <c r="M132" s="2">
        <f>M11/'Output-Calculation-sheet'!M10*'Output-Calculation-sheet'!M109</f>
        <v>0</v>
      </c>
      <c r="N132" s="2">
        <f>N11/'Output-Calculation-sheet'!N10*'Output-Calculation-sheet'!N109</f>
        <v>1253540309.3001668</v>
      </c>
      <c r="O132" s="2">
        <f>O11/'Output-Calculation-sheet'!O10*'Output-Calculation-sheet'!O109</f>
        <v>0</v>
      </c>
      <c r="P132" s="2">
        <f>P11/'Output-Calculation-sheet'!P10*'Output-Calculation-sheet'!P109</f>
        <v>7122274311.479763</v>
      </c>
      <c r="Q132" s="2">
        <f>Q11/'Output-Calculation-sheet'!Q10*'Output-Calculation-sheet'!Q109</f>
        <v>4587506617.3716145</v>
      </c>
      <c r="R132" s="2">
        <f>R11/'Output-Calculation-sheet'!R10*'Output-Calculation-sheet'!R109</f>
        <v>8217764177.8068476</v>
      </c>
      <c r="S132" s="2">
        <f>S11/'Output-Calculation-sheet'!S10*'Output-Calculation-sheet'!S109</f>
        <v>860317481.41546392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2632636406.5887928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218295.02652511603</v>
      </c>
    </row>
    <row r="133" spans="1:27" x14ac:dyDescent="0.25">
      <c r="A133" s="2">
        <v>2035</v>
      </c>
      <c r="B133" s="2">
        <f>B12/'Output-Calculation-sheet'!B11*'Output-Calculation-sheet'!B110</f>
        <v>501182244.41444892</v>
      </c>
      <c r="C133" s="2">
        <f>C12/'Output-Calculation-sheet'!C11*'Output-Calculation-sheet'!C110</f>
        <v>0</v>
      </c>
      <c r="D133" s="2">
        <f>D12/'Output-Calculation-sheet'!D11*'Output-Calculation-sheet'!D110</f>
        <v>41522406127.824379</v>
      </c>
      <c r="E133" s="2">
        <f>E12/'Output-Calculation-sheet'!E11*'Output-Calculation-sheet'!E110</f>
        <v>20191432700.029751</v>
      </c>
      <c r="F133" s="2">
        <f>F12/'Output-Calculation-sheet'!F11*'Output-Calculation-sheet'!F110</f>
        <v>22390763636.520569</v>
      </c>
      <c r="G133" s="2">
        <f>G12/'Output-Calculation-sheet'!G11*'Output-Calculation-sheet'!G110</f>
        <v>15520135932.466055</v>
      </c>
      <c r="H133" s="2">
        <f>H12/'Output-Calculation-sheet'!H11*'Output-Calculation-sheet'!H110</f>
        <v>0</v>
      </c>
      <c r="I133" s="2">
        <f>I12/'Output-Calculation-sheet'!I11*'Output-Calculation-sheet'!I110</f>
        <v>14009829636.206722</v>
      </c>
      <c r="J133" s="2">
        <f>J12/'Output-Calculation-sheet'!J11*'Output-Calculation-sheet'!J110</f>
        <v>13492521514.797216</v>
      </c>
      <c r="K133" s="2">
        <f>K12/'Output-Calculation-sheet'!K11*'Output-Calculation-sheet'!K110</f>
        <v>13347920223.423019</v>
      </c>
      <c r="L133" s="2">
        <f>L12/'Output-Calculation-sheet'!L11*'Output-Calculation-sheet'!L110</f>
        <v>9817381498.4561253</v>
      </c>
      <c r="M133" s="2">
        <f>M12/'Output-Calculation-sheet'!M11*'Output-Calculation-sheet'!M110</f>
        <v>0</v>
      </c>
      <c r="N133" s="2">
        <f>N12/'Output-Calculation-sheet'!N11*'Output-Calculation-sheet'!N110</f>
        <v>1283135.3708517952</v>
      </c>
      <c r="O133" s="2">
        <f>O12/'Output-Calculation-sheet'!O11*'Output-Calculation-sheet'!O110</f>
        <v>0</v>
      </c>
      <c r="P133" s="2">
        <f>P12/'Output-Calculation-sheet'!P11*'Output-Calculation-sheet'!P110</f>
        <v>3042160810.4354963</v>
      </c>
      <c r="Q133" s="2">
        <f>Q12/'Output-Calculation-sheet'!Q11*'Output-Calculation-sheet'!Q110</f>
        <v>4040980723.0635252</v>
      </c>
      <c r="R133" s="2">
        <f>R12/'Output-Calculation-sheet'!R11*'Output-Calculation-sheet'!R110</f>
        <v>8878487869.4932613</v>
      </c>
      <c r="S133" s="2">
        <f>S12/'Output-Calculation-sheet'!S11*'Output-Calculation-sheet'!S110</f>
        <v>14699698.633635059</v>
      </c>
      <c r="T133" s="2">
        <f>T12/'Output-Calculation-sheet'!T11*'Output-Calculation-sheet'!T110</f>
        <v>3335807972.2042499</v>
      </c>
      <c r="U133" s="2">
        <f>U12/'Output-Calculation-sheet'!U11*'Output-Calculation-sheet'!U110</f>
        <v>2706553069.26125</v>
      </c>
      <c r="V133" s="2">
        <f>V12/'Output-Calculation-sheet'!V11*'Output-Calculation-sheet'!V110</f>
        <v>2243334682.8984327</v>
      </c>
      <c r="W133" s="2">
        <f>W12/'Output-Calculation-sheet'!W11*'Output-Calculation-sheet'!W110</f>
        <v>1970855017.5736618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177027.73649307268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14440988546.559963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4539883045.4830112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3120647827.3939819</v>
      </c>
      <c r="N140" s="2">
        <f>N8/'Output-Calculation-sheet'!N7*'Output-Calculation-sheet'!N115</f>
        <v>1178168245.7707658</v>
      </c>
      <c r="O140" s="2">
        <f>O8/'Output-Calculation-sheet'!O7*'Output-Calculation-sheet'!O115</f>
        <v>3465766936.1916637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338864886.72482985</v>
      </c>
      <c r="Y140" s="2">
        <f>Y8/'Output-Calculation-sheet'!Y7*'Output-Calculation-sheet'!Y115</f>
        <v>0</v>
      </c>
      <c r="AA140" s="2">
        <f t="shared" si="12"/>
        <v>27084.319488124223</v>
      </c>
    </row>
    <row r="141" spans="1:27" x14ac:dyDescent="0.25">
      <c r="A141" s="2">
        <v>2032</v>
      </c>
      <c r="B141" s="2">
        <f>B9/'Output-Calculation-sheet'!B8*'Output-Calculation-sheet'!B116</f>
        <v>5992038393.4287567</v>
      </c>
      <c r="C141" s="2">
        <f>C9/'Output-Calculation-sheet'!C8*'Output-Calculation-sheet'!C116</f>
        <v>25649467331.415577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6686704904.7023659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4590972326.6286697</v>
      </c>
      <c r="N141" s="2">
        <f>N9/'Output-Calculation-sheet'!N8*'Output-Calculation-sheet'!N116</f>
        <v>3187337998.2540612</v>
      </c>
      <c r="O141" s="2">
        <f>O9/'Output-Calculation-sheet'!O8*'Output-Calculation-sheet'!O116</f>
        <v>4978712357.6078558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1427640560.9490654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499711205.84612262</v>
      </c>
      <c r="Y141" s="2">
        <f>Y9/'Output-Calculation-sheet'!Y8*'Output-Calculation-sheet'!Y116</f>
        <v>0</v>
      </c>
      <c r="AA141" s="2">
        <f t="shared" si="12"/>
        <v>53012.585078832475</v>
      </c>
    </row>
    <row r="142" spans="1:27" x14ac:dyDescent="0.25">
      <c r="A142" s="2">
        <v>2033</v>
      </c>
      <c r="B142" s="2">
        <f>B10/'Output-Calculation-sheet'!B9*'Output-Calculation-sheet'!B117</f>
        <v>31418428605.278744</v>
      </c>
      <c r="C142" s="2">
        <f>C10/'Output-Calculation-sheet'!C9*'Output-Calculation-sheet'!C117</f>
        <v>33176562390.434505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10275026424.977505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7060865705.1814957</v>
      </c>
      <c r="N142" s="2">
        <f>N10/'Output-Calculation-sheet'!N9*'Output-Calculation-sheet'!N117</f>
        <v>5326377268.7585573</v>
      </c>
      <c r="O142" s="2">
        <f>O10/'Output-Calculation-sheet'!O9*'Output-Calculation-sheet'!O117</f>
        <v>6439149708.3606167</v>
      </c>
      <c r="P142" s="2">
        <f>P10/'Output-Calculation-sheet'!P9*'Output-Calculation-sheet'!P117</f>
        <v>0</v>
      </c>
      <c r="Q142" s="2">
        <f>Q10/'Output-Calculation-sheet'!Q9*'Output-Calculation-sheet'!Q117</f>
        <v>1017192632.1717315</v>
      </c>
      <c r="R142" s="2">
        <f>R10/'Output-Calculation-sheet'!R9*'Output-Calculation-sheet'!R117</f>
        <v>0</v>
      </c>
      <c r="S142" s="2">
        <f>S10/'Output-Calculation-sheet'!S9*'Output-Calculation-sheet'!S117</f>
        <v>2589928325.3216257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774068490.47196388</v>
      </c>
      <c r="Y142" s="2">
        <f>Y10/'Output-Calculation-sheet'!Y9*'Output-Calculation-sheet'!Y117</f>
        <v>0</v>
      </c>
      <c r="AA142" s="2">
        <f t="shared" si="12"/>
        <v>98077.599550956758</v>
      </c>
    </row>
    <row r="143" spans="1:27" x14ac:dyDescent="0.25">
      <c r="A143" s="2">
        <v>2034</v>
      </c>
      <c r="B143" s="2">
        <f>B11/'Output-Calculation-sheet'!B10*'Output-Calculation-sheet'!B118</f>
        <v>57974768898.585274</v>
      </c>
      <c r="C143" s="2">
        <f>C11/'Output-Calculation-sheet'!C10*'Output-Calculation-sheet'!C118</f>
        <v>44481429839.069862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12330473651.815573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8468706380.6091633</v>
      </c>
      <c r="N143" s="2">
        <f>N11/'Output-Calculation-sheet'!N10*'Output-Calculation-sheet'!N118</f>
        <v>7451782250.8416405</v>
      </c>
      <c r="O143" s="2">
        <f>O11/'Output-Calculation-sheet'!O10*'Output-Calculation-sheet'!O118</f>
        <v>8641506088.3044205</v>
      </c>
      <c r="P143" s="2">
        <f>P11/'Output-Calculation-sheet'!P10*'Output-Calculation-sheet'!P118</f>
        <v>1560198409.7695737</v>
      </c>
      <c r="Q143" s="2">
        <f>Q11/'Output-Calculation-sheet'!Q10*'Output-Calculation-sheet'!Q118</f>
        <v>3673254443.4618621</v>
      </c>
      <c r="R143" s="2">
        <f>R11/'Output-Calculation-sheet'!R10*'Output-Calculation-sheet'!R118</f>
        <v>0</v>
      </c>
      <c r="S143" s="2">
        <f>S11/'Output-Calculation-sheet'!S10*'Output-Calculation-sheet'!S118</f>
        <v>4290728377.5396543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929735110.16036856</v>
      </c>
      <c r="Y143" s="2">
        <f>Y11/'Output-Calculation-sheet'!Y10*'Output-Calculation-sheet'!Y118</f>
        <v>108951228.04252245</v>
      </c>
      <c r="AA143" s="2">
        <f t="shared" si="12"/>
        <v>149911.53467819985</v>
      </c>
    </row>
    <row r="144" spans="1:27" x14ac:dyDescent="0.25">
      <c r="A144" s="2">
        <v>2035</v>
      </c>
      <c r="B144" s="2">
        <f>B12/'Output-Calculation-sheet'!B11*'Output-Calculation-sheet'!B119</f>
        <v>106921398906.03102</v>
      </c>
      <c r="C144" s="2">
        <f>C12/'Output-Calculation-sheet'!C11*'Output-Calculation-sheet'!C119</f>
        <v>51164013245.14003</v>
      </c>
      <c r="D144" s="2">
        <f>D12/'Output-Calculation-sheet'!D11*'Output-Calculation-sheet'!D119</f>
        <v>0</v>
      </c>
      <c r="E144" s="2">
        <f>E12/'Output-Calculation-sheet'!E11*'Output-Calculation-sheet'!E119</f>
        <v>13479506817.434164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15544499238.167746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10650364683.915949</v>
      </c>
      <c r="N144" s="2">
        <f>N12/'Output-Calculation-sheet'!N11*'Output-Calculation-sheet'!N119</f>
        <v>10545424897.160845</v>
      </c>
      <c r="O144" s="2">
        <f>O12/'Output-Calculation-sheet'!O11*'Output-Calculation-sheet'!O119</f>
        <v>9948007799.6636105</v>
      </c>
      <c r="P144" s="2">
        <f>P12/'Output-Calculation-sheet'!P11*'Output-Calculation-sheet'!P119</f>
        <v>6764296477.8197002</v>
      </c>
      <c r="Q144" s="2">
        <f>Q12/'Output-Calculation-sheet'!Q11*'Output-Calculation-sheet'!Q119</f>
        <v>4635757550.2544422</v>
      </c>
      <c r="R144" s="2">
        <f>R12/'Output-Calculation-sheet'!R11*'Output-Calculation-sheet'!R119</f>
        <v>0</v>
      </c>
      <c r="S144" s="2">
        <f>S12/'Output-Calculation-sheet'!S11*'Output-Calculation-sheet'!S119</f>
        <v>6024124806.8264351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1185102197.8170249</v>
      </c>
      <c r="Y144" s="2">
        <f>Y12/'Output-Calculation-sheet'!Y11*'Output-Calculation-sheet'!Y119</f>
        <v>565506713.65469968</v>
      </c>
      <c r="AA144" s="2">
        <f t="shared" si="12"/>
        <v>237428.00333388572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47573998340.797623</v>
      </c>
      <c r="C151" s="2">
        <f>C8/'Output-Calculation-sheet'!C7*'Output-Calculation-sheet'!C124</f>
        <v>22419301744.771786</v>
      </c>
      <c r="D151" s="2">
        <f>D8/'Output-Calculation-sheet'!D7*'Output-Calculation-sheet'!D124</f>
        <v>19981564667.933815</v>
      </c>
      <c r="E151" s="2">
        <f>E8/'Output-Calculation-sheet'!E7*'Output-Calculation-sheet'!E124</f>
        <v>15853362456.391834</v>
      </c>
      <c r="F151" s="2">
        <f>F8/'Output-Calculation-sheet'!F7*'Output-Calculation-sheet'!F124</f>
        <v>10205374677.644609</v>
      </c>
      <c r="G151" s="2">
        <f>G8/'Output-Calculation-sheet'!G7*'Output-Calculation-sheet'!G124</f>
        <v>7170592901.6977758</v>
      </c>
      <c r="H151" s="2">
        <f>H8/'Output-Calculation-sheet'!H7*'Output-Calculation-sheet'!H124</f>
        <v>6994646223.8082714</v>
      </c>
      <c r="I151" s="2">
        <f>I8/'Output-Calculation-sheet'!I7*'Output-Calculation-sheet'!I124</f>
        <v>6532959398.2585011</v>
      </c>
      <c r="J151" s="2">
        <f>J8/'Output-Calculation-sheet'!J7*'Output-Calculation-sheet'!J124</f>
        <v>6358712600.3979969</v>
      </c>
      <c r="K151" s="2">
        <f>K8/'Output-Calculation-sheet'!K7*'Output-Calculation-sheet'!K124</f>
        <v>6297761525.3637466</v>
      </c>
      <c r="L151" s="2">
        <f>L8/'Output-Calculation-sheet'!L7*'Output-Calculation-sheet'!L124</f>
        <v>5052158139.4791613</v>
      </c>
      <c r="M151" s="2">
        <f>M8/'Output-Calculation-sheet'!M7*'Output-Calculation-sheet'!M124</f>
        <v>4825692389.8474827</v>
      </c>
      <c r="N151" s="2">
        <f>N8/'Output-Calculation-sheet'!N7*'Output-Calculation-sheet'!N124</f>
        <v>4736394891.7308464</v>
      </c>
      <c r="O151" s="2">
        <f>O8/'Output-Calculation-sheet'!O7*'Output-Calculation-sheet'!O124</f>
        <v>4356070099.8233995</v>
      </c>
      <c r="P151" s="2">
        <f>P8/'Output-Calculation-sheet'!P7*'Output-Calculation-sheet'!P124</f>
        <v>4311778506.8774748</v>
      </c>
      <c r="Q151" s="2">
        <f>Q8/'Output-Calculation-sheet'!Q7*'Output-Calculation-sheet'!Q124</f>
        <v>4242085300.1543355</v>
      </c>
      <c r="R151" s="2">
        <f>R8/'Output-Calculation-sheet'!R7*'Output-Calculation-sheet'!R124</f>
        <v>4081089460.8186245</v>
      </c>
      <c r="S151" s="2">
        <f>S8/'Output-Calculation-sheet'!S7*'Output-Calculation-sheet'!S124</f>
        <v>2712494713.7866855</v>
      </c>
      <c r="T151" s="2">
        <f>T8/'Output-Calculation-sheet'!T7*'Output-Calculation-sheet'!T124</f>
        <v>1500163112.2246273</v>
      </c>
      <c r="U151" s="2">
        <f>U8/'Output-Calculation-sheet'!U7*'Output-Calculation-sheet'!U124</f>
        <v>1306593125.8883252</v>
      </c>
      <c r="V151" s="2">
        <f>V8/'Output-Calculation-sheet'!V7*'Output-Calculation-sheet'!V124</f>
        <v>1006098486.0171592</v>
      </c>
      <c r="W151" s="2">
        <f>W8/'Output-Calculation-sheet'!W7*'Output-Calculation-sheet'!W124</f>
        <v>871065166.43987644</v>
      </c>
      <c r="X151" s="2">
        <f>X8/'Output-Calculation-sheet'!X7*'Output-Calculation-sheet'!X124</f>
        <v>522636329.01255119</v>
      </c>
      <c r="Y151" s="2">
        <f>Y8/'Output-Calculation-sheet'!Y7*'Output-Calculation-sheet'!Y124</f>
        <v>508258909.33328259</v>
      </c>
      <c r="AA151" s="2">
        <f t="shared" si="13"/>
        <v>189420.85316849974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18151782911.106682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3526891002.9420247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153364.55179120234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2457809418.2541814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106876.2455982734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2012262053.8070362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1220388940.8198664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780347006.50107944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375888524.8279283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54493.740728545068</v>
      </c>
    </row>
    <row r="155" spans="1:27" x14ac:dyDescent="0.25">
      <c r="A155" s="2">
        <v>2035</v>
      </c>
      <c r="B155" s="2">
        <f>B12/'Output-Calculation-sheet'!B11*'Output-Calculation-sheet'!B128</f>
        <v>557772977.63664055</v>
      </c>
      <c r="C155" s="2">
        <f>C12/'Output-Calculation-sheet'!C11*'Output-Calculation-sheet'!C128</f>
        <v>71684546.514670819</v>
      </c>
      <c r="D155" s="2">
        <f>D12/'Output-Calculation-sheet'!D11*'Output-Calculation-sheet'!D128</f>
        <v>5589842885.6652489</v>
      </c>
      <c r="E155" s="2">
        <f>E12/'Output-Calculation-sheet'!E11*'Output-Calculation-sheet'!E128</f>
        <v>1041197468.7515692</v>
      </c>
      <c r="F155" s="2">
        <f>F12/'Output-Calculation-sheet'!F11*'Output-Calculation-sheet'!F128</f>
        <v>1611811238.1031477</v>
      </c>
      <c r="G155" s="2">
        <f>G12/'Output-Calculation-sheet'!G11*'Output-Calculation-sheet'!G128</f>
        <v>1439668179.066643</v>
      </c>
      <c r="H155" s="2">
        <f>H12/'Output-Calculation-sheet'!H11*'Output-Calculation-sheet'!H128</f>
        <v>115391669.31918694</v>
      </c>
      <c r="I155" s="2">
        <f>I12/'Output-Calculation-sheet'!I11*'Output-Calculation-sheet'!I128</f>
        <v>1435612555.2805567</v>
      </c>
      <c r="J155" s="2">
        <f>J12/'Output-Calculation-sheet'!J11*'Output-Calculation-sheet'!J128</f>
        <v>1374603254.9800305</v>
      </c>
      <c r="K155" s="2">
        <f>K12/'Output-Calculation-sheet'!K11*'Output-Calculation-sheet'!K128</f>
        <v>1560936701.3242168</v>
      </c>
      <c r="L155" s="2">
        <f>L12/'Output-Calculation-sheet'!L11*'Output-Calculation-sheet'!L128</f>
        <v>1128788830.2912865</v>
      </c>
      <c r="M155" s="2">
        <f>M12/'Output-Calculation-sheet'!M11*'Output-Calculation-sheet'!M128</f>
        <v>96238052.412943706</v>
      </c>
      <c r="N155" s="2">
        <f>N12/'Output-Calculation-sheet'!N11*'Output-Calculation-sheet'!N128</f>
        <v>97402495.247947574</v>
      </c>
      <c r="O155" s="2">
        <f>O12/'Output-Calculation-sheet'!O11*'Output-Calculation-sheet'!O128</f>
        <v>32256530.11407638</v>
      </c>
      <c r="P155" s="2">
        <f>P12/'Output-Calculation-sheet'!P11*'Output-Calculation-sheet'!P128</f>
        <v>108875854.33909179</v>
      </c>
      <c r="Q155" s="2">
        <f>Q12/'Output-Calculation-sheet'!Q11*'Output-Calculation-sheet'!Q128</f>
        <v>648891796.03012979</v>
      </c>
      <c r="R155" s="2">
        <f>R12/'Output-Calculation-sheet'!R11*'Output-Calculation-sheet'!R128</f>
        <v>725554447.04903769</v>
      </c>
      <c r="S155" s="2">
        <f>S12/'Output-Calculation-sheet'!S11*'Output-Calculation-sheet'!S128</f>
        <v>50864720.121091262</v>
      </c>
      <c r="T155" s="2">
        <f>T12/'Output-Calculation-sheet'!T11*'Output-Calculation-sheet'!T128</f>
        <v>170634103.91154033</v>
      </c>
      <c r="U155" s="2">
        <f>U12/'Output-Calculation-sheet'!U11*'Output-Calculation-sheet'!U128</f>
        <v>335812995.61977386</v>
      </c>
      <c r="V155" s="2">
        <f>V12/'Output-Calculation-sheet'!V11*'Output-Calculation-sheet'!V128</f>
        <v>83796493.269495577</v>
      </c>
      <c r="W155" s="2">
        <f>W12/'Output-Calculation-sheet'!W11*'Output-Calculation-sheet'!W128</f>
        <v>77769632.897753969</v>
      </c>
      <c r="X155" s="2">
        <f>X12/'Output-Calculation-sheet'!X11*'Output-Calculation-sheet'!X128</f>
        <v>2959347.5743227196</v>
      </c>
      <c r="Y155" s="2">
        <f>Y12/'Output-Calculation-sheet'!Y11*'Output-Calculation-sheet'!Y128</f>
        <v>23012148.154516421</v>
      </c>
      <c r="AA155" s="2">
        <f t="shared" si="13"/>
        <v>18381.378923674922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1062.3201211802671</v>
      </c>
      <c r="C19" s="2">
        <f>C8/'Output-Calculation-sheet'!C7*'Output-Calculation-sheet'!C25</f>
        <v>4998.1804751032869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1514.0089675944444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1051.6907393736219</v>
      </c>
      <c r="N19" s="2">
        <f>N8/'Output-Calculation-sheet'!N7*'Output-Calculation-sheet'!N25</f>
        <v>874.88241599560138</v>
      </c>
      <c r="O19" s="2">
        <f>O8/'Output-Calculation-sheet'!O7*'Output-Calculation-sheet'!O25</f>
        <v>549.08328310419347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404.60803529056125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113.82219311296036</v>
      </c>
      <c r="Y19" s="2">
        <f>Y8/'Output-Calculation-sheet'!Y7*'Output-Calculation-sheet'!Y25</f>
        <v>0</v>
      </c>
      <c r="AA19" s="2">
        <f t="shared" si="0"/>
        <v>10.568596230754938</v>
      </c>
    </row>
    <row r="20" spans="1:27" x14ac:dyDescent="0.25">
      <c r="A20" s="2">
        <v>2032</v>
      </c>
      <c r="B20" s="2">
        <f>B9/'Output-Calculation-sheet'!B8*'Output-Calculation-sheet'!B26</f>
        <v>5224.9629209260947</v>
      </c>
      <c r="C20" s="2">
        <f>C9/'Output-Calculation-sheet'!C8*'Output-Calculation-sheet'!C26</f>
        <v>2865.2421054686283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1720.0189835457445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1201.9611362928842</v>
      </c>
      <c r="N20" s="2">
        <f>N9/'Output-Calculation-sheet'!N8*'Output-Calculation-sheet'!N26</f>
        <v>832.99182071186999</v>
      </c>
      <c r="O20" s="2">
        <f>O9/'Output-Calculation-sheet'!O8*'Output-Calculation-sheet'!O26</f>
        <v>559.81520843638202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395.13234507092574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130.79092618750977</v>
      </c>
      <c r="Y20" s="2">
        <f>Y9/'Output-Calculation-sheet'!Y8*'Output-Calculation-sheet'!Y26</f>
        <v>0</v>
      </c>
      <c r="AA20" s="2">
        <f t="shared" si="0"/>
        <v>12.930915446640041</v>
      </c>
    </row>
    <row r="21" spans="1:27" x14ac:dyDescent="0.25">
      <c r="A21" s="2">
        <v>2033</v>
      </c>
      <c r="B21" s="2">
        <f>B10/'Output-Calculation-sheet'!B9*'Output-Calculation-sheet'!B27</f>
        <v>4899.4413895893631</v>
      </c>
      <c r="C21" s="2">
        <f>C10/'Output-Calculation-sheet'!C9*'Output-Calculation-sheet'!C27</f>
        <v>3011.4040234210988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987.36949211325793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698.86827165034606</v>
      </c>
      <c r="N21" s="2">
        <f>N10/'Output-Calculation-sheet'!N9*'Output-Calculation-sheet'!N27</f>
        <v>707.74200606436659</v>
      </c>
      <c r="O21" s="2">
        <f>O10/'Output-Calculation-sheet'!O9*'Output-Calculation-sheet'!O27</f>
        <v>589.56834546371101</v>
      </c>
      <c r="P21" s="2">
        <f>P10/'Output-Calculation-sheet'!P9*'Output-Calculation-sheet'!P27</f>
        <v>0</v>
      </c>
      <c r="Q21" s="2">
        <f>Q10/'Output-Calculation-sheet'!Q9*'Output-Calculation-sheet'!Q27</f>
        <v>8.0928130642188734</v>
      </c>
      <c r="R21" s="2">
        <f>R10/'Output-Calculation-sheet'!R9*'Output-Calculation-sheet'!R27</f>
        <v>0</v>
      </c>
      <c r="S21" s="2">
        <f>S10/'Output-Calculation-sheet'!S9*'Output-Calculation-sheet'!S27</f>
        <v>337.00053958215403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69.785000468467345</v>
      </c>
      <c r="Y21" s="2">
        <f>Y10/'Output-Calculation-sheet'!Y9*'Output-Calculation-sheet'!Y27</f>
        <v>0</v>
      </c>
      <c r="AA21" s="2">
        <f t="shared" si="0"/>
        <v>11.309271881416985</v>
      </c>
    </row>
    <row r="22" spans="1:27" x14ac:dyDescent="0.25">
      <c r="A22" s="2">
        <v>2034</v>
      </c>
      <c r="B22" s="2">
        <f>B11/'Output-Calculation-sheet'!B10*'Output-Calculation-sheet'!B28</f>
        <v>4259.5128412127096</v>
      </c>
      <c r="C22" s="2">
        <f>C11/'Output-Calculation-sheet'!C10*'Output-Calculation-sheet'!C28</f>
        <v>429.1112863788008</v>
      </c>
      <c r="D22" s="2">
        <f>D11/'Output-Calculation-sheet'!D10*'Output-Calculation-sheet'!D28</f>
        <v>0</v>
      </c>
      <c r="E22" s="2">
        <f>E11/'Output-Calculation-sheet'!E10*'Output-Calculation-sheet'!E28</f>
        <v>1452.3726034049246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1129.8836364765241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864.19232983388599</v>
      </c>
      <c r="M22" s="2">
        <f>M11/'Output-Calculation-sheet'!M10*'Output-Calculation-sheet'!M28</f>
        <v>804.13387732263391</v>
      </c>
      <c r="N22" s="2">
        <f>N11/'Output-Calculation-sheet'!N10*'Output-Calculation-sheet'!N28</f>
        <v>537.56808472009629</v>
      </c>
      <c r="O22" s="2">
        <f>O11/'Output-Calculation-sheet'!O10*'Output-Calculation-sheet'!O28</f>
        <v>84.171177493518812</v>
      </c>
      <c r="P22" s="2">
        <f>P11/'Output-Calculation-sheet'!P10*'Output-Calculation-sheet'!P28</f>
        <v>0</v>
      </c>
      <c r="Q22" s="2">
        <f>Q11/'Output-Calculation-sheet'!Q10*'Output-Calculation-sheet'!Q28</f>
        <v>275.56145114238109</v>
      </c>
      <c r="R22" s="2">
        <f>R11/'Output-Calculation-sheet'!R10*'Output-Calculation-sheet'!R28</f>
        <v>0</v>
      </c>
      <c r="S22" s="2">
        <f>S11/'Output-Calculation-sheet'!S10*'Output-Calculation-sheet'!S28</f>
        <v>201.28254533657042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79.011752274322703</v>
      </c>
      <c r="Y22" s="2">
        <f>Y11/'Output-Calculation-sheet'!Y10*'Output-Calculation-sheet'!Y28</f>
        <v>32.207421899711179</v>
      </c>
      <c r="AA22" s="2">
        <f t="shared" si="0"/>
        <v>10.149009007496081</v>
      </c>
    </row>
    <row r="23" spans="1:27" x14ac:dyDescent="0.25">
      <c r="A23" s="2">
        <v>2035</v>
      </c>
      <c r="B23" s="2">
        <f>B12/'Output-Calculation-sheet'!B11*'Output-Calculation-sheet'!B29</f>
        <v>964.82511768122606</v>
      </c>
      <c r="C23" s="2">
        <f>C12/'Output-Calculation-sheet'!C11*'Output-Calculation-sheet'!C29</f>
        <v>181.32520379141715</v>
      </c>
      <c r="D23" s="2">
        <f>D12/'Output-Calculation-sheet'!D11*'Output-Calculation-sheet'!D29</f>
        <v>0</v>
      </c>
      <c r="E23" s="2">
        <f>E12/'Output-Calculation-sheet'!E11*'Output-Calculation-sheet'!E29</f>
        <v>2442.9378243476103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294.1274732074869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1231.4911994302749</v>
      </c>
      <c r="M23" s="2">
        <f>M12/'Output-Calculation-sheet'!M11*'Output-Calculation-sheet'!M29</f>
        <v>246.61912429904433</v>
      </c>
      <c r="N23" s="2">
        <f>N12/'Output-Calculation-sheet'!N11*'Output-Calculation-sheet'!N29</f>
        <v>171.99693016508442</v>
      </c>
      <c r="O23" s="2">
        <f>O12/'Output-Calculation-sheet'!O11*'Output-Calculation-sheet'!O29</f>
        <v>19.870950389269364</v>
      </c>
      <c r="P23" s="2">
        <f>P12/'Output-Calculation-sheet'!P11*'Output-Calculation-sheet'!P29</f>
        <v>34.227254683595518</v>
      </c>
      <c r="Q23" s="2">
        <f>Q12/'Output-Calculation-sheet'!Q11*'Output-Calculation-sheet'!Q29</f>
        <v>479.90671963142148</v>
      </c>
      <c r="R23" s="2">
        <f>R12/'Output-Calculation-sheet'!R11*'Output-Calculation-sheet'!R29</f>
        <v>0</v>
      </c>
      <c r="S23" s="2">
        <f>S12/'Output-Calculation-sheet'!S11*'Output-Calculation-sheet'!S29</f>
        <v>102.1816453857458</v>
      </c>
      <c r="T23" s="2">
        <f>T12/'Output-Calculation-sheet'!T11*'Output-Calculation-sheet'!T29</f>
        <v>0</v>
      </c>
      <c r="U23" s="2">
        <f>U12/'Output-Calculation-sheet'!U11*'Output-Calculation-sheet'!U29</f>
        <v>111.40382457111741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8.9390694688599037</v>
      </c>
      <c r="Y23" s="2">
        <f>Y12/'Output-Calculation-sheet'!Y11*'Output-Calculation-sheet'!Y29</f>
        <v>75.705510354883387</v>
      </c>
      <c r="AA23" s="2">
        <f t="shared" si="0"/>
        <v>6.3655578474070369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18517.301836415401</v>
      </c>
      <c r="C30" s="2">
        <f>C8/'Output-Calculation-sheet'!C7*'Output-Calculation-sheet'!C16</f>
        <v>0</v>
      </c>
      <c r="D30" s="2">
        <f>D8/'Output-Calculation-sheet'!D7*'Output-Calculation-sheet'!D16</f>
        <v>3118.0455926363152</v>
      </c>
      <c r="E30" s="2">
        <f>E8/'Output-Calculation-sheet'!E7*'Output-Calculation-sheet'!E16</f>
        <v>3354.8452054005406</v>
      </c>
      <c r="F30" s="2">
        <f>F8/'Output-Calculation-sheet'!F7*'Output-Calculation-sheet'!F16</f>
        <v>1692.5649165394484</v>
      </c>
      <c r="G30" s="2">
        <f>G8/'Output-Calculation-sheet'!G7*'Output-Calculation-sheet'!G16</f>
        <v>1108.4142505276443</v>
      </c>
      <c r="H30" s="2">
        <f>H8/'Output-Calculation-sheet'!H7*'Output-Calculation-sheet'!H16</f>
        <v>0</v>
      </c>
      <c r="I30" s="2">
        <f>I8/'Output-Calculation-sheet'!I7*'Output-Calculation-sheet'!I16</f>
        <v>1080.5511325603841</v>
      </c>
      <c r="J30" s="2">
        <f>J8/'Output-Calculation-sheet'!J7*'Output-Calculation-sheet'!J16</f>
        <v>961.88503727788964</v>
      </c>
      <c r="K30" s="2">
        <f>K8/'Output-Calculation-sheet'!K7*'Output-Calculation-sheet'!K16</f>
        <v>1284.3014918878414</v>
      </c>
      <c r="L30" s="2">
        <f>L8/'Output-Calculation-sheet'!L7*'Output-Calculation-sheet'!L16</f>
        <v>1084.8179935504925</v>
      </c>
      <c r="M30" s="2">
        <f>M8/'Output-Calculation-sheet'!M7*'Output-Calculation-sheet'!M16</f>
        <v>0</v>
      </c>
      <c r="N30" s="2">
        <f>N8/'Output-Calculation-sheet'!N7*'Output-Calculation-sheet'!N16</f>
        <v>997.34744780172605</v>
      </c>
      <c r="O30" s="2">
        <f>O8/'Output-Calculation-sheet'!O7*'Output-Calculation-sheet'!O16</f>
        <v>0</v>
      </c>
      <c r="P30" s="2">
        <f>P8/'Output-Calculation-sheet'!P7*'Output-Calculation-sheet'!P16</f>
        <v>1384.9105177724334</v>
      </c>
      <c r="Q30" s="2">
        <f>Q8/'Output-Calculation-sheet'!Q7*'Output-Calculation-sheet'!Q16</f>
        <v>1522.951266751591</v>
      </c>
      <c r="R30" s="2">
        <f>R8/'Output-Calculation-sheet'!R7*'Output-Calculation-sheet'!R16</f>
        <v>966.31802082845422</v>
      </c>
      <c r="S30" s="2">
        <f>S8/'Output-Calculation-sheet'!S7*'Output-Calculation-sheet'!S16</f>
        <v>971.83400298117317</v>
      </c>
      <c r="T30" s="2">
        <f>T8/'Output-Calculation-sheet'!T7*'Output-Calculation-sheet'!T16</f>
        <v>290.07297624138857</v>
      </c>
      <c r="U30" s="2">
        <f>U8/'Output-Calculation-sheet'!U7*'Output-Calculation-sheet'!U16</f>
        <v>289.55580187168204</v>
      </c>
      <c r="V30" s="2">
        <f>V8/'Output-Calculation-sheet'!V7*'Output-Calculation-sheet'!V16</f>
        <v>225.35479790452419</v>
      </c>
      <c r="W30" s="2">
        <f>W8/'Output-Calculation-sheet'!W7*'Output-Calculation-sheet'!W16</f>
        <v>136.69073986405863</v>
      </c>
      <c r="X30" s="2">
        <f>X8/'Output-Calculation-sheet'!X7*'Output-Calculation-sheet'!X16</f>
        <v>0</v>
      </c>
      <c r="Y30" s="2">
        <f>Y8/'Output-Calculation-sheet'!Y7*'Output-Calculation-sheet'!Y16</f>
        <v>115.69110532982724</v>
      </c>
      <c r="AA30" s="2">
        <f t="shared" si="1"/>
        <v>39.103454134142815</v>
      </c>
    </row>
    <row r="31" spans="1:27" x14ac:dyDescent="0.25">
      <c r="A31" s="2">
        <v>2032</v>
      </c>
      <c r="B31" s="2">
        <f>B9/'Output-Calculation-sheet'!B8*'Output-Calculation-sheet'!B17</f>
        <v>21967.907709394254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858.96834383319572</v>
      </c>
      <c r="O31" s="2">
        <f>O9/'Output-Calculation-sheet'!O8*'Output-Calculation-sheet'!O17</f>
        <v>0</v>
      </c>
      <c r="P31" s="2">
        <f>P9/'Output-Calculation-sheet'!P8*'Output-Calculation-sheet'!P17</f>
        <v>2146.8496749644742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710.9404198429819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50.331081089361653</v>
      </c>
    </row>
    <row r="32" spans="1:27" x14ac:dyDescent="0.25">
      <c r="A32" s="2">
        <v>2033</v>
      </c>
      <c r="B32" s="2">
        <f>B10/'Output-Calculation-sheet'!B9*'Output-Calculation-sheet'!B18</f>
        <v>17722.574841228823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2774.5830905194821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717.3246090585983</v>
      </c>
      <c r="O32" s="2">
        <f>O10/'Output-Calculation-sheet'!O9*'Output-Calculation-sheet'!O18</f>
        <v>0</v>
      </c>
      <c r="P32" s="2">
        <f>P10/'Output-Calculation-sheet'!P9*'Output-Calculation-sheet'!P18</f>
        <v>2855.6538872951887</v>
      </c>
      <c r="Q32" s="2">
        <f>Q10/'Output-Calculation-sheet'!Q9*'Output-Calculation-sheet'!Q18</f>
        <v>2644.241824725586</v>
      </c>
      <c r="R32" s="2">
        <f>R10/'Output-Calculation-sheet'!R9*'Output-Calculation-sheet'!R18</f>
        <v>2050.6055497312445</v>
      </c>
      <c r="S32" s="2">
        <f>S10/'Output-Calculation-sheet'!S9*'Output-Calculation-sheet'!S18</f>
        <v>652.5533665428577</v>
      </c>
      <c r="T32" s="2">
        <f>T10/'Output-Calculation-sheet'!T9*'Output-Calculation-sheet'!T18</f>
        <v>598.72176662828304</v>
      </c>
      <c r="U32" s="2">
        <f>U10/'Output-Calculation-sheet'!U9*'Output-Calculation-sheet'!U18</f>
        <v>661.86713465075024</v>
      </c>
      <c r="V32" s="2">
        <f>V10/'Output-Calculation-sheet'!V9*'Output-Calculation-sheet'!V18</f>
        <v>488.50478925758858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282.87002623824941</v>
      </c>
      <c r="AA32" s="2">
        <f t="shared" si="1"/>
        <v>56.341658910677495</v>
      </c>
    </row>
    <row r="33" spans="1:27" x14ac:dyDescent="0.25">
      <c r="A33" s="2">
        <v>2034</v>
      </c>
      <c r="B33" s="2">
        <f>B11/'Output-Calculation-sheet'!B10*'Output-Calculation-sheet'!B19</f>
        <v>12855.79579419744</v>
      </c>
      <c r="C33" s="2">
        <f>C11/'Output-Calculation-sheet'!C10*'Output-Calculation-sheet'!C19</f>
        <v>0</v>
      </c>
      <c r="D33" s="2">
        <f>D11/'Output-Calculation-sheet'!D10*'Output-Calculation-sheet'!D19</f>
        <v>8552.1928994637947</v>
      </c>
      <c r="E33" s="2">
        <f>E11/'Output-Calculation-sheet'!E10*'Output-Calculation-sheet'!E19</f>
        <v>10582.379856541791</v>
      </c>
      <c r="F33" s="2">
        <f>F11/'Output-Calculation-sheet'!F10*'Output-Calculation-sheet'!F19</f>
        <v>4853.9964336892035</v>
      </c>
      <c r="G33" s="2">
        <f>G11/'Output-Calculation-sheet'!G10*'Output-Calculation-sheet'!G19</f>
        <v>2910.9446937777548</v>
      </c>
      <c r="H33" s="2">
        <f>H11/'Output-Calculation-sheet'!H10*'Output-Calculation-sheet'!H19</f>
        <v>0</v>
      </c>
      <c r="I33" s="2">
        <f>I11/'Output-Calculation-sheet'!I10*'Output-Calculation-sheet'!I19</f>
        <v>3176.6049463322324</v>
      </c>
      <c r="J33" s="2">
        <f>J11/'Output-Calculation-sheet'!J10*'Output-Calculation-sheet'!J19</f>
        <v>2685.9501689112144</v>
      </c>
      <c r="K33" s="2">
        <f>K11/'Output-Calculation-sheet'!K10*'Output-Calculation-sheet'!K19</f>
        <v>3725.5080184219646</v>
      </c>
      <c r="L33" s="2">
        <f>L11/'Output-Calculation-sheet'!L10*'Output-Calculation-sheet'!L19</f>
        <v>3030.2113718364576</v>
      </c>
      <c r="M33" s="2">
        <f>M11/'Output-Calculation-sheet'!M10*'Output-Calculation-sheet'!M19</f>
        <v>0</v>
      </c>
      <c r="N33" s="2">
        <f>N11/'Output-Calculation-sheet'!N10*'Output-Calculation-sheet'!N19</f>
        <v>575.21053650544968</v>
      </c>
      <c r="O33" s="2">
        <f>O11/'Output-Calculation-sheet'!O10*'Output-Calculation-sheet'!O19</f>
        <v>0</v>
      </c>
      <c r="P33" s="2">
        <f>P11/'Output-Calculation-sheet'!P10*'Output-Calculation-sheet'!P19</f>
        <v>2847.385878695361</v>
      </c>
      <c r="Q33" s="2">
        <f>Q11/'Output-Calculation-sheet'!Q10*'Output-Calculation-sheet'!Q19</f>
        <v>1815.0980357752235</v>
      </c>
      <c r="R33" s="2">
        <f>R11/'Output-Calculation-sheet'!R10*'Output-Calculation-sheet'!R19</f>
        <v>2691.3243623053277</v>
      </c>
      <c r="S33" s="2">
        <f>S11/'Output-Calculation-sheet'!S10*'Output-Calculation-sheet'!S19</f>
        <v>365.66079478883842</v>
      </c>
      <c r="T33" s="2">
        <f>T11/'Output-Calculation-sheet'!T10*'Output-Calculation-sheet'!T19</f>
        <v>789.62885754919796</v>
      </c>
      <c r="U33" s="2">
        <f>U11/'Output-Calculation-sheet'!U10*'Output-Calculation-sheet'!U19</f>
        <v>908.24129264305748</v>
      </c>
      <c r="V33" s="2">
        <f>V11/'Output-Calculation-sheet'!V10*'Output-Calculation-sheet'!V19</f>
        <v>619.38540599585974</v>
      </c>
      <c r="W33" s="2">
        <f>W11/'Output-Calculation-sheet'!W10*'Output-Calculation-sheet'!W19</f>
        <v>385.60119950305756</v>
      </c>
      <c r="X33" s="2">
        <f>X11/'Output-Calculation-sheet'!X10*'Output-Calculation-sheet'!X19</f>
        <v>0</v>
      </c>
      <c r="Y33" s="2">
        <f>Y11/'Output-Calculation-sheet'!Y10*'Output-Calculation-sheet'!Y19</f>
        <v>315.7433132296589</v>
      </c>
      <c r="AA33" s="2">
        <f t="shared" si="1"/>
        <v>63.686863860162894</v>
      </c>
    </row>
    <row r="34" spans="1:27" x14ac:dyDescent="0.25">
      <c r="A34" s="2">
        <v>2035</v>
      </c>
      <c r="B34" s="2">
        <f>B12/'Output-Calculation-sheet'!B11*'Output-Calculation-sheet'!B20</f>
        <v>197.2062150428462</v>
      </c>
      <c r="C34" s="2">
        <f>C12/'Output-Calculation-sheet'!C11*'Output-Calculation-sheet'!C20</f>
        <v>0</v>
      </c>
      <c r="D34" s="2">
        <f>D12/'Output-Calculation-sheet'!D11*'Output-Calculation-sheet'!D20</f>
        <v>8783.4944537166302</v>
      </c>
      <c r="E34" s="2">
        <f>E12/'Output-Calculation-sheet'!E11*'Output-Calculation-sheet'!E20</f>
        <v>5184.308393678788</v>
      </c>
      <c r="F34" s="2">
        <f>F12/'Output-Calculation-sheet'!F11*'Output-Calculation-sheet'!F20</f>
        <v>5999.0226825639138</v>
      </c>
      <c r="G34" s="2">
        <f>G12/'Output-Calculation-sheet'!G11*'Output-Calculation-sheet'!G20</f>
        <v>3235.1208350758552</v>
      </c>
      <c r="H34" s="2">
        <f>H12/'Output-Calculation-sheet'!H11*'Output-Calculation-sheet'!H20</f>
        <v>0</v>
      </c>
      <c r="I34" s="2">
        <f>I12/'Output-Calculation-sheet'!I11*'Output-Calculation-sheet'!I20</f>
        <v>3522.0596249463033</v>
      </c>
      <c r="J34" s="2">
        <f>J12/'Output-Calculation-sheet'!J11*'Output-Calculation-sheet'!J20</f>
        <v>3018.6010591044769</v>
      </c>
      <c r="K34" s="2">
        <f>K12/'Output-Calculation-sheet'!K11*'Output-Calculation-sheet'!K20</f>
        <v>3968.7811001593536</v>
      </c>
      <c r="L34" s="2">
        <f>L12/'Output-Calculation-sheet'!L11*'Output-Calculation-sheet'!L20</f>
        <v>3135.5844807235649</v>
      </c>
      <c r="M34" s="2">
        <f>M12/'Output-Calculation-sheet'!M11*'Output-Calculation-sheet'!M20</f>
        <v>0</v>
      </c>
      <c r="N34" s="2">
        <f>N12/'Output-Calculation-sheet'!N11*'Output-Calculation-sheet'!N20</f>
        <v>0.60498751924022143</v>
      </c>
      <c r="O34" s="2">
        <f>O12/'Output-Calculation-sheet'!O11*'Output-Calculation-sheet'!O20</f>
        <v>0</v>
      </c>
      <c r="P34" s="2">
        <f>P12/'Output-Calculation-sheet'!P11*'Output-Calculation-sheet'!P20</f>
        <v>987.86960212936037</v>
      </c>
      <c r="Q34" s="2">
        <f>Q12/'Output-Calculation-sheet'!Q11*'Output-Calculation-sheet'!Q20</f>
        <v>1538.140582203449</v>
      </c>
      <c r="R34" s="2">
        <f>R12/'Output-Calculation-sheet'!R11*'Output-Calculation-sheet'!R20</f>
        <v>3116.5576562118613</v>
      </c>
      <c r="S34" s="2">
        <f>S12/'Output-Calculation-sheet'!S11*'Output-Calculation-sheet'!S20</f>
        <v>6.4193736365335061</v>
      </c>
      <c r="T34" s="2">
        <f>T12/'Output-Calculation-sheet'!T11*'Output-Calculation-sheet'!T20</f>
        <v>973.91138747639945</v>
      </c>
      <c r="U34" s="2">
        <f>U12/'Output-Calculation-sheet'!U11*'Output-Calculation-sheet'!U20</f>
        <v>890.39133483577473</v>
      </c>
      <c r="V34" s="2">
        <f>V12/'Output-Calculation-sheet'!V11*'Output-Calculation-sheet'!V20</f>
        <v>815.71426712942537</v>
      </c>
      <c r="W34" s="2">
        <f>W12/'Output-Calculation-sheet'!W11*'Output-Calculation-sheet'!W20</f>
        <v>527.02209102237771</v>
      </c>
      <c r="X34" s="2">
        <f>X12/'Output-Calculation-sheet'!X11*'Output-Calculation-sheet'!X20</f>
        <v>0</v>
      </c>
      <c r="Y34" s="2">
        <f>Y12/'Output-Calculation-sheet'!Y11*'Output-Calculation-sheet'!Y20</f>
        <v>131.2099493958597</v>
      </c>
      <c r="AA34" s="2">
        <f t="shared" si="1"/>
        <v>46.032020076572017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0.1309577009080472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0.13127202415997452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1.9133407864175792E-2</v>
      </c>
      <c r="I45" s="2">
        <f>I12/'Output-Calculation-sheet'!I11*'Output-Calculation-sheet'!I38*0.0114</f>
        <v>7.1059000643556428E-2</v>
      </c>
      <c r="J45" s="2">
        <f>J12/'Output-Calculation-sheet'!J11*'Output-Calculation-sheet'!J38*0.0114</f>
        <v>5.2743654060157345E-2</v>
      </c>
      <c r="K45" s="2">
        <f>K12/'Output-Calculation-sheet'!K11*'Output-Calculation-sheet'!K38*0.0114</f>
        <v>8.7299608348621535E-2</v>
      </c>
      <c r="L45" s="2">
        <f>L12/'Output-Calculation-sheet'!L11*'Output-Calculation-sheet'!L38*0.0114</f>
        <v>5.5533303758971198E-2</v>
      </c>
      <c r="M45" s="2">
        <f>M12/'Output-Calculation-sheet'!M11*'Output-Calculation-sheet'!M38*0.0114</f>
        <v>1.3165646664680071E-2</v>
      </c>
      <c r="N45" s="2">
        <f>N12/'Output-Calculation-sheet'!N11*'Output-Calculation-sheet'!N38*0.0114</f>
        <v>1.2939695533468151E-2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1.1954005802303512E-2</v>
      </c>
      <c r="Q45" s="2">
        <f>Q12/'Output-Calculation-sheet'!Q11*'Output-Calculation-sheet'!Q38*0.0114</f>
        <v>9.069723547276469E-2</v>
      </c>
      <c r="R45" s="2">
        <f>R12/'Output-Calculation-sheet'!R11*'Output-Calculation-sheet'!R38*0.0114</f>
        <v>4.4971701558483096E-2</v>
      </c>
      <c r="S45" s="2">
        <f>S12/'Output-Calculation-sheet'!S11*'Output-Calculation-sheet'!S38*0.0114</f>
        <v>7.4174801800610153E-3</v>
      </c>
      <c r="T45" s="2">
        <f>T12/'Output-Calculation-sheet'!T11*'Output-Calculation-sheet'!T38*0.0114</f>
        <v>1.2478376590366342E-2</v>
      </c>
      <c r="U45" s="2">
        <f>U12/'Output-Calculation-sheet'!U11*'Output-Calculation-sheet'!U38*0.0114</f>
        <v>1.8086169675001547E-2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4.1813279686714914E-3</v>
      </c>
      <c r="AA45" s="2">
        <f t="shared" si="2"/>
        <v>1.2314014640793989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0.14006646162844086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181.80858842427193</v>
      </c>
      <c r="R54" s="2">
        <f>R10/'Output-Calculation-sheet'!R9*'Output-Calculation-sheet'!R45</f>
        <v>1361.0148367067864</v>
      </c>
      <c r="S54" s="2">
        <f>S10/'Output-Calculation-sheet'!S9*'Output-Calculation-sheet'!S45</f>
        <v>0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16.964084030841825</v>
      </c>
      <c r="AA54" s="2">
        <f t="shared" si="3"/>
        <v>4.4784512254753182</v>
      </c>
    </row>
    <row r="55" spans="1:27" x14ac:dyDescent="0.25">
      <c r="A55" s="2">
        <v>2034</v>
      </c>
      <c r="B55" s="2">
        <f>B11/'Output-Calculation-sheet'!B10*'Output-Calculation-sheet'!B46</f>
        <v>1680.4800730708605</v>
      </c>
      <c r="C55" s="2">
        <f>C11/'Output-Calculation-sheet'!C10*'Output-Calculation-sheet'!C46</f>
        <v>0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572.89026140796807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3529.5316333385194</v>
      </c>
      <c r="L55" s="2">
        <f>L11/'Output-Calculation-sheet'!L10*'Output-Calculation-sheet'!L46</f>
        <v>1305.2757757289371</v>
      </c>
      <c r="M55" s="2">
        <f>M11/'Output-Calculation-sheet'!M10*'Output-Calculation-sheet'!M46</f>
        <v>424.6142956496746</v>
      </c>
      <c r="N55" s="2">
        <f>N11/'Output-Calculation-sheet'!N10*'Output-Calculation-sheet'!N46</f>
        <v>145.01282705135398</v>
      </c>
      <c r="O55" s="2">
        <f>O11/'Output-Calculation-sheet'!O10*'Output-Calculation-sheet'!O46</f>
        <v>0</v>
      </c>
      <c r="P55" s="2">
        <f>P11/'Output-Calculation-sheet'!P10*'Output-Calculation-sheet'!P46</f>
        <v>3153.8344855154005</v>
      </c>
      <c r="Q55" s="2">
        <f>Q11/'Output-Calculation-sheet'!Q10*'Output-Calculation-sheet'!Q46</f>
        <v>676.00188457114973</v>
      </c>
      <c r="R55" s="2">
        <f>R11/'Output-Calculation-sheet'!R10*'Output-Calculation-sheet'!R46</f>
        <v>3909.767610650908</v>
      </c>
      <c r="S55" s="2">
        <f>S11/'Output-Calculation-sheet'!S10*'Output-Calculation-sheet'!S46</f>
        <v>0</v>
      </c>
      <c r="T55" s="2">
        <f>T11/'Output-Calculation-sheet'!T10*'Output-Calculation-sheet'!T46</f>
        <v>885.3159233138274</v>
      </c>
      <c r="U55" s="2">
        <f>U11/'Output-Calculation-sheet'!U10*'Output-Calculation-sheet'!U46</f>
        <v>1484.4219956371066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40.526767654682111</v>
      </c>
      <c r="Y55" s="2">
        <f>Y11/'Output-Calculation-sheet'!Y10*'Output-Calculation-sheet'!Y46</f>
        <v>281.87172732896198</v>
      </c>
      <c r="AA55" s="2">
        <f t="shared" si="3"/>
        <v>42.194913685779049</v>
      </c>
    </row>
    <row r="56" spans="1:27" x14ac:dyDescent="0.25">
      <c r="A56" s="2">
        <v>2035</v>
      </c>
      <c r="B56" s="2">
        <f>B12/'Output-Calculation-sheet'!B11*'Output-Calculation-sheet'!B47</f>
        <v>470.9882225640294</v>
      </c>
      <c r="C56" s="2">
        <f>C12/'Output-Calculation-sheet'!C11*'Output-Calculation-sheet'!C47</f>
        <v>370.75243881938741</v>
      </c>
      <c r="D56" s="2">
        <f>D12/'Output-Calculation-sheet'!D11*'Output-Calculation-sheet'!D47</f>
        <v>8567.9670965115401</v>
      </c>
      <c r="E56" s="2">
        <f>E12/'Output-Calculation-sheet'!E11*'Output-Calculation-sheet'!E47</f>
        <v>10436.509757045929</v>
      </c>
      <c r="F56" s="2">
        <f>F12/'Output-Calculation-sheet'!F11*'Output-Calculation-sheet'!F47</f>
        <v>2720.6528712149448</v>
      </c>
      <c r="G56" s="2">
        <f>G12/'Output-Calculation-sheet'!G11*'Output-Calculation-sheet'!G47</f>
        <v>6715.3196517454417</v>
      </c>
      <c r="H56" s="2">
        <f>H12/'Output-Calculation-sheet'!H11*'Output-Calculation-sheet'!H47</f>
        <v>139.3046362040869</v>
      </c>
      <c r="I56" s="2">
        <f>I12/'Output-Calculation-sheet'!I11*'Output-Calculation-sheet'!I47</f>
        <v>3353.486170722224</v>
      </c>
      <c r="J56" s="2">
        <f>J12/'Output-Calculation-sheet'!J11*'Output-Calculation-sheet'!J47</f>
        <v>3061.2910324389572</v>
      </c>
      <c r="K56" s="2">
        <f>K12/'Output-Calculation-sheet'!K11*'Output-Calculation-sheet'!K47</f>
        <v>4363.4488453547847</v>
      </c>
      <c r="L56" s="2">
        <f>L12/'Output-Calculation-sheet'!L11*'Output-Calculation-sheet'!L47</f>
        <v>2424.710697019992</v>
      </c>
      <c r="M56" s="2">
        <f>M12/'Output-Calculation-sheet'!M11*'Output-Calculation-sheet'!M47</f>
        <v>97.010028055537362</v>
      </c>
      <c r="N56" s="2">
        <f>N12/'Output-Calculation-sheet'!N11*'Output-Calculation-sheet'!N47</f>
        <v>89.669819924910868</v>
      </c>
      <c r="O56" s="2">
        <f>O12/'Output-Calculation-sheet'!O11*'Output-Calculation-sheet'!O47</f>
        <v>12.710629246867395</v>
      </c>
      <c r="P56" s="2">
        <f>P12/'Output-Calculation-sheet'!P11*'Output-Calculation-sheet'!P47</f>
        <v>1284.5313252475264</v>
      </c>
      <c r="Q56" s="2">
        <f>Q12/'Output-Calculation-sheet'!Q11*'Output-Calculation-sheet'!Q47</f>
        <v>1143.6603157201687</v>
      </c>
      <c r="R56" s="2">
        <f>R12/'Output-Calculation-sheet'!R11*'Output-Calculation-sheet'!R47</f>
        <v>5168.7870146493397</v>
      </c>
      <c r="S56" s="2">
        <f>S12/'Output-Calculation-sheet'!S11*'Output-Calculation-sheet'!S47</f>
        <v>40.991337837179294</v>
      </c>
      <c r="T56" s="2">
        <f>T12/'Output-Calculation-sheet'!T11*'Output-Calculation-sheet'!T47</f>
        <v>1821.770009230969</v>
      </c>
      <c r="U56" s="2">
        <f>U12/'Output-Calculation-sheet'!U11*'Output-Calculation-sheet'!U47</f>
        <v>1738.4933973567274</v>
      </c>
      <c r="V56" s="2">
        <f>V12/'Output-Calculation-sheet'!V11*'Output-Calculation-sheet'!V47</f>
        <v>1213.548129280382</v>
      </c>
      <c r="W56" s="2">
        <f>W12/'Output-Calculation-sheet'!W11*'Output-Calculation-sheet'!W47</f>
        <v>705.7218339875435</v>
      </c>
      <c r="X56" s="2">
        <f>X12/'Output-Calculation-sheet'!X11*'Output-Calculation-sheet'!X47</f>
        <v>10.895587600407497</v>
      </c>
      <c r="Y56" s="2">
        <f>Y12/'Output-Calculation-sheet'!Y11*'Output-Calculation-sheet'!Y47</f>
        <v>282.17850735946791</v>
      </c>
      <c r="AA56" s="2">
        <f t="shared" si="3"/>
        <v>56.234399355138322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7.0396347711983243</v>
      </c>
      <c r="C63" s="2">
        <f>C8*'Output-Calculation-sheet'!C52/10^9</f>
        <v>3.3169692924654903</v>
      </c>
      <c r="D63" s="2">
        <f>D8*'Output-Calculation-sheet'!D52/10^9</f>
        <v>1.6482646619338568</v>
      </c>
      <c r="E63" s="2">
        <f>E8*'Output-Calculation-sheet'!E52/10^9</f>
        <v>1.8856874273599102</v>
      </c>
      <c r="F63" s="2">
        <f>F8*'Output-Calculation-sheet'!F52/10^9</f>
        <v>0.88143773153075444</v>
      </c>
      <c r="G63" s="2">
        <f>G8*'Output-Calculation-sheet'!G52/10^9</f>
        <v>0.67233045148381798</v>
      </c>
      <c r="H63" s="2">
        <f>H8*'Output-Calculation-sheet'!H52/10^9</f>
        <v>0.91486750422740637</v>
      </c>
      <c r="I63" s="2">
        <f>I8*'Output-Calculation-sheet'!I52/10^9</f>
        <v>0.53109637937534582</v>
      </c>
      <c r="J63" s="2">
        <f>J8*'Output-Calculation-sheet'!J52/10^9</f>
        <v>0.75079385523734843</v>
      </c>
      <c r="K63" s="2">
        <f>K8*'Output-Calculation-sheet'!K52/10^9</f>
        <v>0.49285930078622209</v>
      </c>
      <c r="L63" s="2">
        <f>L8*'Output-Calculation-sheet'!L52/10^9</f>
        <v>0.58352521706535831</v>
      </c>
      <c r="M63" s="2">
        <f>M8*'Output-Calculation-sheet'!M52/10^9</f>
        <v>0.67185021404909917</v>
      </c>
      <c r="N63" s="2">
        <f>N8*'Output-Calculation-sheet'!N52/10^9</f>
        <v>0.5809778255079755</v>
      </c>
      <c r="O63" s="2">
        <f>O8*'Output-Calculation-sheet'!O52/10^9</f>
        <v>0.59401471457162613</v>
      </c>
      <c r="P63" s="2">
        <f>P8*'Output-Calculation-sheet'!P52/10^9</f>
        <v>0.50124639979826124</v>
      </c>
      <c r="Q63" s="2">
        <f>Q8*'Output-Calculation-sheet'!Q52/10^9</f>
        <v>0.46755384651085025</v>
      </c>
      <c r="R63" s="2">
        <f>R8*'Output-Calculation-sheet'!R52/10^9</f>
        <v>0.42349460519833859</v>
      </c>
      <c r="S63" s="2">
        <f>S8*'Output-Calculation-sheet'!S52/10^9</f>
        <v>0.35931942085123769</v>
      </c>
      <c r="T63" s="2">
        <f>T8*'Output-Calculation-sheet'!T52/10^9</f>
        <v>0.17200683672483172</v>
      </c>
      <c r="U63" s="2">
        <f>U8*'Output-Calculation-sheet'!U52/10^9</f>
        <v>0.13413947746888197</v>
      </c>
      <c r="V63" s="2">
        <f>V8*'Output-Calculation-sheet'!V52/10^9</f>
        <v>0.22209496136204138</v>
      </c>
      <c r="W63" s="2">
        <f>W8*'Output-Calculation-sheet'!W52/10^9</f>
        <v>9.3201137861821839E-2</v>
      </c>
      <c r="X63" s="2">
        <f>X8*'Output-Calculation-sheet'!X52/10^9</f>
        <v>8.7360782308045545E-2</v>
      </c>
      <c r="Y63" s="2">
        <f>Y8*'Output-Calculation-sheet'!Y52/10^9</f>
        <v>5.3820192536257215E-2</v>
      </c>
      <c r="AA63" s="2">
        <f t="shared" si="4"/>
        <v>23.078547007413103</v>
      </c>
    </row>
    <row r="64" spans="1:27" x14ac:dyDescent="0.25">
      <c r="A64" s="2">
        <v>2032</v>
      </c>
      <c r="B64" s="2">
        <f>B9*'Output-Calculation-sheet'!B53/10^9</f>
        <v>7.3505908565811575</v>
      </c>
      <c r="C64" s="2">
        <f>C9*'Output-Calculation-sheet'!C53/10^9</f>
        <v>3.5334429700499048</v>
      </c>
      <c r="D64" s="2">
        <f>D9*'Output-Calculation-sheet'!D53/10^9</f>
        <v>1.5447259132867033</v>
      </c>
      <c r="E64" s="2">
        <f>E9*'Output-Calculation-sheet'!E53/10^9</f>
        <v>1.8036481552116841</v>
      </c>
      <c r="F64" s="2">
        <f>F9*'Output-Calculation-sheet'!F53/10^9</f>
        <v>0.82766370335010042</v>
      </c>
      <c r="G64" s="2">
        <f>G9*'Output-Calculation-sheet'!G53/10^9</f>
        <v>0.61972035871735431</v>
      </c>
      <c r="H64" s="2">
        <f>H9*'Output-Calculation-sheet'!H53/10^9</f>
        <v>0.99897779050466995</v>
      </c>
      <c r="I64" s="2">
        <f>I9*'Output-Calculation-sheet'!I53/10^9</f>
        <v>0.50255070184374495</v>
      </c>
      <c r="J64" s="2">
        <f>J9*'Output-Calculation-sheet'!J53/10^9</f>
        <v>0.67453023277970381</v>
      </c>
      <c r="K64" s="2">
        <f>K9*'Output-Calculation-sheet'!K53/10^9</f>
        <v>0.49795421591632433</v>
      </c>
      <c r="L64" s="2">
        <f>L9*'Output-Calculation-sheet'!L53/10^9</f>
        <v>0.55903879814197621</v>
      </c>
      <c r="M64" s="2">
        <f>M9*'Output-Calculation-sheet'!M53/10^9</f>
        <v>0.72273513614216434</v>
      </c>
      <c r="N64" s="2">
        <f>N9*'Output-Calculation-sheet'!N53/10^9</f>
        <v>0.64580633485475969</v>
      </c>
      <c r="O64" s="2">
        <f>O9*'Output-Calculation-sheet'!O53/10^9</f>
        <v>0.64550756000552001</v>
      </c>
      <c r="P64" s="2">
        <f>P9*'Output-Calculation-sheet'!P53/10^9</f>
        <v>0.53134613063591929</v>
      </c>
      <c r="Q64" s="2">
        <f>Q9*'Output-Calculation-sheet'!Q53/10^9</f>
        <v>0.5039949108560059</v>
      </c>
      <c r="R64" s="2">
        <f>R9*'Output-Calculation-sheet'!R53/10^9</f>
        <v>0.42875817405579125</v>
      </c>
      <c r="S64" s="2">
        <f>S9*'Output-Calculation-sheet'!S53/10^9</f>
        <v>0.3908983517353502</v>
      </c>
      <c r="T64" s="2">
        <f>T9*'Output-Calculation-sheet'!T53/10^9</f>
        <v>0.16027793821057995</v>
      </c>
      <c r="U64" s="2">
        <f>U9*'Output-Calculation-sheet'!U53/10^9</f>
        <v>0.13655595143002128</v>
      </c>
      <c r="V64" s="2">
        <f>V9*'Output-Calculation-sheet'!V53/10^9</f>
        <v>0.19902544127560315</v>
      </c>
      <c r="W64" s="2">
        <f>W9*'Output-Calculation-sheet'!W53/10^9</f>
        <v>8.4831269990565325E-2</v>
      </c>
      <c r="X64" s="2">
        <f>X9*'Output-Calculation-sheet'!X53/10^9</f>
        <v>9.0736508471714689E-2</v>
      </c>
      <c r="Y64" s="2">
        <f>Y9*'Output-Calculation-sheet'!Y53/10^9</f>
        <v>5.3957436023526179E-2</v>
      </c>
      <c r="AA64" s="2">
        <f t="shared" si="4"/>
        <v>23.507274840070849</v>
      </c>
    </row>
    <row r="65" spans="1:27" x14ac:dyDescent="0.25">
      <c r="A65" s="2">
        <v>2033</v>
      </c>
      <c r="B65" s="2">
        <f>B10*'Output-Calculation-sheet'!B54/10^9</f>
        <v>7.5953957672561101</v>
      </c>
      <c r="C65" s="2">
        <f>C10*'Output-Calculation-sheet'!C54/10^9</f>
        <v>3.6681669825730165</v>
      </c>
      <c r="D65" s="2">
        <f>D10*'Output-Calculation-sheet'!D54/10^9</f>
        <v>1.3911462540573223</v>
      </c>
      <c r="E65" s="2">
        <f>E10*'Output-Calculation-sheet'!E54/10^9</f>
        <v>1.7716431704580549</v>
      </c>
      <c r="F65" s="2">
        <f>F10*'Output-Calculation-sheet'!F54/10^9</f>
        <v>0.76128948867346302</v>
      </c>
      <c r="G65" s="2">
        <f>G10*'Output-Calculation-sheet'!G54/10^9</f>
        <v>0.54200124434541752</v>
      </c>
      <c r="H65" s="2">
        <f>H10*'Output-Calculation-sheet'!H54/10^9</f>
        <v>1.0742905696073792</v>
      </c>
      <c r="I65" s="2">
        <f>I10*'Output-Calculation-sheet'!I54/10^9</f>
        <v>0.47522196110238901</v>
      </c>
      <c r="J65" s="2">
        <f>J10*'Output-Calculation-sheet'!J54/10^9</f>
        <v>0.56226234070457515</v>
      </c>
      <c r="K65" s="2">
        <f>K10*'Output-Calculation-sheet'!K54/10^9</f>
        <v>0.52617464192528463</v>
      </c>
      <c r="L65" s="2">
        <f>L10*'Output-Calculation-sheet'!L54/10^9</f>
        <v>0.54262111358059573</v>
      </c>
      <c r="M65" s="2">
        <f>M10*'Output-Calculation-sheet'!M54/10^9</f>
        <v>0.76448652962691332</v>
      </c>
      <c r="N65" s="2">
        <f>N10*'Output-Calculation-sheet'!N54/10^9</f>
        <v>0.70130338635115441</v>
      </c>
      <c r="O65" s="2">
        <f>O10*'Output-Calculation-sheet'!O54/10^9</f>
        <v>0.68497772548502833</v>
      </c>
      <c r="P65" s="2">
        <f>P10*'Output-Calculation-sheet'!P54/10^9</f>
        <v>0.56921243403538679</v>
      </c>
      <c r="Q65" s="2">
        <f>Q10*'Output-Calculation-sheet'!Q54/10^9</f>
        <v>0.56053022134673725</v>
      </c>
      <c r="R65" s="2">
        <f>R10*'Output-Calculation-sheet'!R54/10^9</f>
        <v>0.44528571945079731</v>
      </c>
      <c r="S65" s="2">
        <f>S10*'Output-Calculation-sheet'!S54/10^9</f>
        <v>0.4156032298644326</v>
      </c>
      <c r="T65" s="2">
        <f>T10*'Output-Calculation-sheet'!T54/10^9</f>
        <v>0.15079451090990137</v>
      </c>
      <c r="U65" s="2">
        <f>U10*'Output-Calculation-sheet'!U54/10^9</f>
        <v>0.14482681675599426</v>
      </c>
      <c r="V65" s="2">
        <f>V10*'Output-Calculation-sheet'!V54/10^9</f>
        <v>0.17064337663706783</v>
      </c>
      <c r="W65" s="2">
        <f>W10*'Output-Calculation-sheet'!W54/10^9</f>
        <v>7.2928219513238454E-2</v>
      </c>
      <c r="X65" s="2">
        <f>X10*'Output-Calculation-sheet'!X54/10^9</f>
        <v>9.132575845330676E-2</v>
      </c>
      <c r="Y65" s="2">
        <f>Y10*'Output-Calculation-sheet'!Y54/10^9</f>
        <v>5.6578885860130393E-2</v>
      </c>
      <c r="AA65" s="2">
        <f t="shared" si="4"/>
        <v>23.73871034857369</v>
      </c>
    </row>
    <row r="66" spans="1:27" x14ac:dyDescent="0.25">
      <c r="A66" s="2">
        <v>2034</v>
      </c>
      <c r="B66" s="2">
        <f>B11*'Output-Calculation-sheet'!B55/10^9</f>
        <v>7.7653231736142896</v>
      </c>
      <c r="C66" s="2">
        <f>C11*'Output-Calculation-sheet'!C55/10^9</f>
        <v>3.7713329714987096</v>
      </c>
      <c r="D66" s="2">
        <f>D11*'Output-Calculation-sheet'!D55/10^9</f>
        <v>1.5165097997496018</v>
      </c>
      <c r="E66" s="2">
        <f>E11*'Output-Calculation-sheet'!E55/10^9</f>
        <v>1.9641827150413163</v>
      </c>
      <c r="F66" s="2">
        <f>F11*'Output-Calculation-sheet'!F55/10^9</f>
        <v>0.77305742652547949</v>
      </c>
      <c r="G66" s="2">
        <f>G11*'Output-Calculation-sheet'!G55/10^9</f>
        <v>0.56391128392552614</v>
      </c>
      <c r="H66" s="2">
        <f>H11*'Output-Calculation-sheet'!H55/10^9</f>
        <v>1.1336703094472333</v>
      </c>
      <c r="I66" s="2">
        <f>I11*'Output-Calculation-sheet'!I55/10^9</f>
        <v>0.52422271426673417</v>
      </c>
      <c r="J66" s="2">
        <f>J11*'Output-Calculation-sheet'!J55/10^9</f>
        <v>0.52779073309767965</v>
      </c>
      <c r="K66" s="2">
        <f>K11*'Output-Calculation-sheet'!K55/10^9</f>
        <v>0.60097564520047908</v>
      </c>
      <c r="L66" s="2">
        <f>L11*'Output-Calculation-sheet'!L55/10^9</f>
        <v>0.58262604090554071</v>
      </c>
      <c r="M66" s="2">
        <f>M11*'Output-Calculation-sheet'!M55/10^9</f>
        <v>0.79484382659622088</v>
      </c>
      <c r="N66" s="2">
        <f>N11*'Output-Calculation-sheet'!N55/10^9</f>
        <v>0.75344186802791258</v>
      </c>
      <c r="O66" s="2">
        <f>O11*'Output-Calculation-sheet'!O55/10^9</f>
        <v>0.71673274468095527</v>
      </c>
      <c r="P66" s="2">
        <f>P11*'Output-Calculation-sheet'!P55/10^9</f>
        <v>0.62298072660150683</v>
      </c>
      <c r="Q66" s="2">
        <f>Q11*'Output-Calculation-sheet'!Q55/10^9</f>
        <v>0.62729501751116823</v>
      </c>
      <c r="R66" s="2">
        <f>R11*'Output-Calculation-sheet'!R55/10^9</f>
        <v>0.47839476223996519</v>
      </c>
      <c r="S66" s="2">
        <f>S11*'Output-Calculation-sheet'!S55/10^9</f>
        <v>0.43757958644501693</v>
      </c>
      <c r="T66" s="2">
        <f>T11*'Output-Calculation-sheet'!T55/10^9</f>
        <v>0.14989704935264603</v>
      </c>
      <c r="U66" s="2">
        <f>U11*'Output-Calculation-sheet'!U55/10^9</f>
        <v>0.16314065758059251</v>
      </c>
      <c r="V66" s="2">
        <f>V11*'Output-Calculation-sheet'!V55/10^9</f>
        <v>0.14165651931686654</v>
      </c>
      <c r="W66" s="2">
        <f>W11*'Output-Calculation-sheet'!W55/10^9</f>
        <v>6.9402300973655504E-2</v>
      </c>
      <c r="X66" s="2">
        <f>X11*'Output-Calculation-sheet'!X55/10^9</f>
        <v>9.0926285370144647E-2</v>
      </c>
      <c r="Y66" s="2">
        <f>Y11*'Output-Calculation-sheet'!Y55/10^9</f>
        <v>6.6334263635379462E-2</v>
      </c>
      <c r="AA66" s="2">
        <f t="shared" si="4"/>
        <v>24.836228421604623</v>
      </c>
    </row>
    <row r="67" spans="1:27" x14ac:dyDescent="0.25">
      <c r="A67" s="2">
        <v>2035</v>
      </c>
      <c r="B67" s="2">
        <f>B12*'Output-Calculation-sheet'!B56/10^9</f>
        <v>8.1272767948704594</v>
      </c>
      <c r="C67" s="2">
        <f>C12*'Output-Calculation-sheet'!C56/10^9</f>
        <v>3.8016881834885434</v>
      </c>
      <c r="D67" s="2">
        <f>D12*'Output-Calculation-sheet'!D56/10^9</f>
        <v>1.8650529455821845</v>
      </c>
      <c r="E67" s="2">
        <f>E12*'Output-Calculation-sheet'!E56/10^9</f>
        <v>2.5056087822143565</v>
      </c>
      <c r="F67" s="2">
        <f>F12*'Output-Calculation-sheet'!F56/10^9</f>
        <v>1.0013706874060391</v>
      </c>
      <c r="G67" s="2">
        <f>G12*'Output-Calculation-sheet'!G56/10^9</f>
        <v>0.73777579032436613</v>
      </c>
      <c r="H67" s="2">
        <f>H12*'Output-Calculation-sheet'!H56/10^9</f>
        <v>1.1969322202356953</v>
      </c>
      <c r="I67" s="2">
        <f>I12*'Output-Calculation-sheet'!I56/10^9</f>
        <v>0.6760529130303562</v>
      </c>
      <c r="J67" s="2">
        <f>J12*'Output-Calculation-sheet'!J56/10^9</f>
        <v>0.61904035502347121</v>
      </c>
      <c r="K67" s="2">
        <f>K12*'Output-Calculation-sheet'!K56/10^9</f>
        <v>0.74147501448223574</v>
      </c>
      <c r="L67" s="2">
        <f>L12*'Output-Calculation-sheet'!L56/10^9</f>
        <v>0.69105576397104296</v>
      </c>
      <c r="M67" s="2">
        <f>M12*'Output-Calculation-sheet'!M56/10^9</f>
        <v>0.83007052069062714</v>
      </c>
      <c r="N67" s="2">
        <f>N12*'Output-Calculation-sheet'!N56/10^9</f>
        <v>0.80947996770891395</v>
      </c>
      <c r="O67" s="2">
        <f>O12*'Output-Calculation-sheet'!O56/10^9</f>
        <v>0.73830150581407528</v>
      </c>
      <c r="P67" s="2">
        <f>P12*'Output-Calculation-sheet'!P56/10^9</f>
        <v>0.71676436410181166</v>
      </c>
      <c r="Q67" s="2">
        <f>Q12*'Output-Calculation-sheet'!Q56/10^9</f>
        <v>0.7101058511050139</v>
      </c>
      <c r="R67" s="2">
        <f>R12*'Output-Calculation-sheet'!R56/10^9</f>
        <v>0.57089134491163607</v>
      </c>
      <c r="S67" s="2">
        <f>S12*'Output-Calculation-sheet'!S56/10^9</f>
        <v>0.46456857788268097</v>
      </c>
      <c r="T67" s="2">
        <f>T12*'Output-Calculation-sheet'!T56/10^9</f>
        <v>0.17765923304664316</v>
      </c>
      <c r="U67" s="2">
        <f>U12*'Output-Calculation-sheet'!U56/10^9</f>
        <v>0.19205865351714169</v>
      </c>
      <c r="V67" s="2">
        <f>V12*'Output-Calculation-sheet'!V56/10^9</f>
        <v>0.13701444230050938</v>
      </c>
      <c r="W67" s="2">
        <f>W12*'Output-Calculation-sheet'!W56/10^9</f>
        <v>9.3005146623340862E-2</v>
      </c>
      <c r="X67" s="2">
        <f>X12*'Output-Calculation-sheet'!X56/10^9</f>
        <v>8.9018888766217052E-2</v>
      </c>
      <c r="Y67" s="2">
        <f>Y12*'Output-Calculation-sheet'!Y56/10^9</f>
        <v>8.276849853629982E-2</v>
      </c>
      <c r="AA67" s="2">
        <f t="shared" si="4"/>
        <v>27.575036445633657</v>
      </c>
    </row>
    <row r="68" spans="1:27" x14ac:dyDescent="0.25">
      <c r="B68" s="2">
        <f>SUM(B60:B67)</f>
        <v>37.878221363520346</v>
      </c>
      <c r="C68" s="2">
        <f t="shared" ref="C68:Y68" si="5">SUM(C60:C67)</f>
        <v>18.091600400075663</v>
      </c>
      <c r="D68" s="2">
        <f t="shared" si="5"/>
        <v>7.965699574609669</v>
      </c>
      <c r="E68" s="2">
        <f t="shared" si="5"/>
        <v>9.9307702502853221</v>
      </c>
      <c r="F68" s="2">
        <f t="shared" si="5"/>
        <v>4.2448190374858363</v>
      </c>
      <c r="G68" s="2">
        <f t="shared" si="5"/>
        <v>3.135739128796482</v>
      </c>
      <c r="H68" s="2">
        <f t="shared" si="5"/>
        <v>5.3187383940223842</v>
      </c>
      <c r="I68" s="2">
        <f t="shared" si="5"/>
        <v>2.7091446696185701</v>
      </c>
      <c r="J68" s="2">
        <f t="shared" si="5"/>
        <v>3.1344175168427784</v>
      </c>
      <c r="K68" s="2">
        <f t="shared" si="5"/>
        <v>2.8594388183105459</v>
      </c>
      <c r="L68" s="2">
        <f t="shared" si="5"/>
        <v>2.9588669336645137</v>
      </c>
      <c r="M68" s="2">
        <f t="shared" si="5"/>
        <v>3.7839862271050251</v>
      </c>
      <c r="N68" s="2">
        <f t="shared" si="5"/>
        <v>3.491009382450716</v>
      </c>
      <c r="O68" s="2">
        <f t="shared" si="5"/>
        <v>3.3795342505572052</v>
      </c>
      <c r="P68" s="2">
        <f t="shared" si="5"/>
        <v>2.9415500551728857</v>
      </c>
      <c r="Q68" s="2">
        <f t="shared" si="5"/>
        <v>2.8694798473297758</v>
      </c>
      <c r="R68" s="2">
        <f t="shared" si="5"/>
        <v>2.3468246058565283</v>
      </c>
      <c r="S68" s="2">
        <f t="shared" si="5"/>
        <v>2.0679691667787186</v>
      </c>
      <c r="T68" s="2">
        <f t="shared" si="5"/>
        <v>0.81063556824460226</v>
      </c>
      <c r="U68" s="2">
        <f t="shared" si="5"/>
        <v>0.77072155675263165</v>
      </c>
      <c r="V68" s="2">
        <f t="shared" si="5"/>
        <v>0.87043474089208828</v>
      </c>
      <c r="W68" s="2">
        <f t="shared" si="5"/>
        <v>0.41336807496262201</v>
      </c>
      <c r="X68" s="2">
        <f t="shared" si="5"/>
        <v>0.44936822336942867</v>
      </c>
      <c r="Y68" s="2">
        <f t="shared" si="5"/>
        <v>0.31345927659159306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51.306066616759551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5.1306066616759551E-2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484.56639025224871</v>
      </c>
      <c r="Q76" s="2">
        <f>Q10/'Output-Calculation-sheet'!Q9*'Output-Calculation-sheet'!Q63</f>
        <v>57.47389038372215</v>
      </c>
      <c r="R76" s="2">
        <f>R10/'Output-Calculation-sheet'!R9*'Output-Calculation-sheet'!R63</f>
        <v>368.1748545835386</v>
      </c>
      <c r="S76" s="2">
        <f>S10/'Output-Calculation-sheet'!S9*'Output-Calculation-sheet'!S63</f>
        <v>0</v>
      </c>
      <c r="T76" s="2">
        <f>T10/'Output-Calculation-sheet'!T9*'Output-Calculation-sheet'!T63</f>
        <v>24.230392697888604</v>
      </c>
      <c r="U76" s="2">
        <f>U10/'Output-Calculation-sheet'!U9*'Output-Calculation-sheet'!U63</f>
        <v>131.00765391027738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6.213898131621602</v>
      </c>
      <c r="AA76" s="2">
        <f t="shared" si="6"/>
        <v>1.1733928645014005</v>
      </c>
    </row>
    <row r="77" spans="1:27" x14ac:dyDescent="0.25">
      <c r="A77" s="2">
        <v>2034</v>
      </c>
      <c r="B77" s="2">
        <f>B11/'Output-Calculation-sheet'!B10*'Output-Calculation-sheet'!B64</f>
        <v>506.84399323865864</v>
      </c>
      <c r="C77" s="2">
        <f>C11/'Output-Calculation-sheet'!C10*'Output-Calculation-sheet'!C64</f>
        <v>0</v>
      </c>
      <c r="D77" s="2">
        <f>D11/'Output-Calculation-sheet'!D10*'Output-Calculation-sheet'!D64</f>
        <v>1706.0279410598321</v>
      </c>
      <c r="E77" s="2">
        <f>E11/'Output-Calculation-sheet'!E10*'Output-Calculation-sheet'!E64</f>
        <v>2135.9444558304499</v>
      </c>
      <c r="F77" s="2">
        <f>F11/'Output-Calculation-sheet'!F10*'Output-Calculation-sheet'!F64</f>
        <v>152.64221167257566</v>
      </c>
      <c r="G77" s="2">
        <f>G11/'Output-Calculation-sheet'!G10*'Output-Calculation-sheet'!G64</f>
        <v>900.86656999735703</v>
      </c>
      <c r="H77" s="2">
        <f>H11/'Output-Calculation-sheet'!H10*'Output-Calculation-sheet'!H64</f>
        <v>140.26972526176351</v>
      </c>
      <c r="I77" s="2">
        <f>I11/'Output-Calculation-sheet'!I10*'Output-Calculation-sheet'!I64</f>
        <v>532.96477415064692</v>
      </c>
      <c r="J77" s="2">
        <f>J11/'Output-Calculation-sheet'!J10*'Output-Calculation-sheet'!J64</f>
        <v>373.17844176977638</v>
      </c>
      <c r="K77" s="2">
        <f>K11/'Output-Calculation-sheet'!K10*'Output-Calculation-sheet'!K64</f>
        <v>814.08953324385391</v>
      </c>
      <c r="L77" s="2">
        <f>L11/'Output-Calculation-sheet'!L10*'Output-Calculation-sheet'!L64</f>
        <v>337.0735136767525</v>
      </c>
      <c r="M77" s="2">
        <f>M11/'Output-Calculation-sheet'!M10*'Output-Calculation-sheet'!M64</f>
        <v>101.02441342862922</v>
      </c>
      <c r="N77" s="2">
        <f>N11/'Output-Calculation-sheet'!N10*'Output-Calculation-sheet'!N64</f>
        <v>33.411619533519215</v>
      </c>
      <c r="O77" s="2">
        <f>O11/'Output-Calculation-sheet'!O10*'Output-Calculation-sheet'!O64</f>
        <v>0</v>
      </c>
      <c r="P77" s="2">
        <f>P11/'Output-Calculation-sheet'!P10*'Output-Calculation-sheet'!P64</f>
        <v>687.97360952841461</v>
      </c>
      <c r="Q77" s="2">
        <f>Q11/'Output-Calculation-sheet'!Q10*'Output-Calculation-sheet'!Q64</f>
        <v>166.07630230206721</v>
      </c>
      <c r="R77" s="2">
        <f>R11/'Output-Calculation-sheet'!R10*'Output-Calculation-sheet'!R64</f>
        <v>855.25517259584626</v>
      </c>
      <c r="S77" s="2">
        <f>S11/'Output-Calculation-sheet'!S10*'Output-Calculation-sheet'!S64</f>
        <v>0</v>
      </c>
      <c r="T77" s="2">
        <f>T11/'Output-Calculation-sheet'!T10*'Output-Calculation-sheet'!T64</f>
        <v>237.18709555450349</v>
      </c>
      <c r="U77" s="2">
        <f>U11/'Output-Calculation-sheet'!U10*'Output-Calculation-sheet'!U64</f>
        <v>314.42452995016527</v>
      </c>
      <c r="V77" s="2">
        <f>V11/'Output-Calculation-sheet'!V10*'Output-Calculation-sheet'!V64</f>
        <v>122.81664427596559</v>
      </c>
      <c r="W77" s="2">
        <f>W11/'Output-Calculation-sheet'!W10*'Output-Calculation-sheet'!W64</f>
        <v>27.113864422841605</v>
      </c>
      <c r="X77" s="2">
        <f>X11/'Output-Calculation-sheet'!X10*'Output-Calculation-sheet'!X64</f>
        <v>10.071025319406964</v>
      </c>
      <c r="Y77" s="2">
        <f>Y11/'Output-Calculation-sheet'!Y10*'Output-Calculation-sheet'!Y64</f>
        <v>56.765555760786611</v>
      </c>
      <c r="AA77" s="2">
        <f t="shared" si="6"/>
        <v>10.212020992573811</v>
      </c>
    </row>
    <row r="78" spans="1:27" x14ac:dyDescent="0.25">
      <c r="A78" s="2">
        <v>2035</v>
      </c>
      <c r="B78" s="2">
        <f>B12/'Output-Calculation-sheet'!B11*'Output-Calculation-sheet'!B65</f>
        <v>90.590563979022832</v>
      </c>
      <c r="C78" s="2">
        <f>C12/'Output-Calculation-sheet'!C11*'Output-Calculation-sheet'!C65</f>
        <v>66.124787911787209</v>
      </c>
      <c r="D78" s="2">
        <f>D12/'Output-Calculation-sheet'!D11*'Output-Calculation-sheet'!D65</f>
        <v>1906.0104481213723</v>
      </c>
      <c r="E78" s="2">
        <f>E12/'Output-Calculation-sheet'!E11*'Output-Calculation-sheet'!E65</f>
        <v>1703.7918843348039</v>
      </c>
      <c r="F78" s="2">
        <f>F12/'Output-Calculation-sheet'!F11*'Output-Calculation-sheet'!F65</f>
        <v>767.09133602873965</v>
      </c>
      <c r="G78" s="2">
        <f>G12/'Output-Calculation-sheet'!G11*'Output-Calculation-sheet'!G65</f>
        <v>1475.8942004884125</v>
      </c>
      <c r="H78" s="2">
        <f>H12/'Output-Calculation-sheet'!H11*'Output-Calculation-sheet'!H65</f>
        <v>25.930802763290874</v>
      </c>
      <c r="I78" s="2">
        <f>I12/'Output-Calculation-sheet'!I11*'Output-Calculation-sheet'!I65</f>
        <v>858.18547235561789</v>
      </c>
      <c r="J78" s="2">
        <f>J12/'Output-Calculation-sheet'!J11*'Output-Calculation-sheet'!J65</f>
        <v>771.11376457160736</v>
      </c>
      <c r="K78" s="2">
        <f>K12/'Output-Calculation-sheet'!K11*'Output-Calculation-sheet'!K65</f>
        <v>973.09044496017702</v>
      </c>
      <c r="L78" s="2">
        <f>L12/'Output-Calculation-sheet'!L11*'Output-Calculation-sheet'!L65</f>
        <v>576.79860802952828</v>
      </c>
      <c r="M78" s="2">
        <f>M12/'Output-Calculation-sheet'!M11*'Output-Calculation-sheet'!M65</f>
        <v>17.767848590886217</v>
      </c>
      <c r="N78" s="2">
        <f>N12/'Output-Calculation-sheet'!N11*'Output-Calculation-sheet'!N65</f>
        <v>15.208682495871907</v>
      </c>
      <c r="O78" s="2">
        <f>O12/'Output-Calculation-sheet'!O11*'Output-Calculation-sheet'!O65</f>
        <v>3.0283074180661567</v>
      </c>
      <c r="P78" s="2">
        <f>P12/'Output-Calculation-sheet'!P11*'Output-Calculation-sheet'!P65</f>
        <v>255.87444560130643</v>
      </c>
      <c r="Q78" s="2">
        <f>Q12/'Output-Calculation-sheet'!Q11*'Output-Calculation-sheet'!Q65</f>
        <v>243.64042122486947</v>
      </c>
      <c r="R78" s="2">
        <f>R12/'Output-Calculation-sheet'!R11*'Output-Calculation-sheet'!R65</f>
        <v>1116.1493078268054</v>
      </c>
      <c r="S78" s="2">
        <f>S12/'Output-Calculation-sheet'!S11*'Output-Calculation-sheet'!S65</f>
        <v>6.7681253362276026</v>
      </c>
      <c r="T78" s="2">
        <f>T12/'Output-Calculation-sheet'!T11*'Output-Calculation-sheet'!T65</f>
        <v>400.38914533140877</v>
      </c>
      <c r="U78" s="2">
        <f>U12/'Output-Calculation-sheet'!U11*'Output-Calculation-sheet'!U65</f>
        <v>341.40374052077783</v>
      </c>
      <c r="V78" s="2">
        <f>V12/'Output-Calculation-sheet'!V11*'Output-Calculation-sheet'!V65</f>
        <v>215.51880775134939</v>
      </c>
      <c r="W78" s="2">
        <f>W12/'Output-Calculation-sheet'!W11*'Output-Calculation-sheet'!W65</f>
        <v>155.10371840296389</v>
      </c>
      <c r="X78" s="2">
        <f>X12/'Output-Calculation-sheet'!X11*'Output-Calculation-sheet'!X65</f>
        <v>2.2685626927081004</v>
      </c>
      <c r="Y78" s="2">
        <f>Y12/'Output-Calculation-sheet'!Y11*'Output-Calculation-sheet'!Y65</f>
        <v>45.416679663927049</v>
      </c>
      <c r="AA78" s="2">
        <f t="shared" si="6"/>
        <v>12.033160106401526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22.975035247025826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120.74361748184246</v>
      </c>
      <c r="E89" s="2">
        <f>E12/'Output-Calculation-sheet'!E11*'Output-Calculation-sheet'!E74</f>
        <v>84.443992149691226</v>
      </c>
      <c r="F89" s="2">
        <f>F12/'Output-Calculation-sheet'!F11*'Output-Calculation-sheet'!F74</f>
        <v>50.69539511580642</v>
      </c>
      <c r="G89" s="2">
        <f>G12/'Output-Calculation-sheet'!G11*'Output-Calculation-sheet'!G74</f>
        <v>45.046003855877579</v>
      </c>
      <c r="H89" s="2">
        <f>H12/'Output-Calculation-sheet'!H11*'Output-Calculation-sheet'!H74</f>
        <v>6.7134764435704533</v>
      </c>
      <c r="I89" s="2">
        <f>I12/'Output-Calculation-sheet'!I11*'Output-Calculation-sheet'!I74</f>
        <v>42.074408275789985</v>
      </c>
      <c r="J89" s="2">
        <f>J12/'Output-Calculation-sheet'!J11*'Output-Calculation-sheet'!J74</f>
        <v>24.675393712354314</v>
      </c>
      <c r="K89" s="2">
        <f>K12/'Output-Calculation-sheet'!K11*'Output-Calculation-sheet'!K74</f>
        <v>49.010306441331387</v>
      </c>
      <c r="L89" s="2">
        <f>L12/'Output-Calculation-sheet'!L11*'Output-Calculation-sheet'!L74</f>
        <v>32.881561436232943</v>
      </c>
      <c r="M89" s="2">
        <f>M12/'Output-Calculation-sheet'!M11*'Output-Calculation-sheet'!M74</f>
        <v>5.7744064318772237</v>
      </c>
      <c r="N89" s="2">
        <f>N12/'Output-Calculation-sheet'!N11*'Output-Calculation-sheet'!N74</f>
        <v>4.5402440468309297</v>
      </c>
      <c r="O89" s="2">
        <f>O12/'Output-Calculation-sheet'!O11*'Output-Calculation-sheet'!O74</f>
        <v>2.1184382078112325</v>
      </c>
      <c r="P89" s="2">
        <f>P12/'Output-Calculation-sheet'!P11*'Output-Calculation-sheet'!P74</f>
        <v>5.2429850010103118</v>
      </c>
      <c r="Q89" s="2">
        <f>Q12/'Output-Calculation-sheet'!Q11*'Output-Calculation-sheet'!Q74</f>
        <v>53.70231047729488</v>
      </c>
      <c r="R89" s="2">
        <f>R12/'Output-Calculation-sheet'!R11*'Output-Calculation-sheet'!R74</f>
        <v>24.655538135133277</v>
      </c>
      <c r="S89" s="2">
        <f>S12/'Output-Calculation-sheet'!S11*'Output-Calculation-sheet'!S74</f>
        <v>1.951968468437109</v>
      </c>
      <c r="T89" s="2">
        <f>T12/'Output-Calculation-sheet'!T11*'Output-Calculation-sheet'!T74</f>
        <v>5.8378370013409784</v>
      </c>
      <c r="U89" s="2">
        <f>U12/'Output-Calculation-sheet'!U11*'Output-Calculation-sheet'!U74</f>
        <v>10.788241560527236</v>
      </c>
      <c r="V89" s="2">
        <f>V12/'Output-Calculation-sheet'!V11*'Output-Calculation-sheet'!V74</f>
        <v>1.4680017692907847</v>
      </c>
      <c r="W89" s="2">
        <f>W12/'Output-Calculation-sheet'!W11*'Output-Calculation-sheet'!W74</f>
        <v>3.8135674007132341</v>
      </c>
      <c r="X89" s="2">
        <f>X12/'Output-Calculation-sheet'!X11*'Output-Calculation-sheet'!X74</f>
        <v>0.25338575814901154</v>
      </c>
      <c r="Y89" s="2">
        <f>Y12/'Output-Calculation-sheet'!Y11*'Output-Calculation-sheet'!Y74</f>
        <v>2.6897431377418952</v>
      </c>
      <c r="AA89" s="2">
        <f t="shared" si="7"/>
        <v>0.60754809930302478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11681697051.43581</v>
      </c>
      <c r="C96" s="2">
        <f>C8/'Output-Calculation-sheet'!C7*'Output-Calculation-sheet'!C79</f>
        <v>3951978845.1091599</v>
      </c>
      <c r="D96" s="2">
        <f>D8/'Output-Calculation-sheet'!D7*'Output-Calculation-sheet'!D79</f>
        <v>4125584668.0916977</v>
      </c>
      <c r="E96" s="2">
        <f>E8/'Output-Calculation-sheet'!E7*'Output-Calculation-sheet'!E79</f>
        <v>7334949642.3247223</v>
      </c>
      <c r="F96" s="2">
        <f>F8/'Output-Calculation-sheet'!F7*'Output-Calculation-sheet'!F79</f>
        <v>3035862689.7153931</v>
      </c>
      <c r="G96" s="2">
        <f>G8/'Output-Calculation-sheet'!G7*'Output-Calculation-sheet'!G79</f>
        <v>2364692564.3853564</v>
      </c>
      <c r="H96" s="2">
        <f>H8/'Output-Calculation-sheet'!H7*'Output-Calculation-sheet'!H79</f>
        <v>2024046178.6194921</v>
      </c>
      <c r="I96" s="2">
        <f>I8/'Output-Calculation-sheet'!I7*'Output-Calculation-sheet'!I79</f>
        <v>1647255686.3794439</v>
      </c>
      <c r="J96" s="2">
        <f>J8/'Output-Calculation-sheet'!J7*'Output-Calculation-sheet'!J79</f>
        <v>1113913708.6751833</v>
      </c>
      <c r="K96" s="2">
        <f>K8/'Output-Calculation-sheet'!K7*'Output-Calculation-sheet'!K79</f>
        <v>1593680589.2285633</v>
      </c>
      <c r="L96" s="2">
        <f>L8/'Output-Calculation-sheet'!L7*'Output-Calculation-sheet'!L79</f>
        <v>1124502344.5786254</v>
      </c>
      <c r="M96" s="2">
        <f>M8/'Output-Calculation-sheet'!M7*'Output-Calculation-sheet'!M79</f>
        <v>1510909555.4031653</v>
      </c>
      <c r="N96" s="2">
        <f>N8/'Output-Calculation-sheet'!N7*'Output-Calculation-sheet'!N79</f>
        <v>1124235406.5606763</v>
      </c>
      <c r="O96" s="2">
        <f>O8/'Output-Calculation-sheet'!O7*'Output-Calculation-sheet'!O79</f>
        <v>568338511.44665587</v>
      </c>
      <c r="P96" s="2">
        <f>P8/'Output-Calculation-sheet'!P7*'Output-Calculation-sheet'!P79</f>
        <v>1900985454.705056</v>
      </c>
      <c r="Q96" s="2">
        <f>Q8/'Output-Calculation-sheet'!Q7*'Output-Calculation-sheet'!Q79</f>
        <v>885939043.93674302</v>
      </c>
      <c r="R96" s="2">
        <f>R8/'Output-Calculation-sheet'!R7*'Output-Calculation-sheet'!R79</f>
        <v>1105316154.1283314</v>
      </c>
      <c r="S96" s="2">
        <f>S8/'Output-Calculation-sheet'!S7*'Output-Calculation-sheet'!S79</f>
        <v>644048499.31190526</v>
      </c>
      <c r="T96" s="2">
        <f>T8/'Output-Calculation-sheet'!T7*'Output-Calculation-sheet'!T79</f>
        <v>491902494.20009261</v>
      </c>
      <c r="U96" s="2">
        <f>U8/'Output-Calculation-sheet'!U7*'Output-Calculation-sheet'!U79</f>
        <v>309001103.19892561</v>
      </c>
      <c r="V96" s="2">
        <f>V8/'Output-Calculation-sheet'!V7*'Output-Calculation-sheet'!V79</f>
        <v>160325165.59533933</v>
      </c>
      <c r="W96" s="2">
        <f>W8/'Output-Calculation-sheet'!W7*'Output-Calculation-sheet'!W79</f>
        <v>473751764.48099023</v>
      </c>
      <c r="X96" s="2">
        <f>X8/'Output-Calculation-sheet'!X7*'Output-Calculation-sheet'!X79</f>
        <v>166509415.60533854</v>
      </c>
      <c r="Y96" s="2">
        <f>Y8/'Output-Calculation-sheet'!Y7*'Output-Calculation-sheet'!Y79</f>
        <v>260418455.19284716</v>
      </c>
      <c r="AA96" s="2">
        <f t="shared" si="8"/>
        <v>49.599844992309528</v>
      </c>
    </row>
    <row r="97" spans="1:27" x14ac:dyDescent="0.25">
      <c r="A97" s="2">
        <v>2032</v>
      </c>
      <c r="B97" s="2">
        <f>B9/'Output-Calculation-sheet'!B8*'Output-Calculation-sheet'!B80</f>
        <v>15899415877.708427</v>
      </c>
      <c r="C97" s="2">
        <f>C9/'Output-Calculation-sheet'!C8*'Output-Calculation-sheet'!C80</f>
        <v>5415436355.3456316</v>
      </c>
      <c r="D97" s="2">
        <f>D9/'Output-Calculation-sheet'!D8*'Output-Calculation-sheet'!D80</f>
        <v>5395928078.3159866</v>
      </c>
      <c r="E97" s="2">
        <f>E9/'Output-Calculation-sheet'!E8*'Output-Calculation-sheet'!E80</f>
        <v>9868359892.4779339</v>
      </c>
      <c r="F97" s="2">
        <f>F9/'Output-Calculation-sheet'!F8*'Output-Calculation-sheet'!F80</f>
        <v>4076618821.696434</v>
      </c>
      <c r="G97" s="2">
        <f>G9/'Output-Calculation-sheet'!G8*'Output-Calculation-sheet'!G80</f>
        <v>3085783609.7606859</v>
      </c>
      <c r="H97" s="2">
        <f>H9/'Output-Calculation-sheet'!H8*'Output-Calculation-sheet'!H80</f>
        <v>2714868854.7523484</v>
      </c>
      <c r="I97" s="2">
        <f>I9/'Output-Calculation-sheet'!I8*'Output-Calculation-sheet'!I80</f>
        <v>2233224289.8918304</v>
      </c>
      <c r="J97" s="2">
        <f>J9/'Output-Calculation-sheet'!J8*'Output-Calculation-sheet'!J80</f>
        <v>1468134759.520174</v>
      </c>
      <c r="K97" s="2">
        <f>K9/'Output-Calculation-sheet'!K8*'Output-Calculation-sheet'!K80</f>
        <v>2116627118.6141474</v>
      </c>
      <c r="L97" s="2">
        <f>L9/'Output-Calculation-sheet'!L8*'Output-Calculation-sheet'!L80</f>
        <v>1540558393.1986194</v>
      </c>
      <c r="M97" s="2">
        <f>M9/'Output-Calculation-sheet'!M8*'Output-Calculation-sheet'!M80</f>
        <v>2032598016.5530157</v>
      </c>
      <c r="N97" s="2">
        <f>N9/'Output-Calculation-sheet'!N8*'Output-Calculation-sheet'!N80</f>
        <v>1485081772.8759494</v>
      </c>
      <c r="O97" s="2">
        <f>O9/'Output-Calculation-sheet'!O8*'Output-Calculation-sheet'!O80</f>
        <v>768283037.82031822</v>
      </c>
      <c r="P97" s="2">
        <f>P9/'Output-Calculation-sheet'!P8*'Output-Calculation-sheet'!P80</f>
        <v>2513693941.486433</v>
      </c>
      <c r="Q97" s="2">
        <f>Q9/'Output-Calculation-sheet'!Q8*'Output-Calculation-sheet'!Q80</f>
        <v>1175807619.5990164</v>
      </c>
      <c r="R97" s="2">
        <f>R9/'Output-Calculation-sheet'!R8*'Output-Calculation-sheet'!R80</f>
        <v>1485632723.897181</v>
      </c>
      <c r="S97" s="2">
        <f>S9/'Output-Calculation-sheet'!S8*'Output-Calculation-sheet'!S80</f>
        <v>862255013.84341002</v>
      </c>
      <c r="T97" s="2">
        <f>T9/'Output-Calculation-sheet'!T8*'Output-Calculation-sheet'!T80</f>
        <v>649305346.06356871</v>
      </c>
      <c r="U97" s="2">
        <f>U9/'Output-Calculation-sheet'!U8*'Output-Calculation-sheet'!U80</f>
        <v>415096873.75510532</v>
      </c>
      <c r="V97" s="2">
        <f>V9/'Output-Calculation-sheet'!V8*'Output-Calculation-sheet'!V80</f>
        <v>217651093.35434669</v>
      </c>
      <c r="W97" s="2">
        <f>W9/'Output-Calculation-sheet'!W8*'Output-Calculation-sheet'!W80</f>
        <v>630326980.15514874</v>
      </c>
      <c r="X97" s="2">
        <f>X9/'Output-Calculation-sheet'!X8*'Output-Calculation-sheet'!X80</f>
        <v>226347013.37885872</v>
      </c>
      <c r="Y97" s="2">
        <f>Y9/'Output-Calculation-sheet'!Y8*'Output-Calculation-sheet'!Y80</f>
        <v>346466880.7953881</v>
      </c>
      <c r="AA97" s="2">
        <f t="shared" si="8"/>
        <v>66.623502364859959</v>
      </c>
    </row>
    <row r="98" spans="1:27" x14ac:dyDescent="0.25">
      <c r="A98" s="2">
        <v>2033</v>
      </c>
      <c r="B98" s="2">
        <f>B10/'Output-Calculation-sheet'!B9*'Output-Calculation-sheet'!B81</f>
        <v>20211675230.349018</v>
      </c>
      <c r="C98" s="2">
        <f>C10/'Output-Calculation-sheet'!C9*'Output-Calculation-sheet'!C81</f>
        <v>6929577853.8887987</v>
      </c>
      <c r="D98" s="2">
        <f>D10/'Output-Calculation-sheet'!D9*'Output-Calculation-sheet'!D81</f>
        <v>6594816443.9442778</v>
      </c>
      <c r="E98" s="2">
        <f>E10/'Output-Calculation-sheet'!E9*'Output-Calculation-sheet'!E81</f>
        <v>12405277492.964548</v>
      </c>
      <c r="F98" s="2">
        <f>F10/'Output-Calculation-sheet'!F9*'Output-Calculation-sheet'!F81</f>
        <v>5116236731.5371304</v>
      </c>
      <c r="G98" s="2">
        <f>G10/'Output-Calculation-sheet'!G9*'Output-Calculation-sheet'!G81</f>
        <v>3756502942.0987687</v>
      </c>
      <c r="H98" s="2">
        <f>H10/'Output-Calculation-sheet'!H9*'Output-Calculation-sheet'!H81</f>
        <v>3403429345.5280018</v>
      </c>
      <c r="I98" s="2">
        <f>I10/'Output-Calculation-sheet'!I9*'Output-Calculation-sheet'!I81</f>
        <v>2829243112.9465837</v>
      </c>
      <c r="J98" s="2">
        <f>J10/'Output-Calculation-sheet'!J9*'Output-Calculation-sheet'!J81</f>
        <v>1809083886.1151502</v>
      </c>
      <c r="K98" s="2">
        <f>K10/'Output-Calculation-sheet'!K9*'Output-Calculation-sheet'!K81</f>
        <v>2627770149.4774022</v>
      </c>
      <c r="L98" s="2">
        <f>L10/'Output-Calculation-sheet'!L9*'Output-Calculation-sheet'!L81</f>
        <v>1970871640.0573056</v>
      </c>
      <c r="M98" s="2">
        <f>M10/'Output-Calculation-sheet'!M9*'Output-Calculation-sheet'!M81</f>
        <v>2555829368.4579825</v>
      </c>
      <c r="N98" s="2">
        <f>N10/'Output-Calculation-sheet'!N9*'Output-Calculation-sheet'!N81</f>
        <v>1833604745.4199646</v>
      </c>
      <c r="O98" s="2">
        <f>O10/'Output-Calculation-sheet'!O9*'Output-Calculation-sheet'!O81</f>
        <v>970995880.49334037</v>
      </c>
      <c r="P98" s="2">
        <f>P10/'Output-Calculation-sheet'!P9*'Output-Calculation-sheet'!P81</f>
        <v>3103040254.4902258</v>
      </c>
      <c r="Q98" s="2">
        <f>Q10/'Output-Calculation-sheet'!Q9*'Output-Calculation-sheet'!Q81</f>
        <v>1458968236.8697424</v>
      </c>
      <c r="R98" s="2">
        <f>R10/'Output-Calculation-sheet'!R9*'Output-Calculation-sheet'!R81</f>
        <v>1866246289.3131218</v>
      </c>
      <c r="S98" s="2">
        <f>S10/'Output-Calculation-sheet'!S9*'Output-Calculation-sheet'!S81</f>
        <v>1079019415.9063649</v>
      </c>
      <c r="T98" s="2">
        <f>T10/'Output-Calculation-sheet'!T9*'Output-Calculation-sheet'!T81</f>
        <v>800673290.06373537</v>
      </c>
      <c r="U98" s="2">
        <f>U10/'Output-Calculation-sheet'!U9*'Output-Calculation-sheet'!U81</f>
        <v>520970774.79723209</v>
      </c>
      <c r="V98" s="2">
        <f>V10/'Output-Calculation-sheet'!V9*'Output-Calculation-sheet'!V81</f>
        <v>275913856.41828954</v>
      </c>
      <c r="W98" s="2">
        <f>W10/'Output-Calculation-sheet'!W9*'Output-Calculation-sheet'!W81</f>
        <v>782316866.20083272</v>
      </c>
      <c r="X98" s="2">
        <f>X10/'Output-Calculation-sheet'!X9*'Output-Calculation-sheet'!X81</f>
        <v>287476136.23979586</v>
      </c>
      <c r="Y98" s="2">
        <f>Y10/'Output-Calculation-sheet'!Y9*'Output-Calculation-sheet'!Y81</f>
        <v>430164353.74609423</v>
      </c>
      <c r="AA98" s="2">
        <f t="shared" si="8"/>
        <v>83.619704297323722</v>
      </c>
    </row>
    <row r="99" spans="1:27" x14ac:dyDescent="0.25">
      <c r="A99" s="2">
        <v>2034</v>
      </c>
      <c r="B99" s="2">
        <f>B11/'Output-Calculation-sheet'!B10*'Output-Calculation-sheet'!B82</f>
        <v>24520937847.022717</v>
      </c>
      <c r="C99" s="2">
        <f>C11/'Output-Calculation-sheet'!C10*'Output-Calculation-sheet'!C82</f>
        <v>8460746731.6700172</v>
      </c>
      <c r="D99" s="2">
        <f>D11/'Output-Calculation-sheet'!D10*'Output-Calculation-sheet'!D82</f>
        <v>7696861506.5654469</v>
      </c>
      <c r="E99" s="2">
        <f>E11/'Output-Calculation-sheet'!E10*'Output-Calculation-sheet'!E82</f>
        <v>14888921083.465919</v>
      </c>
      <c r="F99" s="2">
        <f>F11/'Output-Calculation-sheet'!F10*'Output-Calculation-sheet'!F82</f>
        <v>6131983845.3586597</v>
      </c>
      <c r="G99" s="2">
        <f>G11/'Output-Calculation-sheet'!G10*'Output-Calculation-sheet'!G82</f>
        <v>4359410873.2841263</v>
      </c>
      <c r="H99" s="2">
        <f>H11/'Output-Calculation-sheet'!H10*'Output-Calculation-sheet'!H82</f>
        <v>4074667252.8003078</v>
      </c>
      <c r="I99" s="2">
        <f>I11/'Output-Calculation-sheet'!I10*'Output-Calculation-sheet'!I82</f>
        <v>3422424906.7069221</v>
      </c>
      <c r="J99" s="2">
        <f>J11/'Output-Calculation-sheet'!J10*'Output-Calculation-sheet'!J82</f>
        <v>2129767390.8713014</v>
      </c>
      <c r="K99" s="2">
        <f>K11/'Output-Calculation-sheet'!K10*'Output-Calculation-sheet'!K82</f>
        <v>3116132813.5772691</v>
      </c>
      <c r="L99" s="2">
        <f>L11/'Output-Calculation-sheet'!L10*'Output-Calculation-sheet'!L82</f>
        <v>2405886922.7505164</v>
      </c>
      <c r="M99" s="2">
        <f>M11/'Output-Calculation-sheet'!M10*'Output-Calculation-sheet'!M82</f>
        <v>3069368924.8693976</v>
      </c>
      <c r="N99" s="2">
        <f>N11/'Output-Calculation-sheet'!N10*'Output-Calculation-sheet'!N82</f>
        <v>2162369286.7736464</v>
      </c>
      <c r="O99" s="2">
        <f>O11/'Output-Calculation-sheet'!O10*'Output-Calculation-sheet'!O82</f>
        <v>1172327590.3340881</v>
      </c>
      <c r="P99" s="2">
        <f>P11/'Output-Calculation-sheet'!P10*'Output-Calculation-sheet'!P82</f>
        <v>3654433102.3580027</v>
      </c>
      <c r="Q99" s="2">
        <f>Q11/'Output-Calculation-sheet'!Q10*'Output-Calculation-sheet'!Q82</f>
        <v>1729503782.8067045</v>
      </c>
      <c r="R99" s="2">
        <f>R11/'Output-Calculation-sheet'!R10*'Output-Calculation-sheet'!R82</f>
        <v>2238838733.2282476</v>
      </c>
      <c r="S99" s="2">
        <f>S11/'Output-Calculation-sheet'!S10*'Output-Calculation-sheet'!S82</f>
        <v>1289630575.8034039</v>
      </c>
      <c r="T99" s="2">
        <f>T11/'Output-Calculation-sheet'!T10*'Output-Calculation-sheet'!T82</f>
        <v>942565759.96416438</v>
      </c>
      <c r="U99" s="2">
        <f>U11/'Output-Calculation-sheet'!U10*'Output-Calculation-sheet'!U82</f>
        <v>624187225.96990037</v>
      </c>
      <c r="V99" s="2">
        <f>V11/'Output-Calculation-sheet'!V10*'Output-Calculation-sheet'!V82</f>
        <v>333743422.91515344</v>
      </c>
      <c r="W99" s="2">
        <f>W11/'Output-Calculation-sheet'!W10*'Output-Calculation-sheet'!W82</f>
        <v>925489740.4910959</v>
      </c>
      <c r="X99" s="2">
        <f>X11/'Output-Calculation-sheet'!X10*'Output-Calculation-sheet'!X82</f>
        <v>348563191.60759485</v>
      </c>
      <c r="Y99" s="2">
        <f>Y11/'Output-Calculation-sheet'!Y10*'Output-Calculation-sheet'!Y82</f>
        <v>509310494.75235581</v>
      </c>
      <c r="AA99" s="2">
        <f t="shared" si="8"/>
        <v>100.20807300594693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1704.4161626089144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524.67215725027029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361.02550503227235</v>
      </c>
      <c r="N107" s="2">
        <f>N8/'Output-Calculation-sheet'!N7*'Output-Calculation-sheet'!N88</f>
        <v>141.93180886334224</v>
      </c>
      <c r="O107" s="2">
        <f>O8/'Output-Calculation-sheet'!O7*'Output-Calculation-sheet'!O88</f>
        <v>397.34485243329704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39.605248774458438</v>
      </c>
      <c r="Y107" s="2">
        <f>Y8/'Output-Calculation-sheet'!Y7*'Output-Calculation-sheet'!Y88</f>
        <v>0</v>
      </c>
      <c r="AA107" s="2">
        <f t="shared" si="9"/>
        <v>3.1689957349625542</v>
      </c>
    </row>
    <row r="108" spans="1:27" x14ac:dyDescent="0.25">
      <c r="A108" s="2">
        <v>2032</v>
      </c>
      <c r="B108" s="2">
        <f>B9/'Output-Calculation-sheet'!B8*'Output-Calculation-sheet'!B89</f>
        <v>782.46607149224246</v>
      </c>
      <c r="C108" s="2">
        <f>C9/'Output-Calculation-sheet'!C8*'Output-Calculation-sheet'!C89</f>
        <v>2971.012064182125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800.24845177885277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550.64881462147673</v>
      </c>
      <c r="N108" s="2">
        <f>N9/'Output-Calculation-sheet'!N8*'Output-Calculation-sheet'!N89</f>
        <v>386.57034524024596</v>
      </c>
      <c r="O108" s="2">
        <f>O9/'Output-Calculation-sheet'!O8*'Output-Calculation-sheet'!O89</f>
        <v>577.18510699728404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177.27637356551264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60.407320221031895</v>
      </c>
      <c r="Y108" s="2">
        <f>Y9/'Output-Calculation-sheet'!Y8*'Output-Calculation-sheet'!Y89</f>
        <v>0</v>
      </c>
      <c r="AA108" s="2">
        <f t="shared" si="9"/>
        <v>6.3058145480987715</v>
      </c>
    </row>
    <row r="109" spans="1:27" x14ac:dyDescent="0.25">
      <c r="A109" s="2">
        <v>2033</v>
      </c>
      <c r="B109" s="2">
        <f>B10/'Output-Calculation-sheet'!B9*'Output-Calculation-sheet'!B90</f>
        <v>4146.3646425056986</v>
      </c>
      <c r="C109" s="2">
        <f>C10/'Output-Calculation-sheet'!C9*'Output-Calculation-sheet'!C90</f>
        <v>3935.9212572275628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1211.5986354153224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833.69777336703442</v>
      </c>
      <c r="N109" s="2">
        <f>N10/'Output-Calculation-sheet'!N9*'Output-Calculation-sheet'!N90</f>
        <v>655.5117650690438</v>
      </c>
      <c r="O109" s="2">
        <f>O10/'Output-Calculation-sheet'!O9*'Output-Calculation-sheet'!O90</f>
        <v>764.64015726275932</v>
      </c>
      <c r="P109" s="2">
        <f>P10/'Output-Calculation-sheet'!P9*'Output-Calculation-sheet'!P90</f>
        <v>0</v>
      </c>
      <c r="Q109" s="2">
        <f>Q10/'Output-Calculation-sheet'!Q9*'Output-Calculation-sheet'!Q90</f>
        <v>143.58216726839939</v>
      </c>
      <c r="R109" s="2">
        <f>R10/'Output-Calculation-sheet'!R9*'Output-Calculation-sheet'!R90</f>
        <v>0</v>
      </c>
      <c r="S109" s="2">
        <f>S10/'Output-Calculation-sheet'!S9*'Output-Calculation-sheet'!S90</f>
        <v>328.79172647786345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91.458379689717191</v>
      </c>
      <c r="Y109" s="2">
        <f>Y10/'Output-Calculation-sheet'!Y9*'Output-Calculation-sheet'!Y90</f>
        <v>0</v>
      </c>
      <c r="AA109" s="2">
        <f t="shared" si="9"/>
        <v>12.111566504283401</v>
      </c>
    </row>
    <row r="110" spans="1:27" x14ac:dyDescent="0.25">
      <c r="A110" s="2">
        <v>2034</v>
      </c>
      <c r="B110" s="2">
        <f>B11/'Output-Calculation-sheet'!B10*'Output-Calculation-sheet'!B91</f>
        <v>7763.8179375873751</v>
      </c>
      <c r="C110" s="2">
        <f>C11/'Output-Calculation-sheet'!C10*'Output-Calculation-sheet'!C91</f>
        <v>5322.6155520399952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1512.4302901170356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1040.6992285949584</v>
      </c>
      <c r="N110" s="2">
        <f>N11/'Output-Calculation-sheet'!N10*'Output-Calculation-sheet'!N91</f>
        <v>937.60201917936502</v>
      </c>
      <c r="O110" s="2">
        <f>O11/'Output-Calculation-sheet'!O10*'Output-Calculation-sheet'!O91</f>
        <v>1034.0363352766542</v>
      </c>
      <c r="P110" s="2">
        <f>P11/'Output-Calculation-sheet'!P10*'Output-Calculation-sheet'!P91</f>
        <v>236.23079317576443</v>
      </c>
      <c r="Q110" s="2">
        <f>Q11/'Output-Calculation-sheet'!Q10*'Output-Calculation-sheet'!Q91</f>
        <v>522.76185908730235</v>
      </c>
      <c r="R110" s="2">
        <f>R11/'Output-Calculation-sheet'!R10*'Output-Calculation-sheet'!R91</f>
        <v>0</v>
      </c>
      <c r="S110" s="2">
        <f>S11/'Output-Calculation-sheet'!S10*'Output-Calculation-sheet'!S91</f>
        <v>537.46584500849656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114.16686985648253</v>
      </c>
      <c r="Y110" s="2">
        <f>Y11/'Output-Calculation-sheet'!Y10*'Output-Calculation-sheet'!Y91</f>
        <v>18.362202203324934</v>
      </c>
      <c r="AA110" s="2">
        <f t="shared" si="9"/>
        <v>19.040188932126753</v>
      </c>
    </row>
    <row r="111" spans="1:27" x14ac:dyDescent="0.25">
      <c r="A111" s="2">
        <v>2035</v>
      </c>
      <c r="B111" s="2">
        <f>B12/'Output-Calculation-sheet'!B11*'Output-Calculation-sheet'!B92</f>
        <v>13268.082855157414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2364.4317801913539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968.90362818670565</v>
      </c>
      <c r="Q111" s="2">
        <f>Q12/'Output-Calculation-sheet'!Q11*'Output-Calculation-sheet'!Q92</f>
        <v>689.17965112528429</v>
      </c>
      <c r="R111" s="2">
        <f>R12/'Output-Calculation-sheet'!R11*'Output-Calculation-sheet'!R92</f>
        <v>0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94.141009820966332</v>
      </c>
      <c r="AA111" s="2">
        <f t="shared" si="9"/>
        <v>30.386714020721328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1366815947.2237446</v>
      </c>
      <c r="C118" s="2">
        <f>C8/'Output-Calculation-sheet'!C7*'Output-Calculation-sheet'!C97</f>
        <v>8012429391.039732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2465260030.4615445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1712335530.8108075</v>
      </c>
      <c r="N118" s="2">
        <f>N8/'Output-Calculation-sheet'!N7*'Output-Calculation-sheet'!N97</f>
        <v>1343695161.9278131</v>
      </c>
      <c r="O118" s="2">
        <f>O8/'Output-Calculation-sheet'!O7*'Output-Calculation-sheet'!O97</f>
        <v>894110203.24664652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486092665.58590317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184557270.29491916</v>
      </c>
      <c r="Y118" s="2">
        <f>Y8/'Output-Calculation-sheet'!Y7*'Output-Calculation-sheet'!Y97</f>
        <v>0</v>
      </c>
      <c r="AA118" s="2">
        <f t="shared" si="10"/>
        <v>16465.29620059111</v>
      </c>
    </row>
    <row r="119" spans="1:27" x14ac:dyDescent="0.25">
      <c r="A119" s="2">
        <v>2032</v>
      </c>
      <c r="B119" s="2">
        <f>B9/'Output-Calculation-sheet'!B8*'Output-Calculation-sheet'!B98</f>
        <v>5870101115.9229317</v>
      </c>
      <c r="C119" s="2">
        <f>C9/'Output-Calculation-sheet'!C8*'Output-Calculation-sheet'!C98</f>
        <v>4665674934.0558424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2789150915.122292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1946837783.9143989</v>
      </c>
      <c r="N119" s="2">
        <f>N9/'Output-Calculation-sheet'!N8*'Output-Calculation-sheet'!N98</f>
        <v>1314041966.4864697</v>
      </c>
      <c r="O119" s="2">
        <f>O9/'Output-Calculation-sheet'!O8*'Output-Calculation-sheet'!O98</f>
        <v>911586668.62426114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546383510.96626651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208318622.37196475</v>
      </c>
      <c r="Y119" s="2">
        <f>Y9/'Output-Calculation-sheet'!Y8*'Output-Calculation-sheet'!Y98</f>
        <v>0</v>
      </c>
      <c r="AA119" s="2">
        <f t="shared" si="10"/>
        <v>18252.095517464426</v>
      </c>
    </row>
    <row r="120" spans="1:27" x14ac:dyDescent="0.25">
      <c r="A120" s="2">
        <v>2033</v>
      </c>
      <c r="B120" s="2">
        <f>B10/'Output-Calculation-sheet'!B9*'Output-Calculation-sheet'!B99</f>
        <v>5965098027.8708382</v>
      </c>
      <c r="C120" s="2">
        <f>C10/'Output-Calculation-sheet'!C9*'Output-Calculation-sheet'!C99</f>
        <v>4903680975.5272322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1607800830.2244608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1138014784.2360981</v>
      </c>
      <c r="N120" s="2">
        <f>N10/'Output-Calculation-sheet'!N9*'Output-Calculation-sheet'!N99</f>
        <v>1134480165.1243141</v>
      </c>
      <c r="O120" s="2">
        <f>O10/'Output-Calculation-sheet'!O9*'Output-Calculation-sheet'!O99</f>
        <v>960035111.4026866</v>
      </c>
      <c r="P120" s="2">
        <f>P10/'Output-Calculation-sheet'!P9*'Output-Calculation-sheet'!P99</f>
        <v>0</v>
      </c>
      <c r="Q120" s="2">
        <f>Q10/'Output-Calculation-sheet'!Q9*'Output-Calculation-sheet'!Q99</f>
        <v>6799508.7506537624</v>
      </c>
      <c r="R120" s="2">
        <f>R10/'Output-Calculation-sheet'!R9*'Output-Calculation-sheet'!R99</f>
        <v>0</v>
      </c>
      <c r="S120" s="2">
        <f>S10/'Output-Calculation-sheet'!S9*'Output-Calculation-sheet'!S99</f>
        <v>475112889.80695784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113635825.23788552</v>
      </c>
      <c r="Y120" s="2">
        <f>Y10/'Output-Calculation-sheet'!Y9*'Output-Calculation-sheet'!Y99</f>
        <v>0</v>
      </c>
      <c r="AA120" s="2">
        <f t="shared" si="10"/>
        <v>16304.658118181127</v>
      </c>
    </row>
    <row r="121" spans="1:27" x14ac:dyDescent="0.25">
      <c r="A121" s="2">
        <v>2034</v>
      </c>
      <c r="B121" s="2">
        <f>B11/'Output-Calculation-sheet'!B10*'Output-Calculation-sheet'!B100</f>
        <v>5828489700.475173</v>
      </c>
      <c r="C121" s="2">
        <f>C11/'Output-Calculation-sheet'!C10*'Output-Calculation-sheet'!C100</f>
        <v>698747758.71952188</v>
      </c>
      <c r="D121" s="2">
        <f>D11/'Output-Calculation-sheet'!D10*'Output-Calculation-sheet'!D100</f>
        <v>0</v>
      </c>
      <c r="E121" s="2">
        <f>E11/'Output-Calculation-sheet'!E10*'Output-Calculation-sheet'!E100</f>
        <v>824633016.52450776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1839868174.2687373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672135073.61002469</v>
      </c>
      <c r="M121" s="2">
        <f>M11/'Output-Calculation-sheet'!M10*'Output-Calculation-sheet'!M100</f>
        <v>1309427141.7414796</v>
      </c>
      <c r="N121" s="2">
        <f>N11/'Output-Calculation-sheet'!N10*'Output-Calculation-sheet'!N100</f>
        <v>872965817.07725298</v>
      </c>
      <c r="O121" s="2">
        <f>O11/'Output-Calculation-sheet'!O10*'Output-Calculation-sheet'!O100</f>
        <v>137061671.19142029</v>
      </c>
      <c r="P121" s="2">
        <f>P11/'Output-Calculation-sheet'!P10*'Output-Calculation-sheet'!P100</f>
        <v>0</v>
      </c>
      <c r="Q121" s="2">
        <f>Q11/'Output-Calculation-sheet'!Q10*'Output-Calculation-sheet'!Q100</f>
        <v>295404094.69538134</v>
      </c>
      <c r="R121" s="2">
        <f>R11/'Output-Calculation-sheet'!R10*'Output-Calculation-sheet'!R100</f>
        <v>0</v>
      </c>
      <c r="S121" s="2">
        <f>S11/'Output-Calculation-sheet'!S10*'Output-Calculation-sheet'!S100</f>
        <v>326395456.50063092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128660378.69620669</v>
      </c>
      <c r="Y121" s="2">
        <f>Y11/'Output-Calculation-sheet'!Y10*'Output-Calculation-sheet'!Y100</f>
        <v>18664284.276585478</v>
      </c>
      <c r="AA121" s="2">
        <f t="shared" si="10"/>
        <v>12952.452567776922</v>
      </c>
    </row>
    <row r="122" spans="1:27" x14ac:dyDescent="0.25">
      <c r="A122" s="2">
        <v>2035</v>
      </c>
      <c r="B122" s="2">
        <f>B12/'Output-Calculation-sheet'!B11*'Output-Calculation-sheet'!B101</f>
        <v>1571093794.0350306</v>
      </c>
      <c r="C122" s="2">
        <f>C12/'Output-Calculation-sheet'!C11*'Output-Calculation-sheet'!C101</f>
        <v>295266806.09642035</v>
      </c>
      <c r="D122" s="2">
        <f>D12/'Output-Calculation-sheet'!D11*'Output-Calculation-sheet'!D101</f>
        <v>0</v>
      </c>
      <c r="E122" s="2">
        <f>E12/'Output-Calculation-sheet'!E11*'Output-Calculation-sheet'!E101</f>
        <v>2442269949.136972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478948976.18824822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1050200902.5557003</v>
      </c>
      <c r="M122" s="2">
        <f>M12/'Output-Calculation-sheet'!M11*'Output-Calculation-sheet'!M101</f>
        <v>401586638.73507613</v>
      </c>
      <c r="N122" s="2">
        <f>N12/'Output-Calculation-sheet'!N11*'Output-Calculation-sheet'!N101</f>
        <v>280075169.57787126</v>
      </c>
      <c r="O122" s="2">
        <f>O12/'Output-Calculation-sheet'!O11*'Output-Calculation-sheet'!O101</f>
        <v>32356972.225153569</v>
      </c>
      <c r="P122" s="2">
        <f>P12/'Output-Calculation-sheet'!P11*'Output-Calculation-sheet'!P101</f>
        <v>43674736.160496026</v>
      </c>
      <c r="Q122" s="2">
        <f>Q12/'Output-Calculation-sheet'!Q11*'Output-Calculation-sheet'!Q101</f>
        <v>613449547.92871106</v>
      </c>
      <c r="R122" s="2">
        <f>R12/'Output-Calculation-sheet'!R11*'Output-Calculation-sheet'!R101</f>
        <v>0</v>
      </c>
      <c r="S122" s="2">
        <f>S12/'Output-Calculation-sheet'!S11*'Output-Calculation-sheet'!S101</f>
        <v>166389566.05528483</v>
      </c>
      <c r="T122" s="2">
        <f>T12/'Output-Calculation-sheet'!T11*'Output-Calculation-sheet'!T101</f>
        <v>0</v>
      </c>
      <c r="U122" s="2">
        <f>U12/'Output-Calculation-sheet'!U11*'Output-Calculation-sheet'!U101</f>
        <v>57494156.50998465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14556124.955507191</v>
      </c>
      <c r="Y122" s="2">
        <f>Y12/'Output-Calculation-sheet'!Y11*'Output-Calculation-sheet'!Y101</f>
        <v>86796849.574939668</v>
      </c>
      <c r="AA122" s="2">
        <f t="shared" si="10"/>
        <v>7534.1601897353967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46410613396.955475</v>
      </c>
      <c r="C129" s="2">
        <f>C8/'Output-Calculation-sheet'!C7*'Output-Calculation-sheet'!C106</f>
        <v>0</v>
      </c>
      <c r="D129" s="2">
        <f>D8/'Output-Calculation-sheet'!D7*'Output-Calculation-sheet'!D106</f>
        <v>20067008156.585941</v>
      </c>
      <c r="E129" s="2">
        <f>E8/'Output-Calculation-sheet'!E7*'Output-Calculation-sheet'!E106</f>
        <v>15921153273.46006</v>
      </c>
      <c r="F129" s="2">
        <f>F8/'Output-Calculation-sheet'!F7*'Output-Calculation-sheet'!F106</f>
        <v>10249014043.727858</v>
      </c>
      <c r="G129" s="2">
        <f>G8/'Output-Calculation-sheet'!G7*'Output-Calculation-sheet'!G106</f>
        <v>7201255188.8312998</v>
      </c>
      <c r="H129" s="2">
        <f>H8/'Output-Calculation-sheet'!H7*'Output-Calculation-sheet'!H106</f>
        <v>0</v>
      </c>
      <c r="I129" s="2">
        <f>I8/'Output-Calculation-sheet'!I7*'Output-Calculation-sheet'!I106</f>
        <v>6560895090.5571995</v>
      </c>
      <c r="J129" s="2">
        <f>J8/'Output-Calculation-sheet'!J7*'Output-Calculation-sheet'!J106</f>
        <v>6385903193.1740551</v>
      </c>
      <c r="K129" s="2">
        <f>K8/'Output-Calculation-sheet'!K7*'Output-Calculation-sheet'!K106</f>
        <v>6324691484.2718086</v>
      </c>
      <c r="L129" s="2">
        <f>L8/'Output-Calculation-sheet'!L7*'Output-Calculation-sheet'!L106</f>
        <v>5073761753.8023243</v>
      </c>
      <c r="M129" s="2">
        <f>M8/'Output-Calculation-sheet'!M7*'Output-Calculation-sheet'!M106</f>
        <v>0</v>
      </c>
      <c r="N129" s="2">
        <f>N8/'Output-Calculation-sheet'!N7*'Output-Calculation-sheet'!N106</f>
        <v>2229747795.6079841</v>
      </c>
      <c r="O129" s="2">
        <f>O8/'Output-Calculation-sheet'!O7*'Output-Calculation-sheet'!O106</f>
        <v>0</v>
      </c>
      <c r="P129" s="2">
        <f>P8/'Output-Calculation-sheet'!P7*'Output-Calculation-sheet'!P106</f>
        <v>4330216171.997571</v>
      </c>
      <c r="Q129" s="2">
        <f>Q8/'Output-Calculation-sheet'!Q7*'Output-Calculation-sheet'!Q106</f>
        <v>4260224949.037127</v>
      </c>
      <c r="R129" s="2">
        <f>R8/'Output-Calculation-sheet'!R7*'Output-Calculation-sheet'!R106</f>
        <v>4098540672.8147187</v>
      </c>
      <c r="S129" s="2">
        <f>S8/'Output-Calculation-sheet'!S7*'Output-Calculation-sheet'!S106</f>
        <v>2238001254.4395819</v>
      </c>
      <c r="T129" s="2">
        <f>T8/'Output-Calculation-sheet'!T7*'Output-Calculation-sheet'!T106</f>
        <v>1506577983.7317326</v>
      </c>
      <c r="U129" s="2">
        <f>U8/'Output-Calculation-sheet'!U7*'Output-Calculation-sheet'!U106</f>
        <v>1312180269.6771173</v>
      </c>
      <c r="V129" s="2">
        <f>V8/'Output-Calculation-sheet'!V7*'Output-Calculation-sheet'!V106</f>
        <v>1010400679.864415</v>
      </c>
      <c r="W129" s="2">
        <f>W8/'Output-Calculation-sheet'!W7*'Output-Calculation-sheet'!W106</f>
        <v>874789942.14692652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146054.97530068317</v>
      </c>
    </row>
    <row r="130" spans="1:27" x14ac:dyDescent="0.25">
      <c r="A130" s="2">
        <v>2032</v>
      </c>
      <c r="B130" s="2">
        <f>B9/'Output-Calculation-sheet'!B8*'Output-Calculation-sheet'!B107</f>
        <v>53121052527.374527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0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1933260386.2804837</v>
      </c>
      <c r="O130" s="2">
        <f>O9/'Output-Calculation-sheet'!O8*'Output-Calculation-sheet'!O107</f>
        <v>0</v>
      </c>
      <c r="P130" s="2">
        <f>P9/'Output-Calculation-sheet'!P8*'Output-Calculation-sheet'!P107</f>
        <v>5896916766.3923826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1716412871.7669511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186383.82862264695</v>
      </c>
    </row>
    <row r="131" spans="1:27" x14ac:dyDescent="0.25">
      <c r="A131" s="2">
        <v>2033</v>
      </c>
      <c r="B131" s="2">
        <f>B10/'Output-Calculation-sheet'!B9*'Output-Calculation-sheet'!B108</f>
        <v>44497816063.324852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1630520602.918225</v>
      </c>
      <c r="O131" s="2">
        <f>O10/'Output-Calculation-sheet'!O9*'Output-Calculation-sheet'!O108</f>
        <v>0</v>
      </c>
      <c r="P131" s="2">
        <f>P10/'Output-Calculation-sheet'!P9*'Output-Calculation-sheet'!P108</f>
        <v>7499219985.6876869</v>
      </c>
      <c r="Q131" s="2">
        <f>Q10/'Output-Calculation-sheet'!Q9*'Output-Calculation-sheet'!Q108</f>
        <v>6326354292.6264992</v>
      </c>
      <c r="R131" s="2">
        <f>R10/'Output-Calculation-sheet'!R9*'Output-Calculation-sheet'!R108</f>
        <v>7098077932.656126</v>
      </c>
      <c r="S131" s="2">
        <f>S10/'Output-Calculation-sheet'!S9*'Output-Calculation-sheet'!S108</f>
        <v>1581518094.5154757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211497.33655661158</v>
      </c>
    </row>
    <row r="132" spans="1:27" x14ac:dyDescent="0.25">
      <c r="A132" s="2">
        <v>2034</v>
      </c>
      <c r="B132" s="2">
        <f>B11/'Output-Calculation-sheet'!B10*'Output-Calculation-sheet'!B109</f>
        <v>33824870958.777584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32645722730.69186</v>
      </c>
      <c r="F132" s="2">
        <f>F11/'Output-Calculation-sheet'!F10*'Output-Calculation-sheet'!F109</f>
        <v>21542645950.508507</v>
      </c>
      <c r="G132" s="2">
        <f>G11/'Output-Calculation-sheet'!G10*'Output-Calculation-sheet'!G109</f>
        <v>15136878276.550362</v>
      </c>
      <c r="H132" s="2">
        <f>H11/'Output-Calculation-sheet'!H10*'Output-Calculation-sheet'!H109</f>
        <v>0</v>
      </c>
      <c r="I132" s="2">
        <f>I11/'Output-Calculation-sheet'!I10*'Output-Calculation-sheet'!I109</f>
        <v>13789928201.653631</v>
      </c>
      <c r="J132" s="2">
        <f>J11/'Output-Calculation-sheet'!J10*'Output-Calculation-sheet'!J109</f>
        <v>13422256202.208557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9992149731.2870998</v>
      </c>
      <c r="M132" s="2">
        <f>M11/'Output-Calculation-sheet'!M10*'Output-Calculation-sheet'!M109</f>
        <v>0</v>
      </c>
      <c r="N132" s="2">
        <f>N11/'Output-Calculation-sheet'!N10*'Output-Calculation-sheet'!N109</f>
        <v>1313980044.3707907</v>
      </c>
      <c r="O132" s="2">
        <f>O11/'Output-Calculation-sheet'!O10*'Output-Calculation-sheet'!O109</f>
        <v>0</v>
      </c>
      <c r="P132" s="2">
        <f>P11/'Output-Calculation-sheet'!P10*'Output-Calculation-sheet'!P109</f>
        <v>7465676409.7549028</v>
      </c>
      <c r="Q132" s="2">
        <f>Q11/'Output-Calculation-sheet'!Q10*'Output-Calculation-sheet'!Q109</f>
        <v>4808694306.7754498</v>
      </c>
      <c r="R132" s="2">
        <f>R11/'Output-Calculation-sheet'!R10*'Output-Calculation-sheet'!R109</f>
        <v>8613985572.5993252</v>
      </c>
      <c r="S132" s="2">
        <f>S11/'Output-Calculation-sheet'!S10*'Output-Calculation-sheet'!S109</f>
        <v>901797887.16516531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2759569578.0001984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228820.17156634619</v>
      </c>
    </row>
    <row r="133" spans="1:27" x14ac:dyDescent="0.25">
      <c r="A133" s="2">
        <v>2035</v>
      </c>
      <c r="B133" s="2">
        <f>B12/'Output-Calculation-sheet'!B11*'Output-Calculation-sheet'!B110</f>
        <v>539767781.45681703</v>
      </c>
      <c r="C133" s="2">
        <f>C12/'Output-Calculation-sheet'!C11*'Output-Calculation-sheet'!C110</f>
        <v>0</v>
      </c>
      <c r="D133" s="2">
        <f>D12/'Output-Calculation-sheet'!D11*'Output-Calculation-sheet'!D110</f>
        <v>44719176080.449684</v>
      </c>
      <c r="E133" s="2">
        <f>E12/'Output-Calculation-sheet'!E11*'Output-Calculation-sheet'!E110</f>
        <v>21745951606.21273</v>
      </c>
      <c r="F133" s="2">
        <f>F12/'Output-Calculation-sheet'!F11*'Output-Calculation-sheet'!F110</f>
        <v>24114606907.770676</v>
      </c>
      <c r="G133" s="2">
        <f>G12/'Output-Calculation-sheet'!G11*'Output-Calculation-sheet'!G110</f>
        <v>16715016211.244532</v>
      </c>
      <c r="H133" s="2">
        <f>H12/'Output-Calculation-sheet'!H11*'Output-Calculation-sheet'!H110</f>
        <v>0</v>
      </c>
      <c r="I133" s="2">
        <f>I12/'Output-Calculation-sheet'!I11*'Output-Calculation-sheet'!I110</f>
        <v>15088432891.62871</v>
      </c>
      <c r="J133" s="2">
        <f>J12/'Output-Calculation-sheet'!J11*'Output-Calculation-sheet'!J110</f>
        <v>14531297717.478565</v>
      </c>
      <c r="K133" s="2">
        <f>K12/'Output-Calculation-sheet'!K11*'Output-Calculation-sheet'!K110</f>
        <v>14375563712.31238</v>
      </c>
      <c r="L133" s="2">
        <f>L12/'Output-Calculation-sheet'!L11*'Output-Calculation-sheet'!L110</f>
        <v>10573212220.093752</v>
      </c>
      <c r="M133" s="2">
        <f>M12/'Output-Calculation-sheet'!M11*'Output-Calculation-sheet'!M110</f>
        <v>0</v>
      </c>
      <c r="N133" s="2">
        <f>N12/'Output-Calculation-sheet'!N11*'Output-Calculation-sheet'!N110</f>
        <v>1381922.7240235342</v>
      </c>
      <c r="O133" s="2">
        <f>O12/'Output-Calculation-sheet'!O11*'Output-Calculation-sheet'!O110</f>
        <v>0</v>
      </c>
      <c r="P133" s="2">
        <f>P12/'Output-Calculation-sheet'!P11*'Output-Calculation-sheet'!P110</f>
        <v>3276373833.63835</v>
      </c>
      <c r="Q133" s="2">
        <f>Q12/'Output-Calculation-sheet'!Q11*'Output-Calculation-sheet'!Q110</f>
        <v>4352091926.8521481</v>
      </c>
      <c r="R133" s="2">
        <f>R12/'Output-Calculation-sheet'!R11*'Output-Calculation-sheet'!R110</f>
        <v>9562034077.2580624</v>
      </c>
      <c r="S133" s="2">
        <f>S12/'Output-Calculation-sheet'!S11*'Output-Calculation-sheet'!S110</f>
        <v>15831414.237012928</v>
      </c>
      <c r="T133" s="2">
        <f>T12/'Output-Calculation-sheet'!T11*'Output-Calculation-sheet'!T110</f>
        <v>3592628606.8380561</v>
      </c>
      <c r="U133" s="2">
        <f>U12/'Output-Calculation-sheet'!U11*'Output-Calculation-sheet'!U110</f>
        <v>2914927976.5429897</v>
      </c>
      <c r="V133" s="2">
        <f>V12/'Output-Calculation-sheet'!V11*'Output-Calculation-sheet'!V110</f>
        <v>2416046853.910274</v>
      </c>
      <c r="W133" s="2">
        <f>W12/'Output-Calculation-sheet'!W11*'Output-Calculation-sheet'!W110</f>
        <v>2122589242.265867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190656.93098291461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14502739888.935251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4559296112.0733986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3133992079.5413189</v>
      </c>
      <c r="N140" s="2">
        <f>N8/'Output-Calculation-sheet'!N7*'Output-Calculation-sheet'!N115</f>
        <v>1183206229.8731501</v>
      </c>
      <c r="O140" s="2">
        <f>O8/'Output-Calculation-sheet'!O7*'Output-Calculation-sheet'!O115</f>
        <v>3480586957.6867089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340313912.29338026</v>
      </c>
      <c r="Y140" s="2">
        <f>Y8/'Output-Calculation-sheet'!Y7*'Output-Calculation-sheet'!Y115</f>
        <v>0</v>
      </c>
      <c r="AA140" s="2">
        <f t="shared" si="12"/>
        <v>27200.135180403213</v>
      </c>
    </row>
    <row r="141" spans="1:27" x14ac:dyDescent="0.25">
      <c r="A141" s="2">
        <v>2032</v>
      </c>
      <c r="B141" s="2">
        <f>B9/'Output-Calculation-sheet'!B8*'Output-Calculation-sheet'!B116</f>
        <v>6072962050.1903667</v>
      </c>
      <c r="C141" s="2">
        <f>C9/'Output-Calculation-sheet'!C8*'Output-Calculation-sheet'!C116</f>
        <v>25995868431.368782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6777010169.2960835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4652974310.656271</v>
      </c>
      <c r="N141" s="2">
        <f>N9/'Output-Calculation-sheet'!N8*'Output-Calculation-sheet'!N116</f>
        <v>3230383624.6700749</v>
      </c>
      <c r="O141" s="2">
        <f>O9/'Output-Calculation-sheet'!O8*'Output-Calculation-sheet'!O116</f>
        <v>5045950846.9979897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1446921127.4520924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506459903.94294536</v>
      </c>
      <c r="Y141" s="2">
        <f>Y9/'Output-Calculation-sheet'!Y8*'Output-Calculation-sheet'!Y116</f>
        <v>0</v>
      </c>
      <c r="AA141" s="2">
        <f t="shared" si="12"/>
        <v>53728.530464574607</v>
      </c>
    </row>
    <row r="142" spans="1:27" x14ac:dyDescent="0.25">
      <c r="A142" s="2">
        <v>2033</v>
      </c>
      <c r="B142" s="2">
        <f>B10/'Output-Calculation-sheet'!B9*'Output-Calculation-sheet'!B117</f>
        <v>32284564386.595669</v>
      </c>
      <c r="C142" s="2">
        <f>C10/'Output-Calculation-sheet'!C9*'Output-Calculation-sheet'!C117</f>
        <v>34091165986.574276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10558285914.255548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7255517974.7511997</v>
      </c>
      <c r="N142" s="2">
        <f>N10/'Output-Calculation-sheet'!N9*'Output-Calculation-sheet'!N117</f>
        <v>5473213572.8660698</v>
      </c>
      <c r="O142" s="2">
        <f>O10/'Output-Calculation-sheet'!O9*'Output-Calculation-sheet'!O117</f>
        <v>6616662658.920166</v>
      </c>
      <c r="P142" s="2">
        <f>P10/'Output-Calculation-sheet'!P9*'Output-Calculation-sheet'!P117</f>
        <v>0</v>
      </c>
      <c r="Q142" s="2">
        <f>Q10/'Output-Calculation-sheet'!Q9*'Output-Calculation-sheet'!Q117</f>
        <v>1045234357.1823785</v>
      </c>
      <c r="R142" s="2">
        <f>R10/'Output-Calculation-sheet'!R9*'Output-Calculation-sheet'!R117</f>
        <v>0</v>
      </c>
      <c r="S142" s="2">
        <f>S10/'Output-Calculation-sheet'!S9*'Output-Calculation-sheet'!S117</f>
        <v>2661326854.566669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795407826.85987937</v>
      </c>
      <c r="Y142" s="2">
        <f>Y10/'Output-Calculation-sheet'!Y9*'Output-Calculation-sheet'!Y117</f>
        <v>0</v>
      </c>
      <c r="AA142" s="2">
        <f t="shared" si="12"/>
        <v>100781.37953257185</v>
      </c>
    </row>
    <row r="143" spans="1:27" x14ac:dyDescent="0.25">
      <c r="A143" s="2">
        <v>2034</v>
      </c>
      <c r="B143" s="2">
        <f>B11/'Output-Calculation-sheet'!B10*'Output-Calculation-sheet'!B118</f>
        <v>60770035749.610863</v>
      </c>
      <c r="C143" s="2">
        <f>C11/'Output-Calculation-sheet'!C10*'Output-Calculation-sheet'!C118</f>
        <v>46626112235.870361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12924990282.259714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8877027011.5752888</v>
      </c>
      <c r="N143" s="2">
        <f>N11/'Output-Calculation-sheet'!N10*'Output-Calculation-sheet'!N118</f>
        <v>7811071650.3953638</v>
      </c>
      <c r="O143" s="2">
        <f>O11/'Output-Calculation-sheet'!O10*'Output-Calculation-sheet'!O118</f>
        <v>9058158297.023489</v>
      </c>
      <c r="P143" s="2">
        <f>P11/'Output-Calculation-sheet'!P10*'Output-Calculation-sheet'!P118</f>
        <v>1635423735.8675644</v>
      </c>
      <c r="Q143" s="2">
        <f>Q11/'Output-Calculation-sheet'!Q10*'Output-Calculation-sheet'!Q118</f>
        <v>3850361253.4804173</v>
      </c>
      <c r="R143" s="2">
        <f>R11/'Output-Calculation-sheet'!R10*'Output-Calculation-sheet'!R118</f>
        <v>0</v>
      </c>
      <c r="S143" s="2">
        <f>S11/'Output-Calculation-sheet'!S10*'Output-Calculation-sheet'!S118</f>
        <v>4497606835.6749849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974562502.88722968</v>
      </c>
      <c r="Y143" s="2">
        <f>Y11/'Output-Calculation-sheet'!Y10*'Output-Calculation-sheet'!Y118</f>
        <v>114204336.62599149</v>
      </c>
      <c r="AA143" s="2">
        <f t="shared" si="12"/>
        <v>157139.55389127127</v>
      </c>
    </row>
    <row r="144" spans="1:27" x14ac:dyDescent="0.25">
      <c r="A144" s="2">
        <v>2035</v>
      </c>
      <c r="B144" s="2">
        <f>B12/'Output-Calculation-sheet'!B11*'Output-Calculation-sheet'!B119</f>
        <v>115153174161.61813</v>
      </c>
      <c r="C144" s="2">
        <f>C12/'Output-Calculation-sheet'!C11*'Output-Calculation-sheet'!C119</f>
        <v>55103081219.531456</v>
      </c>
      <c r="D144" s="2">
        <f>D12/'Output-Calculation-sheet'!D11*'Output-Calculation-sheet'!D119</f>
        <v>0</v>
      </c>
      <c r="E144" s="2">
        <f>E12/'Output-Calculation-sheet'!E11*'Output-Calculation-sheet'!E119</f>
        <v>14517281031.132875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16741255224.326324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11470325976.651085</v>
      </c>
      <c r="N144" s="2">
        <f>N12/'Output-Calculation-sheet'!N11*'Output-Calculation-sheet'!N119</f>
        <v>11357306977.0464</v>
      </c>
      <c r="O144" s="2">
        <f>O12/'Output-Calculation-sheet'!O11*'Output-Calculation-sheet'!O119</f>
        <v>10713895314.094917</v>
      </c>
      <c r="P144" s="2">
        <f>P12/'Output-Calculation-sheet'!P11*'Output-Calculation-sheet'!P119</f>
        <v>7285073131.8598175</v>
      </c>
      <c r="Q144" s="2">
        <f>Q12/'Output-Calculation-sheet'!Q11*'Output-Calculation-sheet'!Q119</f>
        <v>4992660047.6359386</v>
      </c>
      <c r="R144" s="2">
        <f>R12/'Output-Calculation-sheet'!R11*'Output-Calculation-sheet'!R119</f>
        <v>0</v>
      </c>
      <c r="S144" s="2">
        <f>S12/'Output-Calculation-sheet'!S11*'Output-Calculation-sheet'!S119</f>
        <v>6487916358.6465197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1276342071.6602936</v>
      </c>
      <c r="Y144" s="2">
        <f>Y12/'Output-Calculation-sheet'!Y11*'Output-Calculation-sheet'!Y119</f>
        <v>609044529.47043145</v>
      </c>
      <c r="AA144" s="2">
        <f t="shared" si="12"/>
        <v>255707.35604367417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47777430276.930817</v>
      </c>
      <c r="C151" s="2">
        <f>C8/'Output-Calculation-sheet'!C7*'Output-Calculation-sheet'!C124</f>
        <v>22515169279.974983</v>
      </c>
      <c r="D151" s="2">
        <f>D8/'Output-Calculation-sheet'!D7*'Output-Calculation-sheet'!D124</f>
        <v>20067008156.585941</v>
      </c>
      <c r="E151" s="2">
        <f>E8/'Output-Calculation-sheet'!E7*'Output-Calculation-sheet'!E124</f>
        <v>15921153273.46006</v>
      </c>
      <c r="F151" s="2">
        <f>F8/'Output-Calculation-sheet'!F7*'Output-Calculation-sheet'!F124</f>
        <v>10249014043.727858</v>
      </c>
      <c r="G151" s="2">
        <f>G8/'Output-Calculation-sheet'!G7*'Output-Calculation-sheet'!G124</f>
        <v>7201255188.8312998</v>
      </c>
      <c r="H151" s="2">
        <f>H8/'Output-Calculation-sheet'!H7*'Output-Calculation-sheet'!H124</f>
        <v>7024556142.5349426</v>
      </c>
      <c r="I151" s="2">
        <f>I8/'Output-Calculation-sheet'!I7*'Output-Calculation-sheet'!I124</f>
        <v>6560895090.5571995</v>
      </c>
      <c r="J151" s="2">
        <f>J8/'Output-Calculation-sheet'!J7*'Output-Calculation-sheet'!J124</f>
        <v>6385903193.1740551</v>
      </c>
      <c r="K151" s="2">
        <f>K8/'Output-Calculation-sheet'!K7*'Output-Calculation-sheet'!K124</f>
        <v>6324691484.2718086</v>
      </c>
      <c r="L151" s="2">
        <f>L8/'Output-Calculation-sheet'!L7*'Output-Calculation-sheet'!L124</f>
        <v>5073761753.8023243</v>
      </c>
      <c r="M151" s="2">
        <f>M8/'Output-Calculation-sheet'!M7*'Output-Calculation-sheet'!M124</f>
        <v>4846327610.3521261</v>
      </c>
      <c r="N151" s="2">
        <f>N8/'Output-Calculation-sheet'!N7*'Output-Calculation-sheet'!N124</f>
        <v>4756648265.7738247</v>
      </c>
      <c r="O151" s="2">
        <f>O8/'Output-Calculation-sheet'!O7*'Output-Calculation-sheet'!O124</f>
        <v>4374697160.9333553</v>
      </c>
      <c r="P151" s="2">
        <f>P8/'Output-Calculation-sheet'!P7*'Output-Calculation-sheet'!P124</f>
        <v>4330216171.997571</v>
      </c>
      <c r="Q151" s="2">
        <f>Q8/'Output-Calculation-sheet'!Q7*'Output-Calculation-sheet'!Q124</f>
        <v>4260224949.037127</v>
      </c>
      <c r="R151" s="2">
        <f>R8/'Output-Calculation-sheet'!R7*'Output-Calculation-sheet'!R124</f>
        <v>4098540672.8147187</v>
      </c>
      <c r="S151" s="2">
        <f>S8/'Output-Calculation-sheet'!S7*'Output-Calculation-sheet'!S124</f>
        <v>2724093655.8689504</v>
      </c>
      <c r="T151" s="2">
        <f>T8/'Output-Calculation-sheet'!T7*'Output-Calculation-sheet'!T124</f>
        <v>1506577983.7317326</v>
      </c>
      <c r="U151" s="2">
        <f>U8/'Output-Calculation-sheet'!U7*'Output-Calculation-sheet'!U124</f>
        <v>1312180269.6771173</v>
      </c>
      <c r="V151" s="2">
        <f>V8/'Output-Calculation-sheet'!V7*'Output-Calculation-sheet'!V124</f>
        <v>1010400679.864415</v>
      </c>
      <c r="W151" s="2">
        <f>W8/'Output-Calculation-sheet'!W7*'Output-Calculation-sheet'!W124</f>
        <v>874789942.14692652</v>
      </c>
      <c r="X151" s="2">
        <f>X8/'Output-Calculation-sheet'!X7*'Output-Calculation-sheet'!X124</f>
        <v>524871182.58829939</v>
      </c>
      <c r="Y151" s="2">
        <f>Y8/'Output-Calculation-sheet'!Y7*'Output-Calculation-sheet'!Y124</f>
        <v>510432283.39450693</v>
      </c>
      <c r="AA151" s="2">
        <f t="shared" si="13"/>
        <v>190230.83871203192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18396926308.639069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3574522359.4551411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155435.77022033648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2525565724.833118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109822.58456539563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2109283732.7450397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1279230275.0147362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817971617.3621459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394012076.72979808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57121.16900365115</v>
      </c>
    </row>
    <row r="155" spans="1:27" x14ac:dyDescent="0.25">
      <c r="A155" s="2">
        <v>2035</v>
      </c>
      <c r="B155" s="2">
        <f>B12/'Output-Calculation-sheet'!B11*'Output-Calculation-sheet'!B128</f>
        <v>600715380.58424592</v>
      </c>
      <c r="C155" s="2">
        <f>C12/'Output-Calculation-sheet'!C11*'Output-Calculation-sheet'!C128</f>
        <v>77203470.530302718</v>
      </c>
      <c r="D155" s="2">
        <f>D12/'Output-Calculation-sheet'!D11*'Output-Calculation-sheet'!D128</f>
        <v>6020199491.7294769</v>
      </c>
      <c r="E155" s="2">
        <f>E12/'Output-Calculation-sheet'!E11*'Output-Calculation-sheet'!E128</f>
        <v>1121358256.4623785</v>
      </c>
      <c r="F155" s="2">
        <f>F12/'Output-Calculation-sheet'!F11*'Output-Calculation-sheet'!F128</f>
        <v>1735903028.9162807</v>
      </c>
      <c r="G155" s="2">
        <f>G12/'Output-Calculation-sheet'!G11*'Output-Calculation-sheet'!G128</f>
        <v>1550506841.9905391</v>
      </c>
      <c r="H155" s="2">
        <f>H12/'Output-Calculation-sheet'!H11*'Output-Calculation-sheet'!H128</f>
        <v>124275562.51476124</v>
      </c>
      <c r="I155" s="2">
        <f>I12/'Output-Calculation-sheet'!I11*'Output-Calculation-sheet'!I128</f>
        <v>1546138979.6453817</v>
      </c>
      <c r="J155" s="2">
        <f>J12/'Output-Calculation-sheet'!J11*'Output-Calculation-sheet'!J128</f>
        <v>1480432632.2269444</v>
      </c>
      <c r="K155" s="2">
        <f>K12/'Output-Calculation-sheet'!K11*'Output-Calculation-sheet'!K128</f>
        <v>1681111710.6765656</v>
      </c>
      <c r="L155" s="2">
        <f>L12/'Output-Calculation-sheet'!L11*'Output-Calculation-sheet'!L128</f>
        <v>1215693192.3464563</v>
      </c>
      <c r="M155" s="2">
        <f>M12/'Output-Calculation-sheet'!M11*'Output-Calculation-sheet'!M128</f>
        <v>103647327.13815573</v>
      </c>
      <c r="N155" s="2">
        <f>N12/'Output-Calculation-sheet'!N11*'Output-Calculation-sheet'!N128</f>
        <v>104901419.30260915</v>
      </c>
      <c r="O155" s="2">
        <f>O12/'Output-Calculation-sheet'!O11*'Output-Calculation-sheet'!O128</f>
        <v>34739929.21978315</v>
      </c>
      <c r="P155" s="2">
        <f>P12/'Output-Calculation-sheet'!P11*'Output-Calculation-sheet'!P128</f>
        <v>117258101.23119538</v>
      </c>
      <c r="Q155" s="2">
        <f>Q12/'Output-Calculation-sheet'!Q11*'Output-Calculation-sheet'!Q128</f>
        <v>698849348.81905985</v>
      </c>
      <c r="R155" s="2">
        <f>R12/'Output-Calculation-sheet'!R11*'Output-Calculation-sheet'!R128</f>
        <v>781414183.31238902</v>
      </c>
      <c r="S155" s="2">
        <f>S12/'Output-Calculation-sheet'!S11*'Output-Calculation-sheet'!S128</f>
        <v>54780745.806867667</v>
      </c>
      <c r="T155" s="2">
        <f>T12/'Output-Calculation-sheet'!T11*'Output-Calculation-sheet'!T128</f>
        <v>183771058.80279431</v>
      </c>
      <c r="U155" s="2">
        <f>U12/'Output-Calculation-sheet'!U11*'Output-Calculation-sheet'!U128</f>
        <v>361666913.88244933</v>
      </c>
      <c r="V155" s="2">
        <f>V12/'Output-Calculation-sheet'!V11*'Output-Calculation-sheet'!V128</f>
        <v>90247904.370158792</v>
      </c>
      <c r="W155" s="2">
        <f>W12/'Output-Calculation-sheet'!W11*'Output-Calculation-sheet'!W128</f>
        <v>83757041.838095814</v>
      </c>
      <c r="X155" s="2">
        <f>X12/'Output-Calculation-sheet'!X11*'Output-Calculation-sheet'!X128</f>
        <v>3187184.8864439451</v>
      </c>
      <c r="Y155" s="2">
        <f>Y12/'Output-Calculation-sheet'!Y11*'Output-Calculation-sheet'!Y128</f>
        <v>24783831.219781373</v>
      </c>
      <c r="AA155" s="2">
        <f t="shared" si="13"/>
        <v>19796.543537453123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1028.7521292535237</v>
      </c>
      <c r="C19" s="2">
        <f>C8/'Output-Calculation-sheet'!C7*'Output-Calculation-sheet'!C25</f>
        <v>4840.2442010070508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1466.1681710323285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1018.4586226652406</v>
      </c>
      <c r="N19" s="2">
        <f>N8/'Output-Calculation-sheet'!N7*'Output-Calculation-sheet'!N25</f>
        <v>847.23722196090546</v>
      </c>
      <c r="O19" s="2">
        <f>O8/'Output-Calculation-sheet'!O7*'Output-Calculation-sheet'!O25</f>
        <v>531.73293564595906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391.8229256128501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110.22555366000988</v>
      </c>
      <c r="Y19" s="2">
        <f>Y8/'Output-Calculation-sheet'!Y7*'Output-Calculation-sheet'!Y25</f>
        <v>0</v>
      </c>
      <c r="AA19" s="2">
        <f t="shared" si="0"/>
        <v>10.234641760837869</v>
      </c>
    </row>
    <row r="20" spans="1:27" x14ac:dyDescent="0.25">
      <c r="A20" s="2">
        <v>2032</v>
      </c>
      <c r="B20" s="2">
        <f>B9/'Output-Calculation-sheet'!B8*'Output-Calculation-sheet'!B26</f>
        <v>4635.7682184034638</v>
      </c>
      <c r="C20" s="2">
        <f>C9/'Output-Calculation-sheet'!C8*'Output-Calculation-sheet'!C26</f>
        <v>2542.1421149929674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1526.0604639006162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1066.4215841736655</v>
      </c>
      <c r="N20" s="2">
        <f>N9/'Output-Calculation-sheet'!N8*'Output-Calculation-sheet'!N26</f>
        <v>739.05921766076085</v>
      </c>
      <c r="O20" s="2">
        <f>O9/'Output-Calculation-sheet'!O8*'Output-Calculation-sheet'!O26</f>
        <v>496.68745802090996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350.57511317580077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116.04224337120179</v>
      </c>
      <c r="Y20" s="2">
        <f>Y9/'Output-Calculation-sheet'!Y8*'Output-Calculation-sheet'!Y26</f>
        <v>0</v>
      </c>
      <c r="AA20" s="2">
        <f t="shared" si="0"/>
        <v>11.472756413699386</v>
      </c>
    </row>
    <row r="21" spans="1:27" x14ac:dyDescent="0.25">
      <c r="A21" s="2">
        <v>2033</v>
      </c>
      <c r="B21" s="2">
        <f>B10/'Output-Calculation-sheet'!B9*'Output-Calculation-sheet'!B27</f>
        <v>3758.4210108407856</v>
      </c>
      <c r="C21" s="2">
        <f>C10/'Output-Calculation-sheet'!C9*'Output-Calculation-sheet'!C27</f>
        <v>2310.0846104222792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757.42313246300296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536.11034138746845</v>
      </c>
      <c r="N21" s="2">
        <f>N10/'Output-Calculation-sheet'!N9*'Output-Calculation-sheet'!N27</f>
        <v>542.91749085906804</v>
      </c>
      <c r="O21" s="2">
        <f>O10/'Output-Calculation-sheet'!O9*'Output-Calculation-sheet'!O27</f>
        <v>452.26504017903284</v>
      </c>
      <c r="P21" s="2">
        <f>P10/'Output-Calculation-sheet'!P9*'Output-Calculation-sheet'!P27</f>
        <v>0</v>
      </c>
      <c r="Q21" s="2">
        <f>Q10/'Output-Calculation-sheet'!Q9*'Output-Calculation-sheet'!Q27</f>
        <v>6.2080952171399053</v>
      </c>
      <c r="R21" s="2">
        <f>R10/'Output-Calculation-sheet'!R9*'Output-Calculation-sheet'!R27</f>
        <v>0</v>
      </c>
      <c r="S21" s="2">
        <f>S10/'Output-Calculation-sheet'!S9*'Output-Calculation-sheet'!S27</f>
        <v>258.51720796611181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53.532921642767988</v>
      </c>
      <c r="Y21" s="2">
        <f>Y10/'Output-Calculation-sheet'!Y9*'Output-Calculation-sheet'!Y27</f>
        <v>0</v>
      </c>
      <c r="AA21" s="2">
        <f t="shared" si="0"/>
        <v>8.6754798509776556</v>
      </c>
    </row>
    <row r="22" spans="1:27" x14ac:dyDescent="0.25">
      <c r="A22" s="2">
        <v>2034</v>
      </c>
      <c r="B22" s="2">
        <f>B11/'Output-Calculation-sheet'!B10*'Output-Calculation-sheet'!B28</f>
        <v>2641.1009914346205</v>
      </c>
      <c r="C22" s="2">
        <f>C11/'Output-Calculation-sheet'!C10*'Output-Calculation-sheet'!C28</f>
        <v>266.0694511647888</v>
      </c>
      <c r="D22" s="2">
        <f>D11/'Output-Calculation-sheet'!D10*'Output-Calculation-sheet'!D28</f>
        <v>0</v>
      </c>
      <c r="E22" s="2">
        <f>E11/'Output-Calculation-sheet'!E10*'Output-Calculation-sheet'!E28</f>
        <v>900.54024152046759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700.58171057286904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535.84043626562971</v>
      </c>
      <c r="M22" s="2">
        <f>M11/'Output-Calculation-sheet'!M10*'Output-Calculation-sheet'!M28</f>
        <v>498.60133301964993</v>
      </c>
      <c r="N22" s="2">
        <f>N11/'Output-Calculation-sheet'!N10*'Output-Calculation-sheet'!N28</f>
        <v>333.31783573485797</v>
      </c>
      <c r="O22" s="2">
        <f>O11/'Output-Calculation-sheet'!O10*'Output-Calculation-sheet'!O28</f>
        <v>52.190142069171571</v>
      </c>
      <c r="P22" s="2">
        <f>P11/'Output-Calculation-sheet'!P10*'Output-Calculation-sheet'!P28</f>
        <v>0</v>
      </c>
      <c r="Q22" s="2">
        <f>Q11/'Output-Calculation-sheet'!Q10*'Output-Calculation-sheet'!Q28</f>
        <v>170.86123435798828</v>
      </c>
      <c r="R22" s="2">
        <f>R11/'Output-Calculation-sheet'!R10*'Output-Calculation-sheet'!R28</f>
        <v>0</v>
      </c>
      <c r="S22" s="2">
        <f>S11/'Output-Calculation-sheet'!S10*'Output-Calculation-sheet'!S28</f>
        <v>124.80477225079758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48.991052509020818</v>
      </c>
      <c r="Y22" s="2">
        <f>Y11/'Output-Calculation-sheet'!Y10*'Output-Calculation-sheet'!Y28</f>
        <v>19.970136746121959</v>
      </c>
      <c r="AA22" s="2">
        <f t="shared" si="0"/>
        <v>6.2928693376459837</v>
      </c>
    </row>
    <row r="23" spans="1:27" x14ac:dyDescent="0.25">
      <c r="A23" s="2">
        <v>2035</v>
      </c>
      <c r="B23" s="2">
        <f>B12/'Output-Calculation-sheet'!B11*'Output-Calculation-sheet'!B29</f>
        <v>444.12607734124043</v>
      </c>
      <c r="C23" s="2">
        <f>C12/'Output-Calculation-sheet'!C11*'Output-Calculation-sheet'!C29</f>
        <v>83.467200435789508</v>
      </c>
      <c r="D23" s="2">
        <f>D12/'Output-Calculation-sheet'!D11*'Output-Calculation-sheet'!D29</f>
        <v>0</v>
      </c>
      <c r="E23" s="2">
        <f>E12/'Output-Calculation-sheet'!E11*'Output-Calculation-sheet'!E29</f>
        <v>1124.5275161612428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135.39208144567752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566.87719428126741</v>
      </c>
      <c r="M23" s="2">
        <f>M12/'Output-Calculation-sheet'!M11*'Output-Calculation-sheet'!M29</f>
        <v>113.52314763063056</v>
      </c>
      <c r="N23" s="2">
        <f>N12/'Output-Calculation-sheet'!N11*'Output-Calculation-sheet'!N29</f>
        <v>79.173230991891046</v>
      </c>
      <c r="O23" s="2">
        <f>O12/'Output-Calculation-sheet'!O11*'Output-Calculation-sheet'!O29</f>
        <v>9.1469501443311358</v>
      </c>
      <c r="P23" s="2">
        <f>P12/'Output-Calculation-sheet'!P11*'Output-Calculation-sheet'!P29</f>
        <v>15.755411091823674</v>
      </c>
      <c r="Q23" s="2">
        <f>Q12/'Output-Calculation-sheet'!Q11*'Output-Calculation-sheet'!Q29</f>
        <v>220.90955653377367</v>
      </c>
      <c r="R23" s="2">
        <f>R12/'Output-Calculation-sheet'!R11*'Output-Calculation-sheet'!R29</f>
        <v>0</v>
      </c>
      <c r="S23" s="2">
        <f>S12/'Output-Calculation-sheet'!S11*'Output-Calculation-sheet'!S29</f>
        <v>47.036019802750189</v>
      </c>
      <c r="T23" s="2">
        <f>T12/'Output-Calculation-sheet'!T11*'Output-Calculation-sheet'!T29</f>
        <v>0</v>
      </c>
      <c r="U23" s="2">
        <f>U12/'Output-Calculation-sheet'!U11*'Output-Calculation-sheet'!U29</f>
        <v>51.281152097793075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4.1148118819987953</v>
      </c>
      <c r="Y23" s="2">
        <f>Y12/'Output-Calculation-sheet'!Y11*'Output-Calculation-sheet'!Y29</f>
        <v>34.848586267982952</v>
      </c>
      <c r="AA23" s="2">
        <f t="shared" si="0"/>
        <v>2.9301789361081934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17932.178175329827</v>
      </c>
      <c r="C30" s="2">
        <f>C8/'Output-Calculation-sheet'!C7*'Output-Calculation-sheet'!C16</f>
        <v>0</v>
      </c>
      <c r="D30" s="2">
        <f>D8/'Output-Calculation-sheet'!D7*'Output-Calculation-sheet'!D16</f>
        <v>3019.5192377325343</v>
      </c>
      <c r="E30" s="2">
        <f>E8/'Output-Calculation-sheet'!E7*'Output-Calculation-sheet'!E16</f>
        <v>3248.83627784183</v>
      </c>
      <c r="F30" s="2">
        <f>F8/'Output-Calculation-sheet'!F7*'Output-Calculation-sheet'!F16</f>
        <v>1639.0819745136857</v>
      </c>
      <c r="G30" s="2">
        <f>G8/'Output-Calculation-sheet'!G7*'Output-Calculation-sheet'!G16</f>
        <v>1073.3897415577292</v>
      </c>
      <c r="H30" s="2">
        <f>H8/'Output-Calculation-sheet'!H7*'Output-Calculation-sheet'!H16</f>
        <v>0</v>
      </c>
      <c r="I30" s="2">
        <f>I8/'Output-Calculation-sheet'!I7*'Output-Calculation-sheet'!I16</f>
        <v>1046.4070633941881</v>
      </c>
      <c r="J30" s="2">
        <f>J8/'Output-Calculation-sheet'!J7*'Output-Calculation-sheet'!J16</f>
        <v>931.490668836552</v>
      </c>
      <c r="K30" s="2">
        <f>K8/'Output-Calculation-sheet'!K7*'Output-Calculation-sheet'!K16</f>
        <v>1243.7191652881174</v>
      </c>
      <c r="L30" s="2">
        <f>L8/'Output-Calculation-sheet'!L7*'Output-Calculation-sheet'!L16</f>
        <v>1050.5390968945289</v>
      </c>
      <c r="M30" s="2">
        <f>M8/'Output-Calculation-sheet'!M7*'Output-Calculation-sheet'!M16</f>
        <v>0</v>
      </c>
      <c r="N30" s="2">
        <f>N8/'Output-Calculation-sheet'!N7*'Output-Calculation-sheet'!N16</f>
        <v>965.8325113824003</v>
      </c>
      <c r="O30" s="2">
        <f>O8/'Output-Calculation-sheet'!O7*'Output-Calculation-sheet'!O16</f>
        <v>0</v>
      </c>
      <c r="P30" s="2">
        <f>P8/'Output-Calculation-sheet'!P7*'Output-Calculation-sheet'!P16</f>
        <v>1341.1490713374385</v>
      </c>
      <c r="Q30" s="2">
        <f>Q8/'Output-Calculation-sheet'!Q7*'Output-Calculation-sheet'!Q16</f>
        <v>1474.8279046803325</v>
      </c>
      <c r="R30" s="2">
        <f>R8/'Output-Calculation-sheet'!R7*'Output-Calculation-sheet'!R16</f>
        <v>935.78357563146653</v>
      </c>
      <c r="S30" s="2">
        <f>S8/'Output-Calculation-sheet'!S7*'Output-Calculation-sheet'!S16</f>
        <v>941.1252596223801</v>
      </c>
      <c r="T30" s="2">
        <f>T8/'Output-Calculation-sheet'!T7*'Output-Calculation-sheet'!T16</f>
        <v>280.90703169181234</v>
      </c>
      <c r="U30" s="2">
        <f>U8/'Output-Calculation-sheet'!U7*'Output-Calculation-sheet'!U16</f>
        <v>280.40619938766673</v>
      </c>
      <c r="V30" s="2">
        <f>V8/'Output-Calculation-sheet'!V7*'Output-Calculation-sheet'!V16</f>
        <v>218.23386713620991</v>
      </c>
      <c r="W30" s="2">
        <f>W8/'Output-Calculation-sheet'!W7*'Output-Calculation-sheet'!W16</f>
        <v>132.37148283340062</v>
      </c>
      <c r="X30" s="2">
        <f>X8/'Output-Calculation-sheet'!X7*'Output-Calculation-sheet'!X16</f>
        <v>0</v>
      </c>
      <c r="Y30" s="2">
        <f>Y8/'Output-Calculation-sheet'!Y7*'Output-Calculation-sheet'!Y16</f>
        <v>112.03541057993114</v>
      </c>
      <c r="AA30" s="2">
        <f t="shared" si="1"/>
        <v>37.867833715672027</v>
      </c>
    </row>
    <row r="31" spans="1:27" x14ac:dyDescent="0.25">
      <c r="A31" s="2">
        <v>2032</v>
      </c>
      <c r="B31" s="2">
        <f>B9/'Output-Calculation-sheet'!B8*'Output-Calculation-sheet'!B17</f>
        <v>19490.689202054684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762.10648940850388</v>
      </c>
      <c r="O31" s="2">
        <f>O9/'Output-Calculation-sheet'!O8*'Output-Calculation-sheet'!O17</f>
        <v>0</v>
      </c>
      <c r="P31" s="2">
        <f>P9/'Output-Calculation-sheet'!P8*'Output-Calculation-sheet'!P17</f>
        <v>1904.7594487285144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630.77098409386554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44.65547978866713</v>
      </c>
    </row>
    <row r="32" spans="1:27" x14ac:dyDescent="0.25">
      <c r="A32" s="2">
        <v>2033</v>
      </c>
      <c r="B32" s="2">
        <f>B10/'Output-Calculation-sheet'!B9*'Output-Calculation-sheet'!B18</f>
        <v>13595.202463490516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2128.4163957732312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550.2684220302408</v>
      </c>
      <c r="O32" s="2">
        <f>O10/'Output-Calculation-sheet'!O9*'Output-Calculation-sheet'!O18</f>
        <v>0</v>
      </c>
      <c r="P32" s="2">
        <f>P10/'Output-Calculation-sheet'!P9*'Output-Calculation-sheet'!P18</f>
        <v>2190.6067888688312</v>
      </c>
      <c r="Q32" s="2">
        <f>Q10/'Output-Calculation-sheet'!Q9*'Output-Calculation-sheet'!Q18</f>
        <v>2028.4300273312524</v>
      </c>
      <c r="R32" s="2">
        <f>R10/'Output-Calculation-sheet'!R9*'Output-Calculation-sheet'!R18</f>
        <v>1573.0444289900113</v>
      </c>
      <c r="S32" s="2">
        <f>S10/'Output-Calculation-sheet'!S9*'Output-Calculation-sheet'!S18</f>
        <v>500.58161502267137</v>
      </c>
      <c r="T32" s="2">
        <f>T10/'Output-Calculation-sheet'!T9*'Output-Calculation-sheet'!T18</f>
        <v>459.28674075475618</v>
      </c>
      <c r="U32" s="2">
        <f>U10/'Output-Calculation-sheet'!U9*'Output-Calculation-sheet'!U18</f>
        <v>507.72631968659164</v>
      </c>
      <c r="V32" s="2">
        <f>V10/'Output-Calculation-sheet'!V9*'Output-Calculation-sheet'!V18</f>
        <v>374.73795844222809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216.99303357520643</v>
      </c>
      <c r="AA32" s="2">
        <f t="shared" si="1"/>
        <v>43.220371017289224</v>
      </c>
    </row>
    <row r="33" spans="1:27" x14ac:dyDescent="0.25">
      <c r="A33" s="2">
        <v>2034</v>
      </c>
      <c r="B33" s="2">
        <f>B11/'Output-Calculation-sheet'!B10*'Output-Calculation-sheet'!B19</f>
        <v>7971.2061645221202</v>
      </c>
      <c r="C33" s="2">
        <f>C11/'Output-Calculation-sheet'!C10*'Output-Calculation-sheet'!C19</f>
        <v>0</v>
      </c>
      <c r="D33" s="2">
        <f>D11/'Output-Calculation-sheet'!D10*'Output-Calculation-sheet'!D19</f>
        <v>5302.7672383500158</v>
      </c>
      <c r="E33" s="2">
        <f>E11/'Output-Calculation-sheet'!E10*'Output-Calculation-sheet'!E19</f>
        <v>6561.5799206965148</v>
      </c>
      <c r="F33" s="2">
        <f>F11/'Output-Calculation-sheet'!F10*'Output-Calculation-sheet'!F19</f>
        <v>3009.7091548588364</v>
      </c>
      <c r="G33" s="2">
        <f>G11/'Output-Calculation-sheet'!G10*'Output-Calculation-sheet'!G19</f>
        <v>1804.9244604598787</v>
      </c>
      <c r="H33" s="2">
        <f>H11/'Output-Calculation-sheet'!H10*'Output-Calculation-sheet'!H19</f>
        <v>0</v>
      </c>
      <c r="I33" s="2">
        <f>I11/'Output-Calculation-sheet'!I10*'Output-Calculation-sheet'!I19</f>
        <v>1969.646479752264</v>
      </c>
      <c r="J33" s="2">
        <f>J11/'Output-Calculation-sheet'!J10*'Output-Calculation-sheet'!J19</f>
        <v>1665.4171306678647</v>
      </c>
      <c r="K33" s="2">
        <f>K11/'Output-Calculation-sheet'!K10*'Output-Calculation-sheet'!K19</f>
        <v>2309.9925479390095</v>
      </c>
      <c r="L33" s="2">
        <f>L11/'Output-Calculation-sheet'!L10*'Output-Calculation-sheet'!L19</f>
        <v>1878.8754857081724</v>
      </c>
      <c r="M33" s="2">
        <f>M11/'Output-Calculation-sheet'!M10*'Output-Calculation-sheet'!M19</f>
        <v>0</v>
      </c>
      <c r="N33" s="2">
        <f>N11/'Output-Calculation-sheet'!N10*'Output-Calculation-sheet'!N19</f>
        <v>356.65795007103679</v>
      </c>
      <c r="O33" s="2">
        <f>O11/'Output-Calculation-sheet'!O10*'Output-Calculation-sheet'!O19</f>
        <v>0</v>
      </c>
      <c r="P33" s="2">
        <f>P11/'Output-Calculation-sheet'!P10*'Output-Calculation-sheet'!P19</f>
        <v>1765.5149655748421</v>
      </c>
      <c r="Q33" s="2">
        <f>Q11/'Output-Calculation-sheet'!Q10*'Output-Calculation-sheet'!Q19</f>
        <v>1125.4472989150875</v>
      </c>
      <c r="R33" s="2">
        <f>R11/'Output-Calculation-sheet'!R10*'Output-Calculation-sheet'!R19</f>
        <v>1668.7493867333992</v>
      </c>
      <c r="S33" s="2">
        <f>S11/'Output-Calculation-sheet'!S10*'Output-Calculation-sheet'!S19</f>
        <v>226.72712200830415</v>
      </c>
      <c r="T33" s="2">
        <f>T11/'Output-Calculation-sheet'!T10*'Output-Calculation-sheet'!T19</f>
        <v>489.60752937766034</v>
      </c>
      <c r="U33" s="2">
        <f>U11/'Output-Calculation-sheet'!U10*'Output-Calculation-sheet'!U19</f>
        <v>563.15289280322941</v>
      </c>
      <c r="V33" s="2">
        <f>V11/'Output-Calculation-sheet'!V10*'Output-Calculation-sheet'!V19</f>
        <v>384.04847475235238</v>
      </c>
      <c r="W33" s="2">
        <f>W11/'Output-Calculation-sheet'!W10*'Output-Calculation-sheet'!W19</f>
        <v>239.09112339146182</v>
      </c>
      <c r="X33" s="2">
        <f>X11/'Output-Calculation-sheet'!X10*'Output-Calculation-sheet'!X19</f>
        <v>0</v>
      </c>
      <c r="Y33" s="2">
        <f>Y11/'Output-Calculation-sheet'!Y10*'Output-Calculation-sheet'!Y19</f>
        <v>195.77590412247343</v>
      </c>
      <c r="AA33" s="2">
        <f t="shared" si="1"/>
        <v>39.488891230704517</v>
      </c>
    </row>
    <row r="34" spans="1:27" x14ac:dyDescent="0.25">
      <c r="A34" s="2">
        <v>2035</v>
      </c>
      <c r="B34" s="2">
        <f>B12/'Output-Calculation-sheet'!B11*'Output-Calculation-sheet'!B20</f>
        <v>90.777510980212583</v>
      </c>
      <c r="C34" s="2">
        <f>C12/'Output-Calculation-sheet'!C11*'Output-Calculation-sheet'!C20</f>
        <v>0</v>
      </c>
      <c r="D34" s="2">
        <f>D12/'Output-Calculation-sheet'!D11*'Output-Calculation-sheet'!D20</f>
        <v>4043.1979491298589</v>
      </c>
      <c r="E34" s="2">
        <f>E12/'Output-Calculation-sheet'!E11*'Output-Calculation-sheet'!E20</f>
        <v>2386.4289065622752</v>
      </c>
      <c r="F34" s="2">
        <f>F12/'Output-Calculation-sheet'!F11*'Output-Calculation-sheet'!F20</f>
        <v>2761.4563127164733</v>
      </c>
      <c r="G34" s="2">
        <f>G12/'Output-Calculation-sheet'!G11*'Output-Calculation-sheet'!G20</f>
        <v>1489.1833762166523</v>
      </c>
      <c r="H34" s="2">
        <f>H12/'Output-Calculation-sheet'!H11*'Output-Calculation-sheet'!H20</f>
        <v>0</v>
      </c>
      <c r="I34" s="2">
        <f>I12/'Output-Calculation-sheet'!I11*'Output-Calculation-sheet'!I20</f>
        <v>1621.2663794955008</v>
      </c>
      <c r="J34" s="2">
        <f>J12/'Output-Calculation-sheet'!J11*'Output-Calculation-sheet'!J20</f>
        <v>1389.5154913256788</v>
      </c>
      <c r="K34" s="2">
        <f>K12/'Output-Calculation-sheet'!K11*'Output-Calculation-sheet'!K20</f>
        <v>1826.9001807042443</v>
      </c>
      <c r="L34" s="2">
        <f>L12/'Output-Calculation-sheet'!L11*'Output-Calculation-sheet'!L20</f>
        <v>1443.3650306935042</v>
      </c>
      <c r="M34" s="2">
        <f>M12/'Output-Calculation-sheet'!M11*'Output-Calculation-sheet'!M20</f>
        <v>0</v>
      </c>
      <c r="N34" s="2">
        <f>N12/'Output-Calculation-sheet'!N11*'Output-Calculation-sheet'!N20</f>
        <v>0.27848646229931784</v>
      </c>
      <c r="O34" s="2">
        <f>O12/'Output-Calculation-sheet'!O11*'Output-Calculation-sheet'!O20</f>
        <v>0</v>
      </c>
      <c r="P34" s="2">
        <f>P12/'Output-Calculation-sheet'!P11*'Output-Calculation-sheet'!P20</f>
        <v>454.73386137872279</v>
      </c>
      <c r="Q34" s="2">
        <f>Q12/'Output-Calculation-sheet'!Q11*'Output-Calculation-sheet'!Q20</f>
        <v>708.03333231535123</v>
      </c>
      <c r="R34" s="2">
        <f>R12/'Output-Calculation-sheet'!R11*'Output-Calculation-sheet'!R20</f>
        <v>1434.6066466301297</v>
      </c>
      <c r="S34" s="2">
        <f>S12/'Output-Calculation-sheet'!S11*'Output-Calculation-sheet'!S20</f>
        <v>2.9549512962859663</v>
      </c>
      <c r="T34" s="2">
        <f>T12/'Output-Calculation-sheet'!T11*'Output-Calculation-sheet'!T20</f>
        <v>448.30864813862274</v>
      </c>
      <c r="U34" s="2">
        <f>U12/'Output-Calculation-sheet'!U11*'Output-Calculation-sheet'!U20</f>
        <v>409.86288975314289</v>
      </c>
      <c r="V34" s="2">
        <f>V12/'Output-Calculation-sheet'!V11*'Output-Calculation-sheet'!V20</f>
        <v>375.48771383786885</v>
      </c>
      <c r="W34" s="2">
        <f>W12/'Output-Calculation-sheet'!W11*'Output-Calculation-sheet'!W20</f>
        <v>242.59759584252501</v>
      </c>
      <c r="X34" s="2">
        <f>X12/'Output-Calculation-sheet'!X11*'Output-Calculation-sheet'!X20</f>
        <v>0</v>
      </c>
      <c r="Y34" s="2">
        <f>Y12/'Output-Calculation-sheet'!Y11*'Output-Calculation-sheet'!Y20</f>
        <v>60.398261887476274</v>
      </c>
      <c r="AA34" s="2">
        <f t="shared" si="1"/>
        <v>21.189353525366823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6.0282147444190796E-2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6.0426836000010233E-2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8.807446266851874E-3</v>
      </c>
      <c r="I45" s="2">
        <f>I12/'Output-Calculation-sheet'!I11*'Output-Calculation-sheet'!I38*0.0114</f>
        <v>3.2709715612978467E-2</v>
      </c>
      <c r="J45" s="2">
        <f>J12/'Output-Calculation-sheet'!J11*'Output-Calculation-sheet'!J38*0.0114</f>
        <v>2.4278837431884234E-2</v>
      </c>
      <c r="K45" s="2">
        <f>K12/'Output-Calculation-sheet'!K11*'Output-Calculation-sheet'!K38*0.0114</f>
        <v>4.01855547692219E-2</v>
      </c>
      <c r="L45" s="2">
        <f>L12/'Output-Calculation-sheet'!L11*'Output-Calculation-sheet'!L38*0.0114</f>
        <v>2.5562962560040065E-2</v>
      </c>
      <c r="M45" s="2">
        <f>M12/'Output-Calculation-sheet'!M11*'Output-Calculation-sheet'!M38*0.0114</f>
        <v>6.0603801680638204E-3</v>
      </c>
      <c r="N45" s="2">
        <f>N12/'Output-Calculation-sheet'!N11*'Output-Calculation-sheet'!N38*0.0114</f>
        <v>5.956370863437567E-3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5.5026404352437087E-3</v>
      </c>
      <c r="Q45" s="2">
        <f>Q12/'Output-Calculation-sheet'!Q11*'Output-Calculation-sheet'!Q38*0.0114</f>
        <v>4.1749542666365824E-2</v>
      </c>
      <c r="R45" s="2">
        <f>R12/'Output-Calculation-sheet'!R11*'Output-Calculation-sheet'!R38*0.0114</f>
        <v>2.0701270145756165E-2</v>
      </c>
      <c r="S45" s="2">
        <f>S12/'Output-Calculation-sheet'!S11*'Output-Calculation-sheet'!S38*0.0114</f>
        <v>3.4143974029657428E-3</v>
      </c>
      <c r="T45" s="2">
        <f>T12/'Output-Calculation-sheet'!T11*'Output-Calculation-sheet'!T38*0.0114</f>
        <v>5.7440175894106511E-3</v>
      </c>
      <c r="U45" s="2">
        <f>U12/'Output-Calculation-sheet'!U11*'Output-Calculation-sheet'!U38*0.0114</f>
        <v>8.3253839941389747E-3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1.9247392659783999E-3</v>
      </c>
      <c r="AA45" s="2">
        <f t="shared" si="2"/>
        <v>0.56683588751110447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0.1242718199359522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139.46757688275133</v>
      </c>
      <c r="R54" s="2">
        <f>R10/'Output-Calculation-sheet'!R9*'Output-Calculation-sheet'!R45</f>
        <v>1044.0510155329262</v>
      </c>
      <c r="S54" s="2">
        <f>S10/'Output-Calculation-sheet'!S9*'Output-Calculation-sheet'!S45</f>
        <v>0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13.013354948313468</v>
      </c>
      <c r="AA54" s="2">
        <f t="shared" si="3"/>
        <v>3.4354743415479105</v>
      </c>
    </row>
    <row r="55" spans="1:27" x14ac:dyDescent="0.25">
      <c r="A55" s="2">
        <v>2034</v>
      </c>
      <c r="B55" s="2">
        <f>B11/'Output-Calculation-sheet'!B10*'Output-Calculation-sheet'!B46</f>
        <v>1041.9777454667694</v>
      </c>
      <c r="C55" s="2">
        <f>C11/'Output-Calculation-sheet'!C10*'Output-Calculation-sheet'!C46</f>
        <v>0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355.21926891457503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2188.4778479635315</v>
      </c>
      <c r="L55" s="2">
        <f>L11/'Output-Calculation-sheet'!L10*'Output-Calculation-sheet'!L46</f>
        <v>809.33319698404819</v>
      </c>
      <c r="M55" s="2">
        <f>M11/'Output-Calculation-sheet'!M10*'Output-Calculation-sheet'!M46</f>
        <v>263.28110256345303</v>
      </c>
      <c r="N55" s="2">
        <f>N11/'Output-Calculation-sheet'!N10*'Output-Calculation-sheet'!N46</f>
        <v>89.914864815157458</v>
      </c>
      <c r="O55" s="2">
        <f>O11/'Output-Calculation-sheet'!O10*'Output-Calculation-sheet'!O46</f>
        <v>0</v>
      </c>
      <c r="P55" s="2">
        <f>P11/'Output-Calculation-sheet'!P10*'Output-Calculation-sheet'!P46</f>
        <v>1955.527708690727</v>
      </c>
      <c r="Q55" s="2">
        <f>Q11/'Output-Calculation-sheet'!Q10*'Output-Calculation-sheet'!Q46</f>
        <v>419.15339009618384</v>
      </c>
      <c r="R55" s="2">
        <f>R11/'Output-Calculation-sheet'!R10*'Output-Calculation-sheet'!R46</f>
        <v>2424.2422778632072</v>
      </c>
      <c r="S55" s="2">
        <f>S11/'Output-Calculation-sheet'!S10*'Output-Calculation-sheet'!S46</f>
        <v>0</v>
      </c>
      <c r="T55" s="2">
        <f>T11/'Output-Calculation-sheet'!T10*'Output-Calculation-sheet'!T46</f>
        <v>548.9380710802842</v>
      </c>
      <c r="U55" s="2">
        <f>U11/'Output-Calculation-sheet'!U10*'Output-Calculation-sheet'!U46</f>
        <v>920.41239234022999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25.128527656216157</v>
      </c>
      <c r="Y55" s="2">
        <f>Y11/'Output-Calculation-sheet'!Y10*'Output-Calculation-sheet'!Y46</f>
        <v>174.77390637328384</v>
      </c>
      <c r="AA55" s="2">
        <f t="shared" si="3"/>
        <v>26.162857707756395</v>
      </c>
    </row>
    <row r="56" spans="1:27" x14ac:dyDescent="0.25">
      <c r="A56" s="2">
        <v>2035</v>
      </c>
      <c r="B56" s="2">
        <f>B12/'Output-Calculation-sheet'!B11*'Output-Calculation-sheet'!B47</f>
        <v>216.80421449226512</v>
      </c>
      <c r="C56" s="2">
        <f>C12/'Output-Calculation-sheet'!C11*'Output-Calculation-sheet'!C47</f>
        <v>170.66390924117289</v>
      </c>
      <c r="D56" s="2">
        <f>D12/'Output-Calculation-sheet'!D11*'Output-Calculation-sheet'!D47</f>
        <v>3943.9868921610391</v>
      </c>
      <c r="E56" s="2">
        <f>E12/'Output-Calculation-sheet'!E11*'Output-Calculation-sheet'!E47</f>
        <v>4804.1101486557836</v>
      </c>
      <c r="F56" s="2">
        <f>F12/'Output-Calculation-sheet'!F11*'Output-Calculation-sheet'!F47</f>
        <v>1252.364667292065</v>
      </c>
      <c r="G56" s="2">
        <f>G12/'Output-Calculation-sheet'!G11*'Output-Calculation-sheet'!G47</f>
        <v>3091.1804848012202</v>
      </c>
      <c r="H56" s="2">
        <f>H12/'Output-Calculation-sheet'!H11*'Output-Calculation-sheet'!H47</f>
        <v>64.12438948672856</v>
      </c>
      <c r="I56" s="2">
        <f>I12/'Output-Calculation-sheet'!I11*'Output-Calculation-sheet'!I47</f>
        <v>1543.6690350686329</v>
      </c>
      <c r="J56" s="2">
        <f>J12/'Output-Calculation-sheet'!J11*'Output-Calculation-sheet'!J47</f>
        <v>1409.1664415874329</v>
      </c>
      <c r="K56" s="2">
        <f>K12/'Output-Calculation-sheet'!K11*'Output-Calculation-sheet'!K47</f>
        <v>2008.5727287283016</v>
      </c>
      <c r="L56" s="2">
        <f>L12/'Output-Calculation-sheet'!L11*'Output-Calculation-sheet'!L47</f>
        <v>1116.1372468649072</v>
      </c>
      <c r="M56" s="2">
        <f>M12/'Output-Calculation-sheet'!M11*'Output-Calculation-sheet'!M47</f>
        <v>44.655432817312359</v>
      </c>
      <c r="N56" s="2">
        <f>N12/'Output-Calculation-sheet'!N11*'Output-Calculation-sheet'!N47</f>
        <v>41.276605106277877</v>
      </c>
      <c r="O56" s="2">
        <f>O12/'Output-Calculation-sheet'!O11*'Output-Calculation-sheet'!O47</f>
        <v>5.850927597653178</v>
      </c>
      <c r="P56" s="2">
        <f>P12/'Output-Calculation-sheet'!P11*'Output-Calculation-sheet'!P47</f>
        <v>591.29250290995992</v>
      </c>
      <c r="Q56" s="2">
        <f>Q12/'Output-Calculation-sheet'!Q11*'Output-Calculation-sheet'!Q47</f>
        <v>526.44708406053394</v>
      </c>
      <c r="R56" s="2">
        <f>R12/'Output-Calculation-sheet'!R11*'Output-Calculation-sheet'!R47</f>
        <v>2379.2841410944748</v>
      </c>
      <c r="S56" s="2">
        <f>S12/'Output-Calculation-sheet'!S11*'Output-Calculation-sheet'!S47</f>
        <v>18.869038279547524</v>
      </c>
      <c r="T56" s="2">
        <f>T12/'Output-Calculation-sheet'!T11*'Output-Calculation-sheet'!T47</f>
        <v>838.59297730781816</v>
      </c>
      <c r="U56" s="2">
        <f>U12/'Output-Calculation-sheet'!U11*'Output-Calculation-sheet'!U47</f>
        <v>800.25927901556906</v>
      </c>
      <c r="V56" s="2">
        <f>V12/'Output-Calculation-sheet'!V11*'Output-Calculation-sheet'!V47</f>
        <v>558.61768153114076</v>
      </c>
      <c r="W56" s="2">
        <f>W12/'Output-Calculation-sheet'!W11*'Output-Calculation-sheet'!W47</f>
        <v>324.8562501940475</v>
      </c>
      <c r="X56" s="2">
        <f>X12/'Output-Calculation-sheet'!X11*'Output-Calculation-sheet'!X47</f>
        <v>5.0154318048088262</v>
      </c>
      <c r="Y56" s="2">
        <f>Y12/'Output-Calculation-sheet'!Y11*'Output-Calculation-sheet'!Y47</f>
        <v>129.89176099058909</v>
      </c>
      <c r="AA56" s="2">
        <f t="shared" si="3"/>
        <v>25.885689271089277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6.817191085481193</v>
      </c>
      <c r="C63" s="2">
        <f>C8*'Output-Calculation-sheet'!C52/10^9</f>
        <v>3.212157196553167</v>
      </c>
      <c r="D63" s="2">
        <f>D8*'Output-Calculation-sheet'!D52/10^9</f>
        <v>1.5961815527450176</v>
      </c>
      <c r="E63" s="2">
        <f>E8*'Output-Calculation-sheet'!E52/10^9</f>
        <v>1.8261020546686233</v>
      </c>
      <c r="F63" s="2">
        <f>F8*'Output-Calculation-sheet'!F52/10^9</f>
        <v>0.85358539769462383</v>
      </c>
      <c r="G63" s="2">
        <f>G8*'Output-Calculation-sheet'!G52/10^9</f>
        <v>0.65108564709995842</v>
      </c>
      <c r="H63" s="2">
        <f>H8*'Output-Calculation-sheet'!H52/10^9</f>
        <v>0.88595883123547847</v>
      </c>
      <c r="I63" s="2">
        <f>I8*'Output-Calculation-sheet'!I52/10^9</f>
        <v>0.51431439565899939</v>
      </c>
      <c r="J63" s="2">
        <f>J8*'Output-Calculation-sheet'!J52/10^9</f>
        <v>0.72706970507886792</v>
      </c>
      <c r="K63" s="2">
        <f>K8*'Output-Calculation-sheet'!K52/10^9</f>
        <v>0.47728556110083314</v>
      </c>
      <c r="L63" s="2">
        <f>L8*'Output-Calculation-sheet'!L52/10^9</f>
        <v>0.56508654741676057</v>
      </c>
      <c r="M63" s="2">
        <f>M8*'Output-Calculation-sheet'!M52/10^9</f>
        <v>0.65062058456968741</v>
      </c>
      <c r="N63" s="2">
        <f>N8*'Output-Calculation-sheet'!N52/10^9</f>
        <v>0.5626196502579377</v>
      </c>
      <c r="O63" s="2">
        <f>O8*'Output-Calculation-sheet'!O52/10^9</f>
        <v>0.57524458987422966</v>
      </c>
      <c r="P63" s="2">
        <f>P8*'Output-Calculation-sheet'!P52/10^9</f>
        <v>0.4854076382364042</v>
      </c>
      <c r="Q63" s="2">
        <f>Q8*'Output-Calculation-sheet'!Q52/10^9</f>
        <v>0.45277972764397167</v>
      </c>
      <c r="R63" s="2">
        <f>R8*'Output-Calculation-sheet'!R52/10^9</f>
        <v>0.41011270344868239</v>
      </c>
      <c r="S63" s="2">
        <f>S8*'Output-Calculation-sheet'!S52/10^9</f>
        <v>0.34796537494946594</v>
      </c>
      <c r="T63" s="2">
        <f>T8*'Output-Calculation-sheet'!T52/10^9</f>
        <v>0.16657163504559699</v>
      </c>
      <c r="U63" s="2">
        <f>U8*'Output-Calculation-sheet'!U52/10^9</f>
        <v>0.12990083715043418</v>
      </c>
      <c r="V63" s="2">
        <f>V8*'Output-Calculation-sheet'!V52/10^9</f>
        <v>0.21507703736594086</v>
      </c>
      <c r="W63" s="2">
        <f>W8*'Output-Calculation-sheet'!W52/10^9</f>
        <v>9.0256098056087003E-2</v>
      </c>
      <c r="X63" s="2">
        <f>X8*'Output-Calculation-sheet'!X52/10^9</f>
        <v>8.460029045934335E-2</v>
      </c>
      <c r="Y63" s="2">
        <f>Y8*'Output-Calculation-sheet'!Y52/10^9</f>
        <v>5.2119541524822309E-2</v>
      </c>
      <c r="AA63" s="2">
        <f t="shared" si="4"/>
        <v>22.34929368331612</v>
      </c>
    </row>
    <row r="64" spans="1:27" x14ac:dyDescent="0.25">
      <c r="A64" s="2">
        <v>2032</v>
      </c>
      <c r="B64" s="2">
        <f>B9*'Output-Calculation-sheet'!B53/10^9</f>
        <v>6.5216990043991201</v>
      </c>
      <c r="C64" s="2">
        <f>C9*'Output-Calculation-sheet'!C53/10^9</f>
        <v>3.1349930841605276</v>
      </c>
      <c r="D64" s="2">
        <f>D9*'Output-Calculation-sheet'!D53/10^9</f>
        <v>1.3705343757137176</v>
      </c>
      <c r="E64" s="2">
        <f>E9*'Output-Calculation-sheet'!E53/10^9</f>
        <v>1.6002591638737169</v>
      </c>
      <c r="F64" s="2">
        <f>F9*'Output-Calculation-sheet'!F53/10^9</f>
        <v>0.73433192724675811</v>
      </c>
      <c r="G64" s="2">
        <f>G9*'Output-Calculation-sheet'!G53/10^9</f>
        <v>0.54983738386612402</v>
      </c>
      <c r="H64" s="2">
        <f>H9*'Output-Calculation-sheet'!H53/10^9</f>
        <v>0.88632772369830337</v>
      </c>
      <c r="I64" s="2">
        <f>I9*'Output-Calculation-sheet'!I53/10^9</f>
        <v>0.4458804027896644</v>
      </c>
      <c r="J64" s="2">
        <f>J9*'Output-Calculation-sheet'!J53/10^9</f>
        <v>0.5984666040305997</v>
      </c>
      <c r="K64" s="2">
        <f>K9*'Output-Calculation-sheet'!K53/10^9</f>
        <v>0.44180224114504574</v>
      </c>
      <c r="L64" s="2">
        <f>L9*'Output-Calculation-sheet'!L53/10^9</f>
        <v>0.49599859989469591</v>
      </c>
      <c r="M64" s="2">
        <f>M9*'Output-Calculation-sheet'!M53/10^9</f>
        <v>0.64123566523941988</v>
      </c>
      <c r="N64" s="2">
        <f>N9*'Output-Calculation-sheet'!N53/10^9</f>
        <v>0.57298176612374607</v>
      </c>
      <c r="O64" s="2">
        <f>O9*'Output-Calculation-sheet'!O53/10^9</f>
        <v>0.57271668272094978</v>
      </c>
      <c r="P64" s="2">
        <f>P9*'Output-Calculation-sheet'!P53/10^9</f>
        <v>0.47142870536142722</v>
      </c>
      <c r="Q64" s="2">
        <f>Q9*'Output-Calculation-sheet'!Q53/10^9</f>
        <v>0.44716175508653094</v>
      </c>
      <c r="R64" s="2">
        <f>R9*'Output-Calculation-sheet'!R53/10^9</f>
        <v>0.38040911423659318</v>
      </c>
      <c r="S64" s="2">
        <f>S9*'Output-Calculation-sheet'!S53/10^9</f>
        <v>0.34681856752389134</v>
      </c>
      <c r="T64" s="2">
        <f>T9*'Output-Calculation-sheet'!T53/10^9</f>
        <v>0.14220414255803876</v>
      </c>
      <c r="U64" s="2">
        <f>U9*'Output-Calculation-sheet'!U53/10^9</f>
        <v>0.12115717360170986</v>
      </c>
      <c r="V64" s="2">
        <f>V9*'Output-Calculation-sheet'!V53/10^9</f>
        <v>0.17658227039736282</v>
      </c>
      <c r="W64" s="2">
        <f>W9*'Output-Calculation-sheet'!W53/10^9</f>
        <v>7.5265243275518534E-2</v>
      </c>
      <c r="X64" s="2">
        <f>X9*'Output-Calculation-sheet'!X53/10^9</f>
        <v>8.0504575551613083E-2</v>
      </c>
      <c r="Y64" s="2">
        <f>Y9*'Output-Calculation-sheet'!Y53/10^9</f>
        <v>4.7872907588034329E-2</v>
      </c>
      <c r="AA64" s="2">
        <f t="shared" si="4"/>
        <v>20.856469080083105</v>
      </c>
    </row>
    <row r="65" spans="1:27" x14ac:dyDescent="0.25">
      <c r="A65" s="2">
        <v>2033</v>
      </c>
      <c r="B65" s="2">
        <f>B10*'Output-Calculation-sheet'!B54/10^9</f>
        <v>5.8265203657633942</v>
      </c>
      <c r="C65" s="2">
        <f>C10*'Output-Calculation-sheet'!C54/10^9</f>
        <v>2.8138954550756159</v>
      </c>
      <c r="D65" s="2">
        <f>D10*'Output-Calculation-sheet'!D54/10^9</f>
        <v>1.067165191834188</v>
      </c>
      <c r="E65" s="2">
        <f>E10*'Output-Calculation-sheet'!E54/10^9</f>
        <v>1.3590489988737697</v>
      </c>
      <c r="F65" s="2">
        <f>F10*'Output-Calculation-sheet'!F54/10^9</f>
        <v>0.58399441529035023</v>
      </c>
      <c r="G65" s="2">
        <f>G10*'Output-Calculation-sheet'!G54/10^9</f>
        <v>0.41577573904203807</v>
      </c>
      <c r="H65" s="2">
        <f>H10*'Output-Calculation-sheet'!H54/10^9</f>
        <v>0.8241013469698627</v>
      </c>
      <c r="I65" s="2">
        <f>I10*'Output-Calculation-sheet'!I54/10^9</f>
        <v>0.36454853959787409</v>
      </c>
      <c r="J65" s="2">
        <f>J10*'Output-Calculation-sheet'!J54/10^9</f>
        <v>0.43131827220117247</v>
      </c>
      <c r="K65" s="2">
        <f>K10*'Output-Calculation-sheet'!K54/10^9</f>
        <v>0.40363496005600019</v>
      </c>
      <c r="L65" s="2">
        <f>L10*'Output-Calculation-sheet'!L54/10^9</f>
        <v>0.41625124826282761</v>
      </c>
      <c r="M65" s="2">
        <f>M10*'Output-Calculation-sheet'!M54/10^9</f>
        <v>0.58644690424500912</v>
      </c>
      <c r="N65" s="2">
        <f>N10*'Output-Calculation-sheet'!N54/10^9</f>
        <v>0.53797834745746098</v>
      </c>
      <c r="O65" s="2">
        <f>O10*'Output-Calculation-sheet'!O54/10^9</f>
        <v>0.52545473467468773</v>
      </c>
      <c r="P65" s="2">
        <f>P10*'Output-Calculation-sheet'!P54/10^9</f>
        <v>0.43664977322847953</v>
      </c>
      <c r="Q65" s="2">
        <f>Q10*'Output-Calculation-sheet'!Q54/10^9</f>
        <v>0.42998954239911485</v>
      </c>
      <c r="R65" s="2">
        <f>R10*'Output-Calculation-sheet'!R54/10^9</f>
        <v>0.3415840849463655</v>
      </c>
      <c r="S65" s="2">
        <f>S10*'Output-Calculation-sheet'!S54/10^9</f>
        <v>0.31881428658680061</v>
      </c>
      <c r="T65" s="2">
        <f>T10*'Output-Calculation-sheet'!T54/10^9</f>
        <v>0.11567630124681098</v>
      </c>
      <c r="U65" s="2">
        <f>U10*'Output-Calculation-sheet'!U54/10^9</f>
        <v>0.11109841056278834</v>
      </c>
      <c r="V65" s="2">
        <f>V10*'Output-Calculation-sheet'!V54/10^9</f>
        <v>0.13090260728015907</v>
      </c>
      <c r="W65" s="2">
        <f>W10*'Output-Calculation-sheet'!W54/10^9</f>
        <v>5.5944123157423281E-2</v>
      </c>
      <c r="X65" s="2">
        <f>X10*'Output-Calculation-sheet'!X54/10^9</f>
        <v>7.005709878093809E-2</v>
      </c>
      <c r="Y65" s="2">
        <f>Y10*'Output-Calculation-sheet'!Y54/10^9</f>
        <v>4.3402350692167233E-2</v>
      </c>
      <c r="AA65" s="2">
        <f t="shared" si="4"/>
        <v>18.210253098225298</v>
      </c>
    </row>
    <row r="66" spans="1:27" x14ac:dyDescent="0.25">
      <c r="A66" s="2">
        <v>2034</v>
      </c>
      <c r="B66" s="2">
        <f>B11*'Output-Calculation-sheet'!B55/10^9</f>
        <v>4.814870502140308</v>
      </c>
      <c r="C66" s="2">
        <f>C11*'Output-Calculation-sheet'!C55/10^9</f>
        <v>2.3384062030951656</v>
      </c>
      <c r="D66" s="2">
        <f>D11*'Output-Calculation-sheet'!D55/10^9</f>
        <v>0.94030836035669041</v>
      </c>
      <c r="E66" s="2">
        <f>E11*'Output-Calculation-sheet'!E55/10^9</f>
        <v>1.2178869061884132</v>
      </c>
      <c r="F66" s="2">
        <f>F11*'Output-Calculation-sheet'!F55/10^9</f>
        <v>0.47933245226490467</v>
      </c>
      <c r="G66" s="2">
        <f>G11*'Output-Calculation-sheet'!G55/10^9</f>
        <v>0.34965187489207111</v>
      </c>
      <c r="H66" s="2">
        <f>H11*'Output-Calculation-sheet'!H55/10^9</f>
        <v>0.70292962830665662</v>
      </c>
      <c r="I66" s="2">
        <f>I11*'Output-Calculation-sheet'!I55/10^9</f>
        <v>0.32504306994605425</v>
      </c>
      <c r="J66" s="2">
        <f>J11*'Output-Calculation-sheet'!J55/10^9</f>
        <v>0.32725541169102829</v>
      </c>
      <c r="K66" s="2">
        <f>K11*'Output-Calculation-sheet'!K55/10^9</f>
        <v>0.37263354555708988</v>
      </c>
      <c r="L66" s="2">
        <f>L11*'Output-Calculation-sheet'!L55/10^9</f>
        <v>0.36125591625946418</v>
      </c>
      <c r="M66" s="2">
        <f>M11*'Output-Calculation-sheet'!M55/10^9</f>
        <v>0.49284105875856288</v>
      </c>
      <c r="N66" s="2">
        <f>N11*'Output-Calculation-sheet'!N55/10^9</f>
        <v>0.46716987101988189</v>
      </c>
      <c r="O66" s="2">
        <f>O11*'Output-Calculation-sheet'!O55/10^9</f>
        <v>0.44440846480265328</v>
      </c>
      <c r="P66" s="2">
        <f>P11*'Output-Calculation-sheet'!P55/10^9</f>
        <v>0.3862777448989817</v>
      </c>
      <c r="Q66" s="2">
        <f>Q11*'Output-Calculation-sheet'!Q55/10^9</f>
        <v>0.38895281090385375</v>
      </c>
      <c r="R66" s="2">
        <f>R11*'Output-Calculation-sheet'!R55/10^9</f>
        <v>0.29662755529793838</v>
      </c>
      <c r="S66" s="2">
        <f>S11*'Output-Calculation-sheet'!S55/10^9</f>
        <v>0.27132020084776937</v>
      </c>
      <c r="T66" s="2">
        <f>T11*'Output-Calculation-sheet'!T55/10^9</f>
        <v>9.2943315448647493E-2</v>
      </c>
      <c r="U66" s="2">
        <f>U11*'Output-Calculation-sheet'!U55/10^9</f>
        <v>0.10115498380719218</v>
      </c>
      <c r="V66" s="2">
        <f>V11*'Output-Calculation-sheet'!V55/10^9</f>
        <v>8.7833794041207017E-2</v>
      </c>
      <c r="W66" s="2">
        <f>W11*'Output-Calculation-sheet'!W55/10^9</f>
        <v>4.3032734667652568E-2</v>
      </c>
      <c r="X66" s="2">
        <f>X11*'Output-Calculation-sheet'!X55/10^9</f>
        <v>5.6378630935218721E-2</v>
      </c>
      <c r="Y66" s="2">
        <f>Y11*'Output-Calculation-sheet'!Y55/10^9</f>
        <v>4.1130405279775351E-2</v>
      </c>
      <c r="AA66" s="2">
        <f t="shared" si="4"/>
        <v>15.399645441407182</v>
      </c>
    </row>
    <row r="67" spans="1:27" x14ac:dyDescent="0.25">
      <c r="A67" s="2">
        <v>2035</v>
      </c>
      <c r="B67" s="2">
        <f>B12*'Output-Calculation-sheet'!B56/10^9</f>
        <v>3.7411293468884179</v>
      </c>
      <c r="C67" s="2">
        <f>C12*'Output-Calculation-sheet'!C56/10^9</f>
        <v>1.7499843539160034</v>
      </c>
      <c r="D67" s="2">
        <f>D12*'Output-Calculation-sheet'!D56/10^9</f>
        <v>0.8585168789405565</v>
      </c>
      <c r="E67" s="2">
        <f>E12*'Output-Calculation-sheet'!E56/10^9</f>
        <v>1.1533760672307563</v>
      </c>
      <c r="F67" s="2">
        <f>F12*'Output-Calculation-sheet'!F56/10^9</f>
        <v>0.46094864987655093</v>
      </c>
      <c r="G67" s="2">
        <f>G12*'Output-Calculation-sheet'!G56/10^9</f>
        <v>0.33961125359337219</v>
      </c>
      <c r="H67" s="2">
        <f>H12*'Output-Calculation-sheet'!H56/10^9</f>
        <v>0.5509690845261096</v>
      </c>
      <c r="I67" s="2">
        <f>I12*'Output-Calculation-sheet'!I56/10^9</f>
        <v>0.31119912079081358</v>
      </c>
      <c r="J67" s="2">
        <f>J12*'Output-Calculation-sheet'!J56/10^9</f>
        <v>0.28495523132031408</v>
      </c>
      <c r="K67" s="2">
        <f>K12*'Output-Calculation-sheet'!K56/10^9</f>
        <v>0.34131407194286661</v>
      </c>
      <c r="L67" s="2">
        <f>L12*'Output-Calculation-sheet'!L56/10^9</f>
        <v>0.31810519860234088</v>
      </c>
      <c r="M67" s="2">
        <f>M12*'Output-Calculation-sheet'!M56/10^9</f>
        <v>0.38209615143200637</v>
      </c>
      <c r="N67" s="2">
        <f>N12*'Output-Calculation-sheet'!N56/10^9</f>
        <v>0.37261795547869919</v>
      </c>
      <c r="O67" s="2">
        <f>O12*'Output-Calculation-sheet'!O56/10^9</f>
        <v>0.33985324973750591</v>
      </c>
      <c r="P67" s="2">
        <f>P12*'Output-Calculation-sheet'!P56/10^9</f>
        <v>0.32993932223860506</v>
      </c>
      <c r="Q67" s="2">
        <f>Q12*'Output-Calculation-sheet'!Q56/10^9</f>
        <v>0.32687429086245218</v>
      </c>
      <c r="R67" s="2">
        <f>R12*'Output-Calculation-sheet'!R56/10^9</f>
        <v>0.26279138981479244</v>
      </c>
      <c r="S67" s="2">
        <f>S12*'Output-Calculation-sheet'!S56/10^9</f>
        <v>0.21384913842925379</v>
      </c>
      <c r="T67" s="2">
        <f>T12*'Output-Calculation-sheet'!T56/10^9</f>
        <v>8.177968922086884E-2</v>
      </c>
      <c r="U67" s="2">
        <f>U12*'Output-Calculation-sheet'!U56/10^9</f>
        <v>8.8407997307332453E-2</v>
      </c>
      <c r="V67" s="2">
        <f>V12*'Output-Calculation-sheet'!V56/10^9</f>
        <v>6.3070172700590982E-2</v>
      </c>
      <c r="W67" s="2">
        <f>W12*'Output-Calculation-sheet'!W56/10^9</f>
        <v>4.2811915014860341E-2</v>
      </c>
      <c r="X67" s="2">
        <f>X12*'Output-Calculation-sheet'!X56/10^9</f>
        <v>4.0976969973618139E-2</v>
      </c>
      <c r="Y67" s="2">
        <f>Y12*'Output-Calculation-sheet'!Y56/10^9</f>
        <v>3.8099804730100585E-2</v>
      </c>
      <c r="AA67" s="2">
        <f t="shared" si="4"/>
        <v>12.693277304568786</v>
      </c>
    </row>
    <row r="68" spans="1:27" x14ac:dyDescent="0.25">
      <c r="B68" s="2">
        <f>SUM(B60:B67)</f>
        <v>27.721410304672432</v>
      </c>
      <c r="C68" s="2">
        <f t="shared" ref="C68:Y68" si="5">SUM(C60:C67)</f>
        <v>13.24943629280048</v>
      </c>
      <c r="D68" s="2">
        <f t="shared" si="5"/>
        <v>5.83270635959017</v>
      </c>
      <c r="E68" s="2">
        <f t="shared" si="5"/>
        <v>7.1566731908352796</v>
      </c>
      <c r="F68" s="2">
        <f t="shared" si="5"/>
        <v>3.1121928423731875</v>
      </c>
      <c r="G68" s="2">
        <f t="shared" si="5"/>
        <v>2.3059618984935639</v>
      </c>
      <c r="H68" s="2">
        <f t="shared" si="5"/>
        <v>3.8502866147364108</v>
      </c>
      <c r="I68" s="2">
        <f t="shared" si="5"/>
        <v>1.9609855287834057</v>
      </c>
      <c r="J68" s="2">
        <f t="shared" si="5"/>
        <v>2.3690652243219827</v>
      </c>
      <c r="K68" s="2">
        <f t="shared" si="5"/>
        <v>2.0366703798018357</v>
      </c>
      <c r="L68" s="2">
        <f t="shared" si="5"/>
        <v>2.1566975104360893</v>
      </c>
      <c r="M68" s="2">
        <f t="shared" si="5"/>
        <v>2.7532403642446854</v>
      </c>
      <c r="N68" s="2">
        <f t="shared" si="5"/>
        <v>2.5133675903377255</v>
      </c>
      <c r="O68" s="2">
        <f t="shared" si="5"/>
        <v>2.4576777218100263</v>
      </c>
      <c r="P68" s="2">
        <f t="shared" si="5"/>
        <v>2.109703183963898</v>
      </c>
      <c r="Q68" s="2">
        <f t="shared" si="5"/>
        <v>2.0457581268959233</v>
      </c>
      <c r="R68" s="2">
        <f t="shared" si="5"/>
        <v>1.6915248477443718</v>
      </c>
      <c r="S68" s="2">
        <f t="shared" si="5"/>
        <v>1.4987675683371811</v>
      </c>
      <c r="T68" s="2">
        <f t="shared" si="5"/>
        <v>0.59917508351996307</v>
      </c>
      <c r="U68" s="2">
        <f t="shared" si="5"/>
        <v>0.55171940242945705</v>
      </c>
      <c r="V68" s="2">
        <f t="shared" si="5"/>
        <v>0.6734658817852609</v>
      </c>
      <c r="W68" s="2">
        <f t="shared" si="5"/>
        <v>0.30731011417154175</v>
      </c>
      <c r="X68" s="2">
        <f t="shared" si="5"/>
        <v>0.33251756570073138</v>
      </c>
      <c r="Y68" s="2">
        <f t="shared" si="5"/>
        <v>0.2226250098148998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45.520520744883783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4.5520520744883781E-2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371.71676471957295</v>
      </c>
      <c r="Q76" s="2">
        <f>Q10/'Output-Calculation-sheet'!Q9*'Output-Calculation-sheet'!Q63</f>
        <v>44.088919535181148</v>
      </c>
      <c r="R76" s="2">
        <f>R10/'Output-Calculation-sheet'!R9*'Output-Calculation-sheet'!R63</f>
        <v>282.43140372498647</v>
      </c>
      <c r="S76" s="2">
        <f>S10/'Output-Calculation-sheet'!S9*'Output-Calculation-sheet'!S63</f>
        <v>0</v>
      </c>
      <c r="T76" s="2">
        <f>T10/'Output-Calculation-sheet'!T9*'Output-Calculation-sheet'!T63</f>
        <v>18.587428601590101</v>
      </c>
      <c r="U76" s="2">
        <f>U10/'Output-Calculation-sheet'!U9*'Output-Calculation-sheet'!U63</f>
        <v>100.49756286167404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4.7667567463376335</v>
      </c>
      <c r="AA76" s="2">
        <f t="shared" si="6"/>
        <v>0.90012392132776231</v>
      </c>
    </row>
    <row r="77" spans="1:27" x14ac:dyDescent="0.25">
      <c r="A77" s="2">
        <v>2034</v>
      </c>
      <c r="B77" s="2">
        <f>B11/'Output-Calculation-sheet'!B10*'Output-Calculation-sheet'!B64</f>
        <v>314.26743455108078</v>
      </c>
      <c r="C77" s="2">
        <f>C11/'Output-Calculation-sheet'!C10*'Output-Calculation-sheet'!C64</f>
        <v>0</v>
      </c>
      <c r="D77" s="2">
        <f>D11/'Output-Calculation-sheet'!D10*'Output-Calculation-sheet'!D64</f>
        <v>1057.8186413602782</v>
      </c>
      <c r="E77" s="2">
        <f>E11/'Output-Calculation-sheet'!E10*'Output-Calculation-sheet'!E64</f>
        <v>1324.3873725092433</v>
      </c>
      <c r="F77" s="2">
        <f>F11/'Output-Calculation-sheet'!F10*'Output-Calculation-sheet'!F64</f>
        <v>94.645446935296761</v>
      </c>
      <c r="G77" s="2">
        <f>G11/'Output-Calculation-sheet'!G10*'Output-Calculation-sheet'!G64</f>
        <v>558.58021324638844</v>
      </c>
      <c r="H77" s="2">
        <f>H11/'Output-Calculation-sheet'!H10*'Output-Calculation-sheet'!H64</f>
        <v>86.973915625438337</v>
      </c>
      <c r="I77" s="2">
        <f>I11/'Output-Calculation-sheet'!I10*'Output-Calculation-sheet'!I64</f>
        <v>330.46356376478155</v>
      </c>
      <c r="J77" s="2">
        <f>J11/'Output-Calculation-sheet'!J10*'Output-Calculation-sheet'!J64</f>
        <v>231.38842146548762</v>
      </c>
      <c r="K77" s="2">
        <f>K11/'Output-Calculation-sheet'!K10*'Output-Calculation-sheet'!K64</f>
        <v>504.77431422762066</v>
      </c>
      <c r="L77" s="2">
        <f>L11/'Output-Calculation-sheet'!L10*'Output-Calculation-sheet'!L64</f>
        <v>209.00164510469315</v>
      </c>
      <c r="M77" s="2">
        <f>M11/'Output-Calculation-sheet'!M10*'Output-Calculation-sheet'!M64</f>
        <v>62.639951659234697</v>
      </c>
      <c r="N77" s="2">
        <f>N11/'Output-Calculation-sheet'!N10*'Output-Calculation-sheet'!N64</f>
        <v>20.716796677220593</v>
      </c>
      <c r="O77" s="2">
        <f>O11/'Output-Calculation-sheet'!O10*'Output-Calculation-sheet'!O64</f>
        <v>0</v>
      </c>
      <c r="P77" s="2">
        <f>P11/'Output-Calculation-sheet'!P10*'Output-Calculation-sheet'!P64</f>
        <v>426.57643020252908</v>
      </c>
      <c r="Q77" s="2">
        <f>Q11/'Output-Calculation-sheet'!Q10*'Output-Calculation-sheet'!Q64</f>
        <v>102.97522346215214</v>
      </c>
      <c r="R77" s="2">
        <f>R11/'Output-Calculation-sheet'!R10*'Output-Calculation-sheet'!R64</f>
        <v>530.29897278801923</v>
      </c>
      <c r="S77" s="2">
        <f>S11/'Output-Calculation-sheet'!S10*'Output-Calculation-sheet'!S64</f>
        <v>0</v>
      </c>
      <c r="T77" s="2">
        <f>T11/'Output-Calculation-sheet'!T10*'Output-Calculation-sheet'!T64</f>
        <v>147.06730477801477</v>
      </c>
      <c r="U77" s="2">
        <f>U11/'Output-Calculation-sheet'!U10*'Output-Calculation-sheet'!U64</f>
        <v>194.95819562931948</v>
      </c>
      <c r="V77" s="2">
        <f>V11/'Output-Calculation-sheet'!V10*'Output-Calculation-sheet'!V64</f>
        <v>76.152173512305993</v>
      </c>
      <c r="W77" s="2">
        <f>W11/'Output-Calculation-sheet'!W10*'Output-Calculation-sheet'!W64</f>
        <v>16.811888325802745</v>
      </c>
      <c r="X77" s="2">
        <f>X11/'Output-Calculation-sheet'!X10*'Output-Calculation-sheet'!X64</f>
        <v>6.244515733934521</v>
      </c>
      <c r="Y77" s="2">
        <f>Y11/'Output-Calculation-sheet'!Y10*'Output-Calculation-sheet'!Y64</f>
        <v>35.197350304610552</v>
      </c>
      <c r="AA77" s="2">
        <f t="shared" si="6"/>
        <v>6.3319397718634516</v>
      </c>
    </row>
    <row r="78" spans="1:27" x14ac:dyDescent="0.25">
      <c r="A78" s="2">
        <v>2035</v>
      </c>
      <c r="B78" s="2">
        <f>B12/'Output-Calculation-sheet'!B11*'Output-Calculation-sheet'!B65</f>
        <v>41.700439889902505</v>
      </c>
      <c r="C78" s="2">
        <f>C12/'Output-Calculation-sheet'!C11*'Output-Calculation-sheet'!C65</f>
        <v>30.438410165837421</v>
      </c>
      <c r="D78" s="2">
        <f>D12/'Output-Calculation-sheet'!D11*'Output-Calculation-sheet'!D65</f>
        <v>877.37034223361468</v>
      </c>
      <c r="E78" s="2">
        <f>E12/'Output-Calculation-sheet'!E11*'Output-Calculation-sheet'!E65</f>
        <v>784.28555841709169</v>
      </c>
      <c r="F78" s="2">
        <f>F12/'Output-Calculation-sheet'!F11*'Output-Calculation-sheet'!F65</f>
        <v>353.10571811362848</v>
      </c>
      <c r="G78" s="2">
        <f>G12/'Output-Calculation-sheet'!G11*'Output-Calculation-sheet'!G65</f>
        <v>679.38022116270531</v>
      </c>
      <c r="H78" s="2">
        <f>H12/'Output-Calculation-sheet'!H11*'Output-Calculation-sheet'!H65</f>
        <v>11.936407440601881</v>
      </c>
      <c r="I78" s="2">
        <f>I12/'Output-Calculation-sheet'!I11*'Output-Calculation-sheet'!I65</f>
        <v>395.03796126757538</v>
      </c>
      <c r="J78" s="2">
        <f>J12/'Output-Calculation-sheet'!J11*'Output-Calculation-sheet'!J65</f>
        <v>354.95731316167473</v>
      </c>
      <c r="K78" s="2">
        <f>K12/'Output-Calculation-sheet'!K11*'Output-Calculation-sheet'!K65</f>
        <v>447.93075376919671</v>
      </c>
      <c r="L78" s="2">
        <f>L12/'Output-Calculation-sheet'!L11*'Output-Calculation-sheet'!L65</f>
        <v>265.51060757591085</v>
      </c>
      <c r="M78" s="2">
        <f>M12/'Output-Calculation-sheet'!M11*'Output-Calculation-sheet'!M65</f>
        <v>8.1788551654089368</v>
      </c>
      <c r="N78" s="2">
        <f>N12/'Output-Calculation-sheet'!N11*'Output-Calculation-sheet'!N65</f>
        <v>7.0008257192280663</v>
      </c>
      <c r="O78" s="2">
        <f>O12/'Output-Calculation-sheet'!O11*'Output-Calculation-sheet'!O65</f>
        <v>1.3939835001408696</v>
      </c>
      <c r="P78" s="2">
        <f>P12/'Output-Calculation-sheet'!P11*'Output-Calculation-sheet'!P65</f>
        <v>117.7835358286341</v>
      </c>
      <c r="Q78" s="2">
        <f>Q12/'Output-Calculation-sheet'!Q11*'Output-Calculation-sheet'!Q65</f>
        <v>112.15199788789069</v>
      </c>
      <c r="R78" s="2">
        <f>R12/'Output-Calculation-sheet'!R11*'Output-Calculation-sheet'!R65</f>
        <v>513.78328023176573</v>
      </c>
      <c r="S78" s="2">
        <f>S12/'Output-Calculation-sheet'!S11*'Output-Calculation-sheet'!S65</f>
        <v>3.1154878759341802</v>
      </c>
      <c r="T78" s="2">
        <f>T12/'Output-Calculation-sheet'!T11*'Output-Calculation-sheet'!T65</f>
        <v>184.30620976515908</v>
      </c>
      <c r="U78" s="2">
        <f>U12/'Output-Calculation-sheet'!U11*'Output-Calculation-sheet'!U65</f>
        <v>157.1541839950485</v>
      </c>
      <c r="V78" s="2">
        <f>V12/'Output-Calculation-sheet'!V11*'Output-Calculation-sheet'!V65</f>
        <v>99.207121503953587</v>
      </c>
      <c r="W78" s="2">
        <f>W12/'Output-Calculation-sheet'!W11*'Output-Calculation-sheet'!W65</f>
        <v>71.396986638264735</v>
      </c>
      <c r="X78" s="2">
        <f>X12/'Output-Calculation-sheet'!X11*'Output-Calculation-sheet'!X65</f>
        <v>1.0442595569407771</v>
      </c>
      <c r="Y78" s="2">
        <f>Y12/'Output-Calculation-sheet'!Y11*'Output-Calculation-sheet'!Y65</f>
        <v>20.906101443005678</v>
      </c>
      <c r="AA78" s="2">
        <f t="shared" si="6"/>
        <v>5.5390765623091154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10.575815341086104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55.580424072167965</v>
      </c>
      <c r="E89" s="2">
        <f>E12/'Output-Calculation-sheet'!E11*'Output-Calculation-sheet'!E74</f>
        <v>38.871064093573828</v>
      </c>
      <c r="F89" s="2">
        <f>F12/'Output-Calculation-sheet'!F11*'Output-Calculation-sheet'!F74</f>
        <v>23.335987589293136</v>
      </c>
      <c r="G89" s="2">
        <f>G12/'Output-Calculation-sheet'!G11*'Output-Calculation-sheet'!G74</f>
        <v>20.73547280826412</v>
      </c>
      <c r="H89" s="2">
        <f>H12/'Output-Calculation-sheet'!H11*'Output-Calculation-sheet'!H74</f>
        <v>3.0903320234567979</v>
      </c>
      <c r="I89" s="2">
        <f>I12/'Output-Calculation-sheet'!I11*'Output-Calculation-sheet'!I74</f>
        <v>19.367594770842512</v>
      </c>
      <c r="J89" s="2">
        <f>J12/'Output-Calculation-sheet'!J11*'Output-Calculation-sheet'!J74</f>
        <v>11.358520435969233</v>
      </c>
      <c r="K89" s="2">
        <f>K12/'Output-Calculation-sheet'!K11*'Output-Calculation-sheet'!K74</f>
        <v>22.560311449387733</v>
      </c>
      <c r="L89" s="2">
        <f>L12/'Output-Calculation-sheet'!L11*'Output-Calculation-sheet'!L74</f>
        <v>15.135964673707933</v>
      </c>
      <c r="M89" s="2">
        <f>M12/'Output-Calculation-sheet'!M11*'Output-Calculation-sheet'!M74</f>
        <v>2.6580614772209739</v>
      </c>
      <c r="N89" s="2">
        <f>N12/'Output-Calculation-sheet'!N11*'Output-Calculation-sheet'!N74</f>
        <v>2.0899546889254621</v>
      </c>
      <c r="O89" s="2">
        <f>O12/'Output-Calculation-sheet'!O11*'Output-Calculation-sheet'!O74</f>
        <v>0.97515459960886297</v>
      </c>
      <c r="P89" s="2">
        <f>P12/'Output-Calculation-sheet'!P11*'Output-Calculation-sheet'!P74</f>
        <v>2.4134387873875913</v>
      </c>
      <c r="Q89" s="2">
        <f>Q12/'Output-Calculation-sheet'!Q11*'Output-Calculation-sheet'!Q74</f>
        <v>24.720123947190292</v>
      </c>
      <c r="R89" s="2">
        <f>R12/'Output-Calculation-sheet'!R11*'Output-Calculation-sheet'!R74</f>
        <v>11.349380562366317</v>
      </c>
      <c r="S89" s="2">
        <f>S12/'Output-Calculation-sheet'!S11*'Output-Calculation-sheet'!S74</f>
        <v>0.89852563235940597</v>
      </c>
      <c r="T89" s="2">
        <f>T12/'Output-Calculation-sheet'!T11*'Output-Calculation-sheet'!T74</f>
        <v>2.6872596909523514</v>
      </c>
      <c r="U89" s="2">
        <f>U12/'Output-Calculation-sheet'!U11*'Output-Calculation-sheet'!U74</f>
        <v>4.9660185228197387</v>
      </c>
      <c r="V89" s="2">
        <f>V12/'Output-Calculation-sheet'!V11*'Output-Calculation-sheet'!V74</f>
        <v>0.67574719540057349</v>
      </c>
      <c r="W89" s="2">
        <f>W12/'Output-Calculation-sheet'!W11*'Output-Calculation-sheet'!W74</f>
        <v>1.7554525678453483</v>
      </c>
      <c r="X89" s="2">
        <f>X12/'Output-Calculation-sheet'!X11*'Output-Calculation-sheet'!X74</f>
        <v>0.11663794894904247</v>
      </c>
      <c r="Y89" s="2">
        <f>Y12/'Output-Calculation-sheet'!Y11*'Output-Calculation-sheet'!Y74</f>
        <v>1.2381363699276255</v>
      </c>
      <c r="AA89" s="2">
        <f t="shared" si="7"/>
        <v>0.27966514261989678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11312569982.77256</v>
      </c>
      <c r="C96" s="2">
        <f>C8/'Output-Calculation-sheet'!C7*'Output-Calculation-sheet'!C79</f>
        <v>3827101238.7056441</v>
      </c>
      <c r="D96" s="2">
        <f>D8/'Output-Calculation-sheet'!D7*'Output-Calculation-sheet'!D79</f>
        <v>3995221334.0359178</v>
      </c>
      <c r="E96" s="2">
        <f>E8/'Output-Calculation-sheet'!E7*'Output-Calculation-sheet'!E79</f>
        <v>7103174374.7122917</v>
      </c>
      <c r="F96" s="2">
        <f>F8/'Output-Calculation-sheet'!F7*'Output-Calculation-sheet'!F79</f>
        <v>2939933212.1245461</v>
      </c>
      <c r="G96" s="2">
        <f>G8/'Output-Calculation-sheet'!G7*'Output-Calculation-sheet'!G79</f>
        <v>2289971226.3179507</v>
      </c>
      <c r="H96" s="2">
        <f>H8/'Output-Calculation-sheet'!H7*'Output-Calculation-sheet'!H79</f>
        <v>1960088841.8161862</v>
      </c>
      <c r="I96" s="2">
        <f>I8/'Output-Calculation-sheet'!I7*'Output-Calculation-sheet'!I79</f>
        <v>1595204459.5607016</v>
      </c>
      <c r="J96" s="2">
        <f>J8/'Output-Calculation-sheet'!J7*'Output-Calculation-sheet'!J79</f>
        <v>1078715423.6814339</v>
      </c>
      <c r="K96" s="2">
        <f>K8/'Output-Calculation-sheet'!K7*'Output-Calculation-sheet'!K79</f>
        <v>1543322268.7125251</v>
      </c>
      <c r="L96" s="2">
        <f>L8/'Output-Calculation-sheet'!L7*'Output-Calculation-sheet'!L79</f>
        <v>1088969471.8862762</v>
      </c>
      <c r="M96" s="2">
        <f>M8/'Output-Calculation-sheet'!M7*'Output-Calculation-sheet'!M79</f>
        <v>1463166696.4036922</v>
      </c>
      <c r="N96" s="2">
        <f>N8/'Output-Calculation-sheet'!N7*'Output-Calculation-sheet'!N79</f>
        <v>1088710968.7770264</v>
      </c>
      <c r="O96" s="2">
        <f>O8/'Output-Calculation-sheet'!O7*'Output-Calculation-sheet'!O79</f>
        <v>550379722.76937616</v>
      </c>
      <c r="P96" s="2">
        <f>P8/'Output-Calculation-sheet'!P7*'Output-Calculation-sheet'!P79</f>
        <v>1840916683.4146285</v>
      </c>
      <c r="Q96" s="2">
        <f>Q8/'Output-Calculation-sheet'!Q7*'Output-Calculation-sheet'!Q79</f>
        <v>857944474.23828483</v>
      </c>
      <c r="R96" s="2">
        <f>R8/'Output-Calculation-sheet'!R7*'Output-Calculation-sheet'!R79</f>
        <v>1070389541.1436729</v>
      </c>
      <c r="S96" s="2">
        <f>S8/'Output-Calculation-sheet'!S7*'Output-Calculation-sheet'!S79</f>
        <v>623697369.37066543</v>
      </c>
      <c r="T96" s="2">
        <f>T8/'Output-Calculation-sheet'!T7*'Output-Calculation-sheet'!T79</f>
        <v>476358988.41041762</v>
      </c>
      <c r="U96" s="2">
        <f>U8/'Output-Calculation-sheet'!U7*'Output-Calculation-sheet'!U79</f>
        <v>299237053.42642182</v>
      </c>
      <c r="V96" s="2">
        <f>V8/'Output-Calculation-sheet'!V7*'Output-Calculation-sheet'!V79</f>
        <v>155259090.16566676</v>
      </c>
      <c r="W96" s="2">
        <f>W8/'Output-Calculation-sheet'!W7*'Output-Calculation-sheet'!W79</f>
        <v>458781799.13032943</v>
      </c>
      <c r="X96" s="2">
        <f>X8/'Output-Calculation-sheet'!X7*'Output-Calculation-sheet'!X79</f>
        <v>161247925.58239064</v>
      </c>
      <c r="Y96" s="2">
        <f>Y8/'Output-Calculation-sheet'!Y7*'Output-Calculation-sheet'!Y79</f>
        <v>252189556.55184594</v>
      </c>
      <c r="AA96" s="2">
        <f t="shared" si="8"/>
        <v>48.032551703710446</v>
      </c>
    </row>
    <row r="97" spans="1:27" x14ac:dyDescent="0.25">
      <c r="A97" s="2">
        <v>2032</v>
      </c>
      <c r="B97" s="2">
        <f>B9/'Output-Calculation-sheet'!B8*'Output-Calculation-sheet'!B80</f>
        <v>14106512894.448671</v>
      </c>
      <c r="C97" s="2">
        <f>C9/'Output-Calculation-sheet'!C8*'Output-Calculation-sheet'!C80</f>
        <v>4804762851.8765278</v>
      </c>
      <c r="D97" s="2">
        <f>D9/'Output-Calculation-sheet'!D8*'Output-Calculation-sheet'!D80</f>
        <v>4787454432.2726994</v>
      </c>
      <c r="E97" s="2">
        <f>E9/'Output-Calculation-sheet'!E8*'Output-Calculation-sheet'!E80</f>
        <v>8755550967.4713974</v>
      </c>
      <c r="F97" s="2">
        <f>F9/'Output-Calculation-sheet'!F8*'Output-Calculation-sheet'!F80</f>
        <v>3616917528.0608697</v>
      </c>
      <c r="G97" s="2">
        <f>G9/'Output-Calculation-sheet'!G8*'Output-Calculation-sheet'!G80</f>
        <v>2737814182.3183379</v>
      </c>
      <c r="H97" s="2">
        <f>H9/'Output-Calculation-sheet'!H8*'Output-Calculation-sheet'!H80</f>
        <v>2408725754.509975</v>
      </c>
      <c r="I97" s="2">
        <f>I9/'Output-Calculation-sheet'!I8*'Output-Calculation-sheet'!I80</f>
        <v>1981394001.1295304</v>
      </c>
      <c r="J97" s="2">
        <f>J9/'Output-Calculation-sheet'!J8*'Output-Calculation-sheet'!J80</f>
        <v>1302580049.182574</v>
      </c>
      <c r="K97" s="2">
        <f>K9/'Output-Calculation-sheet'!K8*'Output-Calculation-sheet'!K80</f>
        <v>1877944949.1180716</v>
      </c>
      <c r="L97" s="2">
        <f>L9/'Output-Calculation-sheet'!L8*'Output-Calculation-sheet'!L80</f>
        <v>1366836807.4311709</v>
      </c>
      <c r="M97" s="2">
        <f>M9/'Output-Calculation-sheet'!M8*'Output-Calculation-sheet'!M80</f>
        <v>1803391417.0354114</v>
      </c>
      <c r="N97" s="2">
        <f>N9/'Output-Calculation-sheet'!N8*'Output-Calculation-sheet'!N80</f>
        <v>1317616026.8728492</v>
      </c>
      <c r="O97" s="2">
        <f>O9/'Output-Calculation-sheet'!O8*'Output-Calculation-sheet'!O80</f>
        <v>681647342.45322227</v>
      </c>
      <c r="P97" s="2">
        <f>P9/'Output-Calculation-sheet'!P8*'Output-Calculation-sheet'!P80</f>
        <v>2230236398.0548086</v>
      </c>
      <c r="Q97" s="2">
        <f>Q9/'Output-Calculation-sheet'!Q8*'Output-Calculation-sheet'!Q80</f>
        <v>1043217277.5931649</v>
      </c>
      <c r="R97" s="2">
        <f>R9/'Output-Calculation-sheet'!R8*'Output-Calculation-sheet'!R80</f>
        <v>1318104849.7167196</v>
      </c>
      <c r="S97" s="2">
        <f>S9/'Output-Calculation-sheet'!S8*'Output-Calculation-sheet'!S80</f>
        <v>765022536.96870947</v>
      </c>
      <c r="T97" s="2">
        <f>T9/'Output-Calculation-sheet'!T8*'Output-Calculation-sheet'!T80</f>
        <v>576086210.15581203</v>
      </c>
      <c r="U97" s="2">
        <f>U9/'Output-Calculation-sheet'!U8*'Output-Calculation-sheet'!U80</f>
        <v>368288335.06276494</v>
      </c>
      <c r="V97" s="2">
        <f>V9/'Output-Calculation-sheet'!V8*'Output-Calculation-sheet'!V80</f>
        <v>193107594.54997438</v>
      </c>
      <c r="W97" s="2">
        <f>W9/'Output-Calculation-sheet'!W8*'Output-Calculation-sheet'!W80</f>
        <v>559247946.06725252</v>
      </c>
      <c r="X97" s="2">
        <f>X9/'Output-Calculation-sheet'!X8*'Output-Calculation-sheet'!X80</f>
        <v>200822916.2258392</v>
      </c>
      <c r="Y97" s="2">
        <f>Y9/'Output-Calculation-sheet'!Y8*'Output-Calculation-sheet'!Y80</f>
        <v>307397426.36029321</v>
      </c>
      <c r="AA97" s="2">
        <f t="shared" si="8"/>
        <v>59.11068069493664</v>
      </c>
    </row>
    <row r="98" spans="1:27" x14ac:dyDescent="0.25">
      <c r="A98" s="2">
        <v>2033</v>
      </c>
      <c r="B98" s="2">
        <f>B10/'Output-Calculation-sheet'!B9*'Output-Calculation-sheet'!B81</f>
        <v>15504621610.832411</v>
      </c>
      <c r="C98" s="2">
        <f>C10/'Output-Calculation-sheet'!C9*'Output-Calculation-sheet'!C81</f>
        <v>5315763355.7272758</v>
      </c>
      <c r="D98" s="2">
        <f>D10/'Output-Calculation-sheet'!D9*'Output-Calculation-sheet'!D81</f>
        <v>5058963811.3082685</v>
      </c>
      <c r="E98" s="2">
        <f>E10/'Output-Calculation-sheet'!E9*'Output-Calculation-sheet'!E81</f>
        <v>9516239070.4251232</v>
      </c>
      <c r="F98" s="2">
        <f>F10/'Output-Calculation-sheet'!F9*'Output-Calculation-sheet'!F81</f>
        <v>3924727351.3881488</v>
      </c>
      <c r="G98" s="2">
        <f>G10/'Output-Calculation-sheet'!G9*'Output-Calculation-sheet'!G81</f>
        <v>2881659042.7776413</v>
      </c>
      <c r="H98" s="2">
        <f>H10/'Output-Calculation-sheet'!H9*'Output-Calculation-sheet'!H81</f>
        <v>2610811997.5319552</v>
      </c>
      <c r="I98" s="2">
        <f>I10/'Output-Calculation-sheet'!I9*'Output-Calculation-sheet'!I81</f>
        <v>2170346763.0146003</v>
      </c>
      <c r="J98" s="2">
        <f>J10/'Output-Calculation-sheet'!J9*'Output-Calculation-sheet'!J81</f>
        <v>1387770226.7030382</v>
      </c>
      <c r="K98" s="2">
        <f>K10/'Output-Calculation-sheet'!K9*'Output-Calculation-sheet'!K81</f>
        <v>2015794405.1421461</v>
      </c>
      <c r="L98" s="2">
        <f>L10/'Output-Calculation-sheet'!L9*'Output-Calculation-sheet'!L81</f>
        <v>1511879578.2313559</v>
      </c>
      <c r="M98" s="2">
        <f>M10/'Output-Calculation-sheet'!M9*'Output-Calculation-sheet'!M81</f>
        <v>1960607758.0492325</v>
      </c>
      <c r="N98" s="2">
        <f>N10/'Output-Calculation-sheet'!N9*'Output-Calculation-sheet'!N81</f>
        <v>1406580475.7675364</v>
      </c>
      <c r="O98" s="2">
        <f>O10/'Output-Calculation-sheet'!O9*'Output-Calculation-sheet'!O81</f>
        <v>744862736.07446623</v>
      </c>
      <c r="P98" s="2">
        <f>P10/'Output-Calculation-sheet'!P9*'Output-Calculation-sheet'!P81</f>
        <v>2380379876.5185905</v>
      </c>
      <c r="Q98" s="2">
        <f>Q10/'Output-Calculation-sheet'!Q9*'Output-Calculation-sheet'!Q81</f>
        <v>1119192258.7852731</v>
      </c>
      <c r="R98" s="2">
        <f>R10/'Output-Calculation-sheet'!R9*'Output-Calculation-sheet'!R81</f>
        <v>1431620200.6339264</v>
      </c>
      <c r="S98" s="2">
        <f>S10/'Output-Calculation-sheet'!S9*'Output-Calculation-sheet'!S81</f>
        <v>827728902.41422606</v>
      </c>
      <c r="T98" s="2">
        <f>T10/'Output-Calculation-sheet'!T9*'Output-Calculation-sheet'!T81</f>
        <v>614206207.79112482</v>
      </c>
      <c r="U98" s="2">
        <f>U10/'Output-Calculation-sheet'!U9*'Output-Calculation-sheet'!U81</f>
        <v>399643010.36286688</v>
      </c>
      <c r="V98" s="2">
        <f>V10/'Output-Calculation-sheet'!V9*'Output-Calculation-sheet'!V81</f>
        <v>211656871.19925341</v>
      </c>
      <c r="W98" s="2">
        <f>W10/'Output-Calculation-sheet'!W9*'Output-Calculation-sheet'!W81</f>
        <v>600124772.04279053</v>
      </c>
      <c r="X98" s="2">
        <f>X10/'Output-Calculation-sheet'!X9*'Output-Calculation-sheet'!X81</f>
        <v>220526436.51474178</v>
      </c>
      <c r="Y98" s="2">
        <f>Y10/'Output-Calculation-sheet'!Y9*'Output-Calculation-sheet'!Y81</f>
        <v>329984301.61230528</v>
      </c>
      <c r="AA98" s="2">
        <f t="shared" si="8"/>
        <v>64.14569102084829</v>
      </c>
    </row>
    <row r="99" spans="1:27" x14ac:dyDescent="0.25">
      <c r="A99" s="2">
        <v>2034</v>
      </c>
      <c r="B99" s="2">
        <f>B11/'Output-Calculation-sheet'!B10*'Output-Calculation-sheet'!B82</f>
        <v>15204150256.826126</v>
      </c>
      <c r="C99" s="2">
        <f>C11/'Output-Calculation-sheet'!C10*'Output-Calculation-sheet'!C82</f>
        <v>5246066255.5319233</v>
      </c>
      <c r="D99" s="2">
        <f>D11/'Output-Calculation-sheet'!D10*'Output-Calculation-sheet'!D82</f>
        <v>4772421005.3414011</v>
      </c>
      <c r="E99" s="2">
        <f>E11/'Output-Calculation-sheet'!E10*'Output-Calculation-sheet'!E82</f>
        <v>9231840752.8824635</v>
      </c>
      <c r="F99" s="2">
        <f>F11/'Output-Calculation-sheet'!F10*'Output-Calculation-sheet'!F82</f>
        <v>3802122265.4248319</v>
      </c>
      <c r="G99" s="2">
        <f>G11/'Output-Calculation-sheet'!G10*'Output-Calculation-sheet'!G82</f>
        <v>2703042532.9633617</v>
      </c>
      <c r="H99" s="2">
        <f>H11/'Output-Calculation-sheet'!H10*'Output-Calculation-sheet'!H82</f>
        <v>2526487915.9451427</v>
      </c>
      <c r="I99" s="2">
        <f>I11/'Output-Calculation-sheet'!I10*'Output-Calculation-sheet'!I82</f>
        <v>2122066572.2047074</v>
      </c>
      <c r="J99" s="2">
        <f>J11/'Output-Calculation-sheet'!J10*'Output-Calculation-sheet'!J82</f>
        <v>1320557297.8044753</v>
      </c>
      <c r="K99" s="2">
        <f>K11/'Output-Calculation-sheet'!K10*'Output-Calculation-sheet'!K82</f>
        <v>1932150875.0370944</v>
      </c>
      <c r="L99" s="2">
        <f>L11/'Output-Calculation-sheet'!L10*'Output-Calculation-sheet'!L82</f>
        <v>1491764568.8202453</v>
      </c>
      <c r="M99" s="2">
        <f>M11/'Output-Calculation-sheet'!M10*'Output-Calculation-sheet'!M82</f>
        <v>1903155035.0352285</v>
      </c>
      <c r="N99" s="2">
        <f>N11/'Output-Calculation-sheet'!N10*'Output-Calculation-sheet'!N82</f>
        <v>1340772027.2348521</v>
      </c>
      <c r="O99" s="2">
        <f>O11/'Output-Calculation-sheet'!O10*'Output-Calculation-sheet'!O82</f>
        <v>726898985.05764401</v>
      </c>
      <c r="P99" s="2">
        <f>P11/'Output-Calculation-sheet'!P10*'Output-Calculation-sheet'!P82</f>
        <v>2265922712.1900892</v>
      </c>
      <c r="Q99" s="2">
        <f>Q11/'Output-Calculation-sheet'!Q10*'Output-Calculation-sheet'!Q82</f>
        <v>1072374782.2204555</v>
      </c>
      <c r="R99" s="2">
        <f>R11/'Output-Calculation-sheet'!R10*'Output-Calculation-sheet'!R82</f>
        <v>1388186728.9565179</v>
      </c>
      <c r="S99" s="2">
        <f>S11/'Output-Calculation-sheet'!S10*'Output-Calculation-sheet'!S82</f>
        <v>799632427.30101669</v>
      </c>
      <c r="T99" s="2">
        <f>T11/'Output-Calculation-sheet'!T10*'Output-Calculation-sheet'!T82</f>
        <v>584435698.61968768</v>
      </c>
      <c r="U99" s="2">
        <f>U11/'Output-Calculation-sheet'!U10*'Output-Calculation-sheet'!U82</f>
        <v>387025832.01523566</v>
      </c>
      <c r="V99" s="2">
        <f>V11/'Output-Calculation-sheet'!V10*'Output-Calculation-sheet'!V82</f>
        <v>206936830.10356677</v>
      </c>
      <c r="W99" s="2">
        <f>W11/'Output-Calculation-sheet'!W10*'Output-Calculation-sheet'!W82</f>
        <v>573847752.6171025</v>
      </c>
      <c r="X99" s="2">
        <f>X11/'Output-Calculation-sheet'!X10*'Output-Calculation-sheet'!X82</f>
        <v>216125793.07786205</v>
      </c>
      <c r="Y99" s="2">
        <f>Y11/'Output-Calculation-sheet'!Y10*'Output-Calculation-sheet'!Y82</f>
        <v>315796783.05548525</v>
      </c>
      <c r="AA99" s="2">
        <f t="shared" si="8"/>
        <v>62.133781686266531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1650.5587359768172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508.0931709469736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349.61754899656506</v>
      </c>
      <c r="N107" s="2">
        <f>N8/'Output-Calculation-sheet'!N7*'Output-Calculation-sheet'!N88</f>
        <v>137.44694058392056</v>
      </c>
      <c r="O107" s="2">
        <f>O8/'Output-Calculation-sheet'!O7*'Output-Calculation-sheet'!O88</f>
        <v>384.78925028222886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38.353772270708696</v>
      </c>
      <c r="Y107" s="2">
        <f>Y8/'Output-Calculation-sheet'!Y7*'Output-Calculation-sheet'!Y88</f>
        <v>0</v>
      </c>
      <c r="AA107" s="2">
        <f t="shared" si="9"/>
        <v>3.0688594190572136</v>
      </c>
    </row>
    <row r="108" spans="1:27" x14ac:dyDescent="0.25">
      <c r="A108" s="2">
        <v>2032</v>
      </c>
      <c r="B108" s="2">
        <f>B9/'Output-Calculation-sheet'!B8*'Output-Calculation-sheet'!B89</f>
        <v>694.23102155906338</v>
      </c>
      <c r="C108" s="2">
        <f>C9/'Output-Calculation-sheet'!C8*'Output-Calculation-sheet'!C89</f>
        <v>2635.9848887095254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710.0081657470306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488.55471568998911</v>
      </c>
      <c r="N108" s="2">
        <f>N9/'Output-Calculation-sheet'!N8*'Output-Calculation-sheet'!N89</f>
        <v>342.97861013803259</v>
      </c>
      <c r="O108" s="2">
        <f>O9/'Output-Calculation-sheet'!O8*'Output-Calculation-sheet'!O89</f>
        <v>512.09863412381128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157.28574362842789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53.59546842295029</v>
      </c>
      <c r="Y108" s="2">
        <f>Y9/'Output-Calculation-sheet'!Y8*'Output-Calculation-sheet'!Y89</f>
        <v>0</v>
      </c>
      <c r="AA108" s="2">
        <f t="shared" si="9"/>
        <v>5.5947372480188298</v>
      </c>
    </row>
    <row r="109" spans="1:27" x14ac:dyDescent="0.25">
      <c r="A109" s="2">
        <v>2033</v>
      </c>
      <c r="B109" s="2">
        <f>B10/'Output-Calculation-sheet'!B9*'Output-Calculation-sheet'!B90</f>
        <v>3180.7266893964993</v>
      </c>
      <c r="C109" s="2">
        <f>C10/'Output-Calculation-sheet'!C9*'Output-Calculation-sheet'!C90</f>
        <v>3019.2930119771845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929.43203233881968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639.53969013117637</v>
      </c>
      <c r="N109" s="2">
        <f>N10/'Output-Calculation-sheet'!N9*'Output-Calculation-sheet'!N90</f>
        <v>502.85103847222734</v>
      </c>
      <c r="O109" s="2">
        <f>O10/'Output-Calculation-sheet'!O9*'Output-Calculation-sheet'!O90</f>
        <v>586.56475387081252</v>
      </c>
      <c r="P109" s="2">
        <f>P10/'Output-Calculation-sheet'!P9*'Output-Calculation-sheet'!P90</f>
        <v>0</v>
      </c>
      <c r="Q109" s="2">
        <f>Q10/'Output-Calculation-sheet'!Q9*'Output-Calculation-sheet'!Q90</f>
        <v>110.14362482022413</v>
      </c>
      <c r="R109" s="2">
        <f>R10/'Output-Calculation-sheet'!R9*'Output-Calculation-sheet'!R90</f>
        <v>0</v>
      </c>
      <c r="S109" s="2">
        <f>S10/'Output-Calculation-sheet'!S9*'Output-Calculation-sheet'!S90</f>
        <v>252.22012770900591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70.15883414253824</v>
      </c>
      <c r="Y109" s="2">
        <f>Y10/'Output-Calculation-sheet'!Y9*'Output-Calculation-sheet'!Y90</f>
        <v>0</v>
      </c>
      <c r="AA109" s="2">
        <f t="shared" si="9"/>
        <v>9.2909298028584875</v>
      </c>
    </row>
    <row r="110" spans="1:27" x14ac:dyDescent="0.25">
      <c r="A110" s="2">
        <v>2034</v>
      </c>
      <c r="B110" s="2">
        <f>B11/'Output-Calculation-sheet'!B10*'Output-Calculation-sheet'!B91</f>
        <v>4813.9371840564745</v>
      </c>
      <c r="C110" s="2">
        <f>C11/'Output-Calculation-sheet'!C10*'Output-Calculation-sheet'!C91</f>
        <v>3300.2753449889547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937.77886993447805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645.2831267072429</v>
      </c>
      <c r="N110" s="2">
        <f>N11/'Output-Calculation-sheet'!N10*'Output-Calculation-sheet'!N91</f>
        <v>581.35794273617068</v>
      </c>
      <c r="O110" s="2">
        <f>O11/'Output-Calculation-sheet'!O10*'Output-Calculation-sheet'!O91</f>
        <v>641.15181526276649</v>
      </c>
      <c r="P110" s="2">
        <f>P11/'Output-Calculation-sheet'!P10*'Output-Calculation-sheet'!P91</f>
        <v>146.47435172099804</v>
      </c>
      <c r="Q110" s="2">
        <f>Q11/'Output-Calculation-sheet'!Q10*'Output-Calculation-sheet'!Q91</f>
        <v>324.13727010307474</v>
      </c>
      <c r="R110" s="2">
        <f>R11/'Output-Calculation-sheet'!R10*'Output-Calculation-sheet'!R91</f>
        <v>0</v>
      </c>
      <c r="S110" s="2">
        <f>S11/'Output-Calculation-sheet'!S10*'Output-Calculation-sheet'!S91</f>
        <v>333.25444224040541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70.788901080316251</v>
      </c>
      <c r="Y110" s="2">
        <f>Y11/'Output-Calculation-sheet'!Y10*'Output-Calculation-sheet'!Y91</f>
        <v>11.385440601305293</v>
      </c>
      <c r="AA110" s="2">
        <f t="shared" si="9"/>
        <v>11.805824689432187</v>
      </c>
    </row>
    <row r="111" spans="1:27" x14ac:dyDescent="0.25">
      <c r="A111" s="2">
        <v>2035</v>
      </c>
      <c r="B111" s="2">
        <f>B12/'Output-Calculation-sheet'!B11*'Output-Calculation-sheet'!B92</f>
        <v>6107.5333594772246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1088.3897946200673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446.00348790922692</v>
      </c>
      <c r="Q111" s="2">
        <f>Q12/'Output-Calculation-sheet'!Q11*'Output-Calculation-sheet'!Q92</f>
        <v>317.24159065560872</v>
      </c>
      <c r="R111" s="2">
        <f>R12/'Output-Calculation-sheet'!R11*'Output-Calculation-sheet'!R92</f>
        <v>0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43.334772947466895</v>
      </c>
      <c r="AA111" s="2">
        <f t="shared" si="9"/>
        <v>13.987542254027323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1323626266.6679668</v>
      </c>
      <c r="C118" s="2">
        <f>C8/'Output-Calculation-sheet'!C7*'Output-Calculation-sheet'!C97</f>
        <v>7759246607.6681814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2387360885.7970204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1658227862.0129395</v>
      </c>
      <c r="N118" s="2">
        <f>N8/'Output-Calculation-sheet'!N7*'Output-Calculation-sheet'!N97</f>
        <v>1301236069.3734105</v>
      </c>
      <c r="O118" s="2">
        <f>O8/'Output-Calculation-sheet'!O7*'Output-Calculation-sheet'!O97</f>
        <v>865857435.0971961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470732743.14001375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178725490.55568331</v>
      </c>
      <c r="Y118" s="2">
        <f>Y8/'Output-Calculation-sheet'!Y7*'Output-Calculation-sheet'!Y97</f>
        <v>0</v>
      </c>
      <c r="AA118" s="2">
        <f t="shared" si="10"/>
        <v>15945.013360312412</v>
      </c>
    </row>
    <row r="119" spans="1:27" x14ac:dyDescent="0.25">
      <c r="A119" s="2">
        <v>2032</v>
      </c>
      <c r="B119" s="2">
        <f>B9/'Output-Calculation-sheet'!B8*'Output-Calculation-sheet'!B98</f>
        <v>5208157187.6852655</v>
      </c>
      <c r="C119" s="2">
        <f>C9/'Output-Calculation-sheet'!C8*'Output-Calculation-sheet'!C98</f>
        <v>4139548529.6313152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2474631373.3386493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1727301965.8975415</v>
      </c>
      <c r="N119" s="2">
        <f>N9/'Output-Calculation-sheet'!N8*'Output-Calculation-sheet'!N98</f>
        <v>1165863581.8235943</v>
      </c>
      <c r="O119" s="2">
        <f>O9/'Output-Calculation-sheet'!O8*'Output-Calculation-sheet'!O98</f>
        <v>808791291.0929563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484770390.4371776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184827502.79926953</v>
      </c>
      <c r="Y119" s="2">
        <f>Y9/'Output-Calculation-sheet'!Y8*'Output-Calculation-sheet'!Y98</f>
        <v>0</v>
      </c>
      <c r="AA119" s="2">
        <f t="shared" si="10"/>
        <v>16193.891822705771</v>
      </c>
    </row>
    <row r="120" spans="1:27" x14ac:dyDescent="0.25">
      <c r="A120" s="2">
        <v>2033</v>
      </c>
      <c r="B120" s="2">
        <f>B10/'Output-Calculation-sheet'!B9*'Output-Calculation-sheet'!B99</f>
        <v>4575899164.2011909</v>
      </c>
      <c r="C120" s="2">
        <f>C10/'Output-Calculation-sheet'!C9*'Output-Calculation-sheet'!C99</f>
        <v>3761673248.7183547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1233363549.2411385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872984966.16547406</v>
      </c>
      <c r="N120" s="2">
        <f>N10/'Output-Calculation-sheet'!N9*'Output-Calculation-sheet'!N99</f>
        <v>870273516.90448797</v>
      </c>
      <c r="O120" s="2">
        <f>O10/'Output-Calculation-sheet'!O9*'Output-Calculation-sheet'!O99</f>
        <v>736454596.94807088</v>
      </c>
      <c r="P120" s="2">
        <f>P10/'Output-Calculation-sheet'!P9*'Output-Calculation-sheet'!P99</f>
        <v>0</v>
      </c>
      <c r="Q120" s="2">
        <f>Q10/'Output-Calculation-sheet'!Q9*'Output-Calculation-sheet'!Q99</f>
        <v>5215985.7664905675</v>
      </c>
      <c r="R120" s="2">
        <f>R10/'Output-Calculation-sheet'!R9*'Output-Calculation-sheet'!R99</f>
        <v>0</v>
      </c>
      <c r="S120" s="2">
        <f>S10/'Output-Calculation-sheet'!S9*'Output-Calculation-sheet'!S99</f>
        <v>364464869.68209571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87171422.045339808</v>
      </c>
      <c r="Y120" s="2">
        <f>Y10/'Output-Calculation-sheet'!Y9*'Output-Calculation-sheet'!Y99</f>
        <v>0</v>
      </c>
      <c r="AA120" s="2">
        <f t="shared" si="10"/>
        <v>12507.501319672643</v>
      </c>
    </row>
    <row r="121" spans="1:27" x14ac:dyDescent="0.25">
      <c r="A121" s="2">
        <v>2034</v>
      </c>
      <c r="B121" s="2">
        <f>B11/'Output-Calculation-sheet'!B10*'Output-Calculation-sheet'!B100</f>
        <v>3613941429.5341787</v>
      </c>
      <c r="C121" s="2">
        <f>C11/'Output-Calculation-sheet'!C10*'Output-Calculation-sheet'!C100</f>
        <v>433256916.25135064</v>
      </c>
      <c r="D121" s="2">
        <f>D11/'Output-Calculation-sheet'!D10*'Output-Calculation-sheet'!D100</f>
        <v>0</v>
      </c>
      <c r="E121" s="2">
        <f>E11/'Output-Calculation-sheet'!E10*'Output-Calculation-sheet'!E100</f>
        <v>511311776.41725951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1140805965.4508986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416755782.9885574</v>
      </c>
      <c r="M121" s="2">
        <f>M11/'Output-Calculation-sheet'!M10*'Output-Calculation-sheet'!M100</f>
        <v>811907241.78688347</v>
      </c>
      <c r="N121" s="2">
        <f>N11/'Output-Calculation-sheet'!N10*'Output-Calculation-sheet'!N100</f>
        <v>541280416.54520512</v>
      </c>
      <c r="O121" s="2">
        <f>O11/'Output-Calculation-sheet'!O10*'Output-Calculation-sheet'!O100</f>
        <v>84984769.189775303</v>
      </c>
      <c r="P121" s="2">
        <f>P11/'Output-Calculation-sheet'!P10*'Output-Calculation-sheet'!P100</f>
        <v>0</v>
      </c>
      <c r="Q121" s="2">
        <f>Q11/'Output-Calculation-sheet'!Q10*'Output-Calculation-sheet'!Q100</f>
        <v>183164619.16139981</v>
      </c>
      <c r="R121" s="2">
        <f>R11/'Output-Calculation-sheet'!R10*'Output-Calculation-sheet'!R100</f>
        <v>0</v>
      </c>
      <c r="S121" s="2">
        <f>S11/'Output-Calculation-sheet'!S10*'Output-Calculation-sheet'!S100</f>
        <v>202380740.68539315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79775567.394735366</v>
      </c>
      <c r="Y121" s="2">
        <f>Y11/'Output-Calculation-sheet'!Y10*'Output-Calculation-sheet'!Y100</f>
        <v>11572745.885483259</v>
      </c>
      <c r="AA121" s="2">
        <f t="shared" si="10"/>
        <v>8031.1379712911194</v>
      </c>
    </row>
    <row r="122" spans="1:27" x14ac:dyDescent="0.25">
      <c r="A122" s="2">
        <v>2035</v>
      </c>
      <c r="B122" s="2">
        <f>B12/'Output-Calculation-sheet'!B11*'Output-Calculation-sheet'!B101</f>
        <v>723202278.93412161</v>
      </c>
      <c r="C122" s="2">
        <f>C12/'Output-Calculation-sheet'!C11*'Output-Calculation-sheet'!C101</f>
        <v>135916536.53860039</v>
      </c>
      <c r="D122" s="2">
        <f>D12/'Output-Calculation-sheet'!D11*'Output-Calculation-sheet'!D101</f>
        <v>0</v>
      </c>
      <c r="E122" s="2">
        <f>E12/'Output-Calculation-sheet'!E11*'Output-Calculation-sheet'!E101</f>
        <v>1124220081.3815937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220468690.27654138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483426062.11709028</v>
      </c>
      <c r="M122" s="2">
        <f>M12/'Output-Calculation-sheet'!M11*'Output-Calculation-sheet'!M101</f>
        <v>184857437.17235076</v>
      </c>
      <c r="N122" s="2">
        <f>N12/'Output-Calculation-sheet'!N11*'Output-Calculation-sheet'!N101</f>
        <v>128923557.38441721</v>
      </c>
      <c r="O122" s="2">
        <f>O12/'Output-Calculation-sheet'!O11*'Output-Calculation-sheet'!O101</f>
        <v>14894486.975560782</v>
      </c>
      <c r="P122" s="2">
        <f>P12/'Output-Calculation-sheet'!P11*'Output-Calculation-sheet'!P101</f>
        <v>20104254.019103423</v>
      </c>
      <c r="Q122" s="2">
        <f>Q12/'Output-Calculation-sheet'!Q11*'Output-Calculation-sheet'!Q101</f>
        <v>282381683.86734676</v>
      </c>
      <c r="R122" s="2">
        <f>R12/'Output-Calculation-sheet'!R11*'Output-Calculation-sheet'!R101</f>
        <v>0</v>
      </c>
      <c r="S122" s="2">
        <f>S12/'Output-Calculation-sheet'!S11*'Output-Calculation-sheet'!S101</f>
        <v>76592062.051871657</v>
      </c>
      <c r="T122" s="2">
        <f>T12/'Output-Calculation-sheet'!T11*'Output-Calculation-sheet'!T101</f>
        <v>0</v>
      </c>
      <c r="U122" s="2">
        <f>U12/'Output-Calculation-sheet'!U11*'Output-Calculation-sheet'!U101</f>
        <v>26465577.784905214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6700441.9343011687</v>
      </c>
      <c r="Y122" s="2">
        <f>Y12/'Output-Calculation-sheet'!Y11*'Output-Calculation-sheet'!Y101</f>
        <v>39954126.00776837</v>
      </c>
      <c r="AA122" s="2">
        <f t="shared" si="10"/>
        <v>3468.107276445573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44944095852.231445</v>
      </c>
      <c r="C129" s="2">
        <f>C8/'Output-Calculation-sheet'!C7*'Output-Calculation-sheet'!C106</f>
        <v>0</v>
      </c>
      <c r="D129" s="2">
        <f>D8/'Output-Calculation-sheet'!D7*'Output-Calculation-sheet'!D106</f>
        <v>19432915707.084209</v>
      </c>
      <c r="E129" s="2">
        <f>E8/'Output-Calculation-sheet'!E7*'Output-Calculation-sheet'!E106</f>
        <v>15418064671.547695</v>
      </c>
      <c r="F129" s="2">
        <f>F8/'Output-Calculation-sheet'!F7*'Output-Calculation-sheet'!F106</f>
        <v>9925157972.6457253</v>
      </c>
      <c r="G129" s="2">
        <f>G8/'Output-Calculation-sheet'!G7*'Output-Calculation-sheet'!G106</f>
        <v>6973704499.3342972</v>
      </c>
      <c r="H129" s="2">
        <f>H8/'Output-Calculation-sheet'!H7*'Output-Calculation-sheet'!H106</f>
        <v>0</v>
      </c>
      <c r="I129" s="2">
        <f>I8/'Output-Calculation-sheet'!I7*'Output-Calculation-sheet'!I106</f>
        <v>6353578982.1252632</v>
      </c>
      <c r="J129" s="2">
        <f>J8/'Output-Calculation-sheet'!J7*'Output-Calculation-sheet'!J106</f>
        <v>6184116610.6180649</v>
      </c>
      <c r="K129" s="2">
        <f>K8/'Output-Calculation-sheet'!K7*'Output-Calculation-sheet'!K106</f>
        <v>6124839115.4328365</v>
      </c>
      <c r="L129" s="2">
        <f>L8/'Output-Calculation-sheet'!L7*'Output-Calculation-sheet'!L106</f>
        <v>4913437205.4913778</v>
      </c>
      <c r="M129" s="2">
        <f>M8/'Output-Calculation-sheet'!M7*'Output-Calculation-sheet'!M106</f>
        <v>0</v>
      </c>
      <c r="N129" s="2">
        <f>N8/'Output-Calculation-sheet'!N7*'Output-Calculation-sheet'!N106</f>
        <v>2159290544.0607905</v>
      </c>
      <c r="O129" s="2">
        <f>O8/'Output-Calculation-sheet'!O7*'Output-Calculation-sheet'!O106</f>
        <v>0</v>
      </c>
      <c r="P129" s="2">
        <f>P8/'Output-Calculation-sheet'!P7*'Output-Calculation-sheet'!P106</f>
        <v>4193386737.4377003</v>
      </c>
      <c r="Q129" s="2">
        <f>Q8/'Output-Calculation-sheet'!Q7*'Output-Calculation-sheet'!Q106</f>
        <v>4125607149.8971605</v>
      </c>
      <c r="R129" s="2">
        <f>R8/'Output-Calculation-sheet'!R7*'Output-Calculation-sheet'!R106</f>
        <v>3969031895.3064675</v>
      </c>
      <c r="S129" s="2">
        <f>S8/'Output-Calculation-sheet'!S7*'Output-Calculation-sheet'!S106</f>
        <v>2167283203.8790751</v>
      </c>
      <c r="T129" s="2">
        <f>T8/'Output-Calculation-sheet'!T7*'Output-Calculation-sheet'!T106</f>
        <v>1458971996.9989119</v>
      </c>
      <c r="U129" s="2">
        <f>U8/'Output-Calculation-sheet'!U7*'Output-Calculation-sheet'!U106</f>
        <v>1270717008.4428146</v>
      </c>
      <c r="V129" s="2">
        <f>V8/'Output-Calculation-sheet'!V7*'Output-Calculation-sheet'!V106</f>
        <v>978473277.57932818</v>
      </c>
      <c r="W129" s="2">
        <f>W8/'Output-Calculation-sheet'!W7*'Output-Calculation-sheet'!W106</f>
        <v>847147670.17060435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141439.82010028372</v>
      </c>
    </row>
    <row r="130" spans="1:27" x14ac:dyDescent="0.25">
      <c r="A130" s="2">
        <v>2032</v>
      </c>
      <c r="B130" s="2">
        <f>B9/'Output-Calculation-sheet'!B8*'Output-Calculation-sheet'!B107</f>
        <v>47130839158.356407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0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1715255628.0780232</v>
      </c>
      <c r="O130" s="2">
        <f>O9/'Output-Calculation-sheet'!O8*'Output-Calculation-sheet'!O107</f>
        <v>0</v>
      </c>
      <c r="P130" s="2">
        <f>P9/'Output-Calculation-sheet'!P8*'Output-Calculation-sheet'!P107</f>
        <v>5231948962.3032684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1522860996.5303905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165366.19345043704</v>
      </c>
    </row>
    <row r="131" spans="1:27" x14ac:dyDescent="0.25">
      <c r="A131" s="2">
        <v>2033</v>
      </c>
      <c r="B131" s="2">
        <f>B10/'Output-Calculation-sheet'!B9*'Output-Calculation-sheet'!B108</f>
        <v>34134815284.104408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1250792162.8857908</v>
      </c>
      <c r="O131" s="2">
        <f>O10/'Output-Calculation-sheet'!O9*'Output-Calculation-sheet'!O108</f>
        <v>0</v>
      </c>
      <c r="P131" s="2">
        <f>P10/'Output-Calculation-sheet'!P9*'Output-Calculation-sheet'!P108</f>
        <v>5752742755.3303213</v>
      </c>
      <c r="Q131" s="2">
        <f>Q10/'Output-Calculation-sheet'!Q9*'Output-Calculation-sheet'!Q108</f>
        <v>4853023233.6186934</v>
      </c>
      <c r="R131" s="2">
        <f>R10/'Output-Calculation-sheet'!R9*'Output-Calculation-sheet'!R108</f>
        <v>5445021813.1736917</v>
      </c>
      <c r="S131" s="2">
        <f>S10/'Output-Calculation-sheet'!S9*'Output-Calculation-sheet'!S108</f>
        <v>1213201743.3828373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162242.17624896552</v>
      </c>
    </row>
    <row r="132" spans="1:27" x14ac:dyDescent="0.25">
      <c r="A132" s="2">
        <v>2034</v>
      </c>
      <c r="B132" s="2">
        <f>B11/'Output-Calculation-sheet'!B10*'Output-Calculation-sheet'!B109</f>
        <v>20973032258.529682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20241904152.959999</v>
      </c>
      <c r="F132" s="2">
        <f>F11/'Output-Calculation-sheet'!F10*'Output-Calculation-sheet'!F109</f>
        <v>13357467320.562012</v>
      </c>
      <c r="G132" s="2">
        <f>G11/'Output-Calculation-sheet'!G10*'Output-Calculation-sheet'!G109</f>
        <v>9385586031.4862518</v>
      </c>
      <c r="H132" s="2">
        <f>H11/'Output-Calculation-sheet'!H10*'Output-Calculation-sheet'!H109</f>
        <v>0</v>
      </c>
      <c r="I132" s="2">
        <f>I11/'Output-Calculation-sheet'!I10*'Output-Calculation-sheet'!I109</f>
        <v>8550412782.610714</v>
      </c>
      <c r="J132" s="2">
        <f>J11/'Output-Calculation-sheet'!J10*'Output-Calculation-sheet'!J109</f>
        <v>8322438617.8513784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6195609109.6915331</v>
      </c>
      <c r="M132" s="2">
        <f>M11/'Output-Calculation-sheet'!M10*'Output-Calculation-sheet'!M109</f>
        <v>0</v>
      </c>
      <c r="N132" s="2">
        <f>N11/'Output-Calculation-sheet'!N10*'Output-Calculation-sheet'!N109</f>
        <v>814730258.43137729</v>
      </c>
      <c r="O132" s="2">
        <f>O11/'Output-Calculation-sheet'!O10*'Output-Calculation-sheet'!O109</f>
        <v>0</v>
      </c>
      <c r="P132" s="2">
        <f>P11/'Output-Calculation-sheet'!P10*'Output-Calculation-sheet'!P109</f>
        <v>4629075225.8701973</v>
      </c>
      <c r="Q132" s="2">
        <f>Q11/'Output-Calculation-sheet'!Q10*'Output-Calculation-sheet'!Q109</f>
        <v>2981619676.8442688</v>
      </c>
      <c r="R132" s="2">
        <f>R11/'Output-Calculation-sheet'!R10*'Output-Calculation-sheet'!R109</f>
        <v>5341081641.0447569</v>
      </c>
      <c r="S132" s="2">
        <f>S11/'Output-Calculation-sheet'!S10*'Output-Calculation-sheet'!S109</f>
        <v>559157674.28170669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1711064673.3756804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141879.41309552625</v>
      </c>
    </row>
    <row r="133" spans="1:27" x14ac:dyDescent="0.25">
      <c r="A133" s="2">
        <v>2035</v>
      </c>
      <c r="B133" s="2">
        <f>B12/'Output-Calculation-sheet'!B11*'Output-Calculation-sheet'!B110</f>
        <v>248464662.72533765</v>
      </c>
      <c r="C133" s="2">
        <f>C12/'Output-Calculation-sheet'!C11*'Output-Calculation-sheet'!C110</f>
        <v>0</v>
      </c>
      <c r="D133" s="2">
        <f>D12/'Output-Calculation-sheet'!D11*'Output-Calculation-sheet'!D110</f>
        <v>20585028198.969749</v>
      </c>
      <c r="E133" s="2">
        <f>E12/'Output-Calculation-sheet'!E11*'Output-Calculation-sheet'!E110</f>
        <v>10010046388.645786</v>
      </c>
      <c r="F133" s="2">
        <f>F12/'Output-Calculation-sheet'!F11*'Output-Calculation-sheet'!F110</f>
        <v>11100380344.899645</v>
      </c>
      <c r="G133" s="2">
        <f>G12/'Output-Calculation-sheet'!G11*'Output-Calculation-sheet'!G110</f>
        <v>7694217787.8167448</v>
      </c>
      <c r="H133" s="2">
        <f>H12/'Output-Calculation-sheet'!H11*'Output-Calculation-sheet'!H110</f>
        <v>0</v>
      </c>
      <c r="I133" s="2">
        <f>I12/'Output-Calculation-sheet'!I11*'Output-Calculation-sheet'!I110</f>
        <v>6945472698.1927958</v>
      </c>
      <c r="J133" s="2">
        <f>J12/'Output-Calculation-sheet'!J11*'Output-Calculation-sheet'!J110</f>
        <v>6689013517.2390451</v>
      </c>
      <c r="K133" s="2">
        <f>K12/'Output-Calculation-sheet'!K11*'Output-Calculation-sheet'!K110</f>
        <v>6617326398.4487257</v>
      </c>
      <c r="L133" s="2">
        <f>L12/'Output-Calculation-sheet'!L11*'Output-Calculation-sheet'!L110</f>
        <v>4867036711.7848911</v>
      </c>
      <c r="M133" s="2">
        <f>M12/'Output-Calculation-sheet'!M11*'Output-Calculation-sheet'!M110</f>
        <v>0</v>
      </c>
      <c r="N133" s="2">
        <f>N12/'Output-Calculation-sheet'!N11*'Output-Calculation-sheet'!N110</f>
        <v>636123.48741948197</v>
      </c>
      <c r="O133" s="2">
        <f>O12/'Output-Calculation-sheet'!O11*'Output-Calculation-sheet'!O110</f>
        <v>0</v>
      </c>
      <c r="P133" s="2">
        <f>P12/'Output-Calculation-sheet'!P11*'Output-Calculation-sheet'!P110</f>
        <v>1508172861.5589876</v>
      </c>
      <c r="Q133" s="2">
        <f>Q12/'Output-Calculation-sheet'!Q11*'Output-Calculation-sheet'!Q110</f>
        <v>2003344938.1444678</v>
      </c>
      <c r="R133" s="2">
        <f>R12/'Output-Calculation-sheet'!R11*'Output-Calculation-sheet'!R110</f>
        <v>4401573516.5997171</v>
      </c>
      <c r="S133" s="2">
        <f>S12/'Output-Calculation-sheet'!S11*'Output-Calculation-sheet'!S110</f>
        <v>7287480.1609091973</v>
      </c>
      <c r="T133" s="2">
        <f>T12/'Output-Calculation-sheet'!T11*'Output-Calculation-sheet'!T110</f>
        <v>1653750530.8045716</v>
      </c>
      <c r="U133" s="2">
        <f>U12/'Output-Calculation-sheet'!U11*'Output-Calculation-sheet'!U110</f>
        <v>1341792936.5951743</v>
      </c>
      <c r="V133" s="2">
        <f>V12/'Output-Calculation-sheet'!V11*'Output-Calculation-sheet'!V110</f>
        <v>1112149126.547034</v>
      </c>
      <c r="W133" s="2">
        <f>W12/'Output-Calculation-sheet'!W11*'Output-Calculation-sheet'!W110</f>
        <v>977065394.23418927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87762.759616855183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14044471382.294748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4415228036.8950109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3034961835.5244417</v>
      </c>
      <c r="N140" s="2">
        <f>N8/'Output-Calculation-sheet'!N7*'Output-Calculation-sheet'!N115</f>
        <v>1145818387.5644429</v>
      </c>
      <c r="O140" s="2">
        <f>O8/'Output-Calculation-sheet'!O7*'Output-Calculation-sheet'!O115</f>
        <v>3370604747.4597697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329560416.7766704</v>
      </c>
      <c r="Y140" s="2">
        <f>Y8/'Output-Calculation-sheet'!Y7*'Output-Calculation-sheet'!Y115</f>
        <v>0</v>
      </c>
      <c r="AA140" s="2">
        <f t="shared" si="12"/>
        <v>26340.64480651508</v>
      </c>
    </row>
    <row r="141" spans="1:27" x14ac:dyDescent="0.25">
      <c r="A141" s="2">
        <v>2032</v>
      </c>
      <c r="B141" s="2">
        <f>B9/'Output-Calculation-sheet'!B8*'Output-Calculation-sheet'!B116</f>
        <v>5388142440.416193</v>
      </c>
      <c r="C141" s="2">
        <f>C9/'Output-Calculation-sheet'!C8*'Output-Calculation-sheet'!C116</f>
        <v>23064435577.38731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6012798336.3854094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4128280096.3044796</v>
      </c>
      <c r="N141" s="2">
        <f>N9/'Output-Calculation-sheet'!N8*'Output-Calculation-sheet'!N116</f>
        <v>2866108327.8734984</v>
      </c>
      <c r="O141" s="2">
        <f>O9/'Output-Calculation-sheet'!O8*'Output-Calculation-sheet'!O116</f>
        <v>4476942501.2480764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1283758579.4752464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449348782.39829469</v>
      </c>
      <c r="Y141" s="2">
        <f>Y9/'Output-Calculation-sheet'!Y8*'Output-Calculation-sheet'!Y116</f>
        <v>0</v>
      </c>
      <c r="AA141" s="2">
        <f t="shared" si="12"/>
        <v>47669.814641488505</v>
      </c>
    </row>
    <row r="142" spans="1:27" x14ac:dyDescent="0.25">
      <c r="A142" s="2">
        <v>2033</v>
      </c>
      <c r="B142" s="2">
        <f>B10/'Output-Calculation-sheet'!B9*'Output-Calculation-sheet'!B117</f>
        <v>24765881550.139961</v>
      </c>
      <c r="C142" s="2">
        <f>C10/'Output-Calculation-sheet'!C9*'Output-Calculation-sheet'!C117</f>
        <v>26151747584.991592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8099389392.2115622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5565795982.1259155</v>
      </c>
      <c r="N142" s="2">
        <f>N10/'Output-Calculation-sheet'!N9*'Output-Calculation-sheet'!N117</f>
        <v>4198568623.1064172</v>
      </c>
      <c r="O142" s="2">
        <f>O10/'Output-Calculation-sheet'!O9*'Output-Calculation-sheet'!O117</f>
        <v>5075722308.2151175</v>
      </c>
      <c r="P142" s="2">
        <f>P10/'Output-Calculation-sheet'!P9*'Output-Calculation-sheet'!P117</f>
        <v>0</v>
      </c>
      <c r="Q142" s="2">
        <f>Q10/'Output-Calculation-sheet'!Q9*'Output-Calculation-sheet'!Q117</f>
        <v>801811973.42911124</v>
      </c>
      <c r="R142" s="2">
        <f>R10/'Output-Calculation-sheet'!R9*'Output-Calculation-sheet'!R117</f>
        <v>0</v>
      </c>
      <c r="S142" s="2">
        <f>S10/'Output-Calculation-sheet'!S9*'Output-Calculation-sheet'!S117</f>
        <v>2041536161.2799122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610167006.9999423</v>
      </c>
      <c r="Y142" s="2">
        <f>Y10/'Output-Calculation-sheet'!Y9*'Output-Calculation-sheet'!Y117</f>
        <v>0</v>
      </c>
      <c r="AA142" s="2">
        <f t="shared" si="12"/>
        <v>77310.620582499527</v>
      </c>
    </row>
    <row r="143" spans="1:27" x14ac:dyDescent="0.25">
      <c r="A143" s="2">
        <v>2034</v>
      </c>
      <c r="B143" s="2">
        <f>B11/'Output-Calculation-sheet'!B10*'Output-Calculation-sheet'!B118</f>
        <v>37680318771.411263</v>
      </c>
      <c r="C143" s="2">
        <f>C11/'Output-Calculation-sheet'!C10*'Output-Calculation-sheet'!C118</f>
        <v>28910412022.103241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8014110045.2793016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5504179871.0925894</v>
      </c>
      <c r="N143" s="2">
        <f>N11/'Output-Calculation-sheet'!N10*'Output-Calculation-sheet'!N118</f>
        <v>4843236738.3479023</v>
      </c>
      <c r="O143" s="2">
        <f>O11/'Output-Calculation-sheet'!O10*'Output-Calculation-sheet'!O118</f>
        <v>5616489901.7018347</v>
      </c>
      <c r="P143" s="2">
        <f>P11/'Output-Calculation-sheet'!P10*'Output-Calculation-sheet'!P118</f>
        <v>1014040668.788264</v>
      </c>
      <c r="Q143" s="2">
        <f>Q11/'Output-Calculation-sheet'!Q10*'Output-Calculation-sheet'!Q118</f>
        <v>2387407504.8106542</v>
      </c>
      <c r="R143" s="2">
        <f>R11/'Output-Calculation-sheet'!R10*'Output-Calculation-sheet'!R118</f>
        <v>0</v>
      </c>
      <c r="S143" s="2">
        <f>S11/'Output-Calculation-sheet'!S10*'Output-Calculation-sheet'!S118</f>
        <v>2788730616.7628331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604275204.35826588</v>
      </c>
      <c r="Y143" s="2">
        <f>Y11/'Output-Calculation-sheet'!Y10*'Output-Calculation-sheet'!Y118</f>
        <v>70812132.263267145</v>
      </c>
      <c r="AA143" s="2">
        <f t="shared" si="12"/>
        <v>97434.013476919397</v>
      </c>
    </row>
    <row r="144" spans="1:27" x14ac:dyDescent="0.25">
      <c r="A144" s="2">
        <v>2035</v>
      </c>
      <c r="B144" s="2">
        <f>B12/'Output-Calculation-sheet'!B11*'Output-Calculation-sheet'!B119</f>
        <v>53007044071.057663</v>
      </c>
      <c r="C144" s="2">
        <f>C12/'Output-Calculation-sheet'!C11*'Output-Calculation-sheet'!C119</f>
        <v>25364923510.969318</v>
      </c>
      <c r="D144" s="2">
        <f>D12/'Output-Calculation-sheet'!D11*'Output-Calculation-sheet'!D119</f>
        <v>0</v>
      </c>
      <c r="E144" s="2">
        <f>E12/'Output-Calculation-sheet'!E11*'Output-Calculation-sheet'!E119</f>
        <v>6682561388.4439373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7706296069.9217243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5279994051.2312641</v>
      </c>
      <c r="N144" s="2">
        <f>N12/'Output-Calculation-sheet'!N11*'Output-Calculation-sheet'!N119</f>
        <v>5227969405.4798203</v>
      </c>
      <c r="O144" s="2">
        <f>O12/'Output-Calculation-sheet'!O11*'Output-Calculation-sheet'!O119</f>
        <v>4931795629.7918444</v>
      </c>
      <c r="P144" s="2">
        <f>P12/'Output-Calculation-sheet'!P11*'Output-Calculation-sheet'!P119</f>
        <v>3353448095.3116693</v>
      </c>
      <c r="Q144" s="2">
        <f>Q12/'Output-Calculation-sheet'!Q11*'Output-Calculation-sheet'!Q119</f>
        <v>2298209781.0470653</v>
      </c>
      <c r="R144" s="2">
        <f>R12/'Output-Calculation-sheet'!R11*'Output-Calculation-sheet'!R119</f>
        <v>0</v>
      </c>
      <c r="S144" s="2">
        <f>S12/'Output-Calculation-sheet'!S11*'Output-Calculation-sheet'!S119</f>
        <v>2986502724.3577228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587522844.54866934</v>
      </c>
      <c r="Y144" s="2">
        <f>Y12/'Output-Calculation-sheet'!Y11*'Output-Calculation-sheet'!Y119</f>
        <v>280353975.91008162</v>
      </c>
      <c r="AA144" s="2">
        <f t="shared" si="12"/>
        <v>117706.62154807079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46267723022.177223</v>
      </c>
      <c r="C151" s="2">
        <f>C8/'Output-Calculation-sheet'!C7*'Output-Calculation-sheet'!C124</f>
        <v>21803717989.962929</v>
      </c>
      <c r="D151" s="2">
        <f>D8/'Output-Calculation-sheet'!D7*'Output-Calculation-sheet'!D124</f>
        <v>19432915707.084209</v>
      </c>
      <c r="E151" s="2">
        <f>E8/'Output-Calculation-sheet'!E7*'Output-Calculation-sheet'!E124</f>
        <v>15418064671.547695</v>
      </c>
      <c r="F151" s="2">
        <f>F8/'Output-Calculation-sheet'!F7*'Output-Calculation-sheet'!F124</f>
        <v>9925157972.6457253</v>
      </c>
      <c r="G151" s="2">
        <f>G8/'Output-Calculation-sheet'!G7*'Output-Calculation-sheet'!G124</f>
        <v>6973704499.3342972</v>
      </c>
      <c r="H151" s="2">
        <f>H8/'Output-Calculation-sheet'!H7*'Output-Calculation-sheet'!H124</f>
        <v>6802588922.6920319</v>
      </c>
      <c r="I151" s="2">
        <f>I8/'Output-Calculation-sheet'!I7*'Output-Calculation-sheet'!I124</f>
        <v>6353578982.1252632</v>
      </c>
      <c r="J151" s="2">
        <f>J8/'Output-Calculation-sheet'!J7*'Output-Calculation-sheet'!J124</f>
        <v>6184116610.6180649</v>
      </c>
      <c r="K151" s="2">
        <f>K8/'Output-Calculation-sheet'!K7*'Output-Calculation-sheet'!K124</f>
        <v>6124839115.4328365</v>
      </c>
      <c r="L151" s="2">
        <f>L8/'Output-Calculation-sheet'!L7*'Output-Calculation-sheet'!L124</f>
        <v>4913437205.4913778</v>
      </c>
      <c r="M151" s="2">
        <f>M8/'Output-Calculation-sheet'!M7*'Output-Calculation-sheet'!M124</f>
        <v>4693189697.5373812</v>
      </c>
      <c r="N151" s="2">
        <f>N8/'Output-Calculation-sheet'!N7*'Output-Calculation-sheet'!N124</f>
        <v>4606344108.486043</v>
      </c>
      <c r="O151" s="2">
        <f>O8/'Output-Calculation-sheet'!O7*'Output-Calculation-sheet'!O124</f>
        <v>4236462182.5569658</v>
      </c>
      <c r="P151" s="2">
        <f>P8/'Output-Calculation-sheet'!P7*'Output-Calculation-sheet'!P124</f>
        <v>4193386737.4377003</v>
      </c>
      <c r="Q151" s="2">
        <f>Q8/'Output-Calculation-sheet'!Q7*'Output-Calculation-sheet'!Q124</f>
        <v>4125607149.8971605</v>
      </c>
      <c r="R151" s="2">
        <f>R8/'Output-Calculation-sheet'!R7*'Output-Calculation-sheet'!R124</f>
        <v>3969031895.3064675</v>
      </c>
      <c r="S151" s="2">
        <f>S8/'Output-Calculation-sheet'!S7*'Output-Calculation-sheet'!S124</f>
        <v>2638015691.2095718</v>
      </c>
      <c r="T151" s="2">
        <f>T8/'Output-Calculation-sheet'!T7*'Output-Calculation-sheet'!T124</f>
        <v>1458971996.9989119</v>
      </c>
      <c r="U151" s="2">
        <f>U8/'Output-Calculation-sheet'!U7*'Output-Calculation-sheet'!U124</f>
        <v>1270717008.4428146</v>
      </c>
      <c r="V151" s="2">
        <f>V8/'Output-Calculation-sheet'!V7*'Output-Calculation-sheet'!V124</f>
        <v>978473277.57932818</v>
      </c>
      <c r="W151" s="2">
        <f>W8/'Output-Calculation-sheet'!W7*'Output-Calculation-sheet'!W124</f>
        <v>847147670.17060435</v>
      </c>
      <c r="X151" s="2">
        <f>X8/'Output-Calculation-sheet'!X7*'Output-Calculation-sheet'!X124</f>
        <v>508285907.33235371</v>
      </c>
      <c r="Y151" s="2">
        <f>Y8/'Output-Calculation-sheet'!Y7*'Output-Calculation-sheet'!Y124</f>
        <v>494303259.35879576</v>
      </c>
      <c r="AA151" s="2">
        <f t="shared" si="13"/>
        <v>184219.78128142573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16322390720.96295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3171440142.3919873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137908.00327110913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1937392149.3665812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84246.238800300562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1307856453.4116514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793183745.08120978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507181391.4206863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244306268.17690516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35417.847465508748</v>
      </c>
    </row>
    <row r="155" spans="1:27" x14ac:dyDescent="0.25">
      <c r="A155" s="2">
        <v>2035</v>
      </c>
      <c r="B155" s="2">
        <f>B12/'Output-Calculation-sheet'!B11*'Output-Calculation-sheet'!B128</f>
        <v>276519921.26678735</v>
      </c>
      <c r="C155" s="2">
        <f>C12/'Output-Calculation-sheet'!C11*'Output-Calculation-sheet'!C128</f>
        <v>35538123.847934499</v>
      </c>
      <c r="D155" s="2">
        <f>D12/'Output-Calculation-sheet'!D11*'Output-Calculation-sheet'!D128</f>
        <v>2771204372.7668886</v>
      </c>
      <c r="E155" s="2">
        <f>E12/'Output-Calculation-sheet'!E11*'Output-Calculation-sheet'!E128</f>
        <v>516181051.47775984</v>
      </c>
      <c r="F155" s="2">
        <f>F12/'Output-Calculation-sheet'!F11*'Output-Calculation-sheet'!F128</f>
        <v>799066886.57756031</v>
      </c>
      <c r="G155" s="2">
        <f>G12/'Output-Calculation-sheet'!G11*'Output-Calculation-sheet'!G128</f>
        <v>713725740.55594754</v>
      </c>
      <c r="H155" s="2">
        <f>H12/'Output-Calculation-sheet'!H11*'Output-Calculation-sheet'!H128</f>
        <v>57206240.879907168</v>
      </c>
      <c r="I155" s="2">
        <f>I12/'Output-Calculation-sheet'!I11*'Output-Calculation-sheet'!I128</f>
        <v>711715136.21514928</v>
      </c>
      <c r="J155" s="2">
        <f>J12/'Output-Calculation-sheet'!J11*'Output-Calculation-sheet'!J128</f>
        <v>681469341.61404634</v>
      </c>
      <c r="K155" s="2">
        <f>K12/'Output-Calculation-sheet'!K11*'Output-Calculation-sheet'!K128</f>
        <v>773845473.08384538</v>
      </c>
      <c r="L155" s="2">
        <f>L12/'Output-Calculation-sheet'!L11*'Output-Calculation-sheet'!L128</f>
        <v>559605092.02422023</v>
      </c>
      <c r="M155" s="2">
        <f>M12/'Output-Calculation-sheet'!M11*'Output-Calculation-sheet'!M128</f>
        <v>47710699.053320371</v>
      </c>
      <c r="N155" s="2">
        <f>N12/'Output-Calculation-sheet'!N11*'Output-Calculation-sheet'!N128</f>
        <v>48287979.871798292</v>
      </c>
      <c r="O155" s="2">
        <f>O12/'Output-Calculation-sheet'!O11*'Output-Calculation-sheet'!O128</f>
        <v>15991404.254249806</v>
      </c>
      <c r="P155" s="2">
        <f>P12/'Output-Calculation-sheet'!P11*'Output-Calculation-sheet'!P128</f>
        <v>53975979.25461451</v>
      </c>
      <c r="Q155" s="2">
        <f>Q12/'Output-Calculation-sheet'!Q11*'Output-Calculation-sheet'!Q128</f>
        <v>321692723.6403442</v>
      </c>
      <c r="R155" s="2">
        <f>R12/'Output-Calculation-sheet'!R11*'Output-Calculation-sheet'!R128</f>
        <v>359698778.20697743</v>
      </c>
      <c r="S155" s="2">
        <f>S12/'Output-Calculation-sheet'!S11*'Output-Calculation-sheet'!S128</f>
        <v>25216546.815762017</v>
      </c>
      <c r="T155" s="2">
        <f>T12/'Output-Calculation-sheet'!T11*'Output-Calculation-sheet'!T128</f>
        <v>84593070.784769431</v>
      </c>
      <c r="U155" s="2">
        <f>U12/'Output-Calculation-sheet'!U11*'Output-Calculation-sheet'!U128</f>
        <v>166481681.31521884</v>
      </c>
      <c r="V155" s="2">
        <f>V12/'Output-Calculation-sheet'!V11*'Output-Calculation-sheet'!V128</f>
        <v>41542707.607482433</v>
      </c>
      <c r="W155" s="2">
        <f>W12/'Output-Calculation-sheet'!W11*'Output-Calculation-sheet'!W128</f>
        <v>38554848.707359135</v>
      </c>
      <c r="X155" s="2">
        <f>X12/'Output-Calculation-sheet'!X11*'Output-Calculation-sheet'!X128</f>
        <v>1467117.6106811464</v>
      </c>
      <c r="Y155" s="2">
        <f>Y12/'Output-Calculation-sheet'!Y11*'Output-Calculation-sheet'!Y128</f>
        <v>11408436.139787128</v>
      </c>
      <c r="AA155" s="2">
        <f t="shared" si="13"/>
        <v>9112.6993535724105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1047.1308223950675</v>
      </c>
      <c r="C19" s="2">
        <f>C8/'Output-Calculation-sheet'!C7*'Output-Calculation-sheet'!C25</f>
        <v>4926.7153346950017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1492.3613172169728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1036.653421947849</v>
      </c>
      <c r="N19" s="2">
        <f>N8/'Output-Calculation-sheet'!N7*'Output-Calculation-sheet'!N25</f>
        <v>862.37314486957757</v>
      </c>
      <c r="O19" s="2">
        <f>O8/'Output-Calculation-sheet'!O7*'Output-Calculation-sheet'!O25</f>
        <v>541.23236333081888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398.82285602454783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112.19473707112374</v>
      </c>
      <c r="Y19" s="2">
        <f>Y8/'Output-Calculation-sheet'!Y7*'Output-Calculation-sheet'!Y25</f>
        <v>0</v>
      </c>
      <c r="AA19" s="2">
        <f t="shared" si="0"/>
        <v>10.417483997550958</v>
      </c>
    </row>
    <row r="20" spans="1:27" x14ac:dyDescent="0.25">
      <c r="A20" s="2">
        <v>2032</v>
      </c>
      <c r="B20" s="2">
        <f>B9/'Output-Calculation-sheet'!B8*'Output-Calculation-sheet'!B26</f>
        <v>4915.974563220635</v>
      </c>
      <c r="C20" s="2">
        <f>C9/'Output-Calculation-sheet'!C8*'Output-Calculation-sheet'!C26</f>
        <v>2695.8004336336899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1618.3023112954061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1130.8808237338246</v>
      </c>
      <c r="N20" s="2">
        <f>N9/'Output-Calculation-sheet'!N8*'Output-Calculation-sheet'!N26</f>
        <v>783.73122718057266</v>
      </c>
      <c r="O20" s="2">
        <f>O9/'Output-Calculation-sheet'!O8*'Output-Calculation-sheet'!O26</f>
        <v>526.70944587096324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371.76542434297306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123.0563500580601</v>
      </c>
      <c r="Y20" s="2">
        <f>Y9/'Output-Calculation-sheet'!Y8*'Output-Calculation-sheet'!Y26</f>
        <v>0</v>
      </c>
      <c r="AA20" s="2">
        <f t="shared" si="0"/>
        <v>12.166220579336127</v>
      </c>
    </row>
    <row r="21" spans="1:27" x14ac:dyDescent="0.25">
      <c r="A21" s="2">
        <v>2033</v>
      </c>
      <c r="B21" s="2">
        <f>B10/'Output-Calculation-sheet'!B9*'Output-Calculation-sheet'!B27</f>
        <v>4232.1959676654797</v>
      </c>
      <c r="C21" s="2">
        <f>C10/'Output-Calculation-sheet'!C9*'Output-Calculation-sheet'!C27</f>
        <v>2601.2867491415304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852.90155567467173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603.69075696930315</v>
      </c>
      <c r="N21" s="2">
        <f>N10/'Output-Calculation-sheet'!N9*'Output-Calculation-sheet'!N27</f>
        <v>611.35599470129307</v>
      </c>
      <c r="O21" s="2">
        <f>O10/'Output-Calculation-sheet'!O9*'Output-Calculation-sheet'!O27</f>
        <v>509.27617577722555</v>
      </c>
      <c r="P21" s="2">
        <f>P10/'Output-Calculation-sheet'!P9*'Output-Calculation-sheet'!P27</f>
        <v>0</v>
      </c>
      <c r="Q21" s="2">
        <f>Q10/'Output-Calculation-sheet'!Q9*'Output-Calculation-sheet'!Q27</f>
        <v>6.9906685464663285</v>
      </c>
      <c r="R21" s="2">
        <f>R10/'Output-Calculation-sheet'!R9*'Output-Calculation-sheet'!R27</f>
        <v>0</v>
      </c>
      <c r="S21" s="2">
        <f>S10/'Output-Calculation-sheet'!S9*'Output-Calculation-sheet'!S27</f>
        <v>291.10508960292339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60.281116580707739</v>
      </c>
      <c r="Y21" s="2">
        <f>Y10/'Output-Calculation-sheet'!Y9*'Output-Calculation-sheet'!Y27</f>
        <v>0</v>
      </c>
      <c r="AA21" s="2">
        <f t="shared" si="0"/>
        <v>9.7690840746596006</v>
      </c>
    </row>
    <row r="22" spans="1:27" x14ac:dyDescent="0.25">
      <c r="A22" s="2">
        <v>2034</v>
      </c>
      <c r="B22" s="2">
        <f>B11/'Output-Calculation-sheet'!B10*'Output-Calculation-sheet'!B28</f>
        <v>3230.2021163983463</v>
      </c>
      <c r="C22" s="2">
        <f>C11/'Output-Calculation-sheet'!C10*'Output-Calculation-sheet'!C28</f>
        <v>325.41659976228243</v>
      </c>
      <c r="D22" s="2">
        <f>D11/'Output-Calculation-sheet'!D10*'Output-Calculation-sheet'!D28</f>
        <v>0</v>
      </c>
      <c r="E22" s="2">
        <f>E11/'Output-Calculation-sheet'!E10*'Output-Calculation-sheet'!E28</f>
        <v>1101.4069524396307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856.84740248164633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655.36036557877219</v>
      </c>
      <c r="M22" s="2">
        <f>M11/'Output-Calculation-sheet'!M10*'Output-Calculation-sheet'!M28</f>
        <v>609.81503031592024</v>
      </c>
      <c r="N22" s="2">
        <f>N11/'Output-Calculation-sheet'!N10*'Output-Calculation-sheet'!N28</f>
        <v>407.66482687176995</v>
      </c>
      <c r="O22" s="2">
        <f>O11/'Output-Calculation-sheet'!O10*'Output-Calculation-sheet'!O28</f>
        <v>63.831223385136354</v>
      </c>
      <c r="P22" s="2">
        <f>P11/'Output-Calculation-sheet'!P10*'Output-Calculation-sheet'!P28</f>
        <v>0</v>
      </c>
      <c r="Q22" s="2">
        <f>Q11/'Output-Calculation-sheet'!Q10*'Output-Calculation-sheet'!Q28</f>
        <v>208.97206226627932</v>
      </c>
      <c r="R22" s="2">
        <f>R11/'Output-Calculation-sheet'!R10*'Output-Calculation-sheet'!R28</f>
        <v>0</v>
      </c>
      <c r="S22" s="2">
        <f>S11/'Output-Calculation-sheet'!S10*'Output-Calculation-sheet'!S28</f>
        <v>152.64264440041566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59.918572600005398</v>
      </c>
      <c r="Y22" s="2">
        <f>Y11/'Output-Calculation-sheet'!Y10*'Output-Calculation-sheet'!Y28</f>
        <v>24.424502581042024</v>
      </c>
      <c r="AA22" s="2">
        <f t="shared" si="0"/>
        <v>7.6965022990812457</v>
      </c>
    </row>
    <row r="23" spans="1:27" x14ac:dyDescent="0.25">
      <c r="A23" s="2">
        <v>2035</v>
      </c>
      <c r="B23" s="2">
        <f>B12/'Output-Calculation-sheet'!B11*'Output-Calculation-sheet'!B29</f>
        <v>610.6784829186339</v>
      </c>
      <c r="C23" s="2">
        <f>C12/'Output-Calculation-sheet'!C11*'Output-Calculation-sheet'!C29</f>
        <v>114.76836406620157</v>
      </c>
      <c r="D23" s="2">
        <f>D12/'Output-Calculation-sheet'!D11*'Output-Calculation-sheet'!D29</f>
        <v>0</v>
      </c>
      <c r="E23" s="2">
        <f>E12/'Output-Calculation-sheet'!E11*'Output-Calculation-sheet'!E29</f>
        <v>1546.2383152114901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186.16567482686949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779.46268563480885</v>
      </c>
      <c r="M23" s="2">
        <f>M12/'Output-Calculation-sheet'!M11*'Output-Calculation-sheet'!M29</f>
        <v>156.09563839674166</v>
      </c>
      <c r="N23" s="2">
        <f>N12/'Output-Calculation-sheet'!N11*'Output-Calculation-sheet'!N29</f>
        <v>108.86410651528972</v>
      </c>
      <c r="O23" s="2">
        <f>O12/'Output-Calculation-sheet'!O11*'Output-Calculation-sheet'!O29</f>
        <v>12.577162032259324</v>
      </c>
      <c r="P23" s="2">
        <f>P12/'Output-Calculation-sheet'!P11*'Output-Calculation-sheet'!P29</f>
        <v>21.663872116929785</v>
      </c>
      <c r="Q23" s="2">
        <f>Q12/'Output-Calculation-sheet'!Q11*'Output-Calculation-sheet'!Q29</f>
        <v>303.75319020643821</v>
      </c>
      <c r="R23" s="2">
        <f>R12/'Output-Calculation-sheet'!R11*'Output-Calculation-sheet'!R29</f>
        <v>0</v>
      </c>
      <c r="S23" s="2">
        <f>S12/'Output-Calculation-sheet'!S11*'Output-Calculation-sheet'!S29</f>
        <v>64.67507016843004</v>
      </c>
      <c r="T23" s="2">
        <f>T12/'Output-Calculation-sheet'!T11*'Output-Calculation-sheet'!T29</f>
        <v>0</v>
      </c>
      <c r="U23" s="2">
        <f>U12/'Output-Calculation-sheet'!U11*'Output-Calculation-sheet'!U29</f>
        <v>70.512176075935287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5.6579138352731411</v>
      </c>
      <c r="Y23" s="2">
        <f>Y12/'Output-Calculation-sheet'!Y11*'Output-Calculation-sheet'!Y29</f>
        <v>47.917208377835642</v>
      </c>
      <c r="AA23" s="2">
        <f t="shared" si="0"/>
        <v>4.0290298603831376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18252.537172091292</v>
      </c>
      <c r="C30" s="2">
        <f>C8/'Output-Calculation-sheet'!C7*'Output-Calculation-sheet'!C16</f>
        <v>0</v>
      </c>
      <c r="D30" s="2">
        <f>D8/'Output-Calculation-sheet'!D7*'Output-Calculation-sheet'!D16</f>
        <v>3073.4630556136631</v>
      </c>
      <c r="E30" s="2">
        <f>E8/'Output-Calculation-sheet'!E7*'Output-Calculation-sheet'!E16</f>
        <v>3306.8768527477569</v>
      </c>
      <c r="F30" s="2">
        <f>F8/'Output-Calculation-sheet'!F7*'Output-Calculation-sheet'!F16</f>
        <v>1668.3642319076816</v>
      </c>
      <c r="G30" s="2">
        <f>G8/'Output-Calculation-sheet'!G7*'Output-Calculation-sheet'!G16</f>
        <v>1092.5658872204217</v>
      </c>
      <c r="H30" s="2">
        <f>H8/'Output-Calculation-sheet'!H7*'Output-Calculation-sheet'!H16</f>
        <v>0</v>
      </c>
      <c r="I30" s="2">
        <f>I8/'Output-Calculation-sheet'!I7*'Output-Calculation-sheet'!I16</f>
        <v>1065.1011625580174</v>
      </c>
      <c r="J30" s="2">
        <f>J8/'Output-Calculation-sheet'!J7*'Output-Calculation-sheet'!J16</f>
        <v>948.1317825508736</v>
      </c>
      <c r="K30" s="2">
        <f>K8/'Output-Calculation-sheet'!K7*'Output-Calculation-sheet'!K16</f>
        <v>1265.9382521245877</v>
      </c>
      <c r="L30" s="2">
        <f>L8/'Output-Calculation-sheet'!L7*'Output-Calculation-sheet'!L16</f>
        <v>1069.3070149828529</v>
      </c>
      <c r="M30" s="2">
        <f>M8/'Output-Calculation-sheet'!M7*'Output-Calculation-sheet'!M16</f>
        <v>0</v>
      </c>
      <c r="N30" s="2">
        <f>N8/'Output-Calculation-sheet'!N7*'Output-Calculation-sheet'!N16</f>
        <v>983.08714332732188</v>
      </c>
      <c r="O30" s="2">
        <f>O8/'Output-Calculation-sheet'!O7*'Output-Calculation-sheet'!O16</f>
        <v>0</v>
      </c>
      <c r="P30" s="2">
        <f>P8/'Output-Calculation-sheet'!P7*'Output-Calculation-sheet'!P16</f>
        <v>1365.1087468883052</v>
      </c>
      <c r="Q30" s="2">
        <f>Q8/'Output-Calculation-sheet'!Q7*'Output-Calculation-sheet'!Q16</f>
        <v>1501.1757573126024</v>
      </c>
      <c r="R30" s="2">
        <f>R8/'Output-Calculation-sheet'!R7*'Output-Calculation-sheet'!R16</f>
        <v>952.50138227737534</v>
      </c>
      <c r="S30" s="2">
        <f>S8/'Output-Calculation-sheet'!S7*'Output-Calculation-sheet'!S16</f>
        <v>957.93849564154266</v>
      </c>
      <c r="T30" s="2">
        <f>T8/'Output-Calculation-sheet'!T7*'Output-Calculation-sheet'!T16</f>
        <v>285.9254457392388</v>
      </c>
      <c r="U30" s="2">
        <f>U8/'Output-Calculation-sheet'!U7*'Output-Calculation-sheet'!U16</f>
        <v>285.41566604828199</v>
      </c>
      <c r="V30" s="2">
        <f>V8/'Output-Calculation-sheet'!V7*'Output-Calculation-sheet'!V16</f>
        <v>222.13262288420447</v>
      </c>
      <c r="W30" s="2">
        <f>W8/'Output-Calculation-sheet'!W7*'Output-Calculation-sheet'!W16</f>
        <v>134.73630405175521</v>
      </c>
      <c r="X30" s="2">
        <f>X8/'Output-Calculation-sheet'!X7*'Output-Calculation-sheet'!X16</f>
        <v>0</v>
      </c>
      <c r="Y30" s="2">
        <f>Y8/'Output-Calculation-sheet'!Y7*'Output-Calculation-sheet'!Y16</f>
        <v>114.03692714887327</v>
      </c>
      <c r="AA30" s="2">
        <f t="shared" si="1"/>
        <v>38.544343903116648</v>
      </c>
    </row>
    <row r="31" spans="1:27" x14ac:dyDescent="0.25">
      <c r="A31" s="2">
        <v>2032</v>
      </c>
      <c r="B31" s="2">
        <f>B9/'Output-Calculation-sheet'!B8*'Output-Calculation-sheet'!B17</f>
        <v>20668.792705502947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808.17157801902727</v>
      </c>
      <c r="O31" s="2">
        <f>O9/'Output-Calculation-sheet'!O8*'Output-Calculation-sheet'!O17</f>
        <v>0</v>
      </c>
      <c r="P31" s="2">
        <f>P9/'Output-Calculation-sheet'!P8*'Output-Calculation-sheet'!P17</f>
        <v>2019.8915385438245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668.89757359159137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47.35465459166209</v>
      </c>
    </row>
    <row r="32" spans="1:27" x14ac:dyDescent="0.25">
      <c r="A32" s="2">
        <v>2033</v>
      </c>
      <c r="B32" s="2">
        <f>B10/'Output-Calculation-sheet'!B9*'Output-Calculation-sheet'!B18</f>
        <v>15308.971740956929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2396.7179998521342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619.63356157618239</v>
      </c>
      <c r="O32" s="2">
        <f>O10/'Output-Calculation-sheet'!O9*'Output-Calculation-sheet'!O18</f>
        <v>0</v>
      </c>
      <c r="P32" s="2">
        <f>P10/'Output-Calculation-sheet'!P9*'Output-Calculation-sheet'!P18</f>
        <v>2466.7479220262476</v>
      </c>
      <c r="Q32" s="2">
        <f>Q10/'Output-Calculation-sheet'!Q9*'Output-Calculation-sheet'!Q18</f>
        <v>2284.1276582908536</v>
      </c>
      <c r="R32" s="2">
        <f>R10/'Output-Calculation-sheet'!R9*'Output-Calculation-sheet'!R18</f>
        <v>1771.3375564173048</v>
      </c>
      <c r="S32" s="2">
        <f>S10/'Output-Calculation-sheet'!S9*'Output-Calculation-sheet'!S18</f>
        <v>563.6833889752246</v>
      </c>
      <c r="T32" s="2">
        <f>T10/'Output-Calculation-sheet'!T9*'Output-Calculation-sheet'!T18</f>
        <v>517.18301026357346</v>
      </c>
      <c r="U32" s="2">
        <f>U10/'Output-Calculation-sheet'!U9*'Output-Calculation-sheet'!U18</f>
        <v>571.72873306562497</v>
      </c>
      <c r="V32" s="2">
        <f>V10/'Output-Calculation-sheet'!V9*'Output-Calculation-sheet'!V18</f>
        <v>421.97626930986115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244.3465059022341</v>
      </c>
      <c r="AA32" s="2">
        <f t="shared" si="1"/>
        <v>48.668597640544149</v>
      </c>
    </row>
    <row r="33" spans="1:27" x14ac:dyDescent="0.25">
      <c r="A33" s="2">
        <v>2034</v>
      </c>
      <c r="B33" s="2">
        <f>B11/'Output-Calculation-sheet'!B10*'Output-Calculation-sheet'!B19</f>
        <v>9749.1944103585774</v>
      </c>
      <c r="C33" s="2">
        <f>C11/'Output-Calculation-sheet'!C10*'Output-Calculation-sheet'!C19</f>
        <v>0</v>
      </c>
      <c r="D33" s="2">
        <f>D11/'Output-Calculation-sheet'!D10*'Output-Calculation-sheet'!D19</f>
        <v>6485.5565961458078</v>
      </c>
      <c r="E33" s="2">
        <f>E11/'Output-Calculation-sheet'!E10*'Output-Calculation-sheet'!E19</f>
        <v>8025.1491387452515</v>
      </c>
      <c r="F33" s="2">
        <f>F11/'Output-Calculation-sheet'!F10*'Output-Calculation-sheet'!F19</f>
        <v>3681.0288259698896</v>
      </c>
      <c r="G33" s="2">
        <f>G11/'Output-Calculation-sheet'!G10*'Output-Calculation-sheet'!G19</f>
        <v>2207.5152866266185</v>
      </c>
      <c r="H33" s="2">
        <f>H11/'Output-Calculation-sheet'!H10*'Output-Calculation-sheet'!H19</f>
        <v>0</v>
      </c>
      <c r="I33" s="2">
        <f>I11/'Output-Calculation-sheet'!I10*'Output-Calculation-sheet'!I19</f>
        <v>2408.9787736577032</v>
      </c>
      <c r="J33" s="2">
        <f>J11/'Output-Calculation-sheet'!J10*'Output-Calculation-sheet'!J19</f>
        <v>2036.8906594697207</v>
      </c>
      <c r="K33" s="2">
        <f>K11/'Output-Calculation-sheet'!K10*'Output-Calculation-sheet'!K19</f>
        <v>2825.2394896735291</v>
      </c>
      <c r="L33" s="2">
        <f>L11/'Output-Calculation-sheet'!L10*'Output-Calculation-sheet'!L19</f>
        <v>2297.961187423889</v>
      </c>
      <c r="M33" s="2">
        <f>M11/'Output-Calculation-sheet'!M10*'Output-Calculation-sheet'!M19</f>
        <v>0</v>
      </c>
      <c r="N33" s="2">
        <f>N11/'Output-Calculation-sheet'!N10*'Output-Calculation-sheet'!N19</f>
        <v>436.21098507254032</v>
      </c>
      <c r="O33" s="2">
        <f>O11/'Output-Calculation-sheet'!O10*'Output-Calculation-sheet'!O19</f>
        <v>0</v>
      </c>
      <c r="P33" s="2">
        <f>P11/'Output-Calculation-sheet'!P10*'Output-Calculation-sheet'!P19</f>
        <v>2159.3154509532824</v>
      </c>
      <c r="Q33" s="2">
        <f>Q11/'Output-Calculation-sheet'!Q10*'Output-Calculation-sheet'!Q19</f>
        <v>1376.4798311917605</v>
      </c>
      <c r="R33" s="2">
        <f>R11/'Output-Calculation-sheet'!R10*'Output-Calculation-sheet'!R19</f>
        <v>2040.9661797281963</v>
      </c>
      <c r="S33" s="2">
        <f>S11/'Output-Calculation-sheet'!S10*'Output-Calculation-sheet'!S19</f>
        <v>277.29891122350131</v>
      </c>
      <c r="T33" s="2">
        <f>T11/'Output-Calculation-sheet'!T10*'Output-Calculation-sheet'!T19</f>
        <v>598.81514668668967</v>
      </c>
      <c r="U33" s="2">
        <f>U11/'Output-Calculation-sheet'!U10*'Output-Calculation-sheet'!U19</f>
        <v>688.76490224659165</v>
      </c>
      <c r="V33" s="2">
        <f>V11/'Output-Calculation-sheet'!V10*'Output-Calculation-sheet'!V19</f>
        <v>469.71100308843108</v>
      </c>
      <c r="W33" s="2">
        <f>W11/'Output-Calculation-sheet'!W10*'Output-Calculation-sheet'!W19</f>
        <v>292.42071972857246</v>
      </c>
      <c r="X33" s="2">
        <f>X11/'Output-Calculation-sheet'!X10*'Output-Calculation-sheet'!X19</f>
        <v>0</v>
      </c>
      <c r="Y33" s="2">
        <f>Y11/'Output-Calculation-sheet'!Y10*'Output-Calculation-sheet'!Y19</f>
        <v>239.4439825993561</v>
      </c>
      <c r="AA33" s="2">
        <f t="shared" si="1"/>
        <v>48.296941480589908</v>
      </c>
    </row>
    <row r="34" spans="1:27" x14ac:dyDescent="0.25">
      <c r="A34" s="2">
        <v>2035</v>
      </c>
      <c r="B34" s="2">
        <f>B12/'Output-Calculation-sheet'!B11*'Output-Calculation-sheet'!B20</f>
        <v>124.82012544814425</v>
      </c>
      <c r="C34" s="2">
        <f>C12/'Output-Calculation-sheet'!C11*'Output-Calculation-sheet'!C20</f>
        <v>0</v>
      </c>
      <c r="D34" s="2">
        <f>D12/'Output-Calculation-sheet'!D11*'Output-Calculation-sheet'!D20</f>
        <v>5559.4438509343536</v>
      </c>
      <c r="E34" s="2">
        <f>E12/'Output-Calculation-sheet'!E11*'Output-Calculation-sheet'!E20</f>
        <v>3281.3672932177087</v>
      </c>
      <c r="F34" s="2">
        <f>F12/'Output-Calculation-sheet'!F11*'Output-Calculation-sheet'!F20</f>
        <v>3797.0343056439788</v>
      </c>
      <c r="G34" s="2">
        <f>G12/'Output-Calculation-sheet'!G11*'Output-Calculation-sheet'!G20</f>
        <v>2047.6443320325354</v>
      </c>
      <c r="H34" s="2">
        <f>H12/'Output-Calculation-sheet'!H11*'Output-Calculation-sheet'!H20</f>
        <v>0</v>
      </c>
      <c r="I34" s="2">
        <f>I12/'Output-Calculation-sheet'!I11*'Output-Calculation-sheet'!I20</f>
        <v>2229.2599861831236</v>
      </c>
      <c r="J34" s="2">
        <f>J12/'Output-Calculation-sheet'!J11*'Output-Calculation-sheet'!J20</f>
        <v>1910.5998398349664</v>
      </c>
      <c r="K34" s="2">
        <f>K12/'Output-Calculation-sheet'!K11*'Output-Calculation-sheet'!K20</f>
        <v>2512.0088364886701</v>
      </c>
      <c r="L34" s="2">
        <f>L12/'Output-Calculation-sheet'!L11*'Output-Calculation-sheet'!L20</f>
        <v>1984.6435780542474</v>
      </c>
      <c r="M34" s="2">
        <f>M12/'Output-Calculation-sheet'!M11*'Output-Calculation-sheet'!M20</f>
        <v>0</v>
      </c>
      <c r="N34" s="2">
        <f>N12/'Output-Calculation-sheet'!N11*'Output-Calculation-sheet'!N20</f>
        <v>0.38292210024780027</v>
      </c>
      <c r="O34" s="2">
        <f>O12/'Output-Calculation-sheet'!O11*'Output-Calculation-sheet'!O20</f>
        <v>0</v>
      </c>
      <c r="P34" s="2">
        <f>P12/'Output-Calculation-sheet'!P11*'Output-Calculation-sheet'!P20</f>
        <v>625.26430841647107</v>
      </c>
      <c r="Q34" s="2">
        <f>Q12/'Output-Calculation-sheet'!Q11*'Output-Calculation-sheet'!Q20</f>
        <v>973.5540048055941</v>
      </c>
      <c r="R34" s="2">
        <f>R12/'Output-Calculation-sheet'!R11*'Output-Calculation-sheet'!R20</f>
        <v>1972.6006988685451</v>
      </c>
      <c r="S34" s="2">
        <f>S12/'Output-Calculation-sheet'!S11*'Output-Calculation-sheet'!S20</f>
        <v>4.0630921415764423</v>
      </c>
      <c r="T34" s="2">
        <f>T12/'Output-Calculation-sheet'!T11*'Output-Calculation-sheet'!T20</f>
        <v>616.42956604470476</v>
      </c>
      <c r="U34" s="2">
        <f>U12/'Output-Calculation-sheet'!U11*'Output-Calculation-sheet'!U20</f>
        <v>563.56620448293347</v>
      </c>
      <c r="V34" s="2">
        <f>V12/'Output-Calculation-sheet'!V11*'Output-Calculation-sheet'!V20</f>
        <v>516.29994080467725</v>
      </c>
      <c r="W34" s="2">
        <f>W12/'Output-Calculation-sheet'!W11*'Output-Calculation-sheet'!W20</f>
        <v>333.5744946023334</v>
      </c>
      <c r="X34" s="2">
        <f>X12/'Output-Calculation-sheet'!X11*'Output-Calculation-sheet'!X20</f>
        <v>0</v>
      </c>
      <c r="Y34" s="2">
        <f>Y12/'Output-Calculation-sheet'!Y11*'Output-Calculation-sheet'!Y20</f>
        <v>83.048307276104666</v>
      </c>
      <c r="AA34" s="2">
        <f t="shared" si="1"/>
        <v>29.135605687380917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8.2888648576271012E-2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8.3087597010671588E-2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1.2110340281811353E-2</v>
      </c>
      <c r="I45" s="2">
        <f>I12/'Output-Calculation-sheet'!I11*'Output-Calculation-sheet'!I38*0.0114</f>
        <v>4.4976236538089909E-2</v>
      </c>
      <c r="J45" s="2">
        <f>J12/'Output-Calculation-sheet'!J11*'Output-Calculation-sheet'!J38*0.0114</f>
        <v>3.3383681720943727E-2</v>
      </c>
      <c r="K45" s="2">
        <f>K12/'Output-Calculation-sheet'!K11*'Output-Calculation-sheet'!K38*0.0114</f>
        <v>5.5255601671992484E-2</v>
      </c>
      <c r="L45" s="2">
        <f>L12/'Output-Calculation-sheet'!L11*'Output-Calculation-sheet'!L38*0.0114</f>
        <v>3.5149368594892753E-2</v>
      </c>
      <c r="M45" s="2">
        <f>M12/'Output-Calculation-sheet'!M11*'Output-Calculation-sheet'!M38*0.0114</f>
        <v>8.333092686426069E-3</v>
      </c>
      <c r="N45" s="2">
        <f>N12/'Output-Calculation-sheet'!N11*'Output-Calculation-sheet'!N38*0.0114</f>
        <v>8.1900786919792169E-3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7.566194115774626E-3</v>
      </c>
      <c r="Q45" s="2">
        <f>Q12/'Output-Calculation-sheet'!Q11*'Output-Calculation-sheet'!Q38*0.0114</f>
        <v>5.7406103083773162E-2</v>
      </c>
      <c r="R45" s="2">
        <f>R12/'Output-Calculation-sheet'!R11*'Output-Calculation-sheet'!R38*0.0114</f>
        <v>2.8464485406440008E-2</v>
      </c>
      <c r="S45" s="2">
        <f>S12/'Output-Calculation-sheet'!S11*'Output-Calculation-sheet'!S38*0.0114</f>
        <v>4.6948358416755969E-3</v>
      </c>
      <c r="T45" s="2">
        <f>T12/'Output-Calculation-sheet'!T11*'Output-Calculation-sheet'!T38*0.0114</f>
        <v>7.8980904889854008E-3</v>
      </c>
      <c r="U45" s="2">
        <f>U12/'Output-Calculation-sheet'!U11*'Output-Calculation-sheet'!U38*0.0114</f>
        <v>1.1447499092356867E-2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2.6465387081031685E-3</v>
      </c>
      <c r="AA45" s="2">
        <f t="shared" si="2"/>
        <v>0.77940588834902791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0.13178335864701038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1791.805399225414</v>
      </c>
      <c r="Q54" s="2">
        <f>Q10/'Output-Calculation-sheet'!Q9*'Output-Calculation-sheet'!Q45</f>
        <v>157.04842932729656</v>
      </c>
      <c r="R54" s="2">
        <f>R10/'Output-Calculation-sheet'!R9*'Output-Calculation-sheet'!R45</f>
        <v>1175.6608653555343</v>
      </c>
      <c r="S54" s="2">
        <f>S10/'Output-Calculation-sheet'!S9*'Output-Calculation-sheet'!S45</f>
        <v>0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14.653778323182371</v>
      </c>
      <c r="AA54" s="2">
        <f t="shared" si="3"/>
        <v>3.8685396376242265</v>
      </c>
    </row>
    <row r="55" spans="1:27" x14ac:dyDescent="0.25">
      <c r="A55" s="2">
        <v>2034</v>
      </c>
      <c r="B55" s="2">
        <f>B11/'Output-Calculation-sheet'!B10*'Output-Calculation-sheet'!B46</f>
        <v>1274.3922816894885</v>
      </c>
      <c r="C55" s="2">
        <f>C11/'Output-Calculation-sheet'!C10*'Output-Calculation-sheet'!C46</f>
        <v>0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434.45140415098655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2676.6207725902841</v>
      </c>
      <c r="L55" s="2">
        <f>L11/'Output-Calculation-sheet'!L10*'Output-Calculation-sheet'!L46</f>
        <v>989.85605406525735</v>
      </c>
      <c r="M55" s="2">
        <f>M11/'Output-Calculation-sheet'!M10*'Output-Calculation-sheet'!M46</f>
        <v>322.00630625873919</v>
      </c>
      <c r="N55" s="2">
        <f>N11/'Output-Calculation-sheet'!N10*'Output-Calculation-sheet'!N46</f>
        <v>109.97049622999342</v>
      </c>
      <c r="O55" s="2">
        <f>O11/'Output-Calculation-sheet'!O10*'Output-Calculation-sheet'!O46</f>
        <v>0</v>
      </c>
      <c r="P55" s="2">
        <f>P11/'Output-Calculation-sheet'!P10*'Output-Calculation-sheet'!P46</f>
        <v>2391.7107917396215</v>
      </c>
      <c r="Q55" s="2">
        <f>Q11/'Output-Calculation-sheet'!Q10*'Output-Calculation-sheet'!Q46</f>
        <v>512.64611696987095</v>
      </c>
      <c r="R55" s="2">
        <f>R11/'Output-Calculation-sheet'!R10*'Output-Calculation-sheet'!R46</f>
        <v>2964.9727753736779</v>
      </c>
      <c r="S55" s="2">
        <f>S11/'Output-Calculation-sheet'!S10*'Output-Calculation-sheet'!S46</f>
        <v>0</v>
      </c>
      <c r="T55" s="2">
        <f>T11/'Output-Calculation-sheet'!T10*'Output-Calculation-sheet'!T46</f>
        <v>671.37944543801223</v>
      </c>
      <c r="U55" s="2">
        <f>U11/'Output-Calculation-sheet'!U10*'Output-Calculation-sheet'!U46</f>
        <v>1125.7116132017757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30.733479514917345</v>
      </c>
      <c r="Y55" s="2">
        <f>Y11/'Output-Calculation-sheet'!Y10*'Output-Calculation-sheet'!Y46</f>
        <v>213.75746103200962</v>
      </c>
      <c r="AA55" s="2">
        <f t="shared" si="3"/>
        <v>31.998518274273856</v>
      </c>
    </row>
    <row r="56" spans="1:27" x14ac:dyDescent="0.25">
      <c r="A56" s="2">
        <v>2035</v>
      </c>
      <c r="B56" s="2">
        <f>B12/'Output-Calculation-sheet'!B11*'Output-Calculation-sheet'!B47</f>
        <v>298.10829751115011</v>
      </c>
      <c r="C56" s="2">
        <f>C12/'Output-Calculation-sheet'!C11*'Output-Calculation-sheet'!C47</f>
        <v>234.66484519053756</v>
      </c>
      <c r="D56" s="2">
        <f>D12/'Output-Calculation-sheet'!D11*'Output-Calculation-sheet'!D47</f>
        <v>5423.0275024029379</v>
      </c>
      <c r="E56" s="2">
        <f>E12/'Output-Calculation-sheet'!E11*'Output-Calculation-sheet'!E47</f>
        <v>6605.7069085384801</v>
      </c>
      <c r="F56" s="2">
        <f>F12/'Output-Calculation-sheet'!F11*'Output-Calculation-sheet'!F47</f>
        <v>1722.0158736484113</v>
      </c>
      <c r="G56" s="2">
        <f>G12/'Output-Calculation-sheet'!G11*'Output-Calculation-sheet'!G47</f>
        <v>4250.4088482867564</v>
      </c>
      <c r="H56" s="2">
        <f>H12/'Output-Calculation-sheet'!H11*'Output-Calculation-sheet'!H47</f>
        <v>88.171775735994927</v>
      </c>
      <c r="I56" s="2">
        <f>I12/'Output-Calculation-sheet'!I11*'Output-Calculation-sheet'!I47</f>
        <v>2122.5627418852955</v>
      </c>
      <c r="J56" s="2">
        <f>J12/'Output-Calculation-sheet'!J11*'Output-Calculation-sheet'!J47</f>
        <v>1937.620123276997</v>
      </c>
      <c r="K56" s="2">
        <f>K12/'Output-Calculation-sheet'!K11*'Output-Calculation-sheet'!K47</f>
        <v>2761.810687079063</v>
      </c>
      <c r="L56" s="2">
        <f>L12/'Output-Calculation-sheet'!L11*'Output-Calculation-sheet'!L47</f>
        <v>1534.7015980796375</v>
      </c>
      <c r="M56" s="2">
        <f>M12/'Output-Calculation-sheet'!M11*'Output-Calculation-sheet'!M47</f>
        <v>61.401735584192089</v>
      </c>
      <c r="N56" s="2">
        <f>N12/'Output-Calculation-sheet'!N11*'Output-Calculation-sheet'!N47</f>
        <v>56.755808479505099</v>
      </c>
      <c r="O56" s="2">
        <f>O12/'Output-Calculation-sheet'!O11*'Output-Calculation-sheet'!O47</f>
        <v>8.045092984387626</v>
      </c>
      <c r="P56" s="2">
        <f>P12/'Output-Calculation-sheet'!P11*'Output-Calculation-sheet'!P47</f>
        <v>813.03401682665935</v>
      </c>
      <c r="Q56" s="2">
        <f>Q12/'Output-Calculation-sheet'!Q11*'Output-Calculation-sheet'!Q47</f>
        <v>723.87081739406949</v>
      </c>
      <c r="R56" s="2">
        <f>R12/'Output-Calculation-sheet'!R11*'Output-Calculation-sheet'!R47</f>
        <v>3271.5431582270189</v>
      </c>
      <c r="S56" s="2">
        <f>S12/'Output-Calculation-sheet'!S11*'Output-Calculation-sheet'!S47</f>
        <v>25.945145440838825</v>
      </c>
      <c r="T56" s="2">
        <f>T12/'Output-Calculation-sheet'!T11*'Output-Calculation-sheet'!T47</f>
        <v>1153.0750237281902</v>
      </c>
      <c r="U56" s="2">
        <f>U12/'Output-Calculation-sheet'!U11*'Output-Calculation-sheet'!U47</f>
        <v>1100.3657460881275</v>
      </c>
      <c r="V56" s="2">
        <f>V12/'Output-Calculation-sheet'!V11*'Output-Calculation-sheet'!V47</f>
        <v>768.10576026332478</v>
      </c>
      <c r="W56" s="2">
        <f>W12/'Output-Calculation-sheet'!W11*'Output-Calculation-sheet'!W47</f>
        <v>446.68109385234658</v>
      </c>
      <c r="X56" s="2">
        <f>X12/'Output-Calculation-sheet'!X11*'Output-Calculation-sheet'!X47</f>
        <v>6.8962766250476939</v>
      </c>
      <c r="Y56" s="2">
        <f>Y12/'Output-Calculation-sheet'!Y11*'Output-Calculation-sheet'!Y47</f>
        <v>178.60267071058809</v>
      </c>
      <c r="AA56" s="2">
        <f t="shared" si="3"/>
        <v>35.593121547839552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6.9389804451185242</v>
      </c>
      <c r="C63" s="2">
        <f>C8*'Output-Calculation-sheet'!C52/10^9</f>
        <v>3.2695424983757633</v>
      </c>
      <c r="D63" s="2">
        <f>D8*'Output-Calculation-sheet'!D52/10^9</f>
        <v>1.6246973925881687</v>
      </c>
      <c r="E63" s="2">
        <f>E8*'Output-Calculation-sheet'!E52/10^9</f>
        <v>1.8587254324032094</v>
      </c>
      <c r="F63" s="2">
        <f>F8*'Output-Calculation-sheet'!F52/10^9</f>
        <v>0.86883473098710073</v>
      </c>
      <c r="G63" s="2">
        <f>G8*'Output-Calculation-sheet'!G52/10^9</f>
        <v>0.66271731519244303</v>
      </c>
      <c r="H63" s="2">
        <f>H8*'Output-Calculation-sheet'!H52/10^9</f>
        <v>0.90178651706212443</v>
      </c>
      <c r="I63" s="2">
        <f>I8*'Output-Calculation-sheet'!I52/10^9</f>
        <v>0.5235026405114831</v>
      </c>
      <c r="J63" s="2">
        <f>J8*'Output-Calculation-sheet'!J52/10^9</f>
        <v>0.74005883105215109</v>
      </c>
      <c r="K63" s="2">
        <f>K8*'Output-Calculation-sheet'!K52/10^9</f>
        <v>0.48581228451546832</v>
      </c>
      <c r="L63" s="2">
        <f>L8*'Output-Calculation-sheet'!L52/10^9</f>
        <v>0.57518183855450333</v>
      </c>
      <c r="M63" s="2">
        <f>M8*'Output-Calculation-sheet'!M52/10^9</f>
        <v>0.66224394430363487</v>
      </c>
      <c r="N63" s="2">
        <f>N8*'Output-Calculation-sheet'!N52/10^9</f>
        <v>0.57267087019076679</v>
      </c>
      <c r="O63" s="2">
        <f>O8*'Output-Calculation-sheet'!O52/10^9</f>
        <v>0.58552135479942402</v>
      </c>
      <c r="P63" s="2">
        <f>P8*'Output-Calculation-sheet'!P52/10^9</f>
        <v>0.49407946284607168</v>
      </c>
      <c r="Q63" s="2">
        <f>Q8*'Output-Calculation-sheet'!Q52/10^9</f>
        <v>0.46086865347795131</v>
      </c>
      <c r="R63" s="2">
        <f>R8*'Output-Calculation-sheet'!R52/10^9</f>
        <v>0.41743938138771269</v>
      </c>
      <c r="S63" s="2">
        <f>S8*'Output-Calculation-sheet'!S52/10^9</f>
        <v>0.35418178866879296</v>
      </c>
      <c r="T63" s="2">
        <f>T8*'Output-Calculation-sheet'!T52/10^9</f>
        <v>0.16954744319173384</v>
      </c>
      <c r="U63" s="2">
        <f>U8*'Output-Calculation-sheet'!U52/10^9</f>
        <v>0.13222152019635877</v>
      </c>
      <c r="V63" s="2">
        <f>V8*'Output-Calculation-sheet'!V52/10^9</f>
        <v>0.21891939623853851</v>
      </c>
      <c r="W63" s="2">
        <f>W8*'Output-Calculation-sheet'!W52/10^9</f>
        <v>9.1868526437187445E-2</v>
      </c>
      <c r="X63" s="2">
        <f>X8*'Output-Calculation-sheet'!X52/10^9</f>
        <v>8.611167763787192E-2</v>
      </c>
      <c r="Y63" s="2">
        <f>Y8*'Output-Calculation-sheet'!Y52/10^9</f>
        <v>5.3050658975881897E-2</v>
      </c>
      <c r="AA63" s="2">
        <f t="shared" si="4"/>
        <v>22.748564604712879</v>
      </c>
    </row>
    <row r="64" spans="1:27" x14ac:dyDescent="0.25">
      <c r="A64" s="2">
        <v>2032</v>
      </c>
      <c r="B64" s="2">
        <f>B9*'Output-Calculation-sheet'!B53/10^9</f>
        <v>6.9158993513374787</v>
      </c>
      <c r="C64" s="2">
        <f>C9*'Output-Calculation-sheet'!C53/10^9</f>
        <v>3.324485938797308</v>
      </c>
      <c r="D64" s="2">
        <f>D9*'Output-Calculation-sheet'!D53/10^9</f>
        <v>1.4533755381213764</v>
      </c>
      <c r="E64" s="2">
        <f>E9*'Output-Calculation-sheet'!E53/10^9</f>
        <v>1.6969859090308905</v>
      </c>
      <c r="F64" s="2">
        <f>F9*'Output-Calculation-sheet'!F53/10^9</f>
        <v>0.77871819841525636</v>
      </c>
      <c r="G64" s="2">
        <f>G9*'Output-Calculation-sheet'!G53/10^9</f>
        <v>0.58307198842752794</v>
      </c>
      <c r="H64" s="2">
        <f>H9*'Output-Calculation-sheet'!H53/10^9</f>
        <v>0.93990129339958539</v>
      </c>
      <c r="I64" s="2">
        <f>I9*'Output-Calculation-sheet'!I53/10^9</f>
        <v>0.47283138739569119</v>
      </c>
      <c r="J64" s="2">
        <f>J9*'Output-Calculation-sheet'!J53/10^9</f>
        <v>0.63464057384747574</v>
      </c>
      <c r="K64" s="2">
        <f>K9*'Output-Calculation-sheet'!K53/10^9</f>
        <v>0.46850672361503481</v>
      </c>
      <c r="L64" s="2">
        <f>L9*'Output-Calculation-sheet'!L53/10^9</f>
        <v>0.52597895011134066</v>
      </c>
      <c r="M64" s="2">
        <f>M9*'Output-Calculation-sheet'!M53/10^9</f>
        <v>0.67999478637275079</v>
      </c>
      <c r="N64" s="2">
        <f>N9*'Output-Calculation-sheet'!N53/10^9</f>
        <v>0.60761531956480141</v>
      </c>
      <c r="O64" s="2">
        <f>O9*'Output-Calculation-sheet'!O53/10^9</f>
        <v>0.60733421334812188</v>
      </c>
      <c r="P64" s="2">
        <f>P9*'Output-Calculation-sheet'!P53/10^9</f>
        <v>0.49992394242845872</v>
      </c>
      <c r="Q64" s="2">
        <f>Q9*'Output-Calculation-sheet'!Q53/10^9</f>
        <v>0.47419019029548104</v>
      </c>
      <c r="R64" s="2">
        <f>R9*'Output-Calculation-sheet'!R53/10^9</f>
        <v>0.40340272444605357</v>
      </c>
      <c r="S64" s="2">
        <f>S9*'Output-Calculation-sheet'!S53/10^9</f>
        <v>0.36778181644880531</v>
      </c>
      <c r="T64" s="2">
        <f>T9*'Output-Calculation-sheet'!T53/10^9</f>
        <v>0.15079959020053776</v>
      </c>
      <c r="U64" s="2">
        <f>U9*'Output-Calculation-sheet'!U53/10^9</f>
        <v>0.12848044930573255</v>
      </c>
      <c r="V64" s="2">
        <f>V9*'Output-Calculation-sheet'!V53/10^9</f>
        <v>0.18725568421281949</v>
      </c>
      <c r="W64" s="2">
        <f>W9*'Output-Calculation-sheet'!W53/10^9</f>
        <v>7.9814607634651979E-2</v>
      </c>
      <c r="X64" s="2">
        <f>X9*'Output-Calculation-sheet'!X53/10^9</f>
        <v>8.5370628338036478E-2</v>
      </c>
      <c r="Y64" s="2">
        <f>Y9*'Output-Calculation-sheet'!Y53/10^9</f>
        <v>5.07665579646343E-2</v>
      </c>
      <c r="AA64" s="2">
        <f t="shared" si="4"/>
        <v>22.117126363059857</v>
      </c>
    </row>
    <row r="65" spans="1:27" x14ac:dyDescent="0.25">
      <c r="A65" s="2">
        <v>2033</v>
      </c>
      <c r="B65" s="2">
        <f>B10*'Output-Calculation-sheet'!B54/10^9</f>
        <v>6.5609935465926554</v>
      </c>
      <c r="C65" s="2">
        <f>C10*'Output-Calculation-sheet'!C54/10^9</f>
        <v>3.1686064344715672</v>
      </c>
      <c r="D65" s="2">
        <f>D10*'Output-Calculation-sheet'!D54/10^9</f>
        <v>1.2016887434075001</v>
      </c>
      <c r="E65" s="2">
        <f>E10*'Output-Calculation-sheet'!E54/10^9</f>
        <v>1.5303665226176102</v>
      </c>
      <c r="F65" s="2">
        <f>F10*'Output-Calculation-sheet'!F54/10^9</f>
        <v>0.657610949492343</v>
      </c>
      <c r="G65" s="2">
        <f>G10*'Output-Calculation-sheet'!G54/10^9</f>
        <v>0.46818714591881327</v>
      </c>
      <c r="H65" s="2">
        <f>H10*'Output-Calculation-sheet'!H54/10^9</f>
        <v>0.92798502018093698</v>
      </c>
      <c r="I65" s="2">
        <f>I10*'Output-Calculation-sheet'!I54/10^9</f>
        <v>0.41050240376325431</v>
      </c>
      <c r="J65" s="2">
        <f>J10*'Output-Calculation-sheet'!J54/10^9</f>
        <v>0.48568892285483573</v>
      </c>
      <c r="K65" s="2">
        <f>K10*'Output-Calculation-sheet'!K54/10^9</f>
        <v>0.45451593779156502</v>
      </c>
      <c r="L65" s="2">
        <f>L10*'Output-Calculation-sheet'!L54/10^9</f>
        <v>0.46872259636489377</v>
      </c>
      <c r="M65" s="2">
        <f>M10*'Output-Calculation-sheet'!M54/10^9</f>
        <v>0.66037259163799722</v>
      </c>
      <c r="N65" s="2">
        <f>N10*'Output-Calculation-sheet'!N54/10^9</f>
        <v>0.60579423812114719</v>
      </c>
      <c r="O65" s="2">
        <f>O10*'Output-Calculation-sheet'!O54/10^9</f>
        <v>0.59169193734989844</v>
      </c>
      <c r="P65" s="2">
        <f>P10*'Output-Calculation-sheet'!P54/10^9</f>
        <v>0.49169249645244234</v>
      </c>
      <c r="Q65" s="2">
        <f>Q10*'Output-Calculation-sheet'!Q54/10^9</f>
        <v>0.48419269747344162</v>
      </c>
      <c r="R65" s="2">
        <f>R10*'Output-Calculation-sheet'!R54/10^9</f>
        <v>0.38464312081027574</v>
      </c>
      <c r="S65" s="2">
        <f>S10*'Output-Calculation-sheet'!S54/10^9</f>
        <v>0.3590030319208331</v>
      </c>
      <c r="T65" s="2">
        <f>T10*'Output-Calculation-sheet'!T54/10^9</f>
        <v>0.13025809888756759</v>
      </c>
      <c r="U65" s="2">
        <f>U10*'Output-Calculation-sheet'!U54/10^9</f>
        <v>0.12510313342801685</v>
      </c>
      <c r="V65" s="2">
        <f>V10*'Output-Calculation-sheet'!V54/10^9</f>
        <v>0.14740378608197816</v>
      </c>
      <c r="W65" s="2">
        <f>W10*'Output-Calculation-sheet'!W54/10^9</f>
        <v>6.2996266719055366E-2</v>
      </c>
      <c r="X65" s="2">
        <f>X10*'Output-Calculation-sheet'!X54/10^9</f>
        <v>7.8888280507111219E-2</v>
      </c>
      <c r="Y65" s="2">
        <f>Y10*'Output-Calculation-sheet'!Y54/10^9</f>
        <v>4.887351711177803E-2</v>
      </c>
      <c r="AA65" s="2">
        <f t="shared" si="4"/>
        <v>20.505781419957518</v>
      </c>
    </row>
    <row r="66" spans="1:27" x14ac:dyDescent="0.25">
      <c r="A66" s="2">
        <v>2034</v>
      </c>
      <c r="B66" s="2">
        <f>B11*'Output-Calculation-sheet'!B55/10^9</f>
        <v>5.8888338373419611</v>
      </c>
      <c r="C66" s="2">
        <f>C11*'Output-Calculation-sheet'!C55/10^9</f>
        <v>2.8599908487914449</v>
      </c>
      <c r="D66" s="2">
        <f>D11*'Output-Calculation-sheet'!D55/10^9</f>
        <v>1.1500454036183452</v>
      </c>
      <c r="E66" s="2">
        <f>E11*'Output-Calculation-sheet'!E55/10^9</f>
        <v>1.4895382170776907</v>
      </c>
      <c r="F66" s="2">
        <f>F11*'Output-Calculation-sheet'!F55/10^9</f>
        <v>0.58624819981740295</v>
      </c>
      <c r="G66" s="2">
        <f>G11*'Output-Calculation-sheet'!G55/10^9</f>
        <v>0.42764219541090459</v>
      </c>
      <c r="H66" s="2">
        <f>H11*'Output-Calculation-sheet'!H55/10^9</f>
        <v>0.85971902642083153</v>
      </c>
      <c r="I66" s="2">
        <f>I11*'Output-Calculation-sheet'!I55/10^9</f>
        <v>0.39754436345504335</v>
      </c>
      <c r="J66" s="2">
        <f>J11*'Output-Calculation-sheet'!J55/10^9</f>
        <v>0.40025017099893795</v>
      </c>
      <c r="K66" s="2">
        <f>K11*'Output-Calculation-sheet'!K55/10^9</f>
        <v>0.4557499585980252</v>
      </c>
      <c r="L66" s="2">
        <f>L11*'Output-Calculation-sheet'!L55/10^9</f>
        <v>0.44183453379754339</v>
      </c>
      <c r="M66" s="2">
        <f>M11*'Output-Calculation-sheet'!M55/10^9</f>
        <v>0.60276991914086775</v>
      </c>
      <c r="N66" s="2">
        <f>N11*'Output-Calculation-sheet'!N55/10^9</f>
        <v>0.57137273848292403</v>
      </c>
      <c r="O66" s="2">
        <f>O11*'Output-Calculation-sheet'!O55/10^9</f>
        <v>0.54353437002464067</v>
      </c>
      <c r="P66" s="2">
        <f>P11*'Output-Calculation-sheet'!P55/10^9</f>
        <v>0.47243751493671682</v>
      </c>
      <c r="Q66" s="2">
        <f>Q11*'Output-Calculation-sheet'!Q55/10^9</f>
        <v>0.47570925800843827</v>
      </c>
      <c r="R66" s="2">
        <f>R11*'Output-Calculation-sheet'!R55/10^9</f>
        <v>0.36279073008298751</v>
      </c>
      <c r="S66" s="2">
        <f>S11*'Output-Calculation-sheet'!S55/10^9</f>
        <v>0.33183853621743814</v>
      </c>
      <c r="T66" s="2">
        <f>T11*'Output-Calculation-sheet'!T55/10^9</f>
        <v>0.11367444684658594</v>
      </c>
      <c r="U66" s="2">
        <f>U11*'Output-Calculation-sheet'!U55/10^9</f>
        <v>0.12371773886645075</v>
      </c>
      <c r="V66" s="2">
        <f>V11*'Output-Calculation-sheet'!V55/10^9</f>
        <v>0.10742523982359679</v>
      </c>
      <c r="W66" s="2">
        <f>W11*'Output-Calculation-sheet'!W55/10^9</f>
        <v>5.2631243957980543E-2</v>
      </c>
      <c r="X66" s="2">
        <f>X11*'Output-Calculation-sheet'!X55/10^9</f>
        <v>6.8953960320791069E-2</v>
      </c>
      <c r="Y66" s="2">
        <f>Y11*'Output-Calculation-sheet'!Y55/10^9</f>
        <v>5.0304597443994008E-2</v>
      </c>
      <c r="AA66" s="2">
        <f t="shared" si="4"/>
        <v>18.834557049481546</v>
      </c>
    </row>
    <row r="67" spans="1:27" x14ac:dyDescent="0.25">
      <c r="A67" s="2">
        <v>2035</v>
      </c>
      <c r="B67" s="2">
        <f>B12*'Output-Calculation-sheet'!B56/10^9</f>
        <v>5.1440960360560526</v>
      </c>
      <c r="C67" s="2">
        <f>C12*'Output-Calculation-sheet'!C56/10^9</f>
        <v>2.4062486868107533</v>
      </c>
      <c r="D67" s="2">
        <f>D12*'Output-Calculation-sheet'!D56/10^9</f>
        <v>1.1804706184560185</v>
      </c>
      <c r="E67" s="2">
        <f>E12*'Output-Calculation-sheet'!E56/10^9</f>
        <v>1.5859054059326574</v>
      </c>
      <c r="F67" s="2">
        <f>F12*'Output-Calculation-sheet'!F56/10^9</f>
        <v>0.63380971433866773</v>
      </c>
      <c r="G67" s="2">
        <f>G12*'Output-Calculation-sheet'!G56/10^9</f>
        <v>0.46696939384432312</v>
      </c>
      <c r="H67" s="2">
        <f>H12*'Output-Calculation-sheet'!H56/10^9</f>
        <v>0.75758885109318452</v>
      </c>
      <c r="I67" s="2">
        <f>I12*'Output-Calculation-sheet'!I56/10^9</f>
        <v>0.42790238327782126</v>
      </c>
      <c r="J67" s="2">
        <f>J12*'Output-Calculation-sheet'!J56/10^9</f>
        <v>0.39181673232106595</v>
      </c>
      <c r="K67" s="2">
        <f>K12*'Output-Calculation-sheet'!K56/10^9</f>
        <v>0.4693107887306141</v>
      </c>
      <c r="L67" s="2">
        <f>L12*'Output-Calculation-sheet'!L56/10^9</f>
        <v>0.43739831998594914</v>
      </c>
      <c r="M67" s="2">
        <f>M12*'Output-Calculation-sheet'!M56/10^9</f>
        <v>0.52538661877821491</v>
      </c>
      <c r="N67" s="2">
        <f>N12*'Output-Calculation-sheet'!N56/10^9</f>
        <v>0.5123539899350229</v>
      </c>
      <c r="O67" s="2">
        <f>O12*'Output-Calculation-sheet'!O56/10^9</f>
        <v>0.46730214133588321</v>
      </c>
      <c r="P67" s="2">
        <f>P12*'Output-Calculation-sheet'!P56/10^9</f>
        <v>0.45367037658782416</v>
      </c>
      <c r="Q67" s="2">
        <f>Q12*'Output-Calculation-sheet'!Q56/10^9</f>
        <v>0.44945592306576948</v>
      </c>
      <c r="R67" s="2">
        <f>R12*'Output-Calculation-sheet'!R56/10^9</f>
        <v>0.36134119441239787</v>
      </c>
      <c r="S67" s="2">
        <f>S12*'Output-Calculation-sheet'!S56/10^9</f>
        <v>0.29404503381388608</v>
      </c>
      <c r="T67" s="2">
        <f>T12*'Output-Calculation-sheet'!T56/10^9</f>
        <v>0.11244801666664067</v>
      </c>
      <c r="U67" s="2">
        <f>U12*'Output-Calculation-sheet'!U56/10^9</f>
        <v>0.12156201679649309</v>
      </c>
      <c r="V67" s="2">
        <f>V12*'Output-Calculation-sheet'!V56/10^9</f>
        <v>8.6722215486167056E-2</v>
      </c>
      <c r="W67" s="2">
        <f>W12*'Output-Calculation-sheet'!W56/10^9</f>
        <v>5.8866877325982017E-2</v>
      </c>
      <c r="X67" s="2">
        <f>X12*'Output-Calculation-sheet'!X56/10^9</f>
        <v>5.6343806713391342E-2</v>
      </c>
      <c r="Y67" s="2">
        <f>Y12*'Output-Calculation-sheet'!Y56/10^9</f>
        <v>5.2387671292260615E-2</v>
      </c>
      <c r="AA67" s="2">
        <f t="shared" si="4"/>
        <v>17.453402813057043</v>
      </c>
    </row>
    <row r="68" spans="1:27" x14ac:dyDescent="0.25">
      <c r="B68" s="2">
        <f>SUM(B60:B67)</f>
        <v>31.448803216446674</v>
      </c>
      <c r="C68" s="2">
        <f t="shared" ref="C68:Y68" si="5">SUM(C60:C67)</f>
        <v>15.028874407246837</v>
      </c>
      <c r="D68" s="2">
        <f t="shared" si="5"/>
        <v>6.6102776961914094</v>
      </c>
      <c r="E68" s="2">
        <f t="shared" si="5"/>
        <v>8.1615214870620587</v>
      </c>
      <c r="F68" s="2">
        <f t="shared" si="5"/>
        <v>3.5252217930507705</v>
      </c>
      <c r="G68" s="2">
        <f t="shared" si="5"/>
        <v>2.6085880387940117</v>
      </c>
      <c r="H68" s="2">
        <f t="shared" si="5"/>
        <v>4.3869807081566634</v>
      </c>
      <c r="I68" s="2">
        <f t="shared" si="5"/>
        <v>2.2322831784032928</v>
      </c>
      <c r="J68" s="2">
        <f t="shared" si="5"/>
        <v>2.6524552310744665</v>
      </c>
      <c r="K68" s="2">
        <f t="shared" si="5"/>
        <v>2.3338956932507076</v>
      </c>
      <c r="L68" s="2">
        <f t="shared" si="5"/>
        <v>2.4491162388142302</v>
      </c>
      <c r="M68" s="2">
        <f t="shared" si="5"/>
        <v>3.1307678602334659</v>
      </c>
      <c r="N68" s="2">
        <f t="shared" si="5"/>
        <v>2.8698071562946623</v>
      </c>
      <c r="O68" s="2">
        <f t="shared" si="5"/>
        <v>2.7953840168579682</v>
      </c>
      <c r="P68" s="2">
        <f t="shared" si="5"/>
        <v>2.4118037932515137</v>
      </c>
      <c r="Q68" s="2">
        <f t="shared" si="5"/>
        <v>2.3444167223210819</v>
      </c>
      <c r="R68" s="2">
        <f t="shared" si="5"/>
        <v>1.9296171511394276</v>
      </c>
      <c r="S68" s="2">
        <f t="shared" si="5"/>
        <v>1.7068502070697555</v>
      </c>
      <c r="T68" s="2">
        <f t="shared" si="5"/>
        <v>0.67672759579306585</v>
      </c>
      <c r="U68" s="2">
        <f t="shared" si="5"/>
        <v>0.63108485859305197</v>
      </c>
      <c r="V68" s="2">
        <f t="shared" si="5"/>
        <v>0.74772632184309995</v>
      </c>
      <c r="W68" s="2">
        <f t="shared" si="5"/>
        <v>0.34617752207485736</v>
      </c>
      <c r="X68" s="2">
        <f t="shared" si="5"/>
        <v>0.37566835351720207</v>
      </c>
      <c r="Y68" s="2">
        <f t="shared" si="5"/>
        <v>0.25538300278854886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48.271982451157555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4.8271982451157554E-2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418.57423322777345</v>
      </c>
      <c r="Q76" s="2">
        <f>Q10/'Output-Calculation-sheet'!Q9*'Output-Calculation-sheet'!Q63</f>
        <v>49.646632704881377</v>
      </c>
      <c r="R76" s="2">
        <f>R10/'Output-Calculation-sheet'!R9*'Output-Calculation-sheet'!R63</f>
        <v>318.03383509704014</v>
      </c>
      <c r="S76" s="2">
        <f>S10/'Output-Calculation-sheet'!S9*'Output-Calculation-sheet'!S63</f>
        <v>0</v>
      </c>
      <c r="T76" s="2">
        <f>T10/'Output-Calculation-sheet'!T9*'Output-Calculation-sheet'!T63</f>
        <v>20.930502503582368</v>
      </c>
      <c r="U76" s="2">
        <f>U10/'Output-Calculation-sheet'!U9*'Output-Calculation-sheet'!U63</f>
        <v>113.16597557234194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5.3676393949754244</v>
      </c>
      <c r="AA76" s="2">
        <f t="shared" si="6"/>
        <v>1.0135907657110463</v>
      </c>
    </row>
    <row r="77" spans="1:27" x14ac:dyDescent="0.25">
      <c r="A77" s="2">
        <v>2034</v>
      </c>
      <c r="B77" s="2">
        <f>B11/'Output-Calculation-sheet'!B10*'Output-Calculation-sheet'!B64</f>
        <v>384.36520810609431</v>
      </c>
      <c r="C77" s="2">
        <f>C11/'Output-Calculation-sheet'!C10*'Output-Calculation-sheet'!C64</f>
        <v>0</v>
      </c>
      <c r="D77" s="2">
        <f>D11/'Output-Calculation-sheet'!D10*'Output-Calculation-sheet'!D64</f>
        <v>1293.766510697317</v>
      </c>
      <c r="E77" s="2">
        <f>E11/'Output-Calculation-sheet'!E10*'Output-Calculation-sheet'!E64</f>
        <v>1619.7937555151245</v>
      </c>
      <c r="F77" s="2">
        <f>F11/'Output-Calculation-sheet'!F10*'Output-Calculation-sheet'!F64</f>
        <v>115.75624104847151</v>
      </c>
      <c r="G77" s="2">
        <f>G11/'Output-Calculation-sheet'!G10*'Output-Calculation-sheet'!G64</f>
        <v>683.17228037032783</v>
      </c>
      <c r="H77" s="2">
        <f>H11/'Output-Calculation-sheet'!H10*'Output-Calculation-sheet'!H64</f>
        <v>106.37356437177984</v>
      </c>
      <c r="I77" s="2">
        <f>I11/'Output-Calculation-sheet'!I10*'Output-Calculation-sheet'!I64</f>
        <v>404.17390570350784</v>
      </c>
      <c r="J77" s="2">
        <f>J11/'Output-Calculation-sheet'!J10*'Output-Calculation-sheet'!J64</f>
        <v>282.99991978795674</v>
      </c>
      <c r="K77" s="2">
        <f>K11/'Output-Calculation-sheet'!K10*'Output-Calculation-sheet'!K64</f>
        <v>617.36490327690956</v>
      </c>
      <c r="L77" s="2">
        <f>L11/'Output-Calculation-sheet'!L10*'Output-Calculation-sheet'!L64</f>
        <v>255.61974287897212</v>
      </c>
      <c r="M77" s="2">
        <f>M11/'Output-Calculation-sheet'!M10*'Output-Calculation-sheet'!M64</f>
        <v>76.611877045580556</v>
      </c>
      <c r="N77" s="2">
        <f>N11/'Output-Calculation-sheet'!N10*'Output-Calculation-sheet'!N64</f>
        <v>25.337706013052603</v>
      </c>
      <c r="O77" s="2">
        <f>O11/'Output-Calculation-sheet'!O10*'Output-Calculation-sheet'!O64</f>
        <v>0</v>
      </c>
      <c r="P77" s="2">
        <f>P11/'Output-Calculation-sheet'!P10*'Output-Calculation-sheet'!P64</f>
        <v>521.72487614621048</v>
      </c>
      <c r="Q77" s="2">
        <f>Q11/'Output-Calculation-sheet'!Q10*'Output-Calculation-sheet'!Q64</f>
        <v>125.9439854222896</v>
      </c>
      <c r="R77" s="2">
        <f>R11/'Output-Calculation-sheet'!R10*'Output-Calculation-sheet'!R64</f>
        <v>648.5828712264647</v>
      </c>
      <c r="S77" s="2">
        <f>S11/'Output-Calculation-sheet'!S10*'Output-Calculation-sheet'!S64</f>
        <v>0</v>
      </c>
      <c r="T77" s="2">
        <f>T11/'Output-Calculation-sheet'!T10*'Output-Calculation-sheet'!T64</f>
        <v>179.87086472179826</v>
      </c>
      <c r="U77" s="2">
        <f>U11/'Output-Calculation-sheet'!U10*'Output-Calculation-sheet'!U64</f>
        <v>238.44388312805643</v>
      </c>
      <c r="V77" s="2">
        <f>V11/'Output-Calculation-sheet'!V10*'Output-Calculation-sheet'!V64</f>
        <v>93.138018139233381</v>
      </c>
      <c r="W77" s="2">
        <f>W11/'Output-Calculation-sheet'!W10*'Output-Calculation-sheet'!W64</f>
        <v>20.56180260685991</v>
      </c>
      <c r="X77" s="2">
        <f>X11/'Output-Calculation-sheet'!X10*'Output-Calculation-sheet'!X64</f>
        <v>7.6373633590896279</v>
      </c>
      <c r="Y77" s="2">
        <f>Y11/'Output-Calculation-sheet'!Y10*'Output-Calculation-sheet'!Y64</f>
        <v>43.048166584424777</v>
      </c>
      <c r="AA77" s="2">
        <f t="shared" si="6"/>
        <v>7.7442874461495199</v>
      </c>
    </row>
    <row r="78" spans="1:27" x14ac:dyDescent="0.25">
      <c r="A78" s="2">
        <v>2035</v>
      </c>
      <c r="B78" s="2">
        <f>B12/'Output-Calculation-sheet'!B11*'Output-Calculation-sheet'!B65</f>
        <v>57.338586199339751</v>
      </c>
      <c r="C78" s="2">
        <f>C12/'Output-Calculation-sheet'!C11*'Output-Calculation-sheet'!C65</f>
        <v>41.853165330453521</v>
      </c>
      <c r="D78" s="2">
        <f>D12/'Output-Calculation-sheet'!D11*'Output-Calculation-sheet'!D65</f>
        <v>1206.3943481106512</v>
      </c>
      <c r="E78" s="2">
        <f>E12/'Output-Calculation-sheet'!E11*'Output-Calculation-sheet'!E65</f>
        <v>1078.4016958795894</v>
      </c>
      <c r="F78" s="2">
        <f>F12/'Output-Calculation-sheet'!F11*'Output-Calculation-sheet'!F65</f>
        <v>485.52443832710344</v>
      </c>
      <c r="G78" s="2">
        <f>G12/'Output-Calculation-sheet'!G11*'Output-Calculation-sheet'!G65</f>
        <v>934.15564622609452</v>
      </c>
      <c r="H78" s="2">
        <f>H12/'Output-Calculation-sheet'!H11*'Output-Calculation-sheet'!H65</f>
        <v>16.412698013507491</v>
      </c>
      <c r="I78" s="2">
        <f>I12/'Output-Calculation-sheet'!I11*'Output-Calculation-sheet'!I65</f>
        <v>543.18175669022332</v>
      </c>
      <c r="J78" s="2">
        <f>J12/'Output-Calculation-sheet'!J11*'Output-Calculation-sheet'!J65</f>
        <v>488.07040289124177</v>
      </c>
      <c r="K78" s="2">
        <f>K12/'Output-Calculation-sheet'!K11*'Output-Calculation-sheet'!K65</f>
        <v>615.9099569246863</v>
      </c>
      <c r="L78" s="2">
        <f>L12/'Output-Calculation-sheet'!L11*'Output-Calculation-sheet'!L65</f>
        <v>365.08015022203233</v>
      </c>
      <c r="M78" s="2">
        <f>M12/'Output-Calculation-sheet'!M11*'Output-Calculation-sheet'!M65</f>
        <v>11.246020261461849</v>
      </c>
      <c r="N78" s="2">
        <f>N12/'Output-Calculation-sheet'!N11*'Output-Calculation-sheet'!N65</f>
        <v>9.6262161748973263</v>
      </c>
      <c r="O78" s="2">
        <f>O12/'Output-Calculation-sheet'!O11*'Output-Calculation-sheet'!O65</f>
        <v>1.9167434035303521</v>
      </c>
      <c r="P78" s="2">
        <f>P12/'Output-Calculation-sheet'!P11*'Output-Calculation-sheet'!P65</f>
        <v>161.95372134691763</v>
      </c>
      <c r="Q78" s="2">
        <f>Q12/'Output-Calculation-sheet'!Q11*'Output-Calculation-sheet'!Q65</f>
        <v>154.21029167320913</v>
      </c>
      <c r="R78" s="2">
        <f>R12/'Output-Calculation-sheet'!R11*'Output-Calculation-sheet'!R65</f>
        <v>706.45794095045244</v>
      </c>
      <c r="S78" s="2">
        <f>S12/'Output-Calculation-sheet'!S11*'Output-Calculation-sheet'!S65</f>
        <v>4.2838317916762767</v>
      </c>
      <c r="T78" s="2">
        <f>T12/'Output-Calculation-sheet'!T11*'Output-Calculation-sheet'!T65</f>
        <v>253.4231658849265</v>
      </c>
      <c r="U78" s="2">
        <f>U12/'Output-Calculation-sheet'!U11*'Output-Calculation-sheet'!U65</f>
        <v>216.0888170335331</v>
      </c>
      <c r="V78" s="2">
        <f>V12/'Output-Calculation-sheet'!V11*'Output-Calculation-sheet'!V65</f>
        <v>136.41093722179716</v>
      </c>
      <c r="W78" s="2">
        <f>W12/'Output-Calculation-sheet'!W11*'Output-Calculation-sheet'!W65</f>
        <v>98.171680767390185</v>
      </c>
      <c r="X78" s="2">
        <f>X12/'Output-Calculation-sheet'!X11*'Output-Calculation-sheet'!X65</f>
        <v>1.4358689447453954</v>
      </c>
      <c r="Y78" s="2">
        <f>Y12/'Output-Calculation-sheet'!Y11*'Output-Calculation-sheet'!Y65</f>
        <v>28.746130804538254</v>
      </c>
      <c r="AA78" s="2">
        <f t="shared" si="6"/>
        <v>7.6162942110739991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14.541868171275615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76.423724667459666</v>
      </c>
      <c r="E89" s="2">
        <f>E12/'Output-Calculation-sheet'!E11*'Output-Calculation-sheet'!E74</f>
        <v>53.448161819730259</v>
      </c>
      <c r="F89" s="2">
        <f>F12/'Output-Calculation-sheet'!F11*'Output-Calculation-sheet'!F74</f>
        <v>32.087252304007663</v>
      </c>
      <c r="G89" s="2">
        <f>G12/'Output-Calculation-sheet'!G11*'Output-Calculation-sheet'!G74</f>
        <v>28.511514462191862</v>
      </c>
      <c r="H89" s="2">
        <f>H12/'Output-Calculation-sheet'!H11*'Output-Calculation-sheet'!H74</f>
        <v>4.2492422041443341</v>
      </c>
      <c r="I89" s="2">
        <f>I12/'Output-Calculation-sheet'!I11*'Output-Calculation-sheet'!I74</f>
        <v>26.630666371237446</v>
      </c>
      <c r="J89" s="2">
        <f>J12/'Output-Calculation-sheet'!J11*'Output-Calculation-sheet'!J74</f>
        <v>15.618096711552621</v>
      </c>
      <c r="K89" s="2">
        <f>K12/'Output-Calculation-sheet'!K11*'Output-Calculation-sheet'!K74</f>
        <v>31.020688657960694</v>
      </c>
      <c r="L89" s="2">
        <f>L12/'Output-Calculation-sheet'!L11*'Output-Calculation-sheet'!L74</f>
        <v>20.812126141712813</v>
      </c>
      <c r="M89" s="2">
        <f>M12/'Output-Calculation-sheet'!M11*'Output-Calculation-sheet'!M74</f>
        <v>3.6548652133447672</v>
      </c>
      <c r="N89" s="2">
        <f>N12/'Output-Calculation-sheet'!N11*'Output-Calculation-sheet'!N74</f>
        <v>2.8737118217470936</v>
      </c>
      <c r="O89" s="2">
        <f>O12/'Output-Calculation-sheet'!O11*'Output-Calculation-sheet'!O74</f>
        <v>1.3408488307312711</v>
      </c>
      <c r="P89" s="2">
        <f>P12/'Output-Calculation-sheet'!P11*'Output-Calculation-sheet'!P74</f>
        <v>3.318506191129222</v>
      </c>
      <c r="Q89" s="2">
        <f>Q12/'Output-Calculation-sheet'!Q11*'Output-Calculation-sheet'!Q74</f>
        <v>33.99045577328674</v>
      </c>
      <c r="R89" s="2">
        <f>R12/'Output-Calculation-sheet'!R11*'Output-Calculation-sheet'!R74</f>
        <v>15.605529279846495</v>
      </c>
      <c r="S89" s="2">
        <f>S12/'Output-Calculation-sheet'!S11*'Output-Calculation-sheet'!S74</f>
        <v>1.2354831162304203</v>
      </c>
      <c r="T89" s="2">
        <f>T12/'Output-Calculation-sheet'!T11*'Output-Calculation-sheet'!T74</f>
        <v>3.6950130942621757</v>
      </c>
      <c r="U89" s="2">
        <f>U12/'Output-Calculation-sheet'!U11*'Output-Calculation-sheet'!U74</f>
        <v>6.8283327919321657</v>
      </c>
      <c r="V89" s="2">
        <f>V12/'Output-Calculation-sheet'!V11*'Output-Calculation-sheet'!V74</f>
        <v>0.92916019386692517</v>
      </c>
      <c r="W89" s="2">
        <f>W12/'Output-Calculation-sheet'!W11*'Output-Calculation-sheet'!W74</f>
        <v>2.4137675440835302</v>
      </c>
      <c r="X89" s="2">
        <f>X12/'Output-Calculation-sheet'!X11*'Output-Calculation-sheet'!X74</f>
        <v>0.16037852616389986</v>
      </c>
      <c r="Y89" s="2">
        <f>Y12/'Output-Calculation-sheet'!Y11*'Output-Calculation-sheet'!Y74</f>
        <v>1.7024518005342018</v>
      </c>
      <c r="AA89" s="2">
        <f t="shared" si="7"/>
        <v>0.38454279929417517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11514669445.260653</v>
      </c>
      <c r="C96" s="2">
        <f>C8/'Output-Calculation-sheet'!C7*'Output-Calculation-sheet'!C79</f>
        <v>3895472537.5712233</v>
      </c>
      <c r="D96" s="2">
        <f>D8/'Output-Calculation-sheet'!D7*'Output-Calculation-sheet'!D79</f>
        <v>4066596104.3453374</v>
      </c>
      <c r="E96" s="2">
        <f>E8/'Output-Calculation-sheet'!E7*'Output-Calculation-sheet'!E79</f>
        <v>7230072835.917366</v>
      </c>
      <c r="F96" s="2">
        <f>F8/'Output-Calculation-sheet'!F7*'Output-Calculation-sheet'!F79</f>
        <v>2992455222.8459015</v>
      </c>
      <c r="G96" s="2">
        <f>G8/'Output-Calculation-sheet'!G7*'Output-Calculation-sheet'!G79</f>
        <v>2330881643.1955333</v>
      </c>
      <c r="H96" s="2">
        <f>H8/'Output-Calculation-sheet'!H7*'Output-Calculation-sheet'!H79</f>
        <v>1995105898.2377784</v>
      </c>
      <c r="I96" s="2">
        <f>I8/'Output-Calculation-sheet'!I7*'Output-Calculation-sheet'!I79</f>
        <v>1623702843.5995877</v>
      </c>
      <c r="J96" s="2">
        <f>J8/'Output-Calculation-sheet'!J7*'Output-Calculation-sheet'!J79</f>
        <v>1097986712.843457</v>
      </c>
      <c r="K96" s="2">
        <f>K8/'Output-Calculation-sheet'!K7*'Output-Calculation-sheet'!K79</f>
        <v>1570893775.578577</v>
      </c>
      <c r="L96" s="2">
        <f>L8/'Output-Calculation-sheet'!L7*'Output-Calculation-sheet'!L79</f>
        <v>1108423949.9818201</v>
      </c>
      <c r="M96" s="2">
        <f>M8/'Output-Calculation-sheet'!M7*'Output-Calculation-sheet'!M79</f>
        <v>1489306221.1380346</v>
      </c>
      <c r="N96" s="2">
        <f>N8/'Output-Calculation-sheet'!N7*'Output-Calculation-sheet'!N79</f>
        <v>1108160828.7053893</v>
      </c>
      <c r="O96" s="2">
        <f>O8/'Output-Calculation-sheet'!O7*'Output-Calculation-sheet'!O79</f>
        <v>560212275.96510661</v>
      </c>
      <c r="P96" s="2">
        <f>P8/'Output-Calculation-sheet'!P7*'Output-Calculation-sheet'!P79</f>
        <v>1873804725.0152586</v>
      </c>
      <c r="Q96" s="2">
        <f>Q8/'Output-Calculation-sheet'!Q7*'Output-Calculation-sheet'!Q79</f>
        <v>873271682.58724833</v>
      </c>
      <c r="R96" s="2">
        <f>R8/'Output-Calculation-sheet'!R7*'Output-Calculation-sheet'!R79</f>
        <v>1089512088.119952</v>
      </c>
      <c r="S96" s="2">
        <f>S8/'Output-Calculation-sheet'!S7*'Output-Calculation-sheet'!S79</f>
        <v>634839744.91371202</v>
      </c>
      <c r="T96" s="2">
        <f>T8/'Output-Calculation-sheet'!T7*'Output-Calculation-sheet'!T79</f>
        <v>484869158.57119673</v>
      </c>
      <c r="U96" s="2">
        <f>U8/'Output-Calculation-sheet'!U7*'Output-Calculation-sheet'!U79</f>
        <v>304582933.95985466</v>
      </c>
      <c r="V96" s="2">
        <f>V8/'Output-Calculation-sheet'!V7*'Output-Calculation-sheet'!V79</f>
        <v>158032799.29777867</v>
      </c>
      <c r="W96" s="2">
        <f>W8/'Output-Calculation-sheet'!W7*'Output-Calculation-sheet'!W79</f>
        <v>466977952.18350458</v>
      </c>
      <c r="X96" s="2">
        <f>X8/'Output-Calculation-sheet'!X7*'Output-Calculation-sheet'!X79</f>
        <v>164128625.47084641</v>
      </c>
      <c r="Y96" s="2">
        <f>Y8/'Output-Calculation-sheet'!Y7*'Output-Calculation-sheet'!Y79</f>
        <v>256694931.89112377</v>
      </c>
      <c r="AA96" s="2">
        <f t="shared" si="8"/>
        <v>48.890654937196231</v>
      </c>
    </row>
    <row r="97" spans="1:27" x14ac:dyDescent="0.25">
      <c r="A97" s="2">
        <v>2032</v>
      </c>
      <c r="B97" s="2">
        <f>B9/'Output-Calculation-sheet'!B8*'Output-Calculation-sheet'!B80</f>
        <v>14959172956.39436</v>
      </c>
      <c r="C97" s="2">
        <f>C9/'Output-Calculation-sheet'!C8*'Output-Calculation-sheet'!C80</f>
        <v>5095183980.1574659</v>
      </c>
      <c r="D97" s="2">
        <f>D9/'Output-Calculation-sheet'!D8*'Output-Calculation-sheet'!D80</f>
        <v>5076829363.0814476</v>
      </c>
      <c r="E97" s="2">
        <f>E9/'Output-Calculation-sheet'!E8*'Output-Calculation-sheet'!E80</f>
        <v>9284775212.0563717</v>
      </c>
      <c r="F97" s="2">
        <f>F9/'Output-Calculation-sheet'!F8*'Output-Calculation-sheet'!F80</f>
        <v>3835540028.6465726</v>
      </c>
      <c r="G97" s="2">
        <f>G9/'Output-Calculation-sheet'!G8*'Output-Calculation-sheet'!G80</f>
        <v>2903299786.5749369</v>
      </c>
      <c r="H97" s="2">
        <f>H9/'Output-Calculation-sheet'!H8*'Output-Calculation-sheet'!H80</f>
        <v>2554319797.9435506</v>
      </c>
      <c r="I97" s="2">
        <f>I9/'Output-Calculation-sheet'!I8*'Output-Calculation-sheet'!I80</f>
        <v>2101158222.4068367</v>
      </c>
      <c r="J97" s="2">
        <f>J9/'Output-Calculation-sheet'!J8*'Output-Calculation-sheet'!J80</f>
        <v>1381313751.3906021</v>
      </c>
      <c r="K97" s="2">
        <f>K9/'Output-Calculation-sheet'!K8*'Output-Calculation-sheet'!K80</f>
        <v>1991456251.9203217</v>
      </c>
      <c r="L97" s="2">
        <f>L9/'Output-Calculation-sheet'!L8*'Output-Calculation-sheet'!L80</f>
        <v>1449454472.4497561</v>
      </c>
      <c r="M97" s="2">
        <f>M9/'Output-Calculation-sheet'!M8*'Output-Calculation-sheet'!M80</f>
        <v>1912396374.4524114</v>
      </c>
      <c r="N97" s="2">
        <f>N9/'Output-Calculation-sheet'!N8*'Output-Calculation-sheet'!N80</f>
        <v>1397258570.1080496</v>
      </c>
      <c r="O97" s="2">
        <f>O9/'Output-Calculation-sheet'!O8*'Output-Calculation-sheet'!O80</f>
        <v>722849124.18271029</v>
      </c>
      <c r="P97" s="2">
        <f>P9/'Output-Calculation-sheet'!P8*'Output-Calculation-sheet'!P80</f>
        <v>2365041754.9525642</v>
      </c>
      <c r="Q97" s="2">
        <f>Q9/'Output-Calculation-sheet'!Q8*'Output-Calculation-sheet'!Q80</f>
        <v>1106273946.1824269</v>
      </c>
      <c r="R97" s="2">
        <f>R9/'Output-Calculation-sheet'!R8*'Output-Calculation-sheet'!R80</f>
        <v>1397776939.5676892</v>
      </c>
      <c r="S97" s="2">
        <f>S9/'Output-Calculation-sheet'!S8*'Output-Calculation-sheet'!S80</f>
        <v>811263884.39754772</v>
      </c>
      <c r="T97" s="2">
        <f>T9/'Output-Calculation-sheet'!T8*'Output-Calculation-sheet'!T80</f>
        <v>610907409.93161309</v>
      </c>
      <c r="U97" s="2">
        <f>U9/'Output-Calculation-sheet'!U8*'Output-Calculation-sheet'!U80</f>
        <v>390549311.74340653</v>
      </c>
      <c r="V97" s="2">
        <f>V9/'Output-Calculation-sheet'!V8*'Output-Calculation-sheet'!V80</f>
        <v>204779872.08328038</v>
      </c>
      <c r="W97" s="2">
        <f>W9/'Output-Calculation-sheet'!W8*'Output-Calculation-sheet'!W80</f>
        <v>593051366.65068793</v>
      </c>
      <c r="X97" s="2">
        <f>X9/'Output-Calculation-sheet'!X8*'Output-Calculation-sheet'!X80</f>
        <v>212961541.94223601</v>
      </c>
      <c r="Y97" s="2">
        <f>Y9/'Output-Calculation-sheet'!Y8*'Output-Calculation-sheet'!Y80</f>
        <v>325977887.07113695</v>
      </c>
      <c r="AA97" s="2">
        <f t="shared" si="8"/>
        <v>62.683591806287964</v>
      </c>
    </row>
    <row r="98" spans="1:27" x14ac:dyDescent="0.25">
      <c r="A98" s="2">
        <v>2033</v>
      </c>
      <c r="B98" s="2">
        <f>B10/'Output-Calculation-sheet'!B9*'Output-Calculation-sheet'!B81</f>
        <v>17459086374.909512</v>
      </c>
      <c r="C98" s="2">
        <f>C10/'Output-Calculation-sheet'!C9*'Output-Calculation-sheet'!C81</f>
        <v>5985852083.7025862</v>
      </c>
      <c r="D98" s="2">
        <f>D10/'Output-Calculation-sheet'!D9*'Output-Calculation-sheet'!D81</f>
        <v>5696681181.0140343</v>
      </c>
      <c r="E98" s="2">
        <f>E10/'Output-Calculation-sheet'!E9*'Output-Calculation-sheet'!E81</f>
        <v>10715826807.328377</v>
      </c>
      <c r="F98" s="2">
        <f>F10/'Output-Calculation-sheet'!F9*'Output-Calculation-sheet'!F81</f>
        <v>4419466372.3997021</v>
      </c>
      <c r="G98" s="2">
        <f>G10/'Output-Calculation-sheet'!G9*'Output-Calculation-sheet'!G81</f>
        <v>3244912090.9692941</v>
      </c>
      <c r="H98" s="2">
        <f>H10/'Output-Calculation-sheet'!H9*'Output-Calculation-sheet'!H81</f>
        <v>2939922902.8404021</v>
      </c>
      <c r="I98" s="2">
        <f>I10/'Output-Calculation-sheet'!I9*'Output-Calculation-sheet'!I81</f>
        <v>2443933979.820796</v>
      </c>
      <c r="J98" s="2">
        <f>J10/'Output-Calculation-sheet'!J9*'Output-Calculation-sheet'!J81</f>
        <v>1562708259.813848</v>
      </c>
      <c r="K98" s="2">
        <f>K10/'Output-Calculation-sheet'!K9*'Output-Calculation-sheet'!K81</f>
        <v>2269899228.553091</v>
      </c>
      <c r="L98" s="2">
        <f>L10/'Output-Calculation-sheet'!L9*'Output-Calculation-sheet'!L81</f>
        <v>1702462453.2830412</v>
      </c>
      <c r="M98" s="2">
        <f>M10/'Output-Calculation-sheet'!M9*'Output-Calculation-sheet'!M81</f>
        <v>2207755922.9942064</v>
      </c>
      <c r="N98" s="2">
        <f>N10/'Output-Calculation-sheet'!N9*'Output-Calculation-sheet'!N81</f>
        <v>1583889670.8404281</v>
      </c>
      <c r="O98" s="2">
        <f>O10/'Output-Calculation-sheet'!O9*'Output-Calculation-sheet'!O81</f>
        <v>838757834.46980524</v>
      </c>
      <c r="P98" s="2">
        <f>P10/'Output-Calculation-sheet'!P9*'Output-Calculation-sheet'!P81</f>
        <v>2680443219.6009774</v>
      </c>
      <c r="Q98" s="2">
        <f>Q10/'Output-Calculation-sheet'!Q9*'Output-Calculation-sheet'!Q81</f>
        <v>1260274181.9000828</v>
      </c>
      <c r="R98" s="2">
        <f>R10/'Output-Calculation-sheet'!R9*'Output-Calculation-sheet'!R81</f>
        <v>1612085826.1687748</v>
      </c>
      <c r="S98" s="2">
        <f>S10/'Output-Calculation-sheet'!S9*'Output-Calculation-sheet'!S81</f>
        <v>932069854.07257235</v>
      </c>
      <c r="T98" s="2">
        <f>T10/'Output-Calculation-sheet'!T9*'Output-Calculation-sheet'!T81</f>
        <v>691631147.34375942</v>
      </c>
      <c r="U98" s="2">
        <f>U10/'Output-Calculation-sheet'!U9*'Output-Calculation-sheet'!U81</f>
        <v>450020775.2364198</v>
      </c>
      <c r="V98" s="2">
        <f>V10/'Output-Calculation-sheet'!V9*'Output-Calculation-sheet'!V81</f>
        <v>238337683.36075294</v>
      </c>
      <c r="W98" s="2">
        <f>W10/'Output-Calculation-sheet'!W9*'Output-Calculation-sheet'!W81</f>
        <v>675774649.25023961</v>
      </c>
      <c r="X98" s="2">
        <f>X10/'Output-Calculation-sheet'!X9*'Output-Calculation-sheet'!X81</f>
        <v>248325318.71477044</v>
      </c>
      <c r="Y98" s="2">
        <f>Y10/'Output-Calculation-sheet'!Y9*'Output-Calculation-sheet'!Y81</f>
        <v>371581104.57776731</v>
      </c>
      <c r="AA98" s="2">
        <f t="shared" si="8"/>
        <v>72.231698923165268</v>
      </c>
    </row>
    <row r="99" spans="1:27" x14ac:dyDescent="0.25">
      <c r="A99" s="2">
        <v>2034</v>
      </c>
      <c r="B99" s="2">
        <f>B11/'Output-Calculation-sheet'!B10*'Output-Calculation-sheet'!B82</f>
        <v>18595456401.294521</v>
      </c>
      <c r="C99" s="2">
        <f>C11/'Output-Calculation-sheet'!C10*'Output-Calculation-sheet'!C82</f>
        <v>6416208382.921526</v>
      </c>
      <c r="D99" s="2">
        <f>D11/'Output-Calculation-sheet'!D10*'Output-Calculation-sheet'!D82</f>
        <v>5836915923.2430401</v>
      </c>
      <c r="E99" s="2">
        <f>E11/'Output-Calculation-sheet'!E10*'Output-Calculation-sheet'!E82</f>
        <v>11291015237.556332</v>
      </c>
      <c r="F99" s="2">
        <f>F11/'Output-Calculation-sheet'!F10*'Output-Calculation-sheet'!F82</f>
        <v>4650190745.6061764</v>
      </c>
      <c r="G99" s="2">
        <f>G11/'Output-Calculation-sheet'!G10*'Output-Calculation-sheet'!G82</f>
        <v>3305959801.995379</v>
      </c>
      <c r="H99" s="2">
        <f>H11/'Output-Calculation-sheet'!H10*'Output-Calculation-sheet'!H82</f>
        <v>3090024440.4163566</v>
      </c>
      <c r="I99" s="2">
        <f>I11/'Output-Calculation-sheet'!I10*'Output-Calculation-sheet'!I82</f>
        <v>2595396372.5372052</v>
      </c>
      <c r="J99" s="2">
        <f>J11/'Output-Calculation-sheet'!J10*'Output-Calculation-sheet'!J82</f>
        <v>1615109377.5010202</v>
      </c>
      <c r="K99" s="2">
        <f>K11/'Output-Calculation-sheet'!K10*'Output-Calculation-sheet'!K82</f>
        <v>2363119723.9282999</v>
      </c>
      <c r="L99" s="2">
        <f>L11/'Output-Calculation-sheet'!L10*'Output-Calculation-sheet'!L82</f>
        <v>1824504660.3665664</v>
      </c>
      <c r="M99" s="2">
        <f>M11/'Output-Calculation-sheet'!M10*'Output-Calculation-sheet'!M82</f>
        <v>2327656322.852562</v>
      </c>
      <c r="N99" s="2">
        <f>N11/'Output-Calculation-sheet'!N10*'Output-Calculation-sheet'!N82</f>
        <v>1639833029.493197</v>
      </c>
      <c r="O99" s="2">
        <f>O11/'Output-Calculation-sheet'!O10*'Output-Calculation-sheet'!O82</f>
        <v>889034780.40254104</v>
      </c>
      <c r="P99" s="2">
        <f>P11/'Output-Calculation-sheet'!P10*'Output-Calculation-sheet'!P82</f>
        <v>2771339817.8445597</v>
      </c>
      <c r="Q99" s="2">
        <f>Q11/'Output-Calculation-sheet'!Q10*'Output-Calculation-sheet'!Q82</f>
        <v>1311569418.3353157</v>
      </c>
      <c r="R99" s="2">
        <f>R11/'Output-Calculation-sheet'!R10*'Output-Calculation-sheet'!R82</f>
        <v>1697823644.1445994</v>
      </c>
      <c r="S99" s="2">
        <f>S11/'Output-Calculation-sheet'!S10*'Output-Calculation-sheet'!S82</f>
        <v>977991514.66958654</v>
      </c>
      <c r="T99" s="2">
        <f>T11/'Output-Calculation-sheet'!T10*'Output-Calculation-sheet'!T82</f>
        <v>714794866.49793029</v>
      </c>
      <c r="U99" s="2">
        <f>U11/'Output-Calculation-sheet'!U10*'Output-Calculation-sheet'!U82</f>
        <v>473352463.88944936</v>
      </c>
      <c r="V99" s="2">
        <f>V11/'Output-Calculation-sheet'!V10*'Output-Calculation-sheet'!V82</f>
        <v>253094368.11737064</v>
      </c>
      <c r="W99" s="2">
        <f>W11/'Output-Calculation-sheet'!W10*'Output-Calculation-sheet'!W82</f>
        <v>701845264.91253841</v>
      </c>
      <c r="X99" s="2">
        <f>X11/'Output-Calculation-sheet'!X10*'Output-Calculation-sheet'!X82</f>
        <v>264332941.63021138</v>
      </c>
      <c r="Y99" s="2">
        <f>Y11/'Output-Calculation-sheet'!Y10*'Output-Calculation-sheet'!Y82</f>
        <v>386235679.84937835</v>
      </c>
      <c r="AA99" s="2">
        <f t="shared" si="8"/>
        <v>75.992805180005675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1680.0460261198996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517.17027340014101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355.8634788636254</v>
      </c>
      <c r="N107" s="2">
        <f>N8/'Output-Calculation-sheet'!N7*'Output-Calculation-sheet'!N88</f>
        <v>139.90243503433678</v>
      </c>
      <c r="O107" s="2">
        <f>O8/'Output-Calculation-sheet'!O7*'Output-Calculation-sheet'!O88</f>
        <v>391.66352383560007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39.038963767610369</v>
      </c>
      <c r="Y107" s="2">
        <f>Y8/'Output-Calculation-sheet'!Y7*'Output-Calculation-sheet'!Y88</f>
        <v>0</v>
      </c>
      <c r="AA107" s="2">
        <f t="shared" si="9"/>
        <v>3.123684701021213</v>
      </c>
    </row>
    <row r="108" spans="1:27" x14ac:dyDescent="0.25">
      <c r="A108" s="2">
        <v>2032</v>
      </c>
      <c r="B108" s="2">
        <f>B9/'Output-Calculation-sheet'!B8*'Output-Calculation-sheet'!B89</f>
        <v>736.19341653763502</v>
      </c>
      <c r="C108" s="2">
        <f>C9/'Output-Calculation-sheet'!C8*'Output-Calculation-sheet'!C89</f>
        <v>2795.3154798565033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752.924201135624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518.08512460543545</v>
      </c>
      <c r="N108" s="2">
        <f>N9/'Output-Calculation-sheet'!N8*'Output-Calculation-sheet'!N89</f>
        <v>363.70975504638392</v>
      </c>
      <c r="O108" s="2">
        <f>O9/'Output-Calculation-sheet'!O8*'Output-Calculation-sheet'!O89</f>
        <v>543.05214165338271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166.7927899770805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56.83501569926581</v>
      </c>
      <c r="Y108" s="2">
        <f>Y9/'Output-Calculation-sheet'!Y8*'Output-Calculation-sheet'!Y89</f>
        <v>0</v>
      </c>
      <c r="AA108" s="2">
        <f t="shared" si="9"/>
        <v>5.9329079245113103</v>
      </c>
    </row>
    <row r="109" spans="1:27" x14ac:dyDescent="0.25">
      <c r="A109" s="2">
        <v>2033</v>
      </c>
      <c r="B109" s="2">
        <f>B10/'Output-Calculation-sheet'!B9*'Output-Calculation-sheet'!B90</f>
        <v>3581.6792824118475</v>
      </c>
      <c r="C109" s="2">
        <f>C10/'Output-Calculation-sheet'!C9*'Output-Calculation-sheet'!C90</f>
        <v>3399.8957736860407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1046.593366772267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720.15809030657169</v>
      </c>
      <c r="N109" s="2">
        <f>N10/'Output-Calculation-sheet'!N9*'Output-Calculation-sheet'!N90</f>
        <v>566.2388889430124</v>
      </c>
      <c r="O109" s="2">
        <f>O10/'Output-Calculation-sheet'!O9*'Output-Calculation-sheet'!O90</f>
        <v>660.50529702403003</v>
      </c>
      <c r="P109" s="2">
        <f>P10/'Output-Calculation-sheet'!P9*'Output-Calculation-sheet'!P90</f>
        <v>0</v>
      </c>
      <c r="Q109" s="2">
        <f>Q10/'Output-Calculation-sheet'!Q9*'Output-Calculation-sheet'!Q90</f>
        <v>124.02799034053163</v>
      </c>
      <c r="R109" s="2">
        <f>R10/'Output-Calculation-sheet'!R9*'Output-Calculation-sheet'!R90</f>
        <v>0</v>
      </c>
      <c r="S109" s="2">
        <f>S10/'Output-Calculation-sheet'!S9*'Output-Calculation-sheet'!S90</f>
        <v>284.01421883689716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79.002840314512056</v>
      </c>
      <c r="Y109" s="2">
        <f>Y10/'Output-Calculation-sheet'!Y9*'Output-Calculation-sheet'!Y90</f>
        <v>0</v>
      </c>
      <c r="AA109" s="2">
        <f t="shared" si="9"/>
        <v>10.462115748635712</v>
      </c>
    </row>
    <row r="110" spans="1:27" x14ac:dyDescent="0.25">
      <c r="A110" s="2">
        <v>2034</v>
      </c>
      <c r="B110" s="2">
        <f>B11/'Output-Calculation-sheet'!B10*'Output-Calculation-sheet'!B91</f>
        <v>5887.6923414054372</v>
      </c>
      <c r="C110" s="2">
        <f>C11/'Output-Calculation-sheet'!C10*'Output-Calculation-sheet'!C91</f>
        <v>4036.406195239771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1146.9517069586045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789.21439518057025</v>
      </c>
      <c r="N110" s="2">
        <f>N11/'Output-Calculation-sheet'!N10*'Output-Calculation-sheet'!N91</f>
        <v>711.03061302904132</v>
      </c>
      <c r="O110" s="2">
        <f>O11/'Output-Calculation-sheet'!O10*'Output-Calculation-sheet'!O91</f>
        <v>784.16158916719633</v>
      </c>
      <c r="P110" s="2">
        <f>P11/'Output-Calculation-sheet'!P10*'Output-Calculation-sheet'!P91</f>
        <v>179.14565268866815</v>
      </c>
      <c r="Q110" s="2">
        <f>Q11/'Output-Calculation-sheet'!Q10*'Output-Calculation-sheet'!Q91</f>
        <v>396.4365237399719</v>
      </c>
      <c r="R110" s="2">
        <f>R11/'Output-Calculation-sheet'!R10*'Output-Calculation-sheet'!R91</f>
        <v>0</v>
      </c>
      <c r="S110" s="2">
        <f>S11/'Output-Calculation-sheet'!S10*'Output-Calculation-sheet'!S91</f>
        <v>407.58729337319846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86.578460584706178</v>
      </c>
      <c r="Y110" s="2">
        <f>Y11/'Output-Calculation-sheet'!Y10*'Output-Calculation-sheet'!Y91</f>
        <v>13.924978425943095</v>
      </c>
      <c r="AA110" s="2">
        <f t="shared" si="9"/>
        <v>14.439129749793109</v>
      </c>
    </row>
    <row r="111" spans="1:27" x14ac:dyDescent="0.25">
      <c r="A111" s="2">
        <v>2035</v>
      </c>
      <c r="B111" s="2">
        <f>B12/'Output-Calculation-sheet'!B11*'Output-Calculation-sheet'!B92</f>
        <v>8397.9288689116675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1496.5485309524472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613.25994412068019</v>
      </c>
      <c r="Q111" s="2">
        <f>Q12/'Output-Calculation-sheet'!Q11*'Output-Calculation-sheet'!Q92</f>
        <v>436.21084909051319</v>
      </c>
      <c r="R111" s="2">
        <f>R12/'Output-Calculation-sheet'!R11*'Output-Calculation-sheet'!R92</f>
        <v>0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59.58581301869706</v>
      </c>
      <c r="AA111" s="2">
        <f t="shared" si="9"/>
        <v>19.233032058341859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1347272896.6942198</v>
      </c>
      <c r="C118" s="2">
        <f>C8/'Output-Calculation-sheet'!C7*'Output-Calculation-sheet'!C97</f>
        <v>7897865822.4982634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2430011172.3825998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1687852161.3636565</v>
      </c>
      <c r="N118" s="2">
        <f>N8/'Output-Calculation-sheet'!N7*'Output-Calculation-sheet'!N97</f>
        <v>1324482697.7338066</v>
      </c>
      <c r="O118" s="2">
        <f>O8/'Output-Calculation-sheet'!O7*'Output-Calculation-sheet'!O97</f>
        <v>881326008.7715199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479142400.23022562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181918427.75998175</v>
      </c>
      <c r="Y118" s="2">
        <f>Y8/'Output-Calculation-sheet'!Y7*'Output-Calculation-sheet'!Y97</f>
        <v>0</v>
      </c>
      <c r="AA118" s="2">
        <f t="shared" si="10"/>
        <v>16229.871587434276</v>
      </c>
    </row>
    <row r="119" spans="1:27" x14ac:dyDescent="0.25">
      <c r="A119" s="2">
        <v>2032</v>
      </c>
      <c r="B119" s="2">
        <f>B9/'Output-Calculation-sheet'!B8*'Output-Calculation-sheet'!B98</f>
        <v>5522961254.679184</v>
      </c>
      <c r="C119" s="2">
        <f>C9/'Output-Calculation-sheet'!C8*'Output-Calculation-sheet'!C98</f>
        <v>4389761160.6417503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2624209044.0125999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1831707740.1850128</v>
      </c>
      <c r="N119" s="2">
        <f>N9/'Output-Calculation-sheet'!N8*'Output-Calculation-sheet'!N98</f>
        <v>1236333535.7616179</v>
      </c>
      <c r="O119" s="2">
        <f>O9/'Output-Calculation-sheet'!O8*'Output-Calculation-sheet'!O98</f>
        <v>857678215.70179033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514072057.98835981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195999294.94700223</v>
      </c>
      <c r="Y119" s="2">
        <f>Y9/'Output-Calculation-sheet'!Y8*'Output-Calculation-sheet'!Y98</f>
        <v>0</v>
      </c>
      <c r="AA119" s="2">
        <f t="shared" si="10"/>
        <v>17172.722303917315</v>
      </c>
    </row>
    <row r="120" spans="1:27" x14ac:dyDescent="0.25">
      <c r="A120" s="2">
        <v>2033</v>
      </c>
      <c r="B120" s="2">
        <f>B10/'Output-Calculation-sheet'!B9*'Output-Calculation-sheet'!B99</f>
        <v>5152722894.8849955</v>
      </c>
      <c r="C120" s="2">
        <f>C10/'Output-Calculation-sheet'!C9*'Output-Calculation-sheet'!C99</f>
        <v>4235858172.6158133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1388837552.9797862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983030757.59242487</v>
      </c>
      <c r="N120" s="2">
        <f>N10/'Output-Calculation-sheet'!N9*'Output-Calculation-sheet'!N99</f>
        <v>979977511.40319419</v>
      </c>
      <c r="O120" s="2">
        <f>O10/'Output-Calculation-sheet'!O9*'Output-Calculation-sheet'!O99</f>
        <v>829289791.26664615</v>
      </c>
      <c r="P120" s="2">
        <f>P10/'Output-Calculation-sheet'!P9*'Output-Calculation-sheet'!P99</f>
        <v>0</v>
      </c>
      <c r="Q120" s="2">
        <f>Q10/'Output-Calculation-sheet'!Q9*'Output-Calculation-sheet'!Q99</f>
        <v>5873496.8394090487</v>
      </c>
      <c r="R120" s="2">
        <f>R10/'Output-Calculation-sheet'!R9*'Output-Calculation-sheet'!R99</f>
        <v>0</v>
      </c>
      <c r="S120" s="2">
        <f>S10/'Output-Calculation-sheet'!S9*'Output-Calculation-sheet'!S99</f>
        <v>410408186.67603838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98159982.559649795</v>
      </c>
      <c r="Y120" s="2">
        <f>Y10/'Output-Calculation-sheet'!Y9*'Output-Calculation-sheet'!Y99</f>
        <v>0</v>
      </c>
      <c r="AA120" s="2">
        <f t="shared" si="10"/>
        <v>14084.158346817956</v>
      </c>
    </row>
    <row r="121" spans="1:27" x14ac:dyDescent="0.25">
      <c r="A121" s="2">
        <v>2034</v>
      </c>
      <c r="B121" s="2">
        <f>B11/'Output-Calculation-sheet'!B10*'Output-Calculation-sheet'!B100</f>
        <v>4420035921.4131746</v>
      </c>
      <c r="C121" s="2">
        <f>C11/'Output-Calculation-sheet'!C10*'Output-Calculation-sheet'!C100</f>
        <v>529895453.58473217</v>
      </c>
      <c r="D121" s="2">
        <f>D11/'Output-Calculation-sheet'!D10*'Output-Calculation-sheet'!D100</f>
        <v>0</v>
      </c>
      <c r="E121" s="2">
        <f>E11/'Output-Calculation-sheet'!E10*'Output-Calculation-sheet'!E100</f>
        <v>625360555.19227791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1395264268.9356902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509713720.37524492</v>
      </c>
      <c r="M121" s="2">
        <f>M11/'Output-Calculation-sheet'!M10*'Output-Calculation-sheet'!M100</f>
        <v>993004243.02008653</v>
      </c>
      <c r="N121" s="2">
        <f>N11/'Output-Calculation-sheet'!N10*'Output-Calculation-sheet'!N100</f>
        <v>662013740.76936054</v>
      </c>
      <c r="O121" s="2">
        <f>O11/'Output-Calculation-sheet'!O10*'Output-Calculation-sheet'!O100</f>
        <v>103940736.15084352</v>
      </c>
      <c r="P121" s="2">
        <f>P11/'Output-Calculation-sheet'!P10*'Output-Calculation-sheet'!P100</f>
        <v>0</v>
      </c>
      <c r="Q121" s="2">
        <f>Q11/'Output-Calculation-sheet'!Q10*'Output-Calculation-sheet'!Q100</f>
        <v>224019733.58204201</v>
      </c>
      <c r="R121" s="2">
        <f>R11/'Output-Calculation-sheet'!R10*'Output-Calculation-sheet'!R100</f>
        <v>0</v>
      </c>
      <c r="S121" s="2">
        <f>S11/'Output-Calculation-sheet'!S10*'Output-Calculation-sheet'!S100</f>
        <v>247522036.83249605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97569614.895861164</v>
      </c>
      <c r="Y121" s="2">
        <f>Y11/'Output-Calculation-sheet'!Y10*'Output-Calculation-sheet'!Y100</f>
        <v>14154062.405437427</v>
      </c>
      <c r="AA121" s="2">
        <f t="shared" si="10"/>
        <v>9822.4940871572453</v>
      </c>
    </row>
    <row r="122" spans="1:27" x14ac:dyDescent="0.25">
      <c r="A122" s="2">
        <v>2035</v>
      </c>
      <c r="B122" s="2">
        <f>B12/'Output-Calculation-sheet'!B11*'Output-Calculation-sheet'!B101</f>
        <v>994411481.50248039</v>
      </c>
      <c r="C122" s="2">
        <f>C12/'Output-Calculation-sheet'!C11*'Output-Calculation-sheet'!C101</f>
        <v>186886806.63345563</v>
      </c>
      <c r="D122" s="2">
        <f>D12/'Output-Calculation-sheet'!D11*'Output-Calculation-sheet'!D101</f>
        <v>0</v>
      </c>
      <c r="E122" s="2">
        <f>E12/'Output-Calculation-sheet'!E11*'Output-Calculation-sheet'!E101</f>
        <v>1545815588.840734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303146994.0137977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664716415.62755144</v>
      </c>
      <c r="M122" s="2">
        <f>M12/'Output-Calculation-sheet'!M11*'Output-Calculation-sheet'!M101</f>
        <v>254181109.93266666</v>
      </c>
      <c r="N122" s="2">
        <f>N12/'Output-Calculation-sheet'!N11*'Output-Calculation-sheet'!N101</f>
        <v>177271379.5760684</v>
      </c>
      <c r="O122" s="2">
        <f>O12/'Output-Calculation-sheet'!O11*'Output-Calculation-sheet'!O101</f>
        <v>20480091.519368667</v>
      </c>
      <c r="P122" s="2">
        <f>P12/'Output-Calculation-sheet'!P11*'Output-Calculation-sheet'!P101</f>
        <v>27643581.340898883</v>
      </c>
      <c r="Q122" s="2">
        <f>Q12/'Output-Calculation-sheet'!Q11*'Output-Calculation-sheet'!Q101</f>
        <v>388278074.86662042</v>
      </c>
      <c r="R122" s="2">
        <f>R12/'Output-Calculation-sheet'!R11*'Output-Calculation-sheet'!R101</f>
        <v>0</v>
      </c>
      <c r="S122" s="2">
        <f>S12/'Output-Calculation-sheet'!S11*'Output-Calculation-sheet'!S101</f>
        <v>105314969.42817239</v>
      </c>
      <c r="T122" s="2">
        <f>T12/'Output-Calculation-sheet'!T11*'Output-Calculation-sheet'!T101</f>
        <v>0</v>
      </c>
      <c r="U122" s="2">
        <f>U12/'Output-Calculation-sheet'!U11*'Output-Calculation-sheet'!U101</f>
        <v>36390474.948024981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9213185.0032744724</v>
      </c>
      <c r="Y122" s="2">
        <f>Y12/'Output-Calculation-sheet'!Y11*'Output-Calculation-sheet'!Y101</f>
        <v>54937384.453597553</v>
      </c>
      <c r="AA122" s="2">
        <f t="shared" si="10"/>
        <v>4768.6875376867119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45747023712.795555</v>
      </c>
      <c r="C129" s="2">
        <f>C8/'Output-Calculation-sheet'!C7*'Output-Calculation-sheet'!C106</f>
        <v>0</v>
      </c>
      <c r="D129" s="2">
        <f>D8/'Output-Calculation-sheet'!D7*'Output-Calculation-sheet'!D106</f>
        <v>19780085432.881176</v>
      </c>
      <c r="E129" s="2">
        <f>E8/'Output-Calculation-sheet'!E7*'Output-Calculation-sheet'!E106</f>
        <v>15693508941.724291</v>
      </c>
      <c r="F129" s="2">
        <f>F8/'Output-Calculation-sheet'!F7*'Output-Calculation-sheet'!F106</f>
        <v>10102471270.546711</v>
      </c>
      <c r="G129" s="2">
        <f>G8/'Output-Calculation-sheet'!G7*'Output-Calculation-sheet'!G106</f>
        <v>7098289976.6407394</v>
      </c>
      <c r="H129" s="2">
        <f>H8/'Output-Calculation-sheet'!H7*'Output-Calculation-sheet'!H106</f>
        <v>0</v>
      </c>
      <c r="I129" s="2">
        <f>I8/'Output-Calculation-sheet'!I7*'Output-Calculation-sheet'!I106</f>
        <v>6467085895.1537428</v>
      </c>
      <c r="J129" s="2">
        <f>J8/'Output-Calculation-sheet'!J7*'Output-Calculation-sheet'!J106</f>
        <v>6294596072.3913727</v>
      </c>
      <c r="K129" s="2">
        <f>K8/'Output-Calculation-sheet'!K7*'Output-Calculation-sheet'!K106</f>
        <v>6234259582.6600065</v>
      </c>
      <c r="L129" s="2">
        <f>L8/'Output-Calculation-sheet'!L7*'Output-Calculation-sheet'!L106</f>
        <v>5001215934.7908201</v>
      </c>
      <c r="M129" s="2">
        <f>M8/'Output-Calculation-sheet'!M7*'Output-Calculation-sheet'!M106</f>
        <v>0</v>
      </c>
      <c r="N129" s="2">
        <f>N8/'Output-Calculation-sheet'!N7*'Output-Calculation-sheet'!N106</f>
        <v>2197866345.9320607</v>
      </c>
      <c r="O129" s="2">
        <f>O8/'Output-Calculation-sheet'!O7*'Output-Calculation-sheet'!O106</f>
        <v>0</v>
      </c>
      <c r="P129" s="2">
        <f>P8/'Output-Calculation-sheet'!P7*'Output-Calculation-sheet'!P106</f>
        <v>4268301739.6813512</v>
      </c>
      <c r="Q129" s="2">
        <f>Q8/'Output-Calculation-sheet'!Q7*'Output-Calculation-sheet'!Q106</f>
        <v>4199311267.4143095</v>
      </c>
      <c r="R129" s="2">
        <f>R8/'Output-Calculation-sheet'!R7*'Output-Calculation-sheet'!R106</f>
        <v>4039938790.3675432</v>
      </c>
      <c r="S129" s="2">
        <f>S8/'Output-Calculation-sheet'!S7*'Output-Calculation-sheet'!S106</f>
        <v>2206001794.9004302</v>
      </c>
      <c r="T129" s="2">
        <f>T8/'Output-Calculation-sheet'!T7*'Output-Calculation-sheet'!T106</f>
        <v>1485036583.2801621</v>
      </c>
      <c r="U129" s="2">
        <f>U8/'Output-Calculation-sheet'!U7*'Output-Calculation-sheet'!U106</f>
        <v>1293418412.7012506</v>
      </c>
      <c r="V129" s="2">
        <f>V8/'Output-Calculation-sheet'!V7*'Output-Calculation-sheet'!V106</f>
        <v>995953737.25903726</v>
      </c>
      <c r="W129" s="2">
        <f>W8/'Output-Calculation-sheet'!W7*'Output-Calculation-sheet'!W106</f>
        <v>862281993.23337817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143966.64748435392</v>
      </c>
    </row>
    <row r="130" spans="1:27" x14ac:dyDescent="0.25">
      <c r="A130" s="2">
        <v>2032</v>
      </c>
      <c r="B130" s="2">
        <f>B9/'Output-Calculation-sheet'!B8*'Output-Calculation-sheet'!B107</f>
        <v>49979635635.346199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0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1818933268.4015403</v>
      </c>
      <c r="O130" s="2">
        <f>O9/'Output-Calculation-sheet'!O8*'Output-Calculation-sheet'!O107</f>
        <v>0</v>
      </c>
      <c r="P130" s="2">
        <f>P9/'Output-Calculation-sheet'!P8*'Output-Calculation-sheet'!P107</f>
        <v>5548191109.4358711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1614909453.9593892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175361.65794305873</v>
      </c>
    </row>
    <row r="131" spans="1:27" x14ac:dyDescent="0.25">
      <c r="A131" s="2">
        <v>2033</v>
      </c>
      <c r="B131" s="2">
        <f>B10/'Output-Calculation-sheet'!B9*'Output-Calculation-sheet'!B108</f>
        <v>38437744783.167542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1408463163.8882344</v>
      </c>
      <c r="O131" s="2">
        <f>O10/'Output-Calculation-sheet'!O9*'Output-Calculation-sheet'!O108</f>
        <v>0</v>
      </c>
      <c r="P131" s="2">
        <f>P10/'Output-Calculation-sheet'!P9*'Output-Calculation-sheet'!P108</f>
        <v>6477915758.2133827</v>
      </c>
      <c r="Q131" s="2">
        <f>Q10/'Output-Calculation-sheet'!Q9*'Output-Calculation-sheet'!Q108</f>
        <v>5464780369.4863911</v>
      </c>
      <c r="R131" s="2">
        <f>R10/'Output-Calculation-sheet'!R9*'Output-Calculation-sheet'!R108</f>
        <v>6131404463.4954519</v>
      </c>
      <c r="S131" s="2">
        <f>S10/'Output-Calculation-sheet'!S9*'Output-Calculation-sheet'!S108</f>
        <v>1366134212.079915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182693.92442347415</v>
      </c>
    </row>
    <row r="132" spans="1:27" x14ac:dyDescent="0.25">
      <c r="A132" s="2">
        <v>2034</v>
      </c>
      <c r="B132" s="2">
        <f>B11/'Output-Calculation-sheet'!B10*'Output-Calculation-sheet'!B109</f>
        <v>25651095285.074196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24756888073.146767</v>
      </c>
      <c r="F132" s="2">
        <f>F11/'Output-Calculation-sheet'!F10*'Output-Calculation-sheet'!F109</f>
        <v>16336868354.725033</v>
      </c>
      <c r="G132" s="2">
        <f>G11/'Output-Calculation-sheet'!G10*'Output-Calculation-sheet'!G109</f>
        <v>11479053607.138876</v>
      </c>
      <c r="H132" s="2">
        <f>H11/'Output-Calculation-sheet'!H10*'Output-Calculation-sheet'!H109</f>
        <v>0</v>
      </c>
      <c r="I132" s="2">
        <f>I11/'Output-Calculation-sheet'!I10*'Output-Calculation-sheet'!I109</f>
        <v>10457593842.886684</v>
      </c>
      <c r="J132" s="2">
        <f>J11/'Output-Calculation-sheet'!J10*'Output-Calculation-sheet'!J109</f>
        <v>10178769734.350891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7577548046.5938416</v>
      </c>
      <c r="M132" s="2">
        <f>M11/'Output-Calculation-sheet'!M10*'Output-Calculation-sheet'!M109</f>
        <v>0</v>
      </c>
      <c r="N132" s="2">
        <f>N11/'Output-Calculation-sheet'!N10*'Output-Calculation-sheet'!N109</f>
        <v>996456937.32039714</v>
      </c>
      <c r="O132" s="2">
        <f>O11/'Output-Calculation-sheet'!O10*'Output-Calculation-sheet'!O109</f>
        <v>0</v>
      </c>
      <c r="P132" s="2">
        <f>P11/'Output-Calculation-sheet'!P10*'Output-Calculation-sheet'!P109</f>
        <v>5661596675.0483189</v>
      </c>
      <c r="Q132" s="2">
        <f>Q11/'Output-Calculation-sheet'!Q10*'Output-Calculation-sheet'!Q109</f>
        <v>3646673952.1405869</v>
      </c>
      <c r="R132" s="2">
        <f>R11/'Output-Calculation-sheet'!R10*'Output-Calculation-sheet'!R109</f>
        <v>6532417077.8443375</v>
      </c>
      <c r="S132" s="2">
        <f>S11/'Output-Calculation-sheet'!S10*'Output-Calculation-sheet'!S109</f>
        <v>683878544.86550331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2092719947.9147174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173525.80682860612</v>
      </c>
    </row>
    <row r="133" spans="1:27" x14ac:dyDescent="0.25">
      <c r="A133" s="2">
        <v>2035</v>
      </c>
      <c r="B133" s="2">
        <f>B12/'Output-Calculation-sheet'!B11*'Output-Calculation-sheet'!B110</f>
        <v>341641779.2901119</v>
      </c>
      <c r="C133" s="2">
        <f>C12/'Output-Calculation-sheet'!C11*'Output-Calculation-sheet'!C110</f>
        <v>0</v>
      </c>
      <c r="D133" s="2">
        <f>D12/'Output-Calculation-sheet'!D11*'Output-Calculation-sheet'!D110</f>
        <v>28304651387.820793</v>
      </c>
      <c r="E133" s="2">
        <f>E12/'Output-Calculation-sheet'!E11*'Output-Calculation-sheet'!E110</f>
        <v>13763929330.964621</v>
      </c>
      <c r="F133" s="2">
        <f>F12/'Output-Calculation-sheet'!F11*'Output-Calculation-sheet'!F110</f>
        <v>15263151106.605104</v>
      </c>
      <c r="G133" s="2">
        <f>G12/'Output-Calculation-sheet'!G11*'Output-Calculation-sheet'!G110</f>
        <v>10579638273.073744</v>
      </c>
      <c r="H133" s="2">
        <f>H12/'Output-Calculation-sheet'!H11*'Output-Calculation-sheet'!H110</f>
        <v>0</v>
      </c>
      <c r="I133" s="2">
        <f>I12/'Output-Calculation-sheet'!I11*'Output-Calculation-sheet'!I110</f>
        <v>9550105132.0305271</v>
      </c>
      <c r="J133" s="2">
        <f>J12/'Output-Calculation-sheet'!J11*'Output-Calculation-sheet'!J110</f>
        <v>9197470797.8951378</v>
      </c>
      <c r="K133" s="2">
        <f>K12/'Output-Calculation-sheet'!K11*'Output-Calculation-sheet'!K110</f>
        <v>9098900182.0696602</v>
      </c>
      <c r="L133" s="2">
        <f>L12/'Output-Calculation-sheet'!L11*'Output-Calculation-sheet'!L110</f>
        <v>6692231659.2061634</v>
      </c>
      <c r="M133" s="2">
        <f>M12/'Output-Calculation-sheet'!M11*'Output-Calculation-sheet'!M110</f>
        <v>0</v>
      </c>
      <c r="N133" s="2">
        <f>N12/'Output-Calculation-sheet'!N11*'Output-Calculation-sheet'!N110</f>
        <v>874677.13801404356</v>
      </c>
      <c r="O133" s="2">
        <f>O12/'Output-Calculation-sheet'!O11*'Output-Calculation-sheet'!O110</f>
        <v>0</v>
      </c>
      <c r="P133" s="2">
        <f>P12/'Output-Calculation-sheet'!P11*'Output-Calculation-sheet'!P110</f>
        <v>2073755093.5750358</v>
      </c>
      <c r="Q133" s="2">
        <f>Q12/'Output-Calculation-sheet'!Q11*'Output-Calculation-sheet'!Q110</f>
        <v>2754622414.6815848</v>
      </c>
      <c r="R133" s="2">
        <f>R12/'Output-Calculation-sheet'!R11*'Output-Calculation-sheet'!R110</f>
        <v>6052214392.9564667</v>
      </c>
      <c r="S133" s="2">
        <f>S12/'Output-Calculation-sheet'!S11*'Output-Calculation-sheet'!S110</f>
        <v>10020369.341078607</v>
      </c>
      <c r="T133" s="2">
        <f>T12/'Output-Calculation-sheet'!T11*'Output-Calculation-sheet'!T110</f>
        <v>2273926069.1996384</v>
      </c>
      <c r="U133" s="2">
        <f>U12/'Output-Calculation-sheet'!U11*'Output-Calculation-sheet'!U110</f>
        <v>1844980776.2161593</v>
      </c>
      <c r="V133" s="2">
        <f>V12/'Output-Calculation-sheet'!V11*'Output-Calculation-sheet'!V110</f>
        <v>1529217886.6074455</v>
      </c>
      <c r="W133" s="2">
        <f>W12/'Output-Calculation-sheet'!W11*'Output-Calculation-sheet'!W110</f>
        <v>1343476195.3975141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120674.8075240688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14295376359.820953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4494106241.7925463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3089181535.9608083</v>
      </c>
      <c r="N140" s="2">
        <f>N8/'Output-Calculation-sheet'!N7*'Output-Calculation-sheet'!N115</f>
        <v>1166288473.5474155</v>
      </c>
      <c r="O140" s="2">
        <f>O8/'Output-Calculation-sheet'!O7*'Output-Calculation-sheet'!O115</f>
        <v>3430820720.378284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335448025.2678749</v>
      </c>
      <c r="Y140" s="2">
        <f>Y8/'Output-Calculation-sheet'!Y7*'Output-Calculation-sheet'!Y115</f>
        <v>0</v>
      </c>
      <c r="AA140" s="2">
        <f t="shared" si="12"/>
        <v>26811.221356767885</v>
      </c>
    </row>
    <row r="141" spans="1:27" x14ac:dyDescent="0.25">
      <c r="A141" s="2">
        <v>2032</v>
      </c>
      <c r="B141" s="2">
        <f>B9/'Output-Calculation-sheet'!B8*'Output-Calculation-sheet'!B116</f>
        <v>5713825612.5363159</v>
      </c>
      <c r="C141" s="2">
        <f>C9/'Output-Calculation-sheet'!C8*'Output-Calculation-sheet'!C116</f>
        <v>24458552125.914101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6376238475.0171833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4377811613.3407965</v>
      </c>
      <c r="N141" s="2">
        <f>N9/'Output-Calculation-sheet'!N8*'Output-Calculation-sheet'!N116</f>
        <v>3039348598.0007381</v>
      </c>
      <c r="O141" s="2">
        <f>O9/'Output-Calculation-sheet'!O8*'Output-Calculation-sheet'!O116</f>
        <v>4747548716.9021034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1361354628.7674451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476509411.21576285</v>
      </c>
      <c r="Y141" s="2">
        <f>Y9/'Output-Calculation-sheet'!Y8*'Output-Calculation-sheet'!Y116</f>
        <v>0</v>
      </c>
      <c r="AA141" s="2">
        <f t="shared" si="12"/>
        <v>50551.189181694448</v>
      </c>
    </row>
    <row r="142" spans="1:27" x14ac:dyDescent="0.25">
      <c r="A142" s="2">
        <v>2033</v>
      </c>
      <c r="B142" s="2">
        <f>B10/'Output-Calculation-sheet'!B9*'Output-Calculation-sheet'!B117</f>
        <v>27887792168.535053</v>
      </c>
      <c r="C142" s="2">
        <f>C10/'Output-Calculation-sheet'!C9*'Output-Calculation-sheet'!C117</f>
        <v>29448356199.947681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9120373430.0650005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6267403051.5629978</v>
      </c>
      <c r="N142" s="2">
        <f>N10/'Output-Calculation-sheet'!N9*'Output-Calculation-sheet'!N117</f>
        <v>4727827229.9522667</v>
      </c>
      <c r="O142" s="2">
        <f>O10/'Output-Calculation-sheet'!O9*'Output-Calculation-sheet'!O117</f>
        <v>5715552202.3362131</v>
      </c>
      <c r="P142" s="2">
        <f>P10/'Output-Calculation-sheet'!P9*'Output-Calculation-sheet'!P117</f>
        <v>0</v>
      </c>
      <c r="Q142" s="2">
        <f>Q10/'Output-Calculation-sheet'!Q9*'Output-Calculation-sheet'!Q117</f>
        <v>902885916.98071969</v>
      </c>
      <c r="R142" s="2">
        <f>R10/'Output-Calculation-sheet'!R9*'Output-Calculation-sheet'!R117</f>
        <v>0</v>
      </c>
      <c r="S142" s="2">
        <f>S10/'Output-Calculation-sheet'!S9*'Output-Calculation-sheet'!S117</f>
        <v>2298885911.0489159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687082777.36292815</v>
      </c>
      <c r="Y142" s="2">
        <f>Y10/'Output-Calculation-sheet'!Y9*'Output-Calculation-sheet'!Y117</f>
        <v>0</v>
      </c>
      <c r="AA142" s="2">
        <f t="shared" si="12"/>
        <v>87056.158887791782</v>
      </c>
    </row>
    <row r="143" spans="1:27" x14ac:dyDescent="0.25">
      <c r="A143" s="2">
        <v>2034</v>
      </c>
      <c r="B143" s="2">
        <f>B11/'Output-Calculation-sheet'!B10*'Output-Calculation-sheet'!B118</f>
        <v>46084964504.088333</v>
      </c>
      <c r="C143" s="2">
        <f>C11/'Output-Calculation-sheet'!C10*'Output-Calculation-sheet'!C118</f>
        <v>35358918270.300392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9801668059.3682175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6731894587.2580004</v>
      </c>
      <c r="N143" s="2">
        <f>N11/'Output-Calculation-sheet'!N10*'Output-Calculation-sheet'!N118</f>
        <v>5923527200.6511202</v>
      </c>
      <c r="O143" s="2">
        <f>O11/'Output-Calculation-sheet'!O10*'Output-Calculation-sheet'!O118</f>
        <v>6869255521.1046391</v>
      </c>
      <c r="P143" s="2">
        <f>P11/'Output-Calculation-sheet'!P10*'Output-Calculation-sheet'!P118</f>
        <v>1240223802.5190377</v>
      </c>
      <c r="Q143" s="2">
        <f>Q11/'Output-Calculation-sheet'!Q10*'Output-Calculation-sheet'!Q118</f>
        <v>2919921956.6971917</v>
      </c>
      <c r="R143" s="2">
        <f>R11/'Output-Calculation-sheet'!R10*'Output-Calculation-sheet'!R118</f>
        <v>0</v>
      </c>
      <c r="S143" s="2">
        <f>S11/'Output-Calculation-sheet'!S10*'Output-Calculation-sheet'!S118</f>
        <v>3410760728.0246491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739059600.64966822</v>
      </c>
      <c r="Y143" s="2">
        <f>Y11/'Output-Calculation-sheet'!Y10*'Output-Calculation-sheet'!Y118</f>
        <v>86606873.514229804</v>
      </c>
      <c r="AA143" s="2">
        <f t="shared" si="12"/>
        <v>119166.80110417551</v>
      </c>
    </row>
    <row r="144" spans="1:27" x14ac:dyDescent="0.25">
      <c r="A144" s="2">
        <v>2035</v>
      </c>
      <c r="B144" s="2">
        <f>B12/'Output-Calculation-sheet'!B11*'Output-Calculation-sheet'!B119</f>
        <v>72885297461.250504</v>
      </c>
      <c r="C144" s="2">
        <f>C12/'Output-Calculation-sheet'!C11*'Output-Calculation-sheet'!C119</f>
        <v>34877062616.443642</v>
      </c>
      <c r="D144" s="2">
        <f>D12/'Output-Calculation-sheet'!D11*'Output-Calculation-sheet'!D119</f>
        <v>0</v>
      </c>
      <c r="E144" s="2">
        <f>E12/'Output-Calculation-sheet'!E11*'Output-Calculation-sheet'!E119</f>
        <v>9188599046.3245487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10596246050.388439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7260052767.7367096</v>
      </c>
      <c r="N144" s="2">
        <f>N12/'Output-Calculation-sheet'!N11*'Output-Calculation-sheet'!N119</f>
        <v>7188518279.3048105</v>
      </c>
      <c r="O144" s="2">
        <f>O12/'Output-Calculation-sheet'!O11*'Output-Calculation-sheet'!O119</f>
        <v>6781275918.9818668</v>
      </c>
      <c r="P144" s="2">
        <f>P12/'Output-Calculation-sheet'!P11*'Output-Calculation-sheet'!P119</f>
        <v>4611029840.1096659</v>
      </c>
      <c r="Q144" s="2">
        <f>Q12/'Output-Calculation-sheet'!Q11*'Output-Calculation-sheet'!Q119</f>
        <v>3160064977.3155417</v>
      </c>
      <c r="R144" s="2">
        <f>R12/'Output-Calculation-sheet'!R11*'Output-Calculation-sheet'!R119</f>
        <v>0</v>
      </c>
      <c r="S144" s="2">
        <f>S12/'Output-Calculation-sheet'!S11*'Output-Calculation-sheet'!S119</f>
        <v>4106475719.3751678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807850693.06648815</v>
      </c>
      <c r="Y144" s="2">
        <f>Y12/'Output-Calculation-sheet'!Y11*'Output-Calculation-sheet'!Y119</f>
        <v>385489953.01942414</v>
      </c>
      <c r="AA144" s="2">
        <f t="shared" si="12"/>
        <v>161847.96332331686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47094297528.904671</v>
      </c>
      <c r="C151" s="2">
        <f>C8/'Output-Calculation-sheet'!C7*'Output-Calculation-sheet'!C124</f>
        <v>22193242182.319218</v>
      </c>
      <c r="D151" s="2">
        <f>D8/'Output-Calculation-sheet'!D7*'Output-Calculation-sheet'!D124</f>
        <v>19780085432.881176</v>
      </c>
      <c r="E151" s="2">
        <f>E8/'Output-Calculation-sheet'!E7*'Output-Calculation-sheet'!E124</f>
        <v>15693508941.724291</v>
      </c>
      <c r="F151" s="2">
        <f>F8/'Output-Calculation-sheet'!F7*'Output-Calculation-sheet'!F124</f>
        <v>10102471270.546711</v>
      </c>
      <c r="G151" s="2">
        <f>G8/'Output-Calculation-sheet'!G7*'Output-Calculation-sheet'!G124</f>
        <v>7098289976.6407394</v>
      </c>
      <c r="H151" s="2">
        <f>H8/'Output-Calculation-sheet'!H7*'Output-Calculation-sheet'!H124</f>
        <v>6924117414.1751461</v>
      </c>
      <c r="I151" s="2">
        <f>I8/'Output-Calculation-sheet'!I7*'Output-Calculation-sheet'!I124</f>
        <v>6467085895.1537428</v>
      </c>
      <c r="J151" s="2">
        <f>J8/'Output-Calculation-sheet'!J7*'Output-Calculation-sheet'!J124</f>
        <v>6294596072.3913727</v>
      </c>
      <c r="K151" s="2">
        <f>K8/'Output-Calculation-sheet'!K7*'Output-Calculation-sheet'!K124</f>
        <v>6234259582.6600065</v>
      </c>
      <c r="L151" s="2">
        <f>L8/'Output-Calculation-sheet'!L7*'Output-Calculation-sheet'!L124</f>
        <v>5001215934.7908201</v>
      </c>
      <c r="M151" s="2">
        <f>M8/'Output-Calculation-sheet'!M7*'Output-Calculation-sheet'!M124</f>
        <v>4777033697.3244648</v>
      </c>
      <c r="N151" s="2">
        <f>N8/'Output-Calculation-sheet'!N7*'Output-Calculation-sheet'!N124</f>
        <v>4688636608.7559118</v>
      </c>
      <c r="O151" s="2">
        <f>O8/'Output-Calculation-sheet'!O7*'Output-Calculation-sheet'!O124</f>
        <v>4312146729.1498041</v>
      </c>
      <c r="P151" s="2">
        <f>P8/'Output-Calculation-sheet'!P7*'Output-Calculation-sheet'!P124</f>
        <v>4268301739.6813512</v>
      </c>
      <c r="Q151" s="2">
        <f>Q8/'Output-Calculation-sheet'!Q7*'Output-Calculation-sheet'!Q124</f>
        <v>4199311267.4143095</v>
      </c>
      <c r="R151" s="2">
        <f>R8/'Output-Calculation-sheet'!R7*'Output-Calculation-sheet'!R124</f>
        <v>4039938790.3675432</v>
      </c>
      <c r="S151" s="2">
        <f>S8/'Output-Calculation-sheet'!S7*'Output-Calculation-sheet'!S124</f>
        <v>2685143934.7510929</v>
      </c>
      <c r="T151" s="2">
        <f>T8/'Output-Calculation-sheet'!T7*'Output-Calculation-sheet'!T124</f>
        <v>1485036583.2801621</v>
      </c>
      <c r="U151" s="2">
        <f>U8/'Output-Calculation-sheet'!U7*'Output-Calculation-sheet'!U124</f>
        <v>1293418412.7012506</v>
      </c>
      <c r="V151" s="2">
        <f>V8/'Output-Calculation-sheet'!V7*'Output-Calculation-sheet'!V124</f>
        <v>995953737.25903726</v>
      </c>
      <c r="W151" s="2">
        <f>W8/'Output-Calculation-sheet'!W7*'Output-Calculation-sheet'!W124</f>
        <v>862281993.23337817</v>
      </c>
      <c r="X151" s="2">
        <f>X8/'Output-Calculation-sheet'!X7*'Output-Calculation-sheet'!X124</f>
        <v>517366453.02785665</v>
      </c>
      <c r="Y151" s="2">
        <f>Y8/'Output-Calculation-sheet'!Y7*'Output-Calculation-sheet'!Y124</f>
        <v>503134004.55415416</v>
      </c>
      <c r="AA151" s="2">
        <f t="shared" si="13"/>
        <v>187510.87418368825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17308988244.204498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3363136018.5098319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146243.77324429821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2181613826.3078022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94866.059739766366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1599575592.7003639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970104445.21561372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620308882.27225697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298799109.56595325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43317.845933341414</v>
      </c>
    </row>
    <row r="155" spans="1:27" x14ac:dyDescent="0.25">
      <c r="A155" s="2">
        <v>2035</v>
      </c>
      <c r="B155" s="2">
        <f>B12/'Output-Calculation-sheet'!B11*'Output-Calculation-sheet'!B128</f>
        <v>380218083.62816757</v>
      </c>
      <c r="C155" s="2">
        <f>C12/'Output-Calculation-sheet'!C11*'Output-Calculation-sheet'!C128</f>
        <v>48865330.509643413</v>
      </c>
      <c r="D155" s="2">
        <f>D12/'Output-Calculation-sheet'!D11*'Output-Calculation-sheet'!D128</f>
        <v>3810438000.7357521</v>
      </c>
      <c r="E155" s="2">
        <f>E12/'Output-Calculation-sheet'!E11*'Output-Calculation-sheet'!E128</f>
        <v>709754904.09131432</v>
      </c>
      <c r="F155" s="2">
        <f>F12/'Output-Calculation-sheet'!F11*'Output-Calculation-sheet'!F128</f>
        <v>1098726192.7220068</v>
      </c>
      <c r="G155" s="2">
        <f>G12/'Output-Calculation-sheet'!G11*'Output-Calculation-sheet'!G128</f>
        <v>981381131.84423006</v>
      </c>
      <c r="H155" s="2">
        <f>H12/'Output-Calculation-sheet'!H11*'Output-Calculation-sheet'!H128</f>
        <v>78659241.545003757</v>
      </c>
      <c r="I155" s="2">
        <f>I12/'Output-Calculation-sheet'!I11*'Output-Calculation-sheet'!I128</f>
        <v>978616527.66710365</v>
      </c>
      <c r="J155" s="2">
        <f>J12/'Output-Calculation-sheet'!J11*'Output-Calculation-sheet'!J128</f>
        <v>937028210.96153343</v>
      </c>
      <c r="K155" s="2">
        <f>K12/'Output-Calculation-sheet'!K11*'Output-Calculation-sheet'!K128</f>
        <v>1064046458.0358331</v>
      </c>
      <c r="L155" s="2">
        <f>L12/'Output-Calculation-sheet'!L11*'Output-Calculation-sheet'!L128</f>
        <v>769463461.08904862</v>
      </c>
      <c r="M155" s="2">
        <f>M12/'Output-Calculation-sheet'!M11*'Output-Calculation-sheet'!M128</f>
        <v>65602761.925827824</v>
      </c>
      <c r="N155" s="2">
        <f>N12/'Output-Calculation-sheet'!N11*'Output-Calculation-sheet'!N128</f>
        <v>66396529.714822695</v>
      </c>
      <c r="O155" s="2">
        <f>O12/'Output-Calculation-sheet'!O11*'Output-Calculation-sheet'!O128</f>
        <v>21988365.439349197</v>
      </c>
      <c r="P155" s="2">
        <f>P12/'Output-Calculation-sheet'!P11*'Output-Calculation-sheet'!P128</f>
        <v>74217594.523119181</v>
      </c>
      <c r="Q155" s="2">
        <f>Q12/'Output-Calculation-sheet'!Q11*'Output-Calculation-sheet'!Q128</f>
        <v>442331208.32422429</v>
      </c>
      <c r="R155" s="2">
        <f>R12/'Output-Calculation-sheet'!R11*'Output-Calculation-sheet'!R128</f>
        <v>494589972.05955344</v>
      </c>
      <c r="S155" s="2">
        <f>S12/'Output-Calculation-sheet'!S11*'Output-Calculation-sheet'!S128</f>
        <v>34673042.947812356</v>
      </c>
      <c r="T155" s="2">
        <f>T12/'Output-Calculation-sheet'!T11*'Output-Calculation-sheet'!T128</f>
        <v>116316448.79203914</v>
      </c>
      <c r="U155" s="2">
        <f>U12/'Output-Calculation-sheet'!U11*'Output-Calculation-sheet'!U128</f>
        <v>228914233.5166384</v>
      </c>
      <c r="V155" s="2">
        <f>V12/'Output-Calculation-sheet'!V11*'Output-Calculation-sheet'!V128</f>
        <v>57121702.4902988</v>
      </c>
      <c r="W155" s="2">
        <f>W12/'Output-Calculation-sheet'!W11*'Output-Calculation-sheet'!W128</f>
        <v>53013362.013591543</v>
      </c>
      <c r="X155" s="2">
        <f>X12/'Output-Calculation-sheet'!X11*'Output-Calculation-sheet'!X128</f>
        <v>2017303.6497147363</v>
      </c>
      <c r="Y155" s="2">
        <f>Y12/'Output-Calculation-sheet'!Y11*'Output-Calculation-sheet'!Y128</f>
        <v>15686731.380482242</v>
      </c>
      <c r="AA155" s="2">
        <f t="shared" si="13"/>
        <v>12530.066799607113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1050.5753093398268</v>
      </c>
      <c r="C19" s="2">
        <f>C8/'Output-Calculation-sheet'!C7*'Output-Calculation-sheet'!C25</f>
        <v>4942.9215300317865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1497.2703686593325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1040.0634439830826</v>
      </c>
      <c r="N19" s="2">
        <f>N8/'Output-Calculation-sheet'!N7*'Output-Calculation-sheet'!N25</f>
        <v>865.2098802377717</v>
      </c>
      <c r="O19" s="2">
        <f>O8/'Output-Calculation-sheet'!O7*'Output-Calculation-sheet'!O25</f>
        <v>543.01272140041533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400.13476480563605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112.56379631266941</v>
      </c>
      <c r="Y19" s="2">
        <f>Y8/'Output-Calculation-sheet'!Y7*'Output-Calculation-sheet'!Y25</f>
        <v>0</v>
      </c>
      <c r="AA19" s="2">
        <f t="shared" si="0"/>
        <v>10.451751814770521</v>
      </c>
    </row>
    <row r="20" spans="1:27" x14ac:dyDescent="0.25">
      <c r="A20" s="2">
        <v>2032</v>
      </c>
      <c r="B20" s="2">
        <f>B9/'Output-Calculation-sheet'!B8*'Output-Calculation-sheet'!B26</f>
        <v>5023.8439607363644</v>
      </c>
      <c r="C20" s="2">
        <f>C9/'Output-Calculation-sheet'!C8*'Output-Calculation-sheet'!C26</f>
        <v>2754.9533777466054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1653.8121157243738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1155.6953201372273</v>
      </c>
      <c r="N20" s="2">
        <f>N9/'Output-Calculation-sheet'!N8*'Output-Calculation-sheet'!N26</f>
        <v>800.92834937944031</v>
      </c>
      <c r="O20" s="2">
        <f>O9/'Output-Calculation-sheet'!O8*'Output-Calculation-sheet'!O26</f>
        <v>538.2668349219598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379.92293448167146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125.75652968074539</v>
      </c>
      <c r="Y20" s="2">
        <f>Y9/'Output-Calculation-sheet'!Y8*'Output-Calculation-sheet'!Y26</f>
        <v>0</v>
      </c>
      <c r="AA20" s="2">
        <f t="shared" si="0"/>
        <v>12.433179422808388</v>
      </c>
    </row>
    <row r="21" spans="1:27" x14ac:dyDescent="0.25">
      <c r="A21" s="2">
        <v>2033</v>
      </c>
      <c r="B21" s="2">
        <f>B10/'Output-Calculation-sheet'!B9*'Output-Calculation-sheet'!B27</f>
        <v>4510.1222409426173</v>
      </c>
      <c r="C21" s="2">
        <f>C10/'Output-Calculation-sheet'!C9*'Output-Calculation-sheet'!C27</f>
        <v>2772.1119985953969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908.91119054318403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643.33483857095985</v>
      </c>
      <c r="N21" s="2">
        <f>N10/'Output-Calculation-sheet'!N9*'Output-Calculation-sheet'!N27</f>
        <v>651.5034487774077</v>
      </c>
      <c r="O21" s="2">
        <f>O10/'Output-Calculation-sheet'!O9*'Output-Calculation-sheet'!O27</f>
        <v>542.72009725061412</v>
      </c>
      <c r="P21" s="2">
        <f>P10/'Output-Calculation-sheet'!P9*'Output-Calculation-sheet'!P27</f>
        <v>0</v>
      </c>
      <c r="Q21" s="2">
        <f>Q10/'Output-Calculation-sheet'!Q9*'Output-Calculation-sheet'!Q27</f>
        <v>7.4497423870160135</v>
      </c>
      <c r="R21" s="2">
        <f>R10/'Output-Calculation-sheet'!R9*'Output-Calculation-sheet'!R27</f>
        <v>0</v>
      </c>
      <c r="S21" s="2">
        <f>S10/'Output-Calculation-sheet'!S9*'Output-Calculation-sheet'!S27</f>
        <v>310.22182079955928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64.239748508024235</v>
      </c>
      <c r="Y21" s="2">
        <f>Y10/'Output-Calculation-sheet'!Y9*'Output-Calculation-sheet'!Y27</f>
        <v>0</v>
      </c>
      <c r="AA21" s="2">
        <f t="shared" si="0"/>
        <v>10.410615126374779</v>
      </c>
    </row>
    <row r="22" spans="1:27" x14ac:dyDescent="0.25">
      <c r="A22" s="2">
        <v>2034</v>
      </c>
      <c r="B22" s="2">
        <f>B11/'Output-Calculation-sheet'!B10*'Output-Calculation-sheet'!B28</f>
        <v>3692.5169920670755</v>
      </c>
      <c r="C22" s="2">
        <f>C11/'Output-Calculation-sheet'!C10*'Output-Calculation-sheet'!C28</f>
        <v>371.99106459093701</v>
      </c>
      <c r="D22" s="2">
        <f>D11/'Output-Calculation-sheet'!D10*'Output-Calculation-sheet'!D28</f>
        <v>0</v>
      </c>
      <c r="E22" s="2">
        <f>E11/'Output-Calculation-sheet'!E10*'Output-Calculation-sheet'!E28</f>
        <v>1259.0431621655885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979.48161732980634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749.15723494265796</v>
      </c>
      <c r="M22" s="2">
        <f>M11/'Output-Calculation-sheet'!M10*'Output-Calculation-sheet'!M28</f>
        <v>697.09333358066249</v>
      </c>
      <c r="N22" s="2">
        <f>N11/'Output-Calculation-sheet'!N10*'Output-Calculation-sheet'!N28</f>
        <v>466.01087054283244</v>
      </c>
      <c r="O22" s="2">
        <f>O11/'Output-Calculation-sheet'!O10*'Output-Calculation-sheet'!O28</f>
        <v>72.966913053987724</v>
      </c>
      <c r="P22" s="2">
        <f>P11/'Output-Calculation-sheet'!P10*'Output-Calculation-sheet'!P28</f>
        <v>0</v>
      </c>
      <c r="Q22" s="2">
        <f>Q11/'Output-Calculation-sheet'!Q10*'Output-Calculation-sheet'!Q28</f>
        <v>238.88068392633613</v>
      </c>
      <c r="R22" s="2">
        <f>R11/'Output-Calculation-sheet'!R10*'Output-Calculation-sheet'!R28</f>
        <v>0</v>
      </c>
      <c r="S22" s="2">
        <f>S11/'Output-Calculation-sheet'!S10*'Output-Calculation-sheet'!S28</f>
        <v>174.48925418668136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68.49427357586444</v>
      </c>
      <c r="Y22" s="2">
        <f>Y11/'Output-Calculation-sheet'!Y10*'Output-Calculation-sheet'!Y28</f>
        <v>27.920200517930041</v>
      </c>
      <c r="AA22" s="2">
        <f t="shared" si="0"/>
        <v>8.7980456004803607</v>
      </c>
    </row>
    <row r="23" spans="1:27" x14ac:dyDescent="0.25">
      <c r="A23" s="2">
        <v>2035</v>
      </c>
      <c r="B23" s="2">
        <f>B12/'Output-Calculation-sheet'!B11*'Output-Calculation-sheet'!B29</f>
        <v>774.12313508660941</v>
      </c>
      <c r="C23" s="2">
        <f>C12/'Output-Calculation-sheet'!C11*'Output-Calculation-sheet'!C29</f>
        <v>145.48546949791077</v>
      </c>
      <c r="D23" s="2">
        <f>D12/'Output-Calculation-sheet'!D11*'Output-Calculation-sheet'!D29</f>
        <v>0</v>
      </c>
      <c r="E23" s="2">
        <f>E12/'Output-Calculation-sheet'!E11*'Output-Calculation-sheet'!E29</f>
        <v>1960.0802806114909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235.99186785445042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988.08147783887591</v>
      </c>
      <c r="M23" s="2">
        <f>M12/'Output-Calculation-sheet'!M11*'Output-Calculation-sheet'!M29</f>
        <v>197.87375574706732</v>
      </c>
      <c r="N23" s="2">
        <f>N12/'Output-Calculation-sheet'!N11*'Output-Calculation-sheet'!N29</f>
        <v>138.00097070924187</v>
      </c>
      <c r="O23" s="2">
        <f>O12/'Output-Calculation-sheet'!O11*'Output-Calculation-sheet'!O29</f>
        <v>15.94336852409144</v>
      </c>
      <c r="P23" s="2">
        <f>P12/'Output-Calculation-sheet'!P11*'Output-Calculation-sheet'!P29</f>
        <v>27.462085320447667</v>
      </c>
      <c r="Q23" s="2">
        <f>Q12/'Output-Calculation-sheet'!Q11*'Output-Calculation-sheet'!Q29</f>
        <v>385.05101861677565</v>
      </c>
      <c r="R23" s="2">
        <f>R12/'Output-Calculation-sheet'!R11*'Output-Calculation-sheet'!R29</f>
        <v>0</v>
      </c>
      <c r="S23" s="2">
        <f>S12/'Output-Calculation-sheet'!S11*'Output-Calculation-sheet'!S29</f>
        <v>81.98498797836686</v>
      </c>
      <c r="T23" s="2">
        <f>T12/'Output-Calculation-sheet'!T11*'Output-Calculation-sheet'!T29</f>
        <v>0</v>
      </c>
      <c r="U23" s="2">
        <f>U12/'Output-Calculation-sheet'!U11*'Output-Calculation-sheet'!U29</f>
        <v>89.384362364958093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7.1722225667399551</v>
      </c>
      <c r="Y23" s="2">
        <f>Y12/'Output-Calculation-sheet'!Y11*'Output-Calculation-sheet'!Y29</f>
        <v>60.741978981746477</v>
      </c>
      <c r="AA23" s="2">
        <f t="shared" si="0"/>
        <v>5.1073769816987742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18312.578023390273</v>
      </c>
      <c r="C30" s="2">
        <f>C8/'Output-Calculation-sheet'!C7*'Output-Calculation-sheet'!C16</f>
        <v>0</v>
      </c>
      <c r="D30" s="2">
        <f>D8/'Output-Calculation-sheet'!D7*'Output-Calculation-sheet'!D16</f>
        <v>3083.573065885395</v>
      </c>
      <c r="E30" s="2">
        <f>E8/'Output-Calculation-sheet'!E7*'Output-Calculation-sheet'!E16</f>
        <v>3317.7546665830555</v>
      </c>
      <c r="F30" s="2">
        <f>F8/'Output-Calculation-sheet'!F7*'Output-Calculation-sheet'!F16</f>
        <v>1673.8522365514234</v>
      </c>
      <c r="G30" s="2">
        <f>G8/'Output-Calculation-sheet'!G7*'Output-Calculation-sheet'!G16</f>
        <v>1096.1598306459553</v>
      </c>
      <c r="H30" s="2">
        <f>H8/'Output-Calculation-sheet'!H7*'Output-Calculation-sheet'!H16</f>
        <v>0</v>
      </c>
      <c r="I30" s="2">
        <f>I8/'Output-Calculation-sheet'!I7*'Output-Calculation-sheet'!I16</f>
        <v>1068.6047620804609</v>
      </c>
      <c r="J30" s="2">
        <f>J8/'Output-Calculation-sheet'!J7*'Output-Calculation-sheet'!J16</f>
        <v>951.25061687134394</v>
      </c>
      <c r="K30" s="2">
        <f>K8/'Output-Calculation-sheet'!K7*'Output-Calculation-sheet'!K16</f>
        <v>1270.1024956833255</v>
      </c>
      <c r="L30" s="2">
        <f>L8/'Output-Calculation-sheet'!L7*'Output-Calculation-sheet'!L16</f>
        <v>1072.8244494564401</v>
      </c>
      <c r="M30" s="2">
        <f>M8/'Output-Calculation-sheet'!M7*'Output-Calculation-sheet'!M16</f>
        <v>0</v>
      </c>
      <c r="N30" s="2">
        <f>N8/'Output-Calculation-sheet'!N7*'Output-Calculation-sheet'!N16</f>
        <v>986.3209616414523</v>
      </c>
      <c r="O30" s="2">
        <f>O8/'Output-Calculation-sheet'!O7*'Output-Calculation-sheet'!O16</f>
        <v>0</v>
      </c>
      <c r="P30" s="2">
        <f>P8/'Output-Calculation-sheet'!P7*'Output-Calculation-sheet'!P16</f>
        <v>1369.5992070641203</v>
      </c>
      <c r="Q30" s="2">
        <f>Q8/'Output-Calculation-sheet'!Q7*'Output-Calculation-sheet'!Q16</f>
        <v>1506.1138034356509</v>
      </c>
      <c r="R30" s="2">
        <f>R8/'Output-Calculation-sheet'!R7*'Output-Calculation-sheet'!R16</f>
        <v>955.63459018793537</v>
      </c>
      <c r="S30" s="2">
        <f>S8/'Output-Calculation-sheet'!S7*'Output-Calculation-sheet'!S16</f>
        <v>961.08958867743729</v>
      </c>
      <c r="T30" s="2">
        <f>T8/'Output-Calculation-sheet'!T7*'Output-Calculation-sheet'!T16</f>
        <v>286.86598386872544</v>
      </c>
      <c r="U30" s="2">
        <f>U8/'Output-Calculation-sheet'!U7*'Output-Calculation-sheet'!U16</f>
        <v>286.3545272817662</v>
      </c>
      <c r="V30" s="2">
        <f>V8/'Output-Calculation-sheet'!V7*'Output-Calculation-sheet'!V16</f>
        <v>222.86331756262081</v>
      </c>
      <c r="W30" s="2">
        <f>W8/'Output-Calculation-sheet'!W7*'Output-Calculation-sheet'!W16</f>
        <v>135.1795127037839</v>
      </c>
      <c r="X30" s="2">
        <f>X8/'Output-Calculation-sheet'!X7*'Output-Calculation-sheet'!X16</f>
        <v>0</v>
      </c>
      <c r="Y30" s="2">
        <f>Y8/'Output-Calculation-sheet'!Y7*'Output-Calculation-sheet'!Y16</f>
        <v>114.41204618689981</v>
      </c>
      <c r="AA30" s="2">
        <f t="shared" si="1"/>
        <v>38.671133685758058</v>
      </c>
    </row>
    <row r="31" spans="1:27" x14ac:dyDescent="0.25">
      <c r="A31" s="2">
        <v>2032</v>
      </c>
      <c r="B31" s="2">
        <f>B9/'Output-Calculation-sheet'!B8*'Output-Calculation-sheet'!B17</f>
        <v>21122.320319986669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825.90498572672186</v>
      </c>
      <c r="O31" s="2">
        <f>O9/'Output-Calculation-sheet'!O8*'Output-Calculation-sheet'!O17</f>
        <v>0</v>
      </c>
      <c r="P31" s="2">
        <f>P9/'Output-Calculation-sheet'!P8*'Output-Calculation-sheet'!P17</f>
        <v>2064.2132657024563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683.57494373155953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48.393740126926019</v>
      </c>
    </row>
    <row r="32" spans="1:27" x14ac:dyDescent="0.25">
      <c r="A32" s="2">
        <v>2033</v>
      </c>
      <c r="B32" s="2">
        <f>B10/'Output-Calculation-sheet'!B9*'Output-Calculation-sheet'!B18</f>
        <v>16314.30455072664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2554.1093179490063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660.32459948700534</v>
      </c>
      <c r="O32" s="2">
        <f>O10/'Output-Calculation-sheet'!O9*'Output-Calculation-sheet'!O18</f>
        <v>0</v>
      </c>
      <c r="P32" s="2">
        <f>P10/'Output-Calculation-sheet'!P9*'Output-Calculation-sheet'!P18</f>
        <v>2628.7380714240417</v>
      </c>
      <c r="Q32" s="2">
        <f>Q10/'Output-Calculation-sheet'!Q9*'Output-Calculation-sheet'!Q18</f>
        <v>2434.1252228195544</v>
      </c>
      <c r="R32" s="2">
        <f>R10/'Output-Calculation-sheet'!R9*'Output-Calculation-sheet'!R18</f>
        <v>1887.6604416362634</v>
      </c>
      <c r="S32" s="2">
        <f>S10/'Output-Calculation-sheet'!S9*'Output-Calculation-sheet'!S18</f>
        <v>600.70020596645838</v>
      </c>
      <c r="T32" s="2">
        <f>T10/'Output-Calculation-sheet'!T9*'Output-Calculation-sheet'!T18</f>
        <v>551.14616975405738</v>
      </c>
      <c r="U32" s="2">
        <f>U10/'Output-Calculation-sheet'!U9*'Output-Calculation-sheet'!U18</f>
        <v>609.27388393302147</v>
      </c>
      <c r="V32" s="2">
        <f>V10/'Output-Calculation-sheet'!V9*'Output-Calculation-sheet'!V18</f>
        <v>449.68724792160327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260.39262340070098</v>
      </c>
      <c r="AA32" s="2">
        <f t="shared" si="1"/>
        <v>51.864641035321561</v>
      </c>
    </row>
    <row r="33" spans="1:27" x14ac:dyDescent="0.25">
      <c r="A33" s="2">
        <v>2034</v>
      </c>
      <c r="B33" s="2">
        <f>B11/'Output-Calculation-sheet'!B10*'Output-Calculation-sheet'!B19</f>
        <v>11144.524312105001</v>
      </c>
      <c r="C33" s="2">
        <f>C11/'Output-Calculation-sheet'!C10*'Output-Calculation-sheet'!C19</f>
        <v>0</v>
      </c>
      <c r="D33" s="2">
        <f>D11/'Output-Calculation-sheet'!D10*'Output-Calculation-sheet'!D19</f>
        <v>7413.7862187345072</v>
      </c>
      <c r="E33" s="2">
        <f>E11/'Output-Calculation-sheet'!E10*'Output-Calculation-sheet'!E19</f>
        <v>9173.7292252566222</v>
      </c>
      <c r="F33" s="2">
        <f>F11/'Output-Calculation-sheet'!F10*'Output-Calculation-sheet'!F19</f>
        <v>4207.8671855177336</v>
      </c>
      <c r="G33" s="2">
        <f>G11/'Output-Calculation-sheet'!G10*'Output-Calculation-sheet'!G19</f>
        <v>2523.4605799853921</v>
      </c>
      <c r="H33" s="2">
        <f>H11/'Output-Calculation-sheet'!H10*'Output-Calculation-sheet'!H19</f>
        <v>0</v>
      </c>
      <c r="I33" s="2">
        <f>I11/'Output-Calculation-sheet'!I10*'Output-Calculation-sheet'!I19</f>
        <v>2753.758041982233</v>
      </c>
      <c r="J33" s="2">
        <f>J11/'Output-Calculation-sheet'!J10*'Output-Calculation-sheet'!J19</f>
        <v>2328.4157151939462</v>
      </c>
      <c r="K33" s="2">
        <f>K11/'Output-Calculation-sheet'!K10*'Output-Calculation-sheet'!K19</f>
        <v>3229.5950675403251</v>
      </c>
      <c r="L33" s="2">
        <f>L11/'Output-Calculation-sheet'!L10*'Output-Calculation-sheet'!L19</f>
        <v>2626.8513318709456</v>
      </c>
      <c r="M33" s="2">
        <f>M11/'Output-Calculation-sheet'!M10*'Output-Calculation-sheet'!M19</f>
        <v>0</v>
      </c>
      <c r="N33" s="2">
        <f>N11/'Output-Calculation-sheet'!N10*'Output-Calculation-sheet'!N19</f>
        <v>498.64262868560394</v>
      </c>
      <c r="O33" s="2">
        <f>O11/'Output-Calculation-sheet'!O10*'Output-Calculation-sheet'!O19</f>
        <v>0</v>
      </c>
      <c r="P33" s="2">
        <f>P11/'Output-Calculation-sheet'!P10*'Output-Calculation-sheet'!P19</f>
        <v>2468.3622592533502</v>
      </c>
      <c r="Q33" s="2">
        <f>Q11/'Output-Calculation-sheet'!Q10*'Output-Calculation-sheet'!Q19</f>
        <v>1573.4851822771836</v>
      </c>
      <c r="R33" s="2">
        <f>R11/'Output-Calculation-sheet'!R10*'Output-Calculation-sheet'!R19</f>
        <v>2333.0745344453917</v>
      </c>
      <c r="S33" s="2">
        <f>S11/'Output-Calculation-sheet'!S10*'Output-Calculation-sheet'!S19</f>
        <v>316.98664810366557</v>
      </c>
      <c r="T33" s="2">
        <f>T11/'Output-Calculation-sheet'!T10*'Output-Calculation-sheet'!T19</f>
        <v>684.51911817615337</v>
      </c>
      <c r="U33" s="2">
        <f>U11/'Output-Calculation-sheet'!U10*'Output-Calculation-sheet'!U19</f>
        <v>787.34271523563166</v>
      </c>
      <c r="V33" s="2">
        <f>V11/'Output-Calculation-sheet'!V10*'Output-Calculation-sheet'!V19</f>
        <v>536.93725586396579</v>
      </c>
      <c r="W33" s="2">
        <f>W11/'Output-Calculation-sheet'!W10*'Output-Calculation-sheet'!W19</f>
        <v>334.27272892575917</v>
      </c>
      <c r="X33" s="2">
        <f>X11/'Output-Calculation-sheet'!X10*'Output-Calculation-sheet'!X19</f>
        <v>0</v>
      </c>
      <c r="Y33" s="2">
        <f>Y11/'Output-Calculation-sheet'!Y10*'Output-Calculation-sheet'!Y19</f>
        <v>273.71382425510825</v>
      </c>
      <c r="AA33" s="2">
        <f t="shared" si="1"/>
        <v>55.209324573408509</v>
      </c>
    </row>
    <row r="34" spans="1:27" x14ac:dyDescent="0.25">
      <c r="A34" s="2">
        <v>2035</v>
      </c>
      <c r="B34" s="2">
        <f>B12/'Output-Calculation-sheet'!B11*'Output-Calculation-sheet'!B20</f>
        <v>158.22752812906245</v>
      </c>
      <c r="C34" s="2">
        <f>C12/'Output-Calculation-sheet'!C11*'Output-Calculation-sheet'!C20</f>
        <v>0</v>
      </c>
      <c r="D34" s="2">
        <f>D12/'Output-Calculation-sheet'!D11*'Output-Calculation-sheet'!D20</f>
        <v>7047.39764639242</v>
      </c>
      <c r="E34" s="2">
        <f>E12/'Output-Calculation-sheet'!E11*'Output-Calculation-sheet'!E20</f>
        <v>4159.6067447079267</v>
      </c>
      <c r="F34" s="2">
        <f>F12/'Output-Calculation-sheet'!F11*'Output-Calculation-sheet'!F20</f>
        <v>4813.2891250209032</v>
      </c>
      <c r="G34" s="2">
        <f>G12/'Output-Calculation-sheet'!G11*'Output-Calculation-sheet'!G20</f>
        <v>2595.6847902672107</v>
      </c>
      <c r="H34" s="2">
        <f>H12/'Output-Calculation-sheet'!H11*'Output-Calculation-sheet'!H20</f>
        <v>0</v>
      </c>
      <c r="I34" s="2">
        <f>I12/'Output-Calculation-sheet'!I11*'Output-Calculation-sheet'!I20</f>
        <v>2825.908850070201</v>
      </c>
      <c r="J34" s="2">
        <f>J12/'Output-Calculation-sheet'!J11*'Output-Calculation-sheet'!J20</f>
        <v>2421.9611125648316</v>
      </c>
      <c r="K34" s="2">
        <f>K12/'Output-Calculation-sheet'!K11*'Output-Calculation-sheet'!K20</f>
        <v>3184.3338356609038</v>
      </c>
      <c r="L34" s="2">
        <f>L12/'Output-Calculation-sheet'!L11*'Output-Calculation-sheet'!L20</f>
        <v>2515.822239765344</v>
      </c>
      <c r="M34" s="2">
        <f>M12/'Output-Calculation-sheet'!M11*'Output-Calculation-sheet'!M20</f>
        <v>0</v>
      </c>
      <c r="N34" s="2">
        <f>N12/'Output-Calculation-sheet'!N11*'Output-Calculation-sheet'!N20</f>
        <v>0.48540904097528503</v>
      </c>
      <c r="O34" s="2">
        <f>O12/'Output-Calculation-sheet'!O11*'Output-Calculation-sheet'!O20</f>
        <v>0</v>
      </c>
      <c r="P34" s="2">
        <f>P12/'Output-Calculation-sheet'!P11*'Output-Calculation-sheet'!P20</f>
        <v>792.61277452543072</v>
      </c>
      <c r="Q34" s="2">
        <f>Q12/'Output-Calculation-sheet'!Q11*'Output-Calculation-sheet'!Q20</f>
        <v>1234.1202440509867</v>
      </c>
      <c r="R34" s="2">
        <f>R12/'Output-Calculation-sheet'!R11*'Output-Calculation-sheet'!R20</f>
        <v>2500.5561518787217</v>
      </c>
      <c r="S34" s="2">
        <f>S12/'Output-Calculation-sheet'!S11*'Output-Calculation-sheet'!S20</f>
        <v>5.150555840366823</v>
      </c>
      <c r="T34" s="2">
        <f>T12/'Output-Calculation-sheet'!T11*'Output-Calculation-sheet'!T20</f>
        <v>781.4134631794218</v>
      </c>
      <c r="U34" s="2">
        <f>U12/'Output-Calculation-sheet'!U11*'Output-Calculation-sheet'!U20</f>
        <v>714.40152100678768</v>
      </c>
      <c r="V34" s="2">
        <f>V12/'Output-Calculation-sheet'!V11*'Output-Calculation-sheet'!V20</f>
        <v>654.48470840260541</v>
      </c>
      <c r="W34" s="2">
        <f>W12/'Output-Calculation-sheet'!W11*'Output-Calculation-sheet'!W20</f>
        <v>422.8538269636324</v>
      </c>
      <c r="X34" s="2">
        <f>X12/'Output-Calculation-sheet'!X11*'Output-Calculation-sheet'!X20</f>
        <v>0</v>
      </c>
      <c r="Y34" s="2">
        <f>Y12/'Output-Calculation-sheet'!Y11*'Output-Calculation-sheet'!Y20</f>
        <v>105.27571838613497</v>
      </c>
      <c r="AA34" s="2">
        <f t="shared" si="1"/>
        <v>36.933586245853867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0.10507332793565048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0.10532552379659299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1.5351604564673287E-2</v>
      </c>
      <c r="I45" s="2">
        <f>I12/'Output-Calculation-sheet'!I11*'Output-Calculation-sheet'!I38*0.0114</f>
        <v>5.7013872614048E-2</v>
      </c>
      <c r="J45" s="2">
        <f>J12/'Output-Calculation-sheet'!J11*'Output-Calculation-sheet'!J38*0.0114</f>
        <v>4.231863587372179E-2</v>
      </c>
      <c r="K45" s="2">
        <f>K12/'Output-Calculation-sheet'!K11*'Output-Calculation-sheet'!K38*0.0114</f>
        <v>7.0044451857850978E-2</v>
      </c>
      <c r="L45" s="2">
        <f>L12/'Output-Calculation-sheet'!L11*'Output-Calculation-sheet'!L38*0.0114</f>
        <v>4.4556898882285673E-2</v>
      </c>
      <c r="M45" s="2">
        <f>M12/'Output-Calculation-sheet'!M11*'Output-Calculation-sheet'!M38*0.0114</f>
        <v>1.0563397951329077E-2</v>
      </c>
      <c r="N45" s="2">
        <f>N12/'Output-Calculation-sheet'!N11*'Output-Calculation-sheet'!N38*0.0114</f>
        <v>1.038210706776407E-2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9.5912433029963374E-3</v>
      </c>
      <c r="Q45" s="2">
        <f>Q12/'Output-Calculation-sheet'!Q11*'Output-Calculation-sheet'!Q38*0.0114</f>
        <v>7.2770522845221369E-2</v>
      </c>
      <c r="R45" s="2">
        <f>R12/'Output-Calculation-sheet'!R11*'Output-Calculation-sheet'!R38*0.0114</f>
        <v>3.6082844406352371E-2</v>
      </c>
      <c r="S45" s="2">
        <f>S12/'Output-Calculation-sheet'!S11*'Output-Calculation-sheet'!S38*0.0114</f>
        <v>5.9513821792197231E-3</v>
      </c>
      <c r="T45" s="2">
        <f>T12/'Output-Calculation-sheet'!T11*'Output-Calculation-sheet'!T38*0.0114</f>
        <v>1.0011969868841352E-2</v>
      </c>
      <c r="U45" s="2">
        <f>U12/'Output-Calculation-sheet'!U11*'Output-Calculation-sheet'!U38*0.0114</f>
        <v>1.4511357668806462E-2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3.3548698687617963E-3</v>
      </c>
      <c r="AA45" s="2">
        <f t="shared" si="2"/>
        <v>0.98800947907985148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0.13467503176635606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167.3617241322722</v>
      </c>
      <c r="R54" s="2">
        <f>R10/'Output-Calculation-sheet'!R9*'Output-Calculation-sheet'!R45</f>
        <v>1252.8659488257767</v>
      </c>
      <c r="S54" s="2">
        <f>S10/'Output-Calculation-sheet'!S9*'Output-Calculation-sheet'!S45</f>
        <v>0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15.616084896390962</v>
      </c>
      <c r="AA54" s="2">
        <f t="shared" si="3"/>
        <v>4.1225847746462847</v>
      </c>
    </row>
    <row r="55" spans="1:27" x14ac:dyDescent="0.25">
      <c r="A55" s="2">
        <v>2034</v>
      </c>
      <c r="B55" s="2">
        <f>B11/'Output-Calculation-sheet'!B10*'Output-Calculation-sheet'!B46</f>
        <v>1456.7865988350004</v>
      </c>
      <c r="C55" s="2">
        <f>C11/'Output-Calculation-sheet'!C10*'Output-Calculation-sheet'!C46</f>
        <v>0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496.63121199475034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3059.705655548677</v>
      </c>
      <c r="L55" s="2">
        <f>L11/'Output-Calculation-sheet'!L10*'Output-Calculation-sheet'!L46</f>
        <v>1131.5268109017884</v>
      </c>
      <c r="M55" s="2">
        <f>M11/'Output-Calculation-sheet'!M10*'Output-Calculation-sheet'!M46</f>
        <v>368.09268106693321</v>
      </c>
      <c r="N55" s="2">
        <f>N11/'Output-Calculation-sheet'!N10*'Output-Calculation-sheet'!N46</f>
        <v>125.70975787981403</v>
      </c>
      <c r="O55" s="2">
        <f>O11/'Output-Calculation-sheet'!O10*'Output-Calculation-sheet'!O46</f>
        <v>0</v>
      </c>
      <c r="P55" s="2">
        <f>P11/'Output-Calculation-sheet'!P10*'Output-Calculation-sheet'!P46</f>
        <v>2734.0186218612662</v>
      </c>
      <c r="Q55" s="2">
        <f>Q11/'Output-Calculation-sheet'!Q10*'Output-Calculation-sheet'!Q46</f>
        <v>586.01735421407182</v>
      </c>
      <c r="R55" s="2">
        <f>R11/'Output-Calculation-sheet'!R10*'Output-Calculation-sheet'!R46</f>
        <v>3389.3273422440725</v>
      </c>
      <c r="S55" s="2">
        <f>S11/'Output-Calculation-sheet'!S10*'Output-Calculation-sheet'!S46</f>
        <v>0</v>
      </c>
      <c r="T55" s="2">
        <f>T11/'Output-Calculation-sheet'!T10*'Output-Calculation-sheet'!T46</f>
        <v>767.46900691421388</v>
      </c>
      <c r="U55" s="2">
        <f>U11/'Output-Calculation-sheet'!U10*'Output-Calculation-sheet'!U46</f>
        <v>1286.8263687937581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35.132134536742697</v>
      </c>
      <c r="Y55" s="2">
        <f>Y11/'Output-Calculation-sheet'!Y10*'Output-Calculation-sheet'!Y46</f>
        <v>244.3509813317437</v>
      </c>
      <c r="AA55" s="2">
        <f t="shared" si="3"/>
        <v>36.578228912953328</v>
      </c>
    </row>
    <row r="56" spans="1:27" x14ac:dyDescent="0.25">
      <c r="A56" s="2">
        <v>2035</v>
      </c>
      <c r="B56" s="2">
        <f>B12/'Output-Calculation-sheet'!B11*'Output-Calculation-sheet'!B47</f>
        <v>377.89530222470785</v>
      </c>
      <c r="C56" s="2">
        <f>C12/'Output-Calculation-sheet'!C11*'Output-Calculation-sheet'!C47</f>
        <v>297.47156766569242</v>
      </c>
      <c r="D56" s="2">
        <f>D12/'Output-Calculation-sheet'!D11*'Output-Calculation-sheet'!D47</f>
        <v>6874.4702314661645</v>
      </c>
      <c r="E56" s="2">
        <f>E12/'Output-Calculation-sheet'!E11*'Output-Calculation-sheet'!E47</f>
        <v>8373.6871111969685</v>
      </c>
      <c r="F56" s="2">
        <f>F12/'Output-Calculation-sheet'!F11*'Output-Calculation-sheet'!F47</f>
        <v>2182.9037113056906</v>
      </c>
      <c r="G56" s="2">
        <f>G12/'Output-Calculation-sheet'!G11*'Output-Calculation-sheet'!G47</f>
        <v>5388.0068072973354</v>
      </c>
      <c r="H56" s="2">
        <f>H12/'Output-Calculation-sheet'!H11*'Output-Calculation-sheet'!H47</f>
        <v>111.77045428665639</v>
      </c>
      <c r="I56" s="2">
        <f>I12/'Output-Calculation-sheet'!I11*'Output-Calculation-sheet'!I47</f>
        <v>2690.6546900313879</v>
      </c>
      <c r="J56" s="2">
        <f>J12/'Output-Calculation-sheet'!J11*'Output-Calculation-sheet'!J47</f>
        <v>2456.2132224952556</v>
      </c>
      <c r="K56" s="2">
        <f>K12/'Output-Calculation-sheet'!K11*'Output-Calculation-sheet'!K47</f>
        <v>3500.9937428599546</v>
      </c>
      <c r="L56" s="2">
        <f>L12/'Output-Calculation-sheet'!L11*'Output-Calculation-sheet'!L47</f>
        <v>1945.4558261980433</v>
      </c>
      <c r="M56" s="2">
        <f>M12/'Output-Calculation-sheet'!M11*'Output-Calculation-sheet'!M47</f>
        <v>77.835563851898456</v>
      </c>
      <c r="N56" s="2">
        <f>N12/'Output-Calculation-sheet'!N11*'Output-Calculation-sheet'!N47</f>
        <v>71.946180557312417</v>
      </c>
      <c r="O56" s="2">
        <f>O12/'Output-Calculation-sheet'!O11*'Output-Calculation-sheet'!O47</f>
        <v>10.198316753150173</v>
      </c>
      <c r="P56" s="2">
        <f>P12/'Output-Calculation-sheet'!P11*'Output-Calculation-sheet'!P47</f>
        <v>1030.6379865061854</v>
      </c>
      <c r="Q56" s="2">
        <f>Q12/'Output-Calculation-sheet'!Q11*'Output-Calculation-sheet'!Q47</f>
        <v>917.61075956145362</v>
      </c>
      <c r="R56" s="2">
        <f>R12/'Output-Calculation-sheet'!R11*'Output-Calculation-sheet'!R47</f>
        <v>4147.1532353879993</v>
      </c>
      <c r="S56" s="2">
        <f>S12/'Output-Calculation-sheet'!S11*'Output-Calculation-sheet'!S47</f>
        <v>32.889217306214256</v>
      </c>
      <c r="T56" s="2">
        <f>T12/'Output-Calculation-sheet'!T11*'Output-Calculation-sheet'!T47</f>
        <v>1461.6890513194408</v>
      </c>
      <c r="U56" s="2">
        <f>U12/'Output-Calculation-sheet'!U11*'Output-Calculation-sheet'!U47</f>
        <v>1394.8724327612388</v>
      </c>
      <c r="V56" s="2">
        <f>V12/'Output-Calculation-sheet'!V11*'Output-Calculation-sheet'!V47</f>
        <v>973.68493543656336</v>
      </c>
      <c r="W56" s="2">
        <f>W12/'Output-Calculation-sheet'!W11*'Output-Calculation-sheet'!W47</f>
        <v>566.23276966345429</v>
      </c>
      <c r="X56" s="2">
        <f>X12/'Output-Calculation-sheet'!X11*'Output-Calculation-sheet'!X47</f>
        <v>8.7420261737267193</v>
      </c>
      <c r="Y56" s="2">
        <f>Y12/'Output-Calculation-sheet'!Y11*'Output-Calculation-sheet'!Y47</f>
        <v>226.4046683363224</v>
      </c>
      <c r="AA56" s="2">
        <f t="shared" si="3"/>
        <v>45.119419810642803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6.9618058906521423</v>
      </c>
      <c r="C63" s="2">
        <f>C8*'Output-Calculation-sheet'!C52/10^9</f>
        <v>3.2802975026313277</v>
      </c>
      <c r="D63" s="2">
        <f>D8*'Output-Calculation-sheet'!D52/10^9</f>
        <v>1.6300417572446824</v>
      </c>
      <c r="E63" s="2">
        <f>E8*'Output-Calculation-sheet'!E52/10^9</f>
        <v>1.8648396211453202</v>
      </c>
      <c r="F63" s="2">
        <f>F8*'Output-Calculation-sheet'!F52/10^9</f>
        <v>0.87169272143493548</v>
      </c>
      <c r="G63" s="2">
        <f>G8*'Output-Calculation-sheet'!G52/10^9</f>
        <v>0.66489729222246219</v>
      </c>
      <c r="H63" s="2">
        <f>H8*'Output-Calculation-sheet'!H52/10^9</f>
        <v>0.90475290084010895</v>
      </c>
      <c r="I63" s="2">
        <f>I8*'Output-Calculation-sheet'!I52/10^9</f>
        <v>0.52522467750268209</v>
      </c>
      <c r="J63" s="2">
        <f>J8*'Output-Calculation-sheet'!J52/10^9</f>
        <v>0.74249321931328782</v>
      </c>
      <c r="K63" s="2">
        <f>K8*'Output-Calculation-sheet'!K52/10^9</f>
        <v>0.48741034087655388</v>
      </c>
      <c r="L63" s="2">
        <f>L8*'Output-Calculation-sheet'!L52/10^9</f>
        <v>0.57707387180516445</v>
      </c>
      <c r="M63" s="2">
        <f>M8*'Output-Calculation-sheet'!M52/10^9</f>
        <v>0.66442236420267142</v>
      </c>
      <c r="N63" s="2">
        <f>N8*'Output-Calculation-sheet'!N52/10^9</f>
        <v>0.57455464373064247</v>
      </c>
      <c r="O63" s="2">
        <f>O8*'Output-Calculation-sheet'!O52/10^9</f>
        <v>0.58744739939609769</v>
      </c>
      <c r="P63" s="2">
        <f>P8*'Output-Calculation-sheet'!P52/10^9</f>
        <v>0.49570471369634689</v>
      </c>
      <c r="Q63" s="2">
        <f>Q8*'Output-Calculation-sheet'!Q52/10^9</f>
        <v>0.4623846589532965</v>
      </c>
      <c r="R63" s="2">
        <f>R8*'Output-Calculation-sheet'!R52/10^9</f>
        <v>0.41881252834191041</v>
      </c>
      <c r="S63" s="2">
        <f>S8*'Output-Calculation-sheet'!S52/10^9</f>
        <v>0.35534685278594957</v>
      </c>
      <c r="T63" s="2">
        <f>T8*'Output-Calculation-sheet'!T52/10^9</f>
        <v>0.17010516142722182</v>
      </c>
      <c r="U63" s="2">
        <f>U8*'Output-Calculation-sheet'!U52/10^9</f>
        <v>0.13265645658672393</v>
      </c>
      <c r="V63" s="2">
        <f>V8*'Output-Calculation-sheet'!V52/10^9</f>
        <v>0.21963952116101335</v>
      </c>
      <c r="W63" s="2">
        <f>W8*'Output-Calculation-sheet'!W52/10^9</f>
        <v>9.2170723577391381E-2</v>
      </c>
      <c r="X63" s="2">
        <f>X8*'Output-Calculation-sheet'!X52/10^9</f>
        <v>8.6394937898262844E-2</v>
      </c>
      <c r="Y63" s="2">
        <f>Y8*'Output-Calculation-sheet'!Y52/10^9</f>
        <v>5.3225166590733071E-2</v>
      </c>
      <c r="AA63" s="2">
        <f t="shared" si="4"/>
        <v>22.823394924016934</v>
      </c>
    </row>
    <row r="64" spans="1:27" x14ac:dyDescent="0.25">
      <c r="A64" s="2">
        <v>2032</v>
      </c>
      <c r="B64" s="2">
        <f>B9*'Output-Calculation-sheet'!B53/10^9</f>
        <v>7.0676523530494029</v>
      </c>
      <c r="C64" s="2">
        <f>C9*'Output-Calculation-sheet'!C53/10^9</f>
        <v>3.3974338946208698</v>
      </c>
      <c r="D64" s="2">
        <f>D9*'Output-Calculation-sheet'!D53/10^9</f>
        <v>1.4852664158395357</v>
      </c>
      <c r="E64" s="2">
        <f>E9*'Output-Calculation-sheet'!E53/10^9</f>
        <v>1.7342222383173294</v>
      </c>
      <c r="F64" s="2">
        <f>F9*'Output-Calculation-sheet'!F53/10^9</f>
        <v>0.79580532159242667</v>
      </c>
      <c r="G64" s="2">
        <f>G9*'Output-Calculation-sheet'!G53/10^9</f>
        <v>0.5958661197419034</v>
      </c>
      <c r="H64" s="2">
        <f>H9*'Output-Calculation-sheet'!H53/10^9</f>
        <v>0.96052519715242413</v>
      </c>
      <c r="I64" s="2">
        <f>I9*'Output-Calculation-sheet'!I53/10^9</f>
        <v>0.48320655029146586</v>
      </c>
      <c r="J64" s="2">
        <f>J9*'Output-Calculation-sheet'!J53/10^9</f>
        <v>0.64856625541062718</v>
      </c>
      <c r="K64" s="2">
        <f>K9*'Output-Calculation-sheet'!K53/10^9</f>
        <v>0.47878699202539704</v>
      </c>
      <c r="L64" s="2">
        <f>L9*'Output-Calculation-sheet'!L53/10^9</f>
        <v>0.53752031016616053</v>
      </c>
      <c r="M64" s="2">
        <f>M9*'Output-Calculation-sheet'!M53/10^9</f>
        <v>0.69491565851652559</v>
      </c>
      <c r="N64" s="2">
        <f>N9*'Output-Calculation-sheet'!N53/10^9</f>
        <v>0.62094799604631712</v>
      </c>
      <c r="O64" s="2">
        <f>O9*'Output-Calculation-sheet'!O53/10^9</f>
        <v>0.62066072162070141</v>
      </c>
      <c r="P64" s="2">
        <f>P9*'Output-Calculation-sheet'!P53/10^9</f>
        <v>0.51089358716114353</v>
      </c>
      <c r="Q64" s="2">
        <f>Q9*'Output-Calculation-sheet'!Q53/10^9</f>
        <v>0.48459516889682092</v>
      </c>
      <c r="R64" s="2">
        <f>R9*'Output-Calculation-sheet'!R53/10^9</f>
        <v>0.41225444006878265</v>
      </c>
      <c r="S64" s="2">
        <f>S9*'Output-Calculation-sheet'!S53/10^9</f>
        <v>0.37585191576428711</v>
      </c>
      <c r="T64" s="2">
        <f>T9*'Output-Calculation-sheet'!T53/10^9</f>
        <v>0.15410852940096639</v>
      </c>
      <c r="U64" s="2">
        <f>U9*'Output-Calculation-sheet'!U53/10^9</f>
        <v>0.13129964791649179</v>
      </c>
      <c r="V64" s="2">
        <f>V9*'Output-Calculation-sheet'!V53/10^9</f>
        <v>0.19136456589592546</v>
      </c>
      <c r="W64" s="2">
        <f>W9*'Output-Calculation-sheet'!W53/10^9</f>
        <v>8.156594982078072E-2</v>
      </c>
      <c r="X64" s="2">
        <f>X9*'Output-Calculation-sheet'!X53/10^9</f>
        <v>8.7243884215570985E-2</v>
      </c>
      <c r="Y64" s="2">
        <f>Y9*'Output-Calculation-sheet'!Y53/10^9</f>
        <v>5.1880509623896912E-2</v>
      </c>
      <c r="AA64" s="2">
        <f t="shared" si="4"/>
        <v>22.602434223155754</v>
      </c>
    </row>
    <row r="65" spans="1:27" x14ac:dyDescent="0.25">
      <c r="A65" s="2">
        <v>2033</v>
      </c>
      <c r="B65" s="2">
        <f>B10*'Output-Calculation-sheet'!B54/10^9</f>
        <v>6.9918508365979868</v>
      </c>
      <c r="C65" s="2">
        <f>C10*'Output-Calculation-sheet'!C54/10^9</f>
        <v>3.3766872947490292</v>
      </c>
      <c r="D65" s="2">
        <f>D10*'Output-Calculation-sheet'!D54/10^9</f>
        <v>1.2806030651085718</v>
      </c>
      <c r="E65" s="2">
        <f>E10*'Output-Calculation-sheet'!E54/10^9</f>
        <v>1.6308649559672879</v>
      </c>
      <c r="F65" s="2">
        <f>F10*'Output-Calculation-sheet'!F54/10^9</f>
        <v>0.70079594419840385</v>
      </c>
      <c r="G65" s="2">
        <f>G10*'Output-Calculation-sheet'!G54/10^9</f>
        <v>0.49893277056748742</v>
      </c>
      <c r="H65" s="2">
        <f>H10*'Output-Calculation-sheet'!H54/10^9</f>
        <v>0.98892535004429205</v>
      </c>
      <c r="I65" s="2">
        <f>I10*'Output-Calculation-sheet'!I54/10^9</f>
        <v>0.43745989914411221</v>
      </c>
      <c r="J65" s="2">
        <f>J10*'Output-Calculation-sheet'!J54/10^9</f>
        <v>0.51758388077557937</v>
      </c>
      <c r="K65" s="2">
        <f>K10*'Output-Calculation-sheet'!K54/10^9</f>
        <v>0.48436378077912706</v>
      </c>
      <c r="L65" s="2">
        <f>L10*'Output-Calculation-sheet'!L54/10^9</f>
        <v>0.49950338378678089</v>
      </c>
      <c r="M65" s="2">
        <f>M10*'Output-Calculation-sheet'!M54/10^9</f>
        <v>0.70373894205526133</v>
      </c>
      <c r="N65" s="2">
        <f>N10*'Output-Calculation-sheet'!N54/10^9</f>
        <v>0.64557645431815491</v>
      </c>
      <c r="O65" s="2">
        <f>O10*'Output-Calculation-sheet'!O54/10^9</f>
        <v>0.63054806223924209</v>
      </c>
      <c r="P65" s="2">
        <f>P10*'Output-Calculation-sheet'!P54/10^9</f>
        <v>0.52398170616329098</v>
      </c>
      <c r="Q65" s="2">
        <f>Q10*'Output-Calculation-sheet'!Q54/10^9</f>
        <v>0.51598939899315588</v>
      </c>
      <c r="R65" s="2">
        <f>R10*'Output-Calculation-sheet'!R54/10^9</f>
        <v>0.40990244951935151</v>
      </c>
      <c r="S65" s="2">
        <f>S10*'Output-Calculation-sheet'!S54/10^9</f>
        <v>0.38257858832683472</v>
      </c>
      <c r="T65" s="2">
        <f>T10*'Output-Calculation-sheet'!T54/10^9</f>
        <v>0.13881208558019134</v>
      </c>
      <c r="U65" s="2">
        <f>U10*'Output-Calculation-sheet'!U54/10^9</f>
        <v>0.13331859601873433</v>
      </c>
      <c r="V65" s="2">
        <f>V10*'Output-Calculation-sheet'!V54/10^9</f>
        <v>0.15708372180463853</v>
      </c>
      <c r="W65" s="2">
        <f>W10*'Output-Calculation-sheet'!W54/10^9</f>
        <v>6.7133201249820335E-2</v>
      </c>
      <c r="X65" s="2">
        <f>X10*'Output-Calculation-sheet'!X54/10^9</f>
        <v>8.406883593840353E-2</v>
      </c>
      <c r="Y65" s="2">
        <f>Y10*'Output-Calculation-sheet'!Y54/10^9</f>
        <v>5.2083017469653832E-2</v>
      </c>
      <c r="AA65" s="2">
        <f t="shared" si="4"/>
        <v>21.852386221395395</v>
      </c>
    </row>
    <row r="66" spans="1:27" x14ac:dyDescent="0.25">
      <c r="A66" s="2">
        <v>2034</v>
      </c>
      <c r="B66" s="2">
        <f>B11*'Output-Calculation-sheet'!B55/10^9</f>
        <v>6.7316589564029687</v>
      </c>
      <c r="C66" s="2">
        <f>C11*'Output-Calculation-sheet'!C55/10^9</f>
        <v>3.2693201309934459</v>
      </c>
      <c r="D66" s="2">
        <f>D11*'Output-Calculation-sheet'!D55/10^9</f>
        <v>1.3146428741877818</v>
      </c>
      <c r="E66" s="2">
        <f>E11*'Output-Calculation-sheet'!E55/10^9</f>
        <v>1.7027247765614417</v>
      </c>
      <c r="F66" s="2">
        <f>F11*'Output-Calculation-sheet'!F55/10^9</f>
        <v>0.67015355739044469</v>
      </c>
      <c r="G66" s="2">
        <f>G11*'Output-Calculation-sheet'!G55/10^9</f>
        <v>0.4888474517007293</v>
      </c>
      <c r="H66" s="2">
        <f>H11*'Output-Calculation-sheet'!H55/10^9</f>
        <v>0.9827642355091577</v>
      </c>
      <c r="I66" s="2">
        <f>I11*'Output-Calculation-sheet'!I55/10^9</f>
        <v>0.45444194024458751</v>
      </c>
      <c r="J66" s="2">
        <f>J11*'Output-Calculation-sheet'!J55/10^9</f>
        <v>0.4575350099575855</v>
      </c>
      <c r="K66" s="2">
        <f>K11*'Output-Calculation-sheet'!K55/10^9</f>
        <v>0.52097807060242318</v>
      </c>
      <c r="L66" s="2">
        <f>L11*'Output-Calculation-sheet'!L55/10^9</f>
        <v>0.50507103423873501</v>
      </c>
      <c r="M66" s="2">
        <f>M11*'Output-Calculation-sheet'!M55/10^9</f>
        <v>0.68903990788546499</v>
      </c>
      <c r="N66" s="2">
        <f>N11*'Output-Calculation-sheet'!N55/10^9</f>
        <v>0.65314908158270657</v>
      </c>
      <c r="O66" s="2">
        <f>O11*'Output-Calculation-sheet'!O55/10^9</f>
        <v>0.62132641387971765</v>
      </c>
      <c r="P66" s="2">
        <f>P11*'Output-Calculation-sheet'!P55/10^9</f>
        <v>0.54005399313491165</v>
      </c>
      <c r="Q66" s="2">
        <f>Q11*'Output-Calculation-sheet'!Q55/10^9</f>
        <v>0.54379399653119442</v>
      </c>
      <c r="R66" s="2">
        <f>R11*'Output-Calculation-sheet'!R55/10^9</f>
        <v>0.41471427704019609</v>
      </c>
      <c r="S66" s="2">
        <f>S11*'Output-Calculation-sheet'!S55/10^9</f>
        <v>0.37933212518967052</v>
      </c>
      <c r="T66" s="2">
        <f>T11*'Output-Calculation-sheet'!T55/10^9</f>
        <v>0.12994382748187194</v>
      </c>
      <c r="U66" s="2">
        <f>U11*'Output-Calculation-sheet'!U55/10^9</f>
        <v>0.1414245414134794</v>
      </c>
      <c r="V66" s="2">
        <f>V11*'Output-Calculation-sheet'!V55/10^9</f>
        <v>0.12280021779807258</v>
      </c>
      <c r="W66" s="2">
        <f>W11*'Output-Calculation-sheet'!W55/10^9</f>
        <v>6.016396362378728E-2</v>
      </c>
      <c r="X66" s="2">
        <f>X11*'Output-Calculation-sheet'!X55/10^9</f>
        <v>7.8822829340082431E-2</v>
      </c>
      <c r="Y66" s="2">
        <f>Y11*'Output-Calculation-sheet'!Y55/10^9</f>
        <v>5.7504321447276033E-2</v>
      </c>
      <c r="AA66" s="2">
        <f t="shared" si="4"/>
        <v>21.530207534137734</v>
      </c>
    </row>
    <row r="67" spans="1:27" x14ac:dyDescent="0.25">
      <c r="A67" s="2">
        <v>2035</v>
      </c>
      <c r="B67" s="2">
        <f>B12*'Output-Calculation-sheet'!B56/10^9</f>
        <v>6.520884331123372</v>
      </c>
      <c r="C67" s="2">
        <f>C12*'Output-Calculation-sheet'!C56/10^9</f>
        <v>3.0502675783324853</v>
      </c>
      <c r="D67" s="2">
        <f>D12*'Output-Calculation-sheet'!D56/10^9</f>
        <v>1.4964169224848214</v>
      </c>
      <c r="E67" s="2">
        <f>E12*'Output-Calculation-sheet'!E56/10^9</f>
        <v>2.010364044470462</v>
      </c>
      <c r="F67" s="2">
        <f>F12*'Output-Calculation-sheet'!F56/10^9</f>
        <v>0.80344531015279119</v>
      </c>
      <c r="G67" s="2">
        <f>G12*'Output-Calculation-sheet'!G56/10^9</f>
        <v>0.59195111873693751</v>
      </c>
      <c r="H67" s="2">
        <f>H12*'Output-Calculation-sheet'!H56/10^9</f>
        <v>0.96035323483480062</v>
      </c>
      <c r="I67" s="2">
        <f>I12*'Output-Calculation-sheet'!I56/10^9</f>
        <v>0.5424280431020102</v>
      </c>
      <c r="J67" s="2">
        <f>J12*'Output-Calculation-sheet'!J56/10^9</f>
        <v>0.4966842711636652</v>
      </c>
      <c r="K67" s="2">
        <f>K12*'Output-Calculation-sheet'!K56/10^9</f>
        <v>0.59491917476076961</v>
      </c>
      <c r="L67" s="2">
        <f>L12*'Output-Calculation-sheet'!L56/10^9</f>
        <v>0.55446551371984998</v>
      </c>
      <c r="M67" s="2">
        <f>M12*'Output-Calculation-sheet'!M56/10^9</f>
        <v>0.6660033844934653</v>
      </c>
      <c r="N67" s="2">
        <f>N12*'Output-Calculation-sheet'!N56/10^9</f>
        <v>0.64948264603499861</v>
      </c>
      <c r="O67" s="2">
        <f>O12*'Output-Calculation-sheet'!O56/10^9</f>
        <v>0.59237292421815824</v>
      </c>
      <c r="P67" s="2">
        <f>P12*'Output-Calculation-sheet'!P56/10^9</f>
        <v>0.57509269450858025</v>
      </c>
      <c r="Q67" s="2">
        <f>Q12*'Output-Calculation-sheet'!Q56/10^9</f>
        <v>0.56975026626781899</v>
      </c>
      <c r="R67" s="2">
        <f>R12*'Output-Calculation-sheet'!R56/10^9</f>
        <v>0.45805212739374573</v>
      </c>
      <c r="S67" s="2">
        <f>S12*'Output-Calculation-sheet'!S56/10^9</f>
        <v>0.37274452891274112</v>
      </c>
      <c r="T67" s="2">
        <f>T12*'Output-Calculation-sheet'!T56/10^9</f>
        <v>0.14254409420193939</v>
      </c>
      <c r="U67" s="2">
        <f>U12*'Output-Calculation-sheet'!U56/10^9</f>
        <v>0.15409740507017439</v>
      </c>
      <c r="V67" s="2">
        <f>V12*'Output-Calculation-sheet'!V56/10^9</f>
        <v>0.10993292741043401</v>
      </c>
      <c r="W67" s="2">
        <f>W12*'Output-Calculation-sheet'!W56/10^9</f>
        <v>7.4622265075646635E-2</v>
      </c>
      <c r="X67" s="2">
        <f>X12*'Output-Calculation-sheet'!X56/10^9</f>
        <v>7.1423908841890441E-2</v>
      </c>
      <c r="Y67" s="2">
        <f>Y12*'Output-Calculation-sheet'!Y56/10^9</f>
        <v>6.6408936085038062E-2</v>
      </c>
      <c r="AA67" s="2">
        <f t="shared" si="4"/>
        <v>22.124707651396587</v>
      </c>
    </row>
    <row r="68" spans="1:27" x14ac:dyDescent="0.25">
      <c r="B68" s="2">
        <f>SUM(B60:B67)</f>
        <v>34.273852367825867</v>
      </c>
      <c r="C68" s="2">
        <f t="shared" ref="C68:Y68" si="5">SUM(C60:C67)</f>
        <v>16.374006401327158</v>
      </c>
      <c r="D68" s="2">
        <f t="shared" si="5"/>
        <v>7.2069710348653935</v>
      </c>
      <c r="E68" s="2">
        <f t="shared" si="5"/>
        <v>8.9430156364618405</v>
      </c>
      <c r="F68" s="2">
        <f t="shared" si="5"/>
        <v>3.8418928547690019</v>
      </c>
      <c r="G68" s="2">
        <f t="shared" si="5"/>
        <v>2.8404947529695201</v>
      </c>
      <c r="H68" s="2">
        <f t="shared" si="5"/>
        <v>4.7973209183807839</v>
      </c>
      <c r="I68" s="2">
        <f t="shared" si="5"/>
        <v>2.4427611102848577</v>
      </c>
      <c r="J68" s="2">
        <f t="shared" si="5"/>
        <v>2.8628626366207452</v>
      </c>
      <c r="K68" s="2">
        <f t="shared" si="5"/>
        <v>2.5664583590442707</v>
      </c>
      <c r="L68" s="2">
        <f t="shared" si="5"/>
        <v>2.673634113716691</v>
      </c>
      <c r="M68" s="2">
        <f t="shared" si="5"/>
        <v>3.4181202571533884</v>
      </c>
      <c r="N68" s="2">
        <f t="shared" si="5"/>
        <v>3.14371082171282</v>
      </c>
      <c r="O68" s="2">
        <f t="shared" si="5"/>
        <v>3.0523555213539169</v>
      </c>
      <c r="P68" s="2">
        <f t="shared" si="5"/>
        <v>2.645726694664273</v>
      </c>
      <c r="Q68" s="2">
        <f t="shared" si="5"/>
        <v>2.5765134896422865</v>
      </c>
      <c r="R68" s="2">
        <f t="shared" si="5"/>
        <v>2.1137358223639864</v>
      </c>
      <c r="S68" s="2">
        <f t="shared" si="5"/>
        <v>1.8658540109794832</v>
      </c>
      <c r="T68" s="2">
        <f t="shared" si="5"/>
        <v>0.7355136980921908</v>
      </c>
      <c r="U68" s="2">
        <f t="shared" si="5"/>
        <v>0.69279664700560373</v>
      </c>
      <c r="V68" s="2">
        <f t="shared" si="5"/>
        <v>0.80082095407008391</v>
      </c>
      <c r="W68" s="2">
        <f t="shared" si="5"/>
        <v>0.37565610334742633</v>
      </c>
      <c r="X68" s="2">
        <f t="shared" si="5"/>
        <v>0.40795439623421026</v>
      </c>
      <c r="Y68" s="2">
        <f t="shared" si="5"/>
        <v>0.28110195121659792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49.331196569727943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4.9331196569727946E-2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446.06180176657153</v>
      </c>
      <c r="Q76" s="2">
        <f>Q10/'Output-Calculation-sheet'!Q9*'Output-Calculation-sheet'!Q63</f>
        <v>52.906903191845068</v>
      </c>
      <c r="R76" s="2">
        <f>R10/'Output-Calculation-sheet'!R9*'Output-Calculation-sheet'!R63</f>
        <v>338.91896405606428</v>
      </c>
      <c r="S76" s="2">
        <f>S10/'Output-Calculation-sheet'!S9*'Output-Calculation-sheet'!S63</f>
        <v>0</v>
      </c>
      <c r="T76" s="2">
        <f>T10/'Output-Calculation-sheet'!T9*'Output-Calculation-sheet'!T63</f>
        <v>22.304998534267643</v>
      </c>
      <c r="U76" s="2">
        <f>U10/'Output-Calculation-sheet'!U9*'Output-Calculation-sheet'!U63</f>
        <v>120.59753074910789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5.7201296919131543</v>
      </c>
      <c r="AA76" s="2">
        <f t="shared" si="6"/>
        <v>1.0801527837022831</v>
      </c>
    </row>
    <row r="77" spans="1:27" x14ac:dyDescent="0.25">
      <c r="A77" s="2">
        <v>2034</v>
      </c>
      <c r="B77" s="2">
        <f>B11/'Output-Calculation-sheet'!B10*'Output-Calculation-sheet'!B64</f>
        <v>439.37655011929502</v>
      </c>
      <c r="C77" s="2">
        <f>C11/'Output-Calculation-sheet'!C10*'Output-Calculation-sheet'!C64</f>
        <v>0</v>
      </c>
      <c r="D77" s="2">
        <f>D11/'Output-Calculation-sheet'!D10*'Output-Calculation-sheet'!D64</f>
        <v>1478.9337175729981</v>
      </c>
      <c r="E77" s="2">
        <f>E11/'Output-Calculation-sheet'!E10*'Output-Calculation-sheet'!E64</f>
        <v>1851.6228243180783</v>
      </c>
      <c r="F77" s="2">
        <f>F11/'Output-Calculation-sheet'!F10*'Output-Calculation-sheet'!F64</f>
        <v>132.32357345052978</v>
      </c>
      <c r="G77" s="2">
        <f>G11/'Output-Calculation-sheet'!G10*'Output-Calculation-sheet'!G64</f>
        <v>780.94966286176498</v>
      </c>
      <c r="H77" s="2">
        <f>H11/'Output-Calculation-sheet'!H10*'Output-Calculation-sheet'!H64</f>
        <v>121.59802383743464</v>
      </c>
      <c r="I77" s="2">
        <f>I11/'Output-Calculation-sheet'!I10*'Output-Calculation-sheet'!I64</f>
        <v>462.02031971434525</v>
      </c>
      <c r="J77" s="2">
        <f>J11/'Output-Calculation-sheet'!J10*'Output-Calculation-sheet'!J64</f>
        <v>323.50359974867382</v>
      </c>
      <c r="K77" s="2">
        <f>K11/'Output-Calculation-sheet'!K10*'Output-Calculation-sheet'!K64</f>
        <v>705.72376387320548</v>
      </c>
      <c r="L77" s="2">
        <f>L11/'Output-Calculation-sheet'!L10*'Output-Calculation-sheet'!L64</f>
        <v>292.20470115375986</v>
      </c>
      <c r="M77" s="2">
        <f>M11/'Output-Calculation-sheet'!M10*'Output-Calculation-sheet'!M64</f>
        <v>87.576766899150229</v>
      </c>
      <c r="N77" s="2">
        <f>N11/'Output-Calculation-sheet'!N10*'Output-Calculation-sheet'!N64</f>
        <v>28.964103985392573</v>
      </c>
      <c r="O77" s="2">
        <f>O11/'Output-Calculation-sheet'!O10*'Output-Calculation-sheet'!O64</f>
        <v>0</v>
      </c>
      <c r="P77" s="2">
        <f>P11/'Output-Calculation-sheet'!P10*'Output-Calculation-sheet'!P64</f>
        <v>596.39548886866021</v>
      </c>
      <c r="Q77" s="2">
        <f>Q11/'Output-Calculation-sheet'!Q10*'Output-Calculation-sheet'!Q64</f>
        <v>143.96941413033946</v>
      </c>
      <c r="R77" s="2">
        <f>R11/'Output-Calculation-sheet'!R10*'Output-Calculation-sheet'!R64</f>
        <v>741.40972808155868</v>
      </c>
      <c r="S77" s="2">
        <f>S11/'Output-Calculation-sheet'!S10*'Output-Calculation-sheet'!S64</f>
        <v>0</v>
      </c>
      <c r="T77" s="2">
        <f>T11/'Output-Calculation-sheet'!T10*'Output-Calculation-sheet'!T64</f>
        <v>205.61444777442921</v>
      </c>
      <c r="U77" s="2">
        <f>U11/'Output-Calculation-sheet'!U10*'Output-Calculation-sheet'!U64</f>
        <v>272.57058796262231</v>
      </c>
      <c r="V77" s="2">
        <f>V11/'Output-Calculation-sheet'!V10*'Output-Calculation-sheet'!V64</f>
        <v>106.46817201953674</v>
      </c>
      <c r="W77" s="2">
        <f>W11/'Output-Calculation-sheet'!W10*'Output-Calculation-sheet'!W64</f>
        <v>23.504660939921298</v>
      </c>
      <c r="X77" s="2">
        <f>X11/'Output-Calculation-sheet'!X10*'Output-Calculation-sheet'!X64</f>
        <v>8.7304425425468306</v>
      </c>
      <c r="Y77" s="2">
        <f>Y11/'Output-Calculation-sheet'!Y10*'Output-Calculation-sheet'!Y64</f>
        <v>49.209331448137853</v>
      </c>
      <c r="AA77" s="2">
        <f t="shared" si="6"/>
        <v>8.852669881302381</v>
      </c>
    </row>
    <row r="78" spans="1:27" x14ac:dyDescent="0.25">
      <c r="A78" s="2">
        <v>2035</v>
      </c>
      <c r="B78" s="2">
        <f>B12/'Output-Calculation-sheet'!B11*'Output-Calculation-sheet'!B65</f>
        <v>72.684935447415754</v>
      </c>
      <c r="C78" s="2">
        <f>C12/'Output-Calculation-sheet'!C11*'Output-Calculation-sheet'!C65</f>
        <v>53.054929009551728</v>
      </c>
      <c r="D78" s="2">
        <f>D12/'Output-Calculation-sheet'!D11*'Output-Calculation-sheet'!D65</f>
        <v>1529.2789921904211</v>
      </c>
      <c r="E78" s="2">
        <f>E12/'Output-Calculation-sheet'!E11*'Output-Calculation-sheet'!E65</f>
        <v>1367.0298283757506</v>
      </c>
      <c r="F78" s="2">
        <f>F12/'Output-Calculation-sheet'!F11*'Output-Calculation-sheet'!F65</f>
        <v>615.47231623849598</v>
      </c>
      <c r="G78" s="2">
        <f>G12/'Output-Calculation-sheet'!G11*'Output-Calculation-sheet'!G65</f>
        <v>1184.177136975946</v>
      </c>
      <c r="H78" s="2">
        <f>H12/'Output-Calculation-sheet'!H11*'Output-Calculation-sheet'!H65</f>
        <v>20.805464081070372</v>
      </c>
      <c r="I78" s="2">
        <f>I12/'Output-Calculation-sheet'!I11*'Output-Calculation-sheet'!I65</f>
        <v>688.56129071590885</v>
      </c>
      <c r="J78" s="2">
        <f>J12/'Output-Calculation-sheet'!J11*'Output-Calculation-sheet'!J65</f>
        <v>618.6996938608263</v>
      </c>
      <c r="K78" s="2">
        <f>K12/'Output-Calculation-sheet'!K11*'Output-Calculation-sheet'!K65</f>
        <v>780.75478360864997</v>
      </c>
      <c r="L78" s="2">
        <f>L12/'Output-Calculation-sheet'!L11*'Output-Calculation-sheet'!L65</f>
        <v>462.79179364082091</v>
      </c>
      <c r="M78" s="2">
        <f>M12/'Output-Calculation-sheet'!M11*'Output-Calculation-sheet'!M65</f>
        <v>14.255954165017354</v>
      </c>
      <c r="N78" s="2">
        <f>N12/'Output-Calculation-sheet'!N11*'Output-Calculation-sheet'!N65</f>
        <v>12.202618649207961</v>
      </c>
      <c r="O78" s="2">
        <f>O12/'Output-Calculation-sheet'!O11*'Output-Calculation-sheet'!O65</f>
        <v>2.4297489664380292</v>
      </c>
      <c r="P78" s="2">
        <f>P12/'Output-Calculation-sheet'!P11*'Output-Calculation-sheet'!P65</f>
        <v>205.29972156350473</v>
      </c>
      <c r="Q78" s="2">
        <f>Q12/'Output-Calculation-sheet'!Q11*'Output-Calculation-sheet'!Q65</f>
        <v>195.48380660497398</v>
      </c>
      <c r="R78" s="2">
        <f>R12/'Output-Calculation-sheet'!R11*'Output-Calculation-sheet'!R65</f>
        <v>895.53742493373784</v>
      </c>
      <c r="S78" s="2">
        <f>S12/'Output-Calculation-sheet'!S11*'Output-Calculation-sheet'!S65</f>
        <v>5.4303752130038205</v>
      </c>
      <c r="T78" s="2">
        <f>T12/'Output-Calculation-sheet'!T11*'Output-Calculation-sheet'!T65</f>
        <v>321.25044711056591</v>
      </c>
      <c r="U78" s="2">
        <f>U12/'Output-Calculation-sheet'!U11*'Output-Calculation-sheet'!U65</f>
        <v>273.92377032783634</v>
      </c>
      <c r="V78" s="2">
        <f>V12/'Output-Calculation-sheet'!V11*'Output-Calculation-sheet'!V65</f>
        <v>172.92055531013384</v>
      </c>
      <c r="W78" s="2">
        <f>W12/'Output-Calculation-sheet'!W11*'Output-Calculation-sheet'!W65</f>
        <v>124.44677750746889</v>
      </c>
      <c r="X78" s="2">
        <f>X12/'Output-Calculation-sheet'!X11*'Output-Calculation-sheet'!X65</f>
        <v>1.8201711705436119</v>
      </c>
      <c r="Y78" s="2">
        <f>Y12/'Output-Calculation-sheet'!Y11*'Output-Calculation-sheet'!Y65</f>
        <v>36.43987060697517</v>
      </c>
      <c r="AA78" s="2">
        <f t="shared" si="6"/>
        <v>9.6547524062742642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18.433917181693065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96.878103600143234</v>
      </c>
      <c r="E89" s="2">
        <f>E12/'Output-Calculation-sheet'!E11*'Output-Calculation-sheet'!E74</f>
        <v>67.753260921784957</v>
      </c>
      <c r="F89" s="2">
        <f>F12/'Output-Calculation-sheet'!F11*'Output-Calculation-sheet'!F74</f>
        <v>40.675224434267527</v>
      </c>
      <c r="G89" s="2">
        <f>G12/'Output-Calculation-sheet'!G11*'Output-Calculation-sheet'!G74</f>
        <v>36.142460523666337</v>
      </c>
      <c r="H89" s="2">
        <f>H12/'Output-Calculation-sheet'!H11*'Output-Calculation-sheet'!H74</f>
        <v>5.3865279174292233</v>
      </c>
      <c r="I89" s="2">
        <f>I12/'Output-Calculation-sheet'!I11*'Output-Calculation-sheet'!I74</f>
        <v>33.758214047791576</v>
      </c>
      <c r="J89" s="2">
        <f>J12/'Output-Calculation-sheet'!J11*'Output-Calculation-sheet'!J74</f>
        <v>19.798192221624227</v>
      </c>
      <c r="K89" s="2">
        <f>K12/'Output-Calculation-sheet'!K11*'Output-Calculation-sheet'!K74</f>
        <v>39.323201043004055</v>
      </c>
      <c r="L89" s="2">
        <f>L12/'Output-Calculation-sheet'!L11*'Output-Calculation-sheet'!L74</f>
        <v>26.382374338195465</v>
      </c>
      <c r="M89" s="2">
        <f>M12/'Output-Calculation-sheet'!M11*'Output-Calculation-sheet'!M74</f>
        <v>4.6330692768987172</v>
      </c>
      <c r="N89" s="2">
        <f>N12/'Output-Calculation-sheet'!N11*'Output-Calculation-sheet'!N74</f>
        <v>3.6428445851803755</v>
      </c>
      <c r="O89" s="2">
        <f>O12/'Output-Calculation-sheet'!O11*'Output-Calculation-sheet'!O74</f>
        <v>1.6997194588583624</v>
      </c>
      <c r="P89" s="2">
        <f>P12/'Output-Calculation-sheet'!P11*'Output-Calculation-sheet'!P74</f>
        <v>4.2066856592089197</v>
      </c>
      <c r="Q89" s="2">
        <f>Q12/'Output-Calculation-sheet'!Q11*'Output-Calculation-sheet'!Q74</f>
        <v>43.087809579407384</v>
      </c>
      <c r="R89" s="2">
        <f>R12/'Output-Calculation-sheet'!R11*'Output-Calculation-sheet'!R74</f>
        <v>19.782261187693184</v>
      </c>
      <c r="S89" s="2">
        <f>S12/'Output-Calculation-sheet'!S11*'Output-Calculation-sheet'!S74</f>
        <v>1.5661532050578217</v>
      </c>
      <c r="T89" s="2">
        <f>T12/'Output-Calculation-sheet'!T11*'Output-Calculation-sheet'!T74</f>
        <v>4.6839625117386445</v>
      </c>
      <c r="U89" s="2">
        <f>U12/'Output-Calculation-sheet'!U11*'Output-Calculation-sheet'!U74</f>
        <v>8.6558975568319241</v>
      </c>
      <c r="V89" s="2">
        <f>V12/'Output-Calculation-sheet'!V11*'Output-Calculation-sheet'!V74</f>
        <v>1.1778446799635849</v>
      </c>
      <c r="W89" s="2">
        <f>W12/'Output-Calculation-sheet'!W11*'Output-Calculation-sheet'!W74</f>
        <v>3.0597988153534006</v>
      </c>
      <c r="X89" s="2">
        <f>X12/'Output-Calculation-sheet'!X11*'Output-Calculation-sheet'!X74</f>
        <v>0.2033029342727144</v>
      </c>
      <c r="Y89" s="2">
        <f>Y12/'Output-Calculation-sheet'!Y11*'Output-Calculation-sheet'!Y74</f>
        <v>2.1581034243496937</v>
      </c>
      <c r="AA89" s="2">
        <f t="shared" si="7"/>
        <v>0.48746351098185109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11552546401.729856</v>
      </c>
      <c r="C96" s="2">
        <f>C8/'Output-Calculation-sheet'!C7*'Output-Calculation-sheet'!C79</f>
        <v>3908286508.8653178</v>
      </c>
      <c r="D96" s="2">
        <f>D8/'Output-Calculation-sheet'!D7*'Output-Calculation-sheet'!D79</f>
        <v>4079972978.4583426</v>
      </c>
      <c r="E96" s="2">
        <f>E8/'Output-Calculation-sheet'!E7*'Output-Calculation-sheet'!E79</f>
        <v>7253855816.0000401</v>
      </c>
      <c r="F96" s="2">
        <f>F8/'Output-Calculation-sheet'!F7*'Output-Calculation-sheet'!F79</f>
        <v>3002298761.7117457</v>
      </c>
      <c r="G96" s="2">
        <f>G8/'Output-Calculation-sheet'!G7*'Output-Calculation-sheet'!G79</f>
        <v>2338548967.2949257</v>
      </c>
      <c r="H96" s="2">
        <f>H8/'Output-Calculation-sheet'!H7*'Output-Calculation-sheet'!H79</f>
        <v>2001668704.0237584</v>
      </c>
      <c r="I96" s="2">
        <f>I8/'Output-Calculation-sheet'!I7*'Output-Calculation-sheet'!I79</f>
        <v>1629043936.7345936</v>
      </c>
      <c r="J96" s="2">
        <f>J8/'Output-Calculation-sheet'!J7*'Output-Calculation-sheet'!J79</f>
        <v>1101598487.8165765</v>
      </c>
      <c r="K96" s="2">
        <f>K8/'Output-Calculation-sheet'!K7*'Output-Calculation-sheet'!K79</f>
        <v>1576061155.8006659</v>
      </c>
      <c r="L96" s="2">
        <f>L8/'Output-Calculation-sheet'!L7*'Output-Calculation-sheet'!L79</f>
        <v>1112070057.7491746</v>
      </c>
      <c r="M96" s="2">
        <f>M8/'Output-Calculation-sheet'!M7*'Output-Calculation-sheet'!M79</f>
        <v>1494205222.9874172</v>
      </c>
      <c r="N96" s="2">
        <f>N8/'Output-Calculation-sheet'!N7*'Output-Calculation-sheet'!N79</f>
        <v>1111806070.9478424</v>
      </c>
      <c r="O96" s="2">
        <f>O8/'Output-Calculation-sheet'!O7*'Output-Calculation-sheet'!O79</f>
        <v>562055067.55292571</v>
      </c>
      <c r="P96" s="2">
        <f>P8/'Output-Calculation-sheet'!P7*'Output-Calculation-sheet'!P79</f>
        <v>1879968516.3718922</v>
      </c>
      <c r="Q96" s="2">
        <f>Q8/'Output-Calculation-sheet'!Q7*'Output-Calculation-sheet'!Q79</f>
        <v>876144268.17595232</v>
      </c>
      <c r="R96" s="2">
        <f>R8/'Output-Calculation-sheet'!R7*'Output-Calculation-sheet'!R79</f>
        <v>1093095986.2188568</v>
      </c>
      <c r="S96" s="2">
        <f>S8/'Output-Calculation-sheet'!S7*'Output-Calculation-sheet'!S79</f>
        <v>636928020.00465822</v>
      </c>
      <c r="T96" s="2">
        <f>T8/'Output-Calculation-sheet'!T7*'Output-Calculation-sheet'!T79</f>
        <v>486464112.56442833</v>
      </c>
      <c r="U96" s="2">
        <f>U8/'Output-Calculation-sheet'!U7*'Output-Calculation-sheet'!U79</f>
        <v>305584845.0078187</v>
      </c>
      <c r="V96" s="2">
        <f>V8/'Output-Calculation-sheet'!V7*'Output-Calculation-sheet'!V79</f>
        <v>158552640.66084725</v>
      </c>
      <c r="W96" s="2">
        <f>W8/'Output-Calculation-sheet'!W7*'Output-Calculation-sheet'!W79</f>
        <v>468514053.90583521</v>
      </c>
      <c r="X96" s="2">
        <f>X8/'Output-Calculation-sheet'!X7*'Output-Calculation-sheet'!X79</f>
        <v>164668518.76364681</v>
      </c>
      <c r="Y96" s="2">
        <f>Y8/'Output-Calculation-sheet'!Y7*'Output-Calculation-sheet'!Y79</f>
        <v>257539317.63813341</v>
      </c>
      <c r="AA96" s="2">
        <f t="shared" si="8"/>
        <v>49.051478416985269</v>
      </c>
    </row>
    <row r="97" spans="1:27" x14ac:dyDescent="0.25">
      <c r="A97" s="2">
        <v>2032</v>
      </c>
      <c r="B97" s="2">
        <f>B9/'Output-Calculation-sheet'!B8*'Output-Calculation-sheet'!B80</f>
        <v>15287416512.862783</v>
      </c>
      <c r="C97" s="2">
        <f>C9/'Output-Calculation-sheet'!C8*'Output-Calculation-sheet'!C80</f>
        <v>5206985703.1125383</v>
      </c>
      <c r="D97" s="2">
        <f>D9/'Output-Calculation-sheet'!D8*'Output-Calculation-sheet'!D80</f>
        <v>5188228337.5153141</v>
      </c>
      <c r="E97" s="2">
        <f>E9/'Output-Calculation-sheet'!E8*'Output-Calculation-sheet'!E80</f>
        <v>9488507573.8319244</v>
      </c>
      <c r="F97" s="2">
        <f>F9/'Output-Calculation-sheet'!F8*'Output-Calculation-sheet'!F80</f>
        <v>3919701853.8791485</v>
      </c>
      <c r="G97" s="2">
        <f>G9/'Output-Calculation-sheet'!G8*'Output-Calculation-sheet'!G80</f>
        <v>2967005811.6484685</v>
      </c>
      <c r="H97" s="2">
        <f>H9/'Output-Calculation-sheet'!H8*'Output-Calculation-sheet'!H80</f>
        <v>2610368285.2014165</v>
      </c>
      <c r="I97" s="2">
        <f>I9/'Output-Calculation-sheet'!I8*'Output-Calculation-sheet'!I80</f>
        <v>2147263154.1190457</v>
      </c>
      <c r="J97" s="2">
        <f>J9/'Output-Calculation-sheet'!J8*'Output-Calculation-sheet'!J80</f>
        <v>1411623404.1820273</v>
      </c>
      <c r="K97" s="2">
        <f>K9/'Output-Calculation-sheet'!K8*'Output-Calculation-sheet'!K80</f>
        <v>2035154034.1832223</v>
      </c>
      <c r="L97" s="2">
        <f>L9/'Output-Calculation-sheet'!L8*'Output-Calculation-sheet'!L80</f>
        <v>1481259311.6853766</v>
      </c>
      <c r="M97" s="2">
        <f>M9/'Output-Calculation-sheet'!M8*'Output-Calculation-sheet'!M80</f>
        <v>1954359375.2919228</v>
      </c>
      <c r="N97" s="2">
        <f>N9/'Output-Calculation-sheet'!N8*'Output-Calculation-sheet'!N80</f>
        <v>1427918094.1134992</v>
      </c>
      <c r="O97" s="2">
        <f>O9/'Output-Calculation-sheet'!O8*'Output-Calculation-sheet'!O80</f>
        <v>738710333.08800554</v>
      </c>
      <c r="P97" s="2">
        <f>P9/'Output-Calculation-sheet'!P8*'Output-Calculation-sheet'!P80</f>
        <v>2416936984.6624465</v>
      </c>
      <c r="Q97" s="2">
        <f>Q9/'Output-Calculation-sheet'!Q8*'Output-Calculation-sheet'!Q80</f>
        <v>1130548503.0434101</v>
      </c>
      <c r="R97" s="2">
        <f>R9/'Output-Calculation-sheet'!R8*'Output-Calculation-sheet'!R80</f>
        <v>1428447837.9609804</v>
      </c>
      <c r="S97" s="2">
        <f>S9/'Output-Calculation-sheet'!S8*'Output-Calculation-sheet'!S80</f>
        <v>829065145.43151486</v>
      </c>
      <c r="T97" s="2">
        <f>T9/'Output-Calculation-sheet'!T8*'Output-Calculation-sheet'!T80</f>
        <v>624312323.52499127</v>
      </c>
      <c r="U97" s="2">
        <f>U9/'Output-Calculation-sheet'!U8*'Output-Calculation-sheet'!U80</f>
        <v>399118989.72203785</v>
      </c>
      <c r="V97" s="2">
        <f>V9/'Output-Calculation-sheet'!V8*'Output-Calculation-sheet'!V80</f>
        <v>209273280.48905936</v>
      </c>
      <c r="W97" s="2">
        <f>W9/'Output-Calculation-sheet'!W8*'Output-Calculation-sheet'!W80</f>
        <v>606064471.74181318</v>
      </c>
      <c r="X97" s="2">
        <f>X9/'Output-Calculation-sheet'!X8*'Output-Calculation-sheet'!X80</f>
        <v>217634477.68018657</v>
      </c>
      <c r="Y97" s="2">
        <f>Y9/'Output-Calculation-sheet'!Y8*'Output-Calculation-sheet'!Y80</f>
        <v>333130698.34581065</v>
      </c>
      <c r="AA97" s="2">
        <f t="shared" si="8"/>
        <v>64.059034497316958</v>
      </c>
    </row>
    <row r="98" spans="1:27" x14ac:dyDescent="0.25">
      <c r="A98" s="2">
        <v>2033</v>
      </c>
      <c r="B98" s="2">
        <f>B10/'Output-Calculation-sheet'!B9*'Output-Calculation-sheet'!B81</f>
        <v>18605616178.367275</v>
      </c>
      <c r="C98" s="2">
        <f>C10/'Output-Calculation-sheet'!C9*'Output-Calculation-sheet'!C81</f>
        <v>6378940110.5146608</v>
      </c>
      <c r="D98" s="2">
        <f>D10/'Output-Calculation-sheet'!D9*'Output-Calculation-sheet'!D81</f>
        <v>6070779493.7536888</v>
      </c>
      <c r="E98" s="2">
        <f>E10/'Output-Calculation-sheet'!E9*'Output-Calculation-sheet'!E81</f>
        <v>11419529998.862494</v>
      </c>
      <c r="F98" s="2">
        <f>F10/'Output-Calculation-sheet'!F9*'Output-Calculation-sheet'!F81</f>
        <v>4709690603.0683517</v>
      </c>
      <c r="G98" s="2">
        <f>G10/'Output-Calculation-sheet'!G9*'Output-Calculation-sheet'!G81</f>
        <v>3458003907.0017366</v>
      </c>
      <c r="H98" s="2">
        <f>H10/'Output-Calculation-sheet'!H9*'Output-Calculation-sheet'!H81</f>
        <v>3132986225.6050243</v>
      </c>
      <c r="I98" s="2">
        <f>I10/'Output-Calculation-sheet'!I9*'Output-Calculation-sheet'!I81</f>
        <v>2604425948.6087222</v>
      </c>
      <c r="J98" s="2">
        <f>J10/'Output-Calculation-sheet'!J9*'Output-Calculation-sheet'!J81</f>
        <v>1665330559.487045</v>
      </c>
      <c r="K98" s="2">
        <f>K10/'Output-Calculation-sheet'!K9*'Output-Calculation-sheet'!K81</f>
        <v>2418962418.9455714</v>
      </c>
      <c r="L98" s="2">
        <f>L10/'Output-Calculation-sheet'!L9*'Output-Calculation-sheet'!L81</f>
        <v>1814262343.6118927</v>
      </c>
      <c r="M98" s="2">
        <f>M10/'Output-Calculation-sheet'!M9*'Output-Calculation-sheet'!M81</f>
        <v>2352738192.4049897</v>
      </c>
      <c r="N98" s="2">
        <f>N10/'Output-Calculation-sheet'!N9*'Output-Calculation-sheet'!N81</f>
        <v>1687902943.5863147</v>
      </c>
      <c r="O98" s="2">
        <f>O10/'Output-Calculation-sheet'!O9*'Output-Calculation-sheet'!O81</f>
        <v>893838657.97070313</v>
      </c>
      <c r="P98" s="2">
        <f>P10/'Output-Calculation-sheet'!P9*'Output-Calculation-sheet'!P81</f>
        <v>2856466636.3912916</v>
      </c>
      <c r="Q98" s="2">
        <f>Q10/'Output-Calculation-sheet'!Q9*'Output-Calculation-sheet'!Q81</f>
        <v>1343035781.1641383</v>
      </c>
      <c r="R98" s="2">
        <f>R10/'Output-Calculation-sheet'!R9*'Output-Calculation-sheet'!R81</f>
        <v>1717950726.8711696</v>
      </c>
      <c r="S98" s="2">
        <f>S10/'Output-Calculation-sheet'!S9*'Output-Calculation-sheet'!S81</f>
        <v>993278433.01256108</v>
      </c>
      <c r="T98" s="2">
        <f>T10/'Output-Calculation-sheet'!T9*'Output-Calculation-sheet'!T81</f>
        <v>737050232.07713318</v>
      </c>
      <c r="U98" s="2">
        <f>U10/'Output-Calculation-sheet'!U9*'Output-Calculation-sheet'!U81</f>
        <v>479573423.06140631</v>
      </c>
      <c r="V98" s="2">
        <f>V10/'Output-Calculation-sheet'!V9*'Output-Calculation-sheet'!V81</f>
        <v>253989204.37349546</v>
      </c>
      <c r="W98" s="2">
        <f>W10/'Output-Calculation-sheet'!W9*'Output-Calculation-sheet'!W81</f>
        <v>720152445.38166142</v>
      </c>
      <c r="X98" s="2">
        <f>X10/'Output-Calculation-sheet'!X9*'Output-Calculation-sheet'!X81</f>
        <v>264632722.93660828</v>
      </c>
      <c r="Y98" s="2">
        <f>Y10/'Output-Calculation-sheet'!Y9*'Output-Calculation-sheet'!Y81</f>
        <v>395982656.96440393</v>
      </c>
      <c r="AA98" s="2">
        <f t="shared" si="8"/>
        <v>76.975119844022345</v>
      </c>
    </row>
    <row r="99" spans="1:27" x14ac:dyDescent="0.25">
      <c r="A99" s="2">
        <v>2034</v>
      </c>
      <c r="B99" s="2">
        <f>B11/'Output-Calculation-sheet'!B10*'Output-Calculation-sheet'!B82</f>
        <v>21256886183.203426</v>
      </c>
      <c r="C99" s="2">
        <f>C11/'Output-Calculation-sheet'!C10*'Output-Calculation-sheet'!C82</f>
        <v>7334512709.9964018</v>
      </c>
      <c r="D99" s="2">
        <f>D11/'Output-Calculation-sheet'!D10*'Output-Calculation-sheet'!D82</f>
        <v>6672310416.251339</v>
      </c>
      <c r="E99" s="2">
        <f>E11/'Output-Calculation-sheet'!E10*'Output-Calculation-sheet'!E82</f>
        <v>12907014521.076355</v>
      </c>
      <c r="F99" s="2">
        <f>F11/'Output-Calculation-sheet'!F10*'Output-Calculation-sheet'!F82</f>
        <v>5315738063.9850845</v>
      </c>
      <c r="G99" s="2">
        <f>G11/'Output-Calculation-sheet'!G10*'Output-Calculation-sheet'!G82</f>
        <v>3779117313.4298224</v>
      </c>
      <c r="H99" s="2">
        <f>H11/'Output-Calculation-sheet'!H10*'Output-Calculation-sheet'!H82</f>
        <v>3532276724.7957821</v>
      </c>
      <c r="I99" s="2">
        <f>I11/'Output-Calculation-sheet'!I10*'Output-Calculation-sheet'!I82</f>
        <v>2966856209.4276843</v>
      </c>
      <c r="J99" s="2">
        <f>J11/'Output-Calculation-sheet'!J10*'Output-Calculation-sheet'!J82</f>
        <v>1846268006.015367</v>
      </c>
      <c r="K99" s="2">
        <f>K11/'Output-Calculation-sheet'!K10*'Output-Calculation-sheet'!K82</f>
        <v>2701335526.5284081</v>
      </c>
      <c r="L99" s="2">
        <f>L11/'Output-Calculation-sheet'!L10*'Output-Calculation-sheet'!L82</f>
        <v>2085632482.9669919</v>
      </c>
      <c r="M99" s="2">
        <f>M11/'Output-Calculation-sheet'!M10*'Output-Calculation-sheet'!M82</f>
        <v>2660796511.8321199</v>
      </c>
      <c r="N99" s="2">
        <f>N11/'Output-Calculation-sheet'!N10*'Output-Calculation-sheet'!N82</f>
        <v>1874530170.9813344</v>
      </c>
      <c r="O99" s="2">
        <f>O11/'Output-Calculation-sheet'!O10*'Output-Calculation-sheet'!O82</f>
        <v>1016275735.9701309</v>
      </c>
      <c r="P99" s="2">
        <f>P11/'Output-Calculation-sheet'!P10*'Output-Calculation-sheet'!P82</f>
        <v>3167981135.3702788</v>
      </c>
      <c r="Q99" s="2">
        <f>Q11/'Output-Calculation-sheet'!Q10*'Output-Calculation-sheet'!Q82</f>
        <v>1499284623.3654842</v>
      </c>
      <c r="R99" s="2">
        <f>R11/'Output-Calculation-sheet'!R10*'Output-Calculation-sheet'!R82</f>
        <v>1940820552.2839983</v>
      </c>
      <c r="S99" s="2">
        <f>S11/'Output-Calculation-sheet'!S10*'Output-Calculation-sheet'!S82</f>
        <v>1117964187.9627597</v>
      </c>
      <c r="T99" s="2">
        <f>T11/'Output-Calculation-sheet'!T10*'Output-Calculation-sheet'!T82</f>
        <v>817098155.24758244</v>
      </c>
      <c r="U99" s="2">
        <f>U11/'Output-Calculation-sheet'!U10*'Output-Calculation-sheet'!U82</f>
        <v>541099891.94653344</v>
      </c>
      <c r="V99" s="2">
        <f>V11/'Output-Calculation-sheet'!V10*'Output-Calculation-sheet'!V82</f>
        <v>289317888.22920269</v>
      </c>
      <c r="W99" s="2">
        <f>W11/'Output-Calculation-sheet'!W10*'Output-Calculation-sheet'!W82</f>
        <v>802295173.21379137</v>
      </c>
      <c r="X99" s="2">
        <f>X11/'Output-Calculation-sheet'!X10*'Output-Calculation-sheet'!X82</f>
        <v>302164955.43038142</v>
      </c>
      <c r="Y99" s="2">
        <f>Y11/'Output-Calculation-sheet'!Y10*'Output-Calculation-sheet'!Y82</f>
        <v>441514728.6128931</v>
      </c>
      <c r="AA99" s="2">
        <f t="shared" si="8"/>
        <v>86.869091868123164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1685.572457469068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518.87148037146278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357.03407482054587</v>
      </c>
      <c r="N107" s="2">
        <f>N8/'Output-Calculation-sheet'!N7*'Output-Calculation-sheet'!N88</f>
        <v>140.36263742806787</v>
      </c>
      <c r="O107" s="2">
        <f>O8/'Output-Calculation-sheet'!O7*'Output-Calculation-sheet'!O88</f>
        <v>392.95188233459305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39.167380578727538</v>
      </c>
      <c r="Y107" s="2">
        <f>Y8/'Output-Calculation-sheet'!Y7*'Output-Calculation-sheet'!Y88</f>
        <v>0</v>
      </c>
      <c r="AA107" s="2">
        <f t="shared" si="9"/>
        <v>3.1339599130024651</v>
      </c>
    </row>
    <row r="108" spans="1:27" x14ac:dyDescent="0.25">
      <c r="A108" s="2">
        <v>2032</v>
      </c>
      <c r="B108" s="2">
        <f>B9/'Output-Calculation-sheet'!B8*'Output-Calculation-sheet'!B89</f>
        <v>752.34743427627336</v>
      </c>
      <c r="C108" s="2">
        <f>C9/'Output-Calculation-sheet'!C8*'Output-Calculation-sheet'!C89</f>
        <v>2856.652045536568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769.44533624465146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529.45327338943491</v>
      </c>
      <c r="N108" s="2">
        <f>N9/'Output-Calculation-sheet'!N8*'Output-Calculation-sheet'!N89</f>
        <v>371.69050263628668</v>
      </c>
      <c r="O108" s="2">
        <f>O9/'Output-Calculation-sheet'!O8*'Output-Calculation-sheet'!O89</f>
        <v>554.96813238654045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170.45266199908056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58.082125264710818</v>
      </c>
      <c r="Y108" s="2">
        <f>Y9/'Output-Calculation-sheet'!Y8*'Output-Calculation-sheet'!Y89</f>
        <v>0</v>
      </c>
      <c r="AA108" s="2">
        <f t="shared" si="9"/>
        <v>6.0630915117335462</v>
      </c>
    </row>
    <row r="109" spans="1:27" x14ac:dyDescent="0.25">
      <c r="A109" s="2">
        <v>2033</v>
      </c>
      <c r="B109" s="2">
        <f>B10/'Output-Calculation-sheet'!B9*'Output-Calculation-sheet'!B90</f>
        <v>3816.8864379027482</v>
      </c>
      <c r="C109" s="2">
        <f>C10/'Output-Calculation-sheet'!C9*'Output-Calculation-sheet'!C90</f>
        <v>3623.1652936068008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1115.3226496991249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767.45052566128209</v>
      </c>
      <c r="N109" s="2">
        <f>N10/'Output-Calculation-sheet'!N9*'Output-Calculation-sheet'!N90</f>
        <v>603.4235243877946</v>
      </c>
      <c r="O109" s="2">
        <f>O10/'Output-Calculation-sheet'!O9*'Output-Calculation-sheet'!O90</f>
        <v>703.88036214015619</v>
      </c>
      <c r="P109" s="2">
        <f>P10/'Output-Calculation-sheet'!P9*'Output-Calculation-sheet'!P90</f>
        <v>0</v>
      </c>
      <c r="Q109" s="2">
        <f>Q10/'Output-Calculation-sheet'!Q9*'Output-Calculation-sheet'!Q90</f>
        <v>132.17284880189703</v>
      </c>
      <c r="R109" s="2">
        <f>R10/'Output-Calculation-sheet'!R9*'Output-Calculation-sheet'!R90</f>
        <v>0</v>
      </c>
      <c r="S109" s="2">
        <f>S10/'Output-Calculation-sheet'!S9*'Output-Calculation-sheet'!S90</f>
        <v>302.66529596142766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84.190918833246798</v>
      </c>
      <c r="Y109" s="2">
        <f>Y10/'Output-Calculation-sheet'!Y9*'Output-Calculation-sheet'!Y90</f>
        <v>0</v>
      </c>
      <c r="AA109" s="2">
        <f t="shared" si="9"/>
        <v>11.149157856994478</v>
      </c>
    </row>
    <row r="110" spans="1:27" x14ac:dyDescent="0.25">
      <c r="A110" s="2">
        <v>2034</v>
      </c>
      <c r="B110" s="2">
        <f>B11/'Output-Calculation-sheet'!B10*'Output-Calculation-sheet'!B91</f>
        <v>6730.3540866177018</v>
      </c>
      <c r="C110" s="2">
        <f>C11/'Output-Calculation-sheet'!C10*'Output-Calculation-sheet'!C91</f>
        <v>4614.107082384704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1311.106399666141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902.16879921975135</v>
      </c>
      <c r="N110" s="2">
        <f>N11/'Output-Calculation-sheet'!N10*'Output-Calculation-sheet'!N91</f>
        <v>812.79515209314877</v>
      </c>
      <c r="O110" s="2">
        <f>O11/'Output-Calculation-sheet'!O10*'Output-Calculation-sheet'!O91</f>
        <v>896.39282255027751</v>
      </c>
      <c r="P110" s="2">
        <f>P11/'Output-Calculation-sheet'!P10*'Output-Calculation-sheet'!P91</f>
        <v>204.78544152073687</v>
      </c>
      <c r="Q110" s="2">
        <f>Q11/'Output-Calculation-sheet'!Q10*'Output-Calculation-sheet'!Q91</f>
        <v>453.17554364617604</v>
      </c>
      <c r="R110" s="2">
        <f>R11/'Output-Calculation-sheet'!R10*'Output-Calculation-sheet'!R91</f>
        <v>0</v>
      </c>
      <c r="S110" s="2">
        <f>S11/'Output-Calculation-sheet'!S10*'Output-Calculation-sheet'!S91</f>
        <v>465.92224024955266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98.969793633994669</v>
      </c>
      <c r="Y110" s="2">
        <f>Y11/'Output-Calculation-sheet'!Y10*'Output-Calculation-sheet'!Y91</f>
        <v>15.917957328717652</v>
      </c>
      <c r="AA110" s="2">
        <f t="shared" si="9"/>
        <v>16.505695318910906</v>
      </c>
    </row>
    <row r="111" spans="1:27" x14ac:dyDescent="0.25">
      <c r="A111" s="2">
        <v>2035</v>
      </c>
      <c r="B111" s="2">
        <f>B12/'Output-Calculation-sheet'!B11*'Output-Calculation-sheet'!B92</f>
        <v>10645.587172427746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1897.0913058099788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777.39550982180833</v>
      </c>
      <c r="Q111" s="2">
        <f>Q12/'Output-Calculation-sheet'!Q11*'Output-Calculation-sheet'!Q92</f>
        <v>552.9602229357281</v>
      </c>
      <c r="R111" s="2">
        <f>R12/'Output-Calculation-sheet'!R11*'Output-Calculation-sheet'!R92</f>
        <v>0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75.533619852239269</v>
      </c>
      <c r="AA111" s="2">
        <f t="shared" si="9"/>
        <v>24.38064462835942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1351704686.6906948</v>
      </c>
      <c r="C118" s="2">
        <f>C8/'Output-Calculation-sheet'!C7*'Output-Calculation-sheet'!C97</f>
        <v>7923845475.7901354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2438004578.3447571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1693404270.6227493</v>
      </c>
      <c r="N118" s="2">
        <f>N8/'Output-Calculation-sheet'!N7*'Output-Calculation-sheet'!N97</f>
        <v>1328839520.4567485</v>
      </c>
      <c r="O118" s="2">
        <f>O8/'Output-Calculation-sheet'!O7*'Output-Calculation-sheet'!O97</f>
        <v>884225088.68242049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480718516.32477319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182516839.75973284</v>
      </c>
      <c r="Y118" s="2">
        <f>Y8/'Output-Calculation-sheet'!Y7*'Output-Calculation-sheet'!Y97</f>
        <v>0</v>
      </c>
      <c r="AA118" s="2">
        <f t="shared" si="10"/>
        <v>16283.258976672014</v>
      </c>
    </row>
    <row r="119" spans="1:27" x14ac:dyDescent="0.25">
      <c r="A119" s="2">
        <v>2032</v>
      </c>
      <c r="B119" s="2">
        <f>B9/'Output-Calculation-sheet'!B8*'Output-Calculation-sheet'!B98</f>
        <v>5644149534.924202</v>
      </c>
      <c r="C119" s="2">
        <f>C9/'Output-Calculation-sheet'!C8*'Output-Calculation-sheet'!C98</f>
        <v>4486084053.5995502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2681791084.9472284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1871900220.3977678</v>
      </c>
      <c r="N119" s="2">
        <f>N9/'Output-Calculation-sheet'!N8*'Output-Calculation-sheet'!N98</f>
        <v>1263461941.7197895</v>
      </c>
      <c r="O119" s="2">
        <f>O9/'Output-Calculation-sheet'!O8*'Output-Calculation-sheet'!O98</f>
        <v>876497929.10761094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525352149.54736614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200300034.42145342</v>
      </c>
      <c r="Y119" s="2">
        <f>Y9/'Output-Calculation-sheet'!Y8*'Output-Calculation-sheet'!Y98</f>
        <v>0</v>
      </c>
      <c r="AA119" s="2">
        <f t="shared" si="10"/>
        <v>17549.536948664965</v>
      </c>
    </row>
    <row r="120" spans="1:27" x14ac:dyDescent="0.25">
      <c r="A120" s="2">
        <v>2033</v>
      </c>
      <c r="B120" s="2">
        <f>B10/'Output-Calculation-sheet'!B9*'Output-Calculation-sheet'!B99</f>
        <v>5491099728.6484652</v>
      </c>
      <c r="C120" s="2">
        <f>C10/'Output-Calculation-sheet'!C9*'Output-Calculation-sheet'!C99</f>
        <v>4514024941.1303158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1480041846.9765804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1047585914.5515599</v>
      </c>
      <c r="N120" s="2">
        <f>N10/'Output-Calculation-sheet'!N9*'Output-Calculation-sheet'!N99</f>
        <v>1044332163.153862</v>
      </c>
      <c r="O120" s="2">
        <f>O10/'Output-Calculation-sheet'!O9*'Output-Calculation-sheet'!O99</f>
        <v>883748852.92504311</v>
      </c>
      <c r="P120" s="2">
        <f>P10/'Output-Calculation-sheet'!P9*'Output-Calculation-sheet'!P99</f>
        <v>0</v>
      </c>
      <c r="Q120" s="2">
        <f>Q10/'Output-Calculation-sheet'!Q9*'Output-Calculation-sheet'!Q99</f>
        <v>6259206.5513774306</v>
      </c>
      <c r="R120" s="2">
        <f>R10/'Output-Calculation-sheet'!R9*'Output-Calculation-sheet'!R99</f>
        <v>0</v>
      </c>
      <c r="S120" s="2">
        <f>S10/'Output-Calculation-sheet'!S9*'Output-Calculation-sheet'!S99</f>
        <v>437359494.8661024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104606101.39398174</v>
      </c>
      <c r="Y120" s="2">
        <f>Y10/'Output-Calculation-sheet'!Y9*'Output-Calculation-sheet'!Y99</f>
        <v>0</v>
      </c>
      <c r="AA120" s="2">
        <f t="shared" si="10"/>
        <v>15009.058250197288</v>
      </c>
    </row>
    <row r="121" spans="1:27" x14ac:dyDescent="0.25">
      <c r="A121" s="2">
        <v>2034</v>
      </c>
      <c r="B121" s="2">
        <f>B11/'Output-Calculation-sheet'!B10*'Output-Calculation-sheet'!B100</f>
        <v>5052642886.4961758</v>
      </c>
      <c r="C121" s="2">
        <f>C11/'Output-Calculation-sheet'!C10*'Output-Calculation-sheet'!C100</f>
        <v>605735460.46783078</v>
      </c>
      <c r="D121" s="2">
        <f>D11/'Output-Calculation-sheet'!D10*'Output-Calculation-sheet'!D100</f>
        <v>0</v>
      </c>
      <c r="E121" s="2">
        <f>E11/'Output-Calculation-sheet'!E10*'Output-Calculation-sheet'!E100</f>
        <v>714863774.15623713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1594958097.3012204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582665265.43976033</v>
      </c>
      <c r="M121" s="2">
        <f>M11/'Output-Calculation-sheet'!M10*'Output-Calculation-sheet'!M100</f>
        <v>1135125576.7966316</v>
      </c>
      <c r="N121" s="2">
        <f>N11/'Output-Calculation-sheet'!N10*'Output-Calculation-sheet'!N100</f>
        <v>756762858.38681507</v>
      </c>
      <c r="O121" s="2">
        <f>O11/'Output-Calculation-sheet'!O10*'Output-Calculation-sheet'!O100</f>
        <v>118817002.95363806</v>
      </c>
      <c r="P121" s="2">
        <f>P11/'Output-Calculation-sheet'!P10*'Output-Calculation-sheet'!P100</f>
        <v>0</v>
      </c>
      <c r="Q121" s="2">
        <f>Q11/'Output-Calculation-sheet'!Q10*'Output-Calculation-sheet'!Q100</f>
        <v>256082016.85297275</v>
      </c>
      <c r="R121" s="2">
        <f>R11/'Output-Calculation-sheet'!R10*'Output-Calculation-sheet'!R100</f>
        <v>0</v>
      </c>
      <c r="S121" s="2">
        <f>S11/'Output-Calculation-sheet'!S10*'Output-Calculation-sheet'!S100</f>
        <v>282948030.48860765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111534030.35786355</v>
      </c>
      <c r="Y121" s="2">
        <f>Y11/'Output-Calculation-sheet'!Y10*'Output-Calculation-sheet'!Y100</f>
        <v>16179828.399446912</v>
      </c>
      <c r="AA121" s="2">
        <f t="shared" si="10"/>
        <v>11228.314828097198</v>
      </c>
    </row>
    <row r="122" spans="1:27" x14ac:dyDescent="0.25">
      <c r="A122" s="2">
        <v>2035</v>
      </c>
      <c r="B122" s="2">
        <f>B12/'Output-Calculation-sheet'!B11*'Output-Calculation-sheet'!B101</f>
        <v>1260560106.7647033</v>
      </c>
      <c r="C122" s="2">
        <f>C12/'Output-Calculation-sheet'!C11*'Output-Calculation-sheet'!C101</f>
        <v>236906006.52240723</v>
      </c>
      <c r="D122" s="2">
        <f>D12/'Output-Calculation-sheet'!D11*'Output-Calculation-sheet'!D101</f>
        <v>0</v>
      </c>
      <c r="E122" s="2">
        <f>E12/'Output-Calculation-sheet'!E11*'Output-Calculation-sheet'!E101</f>
        <v>1959544413.9114733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384282577.43168312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842624015.75019109</v>
      </c>
      <c r="M122" s="2">
        <f>M12/'Output-Calculation-sheet'!M11*'Output-Calculation-sheet'!M101</f>
        <v>322211250.60842711</v>
      </c>
      <c r="N122" s="2">
        <f>N12/'Output-Calculation-sheet'!N11*'Output-Calculation-sheet'!N101</f>
        <v>224717064.63716811</v>
      </c>
      <c r="O122" s="2">
        <f>O12/'Output-Calculation-sheet'!O11*'Output-Calculation-sheet'!O101</f>
        <v>25961472.521616157</v>
      </c>
      <c r="P122" s="2">
        <f>P12/'Output-Calculation-sheet'!P11*'Output-Calculation-sheet'!P101</f>
        <v>35042229.996974677</v>
      </c>
      <c r="Q122" s="2">
        <f>Q12/'Output-Calculation-sheet'!Q11*'Output-Calculation-sheet'!Q101</f>
        <v>492198511.99700749</v>
      </c>
      <c r="R122" s="2">
        <f>R12/'Output-Calculation-sheet'!R11*'Output-Calculation-sheet'!R101</f>
        <v>0</v>
      </c>
      <c r="S122" s="2">
        <f>S12/'Output-Calculation-sheet'!S11*'Output-Calculation-sheet'!S101</f>
        <v>133501927.09532519</v>
      </c>
      <c r="T122" s="2">
        <f>T12/'Output-Calculation-sheet'!T11*'Output-Calculation-sheet'!T101</f>
        <v>0</v>
      </c>
      <c r="U122" s="2">
        <f>U12/'Output-Calculation-sheet'!U11*'Output-Calculation-sheet'!U101</f>
        <v>46130180.351891086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11679042.013697488</v>
      </c>
      <c r="Y122" s="2">
        <f>Y12/'Output-Calculation-sheet'!Y11*'Output-Calculation-sheet'!Y101</f>
        <v>69641065.595467731</v>
      </c>
      <c r="AA122" s="2">
        <f t="shared" si="10"/>
        <v>6044.9998651980331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45897506367.465103</v>
      </c>
      <c r="C129" s="2">
        <f>C8/'Output-Calculation-sheet'!C7*'Output-Calculation-sheet'!C106</f>
        <v>0</v>
      </c>
      <c r="D129" s="2">
        <f>D8/'Output-Calculation-sheet'!D7*'Output-Calculation-sheet'!D106</f>
        <v>19845151081.396751</v>
      </c>
      <c r="E129" s="2">
        <f>E8/'Output-Calculation-sheet'!E7*'Output-Calculation-sheet'!E106</f>
        <v>15745131991.596506</v>
      </c>
      <c r="F129" s="2">
        <f>F8/'Output-Calculation-sheet'!F7*'Output-Calculation-sheet'!F106</f>
        <v>10135702868.411066</v>
      </c>
      <c r="G129" s="2">
        <f>G8/'Output-Calculation-sheet'!G7*'Output-Calculation-sheet'!G106</f>
        <v>7121639463.2872419</v>
      </c>
      <c r="H129" s="2">
        <f>H8/'Output-Calculation-sheet'!H7*'Output-Calculation-sheet'!H106</f>
        <v>0</v>
      </c>
      <c r="I129" s="2">
        <f>I8/'Output-Calculation-sheet'!I7*'Output-Calculation-sheet'!I106</f>
        <v>6488359066.0509033</v>
      </c>
      <c r="J129" s="2">
        <f>J8/'Output-Calculation-sheet'!J7*'Output-Calculation-sheet'!J106</f>
        <v>6315301846.235652</v>
      </c>
      <c r="K129" s="2">
        <f>K8/'Output-Calculation-sheet'!K7*'Output-Calculation-sheet'!K106</f>
        <v>6254766882.4963312</v>
      </c>
      <c r="L129" s="2">
        <f>L8/'Output-Calculation-sheet'!L7*'Output-Calculation-sheet'!L106</f>
        <v>5017667196.3016863</v>
      </c>
      <c r="M129" s="2">
        <f>M8/'Output-Calculation-sheet'!M7*'Output-Calculation-sheet'!M106</f>
        <v>0</v>
      </c>
      <c r="N129" s="2">
        <f>N8/'Output-Calculation-sheet'!N7*'Output-Calculation-sheet'!N106</f>
        <v>2205096122.5492487</v>
      </c>
      <c r="O129" s="2">
        <f>O8/'Output-Calculation-sheet'!O7*'Output-Calculation-sheet'!O106</f>
        <v>0</v>
      </c>
      <c r="P129" s="2">
        <f>P8/'Output-Calculation-sheet'!P7*'Output-Calculation-sheet'!P106</f>
        <v>4282342114.8705735</v>
      </c>
      <c r="Q129" s="2">
        <f>Q8/'Output-Calculation-sheet'!Q7*'Output-Calculation-sheet'!Q106</f>
        <v>4213124701.732388</v>
      </c>
      <c r="R129" s="2">
        <f>R8/'Output-Calculation-sheet'!R7*'Output-Calculation-sheet'!R106</f>
        <v>4053227976.5164318</v>
      </c>
      <c r="S129" s="2">
        <f>S8/'Output-Calculation-sheet'!S7*'Output-Calculation-sheet'!S106</f>
        <v>2213258332.6893482</v>
      </c>
      <c r="T129" s="2">
        <f>T8/'Output-Calculation-sheet'!T7*'Output-Calculation-sheet'!T106</f>
        <v>1489921540.3592582</v>
      </c>
      <c r="U129" s="2">
        <f>U8/'Output-Calculation-sheet'!U7*'Output-Calculation-sheet'!U106</f>
        <v>1297673050.9387832</v>
      </c>
      <c r="V129" s="2">
        <f>V8/'Output-Calculation-sheet'!V7*'Output-Calculation-sheet'!V106</f>
        <v>999229879.62081623</v>
      </c>
      <c r="W129" s="2">
        <f>W8/'Output-Calculation-sheet'!W7*'Output-Calculation-sheet'!W106</f>
        <v>865118428.76260841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144440.21891128074</v>
      </c>
    </row>
    <row r="130" spans="1:27" x14ac:dyDescent="0.25">
      <c r="A130" s="2">
        <v>2032</v>
      </c>
      <c r="B130" s="2">
        <f>B9/'Output-Calculation-sheet'!B8*'Output-Calculation-sheet'!B107</f>
        <v>51076320151.245819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0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1858845443.1413634</v>
      </c>
      <c r="O130" s="2">
        <f>O9/'Output-Calculation-sheet'!O8*'Output-Calculation-sheet'!O107</f>
        <v>0</v>
      </c>
      <c r="P130" s="2">
        <f>P9/'Output-Calculation-sheet'!P8*'Output-Calculation-sheet'!P107</f>
        <v>5669932998.9799213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1650344810.1844485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179209.55344097281</v>
      </c>
    </row>
    <row r="131" spans="1:27" x14ac:dyDescent="0.25">
      <c r="A131" s="2">
        <v>2033</v>
      </c>
      <c r="B131" s="2">
        <f>B10/'Output-Calculation-sheet'!B9*'Output-Calculation-sheet'!B108</f>
        <v>40961932992.404991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1500956262.3123863</v>
      </c>
      <c r="O131" s="2">
        <f>O10/'Output-Calculation-sheet'!O9*'Output-Calculation-sheet'!O108</f>
        <v>0</v>
      </c>
      <c r="P131" s="2">
        <f>P10/'Output-Calculation-sheet'!P9*'Output-Calculation-sheet'!P108</f>
        <v>6903317369.8208408</v>
      </c>
      <c r="Q131" s="2">
        <f>Q10/'Output-Calculation-sheet'!Q9*'Output-Calculation-sheet'!Q108</f>
        <v>5823649867.4900932</v>
      </c>
      <c r="R131" s="2">
        <f>R10/'Output-Calculation-sheet'!R9*'Output-Calculation-sheet'!R108</f>
        <v>6534050845.0698099</v>
      </c>
      <c r="S131" s="2">
        <f>S10/'Output-Calculation-sheet'!S9*'Output-Calculation-sheet'!S108</f>
        <v>1455847588.6013727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194691.34655451958</v>
      </c>
    </row>
    <row r="132" spans="1:27" x14ac:dyDescent="0.25">
      <c r="A132" s="2">
        <v>2034</v>
      </c>
      <c r="B132" s="2">
        <f>B11/'Output-Calculation-sheet'!B10*'Output-Calculation-sheet'!B109</f>
        <v>29322346340.010773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28300157880.747269</v>
      </c>
      <c r="F132" s="2">
        <f>F11/'Output-Calculation-sheet'!F10*'Output-Calculation-sheet'!F109</f>
        <v>18675043177.869659</v>
      </c>
      <c r="G132" s="2">
        <f>G11/'Output-Calculation-sheet'!G10*'Output-Calculation-sheet'!G109</f>
        <v>13121965428.116907</v>
      </c>
      <c r="H132" s="2">
        <f>H11/'Output-Calculation-sheet'!H10*'Output-Calculation-sheet'!H109</f>
        <v>0</v>
      </c>
      <c r="I132" s="2">
        <f>I11/'Output-Calculation-sheet'!I10*'Output-Calculation-sheet'!I109</f>
        <v>11954311702.343382</v>
      </c>
      <c r="J132" s="2">
        <f>J11/'Output-Calculation-sheet'!J10*'Output-Calculation-sheet'!J109</f>
        <v>11635581566.746069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8662066307.9281864</v>
      </c>
      <c r="M132" s="2">
        <f>M11/'Output-Calculation-sheet'!M10*'Output-Calculation-sheet'!M109</f>
        <v>0</v>
      </c>
      <c r="N132" s="2">
        <f>N11/'Output-Calculation-sheet'!N10*'Output-Calculation-sheet'!N109</f>
        <v>1139072429.6290252</v>
      </c>
      <c r="O132" s="2">
        <f>O11/'Output-Calculation-sheet'!O10*'Output-Calculation-sheet'!O109</f>
        <v>0</v>
      </c>
      <c r="P132" s="2">
        <f>P11/'Output-Calculation-sheet'!P10*'Output-Calculation-sheet'!P109</f>
        <v>6471899024.1254358</v>
      </c>
      <c r="Q132" s="2">
        <f>Q11/'Output-Calculation-sheet'!Q10*'Output-Calculation-sheet'!Q109</f>
        <v>4168595353.3524871</v>
      </c>
      <c r="R132" s="2">
        <f>R11/'Output-Calculation-sheet'!R10*'Output-Calculation-sheet'!R109</f>
        <v>7467353493.6891804</v>
      </c>
      <c r="S132" s="2">
        <f>S11/'Output-Calculation-sheet'!S10*'Output-Calculation-sheet'!S109</f>
        <v>781757009.75689876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2392235435.6973872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198361.26879614757</v>
      </c>
    </row>
    <row r="133" spans="1:27" x14ac:dyDescent="0.25">
      <c r="A133" s="2">
        <v>2035</v>
      </c>
      <c r="B133" s="2">
        <f>B12/'Output-Calculation-sheet'!B11*'Output-Calculation-sheet'!B110</f>
        <v>433080274.904441</v>
      </c>
      <c r="C133" s="2">
        <f>C12/'Output-Calculation-sheet'!C11*'Output-Calculation-sheet'!C110</f>
        <v>0</v>
      </c>
      <c r="D133" s="2">
        <f>D12/'Output-Calculation-sheet'!D11*'Output-Calculation-sheet'!D110</f>
        <v>35880231713.998039</v>
      </c>
      <c r="E133" s="2">
        <f>E12/'Output-Calculation-sheet'!E11*'Output-Calculation-sheet'!E110</f>
        <v>17447767397.785534</v>
      </c>
      <c r="F133" s="2">
        <f>F12/'Output-Calculation-sheet'!F11*'Output-Calculation-sheet'!F110</f>
        <v>19348247427.149132</v>
      </c>
      <c r="G133" s="2">
        <f>G12/'Output-Calculation-sheet'!G11*'Output-Calculation-sheet'!G110</f>
        <v>13411218795.349874</v>
      </c>
      <c r="H133" s="2">
        <f>H12/'Output-Calculation-sheet'!H11*'Output-Calculation-sheet'!H110</f>
        <v>0</v>
      </c>
      <c r="I133" s="2">
        <f>I12/'Output-Calculation-sheet'!I11*'Output-Calculation-sheet'!I110</f>
        <v>12106136914.929129</v>
      </c>
      <c r="J133" s="2">
        <f>J12/'Output-Calculation-sheet'!J11*'Output-Calculation-sheet'!J110</f>
        <v>11659121989.865133</v>
      </c>
      <c r="K133" s="2">
        <f>K12/'Output-Calculation-sheet'!K11*'Output-Calculation-sheet'!K110</f>
        <v>11534169504.580984</v>
      </c>
      <c r="L133" s="2">
        <f>L12/'Output-Calculation-sheet'!L11*'Output-Calculation-sheet'!L110</f>
        <v>8483369723.4438105</v>
      </c>
      <c r="M133" s="2">
        <f>M12/'Output-Calculation-sheet'!M11*'Output-Calculation-sheet'!M110</f>
        <v>0</v>
      </c>
      <c r="N133" s="2">
        <f>N12/'Output-Calculation-sheet'!N11*'Output-Calculation-sheet'!N110</f>
        <v>1108779.5414567299</v>
      </c>
      <c r="O133" s="2">
        <f>O12/'Output-Calculation-sheet'!O11*'Output-Calculation-sheet'!O110</f>
        <v>0</v>
      </c>
      <c r="P133" s="2">
        <f>P12/'Output-Calculation-sheet'!P11*'Output-Calculation-sheet'!P110</f>
        <v>2628783949.8907409</v>
      </c>
      <c r="Q133" s="2">
        <f>Q12/'Output-Calculation-sheet'!Q11*'Output-Calculation-sheet'!Q110</f>
        <v>3491881569.891953</v>
      </c>
      <c r="R133" s="2">
        <f>R12/'Output-Calculation-sheet'!R11*'Output-Calculation-sheet'!R110</f>
        <v>7672055445.1171093</v>
      </c>
      <c r="S133" s="2">
        <f>S12/'Output-Calculation-sheet'!S11*'Output-Calculation-sheet'!S110</f>
        <v>12702264.68757873</v>
      </c>
      <c r="T133" s="2">
        <f>T12/'Output-Calculation-sheet'!T11*'Output-Calculation-sheet'!T110</f>
        <v>2882529558.3216658</v>
      </c>
      <c r="U133" s="2">
        <f>U12/'Output-Calculation-sheet'!U11*'Output-Calculation-sheet'!U110</f>
        <v>2338779476.612535</v>
      </c>
      <c r="V133" s="2">
        <f>V12/'Output-Calculation-sheet'!V11*'Output-Calculation-sheet'!V110</f>
        <v>1938504430.2744875</v>
      </c>
      <c r="W133" s="2">
        <f>W12/'Output-Calculation-sheet'!W11*'Output-Calculation-sheet'!W110</f>
        <v>1703050022.8610878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152972.73923920467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14342400319.185646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4508889390.131938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3099343251.4246612</v>
      </c>
      <c r="N140" s="2">
        <f>N8/'Output-Calculation-sheet'!N7*'Output-Calculation-sheet'!N115</f>
        <v>1170124923.9078095</v>
      </c>
      <c r="O140" s="2">
        <f>O8/'Output-Calculation-sheet'!O7*'Output-Calculation-sheet'!O115</f>
        <v>3442106241.6602602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336551465.56298316</v>
      </c>
      <c r="Y140" s="2">
        <f>Y8/'Output-Calculation-sheet'!Y7*'Output-Calculation-sheet'!Y115</f>
        <v>0</v>
      </c>
      <c r="AA140" s="2">
        <f t="shared" si="12"/>
        <v>26899.415591873298</v>
      </c>
    </row>
    <row r="141" spans="1:27" x14ac:dyDescent="0.25">
      <c r="A141" s="2">
        <v>2032</v>
      </c>
      <c r="B141" s="2">
        <f>B9/'Output-Calculation-sheet'!B8*'Output-Calculation-sheet'!B116</f>
        <v>5839201958.2451601</v>
      </c>
      <c r="C141" s="2">
        <f>C9/'Output-Calculation-sheet'!C8*'Output-Calculation-sheet'!C116</f>
        <v>24995237018.807632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6516149899.2671289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4473872301.8361111</v>
      </c>
      <c r="N141" s="2">
        <f>N9/'Output-Calculation-sheet'!N8*'Output-Calculation-sheet'!N116</f>
        <v>3106039891.4340839</v>
      </c>
      <c r="O141" s="2">
        <f>O9/'Output-Calculation-sheet'!O8*'Output-Calculation-sheet'!O116</f>
        <v>4851722408.8492174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1391226325.970489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486965279.61731631</v>
      </c>
      <c r="Y141" s="2">
        <f>Y9/'Output-Calculation-sheet'!Y8*'Output-Calculation-sheet'!Y116</f>
        <v>0</v>
      </c>
      <c r="AA141" s="2">
        <f t="shared" si="12"/>
        <v>51660.415084027147</v>
      </c>
    </row>
    <row r="142" spans="1:27" x14ac:dyDescent="0.25">
      <c r="A142" s="2">
        <v>2033</v>
      </c>
      <c r="B142" s="2">
        <f>B10/'Output-Calculation-sheet'!B9*'Output-Calculation-sheet'!B117</f>
        <v>29719170064.678101</v>
      </c>
      <c r="C142" s="2">
        <f>C10/'Output-Calculation-sheet'!C9*'Output-Calculation-sheet'!C117</f>
        <v>31382215585.316303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9719303965.8152142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6678980394.992938</v>
      </c>
      <c r="N142" s="2">
        <f>N10/'Output-Calculation-sheet'!N9*'Output-Calculation-sheet'!N117</f>
        <v>5038301369.7978296</v>
      </c>
      <c r="O142" s="2">
        <f>O10/'Output-Calculation-sheet'!O9*'Output-Calculation-sheet'!O117</f>
        <v>6090889765.9680939</v>
      </c>
      <c r="P142" s="2">
        <f>P10/'Output-Calculation-sheet'!P9*'Output-Calculation-sheet'!P117</f>
        <v>0</v>
      </c>
      <c r="Q142" s="2">
        <f>Q10/'Output-Calculation-sheet'!Q9*'Output-Calculation-sheet'!Q117</f>
        <v>962178000.81096816</v>
      </c>
      <c r="R142" s="2">
        <f>R10/'Output-Calculation-sheet'!R9*'Output-Calculation-sheet'!R117</f>
        <v>0</v>
      </c>
      <c r="S142" s="2">
        <f>S10/'Output-Calculation-sheet'!S9*'Output-Calculation-sheet'!S117</f>
        <v>2449852642.9367056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732203172.82767725</v>
      </c>
      <c r="Y142" s="2">
        <f>Y10/'Output-Calculation-sheet'!Y9*'Output-Calculation-sheet'!Y117</f>
        <v>0</v>
      </c>
      <c r="AA142" s="2">
        <f t="shared" si="12"/>
        <v>92773.094963143842</v>
      </c>
    </row>
    <row r="143" spans="1:27" x14ac:dyDescent="0.25">
      <c r="A143" s="2">
        <v>2034</v>
      </c>
      <c r="B143" s="2">
        <f>B11/'Output-Calculation-sheet'!B10*'Output-Calculation-sheet'!B118</f>
        <v>52680763734.961594</v>
      </c>
      <c r="C143" s="2">
        <f>C11/'Output-Calculation-sheet'!C10*'Output-Calculation-sheet'!C118</f>
        <v>40419578041.690002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11204508125.384123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7695380739.8190413</v>
      </c>
      <c r="N143" s="2">
        <f>N11/'Output-Calculation-sheet'!N10*'Output-Calculation-sheet'!N118</f>
        <v>6771317723.5372877</v>
      </c>
      <c r="O143" s="2">
        <f>O11/'Output-Calculation-sheet'!O10*'Output-Calculation-sheet'!O118</f>
        <v>7852401125.540431</v>
      </c>
      <c r="P143" s="2">
        <f>P11/'Output-Calculation-sheet'!P10*'Output-Calculation-sheet'!P118</f>
        <v>1417727838.6139355</v>
      </c>
      <c r="Q143" s="2">
        <f>Q11/'Output-Calculation-sheet'!Q10*'Output-Calculation-sheet'!Q118</f>
        <v>3337828733.9604092</v>
      </c>
      <c r="R143" s="2">
        <f>R11/'Output-Calculation-sheet'!R10*'Output-Calculation-sheet'!R118</f>
        <v>0</v>
      </c>
      <c r="S143" s="2">
        <f>S11/'Output-Calculation-sheet'!S10*'Output-Calculation-sheet'!S118</f>
        <v>3898917618.8605309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844835720.86566913</v>
      </c>
      <c r="Y143" s="2">
        <f>Y11/'Output-Calculation-sheet'!Y10*'Output-Calculation-sheet'!Y118</f>
        <v>99002273.095427677</v>
      </c>
      <c r="AA143" s="2">
        <f t="shared" si="12"/>
        <v>136222.26167632846</v>
      </c>
    </row>
    <row r="144" spans="1:27" x14ac:dyDescent="0.25">
      <c r="A144" s="2">
        <v>2035</v>
      </c>
      <c r="B144" s="2">
        <f>B12/'Output-Calculation-sheet'!B11*'Output-Calculation-sheet'!B119</f>
        <v>92392636306.363815</v>
      </c>
      <c r="C144" s="2">
        <f>C12/'Output-Calculation-sheet'!C11*'Output-Calculation-sheet'!C119</f>
        <v>44211711744.313538</v>
      </c>
      <c r="D144" s="2">
        <f>D12/'Output-Calculation-sheet'!D11*'Output-Calculation-sheet'!D119</f>
        <v>0</v>
      </c>
      <c r="E144" s="2">
        <f>E12/'Output-Calculation-sheet'!E11*'Output-Calculation-sheet'!E119</f>
        <v>11647875764.016939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13432271550.606989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9203164949.5719719</v>
      </c>
      <c r="N144" s="2">
        <f>N12/'Output-Calculation-sheet'!N11*'Output-Calculation-sheet'!N119</f>
        <v>9112484658.7140789</v>
      </c>
      <c r="O144" s="2">
        <f>O12/'Output-Calculation-sheet'!O11*'Output-Calculation-sheet'!O119</f>
        <v>8596246177.2032242</v>
      </c>
      <c r="P144" s="2">
        <f>P12/'Output-Calculation-sheet'!P11*'Output-Calculation-sheet'!P119</f>
        <v>5845145973.9399385</v>
      </c>
      <c r="Q144" s="2">
        <f>Q12/'Output-Calculation-sheet'!Q11*'Output-Calculation-sheet'!Q119</f>
        <v>4005838548.0119214</v>
      </c>
      <c r="R144" s="2">
        <f>R12/'Output-Calculation-sheet'!R11*'Output-Calculation-sheet'!R119</f>
        <v>0</v>
      </c>
      <c r="S144" s="2">
        <f>S12/'Output-Calculation-sheet'!S11*'Output-Calculation-sheet'!S119</f>
        <v>5205550788.1113605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1024067375.3718033</v>
      </c>
      <c r="Y144" s="2">
        <f>Y12/'Output-Calculation-sheet'!Y11*'Output-Calculation-sheet'!Y119</f>
        <v>488664165.06040078</v>
      </c>
      <c r="AA144" s="2">
        <f t="shared" si="12"/>
        <v>205165.65800128598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47249211976.59507</v>
      </c>
      <c r="C151" s="2">
        <f>C8/'Output-Calculation-sheet'!C7*'Output-Calculation-sheet'!C124</f>
        <v>22266245794.97578</v>
      </c>
      <c r="D151" s="2">
        <f>D8/'Output-Calculation-sheet'!D7*'Output-Calculation-sheet'!D124</f>
        <v>19845151081.396751</v>
      </c>
      <c r="E151" s="2">
        <f>E8/'Output-Calculation-sheet'!E7*'Output-Calculation-sheet'!E124</f>
        <v>15745131991.596506</v>
      </c>
      <c r="F151" s="2">
        <f>F8/'Output-Calculation-sheet'!F7*'Output-Calculation-sheet'!F124</f>
        <v>10135702868.411066</v>
      </c>
      <c r="G151" s="2">
        <f>G8/'Output-Calculation-sheet'!G7*'Output-Calculation-sheet'!G124</f>
        <v>7121639463.2872419</v>
      </c>
      <c r="H151" s="2">
        <f>H8/'Output-Calculation-sheet'!H7*'Output-Calculation-sheet'!H124</f>
        <v>6946893968.4766951</v>
      </c>
      <c r="I151" s="2">
        <f>I8/'Output-Calculation-sheet'!I7*'Output-Calculation-sheet'!I124</f>
        <v>6488359066.0509033</v>
      </c>
      <c r="J151" s="2">
        <f>J8/'Output-Calculation-sheet'!J7*'Output-Calculation-sheet'!J124</f>
        <v>6315301846.235652</v>
      </c>
      <c r="K151" s="2">
        <f>K8/'Output-Calculation-sheet'!K7*'Output-Calculation-sheet'!K124</f>
        <v>6254766882.4963312</v>
      </c>
      <c r="L151" s="2">
        <f>L8/'Output-Calculation-sheet'!L7*'Output-Calculation-sheet'!L124</f>
        <v>5017667196.3016863</v>
      </c>
      <c r="M151" s="2">
        <f>M8/'Output-Calculation-sheet'!M7*'Output-Calculation-sheet'!M124</f>
        <v>4792747522.04741</v>
      </c>
      <c r="N151" s="2">
        <f>N8/'Output-Calculation-sheet'!N7*'Output-Calculation-sheet'!N124</f>
        <v>4704059655.4681091</v>
      </c>
      <c r="O151" s="2">
        <f>O8/'Output-Calculation-sheet'!O7*'Output-Calculation-sheet'!O124</f>
        <v>4326331330.3426809</v>
      </c>
      <c r="P151" s="2">
        <f>P8/'Output-Calculation-sheet'!P7*'Output-Calculation-sheet'!P124</f>
        <v>4282342114.8705735</v>
      </c>
      <c r="Q151" s="2">
        <f>Q8/'Output-Calculation-sheet'!Q7*'Output-Calculation-sheet'!Q124</f>
        <v>4213124701.732388</v>
      </c>
      <c r="R151" s="2">
        <f>R8/'Output-Calculation-sheet'!R7*'Output-Calculation-sheet'!R124</f>
        <v>4053227976.5164318</v>
      </c>
      <c r="S151" s="2">
        <f>S8/'Output-Calculation-sheet'!S7*'Output-Calculation-sheet'!S124</f>
        <v>2693976587.7780523</v>
      </c>
      <c r="T151" s="2">
        <f>T8/'Output-Calculation-sheet'!T7*'Output-Calculation-sheet'!T124</f>
        <v>1489921540.3592582</v>
      </c>
      <c r="U151" s="2">
        <f>U8/'Output-Calculation-sheet'!U7*'Output-Calculation-sheet'!U124</f>
        <v>1297673050.9387832</v>
      </c>
      <c r="V151" s="2">
        <f>V8/'Output-Calculation-sheet'!V7*'Output-Calculation-sheet'!V124</f>
        <v>999229879.62081623</v>
      </c>
      <c r="W151" s="2">
        <f>W8/'Output-Calculation-sheet'!W7*'Output-Calculation-sheet'!W124</f>
        <v>865118428.76260841</v>
      </c>
      <c r="X151" s="2">
        <f>X8/'Output-Calculation-sheet'!X7*'Output-Calculation-sheet'!X124</f>
        <v>519068305.322716</v>
      </c>
      <c r="Y151" s="2">
        <f>Y8/'Output-Calculation-sheet'!Y7*'Output-Calculation-sheet'!Y124</f>
        <v>504789039.88793159</v>
      </c>
      <c r="AA151" s="2">
        <f t="shared" si="13"/>
        <v>188127.68226947146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17688792921.68964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3436932058.6265302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149452.74585134003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2324879356.8049774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101095.86824707499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1828510985.7854717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1108948300.7436407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709089092.75136554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341564010.40223128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49517.608002483787</v>
      </c>
    </row>
    <row r="155" spans="1:27" x14ac:dyDescent="0.25">
      <c r="A155" s="2">
        <v>2035</v>
      </c>
      <c r="B155" s="2">
        <f>B12/'Output-Calculation-sheet'!B11*'Output-Calculation-sheet'!B128</f>
        <v>481981309.55610681</v>
      </c>
      <c r="C155" s="2">
        <f>C12/'Output-Calculation-sheet'!C11*'Output-Calculation-sheet'!C128</f>
        <v>61943860.655409135</v>
      </c>
      <c r="D155" s="2">
        <f>D12/'Output-Calculation-sheet'!D11*'Output-Calculation-sheet'!D128</f>
        <v>4830280243.5168381</v>
      </c>
      <c r="E155" s="2">
        <f>E12/'Output-Calculation-sheet'!E11*'Output-Calculation-sheet'!E128</f>
        <v>899716801.66676247</v>
      </c>
      <c r="F155" s="2">
        <f>F12/'Output-Calculation-sheet'!F11*'Output-Calculation-sheet'!F128</f>
        <v>1392794062.1825714</v>
      </c>
      <c r="G155" s="2">
        <f>G12/'Output-Calculation-sheet'!G11*'Output-Calculation-sheet'!G128</f>
        <v>1244042257.5021749</v>
      </c>
      <c r="H155" s="2">
        <f>H12/'Output-Calculation-sheet'!H11*'Output-Calculation-sheet'!H128</f>
        <v>99711943.963262841</v>
      </c>
      <c r="I155" s="2">
        <f>I12/'Output-Calculation-sheet'!I11*'Output-Calculation-sheet'!I128</f>
        <v>1240537722.6074097</v>
      </c>
      <c r="J155" s="2">
        <f>J12/'Output-Calculation-sheet'!J11*'Output-Calculation-sheet'!J128</f>
        <v>1187818527.4636364</v>
      </c>
      <c r="K155" s="2">
        <f>K12/'Output-Calculation-sheet'!K11*'Output-Calculation-sheet'!K128</f>
        <v>1348832492.0762777</v>
      </c>
      <c r="L155" s="2">
        <f>L12/'Output-Calculation-sheet'!L11*'Output-Calculation-sheet'!L128</f>
        <v>975406017.23184109</v>
      </c>
      <c r="M155" s="2">
        <f>M12/'Output-Calculation-sheet'!M11*'Output-Calculation-sheet'!M128</f>
        <v>83160971.20312126</v>
      </c>
      <c r="N155" s="2">
        <f>N12/'Output-Calculation-sheet'!N11*'Output-Calculation-sheet'!N128</f>
        <v>84167186.46456407</v>
      </c>
      <c r="O155" s="2">
        <f>O12/'Output-Calculation-sheet'!O11*'Output-Calculation-sheet'!O128</f>
        <v>27873427.450704869</v>
      </c>
      <c r="P155" s="2">
        <f>P12/'Output-Calculation-sheet'!P11*'Output-Calculation-sheet'!P128</f>
        <v>94081515.163649276</v>
      </c>
      <c r="Q155" s="2">
        <f>Q12/'Output-Calculation-sheet'!Q11*'Output-Calculation-sheet'!Q128</f>
        <v>560718661.80394018</v>
      </c>
      <c r="R155" s="2">
        <f>R12/'Output-Calculation-sheet'!R11*'Output-Calculation-sheet'!R128</f>
        <v>626964188.95137942</v>
      </c>
      <c r="S155" s="2">
        <f>S12/'Output-Calculation-sheet'!S11*'Output-Calculation-sheet'!S128</f>
        <v>43953087.36189653</v>
      </c>
      <c r="T155" s="2">
        <f>T12/'Output-Calculation-sheet'!T11*'Output-Calculation-sheet'!T128</f>
        <v>147447890.37054002</v>
      </c>
      <c r="U155" s="2">
        <f>U12/'Output-Calculation-sheet'!U11*'Output-Calculation-sheet'!U128</f>
        <v>290181837.20656699</v>
      </c>
      <c r="V155" s="2">
        <f>V12/'Output-Calculation-sheet'!V11*'Output-Calculation-sheet'!V128</f>
        <v>72410004.036717311</v>
      </c>
      <c r="W155" s="2">
        <f>W12/'Output-Calculation-sheet'!W11*'Output-Calculation-sheet'!W128</f>
        <v>67202089.39948982</v>
      </c>
      <c r="X155" s="2">
        <f>X12/'Output-Calculation-sheet'!X11*'Output-Calculation-sheet'!X128</f>
        <v>2557223.5954265678</v>
      </c>
      <c r="Y155" s="2">
        <f>Y12/'Output-Calculation-sheet'!Y11*'Output-Calculation-sheet'!Y128</f>
        <v>19885196.572642948</v>
      </c>
      <c r="AA155" s="2">
        <f t="shared" si="13"/>
        <v>15883.668518002929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1272.4977993017781</v>
      </c>
      <c r="C19" s="2">
        <f>C8/'Output-Calculation-sheet'!C7*'Output-Calculation-sheet'!C25</f>
        <v>5987.0593884786049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1813.5522814409383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1259.7654178969465</v>
      </c>
      <c r="N19" s="2">
        <f>N8/'Output-Calculation-sheet'!N7*'Output-Calculation-sheet'!N25</f>
        <v>1047.9759601703993</v>
      </c>
      <c r="O19" s="2">
        <f>O8/'Output-Calculation-sheet'!O7*'Output-Calculation-sheet'!O25</f>
        <v>657.71819195818125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484.65883703212592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136.34166138830588</v>
      </c>
      <c r="Y19" s="2">
        <f>Y8/'Output-Calculation-sheet'!Y7*'Output-Calculation-sheet'!Y25</f>
        <v>0</v>
      </c>
      <c r="AA19" s="2">
        <f t="shared" si="0"/>
        <v>12.659569537667279</v>
      </c>
    </row>
    <row r="20" spans="1:27" x14ac:dyDescent="0.25">
      <c r="A20" s="2">
        <v>2032</v>
      </c>
      <c r="B20" s="2">
        <f>B9/'Output-Calculation-sheet'!B8*'Output-Calculation-sheet'!B26</f>
        <v>6342.9925808130165</v>
      </c>
      <c r="C20" s="2">
        <f>C9/'Output-Calculation-sheet'!C8*'Output-Calculation-sheet'!C26</f>
        <v>3478.3422757762469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2088.0660430704943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1459.1549615399058</v>
      </c>
      <c r="N20" s="2">
        <f>N9/'Output-Calculation-sheet'!N8*'Output-Calculation-sheet'!N26</f>
        <v>1011.2341501012642</v>
      </c>
      <c r="O20" s="2">
        <f>O9/'Output-Calculation-sheet'!O8*'Output-Calculation-sheet'!O26</f>
        <v>679.60361967676636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479.68216639131668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158.77737067232516</v>
      </c>
      <c r="Y20" s="2">
        <f>Y9/'Output-Calculation-sheet'!Y8*'Output-Calculation-sheet'!Y26</f>
        <v>0</v>
      </c>
      <c r="AA20" s="2">
        <f t="shared" si="0"/>
        <v>15.697853168041332</v>
      </c>
    </row>
    <row r="21" spans="1:27" x14ac:dyDescent="0.25">
      <c r="A21" s="2">
        <v>2033</v>
      </c>
      <c r="B21" s="2">
        <f>B10/'Output-Calculation-sheet'!B9*'Output-Calculation-sheet'!B27</f>
        <v>5847.0142047568697</v>
      </c>
      <c r="C21" s="2">
        <f>C10/'Output-Calculation-sheet'!C9*'Output-Calculation-sheet'!C27</f>
        <v>3593.8223771018324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1178.330953809749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834.03236954242675</v>
      </c>
      <c r="N21" s="2">
        <f>N10/'Output-Calculation-sheet'!N9*'Output-Calculation-sheet'!N27</f>
        <v>844.62232195583181</v>
      </c>
      <c r="O21" s="2">
        <f>O10/'Output-Calculation-sheet'!O9*'Output-Calculation-sheet'!O27</f>
        <v>703.59337248654072</v>
      </c>
      <c r="P21" s="2">
        <f>P10/'Output-Calculation-sheet'!P9*'Output-Calculation-sheet'!P27</f>
        <v>0</v>
      </c>
      <c r="Q21" s="2">
        <f>Q10/'Output-Calculation-sheet'!Q9*'Output-Calculation-sheet'!Q27</f>
        <v>9.6579975512056606</v>
      </c>
      <c r="R21" s="2">
        <f>R10/'Output-Calculation-sheet'!R9*'Output-Calculation-sheet'!R27</f>
        <v>0</v>
      </c>
      <c r="S21" s="2">
        <f>S10/'Output-Calculation-sheet'!S9*'Output-Calculation-sheet'!S27</f>
        <v>402.17787810147337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83.281716541218159</v>
      </c>
      <c r="Y21" s="2">
        <f>Y10/'Output-Calculation-sheet'!Y9*'Output-Calculation-sheet'!Y27</f>
        <v>0</v>
      </c>
      <c r="AA21" s="2">
        <f t="shared" si="0"/>
        <v>13.496533191847147</v>
      </c>
    </row>
    <row r="22" spans="1:27" x14ac:dyDescent="0.25">
      <c r="A22" s="2">
        <v>2034</v>
      </c>
      <c r="B22" s="2">
        <f>B11/'Output-Calculation-sheet'!B10*'Output-Calculation-sheet'!B28</f>
        <v>4827.050121184393</v>
      </c>
      <c r="C22" s="2">
        <f>C11/'Output-Calculation-sheet'!C10*'Output-Calculation-sheet'!C28</f>
        <v>486.28605292023428</v>
      </c>
      <c r="D22" s="2">
        <f>D11/'Output-Calculation-sheet'!D10*'Output-Calculation-sheet'!D28</f>
        <v>0</v>
      </c>
      <c r="E22" s="2">
        <f>E11/'Output-Calculation-sheet'!E10*'Output-Calculation-sheet'!E28</f>
        <v>1645.8866571405031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1280.4292762327907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979.33727305388982</v>
      </c>
      <c r="M22" s="2">
        <f>M11/'Output-Calculation-sheet'!M10*'Output-Calculation-sheet'!M28</f>
        <v>911.27663530498523</v>
      </c>
      <c r="N22" s="2">
        <f>N11/'Output-Calculation-sheet'!N10*'Output-Calculation-sheet'!N28</f>
        <v>609.19362970020484</v>
      </c>
      <c r="O22" s="2">
        <f>O11/'Output-Calculation-sheet'!O10*'Output-Calculation-sheet'!O28</f>
        <v>95.386141013404554</v>
      </c>
      <c r="P22" s="2">
        <f>P11/'Output-Calculation-sheet'!P10*'Output-Calculation-sheet'!P28</f>
        <v>0</v>
      </c>
      <c r="Q22" s="2">
        <f>Q11/'Output-Calculation-sheet'!Q10*'Output-Calculation-sheet'!Q28</f>
        <v>312.27724524288004</v>
      </c>
      <c r="R22" s="2">
        <f>R11/'Output-Calculation-sheet'!R10*'Output-Calculation-sheet'!R28</f>
        <v>0</v>
      </c>
      <c r="S22" s="2">
        <f>S11/'Output-Calculation-sheet'!S10*'Output-Calculation-sheet'!S28</f>
        <v>228.10142170684813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89.539274233570694</v>
      </c>
      <c r="Y22" s="2">
        <f>Y11/'Output-Calculation-sheet'!Y10*'Output-Calculation-sheet'!Y28</f>
        <v>36.498737198260287</v>
      </c>
      <c r="AA22" s="2">
        <f t="shared" si="0"/>
        <v>11.501262464931964</v>
      </c>
    </row>
    <row r="23" spans="1:27" x14ac:dyDescent="0.25">
      <c r="A23" s="2">
        <v>2035</v>
      </c>
      <c r="B23" s="2">
        <f>B12/'Output-Calculation-sheet'!B11*'Output-Calculation-sheet'!B29</f>
        <v>998.5411014906374</v>
      </c>
      <c r="C23" s="2">
        <f>C12/'Output-Calculation-sheet'!C11*'Output-Calculation-sheet'!C29</f>
        <v>187.66164500053739</v>
      </c>
      <c r="D23" s="2">
        <f>D12/'Output-Calculation-sheet'!D11*'Output-Calculation-sheet'!D29</f>
        <v>0</v>
      </c>
      <c r="E23" s="2">
        <f>E12/'Output-Calculation-sheet'!E11*'Output-Calculation-sheet'!E29</f>
        <v>2528.3067172419546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304.40580960527865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1274.5258764722773</v>
      </c>
      <c r="M23" s="2">
        <f>M12/'Output-Calculation-sheet'!M11*'Output-Calculation-sheet'!M29</f>
        <v>255.23727306981982</v>
      </c>
      <c r="N23" s="2">
        <f>N12/'Output-Calculation-sheet'!N11*'Output-Calculation-sheet'!N29</f>
        <v>178.00739320801523</v>
      </c>
      <c r="O23" s="2">
        <f>O12/'Output-Calculation-sheet'!O11*'Output-Calculation-sheet'!O29</f>
        <v>20.565344253322532</v>
      </c>
      <c r="P23" s="2">
        <f>P12/'Output-Calculation-sheet'!P11*'Output-Calculation-sheet'!P29</f>
        <v>35.423332131834151</v>
      </c>
      <c r="Q23" s="2">
        <f>Q12/'Output-Calculation-sheet'!Q11*'Output-Calculation-sheet'!Q29</f>
        <v>496.67714454325159</v>
      </c>
      <c r="R23" s="2">
        <f>R12/'Output-Calculation-sheet'!R11*'Output-Calculation-sheet'!R29</f>
        <v>0</v>
      </c>
      <c r="S23" s="2">
        <f>S12/'Output-Calculation-sheet'!S11*'Output-Calculation-sheet'!S29</f>
        <v>105.75240099555472</v>
      </c>
      <c r="T23" s="2">
        <f>T12/'Output-Calculation-sheet'!T11*'Output-Calculation-sheet'!T29</f>
        <v>0</v>
      </c>
      <c r="U23" s="2">
        <f>U12/'Output-Calculation-sheet'!U11*'Output-Calculation-sheet'!U29</f>
        <v>115.29685085817482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9.2514468271604606</v>
      </c>
      <c r="Y23" s="2">
        <f>Y12/'Output-Calculation-sheet'!Y11*'Output-Calculation-sheet'!Y29</f>
        <v>78.351052759026913</v>
      </c>
      <c r="AA23" s="2">
        <f t="shared" si="0"/>
        <v>6.588003388456845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22180.908904997461</v>
      </c>
      <c r="C30" s="2">
        <f>C8/'Output-Calculation-sheet'!C7*'Output-Calculation-sheet'!C16</f>
        <v>0</v>
      </c>
      <c r="D30" s="2">
        <f>D8/'Output-Calculation-sheet'!D7*'Output-Calculation-sheet'!D16</f>
        <v>3734.943992535967</v>
      </c>
      <c r="E30" s="2">
        <f>E8/'Output-Calculation-sheet'!E7*'Output-Calculation-sheet'!E16</f>
        <v>4018.5938831011649</v>
      </c>
      <c r="F30" s="2">
        <f>F8/'Output-Calculation-sheet'!F7*'Output-Calculation-sheet'!F16</f>
        <v>2027.4351285739847</v>
      </c>
      <c r="G30" s="2">
        <f>G8/'Output-Calculation-sheet'!G7*'Output-Calculation-sheet'!G16</f>
        <v>1327.7115498331166</v>
      </c>
      <c r="H30" s="2">
        <f>H8/'Output-Calculation-sheet'!H7*'Output-Calculation-sheet'!H16</f>
        <v>0</v>
      </c>
      <c r="I30" s="2">
        <f>I8/'Output-Calculation-sheet'!I7*'Output-Calculation-sheet'!I16</f>
        <v>1294.3357758191291</v>
      </c>
      <c r="J30" s="2">
        <f>J8/'Output-Calculation-sheet'!J7*'Output-Calculation-sheet'!J16</f>
        <v>1152.1918569682455</v>
      </c>
      <c r="K30" s="2">
        <f>K8/'Output-Calculation-sheet'!K7*'Output-Calculation-sheet'!K16</f>
        <v>1538.397691508985</v>
      </c>
      <c r="L30" s="2">
        <f>L8/'Output-Calculation-sheet'!L7*'Output-Calculation-sheet'!L16</f>
        <v>1299.446825785694</v>
      </c>
      <c r="M30" s="2">
        <f>M8/'Output-Calculation-sheet'!M7*'Output-Calculation-sheet'!M16</f>
        <v>0</v>
      </c>
      <c r="N30" s="2">
        <f>N8/'Output-Calculation-sheet'!N7*'Output-Calculation-sheet'!N16</f>
        <v>1194.670426704251</v>
      </c>
      <c r="O30" s="2">
        <f>O8/'Output-Calculation-sheet'!O7*'Output-Calculation-sheet'!O16</f>
        <v>0</v>
      </c>
      <c r="P30" s="2">
        <f>P8/'Output-Calculation-sheet'!P7*'Output-Calculation-sheet'!P16</f>
        <v>1658.9119898598435</v>
      </c>
      <c r="Q30" s="2">
        <f>Q8/'Output-Calculation-sheet'!Q7*'Output-Calculation-sheet'!Q16</f>
        <v>1824.263794638603</v>
      </c>
      <c r="R30" s="2">
        <f>R8/'Output-Calculation-sheet'!R7*'Output-Calculation-sheet'!R16</f>
        <v>1157.5018964751382</v>
      </c>
      <c r="S30" s="2">
        <f>S8/'Output-Calculation-sheet'!S7*'Output-Calculation-sheet'!S16</f>
        <v>1164.109203453871</v>
      </c>
      <c r="T30" s="2">
        <f>T8/'Output-Calculation-sheet'!T7*'Output-Calculation-sheet'!T16</f>
        <v>347.46327076435705</v>
      </c>
      <c r="U30" s="2">
        <f>U8/'Output-Calculation-sheet'!U7*'Output-Calculation-sheet'!U16</f>
        <v>346.84377459348951</v>
      </c>
      <c r="V30" s="2">
        <f>V8/'Output-Calculation-sheet'!V7*'Output-Calculation-sheet'!V16</f>
        <v>269.94074448764263</v>
      </c>
      <c r="W30" s="2">
        <f>W8/'Output-Calculation-sheet'!W7*'Output-Calculation-sheet'!W16</f>
        <v>163.73469935662681</v>
      </c>
      <c r="X30" s="2">
        <f>X8/'Output-Calculation-sheet'!X7*'Output-Calculation-sheet'!X16</f>
        <v>0</v>
      </c>
      <c r="Y30" s="2">
        <f>Y8/'Output-Calculation-sheet'!Y7*'Output-Calculation-sheet'!Y16</f>
        <v>138.58033373916848</v>
      </c>
      <c r="AA30" s="2">
        <f t="shared" si="1"/>
        <v>46.839985743196735</v>
      </c>
    </row>
    <row r="31" spans="1:27" x14ac:dyDescent="0.25">
      <c r="A31" s="2">
        <v>2032</v>
      </c>
      <c r="B31" s="2">
        <f>B9/'Output-Calculation-sheet'!B8*'Output-Calculation-sheet'!B17</f>
        <v>26668.567361235018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1042.769090334808</v>
      </c>
      <c r="O31" s="2">
        <f>O9/'Output-Calculation-sheet'!O8*'Output-Calculation-sheet'!O17</f>
        <v>0</v>
      </c>
      <c r="P31" s="2">
        <f>P9/'Output-Calculation-sheet'!P8*'Output-Calculation-sheet'!P17</f>
        <v>2606.2293199980986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863.06637515139437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61.100849664505205</v>
      </c>
    </row>
    <row r="32" spans="1:27" x14ac:dyDescent="0.25">
      <c r="A32" s="2">
        <v>2033</v>
      </c>
      <c r="B32" s="2">
        <f>B10/'Output-Calculation-sheet'!B9*'Output-Calculation-sheet'!B18</f>
        <v>21150.196237007483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3311.1992679445707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856.05824114957375</v>
      </c>
      <c r="O32" s="2">
        <f>O10/'Output-Calculation-sheet'!O9*'Output-Calculation-sheet'!O18</f>
        <v>0</v>
      </c>
      <c r="P32" s="2">
        <f>P10/'Output-Calculation-sheet'!P9*'Output-Calculation-sheet'!P18</f>
        <v>3407.9495018275079</v>
      </c>
      <c r="Q32" s="2">
        <f>Q10/'Output-Calculation-sheet'!Q9*'Output-Calculation-sheet'!Q18</f>
        <v>3155.6494466563163</v>
      </c>
      <c r="R32" s="2">
        <f>R10/'Output-Calculation-sheet'!R9*'Output-Calculation-sheet'!R18</f>
        <v>2447.2013897561424</v>
      </c>
      <c r="S32" s="2">
        <f>S10/'Output-Calculation-sheet'!S9*'Output-Calculation-sheet'!S18</f>
        <v>778.75996468605433</v>
      </c>
      <c r="T32" s="2">
        <f>T10/'Output-Calculation-sheet'!T9*'Output-Calculation-sheet'!T18</f>
        <v>714.51710425830913</v>
      </c>
      <c r="U32" s="2">
        <f>U10/'Output-Calculation-sheet'!U9*'Output-Calculation-sheet'!U18</f>
        <v>789.87505518236594</v>
      </c>
      <c r="V32" s="2">
        <f>V10/'Output-Calculation-sheet'!V9*'Output-Calculation-sheet'!V18</f>
        <v>582.98369441669684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337.57829311508812</v>
      </c>
      <c r="AA32" s="2">
        <f t="shared" si="1"/>
        <v>67.238375515684737</v>
      </c>
    </row>
    <row r="33" spans="1:27" x14ac:dyDescent="0.25">
      <c r="A33" s="2">
        <v>2034</v>
      </c>
      <c r="B33" s="2">
        <f>B11/'Output-Calculation-sheet'!B10*'Output-Calculation-sheet'!B19</f>
        <v>14568.701389014937</v>
      </c>
      <c r="C33" s="2">
        <f>C11/'Output-Calculation-sheet'!C10*'Output-Calculation-sheet'!C19</f>
        <v>0</v>
      </c>
      <c r="D33" s="2">
        <f>D11/'Output-Calculation-sheet'!D10*'Output-Calculation-sheet'!D19</f>
        <v>9691.6866577624442</v>
      </c>
      <c r="E33" s="2">
        <f>E11/'Output-Calculation-sheet'!E10*'Output-Calculation-sheet'!E19</f>
        <v>11992.375624437855</v>
      </c>
      <c r="F33" s="2">
        <f>F11/'Output-Calculation-sheet'!F10*'Output-Calculation-sheet'!F19</f>
        <v>5500.7426780751939</v>
      </c>
      <c r="G33" s="2">
        <f>G11/'Output-Calculation-sheet'!G10*'Output-Calculation-sheet'!G19</f>
        <v>3298.7988205854285</v>
      </c>
      <c r="H33" s="2">
        <f>H11/'Output-Calculation-sheet'!H10*'Output-Calculation-sheet'!H19</f>
        <v>0</v>
      </c>
      <c r="I33" s="2">
        <f>I11/'Output-Calculation-sheet'!I10*'Output-Calculation-sheet'!I19</f>
        <v>3599.8556320310017</v>
      </c>
      <c r="J33" s="2">
        <f>J11/'Output-Calculation-sheet'!J10*'Output-Calculation-sheet'!J19</f>
        <v>3043.8260363705913</v>
      </c>
      <c r="K33" s="2">
        <f>K11/'Output-Calculation-sheet'!K10*'Output-Calculation-sheet'!K19</f>
        <v>4221.8945222565035</v>
      </c>
      <c r="L33" s="2">
        <f>L11/'Output-Calculation-sheet'!L10*'Output-Calculation-sheet'!L19</f>
        <v>3433.9565849208948</v>
      </c>
      <c r="M33" s="2">
        <f>M11/'Output-Calculation-sheet'!M10*'Output-Calculation-sheet'!M19</f>
        <v>0</v>
      </c>
      <c r="N33" s="2">
        <f>N11/'Output-Calculation-sheet'!N10*'Output-Calculation-sheet'!N19</f>
        <v>651.8515598968504</v>
      </c>
      <c r="O33" s="2">
        <f>O11/'Output-Calculation-sheet'!O10*'Output-Calculation-sheet'!O19</f>
        <v>0</v>
      </c>
      <c r="P33" s="2">
        <f>P11/'Output-Calculation-sheet'!P10*'Output-Calculation-sheet'!P19</f>
        <v>3226.7714321297908</v>
      </c>
      <c r="Q33" s="2">
        <f>Q11/'Output-Calculation-sheet'!Q10*'Output-Calculation-sheet'!Q19</f>
        <v>2056.9416081525123</v>
      </c>
      <c r="R33" s="2">
        <f>R11/'Output-Calculation-sheet'!R10*'Output-Calculation-sheet'!R19</f>
        <v>3049.9162870263308</v>
      </c>
      <c r="S33" s="2">
        <f>S11/'Output-Calculation-sheet'!S10*'Output-Calculation-sheet'!S19</f>
        <v>414.38142097379364</v>
      </c>
      <c r="T33" s="2">
        <f>T11/'Output-Calculation-sheet'!T10*'Output-Calculation-sheet'!T19</f>
        <v>894.83896741543083</v>
      </c>
      <c r="U33" s="2">
        <f>U11/'Output-Calculation-sheet'!U10*'Output-Calculation-sheet'!U19</f>
        <v>1029.255317485826</v>
      </c>
      <c r="V33" s="2">
        <f>V11/'Output-Calculation-sheet'!V10*'Output-Calculation-sheet'!V19</f>
        <v>701.91228680999666</v>
      </c>
      <c r="W33" s="2">
        <f>W11/'Output-Calculation-sheet'!W10*'Output-Calculation-sheet'!W19</f>
        <v>436.97868422440359</v>
      </c>
      <c r="X33" s="2">
        <f>X11/'Output-Calculation-sheet'!X10*'Output-Calculation-sheet'!X19</f>
        <v>0</v>
      </c>
      <c r="Y33" s="2">
        <f>Y11/'Output-Calculation-sheet'!Y10*'Output-Calculation-sheet'!Y19</f>
        <v>357.81293664429086</v>
      </c>
      <c r="AA33" s="2">
        <f t="shared" si="1"/>
        <v>72.172498446214064</v>
      </c>
    </row>
    <row r="34" spans="1:27" x14ac:dyDescent="0.25">
      <c r="A34" s="2">
        <v>2035</v>
      </c>
      <c r="B34" s="2">
        <f>B12/'Output-Calculation-sheet'!B11*'Output-Calculation-sheet'!B20</f>
        <v>204.09762098953166</v>
      </c>
      <c r="C34" s="2">
        <f>C12/'Output-Calculation-sheet'!C11*'Output-Calculation-sheet'!C20</f>
        <v>0</v>
      </c>
      <c r="D34" s="2">
        <f>D12/'Output-Calculation-sheet'!D11*'Output-Calculation-sheet'!D20</f>
        <v>9090.4352156894201</v>
      </c>
      <c r="E34" s="2">
        <f>E12/'Output-Calculation-sheet'!E11*'Output-Calculation-sheet'!E20</f>
        <v>5365.4749643463847</v>
      </c>
      <c r="F34" s="2">
        <f>F12/'Output-Calculation-sheet'!F11*'Output-Calculation-sheet'!F20</f>
        <v>6208.6595876682468</v>
      </c>
      <c r="G34" s="2">
        <f>G12/'Output-Calculation-sheet'!G11*'Output-Calculation-sheet'!G20</f>
        <v>3348.1727029201006</v>
      </c>
      <c r="H34" s="2">
        <f>H12/'Output-Calculation-sheet'!H11*'Output-Calculation-sheet'!H20</f>
        <v>0</v>
      </c>
      <c r="I34" s="2">
        <f>I12/'Output-Calculation-sheet'!I11*'Output-Calculation-sheet'!I20</f>
        <v>3645.1386193819608</v>
      </c>
      <c r="J34" s="2">
        <f>J12/'Output-Calculation-sheet'!J11*'Output-Calculation-sheet'!J20</f>
        <v>3124.0866052109413</v>
      </c>
      <c r="K34" s="2">
        <f>K12/'Output-Calculation-sheet'!K11*'Output-Calculation-sheet'!K20</f>
        <v>4107.4708552909988</v>
      </c>
      <c r="L34" s="2">
        <f>L12/'Output-Calculation-sheet'!L11*'Output-Calculation-sheet'!L20</f>
        <v>3245.1580331194573</v>
      </c>
      <c r="M34" s="2">
        <f>M12/'Output-Calculation-sheet'!M11*'Output-Calculation-sheet'!M20</f>
        <v>0</v>
      </c>
      <c r="N34" s="2">
        <f>N12/'Output-Calculation-sheet'!N11*'Output-Calculation-sheet'!N20</f>
        <v>0.62612891474267385</v>
      </c>
      <c r="O34" s="2">
        <f>O12/'Output-Calculation-sheet'!O11*'Output-Calculation-sheet'!O20</f>
        <v>0</v>
      </c>
      <c r="P34" s="2">
        <f>P12/'Output-Calculation-sheet'!P11*'Output-Calculation-sheet'!P20</f>
        <v>1022.3908795099182</v>
      </c>
      <c r="Q34" s="2">
        <f>Q12/'Output-Calculation-sheet'!Q11*'Output-Calculation-sheet'!Q20</f>
        <v>1591.8911759802832</v>
      </c>
      <c r="R34" s="2">
        <f>R12/'Output-Calculation-sheet'!R11*'Output-Calculation-sheet'!R20</f>
        <v>3225.4663128712887</v>
      </c>
      <c r="S34" s="2">
        <f>S12/'Output-Calculation-sheet'!S11*'Output-Calculation-sheet'!S20</f>
        <v>6.6436997798205768</v>
      </c>
      <c r="T34" s="2">
        <f>T12/'Output-Calculation-sheet'!T11*'Output-Calculation-sheet'!T20</f>
        <v>1007.9448925854615</v>
      </c>
      <c r="U34" s="2">
        <f>U12/'Output-Calculation-sheet'!U11*'Output-Calculation-sheet'!U20</f>
        <v>921.50621698302984</v>
      </c>
      <c r="V34" s="2">
        <f>V12/'Output-Calculation-sheet'!V11*'Output-Calculation-sheet'!V20</f>
        <v>844.2195459821761</v>
      </c>
      <c r="W34" s="2">
        <f>W12/'Output-Calculation-sheet'!W11*'Output-Calculation-sheet'!W20</f>
        <v>545.4389708926044</v>
      </c>
      <c r="X34" s="2">
        <f>X12/'Output-Calculation-sheet'!X11*'Output-Calculation-sheet'!X20</f>
        <v>0</v>
      </c>
      <c r="Y34" s="2">
        <f>Y12/'Output-Calculation-sheet'!Y11*'Output-Calculation-sheet'!Y20</f>
        <v>135.7951042061909</v>
      </c>
      <c r="AA34" s="2">
        <f t="shared" si="1"/>
        <v>47.640617132322561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0.13553404085050741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0.13585934818387982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1.9802028174681172E-2</v>
      </c>
      <c r="I45" s="2">
        <f>I12/'Output-Calculation-sheet'!I11*'Output-Calculation-sheet'!I38*0.0114</f>
        <v>7.3542169946786209E-2</v>
      </c>
      <c r="J45" s="2">
        <f>J12/'Output-Calculation-sheet'!J11*'Output-Calculation-sheet'!J38*0.0114</f>
        <v>5.4586790348540117E-2</v>
      </c>
      <c r="K45" s="2">
        <f>K12/'Output-Calculation-sheet'!K11*'Output-Calculation-sheet'!K38*0.0114</f>
        <v>9.0350308550875752E-2</v>
      </c>
      <c r="L45" s="2">
        <f>L12/'Output-Calculation-sheet'!L11*'Output-Calculation-sheet'!L38*0.0114</f>
        <v>5.7473924847817277E-2</v>
      </c>
      <c r="M45" s="2">
        <f>M12/'Output-Calculation-sheet'!M11*'Output-Calculation-sheet'!M38*0.0114</f>
        <v>1.3625722508117475E-2</v>
      </c>
      <c r="N45" s="2">
        <f>N12/'Output-Calculation-sheet'!N11*'Output-Calculation-sheet'!N38*0.0114</f>
        <v>1.3391875474796401E-2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1.2371740642226322E-2</v>
      </c>
      <c r="Q45" s="2">
        <f>Q12/'Output-Calculation-sheet'!Q11*'Output-Calculation-sheet'!Q38*0.0114</f>
        <v>9.3866666353779979E-2</v>
      </c>
      <c r="R45" s="2">
        <f>R12/'Output-Calculation-sheet'!R11*'Output-Calculation-sheet'!R38*0.0114</f>
        <v>4.654324559671414E-2</v>
      </c>
      <c r="S45" s="2">
        <f>S12/'Output-Calculation-sheet'!S11*'Output-Calculation-sheet'!S38*0.0114</f>
        <v>7.6766853324502921E-3</v>
      </c>
      <c r="T45" s="2">
        <f>T12/'Output-Calculation-sheet'!T11*'Output-Calculation-sheet'!T38*0.0114</f>
        <v>1.2914435659910102E-2</v>
      </c>
      <c r="U45" s="2">
        <f>U12/'Output-Calculation-sheet'!U11*'Output-Calculation-sheet'!U38*0.0114</f>
        <v>1.871819406238704E-2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4.3274452115894405E-3</v>
      </c>
      <c r="AA45" s="2">
        <f t="shared" si="2"/>
        <v>1.2744330053037463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0.1700376711520204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2475.478853407184</v>
      </c>
      <c r="Q54" s="2">
        <f>Q10/'Output-Calculation-sheet'!Q9*'Output-Calculation-sheet'!Q45</f>
        <v>216.97114314344518</v>
      </c>
      <c r="R54" s="2">
        <f>R10/'Output-Calculation-sheet'!R9*'Output-Calculation-sheet'!R45</f>
        <v>1624.240898160107</v>
      </c>
      <c r="S54" s="2">
        <f>S10/'Output-Calculation-sheet'!S9*'Output-Calculation-sheet'!S45</f>
        <v>0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20.2450100760027</v>
      </c>
      <c r="AA54" s="2">
        <f t="shared" si="3"/>
        <v>5.3446027513066507</v>
      </c>
    </row>
    <row r="55" spans="1:27" x14ac:dyDescent="0.25">
      <c r="A55" s="2">
        <v>2034</v>
      </c>
      <c r="B55" s="2">
        <f>B11/'Output-Calculation-sheet'!B10*'Output-Calculation-sheet'!B46</f>
        <v>1904.3871547656108</v>
      </c>
      <c r="C55" s="2">
        <f>C11/'Output-Calculation-sheet'!C10*'Output-Calculation-sheet'!C46</f>
        <v>0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649.22213146031334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3999.8062533320708</v>
      </c>
      <c r="L55" s="2">
        <f>L11/'Output-Calculation-sheet'!L10*'Output-Calculation-sheet'!L46</f>
        <v>1479.1906554312884</v>
      </c>
      <c r="M55" s="2">
        <f>M11/'Output-Calculation-sheet'!M10*'Output-Calculation-sheet'!M46</f>
        <v>481.18988336911411</v>
      </c>
      <c r="N55" s="2">
        <f>N11/'Output-Calculation-sheet'!N10*'Output-Calculation-sheet'!N46</f>
        <v>164.33432894458412</v>
      </c>
      <c r="O55" s="2">
        <f>O11/'Output-Calculation-sheet'!O10*'Output-Calculation-sheet'!O46</f>
        <v>0</v>
      </c>
      <c r="P55" s="2">
        <f>P11/'Output-Calculation-sheet'!P10*'Output-Calculation-sheet'!P46</f>
        <v>3574.05123614285</v>
      </c>
      <c r="Q55" s="2">
        <f>Q11/'Output-Calculation-sheet'!Q10*'Output-Calculation-sheet'!Q46</f>
        <v>766.07234218620727</v>
      </c>
      <c r="R55" s="2">
        <f>R11/'Output-Calculation-sheet'!R10*'Output-Calculation-sheet'!R46</f>
        <v>4430.7048534268824</v>
      </c>
      <c r="S55" s="2">
        <f>S11/'Output-Calculation-sheet'!S10*'Output-Calculation-sheet'!S46</f>
        <v>0</v>
      </c>
      <c r="T55" s="2">
        <f>T11/'Output-Calculation-sheet'!T10*'Output-Calculation-sheet'!T46</f>
        <v>1003.2753730827587</v>
      </c>
      <c r="U55" s="2">
        <f>U11/'Output-Calculation-sheet'!U10*'Output-Calculation-sheet'!U46</f>
        <v>1682.2063088061607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45.926552169531547</v>
      </c>
      <c r="Y55" s="2">
        <f>Y11/'Output-Calculation-sheet'!Y10*'Output-Calculation-sheet'!Y46</f>
        <v>319.42830231598646</v>
      </c>
      <c r="AA55" s="2">
        <f t="shared" si="3"/>
        <v>47.816961895181578</v>
      </c>
    </row>
    <row r="56" spans="1:27" x14ac:dyDescent="0.25">
      <c r="A56" s="2">
        <v>2035</v>
      </c>
      <c r="B56" s="2">
        <f>B12/'Output-Calculation-sheet'!B11*'Output-Calculation-sheet'!B47</f>
        <v>487.44698902375472</v>
      </c>
      <c r="C56" s="2">
        <f>C12/'Output-Calculation-sheet'!C11*'Output-Calculation-sheet'!C47</f>
        <v>383.70844814735369</v>
      </c>
      <c r="D56" s="2">
        <f>D12/'Output-Calculation-sheet'!D11*'Output-Calculation-sheet'!D47</f>
        <v>8867.3762169952752</v>
      </c>
      <c r="E56" s="2">
        <f>E12/'Output-Calculation-sheet'!E11*'Output-Calculation-sheet'!E47</f>
        <v>10801.215430174538</v>
      </c>
      <c r="F56" s="2">
        <f>F12/'Output-Calculation-sheet'!F11*'Output-Calculation-sheet'!F47</f>
        <v>2815.7265653755667</v>
      </c>
      <c r="G56" s="2">
        <f>G12/'Output-Calculation-sheet'!G11*'Output-Calculation-sheet'!G47</f>
        <v>6949.9876807012097</v>
      </c>
      <c r="H56" s="2">
        <f>H12/'Output-Calculation-sheet'!H11*'Output-Calculation-sheet'!H47</f>
        <v>144.1726612718015</v>
      </c>
      <c r="I56" s="2">
        <f>I12/'Output-Calculation-sheet'!I11*'Output-Calculation-sheet'!I47</f>
        <v>3470.6743360851733</v>
      </c>
      <c r="J56" s="2">
        <f>J12/'Output-Calculation-sheet'!J11*'Output-Calculation-sheet'!J47</f>
        <v>3168.2683871886588</v>
      </c>
      <c r="K56" s="2">
        <f>K12/'Output-Calculation-sheet'!K11*'Output-Calculation-sheet'!K47</f>
        <v>4515.9303344113159</v>
      </c>
      <c r="L56" s="2">
        <f>L12/'Output-Calculation-sheet'!L11*'Output-Calculation-sheet'!L47</f>
        <v>2509.4426397369339</v>
      </c>
      <c r="M56" s="2">
        <f>M12/'Output-Calculation-sheet'!M11*'Output-Calculation-sheet'!M47</f>
        <v>100.40006058612876</v>
      </c>
      <c r="N56" s="2">
        <f>N12/'Output-Calculation-sheet'!N11*'Output-Calculation-sheet'!N47</f>
        <v>92.803347588501381</v>
      </c>
      <c r="O56" s="2">
        <f>O12/'Output-Calculation-sheet'!O11*'Output-Calculation-sheet'!O47</f>
        <v>13.154804426432323</v>
      </c>
      <c r="P56" s="2">
        <f>P12/'Output-Calculation-sheet'!P11*'Output-Calculation-sheet'!P47</f>
        <v>1329.4194988357231</v>
      </c>
      <c r="Q56" s="2">
        <f>Q12/'Output-Calculation-sheet'!Q11*'Output-Calculation-sheet'!Q47</f>
        <v>1183.6257270487608</v>
      </c>
      <c r="R56" s="2">
        <f>R12/'Output-Calculation-sheet'!R11*'Output-Calculation-sheet'!R47</f>
        <v>5349.4111879907632</v>
      </c>
      <c r="S56" s="2">
        <f>S12/'Output-Calculation-sheet'!S11*'Output-Calculation-sheet'!S47</f>
        <v>42.423787363541088</v>
      </c>
      <c r="T56" s="2">
        <f>T12/'Output-Calculation-sheet'!T11*'Output-Calculation-sheet'!T47</f>
        <v>1885.43208333132</v>
      </c>
      <c r="U56" s="2">
        <f>U12/'Output-Calculation-sheet'!U11*'Output-Calculation-sheet'!U47</f>
        <v>1799.2453555757647</v>
      </c>
      <c r="V56" s="2">
        <f>V12/'Output-Calculation-sheet'!V11*'Output-Calculation-sheet'!V47</f>
        <v>1255.9557825731283</v>
      </c>
      <c r="W56" s="2">
        <f>W12/'Output-Calculation-sheet'!W11*'Output-Calculation-sheet'!W47</f>
        <v>730.38340787552079</v>
      </c>
      <c r="X56" s="2">
        <f>X12/'Output-Calculation-sheet'!X11*'Output-Calculation-sheet'!X47</f>
        <v>11.276335829695135</v>
      </c>
      <c r="Y56" s="2">
        <f>Y12/'Output-Calculation-sheet'!Y11*'Output-Calculation-sheet'!Y47</f>
        <v>292.03928503942774</v>
      </c>
      <c r="AA56" s="2">
        <f t="shared" si="3"/>
        <v>58.199520353176297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8.4324108859819447</v>
      </c>
      <c r="C63" s="2">
        <f>C8*'Output-Calculation-sheet'!C52/10^9</f>
        <v>3.9732243048587335</v>
      </c>
      <c r="D63" s="2">
        <f>D8*'Output-Calculation-sheet'!D52/10^9</f>
        <v>1.9743701669205298</v>
      </c>
      <c r="E63" s="2">
        <f>E8*'Output-Calculation-sheet'!E52/10^9</f>
        <v>2.258766499518591</v>
      </c>
      <c r="F63" s="2">
        <f>F8*'Output-Calculation-sheet'!F52/10^9</f>
        <v>1.0558282303344466</v>
      </c>
      <c r="G63" s="2">
        <f>G8*'Output-Calculation-sheet'!G52/10^9</f>
        <v>0.80534953905062201</v>
      </c>
      <c r="H63" s="2">
        <f>H8*'Output-Calculation-sheet'!H52/10^9</f>
        <v>1.0958720093606653</v>
      </c>
      <c r="I63" s="2">
        <f>I8*'Output-Calculation-sheet'!I52/10^9</f>
        <v>0.63617261924909807</v>
      </c>
      <c r="J63" s="2">
        <f>J8*'Output-Calculation-sheet'!J52/10^9</f>
        <v>0.89933675308471617</v>
      </c>
      <c r="K63" s="2">
        <f>K8*'Output-Calculation-sheet'!K52/10^9</f>
        <v>0.5903704195295536</v>
      </c>
      <c r="L63" s="2">
        <f>L8*'Output-Calculation-sheet'!L52/10^9</f>
        <v>0.69897438610857154</v>
      </c>
      <c r="M63" s="2">
        <f>M8*'Output-Calculation-sheet'!M52/10^9</f>
        <v>0.80477428770534698</v>
      </c>
      <c r="N63" s="2">
        <f>N8*'Output-Calculation-sheet'!N52/10^9</f>
        <v>0.69592299878557884</v>
      </c>
      <c r="O63" s="2">
        <f>O8*'Output-Calculation-sheet'!O52/10^9</f>
        <v>0.71153920741467447</v>
      </c>
      <c r="P63" s="2">
        <f>P8*'Output-Calculation-sheet'!P52/10^9</f>
        <v>0.60041688746568622</v>
      </c>
      <c r="Q63" s="2">
        <f>Q8*'Output-Calculation-sheet'!Q52/10^9</f>
        <v>0.5600583372920771</v>
      </c>
      <c r="R63" s="2">
        <f>R8*'Output-Calculation-sheet'!R52/10^9</f>
        <v>0.50728207287680183</v>
      </c>
      <c r="S63" s="2">
        <f>S8*'Output-Calculation-sheet'!S52/10^9</f>
        <v>0.43040997074553256</v>
      </c>
      <c r="T63" s="2">
        <f>T8*'Output-Calculation-sheet'!T52/10^9</f>
        <v>0.2060380075960801</v>
      </c>
      <c r="U63" s="2">
        <f>U8*'Output-Calculation-sheet'!U52/10^9</f>
        <v>0.16067867535917421</v>
      </c>
      <c r="V63" s="2">
        <f>V8*'Output-Calculation-sheet'!V52/10^9</f>
        <v>0.26603595652054263</v>
      </c>
      <c r="W63" s="2">
        <f>W8*'Output-Calculation-sheet'!W52/10^9</f>
        <v>0.11164077612483134</v>
      </c>
      <c r="X63" s="2">
        <f>X8*'Output-Calculation-sheet'!X52/10^9</f>
        <v>0.10464491918759923</v>
      </c>
      <c r="Y63" s="2">
        <f>Y8*'Output-Calculation-sheet'!Y52/10^9</f>
        <v>6.446839817389069E-2</v>
      </c>
      <c r="AA63" s="2">
        <f t="shared" si="4"/>
        <v>27.644586309245287</v>
      </c>
    </row>
    <row r="64" spans="1:27" x14ac:dyDescent="0.25">
      <c r="A64" s="2">
        <v>2032</v>
      </c>
      <c r="B64" s="2">
        <f>B9*'Output-Calculation-sheet'!B53/10^9</f>
        <v>8.9234591658350606</v>
      </c>
      <c r="C64" s="2">
        <f>C9*'Output-Calculation-sheet'!C53/10^9</f>
        <v>4.2895237503005959</v>
      </c>
      <c r="D64" s="2">
        <f>D9*'Output-Calculation-sheet'!D53/10^9</f>
        <v>1.8752640268747593</v>
      </c>
      <c r="E64" s="2">
        <f>E9*'Output-Calculation-sheet'!E53/10^9</f>
        <v>2.1895900583495487</v>
      </c>
      <c r="F64" s="2">
        <f>F9*'Output-Calculation-sheet'!F53/10^9</f>
        <v>1.0047659302484397</v>
      </c>
      <c r="G64" s="2">
        <f>G9*'Output-Calculation-sheet'!G53/10^9</f>
        <v>0.75232718337190296</v>
      </c>
      <c r="H64" s="2">
        <f>H9*'Output-Calculation-sheet'!H53/10^9</f>
        <v>1.2127375465556398</v>
      </c>
      <c r="I64" s="2">
        <f>I9*'Output-Calculation-sheet'!I53/10^9</f>
        <v>0.610085740610816</v>
      </c>
      <c r="J64" s="2">
        <f>J9*'Output-Calculation-sheet'!J53/10^9</f>
        <v>0.81886519135285907</v>
      </c>
      <c r="K64" s="2">
        <f>K9*'Output-Calculation-sheet'!K53/10^9</f>
        <v>0.60450570557962513</v>
      </c>
      <c r="L64" s="2">
        <f>L9*'Output-Calculation-sheet'!L53/10^9</f>
        <v>0.67866107428235634</v>
      </c>
      <c r="M64" s="2">
        <f>M9*'Output-Calculation-sheet'!M53/10^9</f>
        <v>0.87738490699759708</v>
      </c>
      <c r="N64" s="2">
        <f>N9*'Output-Calculation-sheet'!N53/10^9</f>
        <v>0.78399499721229304</v>
      </c>
      <c r="O64" s="2">
        <f>O9*'Output-Calculation-sheet'!O53/10^9</f>
        <v>0.78363229097289155</v>
      </c>
      <c r="P64" s="2">
        <f>P9*'Output-Calculation-sheet'!P53/10^9</f>
        <v>0.64504277168534818</v>
      </c>
      <c r="Q64" s="2">
        <f>Q9*'Output-Calculation-sheet'!Q53/10^9</f>
        <v>0.61183897928227637</v>
      </c>
      <c r="R64" s="2">
        <f>R9*'Output-Calculation-sheet'!R53/10^9</f>
        <v>0.52050319938285516</v>
      </c>
      <c r="S64" s="2">
        <f>S9*'Output-Calculation-sheet'!S53/10^9</f>
        <v>0.47454218956828353</v>
      </c>
      <c r="T64" s="2">
        <f>T9*'Output-Calculation-sheet'!T53/10^9</f>
        <v>0.19457396891106016</v>
      </c>
      <c r="U64" s="2">
        <f>U9*'Output-Calculation-sheet'!U53/10^9</f>
        <v>0.1657759872931239</v>
      </c>
      <c r="V64" s="2">
        <f>V9*'Output-Calculation-sheet'!V53/10^9</f>
        <v>0.24161260405278279</v>
      </c>
      <c r="W64" s="2">
        <f>W9*'Output-Calculation-sheet'!W53/10^9</f>
        <v>0.10298333678427897</v>
      </c>
      <c r="X64" s="2">
        <f>X9*'Output-Calculation-sheet'!X53/10^9</f>
        <v>0.11015216926036145</v>
      </c>
      <c r="Y64" s="2">
        <f>Y9*'Output-Calculation-sheet'!Y53/10^9</f>
        <v>6.5503166540415853E-2</v>
      </c>
      <c r="AA64" s="2">
        <f t="shared" si="4"/>
        <v>28.537325941305177</v>
      </c>
    </row>
    <row r="65" spans="1:27" x14ac:dyDescent="0.25">
      <c r="A65" s="2">
        <v>2033</v>
      </c>
      <c r="B65" s="2">
        <f>B10*'Output-Calculation-sheet'!B54/10^9</f>
        <v>9.0643776321648879</v>
      </c>
      <c r="C65" s="2">
        <f>C10*'Output-Calculation-sheet'!C54/10^9</f>
        <v>4.3776060875221887</v>
      </c>
      <c r="D65" s="2">
        <f>D10*'Output-Calculation-sheet'!D54/10^9</f>
        <v>1.6601998598556993</v>
      </c>
      <c r="E65" s="2">
        <f>E10*'Output-Calculation-sheet'!E54/10^9</f>
        <v>2.1142864991588248</v>
      </c>
      <c r="F65" s="2">
        <f>F10*'Output-Calculation-sheet'!F54/10^9</f>
        <v>0.9085261155821085</v>
      </c>
      <c r="G65" s="2">
        <f>G10*'Output-Calculation-sheet'!G54/10^9</f>
        <v>0.64682659158193656</v>
      </c>
      <c r="H65" s="2">
        <f>H10*'Output-Calculation-sheet'!H54/10^9</f>
        <v>1.2820629375989245</v>
      </c>
      <c r="I65" s="2">
        <f>I10*'Output-Calculation-sheet'!I54/10^9</f>
        <v>0.56713191076890723</v>
      </c>
      <c r="J65" s="2">
        <f>J10*'Output-Calculation-sheet'!J54/10^9</f>
        <v>0.67100627020155823</v>
      </c>
      <c r="K65" s="2">
        <f>K10*'Output-Calculation-sheet'!K54/10^9</f>
        <v>0.62793905690090401</v>
      </c>
      <c r="L65" s="2">
        <f>L10*'Output-Calculation-sheet'!L54/10^9</f>
        <v>0.64756634616515918</v>
      </c>
      <c r="M65" s="2">
        <f>M10*'Output-Calculation-sheet'!M54/10^9</f>
        <v>0.91234147786151731</v>
      </c>
      <c r="N65" s="2">
        <f>N10*'Output-Calculation-sheet'!N54/10^9</f>
        <v>0.83693844578942356</v>
      </c>
      <c r="O65" s="2">
        <f>O10*'Output-Calculation-sheet'!O54/10^9</f>
        <v>0.81745533263511283</v>
      </c>
      <c r="P65" s="2">
        <f>P10*'Output-Calculation-sheet'!P54/10^9</f>
        <v>0.67930054115987393</v>
      </c>
      <c r="Q65" s="2">
        <f>Q10*'Output-Calculation-sheet'!Q54/10^9</f>
        <v>0.66893915158858075</v>
      </c>
      <c r="R65" s="2">
        <f>R10*'Output-Calculation-sheet'!R54/10^9</f>
        <v>0.5314058725830394</v>
      </c>
      <c r="S65" s="2">
        <f>S10*'Output-Calculation-sheet'!S54/10^9</f>
        <v>0.49598266319169926</v>
      </c>
      <c r="T65" s="2">
        <f>T10*'Output-Calculation-sheet'!T54/10^9</f>
        <v>0.17995881105201988</v>
      </c>
      <c r="U65" s="2">
        <f>U10*'Output-Calculation-sheet'!U54/10^9</f>
        <v>0.17283693945219175</v>
      </c>
      <c r="V65" s="2">
        <f>V10*'Output-Calculation-sheet'!V54/10^9</f>
        <v>0.20364653188110426</v>
      </c>
      <c r="W65" s="2">
        <f>W10*'Output-Calculation-sheet'!W54/10^9</f>
        <v>8.7032847525760737E-2</v>
      </c>
      <c r="X65" s="2">
        <f>X10*'Output-Calculation-sheet'!X54/10^9</f>
        <v>0.10898854879074982</v>
      </c>
      <c r="Y65" s="2">
        <f>Y10*'Output-Calculation-sheet'!Y54/10^9</f>
        <v>6.7521483166722143E-2</v>
      </c>
      <c r="AA65" s="2">
        <f t="shared" si="4"/>
        <v>28.329877954178912</v>
      </c>
    </row>
    <row r="66" spans="1:27" x14ac:dyDescent="0.25">
      <c r="A66" s="2">
        <v>2034</v>
      </c>
      <c r="B66" s="2">
        <f>B11*'Output-Calculation-sheet'!B55/10^9</f>
        <v>8.7999744486177001</v>
      </c>
      <c r="C66" s="2">
        <f>C11*'Output-Calculation-sheet'!C55/10^9</f>
        <v>4.2738251898112916</v>
      </c>
      <c r="D66" s="2">
        <f>D11*'Output-Calculation-sheet'!D55/10^9</f>
        <v>1.7185694903491611</v>
      </c>
      <c r="E66" s="2">
        <f>E11*'Output-Calculation-sheet'!E55/10^9</f>
        <v>2.225890322699231</v>
      </c>
      <c r="F66" s="2">
        <f>F11*'Output-Calculation-sheet'!F55/10^9</f>
        <v>0.87605955974296446</v>
      </c>
      <c r="G66" s="2">
        <f>G11*'Output-Calculation-sheet'!G55/10^9</f>
        <v>0.63904679546287713</v>
      </c>
      <c r="H66" s="2">
        <f>H11*'Output-Calculation-sheet'!H55/10^9</f>
        <v>1.2847204853225476</v>
      </c>
      <c r="I66" s="2">
        <f>I11*'Output-Calculation-sheet'!I55/10^9</f>
        <v>0.59407012274868887</v>
      </c>
      <c r="J66" s="2">
        <f>J11*'Output-Calculation-sheet'!J55/10^9</f>
        <v>0.59811354423193053</v>
      </c>
      <c r="K66" s="2">
        <f>K11*'Output-Calculation-sheet'!K55/10^9</f>
        <v>0.68104961039815204</v>
      </c>
      <c r="L66" s="2">
        <f>L11*'Output-Calculation-sheet'!L55/10^9</f>
        <v>0.66025510573588875</v>
      </c>
      <c r="M66" s="2">
        <f>M11*'Output-Calculation-sheet'!M55/10^9</f>
        <v>0.90074877867995984</v>
      </c>
      <c r="N66" s="2">
        <f>N11*'Output-Calculation-sheet'!N55/10^9</f>
        <v>0.8538304252028226</v>
      </c>
      <c r="O66" s="2">
        <f>O11*'Output-Calculation-sheet'!O55/10^9</f>
        <v>0.81223018007947334</v>
      </c>
      <c r="P66" s="2">
        <f>P11*'Output-Calculation-sheet'!P55/10^9</f>
        <v>0.70598664775504871</v>
      </c>
      <c r="Q66" s="2">
        <f>Q11*'Output-Calculation-sheet'!Q55/10^9</f>
        <v>0.71087577457180873</v>
      </c>
      <c r="R66" s="2">
        <f>R11*'Output-Calculation-sheet'!R55/10^9</f>
        <v>0.5421360566639235</v>
      </c>
      <c r="S66" s="2">
        <f>S11*'Output-Calculation-sheet'!S55/10^9</f>
        <v>0.49588266886780263</v>
      </c>
      <c r="T66" s="2">
        <f>T11*'Output-Calculation-sheet'!T55/10^9</f>
        <v>0.16986932478336436</v>
      </c>
      <c r="U66" s="2">
        <f>U11*'Output-Calculation-sheet'!U55/10^9</f>
        <v>0.18487751071559108</v>
      </c>
      <c r="V66" s="2">
        <f>V11*'Output-Calculation-sheet'!V55/10^9</f>
        <v>0.16053082693380558</v>
      </c>
      <c r="W66" s="2">
        <f>W11*'Output-Calculation-sheet'!W55/10^9</f>
        <v>7.8649460117598921E-2</v>
      </c>
      <c r="X66" s="2">
        <f>X11*'Output-Calculation-sheet'!X55/10^9</f>
        <v>0.10304129912890327</v>
      </c>
      <c r="Y66" s="2">
        <f>Y11*'Output-Calculation-sheet'!Y55/10^9</f>
        <v>7.51726376363437E-2</v>
      </c>
      <c r="AA66" s="2">
        <f t="shared" si="4"/>
        <v>28.145406266256881</v>
      </c>
    </row>
    <row r="67" spans="1:27" x14ac:dyDescent="0.25">
      <c r="A67" s="2">
        <v>2035</v>
      </c>
      <c r="B67" s="2">
        <f>B12*'Output-Calculation-sheet'!B56/10^9</f>
        <v>8.4112859150818089</v>
      </c>
      <c r="C67" s="2">
        <f>C12*'Output-Calculation-sheet'!C56/10^9</f>
        <v>3.9345388471932572</v>
      </c>
      <c r="D67" s="2">
        <f>D12*'Output-Calculation-sheet'!D56/10^9</f>
        <v>1.9302275495229155</v>
      </c>
      <c r="E67" s="2">
        <f>E12*'Output-Calculation-sheet'!E56/10^9</f>
        <v>2.593167722778515</v>
      </c>
      <c r="F67" s="2">
        <f>F12*'Output-Calculation-sheet'!F56/10^9</f>
        <v>1.0363637625914592</v>
      </c>
      <c r="G67" s="2">
        <f>G12*'Output-Calculation-sheet'!G56/10^9</f>
        <v>0.76355749536676143</v>
      </c>
      <c r="H67" s="2">
        <f>H12*'Output-Calculation-sheet'!H56/10^9</f>
        <v>1.2387592276579489</v>
      </c>
      <c r="I67" s="2">
        <f>I12*'Output-Calculation-sheet'!I56/10^9</f>
        <v>0.69967770124567275</v>
      </c>
      <c r="J67" s="2">
        <f>J12*'Output-Calculation-sheet'!J56/10^9</f>
        <v>0.64067282934949665</v>
      </c>
      <c r="K67" s="2">
        <f>K12*'Output-Calculation-sheet'!K56/10^9</f>
        <v>0.76738598956489912</v>
      </c>
      <c r="L67" s="2">
        <f>L12*'Output-Calculation-sheet'!L56/10^9</f>
        <v>0.71520482945707031</v>
      </c>
      <c r="M67" s="2">
        <f>M12*'Output-Calculation-sheet'!M56/10^9</f>
        <v>0.85907748135468542</v>
      </c>
      <c r="N67" s="2">
        <f>N12*'Output-Calculation-sheet'!N56/10^9</f>
        <v>0.8377673878694798</v>
      </c>
      <c r="O67" s="2">
        <f>O12*'Output-Calculation-sheet'!O56/10^9</f>
        <v>0.76410158207692791</v>
      </c>
      <c r="P67" s="2">
        <f>P12*'Output-Calculation-sheet'!P56/10^9</f>
        <v>0.74181182115112543</v>
      </c>
      <c r="Q67" s="2">
        <f>Q12*'Output-Calculation-sheet'!Q56/10^9</f>
        <v>0.73492062524394253</v>
      </c>
      <c r="R67" s="2">
        <f>R12*'Output-Calculation-sheet'!R56/10^9</f>
        <v>0.59084124359196188</v>
      </c>
      <c r="S67" s="2">
        <f>S12*'Output-Calculation-sheet'!S56/10^9</f>
        <v>0.48080300872741016</v>
      </c>
      <c r="T67" s="2">
        <f>T12*'Output-Calculation-sheet'!T56/10^9</f>
        <v>0.18386756626187778</v>
      </c>
      <c r="U67" s="2">
        <f>U12*'Output-Calculation-sheet'!U56/10^9</f>
        <v>0.19877017701893834</v>
      </c>
      <c r="V67" s="2">
        <f>V12*'Output-Calculation-sheet'!V56/10^9</f>
        <v>0.14180243613856552</v>
      </c>
      <c r="W67" s="2">
        <f>W12*'Output-Calculation-sheet'!W56/10^9</f>
        <v>9.6255227866334073E-2</v>
      </c>
      <c r="X67" s="2">
        <f>X12*'Output-Calculation-sheet'!X56/10^9</f>
        <v>9.2129669525725863E-2</v>
      </c>
      <c r="Y67" s="2">
        <f>Y12*'Output-Calculation-sheet'!Y56/10^9</f>
        <v>8.5660858307452847E-2</v>
      </c>
      <c r="AA67" s="2">
        <f t="shared" si="4"/>
        <v>28.538650954944231</v>
      </c>
    </row>
    <row r="68" spans="1:27" x14ac:dyDescent="0.25">
      <c r="B68" s="2">
        <f>SUM(B60:B67)</f>
        <v>43.631508047681407</v>
      </c>
      <c r="C68" s="2">
        <f t="shared" ref="C68:Y68" si="5">SUM(C60:C67)</f>
        <v>20.848718179686067</v>
      </c>
      <c r="D68" s="2">
        <f t="shared" si="5"/>
        <v>9.1586310935230646</v>
      </c>
      <c r="E68" s="2">
        <f t="shared" si="5"/>
        <v>11.38170110250471</v>
      </c>
      <c r="F68" s="2">
        <f t="shared" si="5"/>
        <v>4.8815435984994187</v>
      </c>
      <c r="G68" s="2">
        <f t="shared" si="5"/>
        <v>3.6071076048341002</v>
      </c>
      <c r="H68" s="2">
        <f t="shared" si="5"/>
        <v>6.1141522064957261</v>
      </c>
      <c r="I68" s="2">
        <f t="shared" si="5"/>
        <v>3.107138094623183</v>
      </c>
      <c r="J68" s="2">
        <f t="shared" si="5"/>
        <v>3.6279945882205609</v>
      </c>
      <c r="K68" s="2">
        <f t="shared" si="5"/>
        <v>3.2712507819731345</v>
      </c>
      <c r="L68" s="2">
        <f t="shared" si="5"/>
        <v>3.4006617417490457</v>
      </c>
      <c r="M68" s="2">
        <f t="shared" si="5"/>
        <v>4.3543269325991059</v>
      </c>
      <c r="N68" s="2">
        <f t="shared" si="5"/>
        <v>4.0084542548595978</v>
      </c>
      <c r="O68" s="2">
        <f t="shared" si="5"/>
        <v>3.8889585931790807</v>
      </c>
      <c r="P68" s="2">
        <f t="shared" si="5"/>
        <v>3.3725586692170828</v>
      </c>
      <c r="Q68" s="2">
        <f t="shared" si="5"/>
        <v>3.2866328679786854</v>
      </c>
      <c r="R68" s="2">
        <f t="shared" si="5"/>
        <v>2.6921684450985817</v>
      </c>
      <c r="S68" s="2">
        <f t="shared" si="5"/>
        <v>2.3776205011007279</v>
      </c>
      <c r="T68" s="2">
        <f t="shared" si="5"/>
        <v>0.93430767860440223</v>
      </c>
      <c r="U68" s="2">
        <f t="shared" si="5"/>
        <v>0.88293928983901937</v>
      </c>
      <c r="V68" s="2">
        <f t="shared" si="5"/>
        <v>1.0136283555268009</v>
      </c>
      <c r="W68" s="2">
        <f t="shared" si="5"/>
        <v>0.47656164841880405</v>
      </c>
      <c r="X68" s="2">
        <f t="shared" si="5"/>
        <v>0.51895660589333958</v>
      </c>
      <c r="Y68" s="2">
        <f t="shared" si="5"/>
        <v>0.35832654382482521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62.284461119797363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6.2284461119797366E-2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578.2835922831855</v>
      </c>
      <c r="Q76" s="2">
        <f>Q10/'Output-Calculation-sheet'!Q9*'Output-Calculation-sheet'!Q63</f>
        <v>68.589585374023244</v>
      </c>
      <c r="R76" s="2">
        <f>R10/'Output-Calculation-sheet'!R9*'Output-Calculation-sheet'!R63</f>
        <v>439.38143829181945</v>
      </c>
      <c r="S76" s="2">
        <f>S10/'Output-Calculation-sheet'!S9*'Output-Calculation-sheet'!S63</f>
        <v>0</v>
      </c>
      <c r="T76" s="2">
        <f>T10/'Output-Calculation-sheet'!T9*'Output-Calculation-sheet'!T63</f>
        <v>28.91665376229065</v>
      </c>
      <c r="U76" s="2">
        <f>U10/'Output-Calculation-sheet'!U9*'Output-Calculation-sheet'!U63</f>
        <v>156.34509170227366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7.4156924745963408</v>
      </c>
      <c r="AA76" s="2">
        <f t="shared" si="6"/>
        <v>1.40033203807242</v>
      </c>
    </row>
    <row r="77" spans="1:27" x14ac:dyDescent="0.25">
      <c r="A77" s="2">
        <v>2034</v>
      </c>
      <c r="B77" s="2">
        <f>B11/'Output-Calculation-sheet'!B10*'Output-Calculation-sheet'!B64</f>
        <v>574.37586179167329</v>
      </c>
      <c r="C77" s="2">
        <f>C11/'Output-Calculation-sheet'!C10*'Output-Calculation-sheet'!C64</f>
        <v>0</v>
      </c>
      <c r="D77" s="2">
        <f>D11/'Output-Calculation-sheet'!D10*'Output-Calculation-sheet'!D64</f>
        <v>1933.3390194199401</v>
      </c>
      <c r="E77" s="2">
        <f>E11/'Output-Calculation-sheet'!E10*'Output-Calculation-sheet'!E64</f>
        <v>2420.5375893230307</v>
      </c>
      <c r="F77" s="2">
        <f>F11/'Output-Calculation-sheet'!F10*'Output-Calculation-sheet'!F64</f>
        <v>172.98025239482203</v>
      </c>
      <c r="G77" s="2">
        <f>G11/'Output-Calculation-sheet'!G10*'Output-Calculation-sheet'!G64</f>
        <v>1020.8979871601131</v>
      </c>
      <c r="H77" s="2">
        <f>H11/'Output-Calculation-sheet'!H10*'Output-Calculation-sheet'!H64</f>
        <v>158.9592565074943</v>
      </c>
      <c r="I77" s="2">
        <f>I11/'Output-Calculation-sheet'!I10*'Output-Calculation-sheet'!I64</f>
        <v>603.97697425850333</v>
      </c>
      <c r="J77" s="2">
        <f>J11/'Output-Calculation-sheet'!J10*'Output-Calculation-sheet'!J64</f>
        <v>422.90071886609132</v>
      </c>
      <c r="K77" s="2">
        <f>K11/'Output-Calculation-sheet'!K10*'Output-Calculation-sheet'!K64</f>
        <v>922.5587823280033</v>
      </c>
      <c r="L77" s="2">
        <f>L11/'Output-Calculation-sheet'!L10*'Output-Calculation-sheet'!L64</f>
        <v>381.9851719423811</v>
      </c>
      <c r="M77" s="2">
        <f>M11/'Output-Calculation-sheet'!M10*'Output-Calculation-sheet'!M64</f>
        <v>114.48490126969776</v>
      </c>
      <c r="N77" s="2">
        <f>N11/'Output-Calculation-sheet'!N10*'Output-Calculation-sheet'!N64</f>
        <v>37.863382065147952</v>
      </c>
      <c r="O77" s="2">
        <f>O11/'Output-Calculation-sheet'!O10*'Output-Calculation-sheet'!O64</f>
        <v>0</v>
      </c>
      <c r="P77" s="2">
        <f>P11/'Output-Calculation-sheet'!P10*'Output-Calculation-sheet'!P64</f>
        <v>779.63917918376819</v>
      </c>
      <c r="Q77" s="2">
        <f>Q11/'Output-Calculation-sheet'!Q10*'Output-Calculation-sheet'!Q64</f>
        <v>188.20430059434034</v>
      </c>
      <c r="R77" s="2">
        <f>R11/'Output-Calculation-sheet'!R10*'Output-Calculation-sheet'!R64</f>
        <v>969.20932942814886</v>
      </c>
      <c r="S77" s="2">
        <f>S11/'Output-Calculation-sheet'!S10*'Output-Calculation-sheet'!S64</f>
        <v>0</v>
      </c>
      <c r="T77" s="2">
        <f>T11/'Output-Calculation-sheet'!T10*'Output-Calculation-sheet'!T64</f>
        <v>268.78989241731597</v>
      </c>
      <c r="U77" s="2">
        <f>U11/'Output-Calculation-sheet'!U10*'Output-Calculation-sheet'!U64</f>
        <v>356.31843874596234</v>
      </c>
      <c r="V77" s="2">
        <f>V11/'Output-Calculation-sheet'!V10*'Output-Calculation-sheet'!V64</f>
        <v>139.18072787567283</v>
      </c>
      <c r="W77" s="2">
        <f>W11/'Output-Calculation-sheet'!W10*'Output-Calculation-sheet'!W64</f>
        <v>30.72651437547783</v>
      </c>
      <c r="X77" s="2">
        <f>X11/'Output-Calculation-sheet'!X10*'Output-Calculation-sheet'!X64</f>
        <v>11.412888234104715</v>
      </c>
      <c r="Y77" s="2">
        <f>Y11/'Output-Calculation-sheet'!Y10*'Output-Calculation-sheet'!Y64</f>
        <v>64.328995598518247</v>
      </c>
      <c r="AA77" s="2">
        <f t="shared" si="6"/>
        <v>11.572670163780209</v>
      </c>
    </row>
    <row r="78" spans="1:27" x14ac:dyDescent="0.25">
      <c r="A78" s="2">
        <v>2035</v>
      </c>
      <c r="B78" s="2">
        <f>B12/'Output-Calculation-sheet'!B11*'Output-Calculation-sheet'!B65</f>
        <v>93.75626720588609</v>
      </c>
      <c r="C78" s="2">
        <f>C12/'Output-Calculation-sheet'!C11*'Output-Calculation-sheet'!C65</f>
        <v>68.435530281339794</v>
      </c>
      <c r="D78" s="2">
        <f>D12/'Output-Calculation-sheet'!D11*'Output-Calculation-sheet'!D65</f>
        <v>1972.616319208013</v>
      </c>
      <c r="E78" s="2">
        <f>E12/'Output-Calculation-sheet'!E11*'Output-Calculation-sheet'!E65</f>
        <v>1763.331192064371</v>
      </c>
      <c r="F78" s="2">
        <f>F12/'Output-Calculation-sheet'!F11*'Output-Calculation-sheet'!F65</f>
        <v>793.8974779832962</v>
      </c>
      <c r="G78" s="2">
        <f>G12/'Output-Calculation-sheet'!G11*'Output-Calculation-sheet'!G65</f>
        <v>1527.4695834838953</v>
      </c>
      <c r="H78" s="2">
        <f>H12/'Output-Calculation-sheet'!H11*'Output-Calculation-sheet'!H65</f>
        <v>26.836959236738952</v>
      </c>
      <c r="I78" s="2">
        <f>I12/'Output-Calculation-sheet'!I11*'Output-Calculation-sheet'!I65</f>
        <v>888.17491496149921</v>
      </c>
      <c r="J78" s="2">
        <f>J12/'Output-Calculation-sheet'!J11*'Output-Calculation-sheet'!J65</f>
        <v>798.06047100063745</v>
      </c>
      <c r="K78" s="2">
        <f>K12/'Output-Calculation-sheet'!K11*'Output-Calculation-sheet'!K65</f>
        <v>1007.0952620883002</v>
      </c>
      <c r="L78" s="2">
        <f>L12/'Output-Calculation-sheet'!L11*'Output-Calculation-sheet'!L65</f>
        <v>596.95493706079606</v>
      </c>
      <c r="M78" s="2">
        <f>M12/'Output-Calculation-sheet'!M11*'Output-Calculation-sheet'!M65</f>
        <v>18.388749191876084</v>
      </c>
      <c r="N78" s="2">
        <f>N12/'Output-Calculation-sheet'!N11*'Output-Calculation-sheet'!N65</f>
        <v>15.740152586561138</v>
      </c>
      <c r="O78" s="2">
        <f>O12/'Output-Calculation-sheet'!O11*'Output-Calculation-sheet'!O65</f>
        <v>3.1341321545975007</v>
      </c>
      <c r="P78" s="2">
        <f>P12/'Output-Calculation-sheet'!P11*'Output-Calculation-sheet'!P65</f>
        <v>264.8160232064472</v>
      </c>
      <c r="Q78" s="2">
        <f>Q12/'Output-Calculation-sheet'!Q11*'Output-Calculation-sheet'!Q65</f>
        <v>252.15447869165476</v>
      </c>
      <c r="R78" s="2">
        <f>R12/'Output-Calculation-sheet'!R11*'Output-Calculation-sheet'!R65</f>
        <v>1155.1533421351326</v>
      </c>
      <c r="S78" s="2">
        <f>S12/'Output-Calculation-sheet'!S11*'Output-Calculation-sheet'!S65</f>
        <v>7.0046386691357831</v>
      </c>
      <c r="T78" s="2">
        <f>T12/'Output-Calculation-sheet'!T11*'Output-Calculation-sheet'!T65</f>
        <v>414.38081459257108</v>
      </c>
      <c r="U78" s="2">
        <f>U12/'Output-Calculation-sheet'!U11*'Output-Calculation-sheet'!U65</f>
        <v>353.33415441333369</v>
      </c>
      <c r="V78" s="2">
        <f>V12/'Output-Calculation-sheet'!V11*'Output-Calculation-sheet'!V65</f>
        <v>223.05015047823815</v>
      </c>
      <c r="W78" s="2">
        <f>W12/'Output-Calculation-sheet'!W11*'Output-Calculation-sheet'!W65</f>
        <v>160.52384518306042</v>
      </c>
      <c r="X78" s="2">
        <f>X12/'Output-Calculation-sheet'!X11*'Output-Calculation-sheet'!X65</f>
        <v>2.34783801588978</v>
      </c>
      <c r="Y78" s="2">
        <f>Y12/'Output-Calculation-sheet'!Y11*'Output-Calculation-sheet'!Y65</f>
        <v>47.00377354049018</v>
      </c>
      <c r="AA78" s="2">
        <f t="shared" si="6"/>
        <v>12.453661007433762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23.77790190359779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124.96302447851289</v>
      </c>
      <c r="E89" s="2">
        <f>E12/'Output-Calculation-sheet'!E11*'Output-Calculation-sheet'!E74</f>
        <v>87.394902340507471</v>
      </c>
      <c r="F89" s="2">
        <f>F12/'Output-Calculation-sheet'!F11*'Output-Calculation-sheet'!F74</f>
        <v>52.466954634327337</v>
      </c>
      <c r="G89" s="2">
        <f>G12/'Output-Calculation-sheet'!G11*'Output-Calculation-sheet'!G74</f>
        <v>46.620144400988508</v>
      </c>
      <c r="H89" s="2">
        <f>H12/'Output-Calculation-sheet'!H11*'Output-Calculation-sheet'!H74</f>
        <v>6.9480800612916385</v>
      </c>
      <c r="I89" s="2">
        <f>I12/'Output-Calculation-sheet'!I11*'Output-Calculation-sheet'!I74</f>
        <v>43.54470588954446</v>
      </c>
      <c r="J89" s="2">
        <f>J12/'Output-Calculation-sheet'!J11*'Output-Calculation-sheet'!J74</f>
        <v>25.537679695223446</v>
      </c>
      <c r="K89" s="2">
        <f>K12/'Output-Calculation-sheet'!K11*'Output-Calculation-sheet'!K74</f>
        <v>50.722980239088137</v>
      </c>
      <c r="L89" s="2">
        <f>L12/'Output-Calculation-sheet'!L11*'Output-Calculation-sheet'!L74</f>
        <v>34.030613396733912</v>
      </c>
      <c r="M89" s="2">
        <f>M12/'Output-Calculation-sheet'!M11*'Output-Calculation-sheet'!M74</f>
        <v>5.9761940825076643</v>
      </c>
      <c r="N89" s="2">
        <f>N12/'Output-Calculation-sheet'!N11*'Output-Calculation-sheet'!N74</f>
        <v>4.6989036753671583</v>
      </c>
      <c r="O89" s="2">
        <f>O12/'Output-Calculation-sheet'!O11*'Output-Calculation-sheet'!O74</f>
        <v>2.1924674044053871</v>
      </c>
      <c r="P89" s="2">
        <f>P12/'Output-Calculation-sheet'!P11*'Output-Calculation-sheet'!P74</f>
        <v>5.4262020360641756</v>
      </c>
      <c r="Q89" s="2">
        <f>Q12/'Output-Calculation-sheet'!Q11*'Output-Calculation-sheet'!Q74</f>
        <v>55.578947183159201</v>
      </c>
      <c r="R89" s="2">
        <f>R12/'Output-Calculation-sheet'!R11*'Output-Calculation-sheet'!R74</f>
        <v>25.517130261356435</v>
      </c>
      <c r="S89" s="2">
        <f>S12/'Output-Calculation-sheet'!S11*'Output-Calculation-sheet'!S74</f>
        <v>2.0201803506448135</v>
      </c>
      <c r="T89" s="2">
        <f>T12/'Output-Calculation-sheet'!T11*'Output-Calculation-sheet'!T74</f>
        <v>6.041841244402387</v>
      </c>
      <c r="U89" s="2">
        <f>U12/'Output-Calculation-sheet'!U11*'Output-Calculation-sheet'!U74</f>
        <v>11.16523856352911</v>
      </c>
      <c r="V89" s="2">
        <f>V12/'Output-Calculation-sheet'!V11*'Output-Calculation-sheet'!V74</f>
        <v>1.5193013498868488</v>
      </c>
      <c r="W89" s="2">
        <f>W12/'Output-Calculation-sheet'!W11*'Output-Calculation-sheet'!W74</f>
        <v>3.9468331857578427</v>
      </c>
      <c r="X89" s="2">
        <f>X12/'Output-Calculation-sheet'!X11*'Output-Calculation-sheet'!X74</f>
        <v>0.262240368132445</v>
      </c>
      <c r="Y89" s="2">
        <f>Y12/'Output-Calculation-sheet'!Y11*'Output-Calculation-sheet'!Y74</f>
        <v>2.7837366858177686</v>
      </c>
      <c r="AA89" s="2">
        <f t="shared" si="7"/>
        <v>0.62877897472713162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13992894885.156448</v>
      </c>
      <c r="C96" s="2">
        <f>C8/'Output-Calculation-sheet'!C7*'Output-Calculation-sheet'!C79</f>
        <v>4733869088.0686302</v>
      </c>
      <c r="D96" s="2">
        <f>D8/'Output-Calculation-sheet'!D7*'Output-Calculation-sheet'!D79</f>
        <v>4941822437.8045015</v>
      </c>
      <c r="E96" s="2">
        <f>E8/'Output-Calculation-sheet'!E7*'Output-Calculation-sheet'!E79</f>
        <v>8786153148.8997555</v>
      </c>
      <c r="F96" s="2">
        <f>F8/'Output-Calculation-sheet'!F7*'Output-Calculation-sheet'!F79</f>
        <v>3636501384.6797624</v>
      </c>
      <c r="G96" s="2">
        <f>G8/'Output-Calculation-sheet'!G7*'Output-Calculation-sheet'!G79</f>
        <v>2832541739.7370648</v>
      </c>
      <c r="H96" s="2">
        <f>H8/'Output-Calculation-sheet'!H7*'Output-Calculation-sheet'!H79</f>
        <v>2424499222.6231399</v>
      </c>
      <c r="I96" s="2">
        <f>I8/'Output-Calculation-sheet'!I7*'Output-Calculation-sheet'!I79</f>
        <v>1973161567.7921305</v>
      </c>
      <c r="J96" s="2">
        <f>J8/'Output-Calculation-sheet'!J7*'Output-Calculation-sheet'!J79</f>
        <v>1334299063.5689209</v>
      </c>
      <c r="K96" s="2">
        <f>K8/'Output-Calculation-sheet'!K7*'Output-Calculation-sheet'!K79</f>
        <v>1908986756.5816159</v>
      </c>
      <c r="L96" s="2">
        <f>L8/'Output-Calculation-sheet'!L7*'Output-Calculation-sheet'!L79</f>
        <v>1346982637.5840371</v>
      </c>
      <c r="M96" s="2">
        <f>M8/'Output-Calculation-sheet'!M7*'Output-Calculation-sheet'!M79</f>
        <v>1809839657.426861</v>
      </c>
      <c r="N96" s="2">
        <f>N8/'Output-Calculation-sheet'!N7*'Output-Calculation-sheet'!N79</f>
        <v>1346662886.4717147</v>
      </c>
      <c r="O96" s="2">
        <f>O8/'Output-Calculation-sheet'!O7*'Output-Calculation-sheet'!O79</f>
        <v>680783024.49059522</v>
      </c>
      <c r="P96" s="2">
        <f>P8/'Output-Calculation-sheet'!P7*'Output-Calculation-sheet'!P79</f>
        <v>2277091207.6195045</v>
      </c>
      <c r="Q96" s="2">
        <f>Q8/'Output-Calculation-sheet'!Q7*'Output-Calculation-sheet'!Q79</f>
        <v>1061220117.4091511</v>
      </c>
      <c r="R96" s="2">
        <f>R8/'Output-Calculation-sheet'!R7*'Output-Calculation-sheet'!R79</f>
        <v>1324000501.9375257</v>
      </c>
      <c r="S96" s="2">
        <f>S8/'Output-Calculation-sheet'!S7*'Output-Calculation-sheet'!S79</f>
        <v>771472065.4142077</v>
      </c>
      <c r="T96" s="2">
        <f>T8/'Output-Calculation-sheet'!T7*'Output-Calculation-sheet'!T79</f>
        <v>589224310.88402164</v>
      </c>
      <c r="U96" s="2">
        <f>U8/'Output-Calculation-sheet'!U7*'Output-Calculation-sheet'!U79</f>
        <v>370136285.62885052</v>
      </c>
      <c r="V96" s="2">
        <f>V8/'Output-Calculation-sheet'!V7*'Output-Calculation-sheet'!V79</f>
        <v>192045143.76146609</v>
      </c>
      <c r="W96" s="2">
        <f>W8/'Output-Calculation-sheet'!W7*'Output-Calculation-sheet'!W79</f>
        <v>567482499.57612896</v>
      </c>
      <c r="X96" s="2">
        <f>X8/'Output-Calculation-sheet'!X7*'Output-Calculation-sheet'!X79</f>
        <v>199452933.9097999</v>
      </c>
      <c r="Y96" s="2">
        <f>Y8/'Output-Calculation-sheet'!Y7*'Output-Calculation-sheet'!Y79</f>
        <v>311941668.54553419</v>
      </c>
      <c r="AA96" s="2">
        <f t="shared" si="8"/>
        <v>59.413064235571376</v>
      </c>
    </row>
    <row r="97" spans="1:27" x14ac:dyDescent="0.25">
      <c r="A97" s="2">
        <v>2032</v>
      </c>
      <c r="B97" s="2">
        <f>B9/'Output-Calculation-sheet'!B8*'Output-Calculation-sheet'!B80</f>
        <v>19301548829.688187</v>
      </c>
      <c r="C97" s="2">
        <f>C9/'Output-Calculation-sheet'!C8*'Output-Calculation-sheet'!C80</f>
        <v>6574223232.5227823</v>
      </c>
      <c r="D97" s="2">
        <f>D9/'Output-Calculation-sheet'!D8*'Output-Calculation-sheet'!D80</f>
        <v>6550540603.8924627</v>
      </c>
      <c r="E97" s="2">
        <f>E9/'Output-Calculation-sheet'!E8*'Output-Calculation-sheet'!E80</f>
        <v>11979976610.37673</v>
      </c>
      <c r="F97" s="2">
        <f>F9/'Output-Calculation-sheet'!F8*'Output-Calculation-sheet'!F80</f>
        <v>4948927548.7987604</v>
      </c>
      <c r="G97" s="2">
        <f>G9/'Output-Calculation-sheet'!G8*'Output-Calculation-sheet'!G80</f>
        <v>3746074917.45362</v>
      </c>
      <c r="H97" s="2">
        <f>H9/'Output-Calculation-sheet'!H8*'Output-Calculation-sheet'!H80</f>
        <v>3295792384.4026551</v>
      </c>
      <c r="I97" s="2">
        <f>I9/'Output-Calculation-sheet'!I8*'Output-Calculation-sheet'!I80</f>
        <v>2711086244.3334961</v>
      </c>
      <c r="J97" s="2">
        <f>J9/'Output-Calculation-sheet'!J8*'Output-Calculation-sheet'!J80</f>
        <v>1782284013.9159501</v>
      </c>
      <c r="K97" s="2">
        <f>K9/'Output-Calculation-sheet'!K8*'Output-Calculation-sheet'!K80</f>
        <v>2569539786.7699184</v>
      </c>
      <c r="L97" s="2">
        <f>L9/'Output-Calculation-sheet'!L8*'Output-Calculation-sheet'!L80</f>
        <v>1870204747.144135</v>
      </c>
      <c r="M97" s="2">
        <f>M9/'Output-Calculation-sheet'!M8*'Output-Calculation-sheet'!M80</f>
        <v>2467530264.5948482</v>
      </c>
      <c r="N97" s="2">
        <f>N9/'Output-Calculation-sheet'!N8*'Output-Calculation-sheet'!N80</f>
        <v>1802857323.5469339</v>
      </c>
      <c r="O97" s="2">
        <f>O9/'Output-Calculation-sheet'!O8*'Output-Calculation-sheet'!O80</f>
        <v>932679079.7579509</v>
      </c>
      <c r="P97" s="2">
        <f>P9/'Output-Calculation-sheet'!P8*'Output-Calculation-sheet'!P80</f>
        <v>3051570367.5954566</v>
      </c>
      <c r="Q97" s="2">
        <f>Q9/'Output-Calculation-sheet'!Q8*'Output-Calculation-sheet'!Q80</f>
        <v>1427405154.9169774</v>
      </c>
      <c r="R97" s="2">
        <f>R9/'Output-Calculation-sheet'!R8*'Output-Calculation-sheet'!R80</f>
        <v>1803526166.2340407</v>
      </c>
      <c r="S97" s="2">
        <f>S9/'Output-Calculation-sheet'!S8*'Output-Calculation-sheet'!S80</f>
        <v>1046759037.0207216</v>
      </c>
      <c r="T97" s="2">
        <f>T9/'Output-Calculation-sheet'!T8*'Output-Calculation-sheet'!T80</f>
        <v>788242721.54518139</v>
      </c>
      <c r="U97" s="2">
        <f>U9/'Output-Calculation-sheet'!U8*'Output-Calculation-sheet'!U80</f>
        <v>503918674.71485025</v>
      </c>
      <c r="V97" s="2">
        <f>V9/'Output-Calculation-sheet'!V8*'Output-Calculation-sheet'!V80</f>
        <v>264223744.98071402</v>
      </c>
      <c r="W97" s="2">
        <f>W9/'Output-Calculation-sheet'!W8*'Output-Calculation-sheet'!W80</f>
        <v>765203393.61599386</v>
      </c>
      <c r="X97" s="2">
        <f>X9/'Output-Calculation-sheet'!X8*'Output-Calculation-sheet'!X80</f>
        <v>274780404.81420547</v>
      </c>
      <c r="Y97" s="2">
        <f>Y9/'Output-Calculation-sheet'!Y8*'Output-Calculation-sheet'!Y80</f>
        <v>420603339.70619953</v>
      </c>
      <c r="AA97" s="2">
        <f t="shared" si="8"/>
        <v>80.879498592342756</v>
      </c>
    </row>
    <row r="98" spans="1:27" x14ac:dyDescent="0.25">
      <c r="A98" s="2">
        <v>2033</v>
      </c>
      <c r="B98" s="2">
        <f>B10/'Output-Calculation-sheet'!B9*'Output-Calculation-sheet'!B81</f>
        <v>24120699234.181087</v>
      </c>
      <c r="C98" s="2">
        <f>C10/'Output-Calculation-sheet'!C9*'Output-Calculation-sheet'!C81</f>
        <v>8269787700.8489552</v>
      </c>
      <c r="D98" s="2">
        <f>D10/'Output-Calculation-sheet'!D9*'Output-Calculation-sheet'!D81</f>
        <v>7870282009.5860367</v>
      </c>
      <c r="E98" s="2">
        <f>E10/'Output-Calculation-sheet'!E9*'Output-Calculation-sheet'!E81</f>
        <v>14804510952.909609</v>
      </c>
      <c r="F98" s="2">
        <f>F10/'Output-Calculation-sheet'!F9*'Output-Calculation-sheet'!F81</f>
        <v>6105738688.4474392</v>
      </c>
      <c r="G98" s="2">
        <f>G10/'Output-Calculation-sheet'!G9*'Output-Calculation-sheet'!G81</f>
        <v>4483026597.5491886</v>
      </c>
      <c r="H98" s="2">
        <f>H10/'Output-Calculation-sheet'!H9*'Output-Calculation-sheet'!H81</f>
        <v>4061667064.8358293</v>
      </c>
      <c r="I98" s="2">
        <f>I10/'Output-Calculation-sheet'!I9*'Output-Calculation-sheet'!I81</f>
        <v>3376430771.3242607</v>
      </c>
      <c r="J98" s="2">
        <f>J10/'Output-Calculation-sheet'!J9*'Output-Calculation-sheet'!J81</f>
        <v>2158968408.5594492</v>
      </c>
      <c r="K98" s="2">
        <f>K10/'Output-Calculation-sheet'!K9*'Output-Calculation-sheet'!K81</f>
        <v>3135992079.3170686</v>
      </c>
      <c r="L98" s="2">
        <f>L10/'Output-Calculation-sheet'!L9*'Output-Calculation-sheet'!L81</f>
        <v>2352046602.6298094</v>
      </c>
      <c r="M98" s="2">
        <f>M10/'Output-Calculation-sheet'!M9*'Output-Calculation-sheet'!M81</f>
        <v>3050137645.0920467</v>
      </c>
      <c r="N98" s="2">
        <f>N10/'Output-Calculation-sheet'!N9*'Output-Calculation-sheet'!N81</f>
        <v>2188231706.4065762</v>
      </c>
      <c r="O98" s="2">
        <f>O10/'Output-Calculation-sheet'!O9*'Output-Calculation-sheet'!O81</f>
        <v>1158790616.0218005</v>
      </c>
      <c r="P98" s="2">
        <f>P10/'Output-Calculation-sheet'!P9*'Output-Calculation-sheet'!P81</f>
        <v>3703181445.233573</v>
      </c>
      <c r="Q98" s="2">
        <f>Q10/'Output-Calculation-sheet'!Q9*'Output-Calculation-sheet'!Q81</f>
        <v>1741138902.7722294</v>
      </c>
      <c r="R98" s="2">
        <f>R10/'Output-Calculation-sheet'!R9*'Output-Calculation-sheet'!R81</f>
        <v>2227186263.8004098</v>
      </c>
      <c r="S98" s="2">
        <f>S10/'Output-Calculation-sheet'!S9*'Output-Calculation-sheet'!S81</f>
        <v>1287706362.896558</v>
      </c>
      <c r="T98" s="2">
        <f>T10/'Output-Calculation-sheet'!T9*'Output-Calculation-sheet'!T81</f>
        <v>955526911.76584375</v>
      </c>
      <c r="U98" s="2">
        <f>U10/'Output-Calculation-sheet'!U9*'Output-Calculation-sheet'!U81</f>
        <v>621728739.72432888</v>
      </c>
      <c r="V98" s="2">
        <f>V10/'Output-Calculation-sheet'!V9*'Output-Calculation-sheet'!V81</f>
        <v>329276770.44876325</v>
      </c>
      <c r="W98" s="2">
        <f>W10/'Output-Calculation-sheet'!W9*'Output-Calculation-sheet'!W81</f>
        <v>933620277.40891647</v>
      </c>
      <c r="X98" s="2">
        <f>X10/'Output-Calculation-sheet'!X9*'Output-Calculation-sheet'!X81</f>
        <v>343075244.39303213</v>
      </c>
      <c r="Y98" s="2">
        <f>Y10/'Output-Calculation-sheet'!Y9*'Output-Calculation-sheet'!Y81</f>
        <v>513359970.3994574</v>
      </c>
      <c r="AA98" s="2">
        <f t="shared" si="8"/>
        <v>99.792110966552258</v>
      </c>
    </row>
    <row r="99" spans="1:27" x14ac:dyDescent="0.25">
      <c r="A99" s="2">
        <v>2034</v>
      </c>
      <c r="B99" s="2">
        <f>B11/'Output-Calculation-sheet'!B10*'Output-Calculation-sheet'!B82</f>
        <v>27788106391.135345</v>
      </c>
      <c r="C99" s="2">
        <f>C11/'Output-Calculation-sheet'!C10*'Output-Calculation-sheet'!C82</f>
        <v>9588056207.1015339</v>
      </c>
      <c r="D99" s="2">
        <f>D11/'Output-Calculation-sheet'!D10*'Output-Calculation-sheet'!D82</f>
        <v>8722390952.4424629</v>
      </c>
      <c r="E99" s="2">
        <f>E11/'Output-Calculation-sheet'!E10*'Output-Calculation-sheet'!E82</f>
        <v>16872720191.116344</v>
      </c>
      <c r="F99" s="2">
        <f>F11/'Output-Calculation-sheet'!F10*'Output-Calculation-sheet'!F82</f>
        <v>6949009069.1714239</v>
      </c>
      <c r="G99" s="2">
        <f>G11/'Output-Calculation-sheet'!G10*'Output-Calculation-sheet'!G82</f>
        <v>4940258562.1006365</v>
      </c>
      <c r="H99" s="2">
        <f>H11/'Output-Calculation-sheet'!H10*'Output-Calculation-sheet'!H82</f>
        <v>4617575715.7280979</v>
      </c>
      <c r="I99" s="2">
        <f>I11/'Output-Calculation-sheet'!I10*'Output-Calculation-sheet'!I82</f>
        <v>3878428631.7495232</v>
      </c>
      <c r="J99" s="2">
        <f>J11/'Output-Calculation-sheet'!J10*'Output-Calculation-sheet'!J82</f>
        <v>2413537492.5347013</v>
      </c>
      <c r="K99" s="2">
        <f>K11/'Output-Calculation-sheet'!K10*'Output-Calculation-sheet'!K82</f>
        <v>3531326195.3032045</v>
      </c>
      <c r="L99" s="2">
        <f>L11/'Output-Calculation-sheet'!L10*'Output-Calculation-sheet'!L82</f>
        <v>2726447177.1641464</v>
      </c>
      <c r="M99" s="2">
        <f>M11/'Output-Calculation-sheet'!M10*'Output-Calculation-sheet'!M82</f>
        <v>3478331488.3803072</v>
      </c>
      <c r="N99" s="2">
        <f>N11/'Output-Calculation-sheet'!N10*'Output-Calculation-sheet'!N82</f>
        <v>2450483263.4321656</v>
      </c>
      <c r="O99" s="2">
        <f>O11/'Output-Calculation-sheet'!O10*'Output-Calculation-sheet'!O82</f>
        <v>1328528460.39991</v>
      </c>
      <c r="P99" s="2">
        <f>P11/'Output-Calculation-sheet'!P10*'Output-Calculation-sheet'!P82</f>
        <v>4141349587.8968163</v>
      </c>
      <c r="Q99" s="2">
        <f>Q11/'Output-Calculation-sheet'!Q10*'Output-Calculation-sheet'!Q82</f>
        <v>1959942781.1583095</v>
      </c>
      <c r="R99" s="2">
        <f>R11/'Output-Calculation-sheet'!R10*'Output-Calculation-sheet'!R82</f>
        <v>2537141495.1445274</v>
      </c>
      <c r="S99" s="2">
        <f>S11/'Output-Calculation-sheet'!S10*'Output-Calculation-sheet'!S82</f>
        <v>1461460889.8426492</v>
      </c>
      <c r="T99" s="2">
        <f>T11/'Output-Calculation-sheet'!T10*'Output-Calculation-sheet'!T82</f>
        <v>1068153175.1325625</v>
      </c>
      <c r="U99" s="2">
        <f>U11/'Output-Calculation-sheet'!U10*'Output-Calculation-sheet'!U82</f>
        <v>707353901.03952432</v>
      </c>
      <c r="V99" s="2">
        <f>V11/'Output-Calculation-sheet'!V10*'Output-Calculation-sheet'!V82</f>
        <v>378211380.05265993</v>
      </c>
      <c r="W99" s="2">
        <f>W11/'Output-Calculation-sheet'!W10*'Output-Calculation-sheet'!W82</f>
        <v>1048801947.6707489</v>
      </c>
      <c r="X99" s="2">
        <f>X11/'Output-Calculation-sheet'!X10*'Output-Calculation-sheet'!X82</f>
        <v>395005733.99159712</v>
      </c>
      <c r="Y99" s="2">
        <f>Y11/'Output-Calculation-sheet'!Y10*'Output-Calculation-sheet'!Y82</f>
        <v>577170999.84487915</v>
      </c>
      <c r="AA99" s="2">
        <f t="shared" si="8"/>
        <v>113.55979168953407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2041.6311173740689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628.47737903534596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432.4535998950758</v>
      </c>
      <c r="N107" s="2">
        <f>N8/'Output-Calculation-sheet'!N7*'Output-Calculation-sheet'!N88</f>
        <v>170.01270222469586</v>
      </c>
      <c r="O107" s="2">
        <f>O8/'Output-Calculation-sheet'!O7*'Output-Calculation-sheet'!O88</f>
        <v>475.95864956742213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47.441059339349316</v>
      </c>
      <c r="Y107" s="2">
        <f>Y8/'Output-Calculation-sheet'!Y7*'Output-Calculation-sheet'!Y88</f>
        <v>0</v>
      </c>
      <c r="AA107" s="2">
        <f t="shared" si="9"/>
        <v>3.7959745074359579</v>
      </c>
    </row>
    <row r="108" spans="1:27" x14ac:dyDescent="0.25">
      <c r="A108" s="2">
        <v>2032</v>
      </c>
      <c r="B108" s="2">
        <f>B9/'Output-Calculation-sheet'!B8*'Output-Calculation-sheet'!B89</f>
        <v>949.89697751453252</v>
      </c>
      <c r="C108" s="2">
        <f>C9/'Output-Calculation-sheet'!C8*'Output-Calculation-sheet'!C89</f>
        <v>3606.7447302138939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971.48440462821111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668.47581478309098</v>
      </c>
      <c r="N108" s="2">
        <f>N9/'Output-Calculation-sheet'!N8*'Output-Calculation-sheet'!N89</f>
        <v>469.28808279209784</v>
      </c>
      <c r="O108" s="2">
        <f>O9/'Output-Calculation-sheet'!O8*'Output-Calculation-sheet'!O89</f>
        <v>700.69030284919882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215.20970374277391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73.33318719913288</v>
      </c>
      <c r="Y108" s="2">
        <f>Y9/'Output-Calculation-sheet'!Y8*'Output-Calculation-sheet'!Y89</f>
        <v>0</v>
      </c>
      <c r="AA108" s="2">
        <f t="shared" si="9"/>
        <v>7.6551232037229333</v>
      </c>
    </row>
    <row r="109" spans="1:27" x14ac:dyDescent="0.25">
      <c r="A109" s="2">
        <v>2033</v>
      </c>
      <c r="B109" s="2">
        <f>B10/'Output-Calculation-sheet'!B9*'Output-Calculation-sheet'!B90</f>
        <v>4948.28920993877</v>
      </c>
      <c r="C109" s="2">
        <f>C10/'Output-Calculation-sheet'!C9*'Output-Calculation-sheet'!C90</f>
        <v>4697.1451783695884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1445.9269676723661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994.93847068140622</v>
      </c>
      <c r="N109" s="2">
        <f>N10/'Output-Calculation-sheet'!N9*'Output-Calculation-sheet'!N90</f>
        <v>782.2905300771821</v>
      </c>
      <c r="O109" s="2">
        <f>O10/'Output-Calculation-sheet'!O9*'Output-Calculation-sheet'!O90</f>
        <v>912.5248177359249</v>
      </c>
      <c r="P109" s="2">
        <f>P10/'Output-Calculation-sheet'!P9*'Output-Calculation-sheet'!P90</f>
        <v>0</v>
      </c>
      <c r="Q109" s="2">
        <f>Q10/'Output-Calculation-sheet'!Q9*'Output-Calculation-sheet'!Q90</f>
        <v>171.35156945687464</v>
      </c>
      <c r="R109" s="2">
        <f>R10/'Output-Calculation-sheet'!R9*'Output-Calculation-sheet'!R90</f>
        <v>0</v>
      </c>
      <c r="S109" s="2">
        <f>S10/'Output-Calculation-sheet'!S9*'Output-Calculation-sheet'!S90</f>
        <v>392.38144560878794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109.14681953867466</v>
      </c>
      <c r="Y109" s="2">
        <f>Y10/'Output-Calculation-sheet'!Y9*'Output-Calculation-sheet'!Y90</f>
        <v>0</v>
      </c>
      <c r="AA109" s="2">
        <f t="shared" si="9"/>
        <v>14.453995009079572</v>
      </c>
    </row>
    <row r="110" spans="1:27" x14ac:dyDescent="0.25">
      <c r="A110" s="2">
        <v>2034</v>
      </c>
      <c r="B110" s="2">
        <f>B11/'Output-Calculation-sheet'!B10*'Output-Calculation-sheet'!B91</f>
        <v>8798.268655017122</v>
      </c>
      <c r="C110" s="2">
        <f>C11/'Output-Calculation-sheet'!C10*'Output-Calculation-sheet'!C91</f>
        <v>6031.8005845423795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1713.9464270552271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1179.3619422627623</v>
      </c>
      <c r="N110" s="2">
        <f>N11/'Output-Calculation-sheet'!N10*'Output-Calculation-sheet'!N91</f>
        <v>1062.5280657714713</v>
      </c>
      <c r="O110" s="2">
        <f>O11/'Output-Calculation-sheet'!O10*'Output-Calculation-sheet'!O91</f>
        <v>1171.811285368768</v>
      </c>
      <c r="P110" s="2">
        <f>P11/'Output-Calculation-sheet'!P10*'Output-Calculation-sheet'!P91</f>
        <v>267.70617235700337</v>
      </c>
      <c r="Q110" s="2">
        <f>Q11/'Output-Calculation-sheet'!Q10*'Output-Calculation-sheet'!Q91</f>
        <v>592.41462329751175</v>
      </c>
      <c r="R110" s="2">
        <f>R11/'Output-Calculation-sheet'!R10*'Output-Calculation-sheet'!R91</f>
        <v>0</v>
      </c>
      <c r="S110" s="2">
        <f>S11/'Output-Calculation-sheet'!S10*'Output-Calculation-sheet'!S91</f>
        <v>609.07776757449585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129.37845794099741</v>
      </c>
      <c r="Y110" s="2">
        <f>Y11/'Output-Calculation-sheet'!Y10*'Output-Calculation-sheet'!Y91</f>
        <v>20.808781115339219</v>
      </c>
      <c r="AA110" s="2">
        <f t="shared" si="9"/>
        <v>21.577102762303081</v>
      </c>
    </row>
    <row r="111" spans="1:27" x14ac:dyDescent="0.25">
      <c r="A111" s="2">
        <v>2035</v>
      </c>
      <c r="B111" s="2">
        <f>B12/'Output-Calculation-sheet'!B11*'Output-Calculation-sheet'!B92</f>
        <v>13731.738349327725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2447.0572655342094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1002.7621362646597</v>
      </c>
      <c r="Q111" s="2">
        <f>Q12/'Output-Calculation-sheet'!Q11*'Output-Calculation-sheet'!Q92</f>
        <v>713.26315551720973</v>
      </c>
      <c r="R111" s="2">
        <f>R12/'Output-Calculation-sheet'!R11*'Output-Calculation-sheet'!R92</f>
        <v>0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97.430784003621895</v>
      </c>
      <c r="AA111" s="2">
        <f t="shared" si="9"/>
        <v>31.448583098514511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1637237448.689584</v>
      </c>
      <c r="C118" s="2">
        <f>C8/'Output-Calculation-sheet'!C7*'Output-Calculation-sheet'!C97</f>
        <v>9597670762.2097263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2953006255.7636709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2051117314.997412</v>
      </c>
      <c r="N118" s="2">
        <f>N8/'Output-Calculation-sheet'!N7*'Output-Calculation-sheet'!N97</f>
        <v>1609542267.3401861</v>
      </c>
      <c r="O118" s="2">
        <f>O8/'Output-Calculation-sheet'!O7*'Output-Calculation-sheet'!O97</f>
        <v>1071007922.4523656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582265020.57361829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221071516.5919145</v>
      </c>
      <c r="Y118" s="2">
        <f>Y8/'Output-Calculation-sheet'!Y7*'Output-Calculation-sheet'!Y97</f>
        <v>0</v>
      </c>
      <c r="AA118" s="2">
        <f t="shared" si="10"/>
        <v>19722.918508618481</v>
      </c>
    </row>
    <row r="119" spans="1:27" x14ac:dyDescent="0.25">
      <c r="A119" s="2">
        <v>2032</v>
      </c>
      <c r="B119" s="2">
        <f>B9/'Output-Calculation-sheet'!B8*'Output-Calculation-sheet'!B98</f>
        <v>7126176470.611557</v>
      </c>
      <c r="C119" s="2">
        <f>C9/'Output-Calculation-sheet'!C8*'Output-Calculation-sheet'!C98</f>
        <v>5664028996.7753582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3385969207.6537843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2363419187.140708</v>
      </c>
      <c r="N119" s="2">
        <f>N9/'Output-Calculation-sheet'!N8*'Output-Calculation-sheet'!N98</f>
        <v>1595218678.187921</v>
      </c>
      <c r="O119" s="2">
        <f>O9/'Output-Calculation-sheet'!O8*'Output-Calculation-sheet'!O98</f>
        <v>1106646604.6474609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663297827.90560353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252894325.97855774</v>
      </c>
      <c r="Y119" s="2">
        <f>Y9/'Output-Calculation-sheet'!Y8*'Output-Calculation-sheet'!Y98</f>
        <v>0</v>
      </c>
      <c r="AA119" s="2">
        <f t="shared" si="10"/>
        <v>22157.65129890095</v>
      </c>
    </row>
    <row r="120" spans="1:27" x14ac:dyDescent="0.25">
      <c r="A120" s="2">
        <v>2033</v>
      </c>
      <c r="B120" s="2">
        <f>B10/'Output-Calculation-sheet'!B9*'Output-Calculation-sheet'!B99</f>
        <v>7118773371.9682713</v>
      </c>
      <c r="C120" s="2">
        <f>C10/'Output-Calculation-sheet'!C9*'Output-Calculation-sheet'!C99</f>
        <v>5852073744.6574144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1918756353.0646143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1358111686.5262635</v>
      </c>
      <c r="N120" s="2">
        <f>N10/'Output-Calculation-sheet'!N9*'Output-Calculation-sheet'!N99</f>
        <v>1353893457.0360773</v>
      </c>
      <c r="O120" s="2">
        <f>O10/'Output-Calculation-sheet'!O9*'Output-Calculation-sheet'!O99</f>
        <v>1145709987.5435641</v>
      </c>
      <c r="P120" s="2">
        <f>P10/'Output-Calculation-sheet'!P9*'Output-Calculation-sheet'!P99</f>
        <v>0</v>
      </c>
      <c r="Q120" s="2">
        <f>Q10/'Output-Calculation-sheet'!Q9*'Output-Calculation-sheet'!Q99</f>
        <v>8114562.6795166805</v>
      </c>
      <c r="R120" s="2">
        <f>R10/'Output-Calculation-sheet'!R9*'Output-Calculation-sheet'!R99</f>
        <v>0</v>
      </c>
      <c r="S120" s="2">
        <f>S10/'Output-Calculation-sheet'!S9*'Output-Calculation-sheet'!S99</f>
        <v>567001744.62076783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135613477.43581715</v>
      </c>
      <c r="Y120" s="2">
        <f>Y10/'Output-Calculation-sheet'!Y9*'Output-Calculation-sheet'!Y99</f>
        <v>0</v>
      </c>
      <c r="AA120" s="2">
        <f t="shared" si="10"/>
        <v>19458.048385532307</v>
      </c>
    </row>
    <row r="121" spans="1:27" x14ac:dyDescent="0.25">
      <c r="A121" s="2">
        <v>2034</v>
      </c>
      <c r="B121" s="2">
        <f>B11/'Output-Calculation-sheet'!B10*'Output-Calculation-sheet'!B100</f>
        <v>6605077379.4569969</v>
      </c>
      <c r="C121" s="2">
        <f>C11/'Output-Calculation-sheet'!C10*'Output-Calculation-sheet'!C100</f>
        <v>791848875.47940993</v>
      </c>
      <c r="D121" s="2">
        <f>D11/'Output-Calculation-sheet'!D10*'Output-Calculation-sheet'!D100</f>
        <v>0</v>
      </c>
      <c r="E121" s="2">
        <f>E11/'Output-Calculation-sheet'!E10*'Output-Calculation-sheet'!E100</f>
        <v>934507078.79870856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2085012118.6719327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761690317.5241611</v>
      </c>
      <c r="M121" s="2">
        <f>M11/'Output-Calculation-sheet'!M10*'Output-Calculation-sheet'!M100</f>
        <v>1483895149.2457078</v>
      </c>
      <c r="N121" s="2">
        <f>N11/'Output-Calculation-sheet'!N10*'Output-Calculation-sheet'!N100</f>
        <v>989279739.30297554</v>
      </c>
      <c r="O121" s="2">
        <f>O11/'Output-Calculation-sheet'!O10*'Output-Calculation-sheet'!O100</f>
        <v>155323761.47172692</v>
      </c>
      <c r="P121" s="2">
        <f>P11/'Output-Calculation-sheet'!P10*'Output-Calculation-sheet'!P100</f>
        <v>0</v>
      </c>
      <c r="Q121" s="2">
        <f>Q11/'Output-Calculation-sheet'!Q10*'Output-Calculation-sheet'!Q100</f>
        <v>334763721.63999283</v>
      </c>
      <c r="R121" s="2">
        <f>R11/'Output-Calculation-sheet'!R10*'Output-Calculation-sheet'!R100</f>
        <v>0</v>
      </c>
      <c r="S121" s="2">
        <f>S11/'Output-Calculation-sheet'!S10*'Output-Calculation-sheet'!S100</f>
        <v>369884370.95704192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145803081.18060225</v>
      </c>
      <c r="Y121" s="2">
        <f>Y11/'Output-Calculation-sheet'!Y10*'Output-Calculation-sheet'!Y100</f>
        <v>21151112.589077607</v>
      </c>
      <c r="AA121" s="2">
        <f t="shared" si="10"/>
        <v>14678.236706318337</v>
      </c>
    </row>
    <row r="122" spans="1:27" x14ac:dyDescent="0.25">
      <c r="A122" s="2">
        <v>2035</v>
      </c>
      <c r="B122" s="2">
        <f>B12/'Output-Calculation-sheet'!B11*'Output-Calculation-sheet'!B101</f>
        <v>1625995943.6080616</v>
      </c>
      <c r="C122" s="2">
        <f>C12/'Output-Calculation-sheet'!C11*'Output-Calculation-sheet'!C101</f>
        <v>305584956.68284881</v>
      </c>
      <c r="D122" s="2">
        <f>D12/'Output-Calculation-sheet'!D11*'Output-Calculation-sheet'!D101</f>
        <v>0</v>
      </c>
      <c r="E122" s="2">
        <f>E12/'Output-Calculation-sheet'!E11*'Output-Calculation-sheet'!E101</f>
        <v>2527615503.0143523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495685932.58663285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1086900358.2169447</v>
      </c>
      <c r="M122" s="2">
        <f>M12/'Output-Calculation-sheet'!M11*'Output-Calculation-sheet'!M101</f>
        <v>415620154.61431473</v>
      </c>
      <c r="N122" s="2">
        <f>N12/'Output-Calculation-sheet'!N11*'Output-Calculation-sheet'!N101</f>
        <v>289862445.74829274</v>
      </c>
      <c r="O122" s="2">
        <f>O12/'Output-Calculation-sheet'!O11*'Output-Calculation-sheet'!O101</f>
        <v>33487692.323202774</v>
      </c>
      <c r="P122" s="2">
        <f>P12/'Output-Calculation-sheet'!P11*'Output-Calculation-sheet'!P101</f>
        <v>45200957.514275201</v>
      </c>
      <c r="Q122" s="2">
        <f>Q12/'Output-Calculation-sheet'!Q11*'Output-Calculation-sheet'!Q101</f>
        <v>634886650.51530504</v>
      </c>
      <c r="R122" s="2">
        <f>R12/'Output-Calculation-sheet'!R11*'Output-Calculation-sheet'!R101</f>
        <v>0</v>
      </c>
      <c r="S122" s="2">
        <f>S12/'Output-Calculation-sheet'!S11*'Output-Calculation-sheet'!S101</f>
        <v>172204078.77097517</v>
      </c>
      <c r="T122" s="2">
        <f>T12/'Output-Calculation-sheet'!T11*'Output-Calculation-sheet'!T101</f>
        <v>0</v>
      </c>
      <c r="U122" s="2">
        <f>U12/'Output-Calculation-sheet'!U11*'Output-Calculation-sheet'!U101</f>
        <v>59503299.943859108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15064791.307920502</v>
      </c>
      <c r="Y122" s="2">
        <f>Y12/'Output-Calculation-sheet'!Y11*'Output-Calculation-sheet'!Y101</f>
        <v>89829980.78322506</v>
      </c>
      <c r="AA122" s="2">
        <f t="shared" si="10"/>
        <v>7797.4427456302119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55592850247.679626</v>
      </c>
      <c r="C129" s="2">
        <f>C8/'Output-Calculation-sheet'!C7*'Output-Calculation-sheet'!C106</f>
        <v>0</v>
      </c>
      <c r="D129" s="2">
        <f>D8/'Output-Calculation-sheet'!D7*'Output-Calculation-sheet'!D106</f>
        <v>24037221180.990246</v>
      </c>
      <c r="E129" s="2">
        <f>E8/'Output-Calculation-sheet'!E7*'Output-Calculation-sheet'!E106</f>
        <v>19071118111.097446</v>
      </c>
      <c r="F129" s="2">
        <f>F8/'Output-Calculation-sheet'!F7*'Output-Calculation-sheet'!F106</f>
        <v>12276758724.259937</v>
      </c>
      <c r="G129" s="2">
        <f>G8/'Output-Calculation-sheet'!G7*'Output-Calculation-sheet'!G106</f>
        <v>8626007544.5218372</v>
      </c>
      <c r="H129" s="2">
        <f>H8/'Output-Calculation-sheet'!H7*'Output-Calculation-sheet'!H106</f>
        <v>0</v>
      </c>
      <c r="I129" s="2">
        <f>I8/'Output-Calculation-sheet'!I7*'Output-Calculation-sheet'!I106</f>
        <v>7858953622.1042395</v>
      </c>
      <c r="J129" s="2">
        <f>J8/'Output-Calculation-sheet'!J7*'Output-Calculation-sheet'!J106</f>
        <v>7649339966.224041</v>
      </c>
      <c r="K129" s="2">
        <f>K8/'Output-Calculation-sheet'!K7*'Output-Calculation-sheet'!K106</f>
        <v>7576017656.5768585</v>
      </c>
      <c r="L129" s="2">
        <f>L8/'Output-Calculation-sheet'!L7*'Output-Calculation-sheet'!L106</f>
        <v>6077594255.4131432</v>
      </c>
      <c r="M129" s="2">
        <f>M8/'Output-Calculation-sheet'!M7*'Output-Calculation-sheet'!M106</f>
        <v>0</v>
      </c>
      <c r="N129" s="2">
        <f>N8/'Output-Calculation-sheet'!N7*'Output-Calculation-sheet'!N106</f>
        <v>2670898447.971386</v>
      </c>
      <c r="O129" s="2">
        <f>O8/'Output-Calculation-sheet'!O7*'Output-Calculation-sheet'!O106</f>
        <v>0</v>
      </c>
      <c r="P129" s="2">
        <f>P8/'Output-Calculation-sheet'!P7*'Output-Calculation-sheet'!P106</f>
        <v>5186939830.5718832</v>
      </c>
      <c r="Q129" s="2">
        <f>Q8/'Output-Calculation-sheet'!Q7*'Output-Calculation-sheet'!Q106</f>
        <v>5103100999.4965086</v>
      </c>
      <c r="R129" s="2">
        <f>R8/'Output-Calculation-sheet'!R7*'Output-Calculation-sheet'!R106</f>
        <v>4909427848.0869989</v>
      </c>
      <c r="S129" s="2">
        <f>S8/'Output-Calculation-sheet'!S7*'Output-Calculation-sheet'!S106</f>
        <v>2680784835.3139958</v>
      </c>
      <c r="T129" s="2">
        <f>T8/'Output-Calculation-sheet'!T7*'Output-Calculation-sheet'!T106</f>
        <v>1804651093.9142985</v>
      </c>
      <c r="U129" s="2">
        <f>U8/'Output-Calculation-sheet'!U7*'Output-Calculation-sheet'!U106</f>
        <v>1571792223.6060171</v>
      </c>
      <c r="V129" s="2">
        <f>V8/'Output-Calculation-sheet'!V7*'Output-Calculation-sheet'!V106</f>
        <v>1210306211.7584708</v>
      </c>
      <c r="W129" s="2">
        <f>W8/'Output-Calculation-sheet'!W7*'Output-Calculation-sheet'!W106</f>
        <v>1047865190.5760128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174951.62799016296</v>
      </c>
    </row>
    <row r="130" spans="1:27" x14ac:dyDescent="0.25">
      <c r="A130" s="2">
        <v>2032</v>
      </c>
      <c r="B130" s="2">
        <f>B9/'Output-Calculation-sheet'!B8*'Output-Calculation-sheet'!B107</f>
        <v>64487814969.29615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0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2346936518.5051551</v>
      </c>
      <c r="O130" s="2">
        <f>O9/'Output-Calculation-sheet'!O8*'Output-Calculation-sheet'!O107</f>
        <v>0</v>
      </c>
      <c r="P130" s="2">
        <f>P9/'Output-Calculation-sheet'!P8*'Output-Calculation-sheet'!P107</f>
        <v>7158730093.393487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2083688300.9497113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226265.95825247144</v>
      </c>
    </row>
    <row r="131" spans="1:27" x14ac:dyDescent="0.25">
      <c r="A131" s="2">
        <v>2033</v>
      </c>
      <c r="B131" s="2">
        <f>B10/'Output-Calculation-sheet'!B9*'Output-Calculation-sheet'!B108</f>
        <v>53103883058.130684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1945870226.4852781</v>
      </c>
      <c r="O131" s="2">
        <f>O10/'Output-Calculation-sheet'!O9*'Output-Calculation-sheet'!O108</f>
        <v>0</v>
      </c>
      <c r="P131" s="2">
        <f>P10/'Output-Calculation-sheet'!P9*'Output-Calculation-sheet'!P108</f>
        <v>8949601045.148447</v>
      </c>
      <c r="Q131" s="2">
        <f>Q10/'Output-Calculation-sheet'!Q9*'Output-Calculation-sheet'!Q108</f>
        <v>7549898135.7162457</v>
      </c>
      <c r="R131" s="2">
        <f>R10/'Output-Calculation-sheet'!R9*'Output-Calculation-sheet'!R108</f>
        <v>8470876411.9311352</v>
      </c>
      <c r="S131" s="2">
        <f>S10/'Output-Calculation-sheet'!S9*'Output-Calculation-sheet'!S108</f>
        <v>1887390424.4187799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252401.82151018604</v>
      </c>
    </row>
    <row r="132" spans="1:27" x14ac:dyDescent="0.25">
      <c r="A132" s="2">
        <v>2034</v>
      </c>
      <c r="B132" s="2">
        <f>B11/'Output-Calculation-sheet'!B10*'Output-Calculation-sheet'!B109</f>
        <v>38331695089.837692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36995437210.249962</v>
      </c>
      <c r="F132" s="2">
        <f>F11/'Output-Calculation-sheet'!F10*'Output-Calculation-sheet'!F109</f>
        <v>24412987029.856842</v>
      </c>
      <c r="G132" s="2">
        <f>G11/'Output-Calculation-sheet'!G10*'Output-Calculation-sheet'!G109</f>
        <v>17153715188.324995</v>
      </c>
      <c r="H132" s="2">
        <f>H11/'Output-Calculation-sheet'!H10*'Output-Calculation-sheet'!H109</f>
        <v>0</v>
      </c>
      <c r="I132" s="2">
        <f>I11/'Output-Calculation-sheet'!I10*'Output-Calculation-sheet'!I109</f>
        <v>15627297552.169104</v>
      </c>
      <c r="J132" s="2">
        <f>J11/'Output-Calculation-sheet'!J10*'Output-Calculation-sheet'!J109</f>
        <v>15210636953.730299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11323503266.530794</v>
      </c>
      <c r="M132" s="2">
        <f>M11/'Output-Calculation-sheet'!M10*'Output-Calculation-sheet'!M109</f>
        <v>0</v>
      </c>
      <c r="N132" s="2">
        <f>N11/'Output-Calculation-sheet'!N10*'Output-Calculation-sheet'!N109</f>
        <v>1489054680.3958237</v>
      </c>
      <c r="O132" s="2">
        <f>O11/'Output-Calculation-sheet'!O10*'Output-Calculation-sheet'!O109</f>
        <v>0</v>
      </c>
      <c r="P132" s="2">
        <f>P11/'Output-Calculation-sheet'!P10*'Output-Calculation-sheet'!P109</f>
        <v>8460402764.7844467</v>
      </c>
      <c r="Q132" s="2">
        <f>Q11/'Output-Calculation-sheet'!Q10*'Output-Calculation-sheet'!Q109</f>
        <v>5449404498.0154572</v>
      </c>
      <c r="R132" s="2">
        <f>R11/'Output-Calculation-sheet'!R10*'Output-Calculation-sheet'!R109</f>
        <v>9761712583.6057053</v>
      </c>
      <c r="S132" s="2">
        <f>S11/'Output-Calculation-sheet'!S10*'Output-Calculation-sheet'!S109</f>
        <v>1021953392.981228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3127254491.8799143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259308.15989142531</v>
      </c>
    </row>
    <row r="133" spans="1:27" x14ac:dyDescent="0.25">
      <c r="A133" s="2">
        <v>2035</v>
      </c>
      <c r="B133" s="2">
        <f>B12/'Output-Calculation-sheet'!B11*'Output-Calculation-sheet'!B110</f>
        <v>558630061.72598875</v>
      </c>
      <c r="C133" s="2">
        <f>C12/'Output-Calculation-sheet'!C11*'Output-Calculation-sheet'!C110</f>
        <v>0</v>
      </c>
      <c r="D133" s="2">
        <f>D12/'Output-Calculation-sheet'!D11*'Output-Calculation-sheet'!D110</f>
        <v>46281895571.33757</v>
      </c>
      <c r="E133" s="2">
        <f>E12/'Output-Calculation-sheet'!E11*'Output-Calculation-sheet'!E110</f>
        <v>22505867718.302948</v>
      </c>
      <c r="F133" s="2">
        <f>F12/'Output-Calculation-sheet'!F11*'Output-Calculation-sheet'!F110</f>
        <v>24957296096.902401</v>
      </c>
      <c r="G133" s="2">
        <f>G12/'Output-Calculation-sheet'!G11*'Output-Calculation-sheet'!G110</f>
        <v>17299125399.142525</v>
      </c>
      <c r="H133" s="2">
        <f>H12/'Output-Calculation-sheet'!H11*'Output-Calculation-sheet'!H110</f>
        <v>0</v>
      </c>
      <c r="I133" s="2">
        <f>I12/'Output-Calculation-sheet'!I11*'Output-Calculation-sheet'!I110</f>
        <v>15615700838.700977</v>
      </c>
      <c r="J133" s="2">
        <f>J12/'Output-Calculation-sheet'!J11*'Output-Calculation-sheet'!J110</f>
        <v>15039096477.682602</v>
      </c>
      <c r="K133" s="2">
        <f>K12/'Output-Calculation-sheet'!K11*'Output-Calculation-sheet'!K110</f>
        <v>14877920320.254278</v>
      </c>
      <c r="L133" s="2">
        <f>L12/'Output-Calculation-sheet'!L11*'Output-Calculation-sheet'!L110</f>
        <v>10942694984.890442</v>
      </c>
      <c r="M133" s="2">
        <f>M12/'Output-Calculation-sheet'!M11*'Output-Calculation-sheet'!M110</f>
        <v>0</v>
      </c>
      <c r="N133" s="2">
        <f>N12/'Output-Calculation-sheet'!N11*'Output-Calculation-sheet'!N110</f>
        <v>1430214.2572093739</v>
      </c>
      <c r="O133" s="2">
        <f>O12/'Output-Calculation-sheet'!O11*'Output-Calculation-sheet'!O110</f>
        <v>0</v>
      </c>
      <c r="P133" s="2">
        <f>P12/'Output-Calculation-sheet'!P11*'Output-Calculation-sheet'!P110</f>
        <v>3390867294.7891273</v>
      </c>
      <c r="Q133" s="2">
        <f>Q12/'Output-Calculation-sheet'!Q11*'Output-Calculation-sheet'!Q110</f>
        <v>4504176546.3896923</v>
      </c>
      <c r="R133" s="2">
        <f>R12/'Output-Calculation-sheet'!R11*'Output-Calculation-sheet'!R110</f>
        <v>9896181043.6105595</v>
      </c>
      <c r="S133" s="2">
        <f>S12/'Output-Calculation-sheet'!S11*'Output-Calculation-sheet'!S110</f>
        <v>16384645.798166754</v>
      </c>
      <c r="T133" s="2">
        <f>T12/'Output-Calculation-sheet'!T11*'Output-Calculation-sheet'!T110</f>
        <v>3718173646.7852845</v>
      </c>
      <c r="U133" s="2">
        <f>U12/'Output-Calculation-sheet'!U11*'Output-Calculation-sheet'!U110</f>
        <v>3016790648.5046396</v>
      </c>
      <c r="V133" s="2">
        <f>V12/'Output-Calculation-sheet'!V11*'Output-Calculation-sheet'!V110</f>
        <v>2500476037.10255</v>
      </c>
      <c r="W133" s="2">
        <f>W12/'Output-Calculation-sheet'!W11*'Output-Calculation-sheet'!W110</f>
        <v>2196763497.4907513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197319.47104366767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17372074786.65897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5461342728.3413486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3754045456.4813814</v>
      </c>
      <c r="N140" s="2">
        <f>N8/'Output-Calculation-sheet'!N7*'Output-Calculation-sheet'!N115</f>
        <v>1417300956.2889042</v>
      </c>
      <c r="O140" s="2">
        <f>O8/'Output-Calculation-sheet'!O7*'Output-Calculation-sheet'!O115</f>
        <v>4169213361.9892488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407644264.50284648</v>
      </c>
      <c r="Y140" s="2">
        <f>Y8/'Output-Calculation-sheet'!Y7*'Output-Calculation-sheet'!Y115</f>
        <v>0</v>
      </c>
      <c r="AA140" s="2">
        <f t="shared" si="12"/>
        <v>32581.621554262703</v>
      </c>
    </row>
    <row r="141" spans="1:27" x14ac:dyDescent="0.25">
      <c r="A141" s="2">
        <v>2032</v>
      </c>
      <c r="B141" s="2">
        <f>B9/'Output-Calculation-sheet'!B8*'Output-Calculation-sheet'!B116</f>
        <v>7372445280.6430483</v>
      </c>
      <c r="C141" s="2">
        <f>C9/'Output-Calculation-sheet'!C8*'Output-Calculation-sheet'!C116</f>
        <v>31558425023.758339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8227144550.9742117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5648610713.1981611</v>
      </c>
      <c r="N141" s="2">
        <f>N9/'Output-Calculation-sheet'!N8*'Output-Calculation-sheet'!N116</f>
        <v>3921616224.7578897</v>
      </c>
      <c r="O141" s="2">
        <f>O9/'Output-Calculation-sheet'!O8*'Output-Calculation-sheet'!O116</f>
        <v>6125675774.1703653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1756531120.9564552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614831427.86015856</v>
      </c>
      <c r="Y141" s="2">
        <f>Y9/'Output-Calculation-sheet'!Y8*'Output-Calculation-sheet'!Y116</f>
        <v>0</v>
      </c>
      <c r="AA141" s="2">
        <f t="shared" si="12"/>
        <v>65225.280116318623</v>
      </c>
    </row>
    <row r="142" spans="1:27" x14ac:dyDescent="0.25">
      <c r="A142" s="2">
        <v>2033</v>
      </c>
      <c r="B142" s="2">
        <f>B10/'Output-Calculation-sheet'!B9*'Output-Calculation-sheet'!B117</f>
        <v>38528536531.515457</v>
      </c>
      <c r="C142" s="2">
        <f>C10/'Output-Calculation-sheet'!C9*'Output-Calculation-sheet'!C117</f>
        <v>40684542569.235756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12600303342.685915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8658766028.1807499</v>
      </c>
      <c r="N142" s="2">
        <f>N10/'Output-Calculation-sheet'!N9*'Output-Calculation-sheet'!N117</f>
        <v>6531756370.0661383</v>
      </c>
      <c r="O142" s="2">
        <f>O10/'Output-Calculation-sheet'!O9*'Output-Calculation-sheet'!O117</f>
        <v>7896353375.5086107</v>
      </c>
      <c r="P142" s="2">
        <f>P10/'Output-Calculation-sheet'!P9*'Output-Calculation-sheet'!P117</f>
        <v>0</v>
      </c>
      <c r="Q142" s="2">
        <f>Q10/'Output-Calculation-sheet'!Q9*'Output-Calculation-sheet'!Q117</f>
        <v>1247387130.0371871</v>
      </c>
      <c r="R142" s="2">
        <f>R10/'Output-Calculation-sheet'!R9*'Output-Calculation-sheet'!R117</f>
        <v>0</v>
      </c>
      <c r="S142" s="2">
        <f>S10/'Output-Calculation-sheet'!S9*'Output-Calculation-sheet'!S117</f>
        <v>3176038793.9769664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949243085.57027185</v>
      </c>
      <c r="Y142" s="2">
        <f>Y10/'Output-Calculation-sheet'!Y9*'Output-Calculation-sheet'!Y117</f>
        <v>0</v>
      </c>
      <c r="AA142" s="2">
        <f t="shared" si="12"/>
        <v>120272.92722677704</v>
      </c>
    </row>
    <row r="143" spans="1:27" x14ac:dyDescent="0.25">
      <c r="A143" s="2">
        <v>2034</v>
      </c>
      <c r="B143" s="2">
        <f>B11/'Output-Calculation-sheet'!B10*'Output-Calculation-sheet'!B118</f>
        <v>68867032302.694809</v>
      </c>
      <c r="C143" s="2">
        <f>C11/'Output-Calculation-sheet'!C10*'Output-Calculation-sheet'!C118</f>
        <v>52838573120.59124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14647115347.239134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10059801650.881281</v>
      </c>
      <c r="N143" s="2">
        <f>N11/'Output-Calculation-sheet'!N10*'Output-Calculation-sheet'!N118</f>
        <v>8851818450.1789722</v>
      </c>
      <c r="O143" s="2">
        <f>O11/'Output-Calculation-sheet'!O10*'Output-Calculation-sheet'!O118</f>
        <v>10265066859.830408</v>
      </c>
      <c r="P143" s="2">
        <f>P11/'Output-Calculation-sheet'!P10*'Output-Calculation-sheet'!P118</f>
        <v>1853327513.4251761</v>
      </c>
      <c r="Q143" s="2">
        <f>Q11/'Output-Calculation-sheet'!Q10*'Output-Calculation-sheet'!Q118</f>
        <v>4363383196.1696415</v>
      </c>
      <c r="R143" s="2">
        <f>R11/'Output-Calculation-sheet'!R10*'Output-Calculation-sheet'!R118</f>
        <v>0</v>
      </c>
      <c r="S143" s="2">
        <f>S11/'Output-Calculation-sheet'!S10*'Output-Calculation-sheet'!S118</f>
        <v>5096867747.6750288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1104413162.4977648</v>
      </c>
      <c r="Y143" s="2">
        <f>Y11/'Output-Calculation-sheet'!Y10*'Output-Calculation-sheet'!Y118</f>
        <v>129420916.78101981</v>
      </c>
      <c r="AA143" s="2">
        <f t="shared" si="12"/>
        <v>178076.82026796447</v>
      </c>
    </row>
    <row r="144" spans="1:27" x14ac:dyDescent="0.25">
      <c r="A144" s="2">
        <v>2035</v>
      </c>
      <c r="B144" s="2">
        <f>B12/'Output-Calculation-sheet'!B11*'Output-Calculation-sheet'!B119</f>
        <v>119177222131.02249</v>
      </c>
      <c r="C144" s="2">
        <f>C12/'Output-Calculation-sheet'!C11*'Output-Calculation-sheet'!C119</f>
        <v>57028668105.900444</v>
      </c>
      <c r="D144" s="2">
        <f>D12/'Output-Calculation-sheet'!D11*'Output-Calculation-sheet'!D119</f>
        <v>0</v>
      </c>
      <c r="E144" s="2">
        <f>E12/'Output-Calculation-sheet'!E11*'Output-Calculation-sheet'!E119</f>
        <v>15024589975.761805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17326281339.161671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11871158539.807068</v>
      </c>
      <c r="N144" s="2">
        <f>N12/'Output-Calculation-sheet'!N11*'Output-Calculation-sheet'!N119</f>
        <v>11754190071.339062</v>
      </c>
      <c r="O144" s="2">
        <f>O12/'Output-Calculation-sheet'!O11*'Output-Calculation-sheet'!O119</f>
        <v>11088294274.410025</v>
      </c>
      <c r="P144" s="2">
        <f>P12/'Output-Calculation-sheet'!P11*'Output-Calculation-sheet'!P119</f>
        <v>7539651296.6099977</v>
      </c>
      <c r="Q144" s="2">
        <f>Q12/'Output-Calculation-sheet'!Q11*'Output-Calculation-sheet'!Q119</f>
        <v>5167129433.0687542</v>
      </c>
      <c r="R144" s="2">
        <f>R12/'Output-Calculation-sheet'!R11*'Output-Calculation-sheet'!R119</f>
        <v>0</v>
      </c>
      <c r="S144" s="2">
        <f>S12/'Output-Calculation-sheet'!S11*'Output-Calculation-sheet'!S119</f>
        <v>6714637739.4400196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1320944070.3383453</v>
      </c>
      <c r="Y144" s="2">
        <f>Y12/'Output-Calculation-sheet'!Y11*'Output-Calculation-sheet'!Y119</f>
        <v>630327697.91051757</v>
      </c>
      <c r="AA144" s="2">
        <f t="shared" si="12"/>
        <v>264643.09467477025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57230088813.663643</v>
      </c>
      <c r="C151" s="2">
        <f>C8/'Output-Calculation-sheet'!C7*'Output-Calculation-sheet'!C124</f>
        <v>26969745548.868694</v>
      </c>
      <c r="D151" s="2">
        <f>D8/'Output-Calculation-sheet'!D7*'Output-Calculation-sheet'!D124</f>
        <v>24037221180.990246</v>
      </c>
      <c r="E151" s="2">
        <f>E8/'Output-Calculation-sheet'!E7*'Output-Calculation-sheet'!E124</f>
        <v>19071118111.097446</v>
      </c>
      <c r="F151" s="2">
        <f>F8/'Output-Calculation-sheet'!F7*'Output-Calculation-sheet'!F124</f>
        <v>12276758724.259937</v>
      </c>
      <c r="G151" s="2">
        <f>G8/'Output-Calculation-sheet'!G7*'Output-Calculation-sheet'!G124</f>
        <v>8626007544.5218372</v>
      </c>
      <c r="H151" s="2">
        <f>H8/'Output-Calculation-sheet'!H7*'Output-Calculation-sheet'!H124</f>
        <v>8414348984.1050205</v>
      </c>
      <c r="I151" s="2">
        <f>I8/'Output-Calculation-sheet'!I7*'Output-Calculation-sheet'!I124</f>
        <v>7858953622.1042395</v>
      </c>
      <c r="J151" s="2">
        <f>J8/'Output-Calculation-sheet'!J7*'Output-Calculation-sheet'!J124</f>
        <v>7649339966.224041</v>
      </c>
      <c r="K151" s="2">
        <f>K8/'Output-Calculation-sheet'!K7*'Output-Calculation-sheet'!K124</f>
        <v>7576017656.5768585</v>
      </c>
      <c r="L151" s="2">
        <f>L8/'Output-Calculation-sheet'!L7*'Output-Calculation-sheet'!L124</f>
        <v>6077594255.4131432</v>
      </c>
      <c r="M151" s="2">
        <f>M8/'Output-Calculation-sheet'!M7*'Output-Calculation-sheet'!M124</f>
        <v>5805162771.4787931</v>
      </c>
      <c r="N151" s="2">
        <f>N8/'Output-Calculation-sheet'!N7*'Output-Calculation-sheet'!N124</f>
        <v>5697740567.621891</v>
      </c>
      <c r="O151" s="2">
        <f>O8/'Output-Calculation-sheet'!O7*'Output-Calculation-sheet'!O124</f>
        <v>5240221284.4416142</v>
      </c>
      <c r="P151" s="2">
        <f>P8/'Output-Calculation-sheet'!P7*'Output-Calculation-sheet'!P124</f>
        <v>5186939830.5718832</v>
      </c>
      <c r="Q151" s="2">
        <f>Q8/'Output-Calculation-sheet'!Q7*'Output-Calculation-sheet'!Q124</f>
        <v>5103100999.4965086</v>
      </c>
      <c r="R151" s="2">
        <f>R8/'Output-Calculation-sheet'!R7*'Output-Calculation-sheet'!R124</f>
        <v>4909427848.0869989</v>
      </c>
      <c r="S151" s="2">
        <f>S8/'Output-Calculation-sheet'!S7*'Output-Calculation-sheet'!S124</f>
        <v>3263049539.4682956</v>
      </c>
      <c r="T151" s="2">
        <f>T8/'Output-Calculation-sheet'!T7*'Output-Calculation-sheet'!T124</f>
        <v>1804651093.9142985</v>
      </c>
      <c r="U151" s="2">
        <f>U8/'Output-Calculation-sheet'!U7*'Output-Calculation-sheet'!U124</f>
        <v>1571792223.6060171</v>
      </c>
      <c r="V151" s="2">
        <f>V8/'Output-Calculation-sheet'!V7*'Output-Calculation-sheet'!V124</f>
        <v>1210306211.7584708</v>
      </c>
      <c r="W151" s="2">
        <f>W8/'Output-Calculation-sheet'!W7*'Output-Calculation-sheet'!W124</f>
        <v>1047865190.5760128</v>
      </c>
      <c r="X151" s="2">
        <f>X8/'Output-Calculation-sheet'!X7*'Output-Calculation-sheet'!X124</f>
        <v>628715781.09476101</v>
      </c>
      <c r="Y151" s="2">
        <f>Y8/'Output-Calculation-sheet'!Y7*'Output-Calculation-sheet'!Y124</f>
        <v>611420177.74308205</v>
      </c>
      <c r="AA151" s="2">
        <f t="shared" si="13"/>
        <v>227867.58792768378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22333472763.626522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4339393245.2932148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188695.68114098717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3014020883.9979587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131062.73978936199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2390324592.8143377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1449674853.4920704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926958115.14192033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446510226.3162092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64731.990732247075</v>
      </c>
    </row>
    <row r="155" spans="1:27" x14ac:dyDescent="0.25">
      <c r="A155" s="2">
        <v>2035</v>
      </c>
      <c r="B155" s="2">
        <f>B12/'Output-Calculation-sheet'!B11*'Output-Calculation-sheet'!B128</f>
        <v>621707485.44830537</v>
      </c>
      <c r="C155" s="2">
        <f>C12/'Output-Calculation-sheet'!C11*'Output-Calculation-sheet'!C128</f>
        <v>79901359.416825309</v>
      </c>
      <c r="D155" s="2">
        <f>D12/'Output-Calculation-sheet'!D11*'Output-Calculation-sheet'!D128</f>
        <v>6230576424.1629858</v>
      </c>
      <c r="E155" s="2">
        <f>E12/'Output-Calculation-sheet'!E11*'Output-Calculation-sheet'!E128</f>
        <v>1160544318.3989692</v>
      </c>
      <c r="F155" s="2">
        <f>F12/'Output-Calculation-sheet'!F11*'Output-Calculation-sheet'!F128</f>
        <v>1796564466.2535565</v>
      </c>
      <c r="G155" s="2">
        <f>G12/'Output-Calculation-sheet'!G11*'Output-Calculation-sheet'!G128</f>
        <v>1604689576.8954635</v>
      </c>
      <c r="H155" s="2">
        <f>H12/'Output-Calculation-sheet'!H11*'Output-Calculation-sheet'!H128</f>
        <v>128618393.95319143</v>
      </c>
      <c r="I155" s="2">
        <f>I12/'Output-Calculation-sheet'!I11*'Output-Calculation-sheet'!I128</f>
        <v>1600169078.8307209</v>
      </c>
      <c r="J155" s="2">
        <f>J12/'Output-Calculation-sheet'!J11*'Output-Calculation-sheet'!J128</f>
        <v>1532166611.5195305</v>
      </c>
      <c r="K155" s="2">
        <f>K12/'Output-Calculation-sheet'!K11*'Output-Calculation-sheet'!K128</f>
        <v>1739858455.7397571</v>
      </c>
      <c r="L155" s="2">
        <f>L12/'Output-Calculation-sheet'!L11*'Output-Calculation-sheet'!L128</f>
        <v>1258175805.2461622</v>
      </c>
      <c r="M155" s="2">
        <f>M12/'Output-Calculation-sheet'!M11*'Output-Calculation-sheet'!M128</f>
        <v>107269301.25516188</v>
      </c>
      <c r="N155" s="2">
        <f>N12/'Output-Calculation-sheet'!N11*'Output-Calculation-sheet'!N128</f>
        <v>108567217.89136393</v>
      </c>
      <c r="O155" s="2">
        <f>O12/'Output-Calculation-sheet'!O11*'Output-Calculation-sheet'!O128</f>
        <v>35953922.170059241</v>
      </c>
      <c r="P155" s="2">
        <f>P12/'Output-Calculation-sheet'!P11*'Output-Calculation-sheet'!P128</f>
        <v>121355706.24808665</v>
      </c>
      <c r="Q155" s="2">
        <f>Q12/'Output-Calculation-sheet'!Q11*'Output-Calculation-sheet'!Q128</f>
        <v>723270762.50139511</v>
      </c>
      <c r="R155" s="2">
        <f>R12/'Output-Calculation-sheet'!R11*'Output-Calculation-sheet'!R128</f>
        <v>808720839.68999541</v>
      </c>
      <c r="S155" s="2">
        <f>S12/'Output-Calculation-sheet'!S11*'Output-Calculation-sheet'!S128</f>
        <v>56695068.625422284</v>
      </c>
      <c r="T155" s="2">
        <f>T12/'Output-Calculation-sheet'!T11*'Output-Calculation-sheet'!T128</f>
        <v>190192970.84642383</v>
      </c>
      <c r="U155" s="2">
        <f>U12/'Output-Calculation-sheet'!U11*'Output-Calculation-sheet'!U128</f>
        <v>374305427.93996698</v>
      </c>
      <c r="V155" s="2">
        <f>V12/'Output-Calculation-sheet'!V11*'Output-Calculation-sheet'!V128</f>
        <v>93401633.296588838</v>
      </c>
      <c r="W155" s="2">
        <f>W12/'Output-Calculation-sheet'!W11*'Output-Calculation-sheet'!W128</f>
        <v>86683946.429182991</v>
      </c>
      <c r="X155" s="2">
        <f>X12/'Output-Calculation-sheet'!X11*'Output-Calculation-sheet'!X128</f>
        <v>3298561.6241134647</v>
      </c>
      <c r="Y155" s="2">
        <f>Y12/'Output-Calculation-sheet'!Y11*'Output-Calculation-sheet'!Y128</f>
        <v>25649906.570462082</v>
      </c>
      <c r="AA155" s="2">
        <f t="shared" si="13"/>
        <v>20488.337240953697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1293.0342926076157</v>
      </c>
      <c r="C19" s="2">
        <f>C8/'Output-Calculation-sheet'!C7*'Output-Calculation-sheet'!C25</f>
        <v>6083.6828994352509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1842.820704779693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1280.0964267880909</v>
      </c>
      <c r="N19" s="2">
        <f>N8/'Output-Calculation-sheet'!N7*'Output-Calculation-sheet'!N25</f>
        <v>1064.8889570357198</v>
      </c>
      <c r="O19" s="2">
        <f>O8/'Output-Calculation-sheet'!O7*'Output-Calculation-sheet'!O25</f>
        <v>668.33292563684722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492.48061320163021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138.54204210247619</v>
      </c>
      <c r="Y19" s="2">
        <f>Y8/'Output-Calculation-sheet'!Y7*'Output-Calculation-sheet'!Y25</f>
        <v>0</v>
      </c>
      <c r="AA19" s="2">
        <f t="shared" si="0"/>
        <v>12.863878861587326</v>
      </c>
    </row>
    <row r="20" spans="1:27" x14ac:dyDescent="0.25">
      <c r="A20" s="2">
        <v>2032</v>
      </c>
      <c r="B20" s="2">
        <f>B9/'Output-Calculation-sheet'!B8*'Output-Calculation-sheet'!B26</f>
        <v>6694.8787721551826</v>
      </c>
      <c r="C20" s="2">
        <f>C9/'Output-Calculation-sheet'!C8*'Output-Calculation-sheet'!C26</f>
        <v>3671.3080722852601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2203.9043635171511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1540.1035793181231</v>
      </c>
      <c r="N20" s="2">
        <f>N9/'Output-Calculation-sheet'!N8*'Output-Calculation-sheet'!N26</f>
        <v>1067.3337480592766</v>
      </c>
      <c r="O20" s="2">
        <f>O9/'Output-Calculation-sheet'!O8*'Output-Calculation-sheet'!O26</f>
        <v>717.30556025191265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506.29319083059858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167.58576253553093</v>
      </c>
      <c r="Y20" s="2">
        <f>Y9/'Output-Calculation-sheet'!Y8*'Output-Calculation-sheet'!Y26</f>
        <v>0</v>
      </c>
      <c r="AA20" s="2">
        <f t="shared" si="0"/>
        <v>16.568713048953036</v>
      </c>
    </row>
    <row r="21" spans="1:27" x14ac:dyDescent="0.25">
      <c r="A21" s="2">
        <v>2033</v>
      </c>
      <c r="B21" s="2">
        <f>B10/'Output-Calculation-sheet'!B9*'Output-Calculation-sheet'!B27</f>
        <v>6561.0418829001774</v>
      </c>
      <c r="C21" s="2">
        <f>C10/'Output-Calculation-sheet'!C9*'Output-Calculation-sheet'!C27</f>
        <v>4032.6940058886812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1322.2267757745167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935.88301937259973</v>
      </c>
      <c r="N21" s="2">
        <f>N10/'Output-Calculation-sheet'!N9*'Output-Calculation-sheet'!N27</f>
        <v>947.76619921261863</v>
      </c>
      <c r="O21" s="2">
        <f>O10/'Output-Calculation-sheet'!O9*'Output-Calculation-sheet'!O27</f>
        <v>789.51502831300786</v>
      </c>
      <c r="P21" s="2">
        <f>P10/'Output-Calculation-sheet'!P9*'Output-Calculation-sheet'!P27</f>
        <v>0</v>
      </c>
      <c r="Q21" s="2">
        <f>Q10/'Output-Calculation-sheet'!Q9*'Output-Calculation-sheet'!Q27</f>
        <v>10.837416195578168</v>
      </c>
      <c r="R21" s="2">
        <f>R10/'Output-Calculation-sheet'!R9*'Output-Calculation-sheet'!R27</f>
        <v>0</v>
      </c>
      <c r="S21" s="2">
        <f>S10/'Output-Calculation-sheet'!S9*'Output-Calculation-sheet'!S27</f>
        <v>451.29117361352655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93.451941652923324</v>
      </c>
      <c r="Y21" s="2">
        <f>Y10/'Output-Calculation-sheet'!Y9*'Output-Calculation-sheet'!Y27</f>
        <v>0</v>
      </c>
      <c r="AA21" s="2">
        <f t="shared" si="0"/>
        <v>15.144707442923631</v>
      </c>
    </row>
    <row r="22" spans="1:27" x14ac:dyDescent="0.25">
      <c r="A22" s="2">
        <v>2034</v>
      </c>
      <c r="B22" s="2">
        <f>B11/'Output-Calculation-sheet'!B10*'Output-Calculation-sheet'!B28</f>
        <v>5941.2942471762708</v>
      </c>
      <c r="C22" s="2">
        <f>C11/'Output-Calculation-sheet'!C10*'Output-Calculation-sheet'!C28</f>
        <v>598.53708914630874</v>
      </c>
      <c r="D22" s="2">
        <f>D11/'Output-Calculation-sheet'!D10*'Output-Calculation-sheet'!D28</f>
        <v>0</v>
      </c>
      <c r="E22" s="2">
        <f>E11/'Output-Calculation-sheet'!E10*'Output-Calculation-sheet'!E28</f>
        <v>2025.8121797114668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1575.9950491111451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1205.4009716834482</v>
      </c>
      <c r="M22" s="2">
        <f>M11/'Output-Calculation-sheet'!M10*'Output-Calculation-sheet'!M28</f>
        <v>1121.6296692596197</v>
      </c>
      <c r="N22" s="2">
        <f>N11/'Output-Calculation-sheet'!N10*'Output-Calculation-sheet'!N28</f>
        <v>749.81583300116665</v>
      </c>
      <c r="O22" s="2">
        <f>O11/'Output-Calculation-sheet'!O10*'Output-Calculation-sheet'!O28</f>
        <v>117.40444301088634</v>
      </c>
      <c r="P22" s="2">
        <f>P11/'Output-Calculation-sheet'!P10*'Output-Calculation-sheet'!P28</f>
        <v>0</v>
      </c>
      <c r="Q22" s="2">
        <f>Q11/'Output-Calculation-sheet'!Q10*'Output-Calculation-sheet'!Q28</f>
        <v>384.36124633202309</v>
      </c>
      <c r="R22" s="2">
        <f>R11/'Output-Calculation-sheet'!R10*'Output-Calculation-sheet'!R28</f>
        <v>0</v>
      </c>
      <c r="S22" s="2">
        <f>S11/'Output-Calculation-sheet'!S10*'Output-Calculation-sheet'!S28</f>
        <v>280.75483588040754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110.20792441445016</v>
      </c>
      <c r="Y22" s="2">
        <f>Y11/'Output-Calculation-sheet'!Y10*'Output-Calculation-sheet'!Y28</f>
        <v>44.923862794284581</v>
      </c>
      <c r="AA22" s="2">
        <f t="shared" si="0"/>
        <v>14.156137351521476</v>
      </c>
    </row>
    <row r="23" spans="1:27" x14ac:dyDescent="0.25">
      <c r="A23" s="2">
        <v>2035</v>
      </c>
      <c r="B23" s="2">
        <f>B12/'Output-Calculation-sheet'!B11*'Output-Calculation-sheet'!B29</f>
        <v>1400.5529665150643</v>
      </c>
      <c r="C23" s="2">
        <f>C12/'Output-Calculation-sheet'!C11*'Output-Calculation-sheet'!C29</f>
        <v>263.21407623005479</v>
      </c>
      <c r="D23" s="2">
        <f>D12/'Output-Calculation-sheet'!D11*'Output-Calculation-sheet'!D29</f>
        <v>0</v>
      </c>
      <c r="E23" s="2">
        <f>E12/'Output-Calculation-sheet'!E11*'Output-Calculation-sheet'!E29</f>
        <v>3546.2010204758558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426.95935002640488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1787.6489956484754</v>
      </c>
      <c r="M23" s="2">
        <f>M12/'Output-Calculation-sheet'!M11*'Output-Calculation-sheet'!M29</f>
        <v>357.99559920919626</v>
      </c>
      <c r="N23" s="2">
        <f>N12/'Output-Calculation-sheet'!N11*'Output-Calculation-sheet'!N29</f>
        <v>249.67303023073083</v>
      </c>
      <c r="O23" s="2">
        <f>O12/'Output-Calculation-sheet'!O11*'Output-Calculation-sheet'!O29</f>
        <v>28.844935735141053</v>
      </c>
      <c r="P23" s="2">
        <f>P12/'Output-Calculation-sheet'!P11*'Output-Calculation-sheet'!P29</f>
        <v>49.684737891136159</v>
      </c>
      <c r="Q23" s="2">
        <f>Q12/'Output-Calculation-sheet'!Q11*'Output-Calculation-sheet'!Q29</f>
        <v>696.63897375065108</v>
      </c>
      <c r="R23" s="2">
        <f>R12/'Output-Calculation-sheet'!R11*'Output-Calculation-sheet'!R29</f>
        <v>0</v>
      </c>
      <c r="S23" s="2">
        <f>S12/'Output-Calculation-sheet'!S11*'Output-Calculation-sheet'!S29</f>
        <v>148.32823477101863</v>
      </c>
      <c r="T23" s="2">
        <f>T12/'Output-Calculation-sheet'!T11*'Output-Calculation-sheet'!T29</f>
        <v>0</v>
      </c>
      <c r="U23" s="2">
        <f>U12/'Output-Calculation-sheet'!U11*'Output-Calculation-sheet'!U29</f>
        <v>161.71527266950037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12.976072070537048</v>
      </c>
      <c r="Y23" s="2">
        <f>Y12/'Output-Calculation-sheet'!Y11*'Output-Calculation-sheet'!Y29</f>
        <v>109.8951252055821</v>
      </c>
      <c r="AA23" s="2">
        <f t="shared" si="0"/>
        <v>9.2403283904293474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22538.880516024859</v>
      </c>
      <c r="C30" s="2">
        <f>C8/'Output-Calculation-sheet'!C7*'Output-Calculation-sheet'!C16</f>
        <v>0</v>
      </c>
      <c r="D30" s="2">
        <f>D8/'Output-Calculation-sheet'!D7*'Output-Calculation-sheet'!D16</f>
        <v>3795.2212302195849</v>
      </c>
      <c r="E30" s="2">
        <f>E8/'Output-Calculation-sheet'!E7*'Output-Calculation-sheet'!E16</f>
        <v>4083.4488686457134</v>
      </c>
      <c r="F30" s="2">
        <f>F8/'Output-Calculation-sheet'!F7*'Output-Calculation-sheet'!F16</f>
        <v>2060.1553485765853</v>
      </c>
      <c r="G30" s="2">
        <f>G8/'Output-Calculation-sheet'!G7*'Output-Calculation-sheet'!G16</f>
        <v>1349.139122729661</v>
      </c>
      <c r="H30" s="2">
        <f>H8/'Output-Calculation-sheet'!H7*'Output-Calculation-sheet'!H16</f>
        <v>0</v>
      </c>
      <c r="I30" s="2">
        <f>I8/'Output-Calculation-sheet'!I7*'Output-Calculation-sheet'!I16</f>
        <v>1315.2247062441568</v>
      </c>
      <c r="J30" s="2">
        <f>J8/'Output-Calculation-sheet'!J7*'Output-Calculation-sheet'!J16</f>
        <v>1170.7867656357905</v>
      </c>
      <c r="K30" s="2">
        <f>K8/'Output-Calculation-sheet'!K7*'Output-Calculation-sheet'!K16</f>
        <v>1563.2254703159313</v>
      </c>
      <c r="L30" s="2">
        <f>L8/'Output-Calculation-sheet'!L7*'Output-Calculation-sheet'!L16</f>
        <v>1320.4182420456534</v>
      </c>
      <c r="M30" s="2">
        <f>M8/'Output-Calculation-sheet'!M7*'Output-Calculation-sheet'!M16</f>
        <v>0</v>
      </c>
      <c r="N30" s="2">
        <f>N8/'Output-Calculation-sheet'!N7*'Output-Calculation-sheet'!N16</f>
        <v>1213.9508853692137</v>
      </c>
      <c r="O30" s="2">
        <f>O8/'Output-Calculation-sheet'!O7*'Output-Calculation-sheet'!O16</f>
        <v>0</v>
      </c>
      <c r="P30" s="2">
        <f>P8/'Output-Calculation-sheet'!P7*'Output-Calculation-sheet'!P16</f>
        <v>1685.6847159057543</v>
      </c>
      <c r="Q30" s="2">
        <f>Q8/'Output-Calculation-sheet'!Q7*'Output-Calculation-sheet'!Q16</f>
        <v>1853.7050881537937</v>
      </c>
      <c r="R30" s="2">
        <f>R8/'Output-Calculation-sheet'!R7*'Output-Calculation-sheet'!R16</f>
        <v>1176.1825024152815</v>
      </c>
      <c r="S30" s="2">
        <f>S8/'Output-Calculation-sheet'!S7*'Output-Calculation-sheet'!S16</f>
        <v>1182.896442910876</v>
      </c>
      <c r="T30" s="2">
        <f>T8/'Output-Calculation-sheet'!T7*'Output-Calculation-sheet'!T16</f>
        <v>353.07088528281997</v>
      </c>
      <c r="U30" s="2">
        <f>U8/'Output-Calculation-sheet'!U7*'Output-Calculation-sheet'!U16</f>
        <v>352.44139123299885</v>
      </c>
      <c r="V30" s="2">
        <f>V8/'Output-Calculation-sheet'!V7*'Output-Calculation-sheet'!V16</f>
        <v>274.29724419647118</v>
      </c>
      <c r="W30" s="2">
        <f>W8/'Output-Calculation-sheet'!W7*'Output-Calculation-sheet'!W16</f>
        <v>166.37716880460209</v>
      </c>
      <c r="X30" s="2">
        <f>X8/'Output-Calculation-sheet'!X7*'Output-Calculation-sheet'!X16</f>
        <v>0</v>
      </c>
      <c r="Y30" s="2">
        <f>Y8/'Output-Calculation-sheet'!Y7*'Output-Calculation-sheet'!Y16</f>
        <v>140.81684377299075</v>
      </c>
      <c r="AA30" s="2">
        <f t="shared" si="1"/>
        <v>47.59592343848275</v>
      </c>
    </row>
    <row r="31" spans="1:27" x14ac:dyDescent="0.25">
      <c r="A31" s="2">
        <v>2032</v>
      </c>
      <c r="B31" s="2">
        <f>B9/'Output-Calculation-sheet'!B8*'Output-Calculation-sheet'!B17</f>
        <v>28148.042621175198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1100.618132245593</v>
      </c>
      <c r="O31" s="2">
        <f>O9/'Output-Calculation-sheet'!O8*'Output-Calculation-sheet'!O17</f>
        <v>0</v>
      </c>
      <c r="P31" s="2">
        <f>P9/'Output-Calculation-sheet'!P8*'Output-Calculation-sheet'!P17</f>
        <v>2750.8134571374903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910.94616308401487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64.490502892423237</v>
      </c>
    </row>
    <row r="32" spans="1:27" x14ac:dyDescent="0.25">
      <c r="A32" s="2">
        <v>2033</v>
      </c>
      <c r="B32" s="2">
        <f>B10/'Output-Calculation-sheet'!B9*'Output-Calculation-sheet'!B18</f>
        <v>23733.023126516251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3715.5574313362044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960.59865389325898</v>
      </c>
      <c r="O32" s="2">
        <f>O10/'Output-Calculation-sheet'!O9*'Output-Calculation-sheet'!O18</f>
        <v>0</v>
      </c>
      <c r="P32" s="2">
        <f>P10/'Output-Calculation-sheet'!P9*'Output-Calculation-sheet'!P18</f>
        <v>3824.1226433327656</v>
      </c>
      <c r="Q32" s="2">
        <f>Q10/'Output-Calculation-sheet'!Q9*'Output-Calculation-sheet'!Q18</f>
        <v>3541.0121238321485</v>
      </c>
      <c r="R32" s="2">
        <f>R10/'Output-Calculation-sheet'!R9*'Output-Calculation-sheet'!R18</f>
        <v>2746.0495650958005</v>
      </c>
      <c r="S32" s="2">
        <f>S10/'Output-Calculation-sheet'!S9*'Output-Calculation-sheet'!S18</f>
        <v>873.86084009753597</v>
      </c>
      <c r="T32" s="2">
        <f>T10/'Output-Calculation-sheet'!T9*'Output-Calculation-sheet'!T18</f>
        <v>801.77274809310211</v>
      </c>
      <c r="U32" s="2">
        <f>U10/'Output-Calculation-sheet'!U9*'Output-Calculation-sheet'!U18</f>
        <v>886.33328701227003</v>
      </c>
      <c r="V32" s="2">
        <f>V10/'Output-Calculation-sheet'!V9*'Output-Calculation-sheet'!V18</f>
        <v>654.17669637333745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378.80279443893431</v>
      </c>
      <c r="AA32" s="2">
        <f t="shared" si="1"/>
        <v>75.449414427225847</v>
      </c>
    </row>
    <row r="33" spans="1:27" x14ac:dyDescent="0.25">
      <c r="A33" s="2">
        <v>2034</v>
      </c>
      <c r="B33" s="2">
        <f>B11/'Output-Calculation-sheet'!B10*'Output-Calculation-sheet'!B19</f>
        <v>17931.643463056746</v>
      </c>
      <c r="C33" s="2">
        <f>C11/'Output-Calculation-sheet'!C10*'Output-Calculation-sheet'!C19</f>
        <v>0</v>
      </c>
      <c r="D33" s="2">
        <f>D11/'Output-Calculation-sheet'!D10*'Output-Calculation-sheet'!D19</f>
        <v>11928.851107738359</v>
      </c>
      <c r="E33" s="2">
        <f>E11/'Output-Calculation-sheet'!E10*'Output-Calculation-sheet'!E19</f>
        <v>14760.615804413317</v>
      </c>
      <c r="F33" s="2">
        <f>F11/'Output-Calculation-sheet'!F10*'Output-Calculation-sheet'!F19</f>
        <v>6770.4975104808364</v>
      </c>
      <c r="G33" s="2">
        <f>G11/'Output-Calculation-sheet'!G10*'Output-Calculation-sheet'!G19</f>
        <v>4060.2715868479777</v>
      </c>
      <c r="H33" s="2">
        <f>H11/'Output-Calculation-sheet'!H10*'Output-Calculation-sheet'!H19</f>
        <v>0</v>
      </c>
      <c r="I33" s="2">
        <f>I11/'Output-Calculation-sheet'!I10*'Output-Calculation-sheet'!I19</f>
        <v>4430.8223491168246</v>
      </c>
      <c r="J33" s="2">
        <f>J11/'Output-Calculation-sheet'!J10*'Output-Calculation-sheet'!J19</f>
        <v>3746.4425819669518</v>
      </c>
      <c r="K33" s="2">
        <f>K11/'Output-Calculation-sheet'!K10*'Output-Calculation-sheet'!K19</f>
        <v>5196.4485570978359</v>
      </c>
      <c r="L33" s="2">
        <f>L11/'Output-Calculation-sheet'!L10*'Output-Calculation-sheet'!L19</f>
        <v>4226.6282700287356</v>
      </c>
      <c r="M33" s="2">
        <f>M11/'Output-Calculation-sheet'!M10*'Output-Calculation-sheet'!M19</f>
        <v>0</v>
      </c>
      <c r="N33" s="2">
        <f>N11/'Output-Calculation-sheet'!N10*'Output-Calculation-sheet'!N19</f>
        <v>802.32063591620056</v>
      </c>
      <c r="O33" s="2">
        <f>O11/'Output-Calculation-sheet'!O10*'Output-Calculation-sheet'!O19</f>
        <v>0</v>
      </c>
      <c r="P33" s="2">
        <f>P11/'Output-Calculation-sheet'!P10*'Output-Calculation-sheet'!P19</f>
        <v>3971.6178753829704</v>
      </c>
      <c r="Q33" s="2">
        <f>Q11/'Output-Calculation-sheet'!Q10*'Output-Calculation-sheet'!Q19</f>
        <v>2531.7523200474739</v>
      </c>
      <c r="R33" s="2">
        <f>R11/'Output-Calculation-sheet'!R10*'Output-Calculation-sheet'!R19</f>
        <v>3753.93866555349</v>
      </c>
      <c r="S33" s="2">
        <f>S11/'Output-Calculation-sheet'!S10*'Output-Calculation-sheet'!S19</f>
        <v>510.03447048613776</v>
      </c>
      <c r="T33" s="2">
        <f>T11/'Output-Calculation-sheet'!T10*'Output-Calculation-sheet'!T19</f>
        <v>1101.3976395069972</v>
      </c>
      <c r="U33" s="2">
        <f>U11/'Output-Calculation-sheet'!U10*'Output-Calculation-sheet'!U19</f>
        <v>1266.8417652878413</v>
      </c>
      <c r="V33" s="2">
        <f>V11/'Output-Calculation-sheet'!V10*'Output-Calculation-sheet'!V19</f>
        <v>863.93704787621573</v>
      </c>
      <c r="W33" s="2">
        <f>W11/'Output-Calculation-sheet'!W10*'Output-Calculation-sheet'!W19</f>
        <v>537.84793560090134</v>
      </c>
      <c r="X33" s="2">
        <f>X11/'Output-Calculation-sheet'!X10*'Output-Calculation-sheet'!X19</f>
        <v>0</v>
      </c>
      <c r="Y33" s="2">
        <f>Y11/'Output-Calculation-sheet'!Y10*'Output-Calculation-sheet'!Y19</f>
        <v>440.40809369685115</v>
      </c>
      <c r="AA33" s="2">
        <f t="shared" si="1"/>
        <v>88.832317680102662</v>
      </c>
    </row>
    <row r="34" spans="1:27" x14ac:dyDescent="0.25">
      <c r="A34" s="2">
        <v>2035</v>
      </c>
      <c r="B34" s="2">
        <f>B12/'Output-Calculation-sheet'!B11*'Output-Calculation-sheet'!B20</f>
        <v>286.26716327333475</v>
      </c>
      <c r="C34" s="2">
        <f>C12/'Output-Calculation-sheet'!C11*'Output-Calculation-sheet'!C20</f>
        <v>0</v>
      </c>
      <c r="D34" s="2">
        <f>D12/'Output-Calculation-sheet'!D11*'Output-Calculation-sheet'!D20</f>
        <v>12750.237310453065</v>
      </c>
      <c r="E34" s="2">
        <f>E12/'Output-Calculation-sheet'!E11*'Output-Calculation-sheet'!E20</f>
        <v>7525.6109807194516</v>
      </c>
      <c r="F34" s="2">
        <f>F12/'Output-Calculation-sheet'!F11*'Output-Calculation-sheet'!F20</f>
        <v>8708.2610726890434</v>
      </c>
      <c r="G34" s="2">
        <f>G12/'Output-Calculation-sheet'!G11*'Output-Calculation-sheet'!G20</f>
        <v>4696.144409558362</v>
      </c>
      <c r="H34" s="2">
        <f>H12/'Output-Calculation-sheet'!H11*'Output-Calculation-sheet'!H20</f>
        <v>0</v>
      </c>
      <c r="I34" s="2">
        <f>I12/'Output-Calculation-sheet'!I11*'Output-Calculation-sheet'!I20</f>
        <v>5112.6685712915523</v>
      </c>
      <c r="J34" s="2">
        <f>J12/'Output-Calculation-sheet'!J11*'Output-Calculation-sheet'!J20</f>
        <v>4381.841424500627</v>
      </c>
      <c r="K34" s="2">
        <f>K12/'Output-Calculation-sheet'!K11*'Output-Calculation-sheet'!K20</f>
        <v>5761.135403103799</v>
      </c>
      <c r="L34" s="2">
        <f>L12/'Output-Calculation-sheet'!L11*'Output-Calculation-sheet'!L20</f>
        <v>4551.6561144160996</v>
      </c>
      <c r="M34" s="2">
        <f>M12/'Output-Calculation-sheet'!M11*'Output-Calculation-sheet'!M20</f>
        <v>0</v>
      </c>
      <c r="N34" s="2">
        <f>N12/'Output-Calculation-sheet'!N11*'Output-Calculation-sheet'!N20</f>
        <v>0.87820792519668944</v>
      </c>
      <c r="O34" s="2">
        <f>O12/'Output-Calculation-sheet'!O11*'Output-Calculation-sheet'!O20</f>
        <v>0</v>
      </c>
      <c r="P34" s="2">
        <f>P12/'Output-Calculation-sheet'!P11*'Output-Calculation-sheet'!P20</f>
        <v>1434.0046464767254</v>
      </c>
      <c r="Q34" s="2">
        <f>Q12/'Output-Calculation-sheet'!Q11*'Output-Calculation-sheet'!Q20</f>
        <v>2232.7853160576628</v>
      </c>
      <c r="R34" s="2">
        <f>R12/'Output-Calculation-sheet'!R11*'Output-Calculation-sheet'!R20</f>
        <v>4524.0365230260331</v>
      </c>
      <c r="S34" s="2">
        <f>S12/'Output-Calculation-sheet'!S11*'Output-Calculation-sheet'!S20</f>
        <v>9.3184481053136032</v>
      </c>
      <c r="T34" s="2">
        <f>T12/'Output-Calculation-sheet'!T11*'Output-Calculation-sheet'!T20</f>
        <v>1413.7427165360525</v>
      </c>
      <c r="U34" s="2">
        <f>U12/'Output-Calculation-sheet'!U11*'Output-Calculation-sheet'!U20</f>
        <v>1292.5038978676012</v>
      </c>
      <c r="V34" s="2">
        <f>V12/'Output-Calculation-sheet'!V11*'Output-Calculation-sheet'!V20</f>
        <v>1184.1016736820056</v>
      </c>
      <c r="W34" s="2">
        <f>W12/'Output-Calculation-sheet'!W11*'Output-Calculation-sheet'!W20</f>
        <v>765.03227317951678</v>
      </c>
      <c r="X34" s="2">
        <f>X12/'Output-Calculation-sheet'!X11*'Output-Calculation-sheet'!X20</f>
        <v>0</v>
      </c>
      <c r="Y34" s="2">
        <f>Y12/'Output-Calculation-sheet'!Y11*'Output-Calculation-sheet'!Y20</f>
        <v>190.46610675342964</v>
      </c>
      <c r="AA34" s="2">
        <f t="shared" si="1"/>
        <v>66.820692259614873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0.1900999394953117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0.19055621530619585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2.7774309201357036E-2</v>
      </c>
      <c r="I45" s="2">
        <f>I12/'Output-Calculation-sheet'!I11*'Output-Calculation-sheet'!I38*0.0114</f>
        <v>0.10315018994127222</v>
      </c>
      <c r="J45" s="2">
        <f>J12/'Output-Calculation-sheet'!J11*'Output-Calculation-sheet'!J38*0.0114</f>
        <v>7.6563389369807097E-2</v>
      </c>
      <c r="K45" s="2">
        <f>K12/'Output-Calculation-sheet'!K11*'Output-Calculation-sheet'!K38*0.0114</f>
        <v>0.12672527197686598</v>
      </c>
      <c r="L45" s="2">
        <f>L12/'Output-Calculation-sheet'!L11*'Output-Calculation-sheet'!L38*0.0114</f>
        <v>8.0612881956195662E-2</v>
      </c>
      <c r="M45" s="2">
        <f>M12/'Output-Calculation-sheet'!M11*'Output-Calculation-sheet'!M38*0.0114</f>
        <v>1.9111427713057377E-2</v>
      </c>
      <c r="N45" s="2">
        <f>N12/'Output-Calculation-sheet'!N11*'Output-Calculation-sheet'!N38*0.0114</f>
        <v>1.8783434047358834E-2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1.7352593730552136E-2</v>
      </c>
      <c r="Q45" s="2">
        <f>Q12/'Output-Calculation-sheet'!Q11*'Output-Calculation-sheet'!Q38*0.0114</f>
        <v>0.13165731267587585</v>
      </c>
      <c r="R45" s="2">
        <f>R12/'Output-Calculation-sheet'!R11*'Output-Calculation-sheet'!R38*0.0114</f>
        <v>6.5281519803647645E-2</v>
      </c>
      <c r="S45" s="2">
        <f>S12/'Output-Calculation-sheet'!S11*'Output-Calculation-sheet'!S38*0.0114</f>
        <v>1.0767312832006395E-2</v>
      </c>
      <c r="T45" s="2">
        <f>T12/'Output-Calculation-sheet'!T11*'Output-Calculation-sheet'!T38*0.0114</f>
        <v>1.8113777337111062E-2</v>
      </c>
      <c r="U45" s="2">
        <f>U12/'Output-Calculation-sheet'!U11*'Output-Calculation-sheet'!U38*0.0114</f>
        <v>2.6254124324722784E-2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6.0696712628807385E-3</v>
      </c>
      <c r="AA45" s="2">
        <f t="shared" si="2"/>
        <v>1.7875187346202654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0.17947074358968468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243.46729932462475</v>
      </c>
      <c r="R54" s="2">
        <f>R10/'Output-Calculation-sheet'!R9*'Output-Calculation-sheet'!R45</f>
        <v>1822.5905030430811</v>
      </c>
      <c r="S54" s="2">
        <f>S10/'Output-Calculation-sheet'!S9*'Output-Calculation-sheet'!S45</f>
        <v>0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22.717297132667575</v>
      </c>
      <c r="AA54" s="2">
        <f t="shared" si="3"/>
        <v>5.9972767759411614</v>
      </c>
    </row>
    <row r="55" spans="1:27" x14ac:dyDescent="0.25">
      <c r="A55" s="2">
        <v>2034</v>
      </c>
      <c r="B55" s="2">
        <f>B11/'Output-Calculation-sheet'!B10*'Output-Calculation-sheet'!B46</f>
        <v>2343.9832118894824</v>
      </c>
      <c r="C55" s="2">
        <f>C11/'Output-Calculation-sheet'!C10*'Output-Calculation-sheet'!C46</f>
        <v>0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799.08424771819989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4923.0949101706501</v>
      </c>
      <c r="L55" s="2">
        <f>L11/'Output-Calculation-sheet'!L10*'Output-Calculation-sheet'!L46</f>
        <v>1820.6371823283375</v>
      </c>
      <c r="M55" s="2">
        <f>M11/'Output-Calculation-sheet'!M10*'Output-Calculation-sheet'!M46</f>
        <v>592.26455373097815</v>
      </c>
      <c r="N55" s="2">
        <f>N11/'Output-Calculation-sheet'!N10*'Output-Calculation-sheet'!N46</f>
        <v>202.26817179442617</v>
      </c>
      <c r="O55" s="2">
        <f>O11/'Output-Calculation-sheet'!O10*'Output-Calculation-sheet'!O46</f>
        <v>0</v>
      </c>
      <c r="P55" s="2">
        <f>P11/'Output-Calculation-sheet'!P10*'Output-Calculation-sheet'!P46</f>
        <v>4399.0614382099147</v>
      </c>
      <c r="Q55" s="2">
        <f>Q11/'Output-Calculation-sheet'!Q10*'Output-Calculation-sheet'!Q46</f>
        <v>942.90738345078375</v>
      </c>
      <c r="R55" s="2">
        <f>R11/'Output-Calculation-sheet'!R10*'Output-Calculation-sheet'!R46</f>
        <v>5453.4592754843998</v>
      </c>
      <c r="S55" s="2">
        <f>S11/'Output-Calculation-sheet'!S10*'Output-Calculation-sheet'!S46</f>
        <v>0</v>
      </c>
      <c r="T55" s="2">
        <f>T11/'Output-Calculation-sheet'!T10*'Output-Calculation-sheet'!T46</f>
        <v>1234.864783415105</v>
      </c>
      <c r="U55" s="2">
        <f>U11/'Output-Calculation-sheet'!U10*'Output-Calculation-sheet'!U46</f>
        <v>2070.5156180606159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56.527931831486221</v>
      </c>
      <c r="Y55" s="2">
        <f>Y11/'Output-Calculation-sheet'!Y10*'Output-Calculation-sheet'!Y46</f>
        <v>393.16300582965437</v>
      </c>
      <c r="AA55" s="2">
        <f t="shared" si="3"/>
        <v>58.854711157542788</v>
      </c>
    </row>
    <row r="56" spans="1:27" x14ac:dyDescent="0.25">
      <c r="A56" s="2">
        <v>2035</v>
      </c>
      <c r="B56" s="2">
        <f>B12/'Output-Calculation-sheet'!B11*'Output-Calculation-sheet'!B47</f>
        <v>683.69276485155956</v>
      </c>
      <c r="C56" s="2">
        <f>C12/'Output-Calculation-sheet'!C11*'Output-Calculation-sheet'!C47</f>
        <v>538.18916870564772</v>
      </c>
      <c r="D56" s="2">
        <f>D12/'Output-Calculation-sheet'!D11*'Output-Calculation-sheet'!D47</f>
        <v>12437.374933668974</v>
      </c>
      <c r="E56" s="2">
        <f>E12/'Output-Calculation-sheet'!E11*'Output-Calculation-sheet'!E47</f>
        <v>15149.77629875867</v>
      </c>
      <c r="F56" s="2">
        <f>F12/'Output-Calculation-sheet'!F11*'Output-Calculation-sheet'!F47</f>
        <v>3949.3358742519408</v>
      </c>
      <c r="G56" s="2">
        <f>G12/'Output-Calculation-sheet'!G11*'Output-Calculation-sheet'!G47</f>
        <v>9748.047275088049</v>
      </c>
      <c r="H56" s="2">
        <f>H12/'Output-Calculation-sheet'!H11*'Output-Calculation-sheet'!H47</f>
        <v>202.21646172917841</v>
      </c>
      <c r="I56" s="2">
        <f>I12/'Output-Calculation-sheet'!I11*'Output-Calculation-sheet'!I47</f>
        <v>4867.9651042460046</v>
      </c>
      <c r="J56" s="2">
        <f>J12/'Output-Calculation-sheet'!J11*'Output-Calculation-sheet'!J47</f>
        <v>4443.810757282663</v>
      </c>
      <c r="K56" s="2">
        <f>K12/'Output-Calculation-sheet'!K11*'Output-Calculation-sheet'!K47</f>
        <v>6334.04034845774</v>
      </c>
      <c r="L56" s="2">
        <f>L12/'Output-Calculation-sheet'!L11*'Output-Calculation-sheet'!L47</f>
        <v>3519.742280148806</v>
      </c>
      <c r="M56" s="2">
        <f>M12/'Output-Calculation-sheet'!M11*'Output-Calculation-sheet'!M47</f>
        <v>140.82104630673857</v>
      </c>
      <c r="N56" s="2">
        <f>N12/'Output-Calculation-sheet'!N11*'Output-Calculation-sheet'!N47</f>
        <v>130.16590260889018</v>
      </c>
      <c r="O56" s="2">
        <f>O12/'Output-Calculation-sheet'!O11*'Output-Calculation-sheet'!O47</f>
        <v>18.450918380687241</v>
      </c>
      <c r="P56" s="2">
        <f>P12/'Output-Calculation-sheet'!P11*'Output-Calculation-sheet'!P47</f>
        <v>1864.6427473619619</v>
      </c>
      <c r="Q56" s="2">
        <f>Q12/'Output-Calculation-sheet'!Q11*'Output-Calculation-sheet'!Q47</f>
        <v>1660.1525172944871</v>
      </c>
      <c r="R56" s="2">
        <f>R12/'Output-Calculation-sheet'!R11*'Output-Calculation-sheet'!R47</f>
        <v>7503.0799405902917</v>
      </c>
      <c r="S56" s="2">
        <f>S12/'Output-Calculation-sheet'!S11*'Output-Calculation-sheet'!S47</f>
        <v>59.50357091371955</v>
      </c>
      <c r="T56" s="2">
        <f>T12/'Output-Calculation-sheet'!T11*'Output-Calculation-sheet'!T47</f>
        <v>2644.505562695776</v>
      </c>
      <c r="U56" s="2">
        <f>U12/'Output-Calculation-sheet'!U11*'Output-Calculation-sheet'!U47</f>
        <v>2523.6201258799319</v>
      </c>
      <c r="V56" s="2">
        <f>V12/'Output-Calculation-sheet'!V11*'Output-Calculation-sheet'!V47</f>
        <v>1761.602596496662</v>
      </c>
      <c r="W56" s="2">
        <f>W12/'Output-Calculation-sheet'!W11*'Output-Calculation-sheet'!W47</f>
        <v>1024.4351955732031</v>
      </c>
      <c r="X56" s="2">
        <f>X12/'Output-Calculation-sheet'!X11*'Output-Calculation-sheet'!X47</f>
        <v>15.816179798831953</v>
      </c>
      <c r="Y56" s="2">
        <f>Y12/'Output-Calculation-sheet'!Y11*'Output-Calculation-sheet'!Y47</f>
        <v>409.61407236048962</v>
      </c>
      <c r="AA56" s="2">
        <f t="shared" si="3"/>
        <v>81.630601643450888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8.5684992547060883</v>
      </c>
      <c r="C63" s="2">
        <f>C8*'Output-Calculation-sheet'!C52/10^9</f>
        <v>4.0373470832117455</v>
      </c>
      <c r="D63" s="2">
        <f>D8*'Output-Calculation-sheet'!D52/10^9</f>
        <v>2.0062339860473348</v>
      </c>
      <c r="E63" s="2">
        <f>E8*'Output-Calculation-sheet'!E52/10^9</f>
        <v>2.2952201131297625</v>
      </c>
      <c r="F63" s="2">
        <f>F8*'Output-Calculation-sheet'!F52/10^9</f>
        <v>1.0728679528363443</v>
      </c>
      <c r="G63" s="2">
        <f>G8*'Output-Calculation-sheet'!G52/10^9</f>
        <v>0.81834685458755074</v>
      </c>
      <c r="H63" s="2">
        <f>H8*'Output-Calculation-sheet'!H52/10^9</f>
        <v>1.113557987439872</v>
      </c>
      <c r="I63" s="2">
        <f>I8*'Output-Calculation-sheet'!I52/10^9</f>
        <v>0.64643963483351385</v>
      </c>
      <c r="J63" s="2">
        <f>J8*'Output-Calculation-sheet'!J52/10^9</f>
        <v>0.9138509025155066</v>
      </c>
      <c r="K63" s="2">
        <f>K8*'Output-Calculation-sheet'!K52/10^9</f>
        <v>0.5998982459629556</v>
      </c>
      <c r="L63" s="2">
        <f>L8*'Output-Calculation-sheet'!L52/10^9</f>
        <v>0.71025494220002183</v>
      </c>
      <c r="M63" s="2">
        <f>M8*'Output-Calculation-sheet'!M52/10^9</f>
        <v>0.81776231941843891</v>
      </c>
      <c r="N63" s="2">
        <f>N8*'Output-Calculation-sheet'!N52/10^9</f>
        <v>0.70715430937313395</v>
      </c>
      <c r="O63" s="2">
        <f>O8*'Output-Calculation-sheet'!O52/10^9</f>
        <v>0.72302254371429753</v>
      </c>
      <c r="P63" s="2">
        <f>P8*'Output-Calculation-sheet'!P52/10^9</f>
        <v>0.61010685109227691</v>
      </c>
      <c r="Q63" s="2">
        <f>Q8*'Output-Calculation-sheet'!Q52/10^9</f>
        <v>0.56909696533606136</v>
      </c>
      <c r="R63" s="2">
        <f>R8*'Output-Calculation-sheet'!R52/10^9</f>
        <v>0.51546895925061098</v>
      </c>
      <c r="S63" s="2">
        <f>S8*'Output-Calculation-sheet'!S52/10^9</f>
        <v>0.4373562393267682</v>
      </c>
      <c r="T63" s="2">
        <f>T8*'Output-Calculation-sheet'!T52/10^9</f>
        <v>0.20936319854420335</v>
      </c>
      <c r="U63" s="2">
        <f>U8*'Output-Calculation-sheet'!U52/10^9</f>
        <v>0.16327182447323563</v>
      </c>
      <c r="V63" s="2">
        <f>V8*'Output-Calculation-sheet'!V52/10^9</f>
        <v>0.27032943792632108</v>
      </c>
      <c r="W63" s="2">
        <f>W8*'Output-Calculation-sheet'!W52/10^9</f>
        <v>0.11344251602002341</v>
      </c>
      <c r="X63" s="2">
        <f>X8*'Output-Calculation-sheet'!X52/10^9</f>
        <v>0.10633375486461594</v>
      </c>
      <c r="Y63" s="2">
        <f>Y8*'Output-Calculation-sheet'!Y52/10^9</f>
        <v>6.5508835987034775E-2</v>
      </c>
      <c r="AA63" s="2">
        <f t="shared" si="4"/>
        <v>28.090734712797708</v>
      </c>
    </row>
    <row r="64" spans="1:27" x14ac:dyDescent="0.25">
      <c r="A64" s="2">
        <v>2032</v>
      </c>
      <c r="B64" s="2">
        <f>B9*'Output-Calculation-sheet'!B53/10^9</f>
        <v>9.4185002713475239</v>
      </c>
      <c r="C64" s="2">
        <f>C9*'Output-Calculation-sheet'!C53/10^9</f>
        <v>4.5274909488956121</v>
      </c>
      <c r="D64" s="2">
        <f>D9*'Output-Calculation-sheet'!D53/10^9</f>
        <v>1.979296864336056</v>
      </c>
      <c r="E64" s="2">
        <f>E9*'Output-Calculation-sheet'!E53/10^9</f>
        <v>2.3110605624399914</v>
      </c>
      <c r="F64" s="2">
        <f>F9*'Output-Calculation-sheet'!F53/10^9</f>
        <v>1.0605066948608703</v>
      </c>
      <c r="G64" s="2">
        <f>G9*'Output-Calculation-sheet'!G53/10^9</f>
        <v>0.79406356313698623</v>
      </c>
      <c r="H64" s="2">
        <f>H9*'Output-Calculation-sheet'!H53/10^9</f>
        <v>1.2800158211110875</v>
      </c>
      <c r="I64" s="2">
        <f>I9*'Output-Calculation-sheet'!I53/10^9</f>
        <v>0.64393108173656377</v>
      </c>
      <c r="J64" s="2">
        <f>J9*'Output-Calculation-sheet'!J53/10^9</f>
        <v>0.86429285814210466</v>
      </c>
      <c r="K64" s="2">
        <f>K9*'Output-Calculation-sheet'!K53/10^9</f>
        <v>0.63804148662790727</v>
      </c>
      <c r="L64" s="2">
        <f>L9*'Output-Calculation-sheet'!L53/10^9</f>
        <v>0.71631072586224054</v>
      </c>
      <c r="M64" s="2">
        <f>M9*'Output-Calculation-sheet'!M53/10^9</f>
        <v>0.92605903507373477</v>
      </c>
      <c r="N64" s="2">
        <f>N9*'Output-Calculation-sheet'!N53/10^9</f>
        <v>0.82748819227527437</v>
      </c>
      <c r="O64" s="2">
        <f>O9*'Output-Calculation-sheet'!O53/10^9</f>
        <v>0.82710536441101967</v>
      </c>
      <c r="P64" s="2">
        <f>P9*'Output-Calculation-sheet'!P53/10^9</f>
        <v>0.68082740193507441</v>
      </c>
      <c r="Q64" s="2">
        <f>Q9*'Output-Calculation-sheet'!Q53/10^9</f>
        <v>0.64578158372194971</v>
      </c>
      <c r="R64" s="2">
        <f>R9*'Output-Calculation-sheet'!R53/10^9</f>
        <v>0.5493788264750703</v>
      </c>
      <c r="S64" s="2">
        <f>S9*'Output-Calculation-sheet'!S53/10^9</f>
        <v>0.50086806676124596</v>
      </c>
      <c r="T64" s="2">
        <f>T9*'Output-Calculation-sheet'!T53/10^9</f>
        <v>0.20536822603530006</v>
      </c>
      <c r="U64" s="2">
        <f>U9*'Output-Calculation-sheet'!U53/10^9</f>
        <v>0.17497263698825685</v>
      </c>
      <c r="V64" s="2">
        <f>V9*'Output-Calculation-sheet'!V53/10^9</f>
        <v>0.25501639381561086</v>
      </c>
      <c r="W64" s="2">
        <f>W9*'Output-Calculation-sheet'!W53/10^9</f>
        <v>0.1086964782850818</v>
      </c>
      <c r="X64" s="2">
        <f>X9*'Output-Calculation-sheet'!X53/10^9</f>
        <v>0.11626301155053766</v>
      </c>
      <c r="Y64" s="2">
        <f>Y9*'Output-Calculation-sheet'!Y53/10^9</f>
        <v>6.9137044319885682E-2</v>
      </c>
      <c r="AA64" s="2">
        <f t="shared" si="4"/>
        <v>30.120473140144988</v>
      </c>
    </row>
    <row r="65" spans="1:27" x14ac:dyDescent="0.25">
      <c r="A65" s="2">
        <v>2033</v>
      </c>
      <c r="B65" s="2">
        <f>B10*'Output-Calculation-sheet'!B54/10^9</f>
        <v>10.171304396468507</v>
      </c>
      <c r="C65" s="2">
        <f>C10*'Output-Calculation-sheet'!C54/10^9</f>
        <v>4.912192083218339</v>
      </c>
      <c r="D65" s="2">
        <f>D10*'Output-Calculation-sheet'!D54/10^9</f>
        <v>1.8629407135074993</v>
      </c>
      <c r="E65" s="2">
        <f>E10*'Output-Calculation-sheet'!E54/10^9</f>
        <v>2.3724796601564373</v>
      </c>
      <c r="F65" s="2">
        <f>F10*'Output-Calculation-sheet'!F54/10^9</f>
        <v>1.0194738181400889</v>
      </c>
      <c r="G65" s="2">
        <f>G10*'Output-Calculation-sheet'!G54/10^9</f>
        <v>0.72581598226493815</v>
      </c>
      <c r="H65" s="2">
        <f>H10*'Output-Calculation-sheet'!H54/10^9</f>
        <v>1.4386263373975083</v>
      </c>
      <c r="I65" s="2">
        <f>I10*'Output-Calculation-sheet'!I54/10^9</f>
        <v>0.63638911919468</v>
      </c>
      <c r="J65" s="2">
        <f>J10*'Output-Calculation-sheet'!J54/10^9</f>
        <v>0.75294844313861575</v>
      </c>
      <c r="K65" s="2">
        <f>K10*'Output-Calculation-sheet'!K54/10^9</f>
        <v>0.7046219331712712</v>
      </c>
      <c r="L65" s="2">
        <f>L10*'Output-Calculation-sheet'!L54/10^9</f>
        <v>0.72664607445107332</v>
      </c>
      <c r="M65" s="2">
        <f>M10*'Output-Calculation-sheet'!M54/10^9</f>
        <v>1.023755106133758</v>
      </c>
      <c r="N65" s="2">
        <f>N10*'Output-Calculation-sheet'!N54/10^9</f>
        <v>0.93914398083151618</v>
      </c>
      <c r="O65" s="2">
        <f>O10*'Output-Calculation-sheet'!O54/10^9</f>
        <v>0.91728162220910681</v>
      </c>
      <c r="P65" s="2">
        <f>P10*'Output-Calculation-sheet'!P54/10^9</f>
        <v>0.76225559671135024</v>
      </c>
      <c r="Q65" s="2">
        <f>Q10*'Output-Calculation-sheet'!Q54/10^9</f>
        <v>0.75062889142867906</v>
      </c>
      <c r="R65" s="2">
        <f>R10*'Output-Calculation-sheet'!R54/10^9</f>
        <v>0.59630027647271888</v>
      </c>
      <c r="S65" s="2">
        <f>S10*'Output-Calculation-sheet'!S54/10^9</f>
        <v>0.55655124349546958</v>
      </c>
      <c r="T65" s="2">
        <f>T10*'Output-Calculation-sheet'!T54/10^9</f>
        <v>0.20193508261851717</v>
      </c>
      <c r="U65" s="2">
        <f>U10*'Output-Calculation-sheet'!U54/10^9</f>
        <v>0.19394349986965109</v>
      </c>
      <c r="V65" s="2">
        <f>V10*'Output-Calculation-sheet'!V54/10^9</f>
        <v>0.22851550863212763</v>
      </c>
      <c r="W65" s="2">
        <f>W10*'Output-Calculation-sheet'!W54/10^9</f>
        <v>9.7661154532516781E-2</v>
      </c>
      <c r="X65" s="2">
        <f>X10*'Output-Calculation-sheet'!X54/10^9</f>
        <v>0.1222980496252024</v>
      </c>
      <c r="Y65" s="2">
        <f>Y10*'Output-Calculation-sheet'!Y54/10^9</f>
        <v>7.5767094715109312E-2</v>
      </c>
      <c r="AA65" s="2">
        <f t="shared" si="4"/>
        <v>31.789475668384679</v>
      </c>
    </row>
    <row r="66" spans="1:27" x14ac:dyDescent="0.25">
      <c r="A66" s="2">
        <v>2034</v>
      </c>
      <c r="B66" s="2">
        <f>B11*'Output-Calculation-sheet'!B55/10^9</f>
        <v>10.831301986572704</v>
      </c>
      <c r="C66" s="2">
        <f>C11*'Output-Calculation-sheet'!C55/10^9</f>
        <v>5.2603665543527702</v>
      </c>
      <c r="D66" s="2">
        <f>D11*'Output-Calculation-sheet'!D55/10^9</f>
        <v>2.115272634434302</v>
      </c>
      <c r="E66" s="2">
        <f>E11*'Output-Calculation-sheet'!E55/10^9</f>
        <v>2.7397000315077302</v>
      </c>
      <c r="F66" s="2">
        <f>F11*'Output-Calculation-sheet'!F55/10^9</f>
        <v>1.0782833183442357</v>
      </c>
      <c r="G66" s="2">
        <f>G11*'Output-Calculation-sheet'!G55/10^9</f>
        <v>0.78656010487590033</v>
      </c>
      <c r="H66" s="2">
        <f>H11*'Output-Calculation-sheet'!H55/10^9</f>
        <v>1.5812768123492169</v>
      </c>
      <c r="I66" s="2">
        <f>I11*'Output-Calculation-sheet'!I55/10^9</f>
        <v>0.73120131635178798</v>
      </c>
      <c r="J66" s="2">
        <f>J11*'Output-Calculation-sheet'!J55/10^9</f>
        <v>0.73617809434128156</v>
      </c>
      <c r="K66" s="2">
        <f>K11*'Output-Calculation-sheet'!K55/10^9</f>
        <v>0.83825857008241578</v>
      </c>
      <c r="L66" s="2">
        <f>L11*'Output-Calculation-sheet'!L55/10^9</f>
        <v>0.81266400035118813</v>
      </c>
      <c r="M66" s="2">
        <f>M11*'Output-Calculation-sheet'!M55/10^9</f>
        <v>1.1086716322740806</v>
      </c>
      <c r="N66" s="2">
        <f>N11*'Output-Calculation-sheet'!N55/10^9</f>
        <v>1.0509229583215707</v>
      </c>
      <c r="O66" s="2">
        <f>O11*'Output-Calculation-sheet'!O55/10^9</f>
        <v>0.99971998946326668</v>
      </c>
      <c r="P66" s="2">
        <f>P11*'Output-Calculation-sheet'!P55/10^9</f>
        <v>0.86895190718698223</v>
      </c>
      <c r="Q66" s="2">
        <f>Q11*'Output-Calculation-sheet'!Q55/10^9</f>
        <v>0.87496960750102071</v>
      </c>
      <c r="R66" s="2">
        <f>R11*'Output-Calculation-sheet'!R55/10^9</f>
        <v>0.6672791360728354</v>
      </c>
      <c r="S66" s="2">
        <f>S11*'Output-Calculation-sheet'!S55/10^9</f>
        <v>0.61034892405380681</v>
      </c>
      <c r="T66" s="2">
        <f>T11*'Output-Calculation-sheet'!T55/10^9</f>
        <v>0.20908082923727472</v>
      </c>
      <c r="U66" s="2">
        <f>U11*'Output-Calculation-sheet'!U55/10^9</f>
        <v>0.22755340493073192</v>
      </c>
      <c r="V66" s="2">
        <f>V11*'Output-Calculation-sheet'!V55/10^9</f>
        <v>0.19758669469175688</v>
      </c>
      <c r="W66" s="2">
        <f>W11*'Output-Calculation-sheet'!W55/10^9</f>
        <v>9.6804378079578687E-2</v>
      </c>
      <c r="X66" s="2">
        <f>X11*'Output-Calculation-sheet'!X55/10^9</f>
        <v>0.12682666688074698</v>
      </c>
      <c r="Y66" s="2">
        <f>Y11*'Output-Calculation-sheet'!Y55/10^9</f>
        <v>9.2524989034978036E-2</v>
      </c>
      <c r="AA66" s="2">
        <f t="shared" si="4"/>
        <v>34.642304541292162</v>
      </c>
    </row>
    <row r="67" spans="1:27" x14ac:dyDescent="0.25">
      <c r="A67" s="2">
        <v>2035</v>
      </c>
      <c r="B67" s="2">
        <f>B12*'Output-Calculation-sheet'!B56/10^9</f>
        <v>11.797663033587868</v>
      </c>
      <c r="C67" s="2">
        <f>C12*'Output-Calculation-sheet'!C56/10^9</f>
        <v>5.5185811040517763</v>
      </c>
      <c r="D67" s="2">
        <f>D12*'Output-Calculation-sheet'!D56/10^9</f>
        <v>2.7073356484753281</v>
      </c>
      <c r="E67" s="2">
        <f>E12*'Output-Calculation-sheet'!E56/10^9</f>
        <v>3.6371750160177219</v>
      </c>
      <c r="F67" s="2">
        <f>F12*'Output-Calculation-sheet'!F56/10^9</f>
        <v>1.4536030013380388</v>
      </c>
      <c r="G67" s="2">
        <f>G12*'Output-Calculation-sheet'!G56/10^9</f>
        <v>1.070965144693903</v>
      </c>
      <c r="H67" s="2">
        <f>H12*'Output-Calculation-sheet'!H56/10^9</f>
        <v>1.7374827220474887</v>
      </c>
      <c r="I67" s="2">
        <f>I12*'Output-Calculation-sheet'!I56/10^9</f>
        <v>0.98136739551452079</v>
      </c>
      <c r="J67" s="2">
        <f>J12*'Output-Calculation-sheet'!J56/10^9</f>
        <v>0.89860720842791486</v>
      </c>
      <c r="K67" s="2">
        <f>K12*'Output-Calculation-sheet'!K56/10^9</f>
        <v>1.076334987656284</v>
      </c>
      <c r="L67" s="2">
        <f>L12*'Output-Calculation-sheet'!L56/10^9</f>
        <v>1.0031457333770977</v>
      </c>
      <c r="M67" s="2">
        <f>M12*'Output-Calculation-sheet'!M56/10^9</f>
        <v>1.2049414021931231</v>
      </c>
      <c r="N67" s="2">
        <f>N12*'Output-Calculation-sheet'!N56/10^9</f>
        <v>1.1750518817689128</v>
      </c>
      <c r="O67" s="2">
        <f>O12*'Output-Calculation-sheet'!O56/10^9</f>
        <v>1.0717282802872479</v>
      </c>
      <c r="P67" s="2">
        <f>P12*'Output-Calculation-sheet'!P56/10^9</f>
        <v>1.0404646790785028</v>
      </c>
      <c r="Q67" s="2">
        <f>Q12*'Output-Calculation-sheet'!Q56/10^9</f>
        <v>1.0307990930988837</v>
      </c>
      <c r="R67" s="2">
        <f>R12*'Output-Calculation-sheet'!R56/10^9</f>
        <v>0.82871346529137413</v>
      </c>
      <c r="S67" s="2">
        <f>S12*'Output-Calculation-sheet'!S56/10^9</f>
        <v>0.67437392329398926</v>
      </c>
      <c r="T67" s="2">
        <f>T12*'Output-Calculation-sheet'!T56/10^9</f>
        <v>0.25789250436417072</v>
      </c>
      <c r="U67" s="2">
        <f>U12*'Output-Calculation-sheet'!U56/10^9</f>
        <v>0.278794894534653</v>
      </c>
      <c r="V67" s="2">
        <f>V12*'Output-Calculation-sheet'!V56/10^9</f>
        <v>0.19889198581455989</v>
      </c>
      <c r="W67" s="2">
        <f>W12*'Output-Calculation-sheet'!W56/10^9</f>
        <v>0.13500750718175789</v>
      </c>
      <c r="X67" s="2">
        <f>X12*'Output-Calculation-sheet'!X56/10^9</f>
        <v>0.12922100228592109</v>
      </c>
      <c r="Y67" s="2">
        <f>Y12*'Output-Calculation-sheet'!Y56/10^9</f>
        <v>0.12014785273999516</v>
      </c>
      <c r="AA67" s="2">
        <f t="shared" si="4"/>
        <v>40.028289467121049</v>
      </c>
    </row>
    <row r="68" spans="1:27" x14ac:dyDescent="0.25">
      <c r="B68" s="2">
        <f>SUM(B60:B67)</f>
        <v>50.787268942682687</v>
      </c>
      <c r="C68" s="2">
        <f t="shared" ref="C68:Y68" si="5">SUM(C60:C67)</f>
        <v>24.255977773730244</v>
      </c>
      <c r="D68" s="2">
        <f t="shared" si="5"/>
        <v>10.67107984680052</v>
      </c>
      <c r="E68" s="2">
        <f t="shared" si="5"/>
        <v>13.355635383251643</v>
      </c>
      <c r="F68" s="2">
        <f t="shared" si="5"/>
        <v>5.6847347855195771</v>
      </c>
      <c r="G68" s="2">
        <f t="shared" si="5"/>
        <v>4.1957516495592788</v>
      </c>
      <c r="H68" s="2">
        <f t="shared" si="5"/>
        <v>7.1509596803451734</v>
      </c>
      <c r="I68" s="2">
        <f t="shared" si="5"/>
        <v>3.6393285476310666</v>
      </c>
      <c r="J68" s="2">
        <f t="shared" si="5"/>
        <v>4.1658775065654234</v>
      </c>
      <c r="K68" s="2">
        <f t="shared" si="5"/>
        <v>3.857155223500834</v>
      </c>
      <c r="L68" s="2">
        <f t="shared" si="5"/>
        <v>3.9690214762416218</v>
      </c>
      <c r="M68" s="2">
        <f t="shared" si="5"/>
        <v>5.0811894950931356</v>
      </c>
      <c r="N68" s="2">
        <f t="shared" si="5"/>
        <v>4.6997613225704082</v>
      </c>
      <c r="O68" s="2">
        <f t="shared" si="5"/>
        <v>4.5388578000849389</v>
      </c>
      <c r="P68" s="2">
        <f t="shared" si="5"/>
        <v>3.9626064360041866</v>
      </c>
      <c r="Q68" s="2">
        <f t="shared" si="5"/>
        <v>3.8712761410865948</v>
      </c>
      <c r="R68" s="2">
        <f t="shared" si="5"/>
        <v>3.1571406635626094</v>
      </c>
      <c r="S68" s="2">
        <f t="shared" si="5"/>
        <v>2.7794983969312801</v>
      </c>
      <c r="T68" s="2">
        <f t="shared" si="5"/>
        <v>1.0836398407994661</v>
      </c>
      <c r="U68" s="2">
        <f t="shared" si="5"/>
        <v>1.0385362607965285</v>
      </c>
      <c r="V68" s="2">
        <f t="shared" si="5"/>
        <v>1.1503400208803765</v>
      </c>
      <c r="W68" s="2">
        <f t="shared" si="5"/>
        <v>0.55161203409895854</v>
      </c>
      <c r="X68" s="2">
        <f t="shared" si="5"/>
        <v>0.60094248520702398</v>
      </c>
      <c r="Y68" s="2">
        <f t="shared" si="5"/>
        <v>0.42308581679700297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65.739776812510257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6.5739776812510253E-2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648.90262556181312</v>
      </c>
      <c r="Q76" s="2">
        <f>Q10/'Output-Calculation-sheet'!Q9*'Output-Calculation-sheet'!Q63</f>
        <v>76.965631792652147</v>
      </c>
      <c r="R76" s="2">
        <f>R10/'Output-Calculation-sheet'!R9*'Output-Calculation-sheet'!R63</f>
        <v>493.0379708768674</v>
      </c>
      <c r="S76" s="2">
        <f>S10/'Output-Calculation-sheet'!S9*'Output-Calculation-sheet'!S63</f>
        <v>0</v>
      </c>
      <c r="T76" s="2">
        <f>T10/'Output-Calculation-sheet'!T9*'Output-Calculation-sheet'!T63</f>
        <v>32.447907565088776</v>
      </c>
      <c r="U76" s="2">
        <f>U10/'Output-Calculation-sheet'!U9*'Output-Calculation-sheet'!U63</f>
        <v>175.43769502217935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8.3212845415957748</v>
      </c>
      <c r="AA76" s="2">
        <f t="shared" si="6"/>
        <v>1.5713382642863192</v>
      </c>
    </row>
    <row r="77" spans="1:27" x14ac:dyDescent="0.25">
      <c r="A77" s="2">
        <v>2034</v>
      </c>
      <c r="B77" s="2">
        <f>B11/'Output-Calculation-sheet'!B10*'Output-Calculation-sheet'!B64</f>
        <v>706.96096326061388</v>
      </c>
      <c r="C77" s="2">
        <f>C11/'Output-Calculation-sheet'!C10*'Output-Calculation-sheet'!C64</f>
        <v>0</v>
      </c>
      <c r="D77" s="2">
        <f>D11/'Output-Calculation-sheet'!D10*'Output-Calculation-sheet'!D64</f>
        <v>2379.6181323061755</v>
      </c>
      <c r="E77" s="2">
        <f>E11/'Output-Calculation-sheet'!E10*'Output-Calculation-sheet'!E64</f>
        <v>2979.2783777828695</v>
      </c>
      <c r="F77" s="2">
        <f>F11/'Output-Calculation-sheet'!F10*'Output-Calculation-sheet'!F64</f>
        <v>212.90986267536138</v>
      </c>
      <c r="G77" s="2">
        <f>G11/'Output-Calculation-sheet'!G10*'Output-Calculation-sheet'!G64</f>
        <v>1256.5552844477115</v>
      </c>
      <c r="H77" s="2">
        <f>H11/'Output-Calculation-sheet'!H10*'Output-Calculation-sheet'!H64</f>
        <v>195.65235340702532</v>
      </c>
      <c r="I77" s="2">
        <f>I11/'Output-Calculation-sheet'!I10*'Output-Calculation-sheet'!I64</f>
        <v>743.39499953410564</v>
      </c>
      <c r="J77" s="2">
        <f>J11/'Output-Calculation-sheet'!J10*'Output-Calculation-sheet'!J64</f>
        <v>520.5203064080298</v>
      </c>
      <c r="K77" s="2">
        <f>K11/'Output-Calculation-sheet'!K10*'Output-Calculation-sheet'!K64</f>
        <v>1135.5161120188275</v>
      </c>
      <c r="L77" s="2">
        <f>L11/'Output-Calculation-sheet'!L10*'Output-Calculation-sheet'!L64</f>
        <v>470.16008692510815</v>
      </c>
      <c r="M77" s="2">
        <f>M11/'Output-Calculation-sheet'!M10*'Output-Calculation-sheet'!M64</f>
        <v>140.91183398263613</v>
      </c>
      <c r="N77" s="2">
        <f>N11/'Output-Calculation-sheet'!N10*'Output-Calculation-sheet'!N64</f>
        <v>46.60351320054324</v>
      </c>
      <c r="O77" s="2">
        <f>O11/'Output-Calculation-sheet'!O10*'Output-Calculation-sheet'!O64</f>
        <v>0</v>
      </c>
      <c r="P77" s="2">
        <f>P11/'Output-Calculation-sheet'!P10*'Output-Calculation-sheet'!P64</f>
        <v>959.60589881366354</v>
      </c>
      <c r="Q77" s="2">
        <f>Q11/'Output-Calculation-sheet'!Q10*'Output-Calculation-sheet'!Q64</f>
        <v>231.64812884532992</v>
      </c>
      <c r="R77" s="2">
        <f>R11/'Output-Calculation-sheet'!R10*'Output-Calculation-sheet'!R64</f>
        <v>1192.9351609525297</v>
      </c>
      <c r="S77" s="2">
        <f>S11/'Output-Calculation-sheet'!S10*'Output-Calculation-sheet'!S64</f>
        <v>0</v>
      </c>
      <c r="T77" s="2">
        <f>T11/'Output-Calculation-sheet'!T10*'Output-Calculation-sheet'!T64</f>
        <v>330.83556238821262</v>
      </c>
      <c r="U77" s="2">
        <f>U11/'Output-Calculation-sheet'!U10*'Output-Calculation-sheet'!U64</f>
        <v>438.56861584954487</v>
      </c>
      <c r="V77" s="2">
        <f>V11/'Output-Calculation-sheet'!V10*'Output-Calculation-sheet'!V64</f>
        <v>171.30828085179374</v>
      </c>
      <c r="W77" s="2">
        <f>W11/'Output-Calculation-sheet'!W10*'Output-Calculation-sheet'!W64</f>
        <v>37.819218469190588</v>
      </c>
      <c r="X77" s="2">
        <f>X11/'Output-Calculation-sheet'!X10*'Output-Calculation-sheet'!X64</f>
        <v>14.04736340137991</v>
      </c>
      <c r="Y77" s="2">
        <f>Y11/'Output-Calculation-sheet'!Y10*'Output-Calculation-sheet'!Y64</f>
        <v>79.178272833497331</v>
      </c>
      <c r="AA77" s="2">
        <f t="shared" si="6"/>
        <v>14.244028328354151</v>
      </c>
    </row>
    <row r="78" spans="1:27" x14ac:dyDescent="0.25">
      <c r="A78" s="2">
        <v>2035</v>
      </c>
      <c r="B78" s="2">
        <f>B12/'Output-Calculation-sheet'!B11*'Output-Calculation-sheet'!B65</f>
        <v>131.50246691754631</v>
      </c>
      <c r="C78" s="2">
        <f>C12/'Output-Calculation-sheet'!C11*'Output-Calculation-sheet'!C65</f>
        <v>95.987621147971993</v>
      </c>
      <c r="D78" s="2">
        <f>D12/'Output-Calculation-sheet'!D11*'Output-Calculation-sheet'!D65</f>
        <v>2766.7901036207013</v>
      </c>
      <c r="E78" s="2">
        <f>E12/'Output-Calculation-sheet'!E11*'Output-Calculation-sheet'!E65</f>
        <v>2473.2469482804313</v>
      </c>
      <c r="F78" s="2">
        <f>F12/'Output-Calculation-sheet'!F11*'Output-Calculation-sheet'!F65</f>
        <v>1113.5199805380857</v>
      </c>
      <c r="G78" s="2">
        <f>G12/'Output-Calculation-sheet'!G11*'Output-Calculation-sheet'!G65</f>
        <v>2142.427640901627</v>
      </c>
      <c r="H78" s="2">
        <f>H12/'Output-Calculation-sheet'!H11*'Output-Calculation-sheet'!H65</f>
        <v>37.641497996575978</v>
      </c>
      <c r="I78" s="2">
        <f>I12/'Output-Calculation-sheet'!I11*'Output-Calculation-sheet'!I65</f>
        <v>1245.7534397699062</v>
      </c>
      <c r="J78" s="2">
        <f>J12/'Output-Calculation-sheet'!J11*'Output-Calculation-sheet'!J65</f>
        <v>1119.3589912821753</v>
      </c>
      <c r="K78" s="2">
        <f>K12/'Output-Calculation-sheet'!K11*'Output-Calculation-sheet'!K65</f>
        <v>1412.5510254664862</v>
      </c>
      <c r="L78" s="2">
        <f>L12/'Output-Calculation-sheet'!L11*'Output-Calculation-sheet'!L65</f>
        <v>837.2885269602001</v>
      </c>
      <c r="M78" s="2">
        <f>M12/'Output-Calculation-sheet'!M11*'Output-Calculation-sheet'!M65</f>
        <v>25.792045207490151</v>
      </c>
      <c r="N78" s="2">
        <f>N12/'Output-Calculation-sheet'!N11*'Output-Calculation-sheet'!N65</f>
        <v>22.077125684259737</v>
      </c>
      <c r="O78" s="2">
        <f>O12/'Output-Calculation-sheet'!O11*'Output-Calculation-sheet'!O65</f>
        <v>4.3959313041987347</v>
      </c>
      <c r="P78" s="2">
        <f>P12/'Output-Calculation-sheet'!P11*'Output-Calculation-sheet'!P65</f>
        <v>371.43074664512363</v>
      </c>
      <c r="Q78" s="2">
        <f>Q12/'Output-Calculation-sheet'!Q11*'Output-Calculation-sheet'!Q65</f>
        <v>353.67167422999449</v>
      </c>
      <c r="R78" s="2">
        <f>R12/'Output-Calculation-sheet'!R11*'Output-Calculation-sheet'!R65</f>
        <v>1620.2171725249912</v>
      </c>
      <c r="S78" s="2">
        <f>S12/'Output-Calculation-sheet'!S11*'Output-Calculation-sheet'!S65</f>
        <v>9.8247007086430269</v>
      </c>
      <c r="T78" s="2">
        <f>T12/'Output-Calculation-sheet'!T11*'Output-Calculation-sheet'!T65</f>
        <v>581.21020584749147</v>
      </c>
      <c r="U78" s="2">
        <f>U12/'Output-Calculation-sheet'!U11*'Output-Calculation-sheet'!U65</f>
        <v>495.58620811496581</v>
      </c>
      <c r="V78" s="2">
        <f>V12/'Output-Calculation-sheet'!V11*'Output-Calculation-sheet'!V65</f>
        <v>312.84996628339286</v>
      </c>
      <c r="W78" s="2">
        <f>W12/'Output-Calculation-sheet'!W11*'Output-Calculation-sheet'!W65</f>
        <v>225.150619470668</v>
      </c>
      <c r="X78" s="2">
        <f>X12/'Output-Calculation-sheet'!X11*'Output-Calculation-sheet'!X65</f>
        <v>3.2930757613707553</v>
      </c>
      <c r="Y78" s="2">
        <f>Y12/'Output-Calculation-sheet'!Y11*'Output-Calculation-sheet'!Y65</f>
        <v>65.927455936727981</v>
      </c>
      <c r="AA78" s="2">
        <f t="shared" si="6"/>
        <v>17.467495170601026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33.350866578124858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175.27304021517719</v>
      </c>
      <c r="E89" s="2">
        <f>E12/'Output-Calculation-sheet'!E11*'Output-Calculation-sheet'!E74</f>
        <v>122.58002154199734</v>
      </c>
      <c r="F89" s="2">
        <f>F12/'Output-Calculation-sheet'!F11*'Output-Calculation-sheet'!F74</f>
        <v>73.590109458110703</v>
      </c>
      <c r="G89" s="2">
        <f>G12/'Output-Calculation-sheet'!G11*'Output-Calculation-sheet'!G74</f>
        <v>65.389378006266583</v>
      </c>
      <c r="H89" s="2">
        <f>H12/'Output-Calculation-sheet'!H11*'Output-Calculation-sheet'!H74</f>
        <v>9.74537164959896</v>
      </c>
      <c r="I89" s="2">
        <f>I12/'Output-Calculation-sheet'!I11*'Output-Calculation-sheet'!I74</f>
        <v>61.075770359963805</v>
      </c>
      <c r="J89" s="2">
        <f>J12/'Output-Calculation-sheet'!J11*'Output-Calculation-sheet'!J74</f>
        <v>35.819129529734312</v>
      </c>
      <c r="K89" s="2">
        <f>K12/'Output-Calculation-sheet'!K11*'Output-Calculation-sheet'!K74</f>
        <v>71.144012337889677</v>
      </c>
      <c r="L89" s="2">
        <f>L12/'Output-Calculation-sheet'!L11*'Output-Calculation-sheet'!L74</f>
        <v>47.731311684589535</v>
      </c>
      <c r="M89" s="2">
        <f>M12/'Output-Calculation-sheet'!M11*'Output-Calculation-sheet'!M74</f>
        <v>8.382205137305867</v>
      </c>
      <c r="N89" s="2">
        <f>N12/'Output-Calculation-sheet'!N11*'Output-Calculation-sheet'!N74</f>
        <v>6.5906786131083628</v>
      </c>
      <c r="O89" s="2">
        <f>O12/'Output-Calculation-sheet'!O11*'Output-Calculation-sheet'!O74</f>
        <v>3.0751530634478734</v>
      </c>
      <c r="P89" s="2">
        <f>P12/'Output-Calculation-sheet'!P11*'Output-Calculation-sheet'!P74</f>
        <v>7.6107867239263749</v>
      </c>
      <c r="Q89" s="2">
        <f>Q12/'Output-Calculation-sheet'!Q11*'Output-Calculation-sheet'!Q74</f>
        <v>77.954987768610692</v>
      </c>
      <c r="R89" s="2">
        <f>R12/'Output-Calculation-sheet'!R11*'Output-Calculation-sheet'!R74</f>
        <v>35.790306909894539</v>
      </c>
      <c r="S89" s="2">
        <f>S12/'Output-Calculation-sheet'!S11*'Output-Calculation-sheet'!S74</f>
        <v>2.8335033768437881</v>
      </c>
      <c r="T89" s="2">
        <f>T12/'Output-Calculation-sheet'!T11*'Output-Calculation-sheet'!T74</f>
        <v>8.4742817951396781</v>
      </c>
      <c r="U89" s="2">
        <f>U12/'Output-Calculation-sheet'!U11*'Output-Calculation-sheet'!U74</f>
        <v>15.660354860360959</v>
      </c>
      <c r="V89" s="2">
        <f>V12/'Output-Calculation-sheet'!V11*'Output-Calculation-sheet'!V74</f>
        <v>2.1309708828588652</v>
      </c>
      <c r="W89" s="2">
        <f>W12/'Output-Calculation-sheet'!W11*'Output-Calculation-sheet'!W74</f>
        <v>5.5358251336888795</v>
      </c>
      <c r="X89" s="2">
        <f>X12/'Output-Calculation-sheet'!X11*'Output-Calculation-sheet'!X74</f>
        <v>0.36781813485655707</v>
      </c>
      <c r="Y89" s="2">
        <f>Y12/'Output-Calculation-sheet'!Y11*'Output-Calculation-sheet'!Y74</f>
        <v>3.9044668942507679</v>
      </c>
      <c r="AA89" s="2">
        <f t="shared" si="7"/>
        <v>0.88192489725435841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14218722381.515171</v>
      </c>
      <c r="C96" s="2">
        <f>C8/'Output-Calculation-sheet'!C7*'Output-Calculation-sheet'!C79</f>
        <v>4810267704.1536064</v>
      </c>
      <c r="D96" s="2">
        <f>D8/'Output-Calculation-sheet'!D7*'Output-Calculation-sheet'!D79</f>
        <v>5021577156.0195723</v>
      </c>
      <c r="E96" s="2">
        <f>E8/'Output-Calculation-sheet'!E7*'Output-Calculation-sheet'!E79</f>
        <v>8927950467.0762196</v>
      </c>
      <c r="F96" s="2">
        <f>F8/'Output-Calculation-sheet'!F7*'Output-Calculation-sheet'!F79</f>
        <v>3695189884.0894451</v>
      </c>
      <c r="G96" s="2">
        <f>G8/'Output-Calculation-sheet'!G7*'Output-Calculation-sheet'!G79</f>
        <v>2878255354.7299824</v>
      </c>
      <c r="H96" s="2">
        <f>H8/'Output-Calculation-sheet'!H7*'Output-Calculation-sheet'!H79</f>
        <v>2463627551.2400761</v>
      </c>
      <c r="I96" s="2">
        <f>I8/'Output-Calculation-sheet'!I7*'Output-Calculation-sheet'!I79</f>
        <v>2005005881.6687701</v>
      </c>
      <c r="J96" s="2">
        <f>J8/'Output-Calculation-sheet'!J7*'Output-Calculation-sheet'!J79</f>
        <v>1355832950.5446026</v>
      </c>
      <c r="K96" s="2">
        <f>K8/'Output-Calculation-sheet'!K7*'Output-Calculation-sheet'!K79</f>
        <v>1939795370.764668</v>
      </c>
      <c r="L96" s="2">
        <f>L8/'Output-Calculation-sheet'!L7*'Output-Calculation-sheet'!L79</f>
        <v>1368721221.2853234</v>
      </c>
      <c r="M96" s="2">
        <f>M8/'Output-Calculation-sheet'!M7*'Output-Calculation-sheet'!M79</f>
        <v>1839048163.7439487</v>
      </c>
      <c r="N96" s="2">
        <f>N8/'Output-Calculation-sheet'!N7*'Output-Calculation-sheet'!N79</f>
        <v>1368396309.7974141</v>
      </c>
      <c r="O96" s="2">
        <f>O8/'Output-Calculation-sheet'!O7*'Output-Calculation-sheet'!O79</f>
        <v>691769995.18150771</v>
      </c>
      <c r="P96" s="2">
        <f>P8/'Output-Calculation-sheet'!P7*'Output-Calculation-sheet'!P79</f>
        <v>2313840558.6735649</v>
      </c>
      <c r="Q96" s="2">
        <f>Q8/'Output-Calculation-sheet'!Q7*'Output-Calculation-sheet'!Q79</f>
        <v>1078346858.0991168</v>
      </c>
      <c r="R96" s="2">
        <f>R8/'Output-Calculation-sheet'!R7*'Output-Calculation-sheet'!R79</f>
        <v>1345368183.2489474</v>
      </c>
      <c r="S96" s="2">
        <f>S8/'Output-Calculation-sheet'!S7*'Output-Calculation-sheet'!S79</f>
        <v>783922641.68688405</v>
      </c>
      <c r="T96" s="2">
        <f>T8/'Output-Calculation-sheet'!T7*'Output-Calculation-sheet'!T79</f>
        <v>598733640.58403862</v>
      </c>
      <c r="U96" s="2">
        <f>U8/'Output-Calculation-sheet'!U7*'Output-Calculation-sheet'!U79</f>
        <v>376109813.72157913</v>
      </c>
      <c r="V96" s="2">
        <f>V8/'Output-Calculation-sheet'!V7*'Output-Calculation-sheet'!V79</f>
        <v>195144507.71434674</v>
      </c>
      <c r="W96" s="2">
        <f>W8/'Output-Calculation-sheet'!W7*'Output-Calculation-sheet'!W79</f>
        <v>576640944.14092112</v>
      </c>
      <c r="X96" s="2">
        <f>X8/'Output-Calculation-sheet'!X7*'Output-Calculation-sheet'!X79</f>
        <v>202671850.15807623</v>
      </c>
      <c r="Y96" s="2">
        <f>Y8/'Output-Calculation-sheet'!Y7*'Output-Calculation-sheet'!Y79</f>
        <v>316976009.6590609</v>
      </c>
      <c r="AA96" s="2">
        <f t="shared" si="8"/>
        <v>60.371915399496849</v>
      </c>
    </row>
    <row r="97" spans="1:27" x14ac:dyDescent="0.25">
      <c r="A97" s="2">
        <v>2032</v>
      </c>
      <c r="B97" s="2">
        <f>B9/'Output-Calculation-sheet'!B8*'Output-Calculation-sheet'!B80</f>
        <v>20372328657.687489</v>
      </c>
      <c r="C97" s="2">
        <f>C9/'Output-Calculation-sheet'!C8*'Output-Calculation-sheet'!C80</f>
        <v>6938937260.617878</v>
      </c>
      <c r="D97" s="2">
        <f>D9/'Output-Calculation-sheet'!D8*'Output-Calculation-sheet'!D80</f>
        <v>6913940805.763813</v>
      </c>
      <c r="E97" s="2">
        <f>E9/'Output-Calculation-sheet'!E8*'Output-Calculation-sheet'!E80</f>
        <v>12644582202.782034</v>
      </c>
      <c r="F97" s="2">
        <f>F9/'Output-Calculation-sheet'!F8*'Output-Calculation-sheet'!F80</f>
        <v>5223476075.2534294</v>
      </c>
      <c r="G97" s="2">
        <f>G9/'Output-Calculation-sheet'!G8*'Output-Calculation-sheet'!G80</f>
        <v>3953893548.5478106</v>
      </c>
      <c r="H97" s="2">
        <f>H9/'Output-Calculation-sheet'!H8*'Output-Calculation-sheet'!H80</f>
        <v>3478630975.9390993</v>
      </c>
      <c r="I97" s="2">
        <f>I9/'Output-Calculation-sheet'!I8*'Output-Calculation-sheet'!I80</f>
        <v>2861487462.806365</v>
      </c>
      <c r="J97" s="2">
        <f>J9/'Output-Calculation-sheet'!J8*'Output-Calculation-sheet'!J80</f>
        <v>1881158657.9513252</v>
      </c>
      <c r="K97" s="2">
        <f>K9/'Output-Calculation-sheet'!K8*'Output-Calculation-sheet'!K80</f>
        <v>2712088521.8581023</v>
      </c>
      <c r="L97" s="2">
        <f>L9/'Output-Calculation-sheet'!L8*'Output-Calculation-sheet'!L80</f>
        <v>1973956914.1407163</v>
      </c>
      <c r="M97" s="2">
        <f>M9/'Output-Calculation-sheet'!M8*'Output-Calculation-sheet'!M80</f>
        <v>2604419881.879961</v>
      </c>
      <c r="N97" s="2">
        <f>N9/'Output-Calculation-sheet'!N8*'Output-Calculation-sheet'!N80</f>
        <v>1902873300.0806706</v>
      </c>
      <c r="O97" s="2">
        <f>O9/'Output-Calculation-sheet'!O8*'Output-Calculation-sheet'!O80</f>
        <v>984420727.71656704</v>
      </c>
      <c r="P97" s="2">
        <f>P9/'Output-Calculation-sheet'!P8*'Output-Calculation-sheet'!P80</f>
        <v>3220860408.6265531</v>
      </c>
      <c r="Q97" s="2">
        <f>Q9/'Output-Calculation-sheet'!Q8*'Output-Calculation-sheet'!Q80</f>
        <v>1506592408.7355101</v>
      </c>
      <c r="R97" s="2">
        <f>R9/'Output-Calculation-sheet'!R8*'Output-Calculation-sheet'!R80</f>
        <v>1903579247.7308955</v>
      </c>
      <c r="S97" s="2">
        <f>S9/'Output-Calculation-sheet'!S8*'Output-Calculation-sheet'!S80</f>
        <v>1104829426.6825998</v>
      </c>
      <c r="T97" s="2">
        <f>T9/'Output-Calculation-sheet'!T8*'Output-Calculation-sheet'!T80</f>
        <v>831971564.92689073</v>
      </c>
      <c r="U97" s="2">
        <f>U9/'Output-Calculation-sheet'!U8*'Output-Calculation-sheet'!U80</f>
        <v>531874252.61162776</v>
      </c>
      <c r="V97" s="2">
        <f>V9/'Output-Calculation-sheet'!V8*'Output-Calculation-sheet'!V80</f>
        <v>278881918.72108269</v>
      </c>
      <c r="W97" s="2">
        <f>W9/'Output-Calculation-sheet'!W8*'Output-Calculation-sheet'!W80</f>
        <v>807654098.76046038</v>
      </c>
      <c r="X97" s="2">
        <f>X9/'Output-Calculation-sheet'!X8*'Output-Calculation-sheet'!X80</f>
        <v>290024223.70152563</v>
      </c>
      <c r="Y97" s="2">
        <f>Y9/'Output-Calculation-sheet'!Y8*'Output-Calculation-sheet'!Y80</f>
        <v>443936885.40869802</v>
      </c>
      <c r="AA97" s="2">
        <f t="shared" si="8"/>
        <v>85.366399428931118</v>
      </c>
    </row>
    <row r="98" spans="1:27" x14ac:dyDescent="0.25">
      <c r="A98" s="2">
        <v>2033</v>
      </c>
      <c r="B98" s="2">
        <f>B10/'Output-Calculation-sheet'!B9*'Output-Calculation-sheet'!B81</f>
        <v>27066279023.497086</v>
      </c>
      <c r="C98" s="2">
        <f>C10/'Output-Calculation-sheet'!C9*'Output-Calculation-sheet'!C81</f>
        <v>9279680460.4682732</v>
      </c>
      <c r="D98" s="2">
        <f>D10/'Output-Calculation-sheet'!D9*'Output-Calculation-sheet'!D81</f>
        <v>8831387796.7185383</v>
      </c>
      <c r="E98" s="2">
        <f>E10/'Output-Calculation-sheet'!E9*'Output-Calculation-sheet'!E81</f>
        <v>16612413279.049545</v>
      </c>
      <c r="F98" s="2">
        <f>F10/'Output-Calculation-sheet'!F9*'Output-Calculation-sheet'!F81</f>
        <v>6851361371.4768496</v>
      </c>
      <c r="G98" s="2">
        <f>G10/'Output-Calculation-sheet'!G9*'Output-Calculation-sheet'!G81</f>
        <v>5030486371.1031075</v>
      </c>
      <c r="H98" s="2">
        <f>H10/'Output-Calculation-sheet'!H9*'Output-Calculation-sheet'!H81</f>
        <v>4557671111.026865</v>
      </c>
      <c r="I98" s="2">
        <f>I10/'Output-Calculation-sheet'!I9*'Output-Calculation-sheet'!I81</f>
        <v>3788754897.7303343</v>
      </c>
      <c r="J98" s="2">
        <f>J10/'Output-Calculation-sheet'!J9*'Output-Calculation-sheet'!J81</f>
        <v>2422618050.2337084</v>
      </c>
      <c r="K98" s="2">
        <f>K10/'Output-Calculation-sheet'!K9*'Output-Calculation-sheet'!K81</f>
        <v>3518954231.3927159</v>
      </c>
      <c r="L98" s="2">
        <f>L10/'Output-Calculation-sheet'!L9*'Output-Calculation-sheet'!L81</f>
        <v>2639274633.1679106</v>
      </c>
      <c r="M98" s="2">
        <f>M10/'Output-Calculation-sheet'!M9*'Output-Calculation-sheet'!M81</f>
        <v>3422615396.0389729</v>
      </c>
      <c r="N98" s="2">
        <f>N10/'Output-Calculation-sheet'!N9*'Output-Calculation-sheet'!N81</f>
        <v>2455454933.4844084</v>
      </c>
      <c r="O98" s="2">
        <f>O10/'Output-Calculation-sheet'!O9*'Output-Calculation-sheet'!O81</f>
        <v>1300300204.34111</v>
      </c>
      <c r="P98" s="2">
        <f>P10/'Output-Calculation-sheet'!P9*'Output-Calculation-sheet'!P81</f>
        <v>4155407822.062335</v>
      </c>
      <c r="Q98" s="2">
        <f>Q10/'Output-Calculation-sheet'!Q9*'Output-Calculation-sheet'!Q81</f>
        <v>1953763898.1177192</v>
      </c>
      <c r="R98" s="2">
        <f>R10/'Output-Calculation-sheet'!R9*'Output-Calculation-sheet'!R81</f>
        <v>2499166556.8259168</v>
      </c>
      <c r="S98" s="2">
        <f>S10/'Output-Calculation-sheet'!S9*'Output-Calculation-sheet'!S81</f>
        <v>1444958928.4335737</v>
      </c>
      <c r="T98" s="2">
        <f>T10/'Output-Calculation-sheet'!T9*'Output-Calculation-sheet'!T81</f>
        <v>1072214273.6088412</v>
      </c>
      <c r="U98" s="2">
        <f>U10/'Output-Calculation-sheet'!U9*'Output-Calculation-sheet'!U81</f>
        <v>697653222.36012673</v>
      </c>
      <c r="V98" s="2">
        <f>V10/'Output-Calculation-sheet'!V9*'Output-Calculation-sheet'!V81</f>
        <v>369487503.59163469</v>
      </c>
      <c r="W98" s="2">
        <f>W10/'Output-Calculation-sheet'!W9*'Output-Calculation-sheet'!W81</f>
        <v>1047632437.3936585</v>
      </c>
      <c r="X98" s="2">
        <f>X10/'Output-Calculation-sheet'!X9*'Output-Calculation-sheet'!X81</f>
        <v>384971024.29093486</v>
      </c>
      <c r="Y98" s="2">
        <f>Y10/'Output-Calculation-sheet'!Y9*'Output-Calculation-sheet'!Y81</f>
        <v>576050638.6413492</v>
      </c>
      <c r="AA98" s="2">
        <f t="shared" si="8"/>
        <v>111.97855806505549</v>
      </c>
    </row>
    <row r="99" spans="1:27" x14ac:dyDescent="0.25">
      <c r="A99" s="2">
        <v>2034</v>
      </c>
      <c r="B99" s="2">
        <f>B11/'Output-Calculation-sheet'!B10*'Output-Calculation-sheet'!B82</f>
        <v>34202527940.825558</v>
      </c>
      <c r="C99" s="2">
        <f>C11/'Output-Calculation-sheet'!C10*'Output-Calculation-sheet'!C82</f>
        <v>11801299293.506758</v>
      </c>
      <c r="D99" s="2">
        <f>D11/'Output-Calculation-sheet'!D10*'Output-Calculation-sheet'!D82</f>
        <v>10735809632.457958</v>
      </c>
      <c r="E99" s="2">
        <f>E11/'Output-Calculation-sheet'!E10*'Output-Calculation-sheet'!E82</f>
        <v>20767506632.207405</v>
      </c>
      <c r="F99" s="2">
        <f>F11/'Output-Calculation-sheet'!F10*'Output-Calculation-sheet'!F82</f>
        <v>8553072077.0957565</v>
      </c>
      <c r="G99" s="2">
        <f>G11/'Output-Calculation-sheet'!G10*'Output-Calculation-sheet'!G82</f>
        <v>6080634971.192296</v>
      </c>
      <c r="H99" s="2">
        <f>H11/'Output-Calculation-sheet'!H10*'Output-Calculation-sheet'!H82</f>
        <v>5683466164.0150414</v>
      </c>
      <c r="I99" s="2">
        <f>I11/'Output-Calculation-sheet'!I10*'Output-Calculation-sheet'!I82</f>
        <v>4773699286.1891479</v>
      </c>
      <c r="J99" s="2">
        <f>J11/'Output-Calculation-sheet'!J10*'Output-Calculation-sheet'!J82</f>
        <v>2970662425.2375131</v>
      </c>
      <c r="K99" s="2">
        <f>K11/'Output-Calculation-sheet'!K10*'Output-Calculation-sheet'!K82</f>
        <v>4346474033.2776709</v>
      </c>
      <c r="L99" s="2">
        <f>L11/'Output-Calculation-sheet'!L10*'Output-Calculation-sheet'!L82</f>
        <v>3355802099.0552177</v>
      </c>
      <c r="M99" s="2">
        <f>M11/'Output-Calculation-sheet'!M10*'Output-Calculation-sheet'!M82</f>
        <v>4281246380.8880692</v>
      </c>
      <c r="N99" s="2">
        <f>N11/'Output-Calculation-sheet'!N10*'Output-Calculation-sheet'!N82</f>
        <v>3016136512.0151205</v>
      </c>
      <c r="O99" s="2">
        <f>O11/'Output-Calculation-sheet'!O10*'Output-Calculation-sheet'!O82</f>
        <v>1635197128.8516924</v>
      </c>
      <c r="P99" s="2">
        <f>P11/'Output-Calculation-sheet'!P10*'Output-Calculation-sheet'!P82</f>
        <v>5097311166.1164932</v>
      </c>
      <c r="Q99" s="2">
        <f>Q11/'Output-Calculation-sheet'!Q10*'Output-Calculation-sheet'!Q82</f>
        <v>2412362929.3563948</v>
      </c>
      <c r="R99" s="2">
        <f>R11/'Output-Calculation-sheet'!R10*'Output-Calculation-sheet'!R82</f>
        <v>3122798353.2260823</v>
      </c>
      <c r="S99" s="2">
        <f>S11/'Output-Calculation-sheet'!S10*'Output-Calculation-sheet'!S82</f>
        <v>1798814795.6426735</v>
      </c>
      <c r="T99" s="2">
        <f>T11/'Output-Calculation-sheet'!T10*'Output-Calculation-sheet'!T82</f>
        <v>1314718545.5288</v>
      </c>
      <c r="U99" s="2">
        <f>U11/'Output-Calculation-sheet'!U10*'Output-Calculation-sheet'!U82</f>
        <v>870634768.1205858</v>
      </c>
      <c r="V99" s="2">
        <f>V11/'Output-Calculation-sheet'!V10*'Output-Calculation-sheet'!V82</f>
        <v>465515178.03012031</v>
      </c>
      <c r="W99" s="2">
        <f>W11/'Output-Calculation-sheet'!W10*'Output-Calculation-sheet'!W82</f>
        <v>1290900409.5019751</v>
      </c>
      <c r="X99" s="2">
        <f>X11/'Output-Calculation-sheet'!X10*'Output-Calculation-sheet'!X82</f>
        <v>486186228.86602235</v>
      </c>
      <c r="Y99" s="2">
        <f>Y11/'Output-Calculation-sheet'!Y10*'Output-Calculation-sheet'!Y82</f>
        <v>710401312.38039923</v>
      </c>
      <c r="AA99" s="2">
        <f t="shared" si="8"/>
        <v>139.77317826358478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2074.5804425500719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638.62020324652462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439.43285004718109</v>
      </c>
      <c r="N107" s="2">
        <f>N8/'Output-Calculation-sheet'!N7*'Output-Calculation-sheet'!N88</f>
        <v>172.75649064072346</v>
      </c>
      <c r="O107" s="2">
        <f>O8/'Output-Calculation-sheet'!O7*'Output-Calculation-sheet'!O88</f>
        <v>483.64001579537182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48.206697596703471</v>
      </c>
      <c r="Y107" s="2">
        <f>Y8/'Output-Calculation-sheet'!Y7*'Output-Calculation-sheet'!Y88</f>
        <v>0</v>
      </c>
      <c r="AA107" s="2">
        <f t="shared" si="9"/>
        <v>3.8572366998765761</v>
      </c>
    </row>
    <row r="108" spans="1:27" x14ac:dyDescent="0.25">
      <c r="A108" s="2">
        <v>2032</v>
      </c>
      <c r="B108" s="2">
        <f>B9/'Output-Calculation-sheet'!B8*'Output-Calculation-sheet'!B89</f>
        <v>1002.5938119072003</v>
      </c>
      <c r="C108" s="2">
        <f>C9/'Output-Calculation-sheet'!C8*'Output-Calculation-sheet'!C89</f>
        <v>3806.8338285517193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1025.3788310740192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705.56042515768206</v>
      </c>
      <c r="N108" s="2">
        <f>N9/'Output-Calculation-sheet'!N8*'Output-Calculation-sheet'!N89</f>
        <v>495.32248122344708</v>
      </c>
      <c r="O108" s="2">
        <f>O9/'Output-Calculation-sheet'!O8*'Output-Calculation-sheet'!O89</f>
        <v>739.56205602227124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227.14875648879081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77.401446086986951</v>
      </c>
      <c r="Y108" s="2">
        <f>Y9/'Output-Calculation-sheet'!Y8*'Output-Calculation-sheet'!Y89</f>
        <v>0</v>
      </c>
      <c r="AA108" s="2">
        <f t="shared" si="9"/>
        <v>8.0798016365121175</v>
      </c>
    </row>
    <row r="109" spans="1:27" x14ac:dyDescent="0.25">
      <c r="A109" s="2">
        <v>2033</v>
      </c>
      <c r="B109" s="2">
        <f>B10/'Output-Calculation-sheet'!B9*'Output-Calculation-sheet'!B90</f>
        <v>5552.5660821378651</v>
      </c>
      <c r="C109" s="2">
        <f>C10/'Output-Calculation-sheet'!C9*'Output-Calculation-sheet'!C90</f>
        <v>5270.7527579244152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1622.5011710755239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1116.4387067400319</v>
      </c>
      <c r="N109" s="2">
        <f>N10/'Output-Calculation-sheet'!N9*'Output-Calculation-sheet'!N90</f>
        <v>877.82255227922735</v>
      </c>
      <c r="O109" s="2">
        <f>O10/'Output-Calculation-sheet'!O9*'Output-Calculation-sheet'!O90</f>
        <v>1023.9608351695821</v>
      </c>
      <c r="P109" s="2">
        <f>P10/'Output-Calculation-sheet'!P9*'Output-Calculation-sheet'!P90</f>
        <v>0</v>
      </c>
      <c r="Q109" s="2">
        <f>Q10/'Output-Calculation-sheet'!Q9*'Output-Calculation-sheet'!Q90</f>
        <v>192.27673895380622</v>
      </c>
      <c r="R109" s="2">
        <f>R10/'Output-Calculation-sheet'!R9*'Output-Calculation-sheet'!R90</f>
        <v>0</v>
      </c>
      <c r="S109" s="2">
        <f>S10/'Output-Calculation-sheet'!S9*'Output-Calculation-sheet'!S90</f>
        <v>440.29841703099214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122.47564813439161</v>
      </c>
      <c r="Y109" s="2">
        <f>Y10/'Output-Calculation-sheet'!Y9*'Output-Calculation-sheet'!Y90</f>
        <v>0</v>
      </c>
      <c r="AA109" s="2">
        <f t="shared" si="9"/>
        <v>16.219092909445834</v>
      </c>
    </row>
    <row r="110" spans="1:27" x14ac:dyDescent="0.25">
      <c r="A110" s="2">
        <v>2034</v>
      </c>
      <c r="B110" s="2">
        <f>B11/'Output-Calculation-sheet'!B10*'Output-Calculation-sheet'!B91</f>
        <v>10829.202438929409</v>
      </c>
      <c r="C110" s="2">
        <f>C11/'Output-Calculation-sheet'!C10*'Output-Calculation-sheet'!C91</f>
        <v>7424.1412898905237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2109.5824139760475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1451.5980043698246</v>
      </c>
      <c r="N110" s="2">
        <f>N11/'Output-Calculation-sheet'!N10*'Output-Calculation-sheet'!N91</f>
        <v>1307.7949733578546</v>
      </c>
      <c r="O110" s="2">
        <f>O11/'Output-Calculation-sheet'!O10*'Output-Calculation-sheet'!O91</f>
        <v>1442.3044040879854</v>
      </c>
      <c r="P110" s="2">
        <f>P11/'Output-Calculation-sheet'!P10*'Output-Calculation-sheet'!P91</f>
        <v>329.50168360132631</v>
      </c>
      <c r="Q110" s="2">
        <f>Q11/'Output-Calculation-sheet'!Q10*'Output-Calculation-sheet'!Q91</f>
        <v>729.16367242463764</v>
      </c>
      <c r="R110" s="2">
        <f>R11/'Output-Calculation-sheet'!R10*'Output-Calculation-sheet'!R91</f>
        <v>0</v>
      </c>
      <c r="S110" s="2">
        <f>S11/'Output-Calculation-sheet'!S10*'Output-Calculation-sheet'!S91</f>
        <v>749.67322603342075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159.24332015943068</v>
      </c>
      <c r="Y110" s="2">
        <f>Y11/'Output-Calculation-sheet'!Y10*'Output-Calculation-sheet'!Y91</f>
        <v>25.612141665721985</v>
      </c>
      <c r="AA110" s="2">
        <f t="shared" si="9"/>
        <v>26.557817568496191</v>
      </c>
    </row>
    <row r="111" spans="1:27" x14ac:dyDescent="0.25">
      <c r="A111" s="2">
        <v>2035</v>
      </c>
      <c r="B111" s="2">
        <f>B12/'Output-Calculation-sheet'!B11*'Output-Calculation-sheet'!B92</f>
        <v>19260.125448867104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3432.2406031759256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1406.473386581594</v>
      </c>
      <c r="Q111" s="2">
        <f>Q12/'Output-Calculation-sheet'!Q11*'Output-Calculation-sheet'!Q92</f>
        <v>1000.422343030504</v>
      </c>
      <c r="R111" s="2">
        <f>R12/'Output-Calculation-sheet'!R11*'Output-Calculation-sheet'!R92</f>
        <v>0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136.65634129877688</v>
      </c>
      <c r="AA111" s="2">
        <f t="shared" si="9"/>
        <v>44.109758011531355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1663660375.2545881</v>
      </c>
      <c r="C118" s="2">
        <f>C8/'Output-Calculation-sheet'!C7*'Output-Calculation-sheet'!C97</f>
        <v>9752564940.7834778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3000664014.5722618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2084219735.3175449</v>
      </c>
      <c r="N118" s="2">
        <f>N8/'Output-Calculation-sheet'!N7*'Output-Calculation-sheet'!N97</f>
        <v>1635518228.9621482</v>
      </c>
      <c r="O118" s="2">
        <f>O8/'Output-Calculation-sheet'!O7*'Output-Calculation-sheet'!O97</f>
        <v>1088292625.8459675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591662036.19423056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224639329.22239012</v>
      </c>
      <c r="Y118" s="2">
        <f>Y8/'Output-Calculation-sheet'!Y7*'Output-Calculation-sheet'!Y97</f>
        <v>0</v>
      </c>
      <c r="AA118" s="2">
        <f t="shared" si="10"/>
        <v>20041.221286152606</v>
      </c>
    </row>
    <row r="119" spans="1:27" x14ac:dyDescent="0.25">
      <c r="A119" s="2">
        <v>2032</v>
      </c>
      <c r="B119" s="2">
        <f>B9/'Output-Calculation-sheet'!B8*'Output-Calculation-sheet'!B98</f>
        <v>7521510859.7232409</v>
      </c>
      <c r="C119" s="2">
        <f>C9/'Output-Calculation-sheet'!C8*'Output-Calculation-sheet'!C98</f>
        <v>5978248754.3950968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3573810481.8320408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2494533099.968483</v>
      </c>
      <c r="N119" s="2">
        <f>N9/'Output-Calculation-sheet'!N8*'Output-Calculation-sheet'!N98</f>
        <v>1683715616.7975326</v>
      </c>
      <c r="O119" s="2">
        <f>O9/'Output-Calculation-sheet'!O8*'Output-Calculation-sheet'!O98</f>
        <v>1168039339.0563068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700095182.37410212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266923984.69987261</v>
      </c>
      <c r="Y119" s="2">
        <f>Y9/'Output-Calculation-sheet'!Y8*'Output-Calculation-sheet'!Y98</f>
        <v>0</v>
      </c>
      <c r="AA119" s="2">
        <f t="shared" si="10"/>
        <v>23386.877318846673</v>
      </c>
    </row>
    <row r="120" spans="1:27" x14ac:dyDescent="0.25">
      <c r="A120" s="2">
        <v>2033</v>
      </c>
      <c r="B120" s="2">
        <f>B10/'Output-Calculation-sheet'!B9*'Output-Calculation-sheet'!B99</f>
        <v>7988106170.5579519</v>
      </c>
      <c r="C120" s="2">
        <f>C10/'Output-Calculation-sheet'!C9*'Output-Calculation-sheet'!C99</f>
        <v>6566719285.4227638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2153071696.8834882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1523962033.4265172</v>
      </c>
      <c r="N120" s="2">
        <f>N10/'Output-Calculation-sheet'!N9*'Output-Calculation-sheet'!N99</f>
        <v>1519228680.7463956</v>
      </c>
      <c r="O120" s="2">
        <f>O10/'Output-Calculation-sheet'!O9*'Output-Calculation-sheet'!O99</f>
        <v>1285622191.2056973</v>
      </c>
      <c r="P120" s="2">
        <f>P10/'Output-Calculation-sheet'!P9*'Output-Calculation-sheet'!P99</f>
        <v>0</v>
      </c>
      <c r="Q120" s="2">
        <f>Q10/'Output-Calculation-sheet'!Q9*'Output-Calculation-sheet'!Q99</f>
        <v>9105499.6169521809</v>
      </c>
      <c r="R120" s="2">
        <f>R10/'Output-Calculation-sheet'!R9*'Output-Calculation-sheet'!R99</f>
        <v>0</v>
      </c>
      <c r="S120" s="2">
        <f>S10/'Output-Calculation-sheet'!S9*'Output-Calculation-sheet'!S99</f>
        <v>636243057.37239385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152174370.40229198</v>
      </c>
      <c r="Y120" s="2">
        <f>Y10/'Output-Calculation-sheet'!Y9*'Output-Calculation-sheet'!Y99</f>
        <v>0</v>
      </c>
      <c r="AA120" s="2">
        <f t="shared" si="10"/>
        <v>21834.232985634448</v>
      </c>
    </row>
    <row r="121" spans="1:27" x14ac:dyDescent="0.25">
      <c r="A121" s="2">
        <v>2034</v>
      </c>
      <c r="B121" s="2">
        <f>B11/'Output-Calculation-sheet'!B10*'Output-Calculation-sheet'!B100</f>
        <v>8129749484.9904633</v>
      </c>
      <c r="C121" s="2">
        <f>C11/'Output-Calculation-sheet'!C10*'Output-Calculation-sheet'!C100</f>
        <v>974634000.14675391</v>
      </c>
      <c r="D121" s="2">
        <f>D11/'Output-Calculation-sheet'!D10*'Output-Calculation-sheet'!D100</f>
        <v>0</v>
      </c>
      <c r="E121" s="2">
        <f>E11/'Output-Calculation-sheet'!E10*'Output-Calculation-sheet'!E100</f>
        <v>1150222473.7310069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2566302440.4061608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937513841.37809229</v>
      </c>
      <c r="M121" s="2">
        <f>M11/'Output-Calculation-sheet'!M10*'Output-Calculation-sheet'!M100</f>
        <v>1826427630.1865063</v>
      </c>
      <c r="N121" s="2">
        <f>N11/'Output-Calculation-sheet'!N10*'Output-Calculation-sheet'!N100</f>
        <v>1217638490.6744342</v>
      </c>
      <c r="O121" s="2">
        <f>O11/'Output-Calculation-sheet'!O10*'Output-Calculation-sheet'!O100</f>
        <v>191177664.89139354</v>
      </c>
      <c r="P121" s="2">
        <f>P11/'Output-Calculation-sheet'!P10*'Output-Calculation-sheet'!P100</f>
        <v>0</v>
      </c>
      <c r="Q121" s="2">
        <f>Q11/'Output-Calculation-sheet'!Q10*'Output-Calculation-sheet'!Q100</f>
        <v>412038351.2933138</v>
      </c>
      <c r="R121" s="2">
        <f>R11/'Output-Calculation-sheet'!R10*'Output-Calculation-sheet'!R100</f>
        <v>0</v>
      </c>
      <c r="S121" s="2">
        <f>S11/'Output-Calculation-sheet'!S10*'Output-Calculation-sheet'!S100</f>
        <v>455266017.57105297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179459294.12192154</v>
      </c>
      <c r="Y121" s="2">
        <f>Y11/'Output-Calculation-sheet'!Y10*'Output-Calculation-sheet'!Y100</f>
        <v>26033494.658644754</v>
      </c>
      <c r="AA121" s="2">
        <f t="shared" si="10"/>
        <v>18066.463184049742</v>
      </c>
    </row>
    <row r="122" spans="1:27" x14ac:dyDescent="0.25">
      <c r="A122" s="2">
        <v>2035</v>
      </c>
      <c r="B122" s="2">
        <f>B12/'Output-Calculation-sheet'!B11*'Output-Calculation-sheet'!B101</f>
        <v>2280620636.4086099</v>
      </c>
      <c r="C122" s="2">
        <f>C12/'Output-Calculation-sheet'!C11*'Output-Calculation-sheet'!C101</f>
        <v>428613220.79345</v>
      </c>
      <c r="D122" s="2">
        <f>D12/'Output-Calculation-sheet'!D11*'Output-Calculation-sheet'!D101</f>
        <v>0</v>
      </c>
      <c r="E122" s="2">
        <f>E12/'Output-Calculation-sheet'!E11*'Output-Calculation-sheet'!E101</f>
        <v>3545231523.9418421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695248700.63699043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1524485590.7629366</v>
      </c>
      <c r="M122" s="2">
        <f>M12/'Output-Calculation-sheet'!M11*'Output-Calculation-sheet'!M101</f>
        <v>582948503.19086838</v>
      </c>
      <c r="N122" s="2">
        <f>N12/'Output-Calculation-sheet'!N11*'Output-Calculation-sheet'!N101</f>
        <v>406560839.27646887</v>
      </c>
      <c r="O122" s="2">
        <f>O12/'Output-Calculation-sheet'!O11*'Output-Calculation-sheet'!O101</f>
        <v>46969811.012276232</v>
      </c>
      <c r="P122" s="2">
        <f>P12/'Output-Calculation-sheet'!P11*'Output-Calculation-sheet'!P101</f>
        <v>63398827.591007367</v>
      </c>
      <c r="Q122" s="2">
        <f>Q12/'Output-Calculation-sheet'!Q11*'Output-Calculation-sheet'!Q101</f>
        <v>890491518.52900529</v>
      </c>
      <c r="R122" s="2">
        <f>R12/'Output-Calculation-sheet'!R11*'Output-Calculation-sheet'!R101</f>
        <v>0</v>
      </c>
      <c r="S122" s="2">
        <f>S12/'Output-Calculation-sheet'!S11*'Output-Calculation-sheet'!S101</f>
        <v>241533305.94869304</v>
      </c>
      <c r="T122" s="2">
        <f>T12/'Output-Calculation-sheet'!T11*'Output-Calculation-sheet'!T101</f>
        <v>0</v>
      </c>
      <c r="U122" s="2">
        <f>U12/'Output-Calculation-sheet'!U11*'Output-Calculation-sheet'!U101</f>
        <v>83459281.875728488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21129864.484037206</v>
      </c>
      <c r="Y122" s="2">
        <f>Y12/'Output-Calculation-sheet'!Y11*'Output-Calculation-sheet'!Y101</f>
        <v>125995460.65767702</v>
      </c>
      <c r="AA122" s="2">
        <f t="shared" si="10"/>
        <v>10936.687085109588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56490048024.831261</v>
      </c>
      <c r="C129" s="2">
        <f>C8/'Output-Calculation-sheet'!C7*'Output-Calculation-sheet'!C106</f>
        <v>0</v>
      </c>
      <c r="D129" s="2">
        <f>D8/'Output-Calculation-sheet'!D7*'Output-Calculation-sheet'!D106</f>
        <v>24425151307.191807</v>
      </c>
      <c r="E129" s="2">
        <f>E8/'Output-Calculation-sheet'!E7*'Output-Calculation-sheet'!E106</f>
        <v>19378901660.615795</v>
      </c>
      <c r="F129" s="2">
        <f>F8/'Output-Calculation-sheet'!F7*'Output-Calculation-sheet'!F106</f>
        <v>12474889969.356382</v>
      </c>
      <c r="G129" s="2">
        <f>G8/'Output-Calculation-sheet'!G7*'Output-Calculation-sheet'!G106</f>
        <v>8765220316.6707401</v>
      </c>
      <c r="H129" s="2">
        <f>H8/'Output-Calculation-sheet'!H7*'Output-Calculation-sheet'!H106</f>
        <v>0</v>
      </c>
      <c r="I129" s="2">
        <f>I8/'Output-Calculation-sheet'!I7*'Output-Calculation-sheet'!I106</f>
        <v>7985787121.1796713</v>
      </c>
      <c r="J129" s="2">
        <f>J8/'Output-Calculation-sheet'!J7*'Output-Calculation-sheet'!J106</f>
        <v>7772790567.9434547</v>
      </c>
      <c r="K129" s="2">
        <f>K8/'Output-Calculation-sheet'!K7*'Output-Calculation-sheet'!K106</f>
        <v>7698284929.6319227</v>
      </c>
      <c r="L129" s="2">
        <f>L8/'Output-Calculation-sheet'!L7*'Output-Calculation-sheet'!L106</f>
        <v>6175678883.7797899</v>
      </c>
      <c r="M129" s="2">
        <f>M8/'Output-Calculation-sheet'!M7*'Output-Calculation-sheet'!M106</f>
        <v>0</v>
      </c>
      <c r="N129" s="2">
        <f>N8/'Output-Calculation-sheet'!N7*'Output-Calculation-sheet'!N106</f>
        <v>2714003346.1703715</v>
      </c>
      <c r="O129" s="2">
        <f>O8/'Output-Calculation-sheet'!O7*'Output-Calculation-sheet'!O106</f>
        <v>0</v>
      </c>
      <c r="P129" s="2">
        <f>P8/'Output-Calculation-sheet'!P7*'Output-Calculation-sheet'!P106</f>
        <v>5270650431.2242155</v>
      </c>
      <c r="Q129" s="2">
        <f>Q8/'Output-Calculation-sheet'!Q7*'Output-Calculation-sheet'!Q106</f>
        <v>5185458548.2267923</v>
      </c>
      <c r="R129" s="2">
        <f>R8/'Output-Calculation-sheet'!R7*'Output-Calculation-sheet'!R106</f>
        <v>4988659758.8950586</v>
      </c>
      <c r="S129" s="2">
        <f>S8/'Output-Calculation-sheet'!S7*'Output-Calculation-sheet'!S106</f>
        <v>2724049287.2093349</v>
      </c>
      <c r="T129" s="2">
        <f>T8/'Output-Calculation-sheet'!T7*'Output-Calculation-sheet'!T106</f>
        <v>1833775863.4265752</v>
      </c>
      <c r="U129" s="2">
        <f>U8/'Output-Calculation-sheet'!U7*'Output-Calculation-sheet'!U106</f>
        <v>1597158947.6160421</v>
      </c>
      <c r="V129" s="2">
        <f>V8/'Output-Calculation-sheet'!V7*'Output-Calculation-sheet'!V106</f>
        <v>1229839012.0740623</v>
      </c>
      <c r="W129" s="2">
        <f>W8/'Output-Calculation-sheet'!W7*'Output-Calculation-sheet'!W106</f>
        <v>1064776399.7612016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177775.12437580447</v>
      </c>
    </row>
    <row r="130" spans="1:27" x14ac:dyDescent="0.25">
      <c r="A130" s="2">
        <v>2032</v>
      </c>
      <c r="B130" s="2">
        <f>B9/'Output-Calculation-sheet'!B8*'Output-Calculation-sheet'!B107</f>
        <v>68065364731.243896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0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2477136032.740243</v>
      </c>
      <c r="O130" s="2">
        <f>O9/'Output-Calculation-sheet'!O8*'Output-Calculation-sheet'!O107</f>
        <v>0</v>
      </c>
      <c r="P130" s="2">
        <f>P9/'Output-Calculation-sheet'!P8*'Output-Calculation-sheet'!P107</f>
        <v>7555870439.2659855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2199283760.1629777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238818.3718436035</v>
      </c>
    </row>
    <row r="131" spans="1:27" x14ac:dyDescent="0.25">
      <c r="A131" s="2">
        <v>2033</v>
      </c>
      <c r="B131" s="2">
        <f>B10/'Output-Calculation-sheet'!B9*'Output-Calculation-sheet'!B108</f>
        <v>59588841191.042809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2183496671.5613165</v>
      </c>
      <c r="O131" s="2">
        <f>O10/'Output-Calculation-sheet'!O9*'Output-Calculation-sheet'!O108</f>
        <v>0</v>
      </c>
      <c r="P131" s="2">
        <f>P10/'Output-Calculation-sheet'!P9*'Output-Calculation-sheet'!P108</f>
        <v>10042511482.988228</v>
      </c>
      <c r="Q131" s="2">
        <f>Q10/'Output-Calculation-sheet'!Q9*'Output-Calculation-sheet'!Q108</f>
        <v>8471879175.4883432</v>
      </c>
      <c r="R131" s="2">
        <f>R10/'Output-Calculation-sheet'!R9*'Output-Calculation-sheet'!R108</f>
        <v>9505325791.4673367</v>
      </c>
      <c r="S131" s="2">
        <f>S10/'Output-Calculation-sheet'!S9*'Output-Calculation-sheet'!S108</f>
        <v>2117875413.047893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283224.7133761642</v>
      </c>
    </row>
    <row r="132" spans="1:27" x14ac:dyDescent="0.25">
      <c r="A132" s="2">
        <v>2034</v>
      </c>
      <c r="B132" s="2">
        <f>B11/'Output-Calculation-sheet'!B10*'Output-Calculation-sheet'!B109</f>
        <v>47179928487.232697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45535217731.507095</v>
      </c>
      <c r="F132" s="2">
        <f>F11/'Output-Calculation-sheet'!F10*'Output-Calculation-sheet'!F109</f>
        <v>30048318487.583546</v>
      </c>
      <c r="G132" s="2">
        <f>G11/'Output-Calculation-sheet'!G10*'Output-Calculation-sheet'!G109</f>
        <v>21113364644.552109</v>
      </c>
      <c r="H132" s="2">
        <f>H11/'Output-Calculation-sheet'!H10*'Output-Calculation-sheet'!H109</f>
        <v>0</v>
      </c>
      <c r="I132" s="2">
        <f>I11/'Output-Calculation-sheet'!I10*'Output-Calculation-sheet'!I109</f>
        <v>19234598919.563896</v>
      </c>
      <c r="J132" s="2">
        <f>J11/'Output-Calculation-sheet'!J10*'Output-Calculation-sheet'!J109</f>
        <v>18721759161.454636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13937345402.747515</v>
      </c>
      <c r="M132" s="2">
        <f>M11/'Output-Calculation-sheet'!M10*'Output-Calculation-sheet'!M109</f>
        <v>0</v>
      </c>
      <c r="N132" s="2">
        <f>N11/'Output-Calculation-sheet'!N10*'Output-Calculation-sheet'!N109</f>
        <v>1832778153.1706734</v>
      </c>
      <c r="O132" s="2">
        <f>O11/'Output-Calculation-sheet'!O10*'Output-Calculation-sheet'!O109</f>
        <v>0</v>
      </c>
      <c r="P132" s="2">
        <f>P11/'Output-Calculation-sheet'!P10*'Output-Calculation-sheet'!P109</f>
        <v>10413345835.090391</v>
      </c>
      <c r="Q132" s="2">
        <f>Q11/'Output-Calculation-sheet'!Q10*'Output-Calculation-sheet'!Q109</f>
        <v>6707308766.5913095</v>
      </c>
      <c r="R132" s="2">
        <f>R11/'Output-Calculation-sheet'!R10*'Output-Calculation-sheet'!R109</f>
        <v>12015041352.281267</v>
      </c>
      <c r="S132" s="2">
        <f>S11/'Output-Calculation-sheet'!S10*'Output-Calculation-sheet'!S109</f>
        <v>1257854313.1248548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3849129106.9303026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319165.12982690422</v>
      </c>
    </row>
    <row r="133" spans="1:27" x14ac:dyDescent="0.25">
      <c r="A133" s="2">
        <v>2035</v>
      </c>
      <c r="B133" s="2">
        <f>B12/'Output-Calculation-sheet'!B11*'Output-Calculation-sheet'!B110</f>
        <v>783534086.84616172</v>
      </c>
      <c r="C133" s="2">
        <f>C12/'Output-Calculation-sheet'!C11*'Output-Calculation-sheet'!C110</f>
        <v>0</v>
      </c>
      <c r="D133" s="2">
        <f>D12/'Output-Calculation-sheet'!D11*'Output-Calculation-sheet'!D110</f>
        <v>64914950462.842842</v>
      </c>
      <c r="E133" s="2">
        <f>E12/'Output-Calculation-sheet'!E11*'Output-Calculation-sheet'!E110</f>
        <v>31566712426.569416</v>
      </c>
      <c r="F133" s="2">
        <f>F12/'Output-Calculation-sheet'!F11*'Output-Calculation-sheet'!F110</f>
        <v>35005083949.505531</v>
      </c>
      <c r="G133" s="2">
        <f>G12/'Output-Calculation-sheet'!G11*'Output-Calculation-sheet'!G110</f>
        <v>24263739729.608238</v>
      </c>
      <c r="H133" s="2">
        <f>H12/'Output-Calculation-sheet'!H11*'Output-Calculation-sheet'!H110</f>
        <v>0</v>
      </c>
      <c r="I133" s="2">
        <f>I12/'Output-Calculation-sheet'!I11*'Output-Calculation-sheet'!I110</f>
        <v>21902569760.22884</v>
      </c>
      <c r="J133" s="2">
        <f>J12/'Output-Calculation-sheet'!J11*'Output-Calculation-sheet'!J110</f>
        <v>21093824935.279453</v>
      </c>
      <c r="K133" s="2">
        <f>K12/'Output-Calculation-sheet'!K11*'Output-Calculation-sheet'!K110</f>
        <v>20867759383.164715</v>
      </c>
      <c r="L133" s="2">
        <f>L12/'Output-Calculation-sheet'!L11*'Output-Calculation-sheet'!L110</f>
        <v>15348215411.342808</v>
      </c>
      <c r="M133" s="2">
        <f>M12/'Output-Calculation-sheet'!M11*'Output-Calculation-sheet'!M110</f>
        <v>0</v>
      </c>
      <c r="N133" s="2">
        <f>N12/'Output-Calculation-sheet'!N11*'Output-Calculation-sheet'!N110</f>
        <v>2006017.3964762022</v>
      </c>
      <c r="O133" s="2">
        <f>O12/'Output-Calculation-sheet'!O11*'Output-Calculation-sheet'!O110</f>
        <v>0</v>
      </c>
      <c r="P133" s="2">
        <f>P12/'Output-Calculation-sheet'!P11*'Output-Calculation-sheet'!P110</f>
        <v>4756027810.6592798</v>
      </c>
      <c r="Q133" s="2">
        <f>Q12/'Output-Calculation-sheet'!Q11*'Output-Calculation-sheet'!Q110</f>
        <v>6317554494.5886335</v>
      </c>
      <c r="R133" s="2">
        <f>R12/'Output-Calculation-sheet'!R11*'Output-Calculation-sheet'!R110</f>
        <v>13880375777.329851</v>
      </c>
      <c r="S133" s="2">
        <f>S12/'Output-Calculation-sheet'!S11*'Output-Calculation-sheet'!S110</f>
        <v>22981091.357846517</v>
      </c>
      <c r="T133" s="2">
        <f>T12/'Output-Calculation-sheet'!T11*'Output-Calculation-sheet'!T110</f>
        <v>5215107443.4987507</v>
      </c>
      <c r="U133" s="2">
        <f>U12/'Output-Calculation-sheet'!U11*'Output-Calculation-sheet'!U110</f>
        <v>4231348199.6992121</v>
      </c>
      <c r="V133" s="2">
        <f>V12/'Output-Calculation-sheet'!V11*'Output-Calculation-sheet'!V110</f>
        <v>3507165730.319859</v>
      </c>
      <c r="W133" s="2">
        <f>W12/'Output-Calculation-sheet'!W11*'Output-Calculation-sheet'!W110</f>
        <v>3081178760.2430782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276760.13547048101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17652437941.519032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5549481842.1716499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3814630967.4576216</v>
      </c>
      <c r="N140" s="2">
        <f>N8/'Output-Calculation-sheet'!N7*'Output-Calculation-sheet'!N115</f>
        <v>1440174388.067847</v>
      </c>
      <c r="O140" s="2">
        <f>O8/'Output-Calculation-sheet'!O7*'Output-Calculation-sheet'!O115</f>
        <v>4236499154.0323329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414223123.58906209</v>
      </c>
      <c r="Y140" s="2">
        <f>Y8/'Output-Calculation-sheet'!Y7*'Output-Calculation-sheet'!Y115</f>
        <v>0</v>
      </c>
      <c r="AA140" s="2">
        <f t="shared" si="12"/>
        <v>33107.447416837545</v>
      </c>
    </row>
    <row r="141" spans="1:27" x14ac:dyDescent="0.25">
      <c r="A141" s="2">
        <v>2032</v>
      </c>
      <c r="B141" s="2">
        <f>B9/'Output-Calculation-sheet'!B8*'Output-Calculation-sheet'!B116</f>
        <v>7781441768.9144392</v>
      </c>
      <c r="C141" s="2">
        <f>C9/'Output-Calculation-sheet'!C8*'Output-Calculation-sheet'!C116</f>
        <v>33309171827.397861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8683556650.5911884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5961975120.442522</v>
      </c>
      <c r="N141" s="2">
        <f>N9/'Output-Calculation-sheet'!N8*'Output-Calculation-sheet'!N116</f>
        <v>4139173250.0348792</v>
      </c>
      <c r="O141" s="2">
        <f>O9/'Output-Calculation-sheet'!O8*'Output-Calculation-sheet'!O116</f>
        <v>6465506018.3503914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1853977088.0220711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648940042.47869349</v>
      </c>
      <c r="Y141" s="2">
        <f>Y9/'Output-Calculation-sheet'!Y8*'Output-Calculation-sheet'!Y116</f>
        <v>0</v>
      </c>
      <c r="AA141" s="2">
        <f t="shared" si="12"/>
        <v>68843.741766232037</v>
      </c>
    </row>
    <row r="142" spans="1:27" x14ac:dyDescent="0.25">
      <c r="A142" s="2">
        <v>2033</v>
      </c>
      <c r="B142" s="2">
        <f>B10/'Output-Calculation-sheet'!B9*'Output-Calculation-sheet'!B117</f>
        <v>43233577517.986176</v>
      </c>
      <c r="C142" s="2">
        <f>C10/'Output-Calculation-sheet'!C9*'Output-Calculation-sheet'!C117</f>
        <v>45652871437.566589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14139031490.867912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9716160176.0619297</v>
      </c>
      <c r="N142" s="2">
        <f>N10/'Output-Calculation-sheet'!N9*'Output-Calculation-sheet'!N117</f>
        <v>7329403625.8777933</v>
      </c>
      <c r="O142" s="2">
        <f>O10/'Output-Calculation-sheet'!O9*'Output-Calculation-sheet'!O117</f>
        <v>8860642954.6114769</v>
      </c>
      <c r="P142" s="2">
        <f>P10/'Output-Calculation-sheet'!P9*'Output-Calculation-sheet'!P117</f>
        <v>0</v>
      </c>
      <c r="Q142" s="2">
        <f>Q10/'Output-Calculation-sheet'!Q9*'Output-Calculation-sheet'!Q117</f>
        <v>1399715977.7218206</v>
      </c>
      <c r="R142" s="2">
        <f>R10/'Output-Calculation-sheet'!R9*'Output-Calculation-sheet'!R117</f>
        <v>0</v>
      </c>
      <c r="S142" s="2">
        <f>S10/'Output-Calculation-sheet'!S9*'Output-Calculation-sheet'!S117</f>
        <v>3563891384.434413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1065163076.9792057</v>
      </c>
      <c r="Y142" s="2">
        <f>Y10/'Output-Calculation-sheet'!Y9*'Output-Calculation-sheet'!Y117</f>
        <v>0</v>
      </c>
      <c r="AA142" s="2">
        <f t="shared" si="12"/>
        <v>134960.45764210733</v>
      </c>
    </row>
    <row r="143" spans="1:27" x14ac:dyDescent="0.25">
      <c r="A143" s="2">
        <v>2034</v>
      </c>
      <c r="B143" s="2">
        <f>B11/'Output-Calculation-sheet'!B10*'Output-Calculation-sheet'!B118</f>
        <v>84763839729.865784</v>
      </c>
      <c r="C143" s="2">
        <f>C11/'Output-Calculation-sheet'!C10*'Output-Calculation-sheet'!C118</f>
        <v>65035477699.440987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18028157977.553112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12381939316.066235</v>
      </c>
      <c r="N143" s="2">
        <f>N11/'Output-Calculation-sheet'!N10*'Output-Calculation-sheet'!N118</f>
        <v>10895113312.432936</v>
      </c>
      <c r="O143" s="2">
        <f>O11/'Output-Calculation-sheet'!O10*'Output-Calculation-sheet'!O118</f>
        <v>12634586579.810751</v>
      </c>
      <c r="P143" s="2">
        <f>P11/'Output-Calculation-sheet'!P10*'Output-Calculation-sheet'!P118</f>
        <v>2281137302.7435527</v>
      </c>
      <c r="Q143" s="2">
        <f>Q11/'Output-Calculation-sheet'!Q10*'Output-Calculation-sheet'!Q118</f>
        <v>5370597534.8910189</v>
      </c>
      <c r="R143" s="2">
        <f>R11/'Output-Calculation-sheet'!R10*'Output-Calculation-sheet'!R118</f>
        <v>0</v>
      </c>
      <c r="S143" s="2">
        <f>S11/'Output-Calculation-sheet'!S10*'Output-Calculation-sheet'!S118</f>
        <v>6273394778.9317274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1359348547.0674415</v>
      </c>
      <c r="Y143" s="2">
        <f>Y11/'Output-Calculation-sheet'!Y10*'Output-Calculation-sheet'!Y118</f>
        <v>159295579.91552061</v>
      </c>
      <c r="AA143" s="2">
        <f t="shared" si="12"/>
        <v>219182.88835871906</v>
      </c>
    </row>
    <row r="144" spans="1:27" x14ac:dyDescent="0.25">
      <c r="A144" s="2">
        <v>2035</v>
      </c>
      <c r="B144" s="2">
        <f>B12/'Output-Calculation-sheet'!B11*'Output-Calculation-sheet'!B119</f>
        <v>167157878376.2196</v>
      </c>
      <c r="C144" s="2">
        <f>C12/'Output-Calculation-sheet'!C11*'Output-Calculation-sheet'!C119</f>
        <v>79988365198.876892</v>
      </c>
      <c r="D144" s="2">
        <f>D12/'Output-Calculation-sheet'!D11*'Output-Calculation-sheet'!D119</f>
        <v>0</v>
      </c>
      <c r="E144" s="2">
        <f>E12/'Output-Calculation-sheet'!E11*'Output-Calculation-sheet'!E119</f>
        <v>21073478127.052338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24301828629.800285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16650477665.944445</v>
      </c>
      <c r="N144" s="2">
        <f>N12/'Output-Calculation-sheet'!N11*'Output-Calculation-sheet'!N119</f>
        <v>16486417783.725243</v>
      </c>
      <c r="O144" s="2">
        <f>O12/'Output-Calculation-sheet'!O11*'Output-Calculation-sheet'!O119</f>
        <v>15552432860.734447</v>
      </c>
      <c r="P144" s="2">
        <f>P12/'Output-Calculation-sheet'!P11*'Output-Calculation-sheet'!P119</f>
        <v>10575109000.71377</v>
      </c>
      <c r="Q144" s="2">
        <f>Q12/'Output-Calculation-sheet'!Q11*'Output-Calculation-sheet'!Q119</f>
        <v>7247411693.9688139</v>
      </c>
      <c r="R144" s="2">
        <f>R12/'Output-Calculation-sheet'!R11*'Output-Calculation-sheet'!R119</f>
        <v>0</v>
      </c>
      <c r="S144" s="2">
        <f>S12/'Output-Calculation-sheet'!S11*'Output-Calculation-sheet'!S119</f>
        <v>9417945631.8903484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1852755117.9927065</v>
      </c>
      <c r="Y144" s="2">
        <f>Y12/'Output-Calculation-sheet'!Y11*'Output-Calculation-sheet'!Y119</f>
        <v>884097135.17782938</v>
      </c>
      <c r="AA144" s="2">
        <f t="shared" si="12"/>
        <v>371188.19722209667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58153709535.411987</v>
      </c>
      <c r="C151" s="2">
        <f>C8/'Output-Calculation-sheet'!C7*'Output-Calculation-sheet'!C124</f>
        <v>27405002882.302509</v>
      </c>
      <c r="D151" s="2">
        <f>D8/'Output-Calculation-sheet'!D7*'Output-Calculation-sheet'!D124</f>
        <v>24425151307.191807</v>
      </c>
      <c r="E151" s="2">
        <f>E8/'Output-Calculation-sheet'!E7*'Output-Calculation-sheet'!E124</f>
        <v>19378901660.615795</v>
      </c>
      <c r="F151" s="2">
        <f>F8/'Output-Calculation-sheet'!F7*'Output-Calculation-sheet'!F124</f>
        <v>12474889969.356382</v>
      </c>
      <c r="G151" s="2">
        <f>G8/'Output-Calculation-sheet'!G7*'Output-Calculation-sheet'!G124</f>
        <v>8765220316.6707401</v>
      </c>
      <c r="H151" s="2">
        <f>H8/'Output-Calculation-sheet'!H7*'Output-Calculation-sheet'!H124</f>
        <v>8550145856.7439117</v>
      </c>
      <c r="I151" s="2">
        <f>I8/'Output-Calculation-sheet'!I7*'Output-Calculation-sheet'!I124</f>
        <v>7985787121.1796713</v>
      </c>
      <c r="J151" s="2">
        <f>J8/'Output-Calculation-sheet'!J7*'Output-Calculation-sheet'!J124</f>
        <v>7772790567.9434547</v>
      </c>
      <c r="K151" s="2">
        <f>K8/'Output-Calculation-sheet'!K7*'Output-Calculation-sheet'!K124</f>
        <v>7698284929.6319227</v>
      </c>
      <c r="L151" s="2">
        <f>L8/'Output-Calculation-sheet'!L7*'Output-Calculation-sheet'!L124</f>
        <v>6175678883.7797899</v>
      </c>
      <c r="M151" s="2">
        <f>M8/'Output-Calculation-sheet'!M7*'Output-Calculation-sheet'!M124</f>
        <v>5898850702.7751665</v>
      </c>
      <c r="N151" s="2">
        <f>N8/'Output-Calculation-sheet'!N7*'Output-Calculation-sheet'!N124</f>
        <v>5789694841.404973</v>
      </c>
      <c r="O151" s="2">
        <f>O8/'Output-Calculation-sheet'!O7*'Output-Calculation-sheet'!O124</f>
        <v>5324791779.8783007</v>
      </c>
      <c r="P151" s="2">
        <f>P8/'Output-Calculation-sheet'!P7*'Output-Calculation-sheet'!P124</f>
        <v>5270650431.2242155</v>
      </c>
      <c r="Q151" s="2">
        <f>Q8/'Output-Calculation-sheet'!Q7*'Output-Calculation-sheet'!Q124</f>
        <v>5185458548.2267923</v>
      </c>
      <c r="R151" s="2">
        <f>R8/'Output-Calculation-sheet'!R7*'Output-Calculation-sheet'!R124</f>
        <v>4988659758.8950586</v>
      </c>
      <c r="S151" s="2">
        <f>S8/'Output-Calculation-sheet'!S7*'Output-Calculation-sheet'!S124</f>
        <v>3315711001.8776426</v>
      </c>
      <c r="T151" s="2">
        <f>T8/'Output-Calculation-sheet'!T7*'Output-Calculation-sheet'!T124</f>
        <v>1833775863.4265752</v>
      </c>
      <c r="U151" s="2">
        <f>U8/'Output-Calculation-sheet'!U7*'Output-Calculation-sheet'!U124</f>
        <v>1597158947.6160421</v>
      </c>
      <c r="V151" s="2">
        <f>V8/'Output-Calculation-sheet'!V7*'Output-Calculation-sheet'!V124</f>
        <v>1229839012.0740623</v>
      </c>
      <c r="W151" s="2">
        <f>W8/'Output-Calculation-sheet'!W7*'Output-Calculation-sheet'!W124</f>
        <v>1064776399.7612016</v>
      </c>
      <c r="X151" s="2">
        <f>X8/'Output-Calculation-sheet'!X7*'Output-Calculation-sheet'!X124</f>
        <v>638862452.81145227</v>
      </c>
      <c r="Y151" s="2">
        <f>Y8/'Output-Calculation-sheet'!Y7*'Output-Calculation-sheet'!Y124</f>
        <v>621287720.45644832</v>
      </c>
      <c r="AA151" s="2">
        <f t="shared" si="13"/>
        <v>231545.08049125591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23572452719.871281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4580127022.3499784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199163.83220902874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3382088115.9752049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147067.9042212808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2942091214.2273746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1784308149.0969102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1140930957.5419824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549579675.43683815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79674.292681966501</v>
      </c>
    </row>
    <row r="155" spans="1:27" x14ac:dyDescent="0.25">
      <c r="A155" s="2">
        <v>2035</v>
      </c>
      <c r="B155" s="2">
        <f>B12/'Output-Calculation-sheet'!B11*'Output-Calculation-sheet'!B128</f>
        <v>872006431.93294692</v>
      </c>
      <c r="C155" s="2">
        <f>C12/'Output-Calculation-sheet'!C11*'Output-Calculation-sheet'!C128</f>
        <v>112069584.1090226</v>
      </c>
      <c r="D155" s="2">
        <f>D12/'Output-Calculation-sheet'!D11*'Output-Calculation-sheet'!D128</f>
        <v>8739001610.3829975</v>
      </c>
      <c r="E155" s="2">
        <f>E12/'Output-Calculation-sheet'!E11*'Output-Calculation-sheet'!E128</f>
        <v>1627778551.6083934</v>
      </c>
      <c r="F155" s="2">
        <f>F12/'Output-Calculation-sheet'!F11*'Output-Calculation-sheet'!F128</f>
        <v>2519859912.617291</v>
      </c>
      <c r="G155" s="2">
        <f>G12/'Output-Calculation-sheet'!G11*'Output-Calculation-sheet'!G128</f>
        <v>2250736343.1527376</v>
      </c>
      <c r="H155" s="2">
        <f>H12/'Output-Calculation-sheet'!H11*'Output-Calculation-sheet'!H128</f>
        <v>180400058.57609108</v>
      </c>
      <c r="I155" s="2">
        <f>I12/'Output-Calculation-sheet'!I11*'Output-Calculation-sheet'!I128</f>
        <v>2244395896.1092973</v>
      </c>
      <c r="J155" s="2">
        <f>J12/'Output-Calculation-sheet'!J11*'Output-Calculation-sheet'!J128</f>
        <v>2149015688.7439179</v>
      </c>
      <c r="K155" s="2">
        <f>K12/'Output-Calculation-sheet'!K11*'Output-Calculation-sheet'!K128</f>
        <v>2440324106.704267</v>
      </c>
      <c r="L155" s="2">
        <f>L12/'Output-Calculation-sheet'!L11*'Output-Calculation-sheet'!L128</f>
        <v>1764716398.5582964</v>
      </c>
      <c r="M155" s="2">
        <f>M12/'Output-Calculation-sheet'!M11*'Output-Calculation-sheet'!M128</f>
        <v>150455837.8865326</v>
      </c>
      <c r="N155" s="2">
        <f>N12/'Output-Calculation-sheet'!N11*'Output-Calculation-sheet'!N128</f>
        <v>152276294.74344957</v>
      </c>
      <c r="O155" s="2">
        <f>O12/'Output-Calculation-sheet'!O11*'Output-Calculation-sheet'!O128</f>
        <v>50428943.062991522</v>
      </c>
      <c r="P155" s="2">
        <f>P12/'Output-Calculation-sheet'!P11*'Output-Calculation-sheet'!P128</f>
        <v>170213418.49179962</v>
      </c>
      <c r="Q155" s="2">
        <f>Q12/'Output-Calculation-sheet'!Q11*'Output-Calculation-sheet'!Q128</f>
        <v>1014459004.744773</v>
      </c>
      <c r="R155" s="2">
        <f>R12/'Output-Calculation-sheet'!R11*'Output-Calculation-sheet'!R128</f>
        <v>1134311216.052629</v>
      </c>
      <c r="S155" s="2">
        <f>S12/'Output-Calculation-sheet'!S11*'Output-Calculation-sheet'!S128</f>
        <v>79520458.828959733</v>
      </c>
      <c r="T155" s="2">
        <f>T12/'Output-Calculation-sheet'!T11*'Output-Calculation-sheet'!T128</f>
        <v>266764511.87800169</v>
      </c>
      <c r="U155" s="2">
        <f>U12/'Output-Calculation-sheet'!U11*'Output-Calculation-sheet'!U128</f>
        <v>525000499.93077499</v>
      </c>
      <c r="V155" s="2">
        <f>V12/'Output-Calculation-sheet'!V11*'Output-Calculation-sheet'!V128</f>
        <v>131005057.6742496</v>
      </c>
      <c r="W155" s="2">
        <f>W12/'Output-Calculation-sheet'!W11*'Output-Calculation-sheet'!W128</f>
        <v>121582835.33786364</v>
      </c>
      <c r="X155" s="2">
        <f>X12/'Output-Calculation-sheet'!X11*'Output-Calculation-sheet'!X128</f>
        <v>4626559.9492983688</v>
      </c>
      <c r="Y155" s="2">
        <f>Y12/'Output-Calculation-sheet'!Y11*'Output-Calculation-sheet'!Y128</f>
        <v>35976538.857005425</v>
      </c>
      <c r="AA155" s="2">
        <f t="shared" si="13"/>
        <v>28736.925759933587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1294.5215009654914</v>
      </c>
      <c r="C19" s="2">
        <f>C8/'Output-Calculation-sheet'!C7*'Output-Calculation-sheet'!C25</f>
        <v>6090.6801647873244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1844.9402605949433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1281.5687544097866</v>
      </c>
      <c r="N19" s="2">
        <f>N8/'Output-Calculation-sheet'!N7*'Output-Calculation-sheet'!N25</f>
        <v>1066.1137596307999</v>
      </c>
      <c r="O19" s="2">
        <f>O8/'Output-Calculation-sheet'!O7*'Output-Calculation-sheet'!O25</f>
        <v>669.10162165560962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493.04704928784429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138.70138890720509</v>
      </c>
      <c r="Y19" s="2">
        <f>Y8/'Output-Calculation-sheet'!Y7*'Output-Calculation-sheet'!Y25</f>
        <v>0</v>
      </c>
      <c r="AA19" s="2">
        <f t="shared" si="0"/>
        <v>12.878674500239006</v>
      </c>
    </row>
    <row r="20" spans="1:27" x14ac:dyDescent="0.25">
      <c r="A20" s="2">
        <v>2032</v>
      </c>
      <c r="B20" s="2">
        <f>B9/'Output-Calculation-sheet'!B8*'Output-Calculation-sheet'!B26</f>
        <v>6704.5637751697514</v>
      </c>
      <c r="C20" s="2">
        <f>C9/'Output-Calculation-sheet'!C8*'Output-Calculation-sheet'!C26</f>
        <v>3676.6190914922663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2207.0925945712006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1542.3315371820477</v>
      </c>
      <c r="N20" s="2">
        <f>N9/'Output-Calculation-sheet'!N8*'Output-Calculation-sheet'!N26</f>
        <v>1068.8777835704943</v>
      </c>
      <c r="O20" s="2">
        <f>O9/'Output-Calculation-sheet'!O8*'Output-Calculation-sheet'!O26</f>
        <v>718.34323498058734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507.02560903357545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167.8281968902956</v>
      </c>
      <c r="Y20" s="2">
        <f>Y9/'Output-Calculation-sheet'!Y8*'Output-Calculation-sheet'!Y26</f>
        <v>0</v>
      </c>
      <c r="AA20" s="2">
        <f t="shared" si="0"/>
        <v>16.592681822890221</v>
      </c>
    </row>
    <row r="21" spans="1:27" x14ac:dyDescent="0.25">
      <c r="A21" s="2">
        <v>2033</v>
      </c>
      <c r="B21" s="2">
        <f>B10/'Output-Calculation-sheet'!B9*'Output-Calculation-sheet'!B27</f>
        <v>6566.0283345977568</v>
      </c>
      <c r="C21" s="2">
        <f>C10/'Output-Calculation-sheet'!C9*'Output-Calculation-sheet'!C27</f>
        <v>4035.7588901296867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1323.2316801888339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936.59429900683722</v>
      </c>
      <c r="N21" s="2">
        <f>N10/'Output-Calculation-sheet'!N9*'Output-Calculation-sheet'!N27</f>
        <v>948.48651017196335</v>
      </c>
      <c r="O21" s="2">
        <f>O10/'Output-Calculation-sheet'!O9*'Output-Calculation-sheet'!O27</f>
        <v>790.11506693849765</v>
      </c>
      <c r="P21" s="2">
        <f>P10/'Output-Calculation-sheet'!P9*'Output-Calculation-sheet'!P27</f>
        <v>0</v>
      </c>
      <c r="Q21" s="2">
        <f>Q10/'Output-Calculation-sheet'!Q9*'Output-Calculation-sheet'!Q27</f>
        <v>10.845652730773386</v>
      </c>
      <c r="R21" s="2">
        <f>R10/'Output-Calculation-sheet'!R9*'Output-Calculation-sheet'!R27</f>
        <v>0</v>
      </c>
      <c r="S21" s="2">
        <f>S10/'Output-Calculation-sheet'!S9*'Output-Calculation-sheet'!S27</f>
        <v>451.63415902330314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93.522965981286745</v>
      </c>
      <c r="Y21" s="2">
        <f>Y10/'Output-Calculation-sheet'!Y9*'Output-Calculation-sheet'!Y27</f>
        <v>0</v>
      </c>
      <c r="AA21" s="2">
        <f t="shared" si="0"/>
        <v>15.156217558768939</v>
      </c>
    </row>
    <row r="22" spans="1:27" x14ac:dyDescent="0.25">
      <c r="A22" s="2">
        <v>2034</v>
      </c>
      <c r="B22" s="2">
        <f>B11/'Output-Calculation-sheet'!B10*'Output-Calculation-sheet'!B28</f>
        <v>5944.7458552900016</v>
      </c>
      <c r="C22" s="2">
        <f>C11/'Output-Calculation-sheet'!C10*'Output-Calculation-sheet'!C28</f>
        <v>598.88481060013976</v>
      </c>
      <c r="D22" s="2">
        <f>D11/'Output-Calculation-sheet'!D10*'Output-Calculation-sheet'!D28</f>
        <v>0</v>
      </c>
      <c r="E22" s="2">
        <f>E11/'Output-Calculation-sheet'!E10*'Output-Calculation-sheet'!E28</f>
        <v>2026.9890798051981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1576.910626941901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1206.1012520602599</v>
      </c>
      <c r="M22" s="2">
        <f>M11/'Output-Calculation-sheet'!M10*'Output-Calculation-sheet'!M28</f>
        <v>1122.2812825118765</v>
      </c>
      <c r="N22" s="2">
        <f>N11/'Output-Calculation-sheet'!N10*'Output-Calculation-sheet'!N28</f>
        <v>750.25144017787238</v>
      </c>
      <c r="O22" s="2">
        <f>O11/'Output-Calculation-sheet'!O10*'Output-Calculation-sheet'!O28</f>
        <v>117.47264938330713</v>
      </c>
      <c r="P22" s="2">
        <f>P11/'Output-Calculation-sheet'!P10*'Output-Calculation-sheet'!P28</f>
        <v>0</v>
      </c>
      <c r="Q22" s="2">
        <f>Q11/'Output-Calculation-sheet'!Q10*'Output-Calculation-sheet'!Q28</f>
        <v>384.58454185337752</v>
      </c>
      <c r="R22" s="2">
        <f>R11/'Output-Calculation-sheet'!R10*'Output-Calculation-sheet'!R28</f>
        <v>0</v>
      </c>
      <c r="S22" s="2">
        <f>S11/'Output-Calculation-sheet'!S10*'Output-Calculation-sheet'!S28</f>
        <v>280.91794102706046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110.27194995337831</v>
      </c>
      <c r="Y22" s="2">
        <f>Y11/'Output-Calculation-sheet'!Y10*'Output-Calculation-sheet'!Y28</f>
        <v>44.949961412341501</v>
      </c>
      <c r="AA22" s="2">
        <f t="shared" si="0"/>
        <v>14.164361391016714</v>
      </c>
    </row>
    <row r="23" spans="1:27" x14ac:dyDescent="0.25">
      <c r="A23" s="2">
        <v>2035</v>
      </c>
      <c r="B23" s="2">
        <f>B12/'Output-Calculation-sheet'!B11*'Output-Calculation-sheet'!B29</f>
        <v>1404.027228413293</v>
      </c>
      <c r="C23" s="2">
        <f>C12/'Output-Calculation-sheet'!C11*'Output-Calculation-sheet'!C29</f>
        <v>263.86701450371328</v>
      </c>
      <c r="D23" s="2">
        <f>D12/'Output-Calculation-sheet'!D11*'Output-Calculation-sheet'!D29</f>
        <v>0</v>
      </c>
      <c r="E23" s="2">
        <f>E12/'Output-Calculation-sheet'!E11*'Output-Calculation-sheet'!E29</f>
        <v>3554.9978538577138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428.01848069647178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1792.0835018338737</v>
      </c>
      <c r="M23" s="2">
        <f>M12/'Output-Calculation-sheet'!M11*'Output-Calculation-sheet'!M29</f>
        <v>358.88365592665195</v>
      </c>
      <c r="N23" s="2">
        <f>N12/'Output-Calculation-sheet'!N11*'Output-Calculation-sheet'!N29</f>
        <v>250.29237810024011</v>
      </c>
      <c r="O23" s="2">
        <f>O12/'Output-Calculation-sheet'!O11*'Output-Calculation-sheet'!O29</f>
        <v>28.916489516809751</v>
      </c>
      <c r="P23" s="2">
        <f>P12/'Output-Calculation-sheet'!P11*'Output-Calculation-sheet'!P29</f>
        <v>49.807987633134978</v>
      </c>
      <c r="Q23" s="2">
        <f>Q12/'Output-Calculation-sheet'!Q11*'Output-Calculation-sheet'!Q29</f>
        <v>698.36708136327888</v>
      </c>
      <c r="R23" s="2">
        <f>R12/'Output-Calculation-sheet'!R11*'Output-Calculation-sheet'!R29</f>
        <v>0</v>
      </c>
      <c r="S23" s="2">
        <f>S12/'Output-Calculation-sheet'!S11*'Output-Calculation-sheet'!S29</f>
        <v>148.69618310772367</v>
      </c>
      <c r="T23" s="2">
        <f>T12/'Output-Calculation-sheet'!T11*'Output-Calculation-sheet'!T29</f>
        <v>0</v>
      </c>
      <c r="U23" s="2">
        <f>U12/'Output-Calculation-sheet'!U11*'Output-Calculation-sheet'!U29</f>
        <v>162.11642937233853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13.00826098010433</v>
      </c>
      <c r="Y23" s="2">
        <f>Y12/'Output-Calculation-sheet'!Y11*'Output-Calculation-sheet'!Y29</f>
        <v>110.16773499288125</v>
      </c>
      <c r="AA23" s="2">
        <f t="shared" si="0"/>
        <v>9.2632502802982284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22564.804044636767</v>
      </c>
      <c r="C30" s="2">
        <f>C8/'Output-Calculation-sheet'!C7*'Output-Calculation-sheet'!C16</f>
        <v>0</v>
      </c>
      <c r="D30" s="2">
        <f>D8/'Output-Calculation-sheet'!D7*'Output-Calculation-sheet'!D16</f>
        <v>3799.5863771966124</v>
      </c>
      <c r="E30" s="2">
        <f>E8/'Output-Calculation-sheet'!E7*'Output-Calculation-sheet'!E16</f>
        <v>4088.14552620625</v>
      </c>
      <c r="F30" s="2">
        <f>F8/'Output-Calculation-sheet'!F7*'Output-Calculation-sheet'!F16</f>
        <v>2062.5248760287509</v>
      </c>
      <c r="G30" s="2">
        <f>G8/'Output-Calculation-sheet'!G7*'Output-Calculation-sheet'!G16</f>
        <v>1350.690861141188</v>
      </c>
      <c r="H30" s="2">
        <f>H8/'Output-Calculation-sheet'!H7*'Output-Calculation-sheet'!H16</f>
        <v>0</v>
      </c>
      <c r="I30" s="2">
        <f>I8/'Output-Calculation-sheet'!I7*'Output-Calculation-sheet'!I16</f>
        <v>1316.7374373347348</v>
      </c>
      <c r="J30" s="2">
        <f>J8/'Output-Calculation-sheet'!J7*'Output-Calculation-sheet'!J16</f>
        <v>1172.1333686401333</v>
      </c>
      <c r="K30" s="2">
        <f>K8/'Output-Calculation-sheet'!K7*'Output-Calculation-sheet'!K16</f>
        <v>1565.0234442737678</v>
      </c>
      <c r="L30" s="2">
        <f>L8/'Output-Calculation-sheet'!L7*'Output-Calculation-sheet'!L16</f>
        <v>1321.9369465817115</v>
      </c>
      <c r="M30" s="2">
        <f>M8/'Output-Calculation-sheet'!M7*'Output-Calculation-sheet'!M16</f>
        <v>0</v>
      </c>
      <c r="N30" s="2">
        <f>N8/'Output-Calculation-sheet'!N7*'Output-Calculation-sheet'!N16</f>
        <v>1215.3471344192919</v>
      </c>
      <c r="O30" s="2">
        <f>O8/'Output-Calculation-sheet'!O7*'Output-Calculation-sheet'!O16</f>
        <v>0</v>
      </c>
      <c r="P30" s="2">
        <f>P8/'Output-Calculation-sheet'!P7*'Output-Calculation-sheet'!P16</f>
        <v>1687.62353872938</v>
      </c>
      <c r="Q30" s="2">
        <f>Q8/'Output-Calculation-sheet'!Q7*'Output-Calculation-sheet'!Q16</f>
        <v>1855.83716285274</v>
      </c>
      <c r="R30" s="2">
        <f>R8/'Output-Calculation-sheet'!R7*'Output-Calculation-sheet'!R16</f>
        <v>1177.5353114304635</v>
      </c>
      <c r="S30" s="2">
        <f>S8/'Output-Calculation-sheet'!S7*'Output-Calculation-sheet'!S16</f>
        <v>1184.2569740943536</v>
      </c>
      <c r="T30" s="2">
        <f>T8/'Output-Calculation-sheet'!T7*'Output-Calculation-sheet'!T16</f>
        <v>353.47697657870992</v>
      </c>
      <c r="U30" s="2">
        <f>U8/'Output-Calculation-sheet'!U7*'Output-Calculation-sheet'!U16</f>
        <v>352.846758504153</v>
      </c>
      <c r="V30" s="2">
        <f>V8/'Output-Calculation-sheet'!V7*'Output-Calculation-sheet'!V16</f>
        <v>274.61273246808435</v>
      </c>
      <c r="W30" s="2">
        <f>W8/'Output-Calculation-sheet'!W7*'Output-Calculation-sheet'!W16</f>
        <v>166.56853071775515</v>
      </c>
      <c r="X30" s="2">
        <f>X8/'Output-Calculation-sheet'!X7*'Output-Calculation-sheet'!X16</f>
        <v>0</v>
      </c>
      <c r="Y30" s="2">
        <f>Y8/'Output-Calculation-sheet'!Y7*'Output-Calculation-sheet'!Y16</f>
        <v>140.97880698478349</v>
      </c>
      <c r="AA30" s="2">
        <f t="shared" si="1"/>
        <v>47.650666808819636</v>
      </c>
    </row>
    <row r="31" spans="1:27" x14ac:dyDescent="0.25">
      <c r="A31" s="2">
        <v>2032</v>
      </c>
      <c r="B31" s="2">
        <f>B9/'Output-Calculation-sheet'!B8*'Output-Calculation-sheet'!B17</f>
        <v>28188.762384283404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1102.2103178984569</v>
      </c>
      <c r="O31" s="2">
        <f>O9/'Output-Calculation-sheet'!O8*'Output-Calculation-sheet'!O17</f>
        <v>0</v>
      </c>
      <c r="P31" s="2">
        <f>P9/'Output-Calculation-sheet'!P8*'Output-Calculation-sheet'!P17</f>
        <v>2754.7928625205568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912.26396384424254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64.58379669746148</v>
      </c>
    </row>
    <row r="32" spans="1:27" x14ac:dyDescent="0.25">
      <c r="A32" s="2">
        <v>2033</v>
      </c>
      <c r="B32" s="2">
        <f>B10/'Output-Calculation-sheet'!B9*'Output-Calculation-sheet'!B18</f>
        <v>23751.060440645633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3718.381288886821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961.32871763525134</v>
      </c>
      <c r="O32" s="2">
        <f>O10/'Output-Calculation-sheet'!O9*'Output-Calculation-sheet'!O18</f>
        <v>0</v>
      </c>
      <c r="P32" s="2">
        <f>P10/'Output-Calculation-sheet'!P9*'Output-Calculation-sheet'!P18</f>
        <v>3827.0290114351096</v>
      </c>
      <c r="Q32" s="2">
        <f>Q10/'Output-Calculation-sheet'!Q9*'Output-Calculation-sheet'!Q18</f>
        <v>3543.7033253564141</v>
      </c>
      <c r="R32" s="2">
        <f>R10/'Output-Calculation-sheet'!R9*'Output-Calculation-sheet'!R18</f>
        <v>2748.1365878217489</v>
      </c>
      <c r="S32" s="2">
        <f>S10/'Output-Calculation-sheet'!S9*'Output-Calculation-sheet'!S18</f>
        <v>874.52498230959986</v>
      </c>
      <c r="T32" s="2">
        <f>T10/'Output-Calculation-sheet'!T9*'Output-Calculation-sheet'!T18</f>
        <v>802.38210269747105</v>
      </c>
      <c r="U32" s="2">
        <f>U10/'Output-Calculation-sheet'!U9*'Output-Calculation-sheet'!U18</f>
        <v>887.00690839779475</v>
      </c>
      <c r="V32" s="2">
        <f>V10/'Output-Calculation-sheet'!V9*'Output-Calculation-sheet'!V18</f>
        <v>654.6738766316513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379.09068801911411</v>
      </c>
      <c r="AA32" s="2">
        <f t="shared" si="1"/>
        <v>75.50675667063274</v>
      </c>
    </row>
    <row r="33" spans="1:27" x14ac:dyDescent="0.25">
      <c r="A33" s="2">
        <v>2034</v>
      </c>
      <c r="B33" s="2">
        <f>B11/'Output-Calculation-sheet'!B10*'Output-Calculation-sheet'!B19</f>
        <v>17942.060891228903</v>
      </c>
      <c r="C33" s="2">
        <f>C11/'Output-Calculation-sheet'!C10*'Output-Calculation-sheet'!C19</f>
        <v>0</v>
      </c>
      <c r="D33" s="2">
        <f>D11/'Output-Calculation-sheet'!D10*'Output-Calculation-sheet'!D19</f>
        <v>11935.781200334013</v>
      </c>
      <c r="E33" s="2">
        <f>E11/'Output-Calculation-sheet'!E10*'Output-Calculation-sheet'!E19</f>
        <v>14769.191017010873</v>
      </c>
      <c r="F33" s="2">
        <f>F11/'Output-Calculation-sheet'!F10*'Output-Calculation-sheet'!F19</f>
        <v>6774.4308460755637</v>
      </c>
      <c r="G33" s="2">
        <f>G11/'Output-Calculation-sheet'!G10*'Output-Calculation-sheet'!G19</f>
        <v>4062.6304106614543</v>
      </c>
      <c r="H33" s="2">
        <f>H11/'Output-Calculation-sheet'!H10*'Output-Calculation-sheet'!H19</f>
        <v>0</v>
      </c>
      <c r="I33" s="2">
        <f>I11/'Output-Calculation-sheet'!I10*'Output-Calculation-sheet'!I19</f>
        <v>4433.396445220209</v>
      </c>
      <c r="J33" s="2">
        <f>J11/'Output-Calculation-sheet'!J10*'Output-Calculation-sheet'!J19</f>
        <v>3748.6190861216965</v>
      </c>
      <c r="K33" s="2">
        <f>K11/'Output-Calculation-sheet'!K10*'Output-Calculation-sheet'!K19</f>
        <v>5199.4674454504502</v>
      </c>
      <c r="L33" s="2">
        <f>L11/'Output-Calculation-sheet'!L10*'Output-Calculation-sheet'!L19</f>
        <v>4229.0837391274918</v>
      </c>
      <c r="M33" s="2">
        <f>M11/'Output-Calculation-sheet'!M10*'Output-Calculation-sheet'!M19</f>
        <v>0</v>
      </c>
      <c r="N33" s="2">
        <f>N11/'Output-Calculation-sheet'!N10*'Output-Calculation-sheet'!N19</f>
        <v>802.78674587499586</v>
      </c>
      <c r="O33" s="2">
        <f>O11/'Output-Calculation-sheet'!O10*'Output-Calculation-sheet'!O19</f>
        <v>0</v>
      </c>
      <c r="P33" s="2">
        <f>P11/'Output-Calculation-sheet'!P10*'Output-Calculation-sheet'!P19</f>
        <v>3973.9251956254952</v>
      </c>
      <c r="Q33" s="2">
        <f>Q11/'Output-Calculation-sheet'!Q10*'Output-Calculation-sheet'!Q19</f>
        <v>2533.2231471915738</v>
      </c>
      <c r="R33" s="2">
        <f>R11/'Output-Calculation-sheet'!R10*'Output-Calculation-sheet'!R19</f>
        <v>3756.1195245746749</v>
      </c>
      <c r="S33" s="2">
        <f>S11/'Output-Calculation-sheet'!S10*'Output-Calculation-sheet'!S19</f>
        <v>510.33077614671822</v>
      </c>
      <c r="T33" s="2">
        <f>T11/'Output-Calculation-sheet'!T10*'Output-Calculation-sheet'!T19</f>
        <v>1102.0374989165477</v>
      </c>
      <c r="U33" s="2">
        <f>U11/'Output-Calculation-sheet'!U10*'Output-Calculation-sheet'!U19</f>
        <v>1267.5777398304181</v>
      </c>
      <c r="V33" s="2">
        <f>V11/'Output-Calculation-sheet'!V10*'Output-Calculation-sheet'!V19</f>
        <v>864.43895402665078</v>
      </c>
      <c r="W33" s="2">
        <f>W11/'Output-Calculation-sheet'!W10*'Output-Calculation-sheet'!W19</f>
        <v>538.16039955593169</v>
      </c>
      <c r="X33" s="2">
        <f>X11/'Output-Calculation-sheet'!X10*'Output-Calculation-sheet'!X19</f>
        <v>0</v>
      </c>
      <c r="Y33" s="2">
        <f>Y11/'Output-Calculation-sheet'!Y10*'Output-Calculation-sheet'!Y19</f>
        <v>440.66394975890006</v>
      </c>
      <c r="AA33" s="2">
        <f t="shared" si="1"/>
        <v>88.883925012732561</v>
      </c>
    </row>
    <row r="34" spans="1:27" x14ac:dyDescent="0.25">
      <c r="A34" s="2">
        <v>2035</v>
      </c>
      <c r="B34" s="2">
        <f>B12/'Output-Calculation-sheet'!B11*'Output-Calculation-sheet'!B20</f>
        <v>286.97728786116045</v>
      </c>
      <c r="C34" s="2">
        <f>C12/'Output-Calculation-sheet'!C11*'Output-Calculation-sheet'!C20</f>
        <v>0</v>
      </c>
      <c r="D34" s="2">
        <f>D12/'Output-Calculation-sheet'!D11*'Output-Calculation-sheet'!D20</f>
        <v>12781.866006218357</v>
      </c>
      <c r="E34" s="2">
        <f>E12/'Output-Calculation-sheet'!E11*'Output-Calculation-sheet'!E20</f>
        <v>7544.2792811095942</v>
      </c>
      <c r="F34" s="2">
        <f>F12/'Output-Calculation-sheet'!F11*'Output-Calculation-sheet'!F20</f>
        <v>8729.8630972950505</v>
      </c>
      <c r="G34" s="2">
        <f>G12/'Output-Calculation-sheet'!G11*'Output-Calculation-sheet'!G20</f>
        <v>4707.7938337363767</v>
      </c>
      <c r="H34" s="2">
        <f>H12/'Output-Calculation-sheet'!H11*'Output-Calculation-sheet'!H20</f>
        <v>0</v>
      </c>
      <c r="I34" s="2">
        <f>I12/'Output-Calculation-sheet'!I11*'Output-Calculation-sheet'!I20</f>
        <v>5125.3512402374545</v>
      </c>
      <c r="J34" s="2">
        <f>J12/'Output-Calculation-sheet'!J11*'Output-Calculation-sheet'!J20</f>
        <v>4392.7111774262194</v>
      </c>
      <c r="K34" s="2">
        <f>K12/'Output-Calculation-sheet'!K11*'Output-Calculation-sheet'!K20</f>
        <v>5775.4266821200781</v>
      </c>
      <c r="L34" s="2">
        <f>L12/'Output-Calculation-sheet'!L11*'Output-Calculation-sheet'!L20</f>
        <v>4562.9471157493126</v>
      </c>
      <c r="M34" s="2">
        <f>M12/'Output-Calculation-sheet'!M11*'Output-Calculation-sheet'!M20</f>
        <v>0</v>
      </c>
      <c r="N34" s="2">
        <f>N12/'Output-Calculation-sheet'!N11*'Output-Calculation-sheet'!N20</f>
        <v>0.88038643925947824</v>
      </c>
      <c r="O34" s="2">
        <f>O12/'Output-Calculation-sheet'!O11*'Output-Calculation-sheet'!O20</f>
        <v>0</v>
      </c>
      <c r="P34" s="2">
        <f>P12/'Output-Calculation-sheet'!P11*'Output-Calculation-sheet'!P20</f>
        <v>1437.5618898115019</v>
      </c>
      <c r="Q34" s="2">
        <f>Q12/'Output-Calculation-sheet'!Q11*'Output-Calculation-sheet'!Q20</f>
        <v>2238.3240433574992</v>
      </c>
      <c r="R34" s="2">
        <f>R12/'Output-Calculation-sheet'!R11*'Output-Calculation-sheet'!R20</f>
        <v>4535.2590102106878</v>
      </c>
      <c r="S34" s="2">
        <f>S12/'Output-Calculation-sheet'!S11*'Output-Calculation-sheet'!S20</f>
        <v>9.3415637817477997</v>
      </c>
      <c r="T34" s="2">
        <f>T12/'Output-Calculation-sheet'!T11*'Output-Calculation-sheet'!T20</f>
        <v>1417.2496974010328</v>
      </c>
      <c r="U34" s="2">
        <f>U12/'Output-Calculation-sheet'!U11*'Output-Calculation-sheet'!U20</f>
        <v>1295.71012937261</v>
      </c>
      <c r="V34" s="2">
        <f>V12/'Output-Calculation-sheet'!V11*'Output-Calculation-sheet'!V20</f>
        <v>1187.0389987435055</v>
      </c>
      <c r="W34" s="2">
        <f>W12/'Output-Calculation-sheet'!W11*'Output-Calculation-sheet'!W20</f>
        <v>766.93003966259153</v>
      </c>
      <c r="X34" s="2">
        <f>X12/'Output-Calculation-sheet'!X11*'Output-Calculation-sheet'!X20</f>
        <v>0</v>
      </c>
      <c r="Y34" s="2">
        <f>Y12/'Output-Calculation-sheet'!Y11*'Output-Calculation-sheet'!Y20</f>
        <v>190.93858380600696</v>
      </c>
      <c r="AA34" s="2">
        <f t="shared" si="1"/>
        <v>66.986450064340033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0.19057150822026148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0.19102891588527957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2.7843207148464319E-2</v>
      </c>
      <c r="I45" s="2">
        <f>I12/'Output-Calculation-sheet'!I11*'Output-Calculation-sheet'!I38*0.0114</f>
        <v>0.10340606800035039</v>
      </c>
      <c r="J45" s="2">
        <f>J12/'Output-Calculation-sheet'!J11*'Output-Calculation-sheet'!J38*0.0114</f>
        <v>7.6753315258257196E-2</v>
      </c>
      <c r="K45" s="2">
        <f>K12/'Output-Calculation-sheet'!K11*'Output-Calculation-sheet'!K38*0.0114</f>
        <v>0.1270396312296028</v>
      </c>
      <c r="L45" s="2">
        <f>L12/'Output-Calculation-sheet'!L11*'Output-Calculation-sheet'!L38*0.0114</f>
        <v>8.0812853161128906E-2</v>
      </c>
      <c r="M45" s="2">
        <f>M12/'Output-Calculation-sheet'!M11*'Output-Calculation-sheet'!M38*0.0114</f>
        <v>1.9158836205782539E-2</v>
      </c>
      <c r="N45" s="2">
        <f>N12/'Output-Calculation-sheet'!N11*'Output-Calculation-sheet'!N38*0.0114</f>
        <v>1.883002890723837E-2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1.7395639196646513E-2</v>
      </c>
      <c r="Q45" s="2">
        <f>Q12/'Output-Calculation-sheet'!Q11*'Output-Calculation-sheet'!Q38*0.0114</f>
        <v>0.13198390652558306</v>
      </c>
      <c r="R45" s="2">
        <f>R12/'Output-Calculation-sheet'!R11*'Output-Calculation-sheet'!R38*0.0114</f>
        <v>6.5443459481999575E-2</v>
      </c>
      <c r="S45" s="2">
        <f>S12/'Output-Calculation-sheet'!S11*'Output-Calculation-sheet'!S38*0.0114</f>
        <v>1.0794022614223082E-2</v>
      </c>
      <c r="T45" s="2">
        <f>T12/'Output-Calculation-sheet'!T11*'Output-Calculation-sheet'!T38*0.0114</f>
        <v>1.8158711022548124E-2</v>
      </c>
      <c r="U45" s="2">
        <f>U12/'Output-Calculation-sheet'!U11*'Output-Calculation-sheet'!U38*0.0114</f>
        <v>2.6319251246726828E-2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6.0847279070117164E-3</v>
      </c>
      <c r="AA45" s="2">
        <f t="shared" si="2"/>
        <v>1.7919529176754871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0.17973037109779164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243.65233669364176</v>
      </c>
      <c r="R54" s="2">
        <f>R10/'Output-Calculation-sheet'!R9*'Output-Calculation-sheet'!R45</f>
        <v>1823.975688455718</v>
      </c>
      <c r="S54" s="2">
        <f>S10/'Output-Calculation-sheet'!S9*'Output-Calculation-sheet'!S45</f>
        <v>0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22.734562485773587</v>
      </c>
      <c r="AA54" s="2">
        <f t="shared" si="3"/>
        <v>6.0018347610133498</v>
      </c>
    </row>
    <row r="55" spans="1:27" x14ac:dyDescent="0.25">
      <c r="A55" s="2">
        <v>2034</v>
      </c>
      <c r="B55" s="2">
        <f>B11/'Output-Calculation-sheet'!B10*'Output-Calculation-sheet'!B46</f>
        <v>2345.344954152366</v>
      </c>
      <c r="C55" s="2">
        <f>C11/'Output-Calculation-sheet'!C10*'Output-Calculation-sheet'!C46</f>
        <v>0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799.54847749006979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4925.9549931138035</v>
      </c>
      <c r="L55" s="2">
        <f>L11/'Output-Calculation-sheet'!L10*'Output-Calculation-sheet'!L46</f>
        <v>1821.6948855507744</v>
      </c>
      <c r="M55" s="2">
        <f>M11/'Output-Calculation-sheet'!M10*'Output-Calculation-sheet'!M46</f>
        <v>592.6086311414017</v>
      </c>
      <c r="N55" s="2">
        <f>N11/'Output-Calculation-sheet'!N10*'Output-Calculation-sheet'!N46</f>
        <v>202.38567993892633</v>
      </c>
      <c r="O55" s="2">
        <f>O11/'Output-Calculation-sheet'!O10*'Output-Calculation-sheet'!O46</f>
        <v>0</v>
      </c>
      <c r="P55" s="2">
        <f>P11/'Output-Calculation-sheet'!P10*'Output-Calculation-sheet'!P46</f>
        <v>4401.6170827414307</v>
      </c>
      <c r="Q55" s="2">
        <f>Q11/'Output-Calculation-sheet'!Q10*'Output-Calculation-sheet'!Q46</f>
        <v>943.45516759339921</v>
      </c>
      <c r="R55" s="2">
        <f>R11/'Output-Calculation-sheet'!R10*'Output-Calculation-sheet'!R46</f>
        <v>5456.6274747857733</v>
      </c>
      <c r="S55" s="2">
        <f>S11/'Output-Calculation-sheet'!S10*'Output-Calculation-sheet'!S46</f>
        <v>0</v>
      </c>
      <c r="T55" s="2">
        <f>T11/'Output-Calculation-sheet'!T10*'Output-Calculation-sheet'!T46</f>
        <v>1235.5821808589062</v>
      </c>
      <c r="U55" s="2">
        <f>U11/'Output-Calculation-sheet'!U10*'Output-Calculation-sheet'!U46</f>
        <v>2071.7184887163316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56.560771859272194</v>
      </c>
      <c r="Y55" s="2">
        <f>Y11/'Output-Calculation-sheet'!Y10*'Output-Calculation-sheet'!Y46</f>
        <v>393.39141475277495</v>
      </c>
      <c r="AA55" s="2">
        <f t="shared" si="3"/>
        <v>58.888902932955872</v>
      </c>
    </row>
    <row r="56" spans="1:27" x14ac:dyDescent="0.25">
      <c r="A56" s="2">
        <v>2035</v>
      </c>
      <c r="B56" s="2">
        <f>B12/'Output-Calculation-sheet'!B11*'Output-Calculation-sheet'!B47</f>
        <v>685.3887576342737</v>
      </c>
      <c r="C56" s="2">
        <f>C12/'Output-Calculation-sheet'!C11*'Output-Calculation-sheet'!C47</f>
        <v>539.52422005149299</v>
      </c>
      <c r="D56" s="2">
        <f>D12/'Output-Calculation-sheet'!D11*'Output-Calculation-sheet'!D47</f>
        <v>12468.227531806373</v>
      </c>
      <c r="E56" s="2">
        <f>E12/'Output-Calculation-sheet'!E11*'Output-Calculation-sheet'!E47</f>
        <v>15187.357376961259</v>
      </c>
      <c r="F56" s="2">
        <f>F12/'Output-Calculation-sheet'!F11*'Output-Calculation-sheet'!F47</f>
        <v>3959.1327384043652</v>
      </c>
      <c r="G56" s="2">
        <f>G12/'Output-Calculation-sheet'!G11*'Output-Calculation-sheet'!G47</f>
        <v>9772.2286306238166</v>
      </c>
      <c r="H56" s="2">
        <f>H12/'Output-Calculation-sheet'!H11*'Output-Calculation-sheet'!H47</f>
        <v>202.718087133556</v>
      </c>
      <c r="I56" s="2">
        <f>I12/'Output-Calculation-sheet'!I11*'Output-Calculation-sheet'!I47</f>
        <v>4880.0407529989916</v>
      </c>
      <c r="J56" s="2">
        <f>J12/'Output-Calculation-sheet'!J11*'Output-Calculation-sheet'!J47</f>
        <v>4454.8342335567404</v>
      </c>
      <c r="K56" s="2">
        <f>K12/'Output-Calculation-sheet'!K11*'Output-Calculation-sheet'!K47</f>
        <v>6349.7527960199714</v>
      </c>
      <c r="L56" s="2">
        <f>L12/'Output-Calculation-sheet'!L11*'Output-Calculation-sheet'!L47</f>
        <v>3528.4734790308698</v>
      </c>
      <c r="M56" s="2">
        <f>M12/'Output-Calculation-sheet'!M11*'Output-Calculation-sheet'!M47</f>
        <v>141.17037204260819</v>
      </c>
      <c r="N56" s="2">
        <f>N12/'Output-Calculation-sheet'!N11*'Output-Calculation-sheet'!N47</f>
        <v>130.48879681331852</v>
      </c>
      <c r="O56" s="2">
        <f>O12/'Output-Calculation-sheet'!O11*'Output-Calculation-sheet'!O47</f>
        <v>18.49668839028342</v>
      </c>
      <c r="P56" s="2">
        <f>P12/'Output-Calculation-sheet'!P11*'Output-Calculation-sheet'!P47</f>
        <v>1869.2682470080681</v>
      </c>
      <c r="Q56" s="2">
        <f>Q12/'Output-Calculation-sheet'!Q11*'Output-Calculation-sheet'!Q47</f>
        <v>1664.2707511449617</v>
      </c>
      <c r="R56" s="2">
        <f>R12/'Output-Calculation-sheet'!R11*'Output-Calculation-sheet'!R47</f>
        <v>7521.6923496745567</v>
      </c>
      <c r="S56" s="2">
        <f>S12/'Output-Calculation-sheet'!S11*'Output-Calculation-sheet'!S47</f>
        <v>59.651177604917031</v>
      </c>
      <c r="T56" s="2">
        <f>T12/'Output-Calculation-sheet'!T11*'Output-Calculation-sheet'!T47</f>
        <v>2651.0656179994962</v>
      </c>
      <c r="U56" s="2">
        <f>U12/'Output-Calculation-sheet'!U11*'Output-Calculation-sheet'!U47</f>
        <v>2529.8803084353735</v>
      </c>
      <c r="V56" s="2">
        <f>V12/'Output-Calculation-sheet'!V11*'Output-Calculation-sheet'!V47</f>
        <v>1765.9724910505672</v>
      </c>
      <c r="W56" s="2">
        <f>W12/'Output-Calculation-sheet'!W11*'Output-Calculation-sheet'!W47</f>
        <v>1026.976446245101</v>
      </c>
      <c r="X56" s="2">
        <f>X12/'Output-Calculation-sheet'!X11*'Output-Calculation-sheet'!X47</f>
        <v>15.855413981447231</v>
      </c>
      <c r="Y56" s="2">
        <f>Y12/'Output-Calculation-sheet'!Y11*'Output-Calculation-sheet'!Y47</f>
        <v>410.63017571295438</v>
      </c>
      <c r="AA56" s="2">
        <f t="shared" si="3"/>
        <v>81.833097440325361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8.5783544795666398</v>
      </c>
      <c r="C63" s="2">
        <f>C8*'Output-Calculation-sheet'!C52/10^9</f>
        <v>4.0419907159136192</v>
      </c>
      <c r="D63" s="2">
        <f>D8*'Output-Calculation-sheet'!D52/10^9</f>
        <v>2.0085414948032603</v>
      </c>
      <c r="E63" s="2">
        <f>E8*'Output-Calculation-sheet'!E52/10^9</f>
        <v>2.2978600048595696</v>
      </c>
      <c r="F63" s="2">
        <f>F8*'Output-Calculation-sheet'!F52/10^9</f>
        <v>1.0741019326275048</v>
      </c>
      <c r="G63" s="2">
        <f>G8*'Output-Calculation-sheet'!G52/10^9</f>
        <v>0.81928809202320252</v>
      </c>
      <c r="H63" s="2">
        <f>H8*'Output-Calculation-sheet'!H52/10^9</f>
        <v>1.1148387676599851</v>
      </c>
      <c r="I63" s="2">
        <f>I8*'Output-Calculation-sheet'!I52/10^9</f>
        <v>0.64718314986113756</v>
      </c>
      <c r="J63" s="2">
        <f>J8*'Output-Calculation-sheet'!J52/10^9</f>
        <v>0.9149019857758991</v>
      </c>
      <c r="K63" s="2">
        <f>K8*'Output-Calculation-sheet'!K52/10^9</f>
        <v>0.60058823051353694</v>
      </c>
      <c r="L63" s="2">
        <f>L8*'Output-Calculation-sheet'!L52/10^9</f>
        <v>0.71107185563557518</v>
      </c>
      <c r="M63" s="2">
        <f>M8*'Output-Calculation-sheet'!M52/10^9</f>
        <v>0.81870288453967954</v>
      </c>
      <c r="N63" s="2">
        <f>N8*'Output-Calculation-sheet'!N52/10^9</f>
        <v>0.70796765655597382</v>
      </c>
      <c r="O63" s="2">
        <f>O8*'Output-Calculation-sheet'!O52/10^9</f>
        <v>0.72385414205325271</v>
      </c>
      <c r="P63" s="2">
        <f>P8*'Output-Calculation-sheet'!P52/10^9</f>
        <v>0.61080857726715798</v>
      </c>
      <c r="Q63" s="2">
        <f>Q8*'Output-Calculation-sheet'!Q52/10^9</f>
        <v>0.56975152319901068</v>
      </c>
      <c r="R63" s="2">
        <f>R8*'Output-Calculation-sheet'!R52/10^9</f>
        <v>0.51606183582689802</v>
      </c>
      <c r="S63" s="2">
        <f>S8*'Output-Calculation-sheet'!S52/10^9</f>
        <v>0.43785927305001471</v>
      </c>
      <c r="T63" s="2">
        <f>T8*'Output-Calculation-sheet'!T52/10^9</f>
        <v>0.20960400166944657</v>
      </c>
      <c r="U63" s="2">
        <f>U8*'Output-Calculation-sheet'!U52/10^9</f>
        <v>0.16345961471464723</v>
      </c>
      <c r="V63" s="2">
        <f>V8*'Output-Calculation-sheet'!V52/10^9</f>
        <v>0.27064036254894119</v>
      </c>
      <c r="W63" s="2">
        <f>W8*'Output-Calculation-sheet'!W52/10^9</f>
        <v>0.11357299412020062</v>
      </c>
      <c r="X63" s="2">
        <f>X8*'Output-Calculation-sheet'!X52/10^9</f>
        <v>0.10645605668589246</v>
      </c>
      <c r="Y63" s="2">
        <f>Y8*'Output-Calculation-sheet'!Y52/10^9</f>
        <v>6.5584182239606423E-2</v>
      </c>
      <c r="AA63" s="2">
        <f t="shared" si="4"/>
        <v>28.123043813710655</v>
      </c>
    </row>
    <row r="64" spans="1:27" x14ac:dyDescent="0.25">
      <c r="A64" s="2">
        <v>2032</v>
      </c>
      <c r="B64" s="2">
        <f>B9*'Output-Calculation-sheet'!B53/10^9</f>
        <v>9.4321253430814735</v>
      </c>
      <c r="C64" s="2">
        <f>C9*'Output-Calculation-sheet'!C53/10^9</f>
        <v>4.5340405467271454</v>
      </c>
      <c r="D64" s="2">
        <f>D9*'Output-Calculation-sheet'!D53/10^9</f>
        <v>1.9821601717610613</v>
      </c>
      <c r="E64" s="2">
        <f>E9*'Output-Calculation-sheet'!E53/10^9</f>
        <v>2.314403808714617</v>
      </c>
      <c r="F64" s="2">
        <f>F9*'Output-Calculation-sheet'!F53/10^9</f>
        <v>1.0620408541617701</v>
      </c>
      <c r="G64" s="2">
        <f>G9*'Output-Calculation-sheet'!G53/10^9</f>
        <v>0.79521227818687301</v>
      </c>
      <c r="H64" s="2">
        <f>H9*'Output-Calculation-sheet'!H53/10^9</f>
        <v>1.281867528589006</v>
      </c>
      <c r="I64" s="2">
        <f>I9*'Output-Calculation-sheet'!I53/10^9</f>
        <v>0.64486261084710295</v>
      </c>
      <c r="J64" s="2">
        <f>J9*'Output-Calculation-sheet'!J53/10^9</f>
        <v>0.8655431688977514</v>
      </c>
      <c r="K64" s="2">
        <f>K9*'Output-Calculation-sheet'!K53/10^9</f>
        <v>0.63896449568179958</v>
      </c>
      <c r="L64" s="2">
        <f>L9*'Output-Calculation-sheet'!L53/10^9</f>
        <v>0.71734696143504839</v>
      </c>
      <c r="M64" s="2">
        <f>M9*'Output-Calculation-sheet'!M53/10^9</f>
        <v>0.92739869854660606</v>
      </c>
      <c r="N64" s="2">
        <f>N9*'Output-Calculation-sheet'!N53/10^9</f>
        <v>0.82868526034916379</v>
      </c>
      <c r="O64" s="2">
        <f>O9*'Output-Calculation-sheet'!O53/10^9</f>
        <v>0.82830187867517679</v>
      </c>
      <c r="P64" s="2">
        <f>P9*'Output-Calculation-sheet'!P53/10^9</f>
        <v>0.68181230631714729</v>
      </c>
      <c r="Q64" s="2">
        <f>Q9*'Output-Calculation-sheet'!Q53/10^9</f>
        <v>0.64671578982156019</v>
      </c>
      <c r="R64" s="2">
        <f>R9*'Output-Calculation-sheet'!R53/10^9</f>
        <v>0.55017357359023566</v>
      </c>
      <c r="S64" s="2">
        <f>S9*'Output-Calculation-sheet'!S53/10^9</f>
        <v>0.50159263682465915</v>
      </c>
      <c r="T64" s="2">
        <f>T9*'Output-Calculation-sheet'!T53/10^9</f>
        <v>0.20566531758182977</v>
      </c>
      <c r="U64" s="2">
        <f>U9*'Output-Calculation-sheet'!U53/10^9</f>
        <v>0.17522575740676932</v>
      </c>
      <c r="V64" s="2">
        <f>V9*'Output-Calculation-sheet'!V53/10^9</f>
        <v>0.25538530782091612</v>
      </c>
      <c r="W64" s="2">
        <f>W9*'Output-Calculation-sheet'!W53/10^9</f>
        <v>0.10885372171781468</v>
      </c>
      <c r="X64" s="2">
        <f>X9*'Output-Calculation-sheet'!X53/10^9</f>
        <v>0.11643120094659258</v>
      </c>
      <c r="Y64" s="2">
        <f>Y9*'Output-Calculation-sheet'!Y53/10^9</f>
        <v>6.9237059944580986E-2</v>
      </c>
      <c r="AA64" s="2">
        <f t="shared" si="4"/>
        <v>30.164046277626699</v>
      </c>
    </row>
    <row r="65" spans="1:27" x14ac:dyDescent="0.25">
      <c r="A65" s="2">
        <v>2033</v>
      </c>
      <c r="B65" s="2">
        <f>B10*'Output-Calculation-sheet'!B54/10^9</f>
        <v>10.179034680618431</v>
      </c>
      <c r="C65" s="2">
        <f>C10*'Output-Calculation-sheet'!C54/10^9</f>
        <v>4.9159253940231427</v>
      </c>
      <c r="D65" s="2">
        <f>D10*'Output-Calculation-sheet'!D54/10^9</f>
        <v>1.8643565654482668</v>
      </c>
      <c r="E65" s="2">
        <f>E10*'Output-Calculation-sheet'!E54/10^9</f>
        <v>2.3742827663459729</v>
      </c>
      <c r="F65" s="2">
        <f>F10*'Output-Calculation-sheet'!F54/10^9</f>
        <v>1.0202486275441183</v>
      </c>
      <c r="G65" s="2">
        <f>G10*'Output-Calculation-sheet'!G54/10^9</f>
        <v>0.72636760903420605</v>
      </c>
      <c r="H65" s="2">
        <f>H10*'Output-Calculation-sheet'!H54/10^9</f>
        <v>1.4397197065407532</v>
      </c>
      <c r="I65" s="2">
        <f>I10*'Output-Calculation-sheet'!I54/10^9</f>
        <v>0.63687278073203424</v>
      </c>
      <c r="J65" s="2">
        <f>J10*'Output-Calculation-sheet'!J54/10^9</f>
        <v>0.75352069082571926</v>
      </c>
      <c r="K65" s="2">
        <f>K10*'Output-Calculation-sheet'!K54/10^9</f>
        <v>0.70515745226984172</v>
      </c>
      <c r="L65" s="2">
        <f>L10*'Output-Calculation-sheet'!L54/10^9</f>
        <v>0.72719833209797691</v>
      </c>
      <c r="M65" s="2">
        <f>M10*'Output-Calculation-sheet'!M54/10^9</f>
        <v>1.0245331693557276</v>
      </c>
      <c r="N65" s="2">
        <f>N10*'Output-Calculation-sheet'!N54/10^9</f>
        <v>0.93985773882621726</v>
      </c>
      <c r="O65" s="2">
        <f>O10*'Output-Calculation-sheet'!O54/10^9</f>
        <v>0.91797876461177064</v>
      </c>
      <c r="P65" s="2">
        <f>P10*'Output-Calculation-sheet'!P54/10^9</f>
        <v>0.76283491792009261</v>
      </c>
      <c r="Q65" s="2">
        <f>Q10*'Output-Calculation-sheet'!Q54/10^9</f>
        <v>0.75119937623531818</v>
      </c>
      <c r="R65" s="2">
        <f>R10*'Output-Calculation-sheet'!R54/10^9</f>
        <v>0.59675347012381175</v>
      </c>
      <c r="S65" s="2">
        <f>S10*'Output-Calculation-sheet'!S54/10^9</f>
        <v>0.55697422751880754</v>
      </c>
      <c r="T65" s="2">
        <f>T10*'Output-Calculation-sheet'!T54/10^9</f>
        <v>0.20208855512387466</v>
      </c>
      <c r="U65" s="2">
        <f>U10*'Output-Calculation-sheet'!U54/10^9</f>
        <v>0.19409089869919979</v>
      </c>
      <c r="V65" s="2">
        <f>V10*'Output-Calculation-sheet'!V54/10^9</f>
        <v>0.22868918250379</v>
      </c>
      <c r="W65" s="2">
        <f>W10*'Output-Calculation-sheet'!W54/10^9</f>
        <v>9.7735377901075879E-2</v>
      </c>
      <c r="X65" s="2">
        <f>X10*'Output-Calculation-sheet'!X54/10^9</f>
        <v>0.12239099725883262</v>
      </c>
      <c r="Y65" s="2">
        <f>Y10*'Output-Calculation-sheet'!Y54/10^9</f>
        <v>7.5824678398433681E-2</v>
      </c>
      <c r="AA65" s="2">
        <f t="shared" si="4"/>
        <v>31.813635959957413</v>
      </c>
    </row>
    <row r="66" spans="1:27" x14ac:dyDescent="0.25">
      <c r="A66" s="2">
        <v>2034</v>
      </c>
      <c r="B66" s="2">
        <f>B11*'Output-Calculation-sheet'!B55/10^9</f>
        <v>10.8375944555641</v>
      </c>
      <c r="C66" s="2">
        <f>C11*'Output-Calculation-sheet'!C55/10^9</f>
        <v>5.2634225760081224</v>
      </c>
      <c r="D66" s="2">
        <f>D11*'Output-Calculation-sheet'!D55/10^9</f>
        <v>2.1165015067782758</v>
      </c>
      <c r="E66" s="2">
        <f>E11*'Output-Calculation-sheet'!E55/10^9</f>
        <v>2.7412916663375371</v>
      </c>
      <c r="F66" s="2">
        <f>F11*'Output-Calculation-sheet'!F55/10^9</f>
        <v>1.078909749437472</v>
      </c>
      <c r="G66" s="2">
        <f>G11*'Output-Calculation-sheet'!G55/10^9</f>
        <v>0.78701705871911665</v>
      </c>
      <c r="H66" s="2">
        <f>H11*'Output-Calculation-sheet'!H55/10^9</f>
        <v>1.5821954586320792</v>
      </c>
      <c r="I66" s="2">
        <f>I11*'Output-Calculation-sheet'!I55/10^9</f>
        <v>0.73162610938362449</v>
      </c>
      <c r="J66" s="2">
        <f>J11*'Output-Calculation-sheet'!J55/10^9</f>
        <v>0.73660577864336552</v>
      </c>
      <c r="K66" s="2">
        <f>K11*'Output-Calculation-sheet'!K55/10^9</f>
        <v>0.83874555826403552</v>
      </c>
      <c r="L66" s="2">
        <f>L11*'Output-Calculation-sheet'!L55/10^9</f>
        <v>0.81313611931056851</v>
      </c>
      <c r="M66" s="2">
        <f>M11*'Output-Calculation-sheet'!M55/10^9</f>
        <v>1.1093157175259156</v>
      </c>
      <c r="N66" s="2">
        <f>N11*'Output-Calculation-sheet'!N55/10^9</f>
        <v>1.0515334943527683</v>
      </c>
      <c r="O66" s="2">
        <f>O11*'Output-Calculation-sheet'!O55/10^9</f>
        <v>1.000300779015767</v>
      </c>
      <c r="P66" s="2">
        <f>P11*'Output-Calculation-sheet'!P55/10^9</f>
        <v>0.8694567267310932</v>
      </c>
      <c r="Q66" s="2">
        <f>Q11*'Output-Calculation-sheet'!Q55/10^9</f>
        <v>0.87547792304151983</v>
      </c>
      <c r="R66" s="2">
        <f>R11*'Output-Calculation-sheet'!R55/10^9</f>
        <v>0.66766679337179635</v>
      </c>
      <c r="S66" s="2">
        <f>S11*'Output-Calculation-sheet'!S55/10^9</f>
        <v>0.61070350761941161</v>
      </c>
      <c r="T66" s="2">
        <f>T11*'Output-Calculation-sheet'!T55/10^9</f>
        <v>0.20920229521027614</v>
      </c>
      <c r="U66" s="2">
        <f>U11*'Output-Calculation-sheet'!U55/10^9</f>
        <v>0.22768560258768844</v>
      </c>
      <c r="V66" s="2">
        <f>V11*'Output-Calculation-sheet'!V55/10^9</f>
        <v>0.19770148312171679</v>
      </c>
      <c r="W66" s="2">
        <f>W11*'Output-Calculation-sheet'!W55/10^9</f>
        <v>9.6860616798437438E-2</v>
      </c>
      <c r="X66" s="2">
        <f>X11*'Output-Calculation-sheet'!X55/10^9</f>
        <v>0.12690034711509168</v>
      </c>
      <c r="Y66" s="2">
        <f>Y11*'Output-Calculation-sheet'!Y55/10^9</f>
        <v>9.2578741633248626E-2</v>
      </c>
      <c r="AA66" s="2">
        <f t="shared" si="4"/>
        <v>34.662430065203026</v>
      </c>
    </row>
    <row r="67" spans="1:27" x14ac:dyDescent="0.25">
      <c r="A67" s="2">
        <v>2035</v>
      </c>
      <c r="B67" s="2">
        <f>B12*'Output-Calculation-sheet'!B56/10^9</f>
        <v>11.826928739452404</v>
      </c>
      <c r="C67" s="2">
        <f>C12*'Output-Calculation-sheet'!C56/10^9</f>
        <v>5.53227069417831</v>
      </c>
      <c r="D67" s="2">
        <f>D12*'Output-Calculation-sheet'!D56/10^9</f>
        <v>2.7140515623422763</v>
      </c>
      <c r="E67" s="2">
        <f>E12*'Output-Calculation-sheet'!E56/10^9</f>
        <v>3.6461975227543171</v>
      </c>
      <c r="F67" s="2">
        <f>F12*'Output-Calculation-sheet'!F56/10^9</f>
        <v>1.4572088610544809</v>
      </c>
      <c r="G67" s="2">
        <f>G12*'Output-Calculation-sheet'!G56/10^9</f>
        <v>1.0736218192256775</v>
      </c>
      <c r="H67" s="2">
        <f>H12*'Output-Calculation-sheet'!H56/10^9</f>
        <v>1.7417927839761431</v>
      </c>
      <c r="I67" s="2">
        <f>I12*'Output-Calculation-sheet'!I56/10^9</f>
        <v>0.98380181065762273</v>
      </c>
      <c r="J67" s="2">
        <f>J12*'Output-Calculation-sheet'!J56/10^9</f>
        <v>0.90083632568399652</v>
      </c>
      <c r="K67" s="2">
        <f>K12*'Output-Calculation-sheet'!K56/10^9</f>
        <v>1.0790049828130186</v>
      </c>
      <c r="L67" s="2">
        <f>L12*'Output-Calculation-sheet'!L56/10^9</f>
        <v>1.0056341726458498</v>
      </c>
      <c r="M67" s="2">
        <f>M12*'Output-Calculation-sheet'!M56/10^9</f>
        <v>1.2079304230322672</v>
      </c>
      <c r="N67" s="2">
        <f>N12*'Output-Calculation-sheet'!N56/10^9</f>
        <v>1.17796675759216</v>
      </c>
      <c r="O67" s="2">
        <f>O12*'Output-Calculation-sheet'!O56/10^9</f>
        <v>1.074386847880533</v>
      </c>
      <c r="P67" s="2">
        <f>P12*'Output-Calculation-sheet'!P56/10^9</f>
        <v>1.043045693061837</v>
      </c>
      <c r="Q67" s="2">
        <f>Q12*'Output-Calculation-sheet'!Q56/10^9</f>
        <v>1.0333561302831278</v>
      </c>
      <c r="R67" s="2">
        <f>R12*'Output-Calculation-sheet'!R56/10^9</f>
        <v>0.83076920162255707</v>
      </c>
      <c r="S67" s="2">
        <f>S12*'Output-Calculation-sheet'!S56/10^9</f>
        <v>0.67604679942425761</v>
      </c>
      <c r="T67" s="2">
        <f>T12*'Output-Calculation-sheet'!T56/10^9</f>
        <v>0.25853224175588163</v>
      </c>
      <c r="U67" s="2">
        <f>U12*'Output-Calculation-sheet'!U56/10^9</f>
        <v>0.2794864831447666</v>
      </c>
      <c r="V67" s="2">
        <f>V12*'Output-Calculation-sheet'!V56/10^9</f>
        <v>0.19938536440480203</v>
      </c>
      <c r="W67" s="2">
        <f>W12*'Output-Calculation-sheet'!W56/10^9</f>
        <v>0.13534241164406008</v>
      </c>
      <c r="X67" s="2">
        <f>X12*'Output-Calculation-sheet'!X56/10^9</f>
        <v>0.12954155253673386</v>
      </c>
      <c r="Y67" s="2">
        <f>Y12*'Output-Calculation-sheet'!Y56/10^9</f>
        <v>0.12044589581077403</v>
      </c>
      <c r="AA67" s="2">
        <f t="shared" si="4"/>
        <v>40.127585076977859</v>
      </c>
    </row>
    <row r="68" spans="1:27" x14ac:dyDescent="0.25">
      <c r="B68" s="2">
        <f>SUM(B60:B67)</f>
        <v>50.854037698283051</v>
      </c>
      <c r="C68" s="2">
        <f t="shared" ref="C68:Y68" si="5">SUM(C60:C67)</f>
        <v>24.287649926850342</v>
      </c>
      <c r="D68" s="2">
        <f t="shared" si="5"/>
        <v>10.68561130113314</v>
      </c>
      <c r="E68" s="2">
        <f t="shared" si="5"/>
        <v>13.374035769012012</v>
      </c>
      <c r="F68" s="2">
        <f t="shared" si="5"/>
        <v>5.6925100248253457</v>
      </c>
      <c r="G68" s="2">
        <f t="shared" si="5"/>
        <v>4.2015068571890755</v>
      </c>
      <c r="H68" s="2">
        <f t="shared" si="5"/>
        <v>7.1604142453979662</v>
      </c>
      <c r="I68" s="2">
        <f t="shared" si="5"/>
        <v>3.644346461481522</v>
      </c>
      <c r="J68" s="2">
        <f t="shared" si="5"/>
        <v>4.1714079498267314</v>
      </c>
      <c r="K68" s="2">
        <f t="shared" si="5"/>
        <v>3.8624607195422325</v>
      </c>
      <c r="L68" s="2">
        <f t="shared" si="5"/>
        <v>3.9743874411250188</v>
      </c>
      <c r="M68" s="2">
        <f t="shared" si="5"/>
        <v>5.0878808930001957</v>
      </c>
      <c r="N68" s="2">
        <f t="shared" si="5"/>
        <v>4.7060109076762835</v>
      </c>
      <c r="O68" s="2">
        <f t="shared" si="5"/>
        <v>4.5448224122365009</v>
      </c>
      <c r="P68" s="2">
        <f t="shared" si="5"/>
        <v>3.9679582212973279</v>
      </c>
      <c r="Q68" s="2">
        <f t="shared" si="5"/>
        <v>3.8765007425805367</v>
      </c>
      <c r="R68" s="2">
        <f t="shared" si="5"/>
        <v>3.1614248745352986</v>
      </c>
      <c r="S68" s="2">
        <f t="shared" si="5"/>
        <v>2.7831764444371512</v>
      </c>
      <c r="T68" s="2">
        <f t="shared" si="5"/>
        <v>1.0850924113413087</v>
      </c>
      <c r="U68" s="2">
        <f t="shared" si="5"/>
        <v>1.0399483565530714</v>
      </c>
      <c r="V68" s="2">
        <f t="shared" si="5"/>
        <v>1.1518017004001662</v>
      </c>
      <c r="W68" s="2">
        <f t="shared" si="5"/>
        <v>0.55236512218158873</v>
      </c>
      <c r="X68" s="2">
        <f t="shared" si="5"/>
        <v>0.6017201545431432</v>
      </c>
      <c r="Y68" s="2">
        <f t="shared" si="5"/>
        <v>0.42367055802664372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65.834877852913593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6.5834877852913587E-2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649.39579747818664</v>
      </c>
      <c r="Q76" s="2">
        <f>Q10/'Output-Calculation-sheet'!Q9*'Output-Calculation-sheet'!Q63</f>
        <v>77.024126375091555</v>
      </c>
      <c r="R76" s="2">
        <f>R10/'Output-Calculation-sheet'!R9*'Output-Calculation-sheet'!R63</f>
        <v>493.41268423348504</v>
      </c>
      <c r="S76" s="2">
        <f>S10/'Output-Calculation-sheet'!S9*'Output-Calculation-sheet'!S63</f>
        <v>0</v>
      </c>
      <c r="T76" s="2">
        <f>T10/'Output-Calculation-sheet'!T9*'Output-Calculation-sheet'!T63</f>
        <v>32.472568270910905</v>
      </c>
      <c r="U76" s="2">
        <f>U10/'Output-Calculation-sheet'!U9*'Output-Calculation-sheet'!U63</f>
        <v>175.5710292711868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8.32760879377539</v>
      </c>
      <c r="AA76" s="2">
        <f t="shared" si="6"/>
        <v>1.5725324957049365</v>
      </c>
    </row>
    <row r="77" spans="1:27" x14ac:dyDescent="0.25">
      <c r="A77" s="2">
        <v>2034</v>
      </c>
      <c r="B77" s="2">
        <f>B11/'Output-Calculation-sheet'!B10*'Output-Calculation-sheet'!B64</f>
        <v>707.37167380538131</v>
      </c>
      <c r="C77" s="2">
        <f>C11/'Output-Calculation-sheet'!C10*'Output-Calculation-sheet'!C64</f>
        <v>0</v>
      </c>
      <c r="D77" s="2">
        <f>D11/'Output-Calculation-sheet'!D10*'Output-Calculation-sheet'!D64</f>
        <v>2381.0005767553712</v>
      </c>
      <c r="E77" s="2">
        <f>E11/'Output-Calculation-sheet'!E10*'Output-Calculation-sheet'!E64</f>
        <v>2981.0091961860662</v>
      </c>
      <c r="F77" s="2">
        <f>F11/'Output-Calculation-sheet'!F10*'Output-Calculation-sheet'!F64</f>
        <v>213.03355313385916</v>
      </c>
      <c r="G77" s="2">
        <f>G11/'Output-Calculation-sheet'!G10*'Output-Calculation-sheet'!G64</f>
        <v>1257.2852830363543</v>
      </c>
      <c r="H77" s="2">
        <f>H11/'Output-Calculation-sheet'!H10*'Output-Calculation-sheet'!H64</f>
        <v>195.76601807711148</v>
      </c>
      <c r="I77" s="2">
        <f>I11/'Output-Calculation-sheet'!I10*'Output-Calculation-sheet'!I64</f>
        <v>743.82687651332083</v>
      </c>
      <c r="J77" s="2">
        <f>J11/'Output-Calculation-sheet'!J10*'Output-Calculation-sheet'!J64</f>
        <v>520.82270383832258</v>
      </c>
      <c r="K77" s="2">
        <f>K11/'Output-Calculation-sheet'!K10*'Output-Calculation-sheet'!K64</f>
        <v>1136.1757926309058</v>
      </c>
      <c r="L77" s="2">
        <f>L11/'Output-Calculation-sheet'!L10*'Output-Calculation-sheet'!L64</f>
        <v>470.43322747382854</v>
      </c>
      <c r="M77" s="2">
        <f>M11/'Output-Calculation-sheet'!M10*'Output-Calculation-sheet'!M64</f>
        <v>140.99369702615164</v>
      </c>
      <c r="N77" s="2">
        <f>N11/'Output-Calculation-sheet'!N10*'Output-Calculation-sheet'!N64</f>
        <v>46.630587615241325</v>
      </c>
      <c r="O77" s="2">
        <f>O11/'Output-Calculation-sheet'!O10*'Output-Calculation-sheet'!O64</f>
        <v>0</v>
      </c>
      <c r="P77" s="2">
        <f>P11/'Output-Calculation-sheet'!P10*'Output-Calculation-sheet'!P64</f>
        <v>960.16338399593724</v>
      </c>
      <c r="Q77" s="2">
        <f>Q11/'Output-Calculation-sheet'!Q10*'Output-Calculation-sheet'!Q64</f>
        <v>231.78270534125642</v>
      </c>
      <c r="R77" s="2">
        <f>R11/'Output-Calculation-sheet'!R10*'Output-Calculation-sheet'!R64</f>
        <v>1193.6281992888578</v>
      </c>
      <c r="S77" s="2">
        <f>S11/'Output-Calculation-sheet'!S10*'Output-Calculation-sheet'!S64</f>
        <v>0</v>
      </c>
      <c r="T77" s="2">
        <f>T11/'Output-Calculation-sheet'!T10*'Output-Calculation-sheet'!T64</f>
        <v>331.02776204437208</v>
      </c>
      <c r="U77" s="2">
        <f>U11/'Output-Calculation-sheet'!U10*'Output-Calculation-sheet'!U64</f>
        <v>438.82340326284503</v>
      </c>
      <c r="V77" s="2">
        <f>V11/'Output-Calculation-sheet'!V10*'Output-Calculation-sheet'!V64</f>
        <v>171.40780277875743</v>
      </c>
      <c r="W77" s="2">
        <f>W11/'Output-Calculation-sheet'!W10*'Output-Calculation-sheet'!W64</f>
        <v>37.841189628317274</v>
      </c>
      <c r="X77" s="2">
        <f>X11/'Output-Calculation-sheet'!X10*'Output-Calculation-sheet'!X64</f>
        <v>14.05552424840676</v>
      </c>
      <c r="Y77" s="2">
        <f>Y11/'Output-Calculation-sheet'!Y10*'Output-Calculation-sheet'!Y64</f>
        <v>79.224271627290975</v>
      </c>
      <c r="AA77" s="2">
        <f t="shared" si="6"/>
        <v>14.252303428307956</v>
      </c>
    </row>
    <row r="78" spans="1:27" x14ac:dyDescent="0.25">
      <c r="A78" s="2">
        <v>2035</v>
      </c>
      <c r="B78" s="2">
        <f>B12/'Output-Calculation-sheet'!B11*'Output-Calculation-sheet'!B65</f>
        <v>131.8286766513142</v>
      </c>
      <c r="C78" s="2">
        <f>C12/'Output-Calculation-sheet'!C11*'Output-Calculation-sheet'!C65</f>
        <v>96.225731482125113</v>
      </c>
      <c r="D78" s="2">
        <f>D12/'Output-Calculation-sheet'!D11*'Output-Calculation-sheet'!D65</f>
        <v>2773.6535023405113</v>
      </c>
      <c r="E78" s="2">
        <f>E12/'Output-Calculation-sheet'!E11*'Output-Calculation-sheet'!E65</f>
        <v>2479.3821733256523</v>
      </c>
      <c r="F78" s="2">
        <f>F12/'Output-Calculation-sheet'!F11*'Output-Calculation-sheet'!F65</f>
        <v>1116.2822181212357</v>
      </c>
      <c r="G78" s="2">
        <f>G12/'Output-Calculation-sheet'!G11*'Output-Calculation-sheet'!G65</f>
        <v>2147.7422237131709</v>
      </c>
      <c r="H78" s="2">
        <f>H12/'Output-Calculation-sheet'!H11*'Output-Calculation-sheet'!H65</f>
        <v>37.734872845945063</v>
      </c>
      <c r="I78" s="2">
        <f>I12/'Output-Calculation-sheet'!I11*'Output-Calculation-sheet'!I65</f>
        <v>1248.8437004125651</v>
      </c>
      <c r="J78" s="2">
        <f>J12/'Output-Calculation-sheet'!J11*'Output-Calculation-sheet'!J65</f>
        <v>1122.1357133247043</v>
      </c>
      <c r="K78" s="2">
        <f>K12/'Output-Calculation-sheet'!K11*'Output-Calculation-sheet'!K65</f>
        <v>1416.0550501798782</v>
      </c>
      <c r="L78" s="2">
        <f>L12/'Output-Calculation-sheet'!L11*'Output-Calculation-sheet'!L65</f>
        <v>839.36553489677283</v>
      </c>
      <c r="M78" s="2">
        <f>M12/'Output-Calculation-sheet'!M11*'Output-Calculation-sheet'!M65</f>
        <v>25.856025879470558</v>
      </c>
      <c r="N78" s="2">
        <f>N12/'Output-Calculation-sheet'!N11*'Output-Calculation-sheet'!N65</f>
        <v>22.131890993691833</v>
      </c>
      <c r="O78" s="2">
        <f>O12/'Output-Calculation-sheet'!O11*'Output-Calculation-sheet'!O65</f>
        <v>4.4068360089850245</v>
      </c>
      <c r="P78" s="2">
        <f>P12/'Output-Calculation-sheet'!P11*'Output-Calculation-sheet'!P65</f>
        <v>372.35213107095569</v>
      </c>
      <c r="Q78" s="2">
        <f>Q12/'Output-Calculation-sheet'!Q11*'Output-Calculation-sheet'!Q65</f>
        <v>354.54900486413504</v>
      </c>
      <c r="R78" s="2">
        <f>R12/'Output-Calculation-sheet'!R11*'Output-Calculation-sheet'!R65</f>
        <v>1624.236341327558</v>
      </c>
      <c r="S78" s="2">
        <f>S12/'Output-Calculation-sheet'!S11*'Output-Calculation-sheet'!S65</f>
        <v>9.8490722134340771</v>
      </c>
      <c r="T78" s="2">
        <f>T12/'Output-Calculation-sheet'!T11*'Output-Calculation-sheet'!T65</f>
        <v>582.6519767203647</v>
      </c>
      <c r="U78" s="2">
        <f>U12/'Output-Calculation-sheet'!U11*'Output-Calculation-sheet'!U65</f>
        <v>496.81557702946395</v>
      </c>
      <c r="V78" s="2">
        <f>V12/'Output-Calculation-sheet'!V11*'Output-Calculation-sheet'!V65</f>
        <v>313.62603312535259</v>
      </c>
      <c r="W78" s="2">
        <f>W12/'Output-Calculation-sheet'!W11*'Output-Calculation-sheet'!W65</f>
        <v>225.70913616892327</v>
      </c>
      <c r="X78" s="2">
        <f>X12/'Output-Calculation-sheet'!X11*'Output-Calculation-sheet'!X65</f>
        <v>3.3012446831603968</v>
      </c>
      <c r="Y78" s="2">
        <f>Y12/'Output-Calculation-sheet'!Y11*'Output-Calculation-sheet'!Y65</f>
        <v>66.090997947408283</v>
      </c>
      <c r="AA78" s="2">
        <f t="shared" si="6"/>
        <v>17.510825665326784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33.433597933379204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175.70782880223186</v>
      </c>
      <c r="E89" s="2">
        <f>E12/'Output-Calculation-sheet'!E11*'Output-Calculation-sheet'!E74</f>
        <v>122.88409793789913</v>
      </c>
      <c r="F89" s="2">
        <f>F12/'Output-Calculation-sheet'!F11*'Output-Calculation-sheet'!F74</f>
        <v>73.772659721820474</v>
      </c>
      <c r="G89" s="2">
        <f>G12/'Output-Calculation-sheet'!G11*'Output-Calculation-sheet'!G74</f>
        <v>65.551585241542625</v>
      </c>
      <c r="H89" s="2">
        <f>H12/'Output-Calculation-sheet'!H11*'Output-Calculation-sheet'!H74</f>
        <v>9.7695463678822172</v>
      </c>
      <c r="I89" s="2">
        <f>I12/'Output-Calculation-sheet'!I11*'Output-Calculation-sheet'!I74</f>
        <v>61.22727710547062</v>
      </c>
      <c r="J89" s="2">
        <f>J12/'Output-Calculation-sheet'!J11*'Output-Calculation-sheet'!J74</f>
        <v>35.907983746553072</v>
      </c>
      <c r="K89" s="2">
        <f>K12/'Output-Calculation-sheet'!K11*'Output-Calculation-sheet'!K74</f>
        <v>71.320494725391043</v>
      </c>
      <c r="L89" s="2">
        <f>L12/'Output-Calculation-sheet'!L11*'Output-Calculation-sheet'!L74</f>
        <v>47.849715687510539</v>
      </c>
      <c r="M89" s="2">
        <f>M12/'Output-Calculation-sheet'!M11*'Output-Calculation-sheet'!M74</f>
        <v>8.402998335869535</v>
      </c>
      <c r="N89" s="2">
        <f>N12/'Output-Calculation-sheet'!N11*'Output-Calculation-sheet'!N74</f>
        <v>6.6070276867503051</v>
      </c>
      <c r="O89" s="2">
        <f>O12/'Output-Calculation-sheet'!O11*'Output-Calculation-sheet'!O74</f>
        <v>3.0827813983805701</v>
      </c>
      <c r="P89" s="2">
        <f>P12/'Output-Calculation-sheet'!P11*'Output-Calculation-sheet'!P74</f>
        <v>7.6296663143186452</v>
      </c>
      <c r="Q89" s="2">
        <f>Q12/'Output-Calculation-sheet'!Q11*'Output-Calculation-sheet'!Q74</f>
        <v>78.148365705937323</v>
      </c>
      <c r="R89" s="2">
        <f>R12/'Output-Calculation-sheet'!R11*'Output-Calculation-sheet'!R74</f>
        <v>35.879089628289243</v>
      </c>
      <c r="S89" s="2">
        <f>S12/'Output-Calculation-sheet'!S11*'Output-Calculation-sheet'!S74</f>
        <v>2.8405322669008108</v>
      </c>
      <c r="T89" s="2">
        <f>T12/'Output-Calculation-sheet'!T11*'Output-Calculation-sheet'!T74</f>
        <v>8.495303402361694</v>
      </c>
      <c r="U89" s="2">
        <f>U12/'Output-Calculation-sheet'!U11*'Output-Calculation-sheet'!U74</f>
        <v>15.699202498047581</v>
      </c>
      <c r="V89" s="2">
        <f>V12/'Output-Calculation-sheet'!V11*'Output-Calculation-sheet'!V74</f>
        <v>2.136257045625686</v>
      </c>
      <c r="W89" s="2">
        <f>W12/'Output-Calculation-sheet'!W11*'Output-Calculation-sheet'!W74</f>
        <v>5.5495574999735267</v>
      </c>
      <c r="X89" s="2">
        <f>X12/'Output-Calculation-sheet'!X11*'Output-Calculation-sheet'!X74</f>
        <v>0.36873055770807517</v>
      </c>
      <c r="Y89" s="2">
        <f>Y12/'Output-Calculation-sheet'!Y11*'Output-Calculation-sheet'!Y74</f>
        <v>3.9141524548028581</v>
      </c>
      <c r="AA89" s="2">
        <f t="shared" si="7"/>
        <v>0.88411263177128629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14235076319.600958</v>
      </c>
      <c r="C96" s="2">
        <f>C8/'Output-Calculation-sheet'!C7*'Output-Calculation-sheet'!C79</f>
        <v>4815800326.4314041</v>
      </c>
      <c r="D96" s="2">
        <f>D8/'Output-Calculation-sheet'!D7*'Output-Calculation-sheet'!D79</f>
        <v>5027352819.943449</v>
      </c>
      <c r="E96" s="2">
        <f>E8/'Output-Calculation-sheet'!E7*'Output-Calculation-sheet'!E79</f>
        <v>8938219121.6890526</v>
      </c>
      <c r="F96" s="2">
        <f>F8/'Output-Calculation-sheet'!F7*'Output-Calculation-sheet'!F79</f>
        <v>3699439978.0822911</v>
      </c>
      <c r="G96" s="2">
        <f>G8/'Output-Calculation-sheet'!G7*'Output-Calculation-sheet'!G79</f>
        <v>2881565835.7003069</v>
      </c>
      <c r="H96" s="2">
        <f>H8/'Output-Calculation-sheet'!H7*'Output-Calculation-sheet'!H79</f>
        <v>2466461140.0364785</v>
      </c>
      <c r="I96" s="2">
        <f>I8/'Output-Calculation-sheet'!I7*'Output-Calculation-sheet'!I79</f>
        <v>2007311977.8967321</v>
      </c>
      <c r="J96" s="2">
        <f>J8/'Output-Calculation-sheet'!J7*'Output-Calculation-sheet'!J79</f>
        <v>1357392387.9914367</v>
      </c>
      <c r="K96" s="2">
        <f>K8/'Output-Calculation-sheet'!K7*'Output-Calculation-sheet'!K79</f>
        <v>1942026463.8644125</v>
      </c>
      <c r="L96" s="2">
        <f>L8/'Output-Calculation-sheet'!L7*'Output-Calculation-sheet'!L79</f>
        <v>1370295482.4256001</v>
      </c>
      <c r="M96" s="2">
        <f>M8/'Output-Calculation-sheet'!M7*'Output-Calculation-sheet'!M79</f>
        <v>1841163380.4982858</v>
      </c>
      <c r="N96" s="2">
        <f>N8/'Output-Calculation-sheet'!N7*'Output-Calculation-sheet'!N79</f>
        <v>1369970197.2344699</v>
      </c>
      <c r="O96" s="2">
        <f>O8/'Output-Calculation-sheet'!O7*'Output-Calculation-sheet'!O79</f>
        <v>692565647.79833567</v>
      </c>
      <c r="P96" s="2">
        <f>P8/'Output-Calculation-sheet'!P7*'Output-Calculation-sheet'!P79</f>
        <v>2316501867.0683417</v>
      </c>
      <c r="Q96" s="2">
        <f>Q8/'Output-Calculation-sheet'!Q7*'Output-Calculation-sheet'!Q79</f>
        <v>1079587139.558953</v>
      </c>
      <c r="R96" s="2">
        <f>R8/'Output-Calculation-sheet'!R7*'Output-Calculation-sheet'!R79</f>
        <v>1346915584.4416201</v>
      </c>
      <c r="S96" s="2">
        <f>S8/'Output-Calculation-sheet'!S7*'Output-Calculation-sheet'!S79</f>
        <v>784824285.44939685</v>
      </c>
      <c r="T96" s="2">
        <f>T8/'Output-Calculation-sheet'!T7*'Output-Calculation-sheet'!T79</f>
        <v>599422285.64125681</v>
      </c>
      <c r="U96" s="2">
        <f>U8/'Output-Calculation-sheet'!U7*'Output-Calculation-sheet'!U79</f>
        <v>376542403.68585438</v>
      </c>
      <c r="V96" s="2">
        <f>V8/'Output-Calculation-sheet'!V7*'Output-Calculation-sheet'!V79</f>
        <v>195368956.93779394</v>
      </c>
      <c r="W96" s="2">
        <f>W8/'Output-Calculation-sheet'!W7*'Output-Calculation-sheet'!W79</f>
        <v>577304178.85675395</v>
      </c>
      <c r="X96" s="2">
        <f>X8/'Output-Calculation-sheet'!X7*'Output-Calculation-sheet'!X79</f>
        <v>202904957.09977481</v>
      </c>
      <c r="Y96" s="2">
        <f>Y8/'Output-Calculation-sheet'!Y7*'Output-Calculation-sheet'!Y79</f>
        <v>317340585.7368232</v>
      </c>
      <c r="AA96" s="2">
        <f t="shared" si="8"/>
        <v>60.44135332366978</v>
      </c>
    </row>
    <row r="97" spans="1:27" x14ac:dyDescent="0.25">
      <c r="A97" s="2">
        <v>2032</v>
      </c>
      <c r="B97" s="2">
        <f>B9/'Output-Calculation-sheet'!B8*'Output-Calculation-sheet'!B80</f>
        <v>20401799850.69611</v>
      </c>
      <c r="C97" s="2">
        <f>C9/'Output-Calculation-sheet'!C8*'Output-Calculation-sheet'!C80</f>
        <v>6948975325.6186218</v>
      </c>
      <c r="D97" s="2">
        <f>D9/'Output-Calculation-sheet'!D8*'Output-Calculation-sheet'!D80</f>
        <v>6923942710.1784039</v>
      </c>
      <c r="E97" s="2">
        <f>E9/'Output-Calculation-sheet'!E8*'Output-Calculation-sheet'!E80</f>
        <v>12662874216.860203</v>
      </c>
      <c r="F97" s="2">
        <f>F9/'Output-Calculation-sheet'!F8*'Output-Calculation-sheet'!F80</f>
        <v>5231032505.0644913</v>
      </c>
      <c r="G97" s="2">
        <f>G9/'Output-Calculation-sheet'!G8*'Output-Calculation-sheet'!G80</f>
        <v>3959613363.9828925</v>
      </c>
      <c r="H97" s="2">
        <f>H9/'Output-Calculation-sheet'!H8*'Output-Calculation-sheet'!H80</f>
        <v>3483663262.9505782</v>
      </c>
      <c r="I97" s="2">
        <f>I9/'Output-Calculation-sheet'!I8*'Output-Calculation-sheet'!I80</f>
        <v>2865626972.3698087</v>
      </c>
      <c r="J97" s="2">
        <f>J9/'Output-Calculation-sheet'!J8*'Output-Calculation-sheet'!J80</f>
        <v>1883879995.8415518</v>
      </c>
      <c r="K97" s="2">
        <f>K9/'Output-Calculation-sheet'!K8*'Output-Calculation-sheet'!K80</f>
        <v>2716011906.6427855</v>
      </c>
      <c r="L97" s="2">
        <f>L9/'Output-Calculation-sheet'!L8*'Output-Calculation-sheet'!L80</f>
        <v>1976812496.6411183</v>
      </c>
      <c r="M97" s="2">
        <f>M9/'Output-Calculation-sheet'!M8*'Output-Calculation-sheet'!M80</f>
        <v>2608187510.1321888</v>
      </c>
      <c r="N97" s="2">
        <f>N9/'Output-Calculation-sheet'!N8*'Output-Calculation-sheet'!N80</f>
        <v>1905626050.9929461</v>
      </c>
      <c r="O97" s="2">
        <f>O9/'Output-Calculation-sheet'!O8*'Output-Calculation-sheet'!O80</f>
        <v>985844818.88236845</v>
      </c>
      <c r="P97" s="2">
        <f>P9/'Output-Calculation-sheet'!P8*'Output-Calculation-sheet'!P80</f>
        <v>3225519797.3666143</v>
      </c>
      <c r="Q97" s="2">
        <f>Q9/'Output-Calculation-sheet'!Q8*'Output-Calculation-sheet'!Q80</f>
        <v>1508771888.3821044</v>
      </c>
      <c r="R97" s="2">
        <f>R9/'Output-Calculation-sheet'!R8*'Output-Calculation-sheet'!R80</f>
        <v>1906333019.8872228</v>
      </c>
      <c r="S97" s="2">
        <f>S9/'Output-Calculation-sheet'!S8*'Output-Calculation-sheet'!S80</f>
        <v>1106427704.5143819</v>
      </c>
      <c r="T97" s="2">
        <f>T9/'Output-Calculation-sheet'!T8*'Output-Calculation-sheet'!T80</f>
        <v>833175118.77582145</v>
      </c>
      <c r="U97" s="2">
        <f>U9/'Output-Calculation-sheet'!U8*'Output-Calculation-sheet'!U80</f>
        <v>532643677.10984868</v>
      </c>
      <c r="V97" s="2">
        <f>V9/'Output-Calculation-sheet'!V8*'Output-Calculation-sheet'!V80</f>
        <v>279285357.27694666</v>
      </c>
      <c r="W97" s="2">
        <f>W9/'Output-Calculation-sheet'!W8*'Output-Calculation-sheet'!W80</f>
        <v>808822474.26768494</v>
      </c>
      <c r="X97" s="2">
        <f>X9/'Output-Calculation-sheet'!X8*'Output-Calculation-sheet'!X80</f>
        <v>290443781.03429312</v>
      </c>
      <c r="Y97" s="2">
        <f>Y9/'Output-Calculation-sheet'!Y8*'Output-Calculation-sheet'!Y80</f>
        <v>444579097.19770658</v>
      </c>
      <c r="AA97" s="2">
        <f t="shared" si="8"/>
        <v>85.489892902666682</v>
      </c>
    </row>
    <row r="98" spans="1:27" x14ac:dyDescent="0.25">
      <c r="A98" s="2">
        <v>2033</v>
      </c>
      <c r="B98" s="2">
        <f>B10/'Output-Calculation-sheet'!B9*'Output-Calculation-sheet'!B81</f>
        <v>27086849642.522644</v>
      </c>
      <c r="C98" s="2">
        <f>C10/'Output-Calculation-sheet'!C9*'Output-Calculation-sheet'!C81</f>
        <v>9286733102.2911663</v>
      </c>
      <c r="D98" s="2">
        <f>D10/'Output-Calculation-sheet'!D9*'Output-Calculation-sheet'!D81</f>
        <v>8838099732.0265102</v>
      </c>
      <c r="E98" s="2">
        <f>E10/'Output-Calculation-sheet'!E9*'Output-Calculation-sheet'!E81</f>
        <v>16625038864.722475</v>
      </c>
      <c r="F98" s="2">
        <f>F10/'Output-Calculation-sheet'!F9*'Output-Calculation-sheet'!F81</f>
        <v>6856568468.6347828</v>
      </c>
      <c r="G98" s="2">
        <f>G10/'Output-Calculation-sheet'!G9*'Output-Calculation-sheet'!G81</f>
        <v>5034309586.6460867</v>
      </c>
      <c r="H98" s="2">
        <f>H10/'Output-Calculation-sheet'!H9*'Output-Calculation-sheet'!H81</f>
        <v>4561134982.657958</v>
      </c>
      <c r="I98" s="2">
        <f>I10/'Output-Calculation-sheet'!I9*'Output-Calculation-sheet'!I81</f>
        <v>3791634386.0233049</v>
      </c>
      <c r="J98" s="2">
        <f>J10/'Output-Calculation-sheet'!J9*'Output-Calculation-sheet'!J81</f>
        <v>2424459262.0571933</v>
      </c>
      <c r="K98" s="2">
        <f>K10/'Output-Calculation-sheet'!K9*'Output-Calculation-sheet'!K81</f>
        <v>3521628668.7174592</v>
      </c>
      <c r="L98" s="2">
        <f>L10/'Output-Calculation-sheet'!L9*'Output-Calculation-sheet'!L81</f>
        <v>2641280505.9713197</v>
      </c>
      <c r="M98" s="2">
        <f>M10/'Output-Calculation-sheet'!M9*'Output-Calculation-sheet'!M81</f>
        <v>3425216614.9697986</v>
      </c>
      <c r="N98" s="2">
        <f>N10/'Output-Calculation-sheet'!N9*'Output-Calculation-sheet'!N81</f>
        <v>2457321101.6387858</v>
      </c>
      <c r="O98" s="2">
        <f>O10/'Output-Calculation-sheet'!O9*'Output-Calculation-sheet'!O81</f>
        <v>1301288444.3610678</v>
      </c>
      <c r="P98" s="2">
        <f>P10/'Output-Calculation-sheet'!P9*'Output-Calculation-sheet'!P81</f>
        <v>4158565969.9233422</v>
      </c>
      <c r="Q98" s="2">
        <f>Q10/'Output-Calculation-sheet'!Q9*'Output-Calculation-sheet'!Q81</f>
        <v>1955248776.5075111</v>
      </c>
      <c r="R98" s="2">
        <f>R10/'Output-Calculation-sheet'!R9*'Output-Calculation-sheet'!R81</f>
        <v>2501065946.212883</v>
      </c>
      <c r="S98" s="2">
        <f>S10/'Output-Calculation-sheet'!S9*'Output-Calculation-sheet'!S81</f>
        <v>1446057110.4037879</v>
      </c>
      <c r="T98" s="2">
        <f>T10/'Output-Calculation-sheet'!T9*'Output-Calculation-sheet'!T81</f>
        <v>1073029166.2402601</v>
      </c>
      <c r="U98" s="2">
        <f>U10/'Output-Calculation-sheet'!U9*'Output-Calculation-sheet'!U81</f>
        <v>698183445.17489445</v>
      </c>
      <c r="V98" s="2">
        <f>V10/'Output-Calculation-sheet'!V9*'Output-Calculation-sheet'!V81</f>
        <v>369768317.46577275</v>
      </c>
      <c r="W98" s="2">
        <f>W10/'Output-Calculation-sheet'!W9*'Output-Calculation-sheet'!W81</f>
        <v>1048428647.6052555</v>
      </c>
      <c r="X98" s="2">
        <f>X10/'Output-Calculation-sheet'!X9*'Output-Calculation-sheet'!X81</f>
        <v>385263605.78208452</v>
      </c>
      <c r="Y98" s="2">
        <f>Y10/'Output-Calculation-sheet'!Y9*'Output-Calculation-sheet'!Y81</f>
        <v>576488442.38292122</v>
      </c>
      <c r="AA98" s="2">
        <f t="shared" si="8"/>
        <v>112.06366279093923</v>
      </c>
    </row>
    <row r="99" spans="1:27" x14ac:dyDescent="0.25">
      <c r="A99" s="2">
        <v>2034</v>
      </c>
      <c r="B99" s="2">
        <f>B11/'Output-Calculation-sheet'!B10*'Output-Calculation-sheet'!B82</f>
        <v>34222397975.541775</v>
      </c>
      <c r="C99" s="2">
        <f>C11/'Output-Calculation-sheet'!C10*'Output-Calculation-sheet'!C82</f>
        <v>11808155284.592096</v>
      </c>
      <c r="D99" s="2">
        <f>D11/'Output-Calculation-sheet'!D10*'Output-Calculation-sheet'!D82</f>
        <v>10742046624.953739</v>
      </c>
      <c r="E99" s="2">
        <f>E11/'Output-Calculation-sheet'!E10*'Output-Calculation-sheet'!E82</f>
        <v>20779571561.398174</v>
      </c>
      <c r="F99" s="2">
        <f>F11/'Output-Calculation-sheet'!F10*'Output-Calculation-sheet'!F82</f>
        <v>8558041003.3516235</v>
      </c>
      <c r="G99" s="2">
        <f>G11/'Output-Calculation-sheet'!G10*'Output-Calculation-sheet'!G82</f>
        <v>6084167529.6097107</v>
      </c>
      <c r="H99" s="2">
        <f>H11/'Output-Calculation-sheet'!H10*'Output-Calculation-sheet'!H82</f>
        <v>5686767986.3301287</v>
      </c>
      <c r="I99" s="2">
        <f>I11/'Output-Calculation-sheet'!I10*'Output-Calculation-sheet'!I82</f>
        <v>4776472577.4121084</v>
      </c>
      <c r="J99" s="2">
        <f>J11/'Output-Calculation-sheet'!J10*'Output-Calculation-sheet'!J82</f>
        <v>2972388238.1839056</v>
      </c>
      <c r="K99" s="2">
        <f>K11/'Output-Calculation-sheet'!K10*'Output-Calculation-sheet'!K82</f>
        <v>4348999127.0392704</v>
      </c>
      <c r="L99" s="2">
        <f>L11/'Output-Calculation-sheet'!L10*'Output-Calculation-sheet'!L82</f>
        <v>3357751659.7521448</v>
      </c>
      <c r="M99" s="2">
        <f>M11/'Output-Calculation-sheet'!M10*'Output-Calculation-sheet'!M82</f>
        <v>4283733580.499866</v>
      </c>
      <c r="N99" s="2">
        <f>N11/'Output-Calculation-sheet'!N10*'Output-Calculation-sheet'!N82</f>
        <v>3017888743.2334175</v>
      </c>
      <c r="O99" s="2">
        <f>O11/'Output-Calculation-sheet'!O10*'Output-Calculation-sheet'!O82</f>
        <v>1636147100.2624125</v>
      </c>
      <c r="P99" s="2">
        <f>P11/'Output-Calculation-sheet'!P10*'Output-Calculation-sheet'!P82</f>
        <v>5100272460.3812132</v>
      </c>
      <c r="Q99" s="2">
        <f>Q11/'Output-Calculation-sheet'!Q10*'Output-Calculation-sheet'!Q82</f>
        <v>2413764396.9683022</v>
      </c>
      <c r="R99" s="2">
        <f>R11/'Output-Calculation-sheet'!R10*'Output-Calculation-sheet'!R82</f>
        <v>3124612549.8783793</v>
      </c>
      <c r="S99" s="2">
        <f>S11/'Output-Calculation-sheet'!S10*'Output-Calculation-sheet'!S82</f>
        <v>1799859821.1010053</v>
      </c>
      <c r="T99" s="2">
        <f>T11/'Output-Calculation-sheet'!T10*'Output-Calculation-sheet'!T82</f>
        <v>1315482334.1933951</v>
      </c>
      <c r="U99" s="2">
        <f>U11/'Output-Calculation-sheet'!U10*'Output-Calculation-sheet'!U82</f>
        <v>871140565.32650077</v>
      </c>
      <c r="V99" s="2">
        <f>V11/'Output-Calculation-sheet'!V10*'Output-Calculation-sheet'!V82</f>
        <v>465785620.1086821</v>
      </c>
      <c r="W99" s="2">
        <f>W11/'Output-Calculation-sheet'!W10*'Output-Calculation-sheet'!W82</f>
        <v>1291650360.9674442</v>
      </c>
      <c r="X99" s="2">
        <f>X11/'Output-Calculation-sheet'!X10*'Output-Calculation-sheet'!X82</f>
        <v>486468679.83756536</v>
      </c>
      <c r="Y99" s="2">
        <f>Y11/'Output-Calculation-sheet'!Y10*'Output-Calculation-sheet'!Y82</f>
        <v>710814021.6036433</v>
      </c>
      <c r="AA99" s="2">
        <f t="shared" si="8"/>
        <v>139.85437980252649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2076.9665613025945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639.35472460392896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439.93827222434339</v>
      </c>
      <c r="N107" s="2">
        <f>N8/'Output-Calculation-sheet'!N7*'Output-Calculation-sheet'!N88</f>
        <v>172.95518985405994</v>
      </c>
      <c r="O107" s="2">
        <f>O8/'Output-Calculation-sheet'!O7*'Output-Calculation-sheet'!O88</f>
        <v>484.19628369778258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48.262143460731409</v>
      </c>
      <c r="Y107" s="2">
        <f>Y8/'Output-Calculation-sheet'!Y7*'Output-Calculation-sheet'!Y88</f>
        <v>0</v>
      </c>
      <c r="AA107" s="2">
        <f t="shared" si="9"/>
        <v>3.8616731751434408</v>
      </c>
    </row>
    <row r="108" spans="1:27" x14ac:dyDescent="0.25">
      <c r="A108" s="2">
        <v>2032</v>
      </c>
      <c r="B108" s="2">
        <f>B9/'Output-Calculation-sheet'!B8*'Output-Calculation-sheet'!B89</f>
        <v>1004.044192776096</v>
      </c>
      <c r="C108" s="2">
        <f>C9/'Output-Calculation-sheet'!C8*'Output-Calculation-sheet'!C89</f>
        <v>3812.3409031919405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1026.8621734029841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706.58110903817783</v>
      </c>
      <c r="N108" s="2">
        <f>N9/'Output-Calculation-sheet'!N8*'Output-Calculation-sheet'!N89</f>
        <v>496.03902888429269</v>
      </c>
      <c r="O108" s="2">
        <f>O9/'Output-Calculation-sheet'!O8*'Output-Calculation-sheet'!O89</f>
        <v>740.63192763396137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227.47735637330243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77.513417231528379</v>
      </c>
      <c r="Y108" s="2">
        <f>Y9/'Output-Calculation-sheet'!Y8*'Output-Calculation-sheet'!Y89</f>
        <v>0</v>
      </c>
      <c r="AA108" s="2">
        <f t="shared" si="9"/>
        <v>8.0914901085322821</v>
      </c>
    </row>
    <row r="109" spans="1:27" x14ac:dyDescent="0.25">
      <c r="A109" s="2">
        <v>2033</v>
      </c>
      <c r="B109" s="2">
        <f>B10/'Output-Calculation-sheet'!B9*'Output-Calculation-sheet'!B90</f>
        <v>5556.7860830249738</v>
      </c>
      <c r="C109" s="2">
        <f>C10/'Output-Calculation-sheet'!C9*'Output-Calculation-sheet'!C90</f>
        <v>5274.7585781137004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1623.7342867701395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1117.2872103441587</v>
      </c>
      <c r="N109" s="2">
        <f>N10/'Output-Calculation-sheet'!N9*'Output-Calculation-sheet'!N90</f>
        <v>878.48970542869813</v>
      </c>
      <c r="O109" s="2">
        <f>O10/'Output-Calculation-sheet'!O9*'Output-Calculation-sheet'!O90</f>
        <v>1024.7390547474961</v>
      </c>
      <c r="P109" s="2">
        <f>P10/'Output-Calculation-sheet'!P9*'Output-Calculation-sheet'!P90</f>
        <v>0</v>
      </c>
      <c r="Q109" s="2">
        <f>Q10/'Output-Calculation-sheet'!Q9*'Output-Calculation-sheet'!Q90</f>
        <v>192.4228710298504</v>
      </c>
      <c r="R109" s="2">
        <f>R10/'Output-Calculation-sheet'!R9*'Output-Calculation-sheet'!R90</f>
        <v>0</v>
      </c>
      <c r="S109" s="2">
        <f>S10/'Output-Calculation-sheet'!S9*'Output-Calculation-sheet'!S90</f>
        <v>440.63304784546199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122.5687307445093</v>
      </c>
      <c r="Y109" s="2">
        <f>Y10/'Output-Calculation-sheet'!Y9*'Output-Calculation-sheet'!Y90</f>
        <v>0</v>
      </c>
      <c r="AA109" s="2">
        <f t="shared" si="9"/>
        <v>16.231419568048988</v>
      </c>
    </row>
    <row r="110" spans="1:27" x14ac:dyDescent="0.25">
      <c r="A110" s="2">
        <v>2034</v>
      </c>
      <c r="B110" s="2">
        <f>B11/'Output-Calculation-sheet'!B10*'Output-Calculation-sheet'!B91</f>
        <v>10835.493688183931</v>
      </c>
      <c r="C110" s="2">
        <f>C11/'Output-Calculation-sheet'!C10*'Output-Calculation-sheet'!C91</f>
        <v>7428.4543612934158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2110.8079805737843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1452.4413134606236</v>
      </c>
      <c r="N110" s="2">
        <f>N11/'Output-Calculation-sheet'!N10*'Output-Calculation-sheet'!N91</f>
        <v>1308.5547397577909</v>
      </c>
      <c r="O110" s="2">
        <f>O11/'Output-Calculation-sheet'!O10*'Output-Calculation-sheet'!O91</f>
        <v>1443.1423140410204</v>
      </c>
      <c r="P110" s="2">
        <f>P11/'Output-Calculation-sheet'!P10*'Output-Calculation-sheet'!P91</f>
        <v>329.69310833763637</v>
      </c>
      <c r="Q110" s="2">
        <f>Q11/'Output-Calculation-sheet'!Q10*'Output-Calculation-sheet'!Q91</f>
        <v>729.58728168270034</v>
      </c>
      <c r="R110" s="2">
        <f>R11/'Output-Calculation-sheet'!R10*'Output-Calculation-sheet'!R91</f>
        <v>0</v>
      </c>
      <c r="S110" s="2">
        <f>S11/'Output-Calculation-sheet'!S10*'Output-Calculation-sheet'!S91</f>
        <v>750.10875036229129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159.33583292063264</v>
      </c>
      <c r="Y110" s="2">
        <f>Y11/'Output-Calculation-sheet'!Y10*'Output-Calculation-sheet'!Y91</f>
        <v>25.627021096415966</v>
      </c>
      <c r="AA110" s="2">
        <f t="shared" si="9"/>
        <v>26.573246391710235</v>
      </c>
    </row>
    <row r="111" spans="1:27" x14ac:dyDescent="0.25">
      <c r="A111" s="2">
        <v>2035</v>
      </c>
      <c r="B111" s="2">
        <f>B12/'Output-Calculation-sheet'!B11*'Output-Calculation-sheet'!B92</f>
        <v>19307.90280652649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3440.7547422611756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1409.9623348860855</v>
      </c>
      <c r="Q111" s="2">
        <f>Q12/'Output-Calculation-sheet'!Q11*'Output-Calculation-sheet'!Q92</f>
        <v>1002.904026559529</v>
      </c>
      <c r="R111" s="2">
        <f>R12/'Output-Calculation-sheet'!R11*'Output-Calculation-sheet'!R92</f>
        <v>0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136.99533591810004</v>
      </c>
      <c r="AA111" s="2">
        <f t="shared" si="9"/>
        <v>44.219178258579134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1665573866.3575625</v>
      </c>
      <c r="C118" s="2">
        <f>C8/'Output-Calculation-sheet'!C7*'Output-Calculation-sheet'!C97</f>
        <v>9763782041.6551094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3004115286.2262015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2086616940.888762</v>
      </c>
      <c r="N118" s="2">
        <f>N8/'Output-Calculation-sheet'!N7*'Output-Calculation-sheet'!N97</f>
        <v>1637399351.8321891</v>
      </c>
      <c r="O118" s="2">
        <f>O8/'Output-Calculation-sheet'!O7*'Output-Calculation-sheet'!O97</f>
        <v>1089544346.6226134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592342547.70911956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224897702.48428816</v>
      </c>
      <c r="Y118" s="2">
        <f>Y8/'Output-Calculation-sheet'!Y7*'Output-Calculation-sheet'!Y97</f>
        <v>0</v>
      </c>
      <c r="AA118" s="2">
        <f t="shared" si="10"/>
        <v>20064.272083775842</v>
      </c>
    </row>
    <row r="119" spans="1:27" x14ac:dyDescent="0.25">
      <c r="A119" s="2">
        <v>2032</v>
      </c>
      <c r="B119" s="2">
        <f>B9/'Output-Calculation-sheet'!B8*'Output-Calculation-sheet'!B98</f>
        <v>7532391692.3461561</v>
      </c>
      <c r="C119" s="2">
        <f>C9/'Output-Calculation-sheet'!C8*'Output-Calculation-sheet'!C98</f>
        <v>5986897059.9400721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3578980458.2375875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2498141762.8607249</v>
      </c>
      <c r="N119" s="2">
        <f>N9/'Output-Calculation-sheet'!N8*'Output-Calculation-sheet'!N98</f>
        <v>1686151327.9402323</v>
      </c>
      <c r="O119" s="2">
        <f>O9/'Output-Calculation-sheet'!O8*'Output-Calculation-sheet'!O98</f>
        <v>1169729058.1542754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701107960.0781554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267310124.56654662</v>
      </c>
      <c r="Y119" s="2">
        <f>Y9/'Output-Calculation-sheet'!Y8*'Output-Calculation-sheet'!Y98</f>
        <v>0</v>
      </c>
      <c r="AA119" s="2">
        <f t="shared" si="10"/>
        <v>23420.70944412375</v>
      </c>
    </row>
    <row r="120" spans="1:27" x14ac:dyDescent="0.25">
      <c r="A120" s="2">
        <v>2033</v>
      </c>
      <c r="B120" s="2">
        <f>B10/'Output-Calculation-sheet'!B9*'Output-Calculation-sheet'!B99</f>
        <v>7994177204.1354752</v>
      </c>
      <c r="C120" s="2">
        <f>C10/'Output-Calculation-sheet'!C9*'Output-Calculation-sheet'!C99</f>
        <v>6571710051.9980631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2154708051.0189371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1525120258.4773941</v>
      </c>
      <c r="N120" s="2">
        <f>N10/'Output-Calculation-sheet'!N9*'Output-Calculation-sheet'!N99</f>
        <v>1520383308.4060459</v>
      </c>
      <c r="O120" s="2">
        <f>O10/'Output-Calculation-sheet'!O9*'Output-Calculation-sheet'!O99</f>
        <v>1286599275.8017418</v>
      </c>
      <c r="P120" s="2">
        <f>P10/'Output-Calculation-sheet'!P9*'Output-Calculation-sheet'!P99</f>
        <v>0</v>
      </c>
      <c r="Q120" s="2">
        <f>Q10/'Output-Calculation-sheet'!Q9*'Output-Calculation-sheet'!Q99</f>
        <v>9112419.8797446787</v>
      </c>
      <c r="R120" s="2">
        <f>R10/'Output-Calculation-sheet'!R9*'Output-Calculation-sheet'!R99</f>
        <v>0</v>
      </c>
      <c r="S120" s="2">
        <f>S10/'Output-Calculation-sheet'!S9*'Output-Calculation-sheet'!S99</f>
        <v>636726607.90143049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152290024.31232086</v>
      </c>
      <c r="Y120" s="2">
        <f>Y10/'Output-Calculation-sheet'!Y9*'Output-Calculation-sheet'!Y99</f>
        <v>0</v>
      </c>
      <c r="AA120" s="2">
        <f t="shared" si="10"/>
        <v>21850.827201931152</v>
      </c>
    </row>
    <row r="121" spans="1:27" x14ac:dyDescent="0.25">
      <c r="A121" s="2">
        <v>2034</v>
      </c>
      <c r="B121" s="2">
        <f>B11/'Output-Calculation-sheet'!B10*'Output-Calculation-sheet'!B100</f>
        <v>8134472481.0444498</v>
      </c>
      <c r="C121" s="2">
        <f>C11/'Output-Calculation-sheet'!C10*'Output-Calculation-sheet'!C100</f>
        <v>975200215.93793821</v>
      </c>
      <c r="D121" s="2">
        <f>D11/'Output-Calculation-sheet'!D10*'Output-Calculation-sheet'!D100</f>
        <v>0</v>
      </c>
      <c r="E121" s="2">
        <f>E11/'Output-Calculation-sheet'!E10*'Output-Calculation-sheet'!E100</f>
        <v>1150890698.0366476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2567793339.5195661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938058492.13043869</v>
      </c>
      <c r="M121" s="2">
        <f>M11/'Output-Calculation-sheet'!M10*'Output-Calculation-sheet'!M100</f>
        <v>1827488697.3825111</v>
      </c>
      <c r="N121" s="2">
        <f>N11/'Output-Calculation-sheet'!N10*'Output-Calculation-sheet'!N100</f>
        <v>1218345880.4651351</v>
      </c>
      <c r="O121" s="2">
        <f>O11/'Output-Calculation-sheet'!O10*'Output-Calculation-sheet'!O100</f>
        <v>191288729.98122928</v>
      </c>
      <c r="P121" s="2">
        <f>P11/'Output-Calculation-sheet'!P10*'Output-Calculation-sheet'!P100</f>
        <v>0</v>
      </c>
      <c r="Q121" s="2">
        <f>Q11/'Output-Calculation-sheet'!Q10*'Output-Calculation-sheet'!Q100</f>
        <v>412277725.89038384</v>
      </c>
      <c r="R121" s="2">
        <f>R11/'Output-Calculation-sheet'!R10*'Output-Calculation-sheet'!R100</f>
        <v>0</v>
      </c>
      <c r="S121" s="2">
        <f>S11/'Output-Calculation-sheet'!S10*'Output-Calculation-sheet'!S100</f>
        <v>455530505.37703919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179563551.39818248</v>
      </c>
      <c r="Y121" s="2">
        <f>Y11/'Output-Calculation-sheet'!Y10*'Output-Calculation-sheet'!Y100</f>
        <v>26048618.875297587</v>
      </c>
      <c r="AA121" s="2">
        <f t="shared" si="10"/>
        <v>18076.95893603882</v>
      </c>
    </row>
    <row r="122" spans="1:27" x14ac:dyDescent="0.25">
      <c r="A122" s="2">
        <v>2035</v>
      </c>
      <c r="B122" s="2">
        <f>B12/'Output-Calculation-sheet'!B11*'Output-Calculation-sheet'!B101</f>
        <v>2286278025.7189932</v>
      </c>
      <c r="C122" s="2">
        <f>C12/'Output-Calculation-sheet'!C11*'Output-Calculation-sheet'!C101</f>
        <v>429676454.11463249</v>
      </c>
      <c r="D122" s="2">
        <f>D12/'Output-Calculation-sheet'!D11*'Output-Calculation-sheet'!D101</f>
        <v>0</v>
      </c>
      <c r="E122" s="2">
        <f>E12/'Output-Calculation-sheet'!E11*'Output-Calculation-sheet'!E101</f>
        <v>3554025952.3558416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696973359.48829162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1528267284.3718302</v>
      </c>
      <c r="M122" s="2">
        <f>M12/'Output-Calculation-sheet'!M11*'Output-Calculation-sheet'!M101</f>
        <v>584394586.14644921</v>
      </c>
      <c r="N122" s="2">
        <f>N12/'Output-Calculation-sheet'!N11*'Output-Calculation-sheet'!N101</f>
        <v>407569368.66948777</v>
      </c>
      <c r="O122" s="2">
        <f>O12/'Output-Calculation-sheet'!O11*'Output-Calculation-sheet'!O101</f>
        <v>47086326.00932987</v>
      </c>
      <c r="P122" s="2">
        <f>P12/'Output-Calculation-sheet'!P11*'Output-Calculation-sheet'!P101</f>
        <v>63556096.995562546</v>
      </c>
      <c r="Q122" s="2">
        <f>Q12/'Output-Calculation-sheet'!Q11*'Output-Calculation-sheet'!Q101</f>
        <v>892700503.71377802</v>
      </c>
      <c r="R122" s="2">
        <f>R12/'Output-Calculation-sheet'!R11*'Output-Calculation-sheet'!R101</f>
        <v>0</v>
      </c>
      <c r="S122" s="2">
        <f>S12/'Output-Calculation-sheet'!S11*'Output-Calculation-sheet'!S101</f>
        <v>242132462.12634113</v>
      </c>
      <c r="T122" s="2">
        <f>T12/'Output-Calculation-sheet'!T11*'Output-Calculation-sheet'!T101</f>
        <v>0</v>
      </c>
      <c r="U122" s="2">
        <f>U12/'Output-Calculation-sheet'!U11*'Output-Calculation-sheet'!U101</f>
        <v>83666313.9623449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21182279.983376939</v>
      </c>
      <c r="Y122" s="2">
        <f>Y12/'Output-Calculation-sheet'!Y11*'Output-Calculation-sheet'!Y101</f>
        <v>126308009.51429184</v>
      </c>
      <c r="AA122" s="2">
        <f t="shared" si="10"/>
        <v>10963.817023170552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56555021144.291153</v>
      </c>
      <c r="C129" s="2">
        <f>C8/'Output-Calculation-sheet'!C7*'Output-Calculation-sheet'!C106</f>
        <v>0</v>
      </c>
      <c r="D129" s="2">
        <f>D8/'Output-Calculation-sheet'!D7*'Output-Calculation-sheet'!D106</f>
        <v>24453244366.574764</v>
      </c>
      <c r="E129" s="2">
        <f>E8/'Output-Calculation-sheet'!E7*'Output-Calculation-sheet'!E106</f>
        <v>19401190678.533489</v>
      </c>
      <c r="F129" s="2">
        <f>F8/'Output-Calculation-sheet'!F7*'Output-Calculation-sheet'!F106</f>
        <v>12489238204.922966</v>
      </c>
      <c r="G129" s="2">
        <f>G8/'Output-Calculation-sheet'!G7*'Output-Calculation-sheet'!G106</f>
        <v>8775301804.0590496</v>
      </c>
      <c r="H129" s="2">
        <f>H8/'Output-Calculation-sheet'!H7*'Output-Calculation-sheet'!H106</f>
        <v>0</v>
      </c>
      <c r="I129" s="2">
        <f>I8/'Output-Calculation-sheet'!I7*'Output-Calculation-sheet'!I106</f>
        <v>7994972128.4286938</v>
      </c>
      <c r="J129" s="2">
        <f>J8/'Output-Calculation-sheet'!J7*'Output-Calculation-sheet'!J106</f>
        <v>7781730593.0941801</v>
      </c>
      <c r="K129" s="2">
        <f>K8/'Output-Calculation-sheet'!K7*'Output-Calculation-sheet'!K106</f>
        <v>7707139260.6841717</v>
      </c>
      <c r="L129" s="2">
        <f>L8/'Output-Calculation-sheet'!L7*'Output-Calculation-sheet'!L106</f>
        <v>6182781960.0895386</v>
      </c>
      <c r="M129" s="2">
        <f>M8/'Output-Calculation-sheet'!M7*'Output-Calculation-sheet'!M106</f>
        <v>0</v>
      </c>
      <c r="N129" s="2">
        <f>N8/'Output-Calculation-sheet'!N7*'Output-Calculation-sheet'!N106</f>
        <v>2717124909.5216331</v>
      </c>
      <c r="O129" s="2">
        <f>O8/'Output-Calculation-sheet'!O7*'Output-Calculation-sheet'!O106</f>
        <v>0</v>
      </c>
      <c r="P129" s="2">
        <f>P8/'Output-Calculation-sheet'!P7*'Output-Calculation-sheet'!P106</f>
        <v>5276712571.5847397</v>
      </c>
      <c r="Q129" s="2">
        <f>Q8/'Output-Calculation-sheet'!Q7*'Output-Calculation-sheet'!Q106</f>
        <v>5191422703.4981794</v>
      </c>
      <c r="R129" s="2">
        <f>R8/'Output-Calculation-sheet'!R7*'Output-Calculation-sheet'!R106</f>
        <v>4994397562.2390556</v>
      </c>
      <c r="S129" s="2">
        <f>S8/'Output-Calculation-sheet'!S7*'Output-Calculation-sheet'!S106</f>
        <v>2727182405.0936513</v>
      </c>
      <c r="T129" s="2">
        <f>T8/'Output-Calculation-sheet'!T7*'Output-Calculation-sheet'!T106</f>
        <v>1835885016.1429033</v>
      </c>
      <c r="U129" s="2">
        <f>U8/'Output-Calculation-sheet'!U7*'Output-Calculation-sheet'!U106</f>
        <v>1598995950.8179915</v>
      </c>
      <c r="V129" s="2">
        <f>V8/'Output-Calculation-sheet'!V7*'Output-Calculation-sheet'!V106</f>
        <v>1231253535.159842</v>
      </c>
      <c r="W129" s="2">
        <f>W8/'Output-Calculation-sheet'!W7*'Output-Calculation-sheet'!W106</f>
        <v>1066001072.896359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177979.59586763242</v>
      </c>
    </row>
    <row r="130" spans="1:27" x14ac:dyDescent="0.25">
      <c r="A130" s="2">
        <v>2032</v>
      </c>
      <c r="B130" s="2">
        <f>B9/'Output-Calculation-sheet'!B8*'Output-Calculation-sheet'!B107</f>
        <v>68163830033.610771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0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2480719528.5377126</v>
      </c>
      <c r="O130" s="2">
        <f>O9/'Output-Calculation-sheet'!O8*'Output-Calculation-sheet'!O107</f>
        <v>0</v>
      </c>
      <c r="P130" s="2">
        <f>P9/'Output-Calculation-sheet'!P8*'Output-Calculation-sheet'!P107</f>
        <v>7566800977.4388857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2202465306.9201288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239163.8533272802</v>
      </c>
    </row>
    <row r="131" spans="1:27" x14ac:dyDescent="0.25">
      <c r="A131" s="2">
        <v>2033</v>
      </c>
      <c r="B131" s="2">
        <f>B10/'Output-Calculation-sheet'!B9*'Output-Calculation-sheet'!B108</f>
        <v>59634129254.06955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2185156148.9551349</v>
      </c>
      <c r="O131" s="2">
        <f>O10/'Output-Calculation-sheet'!O9*'Output-Calculation-sheet'!O108</f>
        <v>0</v>
      </c>
      <c r="P131" s="2">
        <f>P10/'Output-Calculation-sheet'!P9*'Output-Calculation-sheet'!P108</f>
        <v>10050143883.34873</v>
      </c>
      <c r="Q131" s="2">
        <f>Q10/'Output-Calculation-sheet'!Q9*'Output-Calculation-sheet'!Q108</f>
        <v>8478317880.9638262</v>
      </c>
      <c r="R131" s="2">
        <f>R10/'Output-Calculation-sheet'!R9*'Output-Calculation-sheet'!R108</f>
        <v>9512549925.800705</v>
      </c>
      <c r="S131" s="2">
        <f>S10/'Output-Calculation-sheet'!S9*'Output-Calculation-sheet'!S108</f>
        <v>2119485017.6864762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283439.96674262907</v>
      </c>
    </row>
    <row r="132" spans="1:27" x14ac:dyDescent="0.25">
      <c r="A132" s="2">
        <v>2034</v>
      </c>
      <c r="B132" s="2">
        <f>B11/'Output-Calculation-sheet'!B10*'Output-Calculation-sheet'!B109</f>
        <v>47207337771.67424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45561671517.575226</v>
      </c>
      <c r="F132" s="2">
        <f>F11/'Output-Calculation-sheet'!F10*'Output-Calculation-sheet'!F109</f>
        <v>30065775125.073769</v>
      </c>
      <c r="G132" s="2">
        <f>G11/'Output-Calculation-sheet'!G10*'Output-Calculation-sheet'!G109</f>
        <v>21125630500.724762</v>
      </c>
      <c r="H132" s="2">
        <f>H11/'Output-Calculation-sheet'!H10*'Output-Calculation-sheet'!H109</f>
        <v>0</v>
      </c>
      <c r="I132" s="2">
        <f>I11/'Output-Calculation-sheet'!I10*'Output-Calculation-sheet'!I109</f>
        <v>19245773302.60791</v>
      </c>
      <c r="J132" s="2">
        <f>J11/'Output-Calculation-sheet'!J10*'Output-Calculation-sheet'!J109</f>
        <v>18732635609.099976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13945442334.573246</v>
      </c>
      <c r="M132" s="2">
        <f>M11/'Output-Calculation-sheet'!M10*'Output-Calculation-sheet'!M109</f>
        <v>0</v>
      </c>
      <c r="N132" s="2">
        <f>N11/'Output-Calculation-sheet'!N10*'Output-Calculation-sheet'!N109</f>
        <v>1833842909.7171378</v>
      </c>
      <c r="O132" s="2">
        <f>O11/'Output-Calculation-sheet'!O10*'Output-Calculation-sheet'!O109</f>
        <v>0</v>
      </c>
      <c r="P132" s="2">
        <f>P11/'Output-Calculation-sheet'!P10*'Output-Calculation-sheet'!P109</f>
        <v>10419395491.525528</v>
      </c>
      <c r="Q132" s="2">
        <f>Q11/'Output-Calculation-sheet'!Q10*'Output-Calculation-sheet'!Q109</f>
        <v>6711205392.5446653</v>
      </c>
      <c r="R132" s="2">
        <f>R11/'Output-Calculation-sheet'!R10*'Output-Calculation-sheet'!R109</f>
        <v>12022021517.291281</v>
      </c>
      <c r="S132" s="2">
        <f>S11/'Output-Calculation-sheet'!S10*'Output-Calculation-sheet'!S109</f>
        <v>1258585066.3870983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3851365267.0502272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319350.54951929755</v>
      </c>
    </row>
    <row r="133" spans="1:27" x14ac:dyDescent="0.25">
      <c r="A133" s="2">
        <v>2035</v>
      </c>
      <c r="B133" s="2">
        <f>B12/'Output-Calculation-sheet'!B11*'Output-Calculation-sheet'!B110</f>
        <v>785477749.59150338</v>
      </c>
      <c r="C133" s="2">
        <f>C12/'Output-Calculation-sheet'!C11*'Output-Calculation-sheet'!C110</f>
        <v>0</v>
      </c>
      <c r="D133" s="2">
        <f>D12/'Output-Calculation-sheet'!D11*'Output-Calculation-sheet'!D110</f>
        <v>65075980816.146538</v>
      </c>
      <c r="E133" s="2">
        <f>E12/'Output-Calculation-sheet'!E11*'Output-Calculation-sheet'!E110</f>
        <v>31645017945.073921</v>
      </c>
      <c r="F133" s="2">
        <f>F12/'Output-Calculation-sheet'!F11*'Output-Calculation-sheet'!F110</f>
        <v>35091918815.674637</v>
      </c>
      <c r="G133" s="2">
        <f>G12/'Output-Calculation-sheet'!G11*'Output-Calculation-sheet'!G110</f>
        <v>24323929232.23082</v>
      </c>
      <c r="H133" s="2">
        <f>H12/'Output-Calculation-sheet'!H11*'Output-Calculation-sheet'!H110</f>
        <v>0</v>
      </c>
      <c r="I133" s="2">
        <f>I12/'Output-Calculation-sheet'!I11*'Output-Calculation-sheet'!I110</f>
        <v>21956902059.977997</v>
      </c>
      <c r="J133" s="2">
        <f>J12/'Output-Calculation-sheet'!J11*'Output-Calculation-sheet'!J110</f>
        <v>21146151033.622532</v>
      </c>
      <c r="K133" s="2">
        <f>K12/'Output-Calculation-sheet'!K11*'Output-Calculation-sheet'!K110</f>
        <v>20919524695.194824</v>
      </c>
      <c r="L133" s="2">
        <f>L12/'Output-Calculation-sheet'!L11*'Output-Calculation-sheet'!L110</f>
        <v>15386288744.722069</v>
      </c>
      <c r="M133" s="2">
        <f>M12/'Output-Calculation-sheet'!M11*'Output-Calculation-sheet'!M110</f>
        <v>0</v>
      </c>
      <c r="N133" s="2">
        <f>N12/'Output-Calculation-sheet'!N11*'Output-Calculation-sheet'!N110</f>
        <v>2010993.5951451489</v>
      </c>
      <c r="O133" s="2">
        <f>O12/'Output-Calculation-sheet'!O11*'Output-Calculation-sheet'!O110</f>
        <v>0</v>
      </c>
      <c r="P133" s="2">
        <f>P12/'Output-Calculation-sheet'!P11*'Output-Calculation-sheet'!P110</f>
        <v>4767825783.7488699</v>
      </c>
      <c r="Q133" s="2">
        <f>Q12/'Output-Calculation-sheet'!Q11*'Output-Calculation-sheet'!Q110</f>
        <v>6333226046.7507401</v>
      </c>
      <c r="R133" s="2">
        <f>R12/'Output-Calculation-sheet'!R11*'Output-Calculation-sheet'!R110</f>
        <v>13914807935.091274</v>
      </c>
      <c r="S133" s="2">
        <f>S12/'Output-Calculation-sheet'!S11*'Output-Calculation-sheet'!S110</f>
        <v>23038099.076935466</v>
      </c>
      <c r="T133" s="2">
        <f>T12/'Output-Calculation-sheet'!T11*'Output-Calculation-sheet'!T110</f>
        <v>5228044225.9834585</v>
      </c>
      <c r="U133" s="2">
        <f>U12/'Output-Calculation-sheet'!U11*'Output-Calculation-sheet'!U110</f>
        <v>4241844633.7362165</v>
      </c>
      <c r="V133" s="2">
        <f>V12/'Output-Calculation-sheet'!V11*'Output-Calculation-sheet'!V110</f>
        <v>3515865731.3615508</v>
      </c>
      <c r="W133" s="2">
        <f>W12/'Output-Calculation-sheet'!W11*'Output-Calculation-sheet'!W110</f>
        <v>3088822042.7352653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277446.67658431426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17672741233.855206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5555864685.8632221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3819018438.9187021</v>
      </c>
      <c r="N140" s="2">
        <f>N8/'Output-Calculation-sheet'!N7*'Output-Calculation-sheet'!N115</f>
        <v>1441830832.447535</v>
      </c>
      <c r="O140" s="2">
        <f>O8/'Output-Calculation-sheet'!O7*'Output-Calculation-sheet'!O115</f>
        <v>4241371845.3337402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414699550.31258279</v>
      </c>
      <c r="Y140" s="2">
        <f>Y8/'Output-Calculation-sheet'!Y7*'Output-Calculation-sheet'!Y115</f>
        <v>0</v>
      </c>
      <c r="AA140" s="2">
        <f t="shared" si="12"/>
        <v>33145.526586730994</v>
      </c>
    </row>
    <row r="141" spans="1:27" x14ac:dyDescent="0.25">
      <c r="A141" s="2">
        <v>2032</v>
      </c>
      <c r="B141" s="2">
        <f>B9/'Output-Calculation-sheet'!B8*'Output-Calculation-sheet'!B116</f>
        <v>7792698625.0210905</v>
      </c>
      <c r="C141" s="2">
        <f>C9/'Output-Calculation-sheet'!C8*'Output-Calculation-sheet'!C116</f>
        <v>33357357827.554115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8696118531.8739281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5970599884.083415</v>
      </c>
      <c r="N141" s="2">
        <f>N9/'Output-Calculation-sheet'!N8*'Output-Calculation-sheet'!N116</f>
        <v>4145161096.3826194</v>
      </c>
      <c r="O141" s="2">
        <f>O9/'Output-Calculation-sheet'!O8*'Output-Calculation-sheet'!O116</f>
        <v>6474859204.182354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1856659104.2762139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649878817.69503045</v>
      </c>
      <c r="Y141" s="2">
        <f>Y9/'Output-Calculation-sheet'!Y8*'Output-Calculation-sheet'!Y116</f>
        <v>0</v>
      </c>
      <c r="AA141" s="2">
        <f t="shared" si="12"/>
        <v>68943.333091068765</v>
      </c>
    </row>
    <row r="142" spans="1:27" x14ac:dyDescent="0.25">
      <c r="A142" s="2">
        <v>2033</v>
      </c>
      <c r="B142" s="2">
        <f>B10/'Output-Calculation-sheet'!B9*'Output-Calculation-sheet'!B117</f>
        <v>43266435431.386917</v>
      </c>
      <c r="C142" s="2">
        <f>C10/'Output-Calculation-sheet'!C9*'Output-Calculation-sheet'!C117</f>
        <v>45687568036.421181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14149777283.813316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9723544546.4513569</v>
      </c>
      <c r="N142" s="2">
        <f>N10/'Output-Calculation-sheet'!N9*'Output-Calculation-sheet'!N117</f>
        <v>7334974039.510994</v>
      </c>
      <c r="O142" s="2">
        <f>O10/'Output-Calculation-sheet'!O9*'Output-Calculation-sheet'!O117</f>
        <v>8867377124.10639</v>
      </c>
      <c r="P142" s="2">
        <f>P10/'Output-Calculation-sheet'!P9*'Output-Calculation-sheet'!P117</f>
        <v>0</v>
      </c>
      <c r="Q142" s="2">
        <f>Q10/'Output-Calculation-sheet'!Q9*'Output-Calculation-sheet'!Q117</f>
        <v>1400779774.636672</v>
      </c>
      <c r="R142" s="2">
        <f>R10/'Output-Calculation-sheet'!R9*'Output-Calculation-sheet'!R117</f>
        <v>0</v>
      </c>
      <c r="S142" s="2">
        <f>S10/'Output-Calculation-sheet'!S9*'Output-Calculation-sheet'!S117</f>
        <v>3566599974.4054999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1065972610.636847</v>
      </c>
      <c r="Y142" s="2">
        <f>Y10/'Output-Calculation-sheet'!Y9*'Output-Calculation-sheet'!Y117</f>
        <v>0</v>
      </c>
      <c r="AA142" s="2">
        <f t="shared" si="12"/>
        <v>135063.02882136917</v>
      </c>
    </row>
    <row r="143" spans="1:27" x14ac:dyDescent="0.25">
      <c r="A143" s="2">
        <v>2034</v>
      </c>
      <c r="B143" s="2">
        <f>B11/'Output-Calculation-sheet'!B10*'Output-Calculation-sheet'!B118</f>
        <v>84813083471.177124</v>
      </c>
      <c r="C143" s="2">
        <f>C11/'Output-Calculation-sheet'!C10*'Output-Calculation-sheet'!C118</f>
        <v>65073260204.930321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18038631476.047237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12389132631.264746</v>
      </c>
      <c r="N143" s="2">
        <f>N11/'Output-Calculation-sheet'!N10*'Output-Calculation-sheet'!N118</f>
        <v>10901442852.756086</v>
      </c>
      <c r="O143" s="2">
        <f>O11/'Output-Calculation-sheet'!O10*'Output-Calculation-sheet'!O118</f>
        <v>12641926670.99934</v>
      </c>
      <c r="P143" s="2">
        <f>P11/'Output-Calculation-sheet'!P10*'Output-Calculation-sheet'!P118</f>
        <v>2282462534.5356703</v>
      </c>
      <c r="Q143" s="2">
        <f>Q11/'Output-Calculation-sheet'!Q10*'Output-Calculation-sheet'!Q118</f>
        <v>5373717595.4798079</v>
      </c>
      <c r="R143" s="2">
        <f>R11/'Output-Calculation-sheet'!R10*'Output-Calculation-sheet'!R118</f>
        <v>0</v>
      </c>
      <c r="S143" s="2">
        <f>S11/'Output-Calculation-sheet'!S10*'Output-Calculation-sheet'!S118</f>
        <v>6277039321.5883865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1360138263.6307433</v>
      </c>
      <c r="Y143" s="2">
        <f>Y11/'Output-Calculation-sheet'!Y10*'Output-Calculation-sheet'!Y118</f>
        <v>159388123.03714415</v>
      </c>
      <c r="AA143" s="2">
        <f t="shared" si="12"/>
        <v>219310.22314544657</v>
      </c>
    </row>
    <row r="144" spans="1:27" x14ac:dyDescent="0.25">
      <c r="A144" s="2">
        <v>2035</v>
      </c>
      <c r="B144" s="2">
        <f>B12/'Output-Calculation-sheet'!B11*'Output-Calculation-sheet'!B119</f>
        <v>167572536201.88992</v>
      </c>
      <c r="C144" s="2">
        <f>C12/'Output-Calculation-sheet'!C11*'Output-Calculation-sheet'!C119</f>
        <v>80186787205.153152</v>
      </c>
      <c r="D144" s="2">
        <f>D12/'Output-Calculation-sheet'!D11*'Output-Calculation-sheet'!D119</f>
        <v>0</v>
      </c>
      <c r="E144" s="2">
        <f>E12/'Output-Calculation-sheet'!E11*'Output-Calculation-sheet'!E119</f>
        <v>21125753752.373497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24362112617.114159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16691781437.758265</v>
      </c>
      <c r="N144" s="2">
        <f>N12/'Output-Calculation-sheet'!N11*'Output-Calculation-sheet'!N119</f>
        <v>16527314582.713718</v>
      </c>
      <c r="O144" s="2">
        <f>O12/'Output-Calculation-sheet'!O11*'Output-Calculation-sheet'!O119</f>
        <v>15591012783.239815</v>
      </c>
      <c r="P144" s="2">
        <f>P12/'Output-Calculation-sheet'!P11*'Output-Calculation-sheet'!P119</f>
        <v>10601341995.216087</v>
      </c>
      <c r="Q144" s="2">
        <f>Q12/'Output-Calculation-sheet'!Q11*'Output-Calculation-sheet'!Q119</f>
        <v>7265389883.2348633</v>
      </c>
      <c r="R144" s="2">
        <f>R12/'Output-Calculation-sheet'!R11*'Output-Calculation-sheet'!R119</f>
        <v>0</v>
      </c>
      <c r="S144" s="2">
        <f>S12/'Output-Calculation-sheet'!S11*'Output-Calculation-sheet'!S119</f>
        <v>9441308125.4559326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1857351128.7592309</v>
      </c>
      <c r="Y144" s="2">
        <f>Y12/'Output-Calculation-sheet'!Y11*'Output-Calculation-sheet'!Y119</f>
        <v>886290258.22602415</v>
      </c>
      <c r="AA144" s="2">
        <f t="shared" si="12"/>
        <v>372108.97997113463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58220596147.28067</v>
      </c>
      <c r="C151" s="2">
        <f>C8/'Output-Calculation-sheet'!C7*'Output-Calculation-sheet'!C124</f>
        <v>27436523275.510315</v>
      </c>
      <c r="D151" s="2">
        <f>D8/'Output-Calculation-sheet'!D7*'Output-Calculation-sheet'!D124</f>
        <v>24453244366.574764</v>
      </c>
      <c r="E151" s="2">
        <f>E8/'Output-Calculation-sheet'!E7*'Output-Calculation-sheet'!E124</f>
        <v>19401190678.533489</v>
      </c>
      <c r="F151" s="2">
        <f>F8/'Output-Calculation-sheet'!F7*'Output-Calculation-sheet'!F124</f>
        <v>12489238204.922966</v>
      </c>
      <c r="G151" s="2">
        <f>G8/'Output-Calculation-sheet'!G7*'Output-Calculation-sheet'!G124</f>
        <v>8775301804.0590496</v>
      </c>
      <c r="H151" s="2">
        <f>H8/'Output-Calculation-sheet'!H7*'Output-Calculation-sheet'!H124</f>
        <v>8559979972.0894232</v>
      </c>
      <c r="I151" s="2">
        <f>I8/'Output-Calculation-sheet'!I7*'Output-Calculation-sheet'!I124</f>
        <v>7994972128.4286938</v>
      </c>
      <c r="J151" s="2">
        <f>J8/'Output-Calculation-sheet'!J7*'Output-Calculation-sheet'!J124</f>
        <v>7781730593.0941801</v>
      </c>
      <c r="K151" s="2">
        <f>K8/'Output-Calculation-sheet'!K7*'Output-Calculation-sheet'!K124</f>
        <v>7707139260.6841717</v>
      </c>
      <c r="L151" s="2">
        <f>L8/'Output-Calculation-sheet'!L7*'Output-Calculation-sheet'!L124</f>
        <v>6182781960.0895386</v>
      </c>
      <c r="M151" s="2">
        <f>M8/'Output-Calculation-sheet'!M7*'Output-Calculation-sheet'!M124</f>
        <v>5905635379.8074646</v>
      </c>
      <c r="N151" s="2">
        <f>N8/'Output-Calculation-sheet'!N7*'Output-Calculation-sheet'!N124</f>
        <v>5796353970.7157087</v>
      </c>
      <c r="O151" s="2">
        <f>O8/'Output-Calculation-sheet'!O7*'Output-Calculation-sheet'!O124</f>
        <v>5330916191.9563532</v>
      </c>
      <c r="P151" s="2">
        <f>P8/'Output-Calculation-sheet'!P7*'Output-Calculation-sheet'!P124</f>
        <v>5276712571.5847397</v>
      </c>
      <c r="Q151" s="2">
        <f>Q8/'Output-Calculation-sheet'!Q7*'Output-Calculation-sheet'!Q124</f>
        <v>5191422703.4981794</v>
      </c>
      <c r="R151" s="2">
        <f>R8/'Output-Calculation-sheet'!R7*'Output-Calculation-sheet'!R124</f>
        <v>4994397562.2390556</v>
      </c>
      <c r="S151" s="2">
        <f>S8/'Output-Calculation-sheet'!S7*'Output-Calculation-sheet'!S124</f>
        <v>3319524630.9070387</v>
      </c>
      <c r="T151" s="2">
        <f>T8/'Output-Calculation-sheet'!T7*'Output-Calculation-sheet'!T124</f>
        <v>1835885016.1429033</v>
      </c>
      <c r="U151" s="2">
        <f>U8/'Output-Calculation-sheet'!U7*'Output-Calculation-sheet'!U124</f>
        <v>1598995950.8179915</v>
      </c>
      <c r="V151" s="2">
        <f>V8/'Output-Calculation-sheet'!V7*'Output-Calculation-sheet'!V124</f>
        <v>1231253535.159842</v>
      </c>
      <c r="W151" s="2">
        <f>W8/'Output-Calculation-sheet'!W7*'Output-Calculation-sheet'!W124</f>
        <v>1066001072.896359</v>
      </c>
      <c r="X151" s="2">
        <f>X8/'Output-Calculation-sheet'!X7*'Output-Calculation-sheet'!X124</f>
        <v>639597252.79687095</v>
      </c>
      <c r="Y151" s="2">
        <f>Y8/'Output-Calculation-sheet'!Y7*'Output-Calculation-sheet'!Y124</f>
        <v>622002306.52411175</v>
      </c>
      <c r="AA151" s="2">
        <f t="shared" si="13"/>
        <v>231811.39653631387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23606553303.828419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4586752765.0300484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199451.94830208781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3384658533.8033891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147179.67717041791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2943800428.665153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1785344746.8866503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1141593783.9206171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549898954.97223234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79720.5796395949</v>
      </c>
    </row>
    <row r="155" spans="1:27" x14ac:dyDescent="0.25">
      <c r="A155" s="2">
        <v>2035</v>
      </c>
      <c r="B155" s="2">
        <f>B12/'Output-Calculation-sheet'!B11*'Output-Calculation-sheet'!B128</f>
        <v>874169562.34922338</v>
      </c>
      <c r="C155" s="2">
        <f>C12/'Output-Calculation-sheet'!C11*'Output-Calculation-sheet'!C128</f>
        <v>112347587.93703145</v>
      </c>
      <c r="D155" s="2">
        <f>D12/'Output-Calculation-sheet'!D11*'Output-Calculation-sheet'!D128</f>
        <v>8760679891.0688477</v>
      </c>
      <c r="E155" s="2">
        <f>E12/'Output-Calculation-sheet'!E11*'Output-Calculation-sheet'!E128</f>
        <v>1631816477.4389884</v>
      </c>
      <c r="F155" s="2">
        <f>F12/'Output-Calculation-sheet'!F11*'Output-Calculation-sheet'!F128</f>
        <v>2526110767.4529099</v>
      </c>
      <c r="G155" s="2">
        <f>G12/'Output-Calculation-sheet'!G11*'Output-Calculation-sheet'!G128</f>
        <v>2256319600.4139266</v>
      </c>
      <c r="H155" s="2">
        <f>H12/'Output-Calculation-sheet'!H11*'Output-Calculation-sheet'!H128</f>
        <v>180847565.42869425</v>
      </c>
      <c r="I155" s="2">
        <f>I12/'Output-Calculation-sheet'!I11*'Output-Calculation-sheet'!I128</f>
        <v>2249963425.0302467</v>
      </c>
      <c r="J155" s="2">
        <f>J12/'Output-Calculation-sheet'!J11*'Output-Calculation-sheet'!J128</f>
        <v>2154346614.1031189</v>
      </c>
      <c r="K155" s="2">
        <f>K12/'Output-Calculation-sheet'!K11*'Output-Calculation-sheet'!K128</f>
        <v>2446377662.1683993</v>
      </c>
      <c r="L155" s="2">
        <f>L12/'Output-Calculation-sheet'!L11*'Output-Calculation-sheet'!L128</f>
        <v>1769094017.3212249</v>
      </c>
      <c r="M155" s="2">
        <f>M12/'Output-Calculation-sheet'!M11*'Output-Calculation-sheet'!M128</f>
        <v>150829064.03180006</v>
      </c>
      <c r="N155" s="2">
        <f>N12/'Output-Calculation-sheet'!N11*'Output-Calculation-sheet'!N128</f>
        <v>152654036.77925923</v>
      </c>
      <c r="O155" s="2">
        <f>O12/'Output-Calculation-sheet'!O11*'Output-Calculation-sheet'!O128</f>
        <v>50554038.907019228</v>
      </c>
      <c r="P155" s="2">
        <f>P12/'Output-Calculation-sheet'!P11*'Output-Calculation-sheet'!P128</f>
        <v>170635655.99982107</v>
      </c>
      <c r="Q155" s="2">
        <f>Q12/'Output-Calculation-sheet'!Q11*'Output-Calculation-sheet'!Q128</f>
        <v>1016975508.1200576</v>
      </c>
      <c r="R155" s="2">
        <f>R12/'Output-Calculation-sheet'!R11*'Output-Calculation-sheet'!R128</f>
        <v>1137125029.1199572</v>
      </c>
      <c r="S155" s="2">
        <f>S12/'Output-Calculation-sheet'!S11*'Output-Calculation-sheet'!S128</f>
        <v>79717720.129920438</v>
      </c>
      <c r="T155" s="2">
        <f>T12/'Output-Calculation-sheet'!T11*'Output-Calculation-sheet'!T128</f>
        <v>267426257.48961073</v>
      </c>
      <c r="U155" s="2">
        <f>U12/'Output-Calculation-sheet'!U11*'Output-Calculation-sheet'!U128</f>
        <v>526302834.99204677</v>
      </c>
      <c r="V155" s="2">
        <f>V12/'Output-Calculation-sheet'!V11*'Output-Calculation-sheet'!V128</f>
        <v>131330033.51681662</v>
      </c>
      <c r="W155" s="2">
        <f>W12/'Output-Calculation-sheet'!W11*'Output-Calculation-sheet'!W128</f>
        <v>121884438.07791856</v>
      </c>
      <c r="X155" s="2">
        <f>X12/'Output-Calculation-sheet'!X11*'Output-Calculation-sheet'!X128</f>
        <v>4638036.7597696753</v>
      </c>
      <c r="Y155" s="2">
        <f>Y12/'Output-Calculation-sheet'!Y11*'Output-Calculation-sheet'!Y128</f>
        <v>36065783.549044497</v>
      </c>
      <c r="AA155" s="2">
        <f t="shared" si="13"/>
        <v>28808.211608185651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1258.8538847740458</v>
      </c>
      <c r="C19" s="2">
        <f>C8/'Output-Calculation-sheet'!C7*'Output-Calculation-sheet'!C25</f>
        <v>5922.8652290752007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1794.1070986413049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1246.2580218949963</v>
      </c>
      <c r="N19" s="2">
        <f>N8/'Output-Calculation-sheet'!N7*'Output-Calculation-sheet'!N25</f>
        <v>1036.7394028769183</v>
      </c>
      <c r="O19" s="2">
        <f>O8/'Output-Calculation-sheet'!O7*'Output-Calculation-sheet'!O25</f>
        <v>650.6660376838588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479.46225142608023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134.87978540268784</v>
      </c>
      <c r="Y19" s="2">
        <f>Y8/'Output-Calculation-sheet'!Y7*'Output-Calculation-sheet'!Y25</f>
        <v>0</v>
      </c>
      <c r="AA19" s="2">
        <f t="shared" si="0"/>
        <v>12.523831711775092</v>
      </c>
    </row>
    <row r="20" spans="1:27" x14ac:dyDescent="0.25">
      <c r="A20" s="2">
        <v>2032</v>
      </c>
      <c r="B20" s="2">
        <f>B9/'Output-Calculation-sheet'!B8*'Output-Calculation-sheet'!B26</f>
        <v>6060.8962722300912</v>
      </c>
      <c r="C20" s="2">
        <f>C9/'Output-Calculation-sheet'!C8*'Output-Calculation-sheet'!C26</f>
        <v>3323.6475471472818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1995.2020336423066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1394.2609508570006</v>
      </c>
      <c r="N20" s="2">
        <f>N9/'Output-Calculation-sheet'!N8*'Output-Calculation-sheet'!N26</f>
        <v>966.26083234594125</v>
      </c>
      <c r="O20" s="2">
        <f>O9/'Output-Calculation-sheet'!O8*'Output-Calculation-sheet'!O26</f>
        <v>649.37913652187081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458.34892869506393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151.71595453750999</v>
      </c>
      <c r="Y20" s="2">
        <f>Y9/'Output-Calculation-sheet'!Y8*'Output-Calculation-sheet'!Y26</f>
        <v>0</v>
      </c>
      <c r="AA20" s="2">
        <f t="shared" si="0"/>
        <v>14.999711655977068</v>
      </c>
    </row>
    <row r="21" spans="1:27" x14ac:dyDescent="0.25">
      <c r="A21" s="2">
        <v>2033</v>
      </c>
      <c r="B21" s="2">
        <f>B10/'Output-Calculation-sheet'!B9*'Output-Calculation-sheet'!B27</f>
        <v>5250.9045853247426</v>
      </c>
      <c r="C21" s="2">
        <f>C10/'Output-Calculation-sheet'!C9*'Output-Calculation-sheet'!C27</f>
        <v>3227.4281775156669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1058.1987988597623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749.00183925954639</v>
      </c>
      <c r="N21" s="2">
        <f>N10/'Output-Calculation-sheet'!N9*'Output-Calculation-sheet'!N27</f>
        <v>758.51213421328202</v>
      </c>
      <c r="O21" s="2">
        <f>O10/'Output-Calculation-sheet'!O9*'Output-Calculation-sheet'!O27</f>
        <v>631.86124343395556</v>
      </c>
      <c r="P21" s="2">
        <f>P10/'Output-Calculation-sheet'!P9*'Output-Calculation-sheet'!P27</f>
        <v>0</v>
      </c>
      <c r="Q21" s="2">
        <f>Q10/'Output-Calculation-sheet'!Q9*'Output-Calculation-sheet'!Q27</f>
        <v>8.673353929159763</v>
      </c>
      <c r="R21" s="2">
        <f>R10/'Output-Calculation-sheet'!R9*'Output-Calculation-sheet'!R27</f>
        <v>0</v>
      </c>
      <c r="S21" s="2">
        <f>S10/'Output-Calculation-sheet'!S9*'Output-Calculation-sheet'!S27</f>
        <v>361.17539487438523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74.791052654571388</v>
      </c>
      <c r="Y21" s="2">
        <f>Y10/'Output-Calculation-sheet'!Y9*'Output-Calculation-sheet'!Y27</f>
        <v>0</v>
      </c>
      <c r="AA21" s="2">
        <f t="shared" si="0"/>
        <v>12.120546580065072</v>
      </c>
    </row>
    <row r="22" spans="1:27" x14ac:dyDescent="0.25">
      <c r="A22" s="2">
        <v>2034</v>
      </c>
      <c r="B22" s="2">
        <f>B11/'Output-Calculation-sheet'!B10*'Output-Calculation-sheet'!B28</f>
        <v>3958.434758355284</v>
      </c>
      <c r="C22" s="2">
        <f>C11/'Output-Calculation-sheet'!C10*'Output-Calculation-sheet'!C28</f>
        <v>398.78011747483987</v>
      </c>
      <c r="D22" s="2">
        <f>D11/'Output-Calculation-sheet'!D10*'Output-Calculation-sheet'!D28</f>
        <v>0</v>
      </c>
      <c r="E22" s="2">
        <f>E11/'Output-Calculation-sheet'!E10*'Output-Calculation-sheet'!E28</f>
        <v>1349.7135493466892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1050.019292406258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803.10802757071883</v>
      </c>
      <c r="M22" s="2">
        <f>M11/'Output-Calculation-sheet'!M10*'Output-Calculation-sheet'!M28</f>
        <v>747.29472806535</v>
      </c>
      <c r="N22" s="2">
        <f>N11/'Output-Calculation-sheet'!N10*'Output-Calculation-sheet'!N28</f>
        <v>499.57078916392516</v>
      </c>
      <c r="O22" s="2">
        <f>O11/'Output-Calculation-sheet'!O10*'Output-Calculation-sheet'!O28</f>
        <v>78.221648123304334</v>
      </c>
      <c r="P22" s="2">
        <f>P11/'Output-Calculation-sheet'!P10*'Output-Calculation-sheet'!P28</f>
        <v>0</v>
      </c>
      <c r="Q22" s="2">
        <f>Q11/'Output-Calculation-sheet'!Q10*'Output-Calculation-sheet'!Q28</f>
        <v>256.08375110667987</v>
      </c>
      <c r="R22" s="2">
        <f>R11/'Output-Calculation-sheet'!R10*'Output-Calculation-sheet'!R28</f>
        <v>0</v>
      </c>
      <c r="S22" s="2">
        <f>S11/'Output-Calculation-sheet'!S10*'Output-Calculation-sheet'!S28</f>
        <v>187.0551524111992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73.426910114019179</v>
      </c>
      <c r="Y22" s="2">
        <f>Y11/'Output-Calculation-sheet'!Y10*'Output-Calculation-sheet'!Y28</f>
        <v>29.930882492311586</v>
      </c>
      <c r="AA22" s="2">
        <f t="shared" si="0"/>
        <v>9.431639606630581</v>
      </c>
    </row>
    <row r="23" spans="1:27" x14ac:dyDescent="0.25">
      <c r="A23" s="2">
        <v>2035</v>
      </c>
      <c r="B23" s="2">
        <f>B12/'Output-Calculation-sheet'!B11*'Output-Calculation-sheet'!B29</f>
        <v>725.54796230581178</v>
      </c>
      <c r="C23" s="2">
        <f>C12/'Output-Calculation-sheet'!C11*'Output-Calculation-sheet'!C29</f>
        <v>136.3564543611059</v>
      </c>
      <c r="D23" s="2">
        <f>D12/'Output-Calculation-sheet'!D11*'Output-Calculation-sheet'!D29</f>
        <v>0</v>
      </c>
      <c r="E23" s="2">
        <f>E12/'Output-Calculation-sheet'!E11*'Output-Calculation-sheet'!E29</f>
        <v>1837.0879115947903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221.18369944257296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926.08071034836632</v>
      </c>
      <c r="M23" s="2">
        <f>M12/'Output-Calculation-sheet'!M11*'Output-Calculation-sheet'!M29</f>
        <v>185.45744697323923</v>
      </c>
      <c r="N23" s="2">
        <f>N12/'Output-Calculation-sheet'!N11*'Output-Calculation-sheet'!N29</f>
        <v>129.34159768150099</v>
      </c>
      <c r="O23" s="2">
        <f>O12/'Output-Calculation-sheet'!O11*'Output-Calculation-sheet'!O29</f>
        <v>14.942943855632169</v>
      </c>
      <c r="P23" s="2">
        <f>P12/'Output-Calculation-sheet'!P11*'Output-Calculation-sheet'!P29</f>
        <v>25.738876855411284</v>
      </c>
      <c r="Q23" s="2">
        <f>Q12/'Output-Calculation-sheet'!Q11*'Output-Calculation-sheet'!Q29</f>
        <v>360.88959143421323</v>
      </c>
      <c r="R23" s="2">
        <f>R12/'Output-Calculation-sheet'!R11*'Output-Calculation-sheet'!R29</f>
        <v>0</v>
      </c>
      <c r="S23" s="2">
        <f>S12/'Output-Calculation-sheet'!S11*'Output-Calculation-sheet'!S29</f>
        <v>76.840541602874879</v>
      </c>
      <c r="T23" s="2">
        <f>T12/'Output-Calculation-sheet'!T11*'Output-Calculation-sheet'!T29</f>
        <v>0</v>
      </c>
      <c r="U23" s="2">
        <f>U12/'Output-Calculation-sheet'!U11*'Output-Calculation-sheet'!U29</f>
        <v>83.775615320738197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6.7221753654471632</v>
      </c>
      <c r="Y23" s="2">
        <f>Y12/'Output-Calculation-sheet'!Y11*'Output-Calculation-sheet'!Y29</f>
        <v>56.930502499060282</v>
      </c>
      <c r="AA23" s="2">
        <f t="shared" si="0"/>
        <v>4.7868960296407641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21943.081833380318</v>
      </c>
      <c r="C30" s="2">
        <f>C8/'Output-Calculation-sheet'!C7*'Output-Calculation-sheet'!C16</f>
        <v>0</v>
      </c>
      <c r="D30" s="2">
        <f>D8/'Output-Calculation-sheet'!D7*'Output-Calculation-sheet'!D16</f>
        <v>3694.8973562054457</v>
      </c>
      <c r="E30" s="2">
        <f>E8/'Output-Calculation-sheet'!E7*'Output-Calculation-sheet'!E16</f>
        <v>3975.5059095952101</v>
      </c>
      <c r="F30" s="2">
        <f>F8/'Output-Calculation-sheet'!F7*'Output-Calculation-sheet'!F16</f>
        <v>2005.6966614269581</v>
      </c>
      <c r="G30" s="2">
        <f>G8/'Output-Calculation-sheet'!G7*'Output-Calculation-sheet'!G16</f>
        <v>1313.4756250925429</v>
      </c>
      <c r="H30" s="2">
        <f>H8/'Output-Calculation-sheet'!H7*'Output-Calculation-sheet'!H16</f>
        <v>0</v>
      </c>
      <c r="I30" s="2">
        <f>I8/'Output-Calculation-sheet'!I7*'Output-Calculation-sheet'!I16</f>
        <v>1280.4577111928859</v>
      </c>
      <c r="J30" s="2">
        <f>J8/'Output-Calculation-sheet'!J7*'Output-Calculation-sheet'!J16</f>
        <v>1139.8378810127272</v>
      </c>
      <c r="K30" s="2">
        <f>K8/'Output-Calculation-sheet'!K7*'Output-Calculation-sheet'!K16</f>
        <v>1521.9027579820852</v>
      </c>
      <c r="L30" s="2">
        <f>L8/'Output-Calculation-sheet'!L7*'Output-Calculation-sheet'!L16</f>
        <v>1285.5139597060188</v>
      </c>
      <c r="M30" s="2">
        <f>M8/'Output-Calculation-sheet'!M7*'Output-Calculation-sheet'!M16</f>
        <v>0</v>
      </c>
      <c r="N30" s="2">
        <f>N8/'Output-Calculation-sheet'!N7*'Output-Calculation-sheet'!N16</f>
        <v>1181.8609890771634</v>
      </c>
      <c r="O30" s="2">
        <f>O8/'Output-Calculation-sheet'!O7*'Output-Calculation-sheet'!O16</f>
        <v>0</v>
      </c>
      <c r="P30" s="2">
        <f>P8/'Output-Calculation-sheet'!P7*'Output-Calculation-sheet'!P16</f>
        <v>1641.1248837358901</v>
      </c>
      <c r="Q30" s="2">
        <f>Q8/'Output-Calculation-sheet'!Q7*'Output-Calculation-sheet'!Q16</f>
        <v>1804.703761368806</v>
      </c>
      <c r="R30" s="2">
        <f>R8/'Output-Calculation-sheet'!R7*'Output-Calculation-sheet'!R16</f>
        <v>1145.0909854701365</v>
      </c>
      <c r="S30" s="2">
        <f>S8/'Output-Calculation-sheet'!S7*'Output-Calculation-sheet'!S16</f>
        <v>1151.6274479006699</v>
      </c>
      <c r="T30" s="2">
        <f>T8/'Output-Calculation-sheet'!T7*'Output-Calculation-sheet'!T16</f>
        <v>343.73771684164188</v>
      </c>
      <c r="U30" s="2">
        <f>U8/'Output-Calculation-sheet'!U7*'Output-Calculation-sheet'!U16</f>
        <v>343.12486300273758</v>
      </c>
      <c r="V30" s="2">
        <f>V8/'Output-Calculation-sheet'!V7*'Output-Calculation-sheet'!V16</f>
        <v>267.04639885705473</v>
      </c>
      <c r="W30" s="2">
        <f>W8/'Output-Calculation-sheet'!W7*'Output-Calculation-sheet'!W16</f>
        <v>161.97911106054366</v>
      </c>
      <c r="X30" s="2">
        <f>X8/'Output-Calculation-sheet'!X7*'Output-Calculation-sheet'!X16</f>
        <v>0</v>
      </c>
      <c r="Y30" s="2">
        <f>Y8/'Output-Calculation-sheet'!Y7*'Output-Calculation-sheet'!Y16</f>
        <v>137.09445436884715</v>
      </c>
      <c r="AA30" s="2">
        <f t="shared" si="1"/>
        <v>46.337760307277684</v>
      </c>
    </row>
    <row r="31" spans="1:27" x14ac:dyDescent="0.25">
      <c r="A31" s="2">
        <v>2032</v>
      </c>
      <c r="B31" s="2">
        <f>B9/'Output-Calculation-sheet'!B8*'Output-Calculation-sheet'!B17</f>
        <v>25482.517667505876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996.39329730966142</v>
      </c>
      <c r="O31" s="2">
        <f>O9/'Output-Calculation-sheet'!O8*'Output-Calculation-sheet'!O17</f>
        <v>0</v>
      </c>
      <c r="P31" s="2">
        <f>P9/'Output-Calculation-sheet'!P8*'Output-Calculation-sheet'!P17</f>
        <v>2490.320675754057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824.68262562144469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58.383469197472088</v>
      </c>
    </row>
    <row r="32" spans="1:27" x14ac:dyDescent="0.25">
      <c r="A32" s="2">
        <v>2033</v>
      </c>
      <c r="B32" s="2">
        <f>B10/'Output-Calculation-sheet'!B9*'Output-Calculation-sheet'!B18</f>
        <v>18993.910141533292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2973.6188095505158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768.78214869058047</v>
      </c>
      <c r="O32" s="2">
        <f>O10/'Output-Calculation-sheet'!O9*'Output-Calculation-sheet'!O18</f>
        <v>0</v>
      </c>
      <c r="P32" s="2">
        <f>P10/'Output-Calculation-sheet'!P9*'Output-Calculation-sheet'!P18</f>
        <v>3060.5052491821907</v>
      </c>
      <c r="Q32" s="2">
        <f>Q10/'Output-Calculation-sheet'!Q9*'Output-Calculation-sheet'!Q18</f>
        <v>2833.9274660295018</v>
      </c>
      <c r="R32" s="2">
        <f>R10/'Output-Calculation-sheet'!R9*'Output-Calculation-sheet'!R18</f>
        <v>2197.7064786723804</v>
      </c>
      <c r="S32" s="2">
        <f>S10/'Output-Calculation-sheet'!S9*'Output-Calculation-sheet'!S18</f>
        <v>699.36451772437147</v>
      </c>
      <c r="T32" s="2">
        <f>T10/'Output-Calculation-sheet'!T9*'Output-Calculation-sheet'!T18</f>
        <v>641.67128856820057</v>
      </c>
      <c r="U32" s="2">
        <f>U10/'Output-Calculation-sheet'!U9*'Output-Calculation-sheet'!U18</f>
        <v>709.34641234776723</v>
      </c>
      <c r="V32" s="2">
        <f>V10/'Output-Calculation-sheet'!V9*'Output-Calculation-sheet'!V18</f>
        <v>523.54785656100228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303.16180962618745</v>
      </c>
      <c r="AA32" s="2">
        <f t="shared" si="1"/>
        <v>60.383348139954954</v>
      </c>
    </row>
    <row r="33" spans="1:27" x14ac:dyDescent="0.25">
      <c r="A33" s="2">
        <v>2034</v>
      </c>
      <c r="B33" s="2">
        <f>B11/'Output-Calculation-sheet'!B10*'Output-Calculation-sheet'!B19</f>
        <v>11947.100716705541</v>
      </c>
      <c r="C33" s="2">
        <f>C11/'Output-Calculation-sheet'!C10*'Output-Calculation-sheet'!C19</f>
        <v>0</v>
      </c>
      <c r="D33" s="2">
        <f>D11/'Output-Calculation-sheet'!D10*'Output-Calculation-sheet'!D19</f>
        <v>7947.6923524800313</v>
      </c>
      <c r="E33" s="2">
        <f>E11/'Output-Calculation-sheet'!E10*'Output-Calculation-sheet'!E19</f>
        <v>9834.378205167608</v>
      </c>
      <c r="F33" s="2">
        <f>F11/'Output-Calculation-sheet'!F10*'Output-Calculation-sheet'!F19</f>
        <v>4510.8980572007204</v>
      </c>
      <c r="G33" s="2">
        <f>G11/'Output-Calculation-sheet'!G10*'Output-Calculation-sheet'!G19</f>
        <v>2705.1883830497231</v>
      </c>
      <c r="H33" s="2">
        <f>H11/'Output-Calculation-sheet'!H10*'Output-Calculation-sheet'!H19</f>
        <v>0</v>
      </c>
      <c r="I33" s="2">
        <f>I11/'Output-Calculation-sheet'!I10*'Output-Calculation-sheet'!I19</f>
        <v>2952.0707888146258</v>
      </c>
      <c r="J33" s="2">
        <f>J11/'Output-Calculation-sheet'!J10*'Output-Calculation-sheet'!J19</f>
        <v>2496.0973013057887</v>
      </c>
      <c r="K33" s="2">
        <f>K11/'Output-Calculation-sheet'!K10*'Output-Calculation-sheet'!K19</f>
        <v>3462.175366621082</v>
      </c>
      <c r="L33" s="2">
        <f>L11/'Output-Calculation-sheet'!L10*'Output-Calculation-sheet'!L19</f>
        <v>2816.0248522753268</v>
      </c>
      <c r="M33" s="2">
        <f>M11/'Output-Calculation-sheet'!M10*'Output-Calculation-sheet'!M19</f>
        <v>0</v>
      </c>
      <c r="N33" s="2">
        <f>N11/'Output-Calculation-sheet'!N10*'Output-Calculation-sheet'!N19</f>
        <v>534.5525335773151</v>
      </c>
      <c r="O33" s="2">
        <f>O11/'Output-Calculation-sheet'!O10*'Output-Calculation-sheet'!O19</f>
        <v>0</v>
      </c>
      <c r="P33" s="2">
        <f>P11/'Output-Calculation-sheet'!P10*'Output-Calculation-sheet'!P19</f>
        <v>2646.1221395141374</v>
      </c>
      <c r="Q33" s="2">
        <f>Q11/'Output-Calculation-sheet'!Q10*'Output-Calculation-sheet'!Q19</f>
        <v>1686.8002099013386</v>
      </c>
      <c r="R33" s="2">
        <f>R11/'Output-Calculation-sheet'!R10*'Output-Calculation-sheet'!R19</f>
        <v>2501.0916268830129</v>
      </c>
      <c r="S33" s="2">
        <f>S11/'Output-Calculation-sheet'!S10*'Output-Calculation-sheet'!S19</f>
        <v>339.81454072758709</v>
      </c>
      <c r="T33" s="2">
        <f>T11/'Output-Calculation-sheet'!T10*'Output-Calculation-sheet'!T19</f>
        <v>733.8149766049803</v>
      </c>
      <c r="U33" s="2">
        <f>U11/'Output-Calculation-sheet'!U10*'Output-Calculation-sheet'!U19</f>
        <v>844.04344717229014</v>
      </c>
      <c r="V33" s="2">
        <f>V11/'Output-Calculation-sheet'!V10*'Output-Calculation-sheet'!V19</f>
        <v>575.60496031136938</v>
      </c>
      <c r="W33" s="2">
        <f>W11/'Output-Calculation-sheet'!W10*'Output-Calculation-sheet'!W19</f>
        <v>358.34548406756858</v>
      </c>
      <c r="X33" s="2">
        <f>X11/'Output-Calculation-sheet'!X10*'Output-Calculation-sheet'!X19</f>
        <v>0</v>
      </c>
      <c r="Y33" s="2">
        <f>Y11/'Output-Calculation-sheet'!Y10*'Output-Calculation-sheet'!Y19</f>
        <v>293.42541093283842</v>
      </c>
      <c r="AA33" s="2">
        <f t="shared" si="1"/>
        <v>59.18524135331289</v>
      </c>
    </row>
    <row r="34" spans="1:27" x14ac:dyDescent="0.25">
      <c r="A34" s="2">
        <v>2035</v>
      </c>
      <c r="B34" s="2">
        <f>B12/'Output-Calculation-sheet'!B11*'Output-Calculation-sheet'!B20</f>
        <v>148.29896616109099</v>
      </c>
      <c r="C34" s="2">
        <f>C12/'Output-Calculation-sheet'!C11*'Output-Calculation-sheet'!C20</f>
        <v>0</v>
      </c>
      <c r="D34" s="2">
        <f>D12/'Output-Calculation-sheet'!D11*'Output-Calculation-sheet'!D20</f>
        <v>6605.1830389059787</v>
      </c>
      <c r="E34" s="2">
        <f>E12/'Output-Calculation-sheet'!E11*'Output-Calculation-sheet'!E20</f>
        <v>3898.5970846597834</v>
      </c>
      <c r="F34" s="2">
        <f>F12/'Output-Calculation-sheet'!F11*'Output-Calculation-sheet'!F20</f>
        <v>4511.2617855774615</v>
      </c>
      <c r="G34" s="2">
        <f>G12/'Output-Calculation-sheet'!G11*'Output-Calculation-sheet'!G20</f>
        <v>2432.8091036264645</v>
      </c>
      <c r="H34" s="2">
        <f>H12/'Output-Calculation-sheet'!H11*'Output-Calculation-sheet'!H20</f>
        <v>0</v>
      </c>
      <c r="I34" s="2">
        <f>I12/'Output-Calculation-sheet'!I11*'Output-Calculation-sheet'!I20</f>
        <v>2648.5869171201057</v>
      </c>
      <c r="J34" s="2">
        <f>J12/'Output-Calculation-sheet'!J11*'Output-Calculation-sheet'!J20</f>
        <v>2269.9863501802306</v>
      </c>
      <c r="K34" s="2">
        <f>K12/'Output-Calculation-sheet'!K11*'Output-Calculation-sheet'!K20</f>
        <v>2984.5212228500714</v>
      </c>
      <c r="L34" s="2">
        <f>L12/'Output-Calculation-sheet'!L11*'Output-Calculation-sheet'!L20</f>
        <v>2357.9578194380761</v>
      </c>
      <c r="M34" s="2">
        <f>M12/'Output-Calculation-sheet'!M11*'Output-Calculation-sheet'!M20</f>
        <v>0</v>
      </c>
      <c r="N34" s="2">
        <f>N12/'Output-Calculation-sheet'!N11*'Output-Calculation-sheet'!N20</f>
        <v>0.45495028452422293</v>
      </c>
      <c r="O34" s="2">
        <f>O12/'Output-Calculation-sheet'!O11*'Output-Calculation-sheet'!O20</f>
        <v>0</v>
      </c>
      <c r="P34" s="2">
        <f>P12/'Output-Calculation-sheet'!P11*'Output-Calculation-sheet'!P20</f>
        <v>742.87740204294755</v>
      </c>
      <c r="Q34" s="2">
        <f>Q12/'Output-Calculation-sheet'!Q11*'Output-Calculation-sheet'!Q20</f>
        <v>1156.6808789552128</v>
      </c>
      <c r="R34" s="2">
        <f>R12/'Output-Calculation-sheet'!R11*'Output-Calculation-sheet'!R20</f>
        <v>2343.6496577820094</v>
      </c>
      <c r="S34" s="2">
        <f>S12/'Output-Calculation-sheet'!S11*'Output-Calculation-sheet'!S20</f>
        <v>4.8273654737141412</v>
      </c>
      <c r="T34" s="2">
        <f>T12/'Output-Calculation-sheet'!T11*'Output-Calculation-sheet'!T20</f>
        <v>732.38083223636727</v>
      </c>
      <c r="U34" s="2">
        <f>U12/'Output-Calculation-sheet'!U11*'Output-Calculation-sheet'!U20</f>
        <v>669.57379820027734</v>
      </c>
      <c r="V34" s="2">
        <f>V12/'Output-Calculation-sheet'!V11*'Output-Calculation-sheet'!V20</f>
        <v>613.41668401202878</v>
      </c>
      <c r="W34" s="2">
        <f>W12/'Output-Calculation-sheet'!W11*'Output-Calculation-sheet'!W20</f>
        <v>396.32032502471685</v>
      </c>
      <c r="X34" s="2">
        <f>X12/'Output-Calculation-sheet'!X11*'Output-Calculation-sheet'!X20</f>
        <v>0</v>
      </c>
      <c r="Y34" s="2">
        <f>Y12/'Output-Calculation-sheet'!Y11*'Output-Calculation-sheet'!Y20</f>
        <v>98.669810387200187</v>
      </c>
      <c r="AA34" s="2">
        <f t="shared" si="1"/>
        <v>34.61605399291826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9.8480119661934956E-2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9.8716490575960575E-2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1.4388312278998274E-2</v>
      </c>
      <c r="I45" s="2">
        <f>I12/'Output-Calculation-sheet'!I11*'Output-Calculation-sheet'!I38*0.0114</f>
        <v>5.3436329730227682E-2</v>
      </c>
      <c r="J45" s="2">
        <f>J12/'Output-Calculation-sheet'!J11*'Output-Calculation-sheet'!J38*0.0114</f>
        <v>3.9663199088224195E-2</v>
      </c>
      <c r="K45" s="2">
        <f>K12/'Output-Calculation-sheet'!K11*'Output-Calculation-sheet'!K38*0.0114</f>
        <v>6.5649257867232538E-2</v>
      </c>
      <c r="L45" s="2">
        <f>L12/'Output-Calculation-sheet'!L11*'Output-Calculation-sheet'!L38*0.0114</f>
        <v>4.1761014140329983E-2</v>
      </c>
      <c r="M45" s="2">
        <f>M12/'Output-Calculation-sheet'!M11*'Output-Calculation-sheet'!M38*0.0114</f>
        <v>9.9005591116388941E-3</v>
      </c>
      <c r="N45" s="2">
        <f>N12/'Output-Calculation-sheet'!N11*'Output-Calculation-sheet'!N38*0.0114</f>
        <v>9.7306439841953873E-3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8.9894058439290662E-3</v>
      </c>
      <c r="Q45" s="2">
        <f>Q12/'Output-Calculation-sheet'!Q11*'Output-Calculation-sheet'!Q38*0.0114</f>
        <v>6.8204271611610912E-2</v>
      </c>
      <c r="R45" s="2">
        <f>R12/'Output-Calculation-sheet'!R11*'Output-Calculation-sheet'!R38*0.0114</f>
        <v>3.3818695045585483E-2</v>
      </c>
      <c r="S45" s="2">
        <f>S12/'Output-Calculation-sheet'!S11*'Output-Calculation-sheet'!S38*0.0114</f>
        <v>5.5779410501055355E-3</v>
      </c>
      <c r="T45" s="2">
        <f>T12/'Output-Calculation-sheet'!T11*'Output-Calculation-sheet'!T38*0.0114</f>
        <v>9.3837323905741534E-3</v>
      </c>
      <c r="U45" s="2">
        <f>U12/'Output-Calculation-sheet'!U11*'Output-Calculation-sheet'!U38*0.0114</f>
        <v>1.3600789731875651E-2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3.1443563520536775E-3</v>
      </c>
      <c r="AA45" s="2">
        <f t="shared" si="2"/>
        <v>0.92601322941344633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0.16247546786376207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194.85069310900391</v>
      </c>
      <c r="R54" s="2">
        <f>R10/'Output-Calculation-sheet'!R9*'Output-Calculation-sheet'!R45</f>
        <v>1458.6477270539699</v>
      </c>
      <c r="S54" s="2">
        <f>S10/'Output-Calculation-sheet'!S9*'Output-Calculation-sheet'!S45</f>
        <v>0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18.181008719209796</v>
      </c>
      <c r="AA54" s="2">
        <f t="shared" si="3"/>
        <v>4.7997145399003331</v>
      </c>
    </row>
    <row r="55" spans="1:27" x14ac:dyDescent="0.25">
      <c r="A55" s="2">
        <v>2034</v>
      </c>
      <c r="B55" s="2">
        <f>B11/'Output-Calculation-sheet'!B10*'Output-Calculation-sheet'!B46</f>
        <v>1561.6975414665578</v>
      </c>
      <c r="C55" s="2">
        <f>C11/'Output-Calculation-sheet'!C10*'Output-Calculation-sheet'!C46</f>
        <v>0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532.39626408425227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3280.0513154795285</v>
      </c>
      <c r="L55" s="2">
        <f>L11/'Output-Calculation-sheet'!L10*'Output-Calculation-sheet'!L46</f>
        <v>1213.0140681565704</v>
      </c>
      <c r="M55" s="2">
        <f>M11/'Output-Calculation-sheet'!M10*'Output-Calculation-sheet'!M46</f>
        <v>394.60099064185061</v>
      </c>
      <c r="N55" s="2">
        <f>N11/'Output-Calculation-sheet'!N10*'Output-Calculation-sheet'!N46</f>
        <v>134.7627854184411</v>
      </c>
      <c r="O55" s="2">
        <f>O11/'Output-Calculation-sheet'!O10*'Output-Calculation-sheet'!O46</f>
        <v>0</v>
      </c>
      <c r="P55" s="2">
        <f>P11/'Output-Calculation-sheet'!P10*'Output-Calculation-sheet'!P46</f>
        <v>2930.909828178701</v>
      </c>
      <c r="Q55" s="2">
        <f>Q11/'Output-Calculation-sheet'!Q10*'Output-Calculation-sheet'!Q46</f>
        <v>628.21957729754536</v>
      </c>
      <c r="R55" s="2">
        <f>R11/'Output-Calculation-sheet'!R10*'Output-Calculation-sheet'!R46</f>
        <v>3633.4108110555603</v>
      </c>
      <c r="S55" s="2">
        <f>S11/'Output-Calculation-sheet'!S10*'Output-Calculation-sheet'!S46</f>
        <v>0</v>
      </c>
      <c r="T55" s="2">
        <f>T11/'Output-Calculation-sheet'!T10*'Output-Calculation-sheet'!T46</f>
        <v>822.73852752915093</v>
      </c>
      <c r="U55" s="2">
        <f>U11/'Output-Calculation-sheet'!U10*'Output-Calculation-sheet'!U46</f>
        <v>1379.4975722914144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37.662186195548365</v>
      </c>
      <c r="Y55" s="2">
        <f>Y11/'Output-Calculation-sheet'!Y10*'Output-Calculation-sheet'!Y46</f>
        <v>261.94799369097314</v>
      </c>
      <c r="AA55" s="2">
        <f t="shared" si="3"/>
        <v>39.212421510633497</v>
      </c>
    </row>
    <row r="56" spans="1:27" x14ac:dyDescent="0.25">
      <c r="A56" s="2">
        <v>2035</v>
      </c>
      <c r="B56" s="2">
        <f>B12/'Output-Calculation-sheet'!B11*'Output-Calculation-sheet'!B47</f>
        <v>354.18288650345022</v>
      </c>
      <c r="C56" s="2">
        <f>C12/'Output-Calculation-sheet'!C11*'Output-Calculation-sheet'!C47</f>
        <v>278.80563179346308</v>
      </c>
      <c r="D56" s="2">
        <f>D12/'Output-Calculation-sheet'!D11*'Output-Calculation-sheet'!D47</f>
        <v>6443.106583830755</v>
      </c>
      <c r="E56" s="2">
        <f>E12/'Output-Calculation-sheet'!E11*'Output-Calculation-sheet'!E47</f>
        <v>7848.2496454981519</v>
      </c>
      <c r="F56" s="2">
        <f>F12/'Output-Calculation-sheet'!F11*'Output-Calculation-sheet'!F47</f>
        <v>2045.9294753804784</v>
      </c>
      <c r="G56" s="2">
        <f>G12/'Output-Calculation-sheet'!G11*'Output-Calculation-sheet'!G47</f>
        <v>5049.9167157522725</v>
      </c>
      <c r="H56" s="2">
        <f>H12/'Output-Calculation-sheet'!H11*'Output-Calculation-sheet'!H47</f>
        <v>104.75701045235586</v>
      </c>
      <c r="I56" s="2">
        <f>I12/'Output-Calculation-sheet'!I11*'Output-Calculation-sheet'!I47</f>
        <v>2521.8197714791659</v>
      </c>
      <c r="J56" s="2">
        <f>J12/'Output-Calculation-sheet'!J11*'Output-Calculation-sheet'!J47</f>
        <v>2302.0891868457611</v>
      </c>
      <c r="K56" s="2">
        <f>K12/'Output-Calculation-sheet'!K11*'Output-Calculation-sheet'!K47</f>
        <v>3281.3111519955346</v>
      </c>
      <c r="L56" s="2">
        <f>L12/'Output-Calculation-sheet'!L11*'Output-Calculation-sheet'!L47</f>
        <v>1823.3811217850218</v>
      </c>
      <c r="M56" s="2">
        <f>M12/'Output-Calculation-sheet'!M11*'Output-Calculation-sheet'!M47</f>
        <v>72.951488191023429</v>
      </c>
      <c r="N56" s="2">
        <f>N12/'Output-Calculation-sheet'!N11*'Output-Calculation-sheet'!N47</f>
        <v>67.431655679950481</v>
      </c>
      <c r="O56" s="2">
        <f>O12/'Output-Calculation-sheet'!O11*'Output-Calculation-sheet'!O47</f>
        <v>9.5583862615984021</v>
      </c>
      <c r="P56" s="2">
        <f>P12/'Output-Calculation-sheet'!P11*'Output-Calculation-sheet'!P47</f>
        <v>965.96685603623735</v>
      </c>
      <c r="Q56" s="2">
        <f>Q12/'Output-Calculation-sheet'!Q11*'Output-Calculation-sheet'!Q47</f>
        <v>860.03193369904113</v>
      </c>
      <c r="R56" s="2">
        <f>R12/'Output-Calculation-sheet'!R11*'Output-Calculation-sheet'!R47</f>
        <v>3886.9250160945944</v>
      </c>
      <c r="S56" s="2">
        <f>S12/'Output-Calculation-sheet'!S11*'Output-Calculation-sheet'!S47</f>
        <v>30.825463697951641</v>
      </c>
      <c r="T56" s="2">
        <f>T12/'Output-Calculation-sheet'!T11*'Output-Calculation-sheet'!T47</f>
        <v>1369.9700533958112</v>
      </c>
      <c r="U56" s="2">
        <f>U12/'Output-Calculation-sheet'!U11*'Output-Calculation-sheet'!U47</f>
        <v>1307.3460866832752</v>
      </c>
      <c r="V56" s="2">
        <f>V12/'Output-Calculation-sheet'!V11*'Output-Calculation-sheet'!V47</f>
        <v>912.58753138132977</v>
      </c>
      <c r="W56" s="2">
        <f>W12/'Output-Calculation-sheet'!W11*'Output-Calculation-sheet'!W47</f>
        <v>530.70243427633966</v>
      </c>
      <c r="X56" s="2">
        <f>X12/'Output-Calculation-sheet'!X11*'Output-Calculation-sheet'!X47</f>
        <v>8.1934759333369627</v>
      </c>
      <c r="Y56" s="2">
        <f>Y12/'Output-Calculation-sheet'!Y11*'Output-Calculation-sheet'!Y47</f>
        <v>212.19808364151717</v>
      </c>
      <c r="AA56" s="2">
        <f t="shared" si="3"/>
        <v>42.288237646288422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8.3419972966977944</v>
      </c>
      <c r="C63" s="2">
        <f>C8*'Output-Calculation-sheet'!C52/10^9</f>
        <v>3.9306227908563152</v>
      </c>
      <c r="D63" s="2">
        <f>D8*'Output-Calculation-sheet'!D52/10^9</f>
        <v>1.9532006703458804</v>
      </c>
      <c r="E63" s="2">
        <f>E8*'Output-Calculation-sheet'!E52/10^9</f>
        <v>2.2345476623037466</v>
      </c>
      <c r="F63" s="2">
        <f>F8*'Output-Calculation-sheet'!F52/10^9</f>
        <v>1.0445074798085485</v>
      </c>
      <c r="G63" s="2">
        <f>G8*'Output-Calculation-sheet'!G52/10^9</f>
        <v>0.79671445906715621</v>
      </c>
      <c r="H63" s="2">
        <f>H8*'Output-Calculation-sheet'!H52/10^9</f>
        <v>1.0841219033587095</v>
      </c>
      <c r="I63" s="2">
        <f>I8*'Output-Calculation-sheet'!I52/10^9</f>
        <v>0.62935147987527673</v>
      </c>
      <c r="J63" s="2">
        <f>J8*'Output-Calculation-sheet'!J52/10^9</f>
        <v>0.88969392792818625</v>
      </c>
      <c r="K63" s="2">
        <f>K8*'Output-Calculation-sheet'!K52/10^9</f>
        <v>0.58404037829240396</v>
      </c>
      <c r="L63" s="2">
        <f>L8*'Output-Calculation-sheet'!L52/10^9</f>
        <v>0.69147987665922539</v>
      </c>
      <c r="M63" s="2">
        <f>M8*'Output-Calculation-sheet'!M52/10^9</f>
        <v>0.79614537565410937</v>
      </c>
      <c r="N63" s="2">
        <f>N8*'Output-Calculation-sheet'!N52/10^9</f>
        <v>0.68846120677421085</v>
      </c>
      <c r="O63" s="2">
        <f>O8*'Output-Calculation-sheet'!O52/10^9</f>
        <v>0.70390997604435468</v>
      </c>
      <c r="P63" s="2">
        <f>P8*'Output-Calculation-sheet'!P52/10^9</f>
        <v>0.59397912647459938</v>
      </c>
      <c r="Q63" s="2">
        <f>Q8*'Output-Calculation-sheet'!Q52/10^9</f>
        <v>0.5540533068010618</v>
      </c>
      <c r="R63" s="2">
        <f>R8*'Output-Calculation-sheet'!R52/10^9</f>
        <v>0.50184291750256094</v>
      </c>
      <c r="S63" s="2">
        <f>S8*'Output-Calculation-sheet'!S52/10^9</f>
        <v>0.42579504971701843</v>
      </c>
      <c r="T63" s="2">
        <f>T8*'Output-Calculation-sheet'!T52/10^9</f>
        <v>0.20382883680879257</v>
      </c>
      <c r="U63" s="2">
        <f>U8*'Output-Calculation-sheet'!U52/10^9</f>
        <v>0.15895585421619643</v>
      </c>
      <c r="V63" s="2">
        <f>V8*'Output-Calculation-sheet'!V52/10^9</f>
        <v>0.26318347861915731</v>
      </c>
      <c r="W63" s="2">
        <f>W8*'Output-Calculation-sheet'!W52/10^9</f>
        <v>0.11044374677979617</v>
      </c>
      <c r="X63" s="2">
        <f>X8*'Output-Calculation-sheet'!X52/10^9</f>
        <v>0.10352290048238773</v>
      </c>
      <c r="Y63" s="2">
        <f>Y8*'Output-Calculation-sheet'!Y52/10^9</f>
        <v>6.3777158224472316E-2</v>
      </c>
      <c r="AA63" s="2">
        <f t="shared" si="4"/>
        <v>27.348176859291961</v>
      </c>
    </row>
    <row r="64" spans="1:27" x14ac:dyDescent="0.25">
      <c r="A64" s="2">
        <v>2032</v>
      </c>
      <c r="B64" s="2">
        <f>B9*'Output-Calculation-sheet'!B53/10^9</f>
        <v>8.5265999769898642</v>
      </c>
      <c r="C64" s="2">
        <f>C9*'Output-Calculation-sheet'!C53/10^9</f>
        <v>4.0987527853149359</v>
      </c>
      <c r="D64" s="2">
        <f>D9*'Output-Calculation-sheet'!D53/10^9</f>
        <v>1.7918641091135572</v>
      </c>
      <c r="E64" s="2">
        <f>E9*'Output-Calculation-sheet'!E53/10^9</f>
        <v>2.0922109009722103</v>
      </c>
      <c r="F64" s="2">
        <f>F9*'Output-Calculation-sheet'!F53/10^9</f>
        <v>0.96008027812102648</v>
      </c>
      <c r="G64" s="2">
        <f>G9*'Output-Calculation-sheet'!G53/10^9</f>
        <v>0.71886841472730822</v>
      </c>
      <c r="H64" s="2">
        <f>H9*'Output-Calculation-sheet'!H53/10^9</f>
        <v>1.1588026284858772</v>
      </c>
      <c r="I64" s="2">
        <f>I9*'Output-Calculation-sheet'!I53/10^9</f>
        <v>0.58295297430962445</v>
      </c>
      <c r="J64" s="2">
        <f>J9*'Output-Calculation-sheet'!J53/10^9</f>
        <v>0.78244723172817909</v>
      </c>
      <c r="K64" s="2">
        <f>K9*'Output-Calculation-sheet'!K53/10^9</f>
        <v>0.5776211040467204</v>
      </c>
      <c r="L64" s="2">
        <f>L9*'Output-Calculation-sheet'!L53/10^9</f>
        <v>0.64847850960254116</v>
      </c>
      <c r="M64" s="2">
        <f>M9*'Output-Calculation-sheet'!M53/10^9</f>
        <v>0.83836435946943466</v>
      </c>
      <c r="N64" s="2">
        <f>N9*'Output-Calculation-sheet'!N53/10^9</f>
        <v>0.74912784391779519</v>
      </c>
      <c r="O64" s="2">
        <f>O9*'Output-Calculation-sheet'!O53/10^9</f>
        <v>0.74878126856455385</v>
      </c>
      <c r="P64" s="2">
        <f>P9*'Output-Calculation-sheet'!P53/10^9</f>
        <v>0.61635533709477941</v>
      </c>
      <c r="Q64" s="2">
        <f>Q9*'Output-Calculation-sheet'!Q53/10^9</f>
        <v>0.58462823998159241</v>
      </c>
      <c r="R64" s="2">
        <f>R9*'Output-Calculation-sheet'!R53/10^9</f>
        <v>0.4973544995726647</v>
      </c>
      <c r="S64" s="2">
        <f>S9*'Output-Calculation-sheet'!S53/10^9</f>
        <v>0.45343754562639932</v>
      </c>
      <c r="T64" s="2">
        <f>T9*'Output-Calculation-sheet'!T53/10^9</f>
        <v>0.18592054583404566</v>
      </c>
      <c r="U64" s="2">
        <f>U9*'Output-Calculation-sheet'!U53/10^9</f>
        <v>0.15840331682705089</v>
      </c>
      <c r="V64" s="2">
        <f>V9*'Output-Calculation-sheet'!V53/10^9</f>
        <v>0.23086719912884035</v>
      </c>
      <c r="W64" s="2">
        <f>W9*'Output-Calculation-sheet'!W53/10^9</f>
        <v>9.8403287417632268E-2</v>
      </c>
      <c r="X64" s="2">
        <f>X9*'Output-Calculation-sheet'!X53/10^9</f>
        <v>0.10525329543466215</v>
      </c>
      <c r="Y64" s="2">
        <f>Y9*'Output-Calculation-sheet'!Y53/10^9</f>
        <v>6.2589998781487841E-2</v>
      </c>
      <c r="AA64" s="2">
        <f t="shared" si="4"/>
        <v>27.268165651062777</v>
      </c>
    </row>
    <row r="65" spans="1:27" x14ac:dyDescent="0.25">
      <c r="A65" s="2">
        <v>2033</v>
      </c>
      <c r="B65" s="2">
        <f>B10*'Output-Calculation-sheet'!B54/10^9</f>
        <v>8.1402542229378394</v>
      </c>
      <c r="C65" s="2">
        <f>C10*'Output-Calculation-sheet'!C54/10^9</f>
        <v>3.9313042644936749</v>
      </c>
      <c r="D65" s="2">
        <f>D10*'Output-Calculation-sheet'!D54/10^9</f>
        <v>1.490940632499161</v>
      </c>
      <c r="E65" s="2">
        <f>E10*'Output-Calculation-sheet'!E54/10^9</f>
        <v>1.8987326324761182</v>
      </c>
      <c r="F65" s="2">
        <f>F10*'Output-Calculation-sheet'!F54/10^9</f>
        <v>0.81590086480655988</v>
      </c>
      <c r="G65" s="2">
        <f>G10*'Output-Calculation-sheet'!G54/10^9</f>
        <v>0.58088189915536492</v>
      </c>
      <c r="H65" s="2">
        <f>H10*'Output-Calculation-sheet'!H54/10^9</f>
        <v>1.1513551912078912</v>
      </c>
      <c r="I65" s="2">
        <f>I10*'Output-Calculation-sheet'!I54/10^9</f>
        <v>0.5093121799358219</v>
      </c>
      <c r="J65" s="2">
        <f>J10*'Output-Calculation-sheet'!J54/10^9</f>
        <v>0.6025964325717803</v>
      </c>
      <c r="K65" s="2">
        <f>K10*'Output-Calculation-sheet'!K54/10^9</f>
        <v>0.56391996970059644</v>
      </c>
      <c r="L65" s="2">
        <f>L10*'Output-Calculation-sheet'!L54/10^9</f>
        <v>0.58154623493376911</v>
      </c>
      <c r="M65" s="2">
        <f>M10*'Output-Calculation-sheet'!M54/10^9</f>
        <v>0.819327246646256</v>
      </c>
      <c r="N65" s="2">
        <f>N10*'Output-Calculation-sheet'!N54/10^9</f>
        <v>0.75161163779197415</v>
      </c>
      <c r="O65" s="2">
        <f>O10*'Output-Calculation-sheet'!O54/10^9</f>
        <v>0.73411484975353536</v>
      </c>
      <c r="P65" s="2">
        <f>P10*'Output-Calculation-sheet'!P54/10^9</f>
        <v>0.61004509335517887</v>
      </c>
      <c r="Q65" s="2">
        <f>Q10*'Output-Calculation-sheet'!Q54/10^9</f>
        <v>0.60074005900688243</v>
      </c>
      <c r="R65" s="2">
        <f>R10*'Output-Calculation-sheet'!R54/10^9</f>
        <v>0.47722845118875601</v>
      </c>
      <c r="S65" s="2">
        <f>S10*'Output-Calculation-sheet'!S54/10^9</f>
        <v>0.44541667750286668</v>
      </c>
      <c r="T65" s="2">
        <f>T10*'Output-Calculation-sheet'!T54/10^9</f>
        <v>0.16161180955467391</v>
      </c>
      <c r="U65" s="2">
        <f>U10*'Output-Calculation-sheet'!U54/10^9</f>
        <v>0.15521602070757173</v>
      </c>
      <c r="V65" s="2">
        <f>V10*'Output-Calculation-sheet'!V54/10^9</f>
        <v>0.18288454082598501</v>
      </c>
      <c r="W65" s="2">
        <f>W10*'Output-Calculation-sheet'!W54/10^9</f>
        <v>7.8159751651550743E-2</v>
      </c>
      <c r="X65" s="2">
        <f>X10*'Output-Calculation-sheet'!X54/10^9</f>
        <v>9.7877044685071801E-2</v>
      </c>
      <c r="Y65" s="2">
        <f>Y10*'Output-Calculation-sheet'!Y54/10^9</f>
        <v>6.0637592650215157E-2</v>
      </c>
      <c r="AA65" s="2">
        <f t="shared" si="4"/>
        <v>25.441615300039093</v>
      </c>
    </row>
    <row r="66" spans="1:27" x14ac:dyDescent="0.25">
      <c r="A66" s="2">
        <v>2034</v>
      </c>
      <c r="B66" s="2">
        <f>B11*'Output-Calculation-sheet'!B55/10^9</f>
        <v>7.2164414819665428</v>
      </c>
      <c r="C66" s="2">
        <f>C11*'Output-Calculation-sheet'!C55/10^9</f>
        <v>3.5047612429456958</v>
      </c>
      <c r="D66" s="2">
        <f>D11*'Output-Calculation-sheet'!D55/10^9</f>
        <v>1.4093172920230337</v>
      </c>
      <c r="E66" s="2">
        <f>E11*'Output-Calculation-sheet'!E55/10^9</f>
        <v>1.8253470339971041</v>
      </c>
      <c r="F66" s="2">
        <f>F11*'Output-Calculation-sheet'!F55/10^9</f>
        <v>0.71841487546540994</v>
      </c>
      <c r="G66" s="2">
        <f>G11*'Output-Calculation-sheet'!G55/10^9</f>
        <v>0.52405195385771741</v>
      </c>
      <c r="H66" s="2">
        <f>H11*'Output-Calculation-sheet'!H55/10^9</f>
        <v>1.0535383093606738</v>
      </c>
      <c r="I66" s="2">
        <f>I11*'Output-Calculation-sheet'!I55/10^9</f>
        <v>0.48716871873122386</v>
      </c>
      <c r="J66" s="2">
        <f>J11*'Output-Calculation-sheet'!J55/10^9</f>
        <v>0.49048453682718707</v>
      </c>
      <c r="K66" s="2">
        <f>K11*'Output-Calculation-sheet'!K55/10^9</f>
        <v>0.55849646933081554</v>
      </c>
      <c r="L66" s="2">
        <f>L11*'Output-Calculation-sheet'!L55/10^9</f>
        <v>0.54144388276730848</v>
      </c>
      <c r="M66" s="2">
        <f>M11*'Output-Calculation-sheet'!M55/10^9</f>
        <v>0.73866133239941556</v>
      </c>
      <c r="N66" s="2">
        <f>N11*'Output-Calculation-sheet'!N55/10^9</f>
        <v>0.70018581701298521</v>
      </c>
      <c r="O66" s="2">
        <f>O11*'Output-Calculation-sheet'!O55/10^9</f>
        <v>0.66607142994050128</v>
      </c>
      <c r="P66" s="2">
        <f>P11*'Output-Calculation-sheet'!P55/10^9</f>
        <v>0.57894615039186992</v>
      </c>
      <c r="Q66" s="2">
        <f>Q11*'Output-Calculation-sheet'!Q55/10^9</f>
        <v>0.58295549130269519</v>
      </c>
      <c r="R66" s="2">
        <f>R11*'Output-Calculation-sheet'!R55/10^9</f>
        <v>0.4445800554334387</v>
      </c>
      <c r="S66" s="2">
        <f>S11*'Output-Calculation-sheet'!S55/10^9</f>
        <v>0.40664984684904415</v>
      </c>
      <c r="T66" s="2">
        <f>T11*'Output-Calculation-sheet'!T55/10^9</f>
        <v>0.13930177286740583</v>
      </c>
      <c r="U66" s="2">
        <f>U11*'Output-Calculation-sheet'!U55/10^9</f>
        <v>0.15160927400423019</v>
      </c>
      <c r="V66" s="2">
        <f>V11*'Output-Calculation-sheet'!V55/10^9</f>
        <v>0.13164371389754176</v>
      </c>
      <c r="W66" s="2">
        <f>W11*'Output-Calculation-sheet'!W55/10^9</f>
        <v>6.4496690284830058E-2</v>
      </c>
      <c r="X66" s="2">
        <f>X11*'Output-Calculation-sheet'!X55/10^9</f>
        <v>8.4499280052607845E-2</v>
      </c>
      <c r="Y66" s="2">
        <f>Y11*'Output-Calculation-sheet'!Y55/10^9</f>
        <v>6.1645513144979937E-2</v>
      </c>
      <c r="AA66" s="2">
        <f t="shared" si="4"/>
        <v>23.080712164854262</v>
      </c>
    </row>
    <row r="67" spans="1:27" x14ac:dyDescent="0.25">
      <c r="A67" s="2">
        <v>2035</v>
      </c>
      <c r="B67" s="2">
        <f>B12*'Output-Calculation-sheet'!B56/10^9</f>
        <v>6.1117077173376648</v>
      </c>
      <c r="C67" s="2">
        <f>C12*'Output-Calculation-sheet'!C56/10^9</f>
        <v>2.8588674406417431</v>
      </c>
      <c r="D67" s="2">
        <f>D12*'Output-Calculation-sheet'!D56/10^9</f>
        <v>1.4025187979265401</v>
      </c>
      <c r="E67" s="2">
        <f>E12*'Output-Calculation-sheet'!E56/10^9</f>
        <v>1.8842164377314767</v>
      </c>
      <c r="F67" s="2">
        <f>F12*'Output-Calculation-sheet'!F56/10^9</f>
        <v>0.75303021080786992</v>
      </c>
      <c r="G67" s="2">
        <f>G12*'Output-Calculation-sheet'!G56/10^9</f>
        <v>0.55480699196023775</v>
      </c>
      <c r="H67" s="2">
        <f>H12*'Output-Calculation-sheet'!H56/10^9</f>
        <v>0.90009237684160903</v>
      </c>
      <c r="I67" s="2">
        <f>I12*'Output-Calculation-sheet'!I56/10^9</f>
        <v>0.50839142189719089</v>
      </c>
      <c r="J67" s="2">
        <f>J12*'Output-Calculation-sheet'!J56/10^9</f>
        <v>0.46551800936917653</v>
      </c>
      <c r="K67" s="2">
        <f>K12*'Output-Calculation-sheet'!K56/10^9</f>
        <v>0.5575888065094956</v>
      </c>
      <c r="L67" s="2">
        <f>L12*'Output-Calculation-sheet'!L56/10^9</f>
        <v>0.51967355762242351</v>
      </c>
      <c r="M67" s="2">
        <f>M12*'Output-Calculation-sheet'!M56/10^9</f>
        <v>0.62421257886052606</v>
      </c>
      <c r="N67" s="2">
        <f>N12*'Output-Calculation-sheet'!N56/10^9</f>
        <v>0.6087284942478286</v>
      </c>
      <c r="O67" s="2">
        <f>O12*'Output-Calculation-sheet'!O56/10^9</f>
        <v>0.55520232972178774</v>
      </c>
      <c r="P67" s="2">
        <f>P12*'Output-Calculation-sheet'!P56/10^9</f>
        <v>0.53900641089996126</v>
      </c>
      <c r="Q67" s="2">
        <f>Q12*'Output-Calculation-sheet'!Q56/10^9</f>
        <v>0.53399921275774864</v>
      </c>
      <c r="R67" s="2">
        <f>R12*'Output-Calculation-sheet'!R56/10^9</f>
        <v>0.42930998002429155</v>
      </c>
      <c r="S67" s="2">
        <f>S12*'Output-Calculation-sheet'!S56/10^9</f>
        <v>0.349355317204183</v>
      </c>
      <c r="T67" s="2">
        <f>T12*'Output-Calculation-sheet'!T56/10^9</f>
        <v>0.13359964636036076</v>
      </c>
      <c r="U67" s="2">
        <f>U12*'Output-Calculation-sheet'!U56/10^9</f>
        <v>0.14442800270110709</v>
      </c>
      <c r="V67" s="2">
        <f>V12*'Output-Calculation-sheet'!V56/10^9</f>
        <v>0.10303478588587762</v>
      </c>
      <c r="W67" s="2">
        <f>W12*'Output-Calculation-sheet'!W56/10^9</f>
        <v>6.9939819538169606E-2</v>
      </c>
      <c r="X67" s="2">
        <f>X12*'Output-Calculation-sheet'!X56/10^9</f>
        <v>6.6942155803613637E-2</v>
      </c>
      <c r="Y67" s="2">
        <f>Y12*'Output-Calculation-sheet'!Y56/10^9</f>
        <v>6.2241865759515791E-2</v>
      </c>
      <c r="AA67" s="2">
        <f t="shared" si="4"/>
        <v>20.736412368410395</v>
      </c>
    </row>
    <row r="68" spans="1:27" x14ac:dyDescent="0.25">
      <c r="B68" s="2">
        <f>SUM(B60:B67)</f>
        <v>38.337000695929703</v>
      </c>
      <c r="C68" s="2">
        <f t="shared" ref="C68:Y68" si="5">SUM(C60:C67)</f>
        <v>18.324308524252366</v>
      </c>
      <c r="D68" s="2">
        <f t="shared" si="5"/>
        <v>8.0478415019081719</v>
      </c>
      <c r="E68" s="2">
        <f t="shared" si="5"/>
        <v>9.9350546674806566</v>
      </c>
      <c r="F68" s="2">
        <f t="shared" si="5"/>
        <v>4.291933709009415</v>
      </c>
      <c r="G68" s="2">
        <f t="shared" si="5"/>
        <v>3.1753237187677845</v>
      </c>
      <c r="H68" s="2">
        <f t="shared" si="5"/>
        <v>5.3479104092547605</v>
      </c>
      <c r="I68" s="2">
        <f t="shared" si="5"/>
        <v>2.717176774749138</v>
      </c>
      <c r="J68" s="2">
        <f t="shared" si="5"/>
        <v>3.2307401384245091</v>
      </c>
      <c r="K68" s="2">
        <f t="shared" si="5"/>
        <v>2.8416667278800318</v>
      </c>
      <c r="L68" s="2">
        <f t="shared" si="5"/>
        <v>2.9826220615852672</v>
      </c>
      <c r="M68" s="2">
        <f t="shared" si="5"/>
        <v>3.8167108930297418</v>
      </c>
      <c r="N68" s="2">
        <f t="shared" si="5"/>
        <v>3.4981149997447942</v>
      </c>
      <c r="O68" s="2">
        <f t="shared" si="5"/>
        <v>3.408079854024733</v>
      </c>
      <c r="P68" s="2">
        <f t="shared" si="5"/>
        <v>2.9383321182163891</v>
      </c>
      <c r="Q68" s="2">
        <f t="shared" si="5"/>
        <v>2.8563763098499804</v>
      </c>
      <c r="R68" s="2">
        <f t="shared" si="5"/>
        <v>2.3503159037217118</v>
      </c>
      <c r="S68" s="2">
        <f t="shared" si="5"/>
        <v>2.0806544368995117</v>
      </c>
      <c r="T68" s="2">
        <f t="shared" si="5"/>
        <v>0.82426261142527868</v>
      </c>
      <c r="U68" s="2">
        <f t="shared" si="5"/>
        <v>0.76861246845615638</v>
      </c>
      <c r="V68" s="2">
        <f t="shared" si="5"/>
        <v>0.91161371835740213</v>
      </c>
      <c r="W68" s="2">
        <f t="shared" si="5"/>
        <v>0.42144329567197891</v>
      </c>
      <c r="X68" s="2">
        <f t="shared" si="5"/>
        <v>0.45809467645834312</v>
      </c>
      <c r="Y68" s="2">
        <f t="shared" si="5"/>
        <v>0.31089212856067105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59.514441079553272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5.9514441079553275E-2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519.3269350820924</v>
      </c>
      <c r="Q76" s="2">
        <f>Q10/'Output-Calculation-sheet'!Q9*'Output-Calculation-sheet'!Q63</f>
        <v>61.596800646212493</v>
      </c>
      <c r="R76" s="2">
        <f>R10/'Output-Calculation-sheet'!R9*'Output-Calculation-sheet'!R63</f>
        <v>394.58601060967163</v>
      </c>
      <c r="S76" s="2">
        <f>S10/'Output-Calculation-sheet'!S9*'Output-Calculation-sheet'!S63</f>
        <v>0</v>
      </c>
      <c r="T76" s="2">
        <f>T10/'Output-Calculation-sheet'!T9*'Output-Calculation-sheet'!T63</f>
        <v>25.968568660074549</v>
      </c>
      <c r="U76" s="2">
        <f>U10/'Output-Calculation-sheet'!U9*'Output-Calculation-sheet'!U63</f>
        <v>140.40553522934749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6.659654355985146</v>
      </c>
      <c r="AA76" s="2">
        <f t="shared" si="6"/>
        <v>1.257566624980923</v>
      </c>
    </row>
    <row r="77" spans="1:27" x14ac:dyDescent="0.25">
      <c r="A77" s="2">
        <v>2034</v>
      </c>
      <c r="B77" s="2">
        <f>B11/'Output-Calculation-sheet'!B10*'Output-Calculation-sheet'!B64</f>
        <v>471.01838982325694</v>
      </c>
      <c r="C77" s="2">
        <f>C11/'Output-Calculation-sheet'!C10*'Output-Calculation-sheet'!C64</f>
        <v>0</v>
      </c>
      <c r="D77" s="2">
        <f>D11/'Output-Calculation-sheet'!D10*'Output-Calculation-sheet'!D64</f>
        <v>1585.4395918886023</v>
      </c>
      <c r="E77" s="2">
        <f>E11/'Output-Calculation-sheet'!E10*'Output-Calculation-sheet'!E64</f>
        <v>1984.9680212416793</v>
      </c>
      <c r="F77" s="2">
        <f>F11/'Output-Calculation-sheet'!F10*'Output-Calculation-sheet'!F64</f>
        <v>141.85289698643604</v>
      </c>
      <c r="G77" s="2">
        <f>G11/'Output-Calculation-sheet'!G10*'Output-Calculation-sheet'!G64</f>
        <v>837.18999713182518</v>
      </c>
      <c r="H77" s="2">
        <f>H11/'Output-Calculation-sheet'!H10*'Output-Calculation-sheet'!H64</f>
        <v>130.3549435627545</v>
      </c>
      <c r="I77" s="2">
        <f>I11/'Output-Calculation-sheet'!I10*'Output-Calculation-sheet'!I64</f>
        <v>495.29285756918819</v>
      </c>
      <c r="J77" s="2">
        <f>J11/'Output-Calculation-sheet'!J10*'Output-Calculation-sheet'!J64</f>
        <v>346.8008126839635</v>
      </c>
      <c r="K77" s="2">
        <f>K11/'Output-Calculation-sheet'!K10*'Output-Calculation-sheet'!K64</f>
        <v>756.54668149520796</v>
      </c>
      <c r="L77" s="2">
        <f>L11/'Output-Calculation-sheet'!L10*'Output-Calculation-sheet'!L64</f>
        <v>313.24791411571925</v>
      </c>
      <c r="M77" s="2">
        <f>M11/'Output-Calculation-sheet'!M10*'Output-Calculation-sheet'!M64</f>
        <v>93.883635163425538</v>
      </c>
      <c r="N77" s="2">
        <f>N11/'Output-Calculation-sheet'!N10*'Output-Calculation-sheet'!N64</f>
        <v>31.049962994540515</v>
      </c>
      <c r="O77" s="2">
        <f>O11/'Output-Calculation-sheet'!O10*'Output-Calculation-sheet'!O64</f>
        <v>0</v>
      </c>
      <c r="P77" s="2">
        <f>P11/'Output-Calculation-sheet'!P10*'Output-Calculation-sheet'!P64</f>
        <v>639.34509656580394</v>
      </c>
      <c r="Q77" s="2">
        <f>Q11/'Output-Calculation-sheet'!Q10*'Output-Calculation-sheet'!Q64</f>
        <v>154.33741652588981</v>
      </c>
      <c r="R77" s="2">
        <f>R11/'Output-Calculation-sheet'!R10*'Output-Calculation-sheet'!R64</f>
        <v>794.80258157941864</v>
      </c>
      <c r="S77" s="2">
        <f>S11/'Output-Calculation-sheet'!S10*'Output-Calculation-sheet'!S64</f>
        <v>0</v>
      </c>
      <c r="T77" s="2">
        <f>T11/'Output-Calculation-sheet'!T10*'Output-Calculation-sheet'!T64</f>
        <v>220.42183655184726</v>
      </c>
      <c r="U77" s="2">
        <f>U11/'Output-Calculation-sheet'!U10*'Output-Calculation-sheet'!U64</f>
        <v>292.19984412111842</v>
      </c>
      <c r="V77" s="2">
        <f>V11/'Output-Calculation-sheet'!V10*'Output-Calculation-sheet'!V64</f>
        <v>114.13551073322398</v>
      </c>
      <c r="W77" s="2">
        <f>W11/'Output-Calculation-sheet'!W10*'Output-Calculation-sheet'!W64</f>
        <v>25.197356450309897</v>
      </c>
      <c r="X77" s="2">
        <f>X11/'Output-Calculation-sheet'!X10*'Output-Calculation-sheet'!X64</f>
        <v>9.359168093332169</v>
      </c>
      <c r="Y77" s="2">
        <f>Y11/'Output-Calculation-sheet'!Y10*'Output-Calculation-sheet'!Y64</f>
        <v>52.753156846189583</v>
      </c>
      <c r="AA77" s="2">
        <f t="shared" si="6"/>
        <v>9.4901976721237293</v>
      </c>
    </row>
    <row r="78" spans="1:27" x14ac:dyDescent="0.25">
      <c r="A78" s="2">
        <v>2035</v>
      </c>
      <c r="B78" s="2">
        <f>B12/'Output-Calculation-sheet'!B11*'Output-Calculation-sheet'!B65</f>
        <v>68.124054706492899</v>
      </c>
      <c r="C78" s="2">
        <f>C12/'Output-Calculation-sheet'!C11*'Output-Calculation-sheet'!C65</f>
        <v>49.725804446928237</v>
      </c>
      <c r="D78" s="2">
        <f>D12/'Output-Calculation-sheet'!D11*'Output-Calculation-sheet'!D65</f>
        <v>1433.3188174988552</v>
      </c>
      <c r="E78" s="2">
        <f>E12/'Output-Calculation-sheet'!E11*'Output-Calculation-sheet'!E65</f>
        <v>1281.2505678160894</v>
      </c>
      <c r="F78" s="2">
        <f>F12/'Output-Calculation-sheet'!F11*'Output-Calculation-sheet'!F65</f>
        <v>576.85226634199239</v>
      </c>
      <c r="G78" s="2">
        <f>G12/'Output-Calculation-sheet'!G11*'Output-Calculation-sheet'!G65</f>
        <v>1109.8716338530592</v>
      </c>
      <c r="H78" s="2">
        <f>H12/'Output-Calculation-sheet'!H11*'Output-Calculation-sheet'!H65</f>
        <v>19.499949536010817</v>
      </c>
      <c r="I78" s="2">
        <f>I12/'Output-Calculation-sheet'!I11*'Output-Calculation-sheet'!I65</f>
        <v>645.35500717943728</v>
      </c>
      <c r="J78" s="2">
        <f>J12/'Output-Calculation-sheet'!J11*'Output-Calculation-sheet'!J65</f>
        <v>579.87713041250117</v>
      </c>
      <c r="K78" s="2">
        <f>K12/'Output-Calculation-sheet'!K11*'Output-Calculation-sheet'!K65</f>
        <v>731.76348391188878</v>
      </c>
      <c r="L78" s="2">
        <f>L12/'Output-Calculation-sheet'!L11*'Output-Calculation-sheet'!L65</f>
        <v>433.75223866727913</v>
      </c>
      <c r="M78" s="2">
        <f>M12/'Output-Calculation-sheet'!M11*'Output-Calculation-sheet'!M65</f>
        <v>13.361412450224945</v>
      </c>
      <c r="N78" s="2">
        <f>N12/'Output-Calculation-sheet'!N11*'Output-Calculation-sheet'!N65</f>
        <v>11.436920942476664</v>
      </c>
      <c r="O78" s="2">
        <f>O12/'Output-Calculation-sheet'!O11*'Output-Calculation-sheet'!O65</f>
        <v>2.2772855268258194</v>
      </c>
      <c r="P78" s="2">
        <f>P12/'Output-Calculation-sheet'!P11*'Output-Calculation-sheet'!P65</f>
        <v>192.41744354492937</v>
      </c>
      <c r="Q78" s="2">
        <f>Q12/'Output-Calculation-sheet'!Q11*'Output-Calculation-sheet'!Q65</f>
        <v>183.21746388596679</v>
      </c>
      <c r="R78" s="2">
        <f>R12/'Output-Calculation-sheet'!R11*'Output-Calculation-sheet'!R65</f>
        <v>839.34367076701858</v>
      </c>
      <c r="S78" s="2">
        <f>S12/'Output-Calculation-sheet'!S11*'Output-Calculation-sheet'!S65</f>
        <v>5.0896265616840148</v>
      </c>
      <c r="T78" s="2">
        <f>T12/'Output-Calculation-sheet'!T11*'Output-Calculation-sheet'!T65</f>
        <v>301.09241892741591</v>
      </c>
      <c r="U78" s="2">
        <f>U12/'Output-Calculation-sheet'!U11*'Output-Calculation-sheet'!U65</f>
        <v>256.73542667892377</v>
      </c>
      <c r="V78" s="2">
        <f>V12/'Output-Calculation-sheet'!V11*'Output-Calculation-sheet'!V65</f>
        <v>162.07002589067469</v>
      </c>
      <c r="W78" s="2">
        <f>W12/'Output-Calculation-sheet'!W11*'Output-Calculation-sheet'!W65</f>
        <v>116.63791164950372</v>
      </c>
      <c r="X78" s="2">
        <f>X12/'Output-Calculation-sheet'!X11*'Output-Calculation-sheet'!X65</f>
        <v>1.7059579077015308</v>
      </c>
      <c r="Y78" s="2">
        <f>Y12/'Output-Calculation-sheet'!Y11*'Output-Calculation-sheet'!Y65</f>
        <v>34.153318338199874</v>
      </c>
      <c r="AA78" s="2">
        <f t="shared" si="6"/>
        <v>9.0489298374420812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17.277213975778061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90.799134495923823</v>
      </c>
      <c r="E89" s="2">
        <f>E12/'Output-Calculation-sheet'!E11*'Output-Calculation-sheet'!E74</f>
        <v>63.501836043015572</v>
      </c>
      <c r="F89" s="2">
        <f>F12/'Output-Calculation-sheet'!F11*'Output-Calculation-sheet'!F74</f>
        <v>38.122909479139345</v>
      </c>
      <c r="G89" s="2">
        <f>G12/'Output-Calculation-sheet'!G11*'Output-Calculation-sheet'!G74</f>
        <v>33.874570332703584</v>
      </c>
      <c r="H89" s="2">
        <f>H12/'Output-Calculation-sheet'!H11*'Output-Calculation-sheet'!H74</f>
        <v>5.0485306242099206</v>
      </c>
      <c r="I89" s="2">
        <f>I12/'Output-Calculation-sheet'!I11*'Output-Calculation-sheet'!I74</f>
        <v>31.639932077108494</v>
      </c>
      <c r="J89" s="2">
        <f>J12/'Output-Calculation-sheet'!J11*'Output-Calculation-sheet'!J74</f>
        <v>18.555882614373893</v>
      </c>
      <c r="K89" s="2">
        <f>K12/'Output-Calculation-sheet'!K11*'Output-Calculation-sheet'!K74</f>
        <v>36.855723714937561</v>
      </c>
      <c r="L89" s="2">
        <f>L12/'Output-Calculation-sheet'!L11*'Output-Calculation-sheet'!L74</f>
        <v>24.726916267300648</v>
      </c>
      <c r="M89" s="2">
        <f>M12/'Output-Calculation-sheet'!M11*'Output-Calculation-sheet'!M74</f>
        <v>4.3423504875609185</v>
      </c>
      <c r="N89" s="2">
        <f>N12/'Output-Calculation-sheet'!N11*'Output-Calculation-sheet'!N74</f>
        <v>3.4142610470861006</v>
      </c>
      <c r="O89" s="2">
        <f>O12/'Output-Calculation-sheet'!O11*'Output-Calculation-sheet'!O74</f>
        <v>1.593064376933067</v>
      </c>
      <c r="P89" s="2">
        <f>P12/'Output-Calculation-sheet'!P11*'Output-Calculation-sheet'!P74</f>
        <v>3.9427218613723976</v>
      </c>
      <c r="Q89" s="2">
        <f>Q12/'Output-Calculation-sheet'!Q11*'Output-Calculation-sheet'!Q74</f>
        <v>40.38410819108541</v>
      </c>
      <c r="R89" s="2">
        <f>R12/'Output-Calculation-sheet'!R11*'Output-Calculation-sheet'!R74</f>
        <v>18.540951231132389</v>
      </c>
      <c r="S89" s="2">
        <f>S12/'Output-Calculation-sheet'!S11*'Output-Calculation-sheet'!S74</f>
        <v>1.4678792237119829</v>
      </c>
      <c r="T89" s="2">
        <f>T12/'Output-Calculation-sheet'!T11*'Output-Calculation-sheet'!T74</f>
        <v>4.3900502412042819</v>
      </c>
      <c r="U89" s="2">
        <f>U12/'Output-Calculation-sheet'!U11*'Output-Calculation-sheet'!U74</f>
        <v>8.112751769890739</v>
      </c>
      <c r="V89" s="2">
        <f>V12/'Output-Calculation-sheet'!V11*'Output-Calculation-sheet'!V74</f>
        <v>1.1039365298967698</v>
      </c>
      <c r="W89" s="2">
        <f>W12/'Output-Calculation-sheet'!W11*'Output-Calculation-sheet'!W74</f>
        <v>2.8678006055160954</v>
      </c>
      <c r="X89" s="2">
        <f>X12/'Output-Calculation-sheet'!X11*'Output-Calculation-sheet'!X74</f>
        <v>0.19054595193806889</v>
      </c>
      <c r="Y89" s="2">
        <f>Y12/'Output-Calculation-sheet'!Y11*'Output-Calculation-sheet'!Y74</f>
        <v>2.0226853726661083</v>
      </c>
      <c r="AA89" s="2">
        <f t="shared" si="7"/>
        <v>0.45687583933497727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13842860942.533228</v>
      </c>
      <c r="C96" s="2">
        <f>C8/'Output-Calculation-sheet'!C7*'Output-Calculation-sheet'!C79</f>
        <v>4683111825.259593</v>
      </c>
      <c r="D96" s="2">
        <f>D8/'Output-Calculation-sheet'!D7*'Output-Calculation-sheet'!D79</f>
        <v>4888835467.6190681</v>
      </c>
      <c r="E96" s="2">
        <f>E8/'Output-Calculation-sheet'!E7*'Output-Calculation-sheet'!E79</f>
        <v>8691946681.3860722</v>
      </c>
      <c r="F96" s="2">
        <f>F8/'Output-Calculation-sheet'!F7*'Output-Calculation-sheet'!F79</f>
        <v>3597510264.9310484</v>
      </c>
      <c r="G96" s="2">
        <f>G8/'Output-Calculation-sheet'!G7*'Output-Calculation-sheet'!G79</f>
        <v>2802170797.3162513</v>
      </c>
      <c r="H96" s="2">
        <f>H8/'Output-Calculation-sheet'!H7*'Output-Calculation-sheet'!H79</f>
        <v>2398503373.9983525</v>
      </c>
      <c r="I96" s="2">
        <f>I8/'Output-Calculation-sheet'!I7*'Output-Calculation-sheet'!I79</f>
        <v>1952005030.0007613</v>
      </c>
      <c r="J96" s="2">
        <f>J8/'Output-Calculation-sheet'!J7*'Output-Calculation-sheet'!J79</f>
        <v>1319992506.5063019</v>
      </c>
      <c r="K96" s="2">
        <f>K8/'Output-Calculation-sheet'!K7*'Output-Calculation-sheet'!K79</f>
        <v>1888518310.8556871</v>
      </c>
      <c r="L96" s="2">
        <f>L8/'Output-Calculation-sheet'!L7*'Output-Calculation-sheet'!L79</f>
        <v>1332540085.315876</v>
      </c>
      <c r="M96" s="2">
        <f>M8/'Output-Calculation-sheet'!M7*'Output-Calculation-sheet'!M79</f>
        <v>1790434281.9453616</v>
      </c>
      <c r="N96" s="2">
        <f>N8/'Output-Calculation-sheet'!N7*'Output-Calculation-sheet'!N79</f>
        <v>1332223762.6235077</v>
      </c>
      <c r="O96" s="2">
        <f>O8/'Output-Calculation-sheet'!O7*'Output-Calculation-sheet'!O79</f>
        <v>673483565.5813719</v>
      </c>
      <c r="P96" s="2">
        <f>P8/'Output-Calculation-sheet'!P7*'Output-Calculation-sheet'!P79</f>
        <v>2252675890.1033106</v>
      </c>
      <c r="Q96" s="2">
        <f>Q8/'Output-Calculation-sheet'!Q7*'Output-Calculation-sheet'!Q79</f>
        <v>1049841554.2517252</v>
      </c>
      <c r="R96" s="2">
        <f>R8/'Output-Calculation-sheet'!R7*'Output-Calculation-sheet'!R79</f>
        <v>1309804367.6157043</v>
      </c>
      <c r="S96" s="2">
        <f>S8/'Output-Calculation-sheet'!S7*'Output-Calculation-sheet'!S79</f>
        <v>763200224.84456587</v>
      </c>
      <c r="T96" s="2">
        <f>T8/'Output-Calculation-sheet'!T7*'Output-Calculation-sheet'!T79</f>
        <v>582906558.39771116</v>
      </c>
      <c r="U96" s="2">
        <f>U8/'Output-Calculation-sheet'!U7*'Output-Calculation-sheet'!U79</f>
        <v>366167628.19973481</v>
      </c>
      <c r="V96" s="2">
        <f>V8/'Output-Calculation-sheet'!V7*'Output-Calculation-sheet'!V79</f>
        <v>189986006.58387312</v>
      </c>
      <c r="W96" s="2">
        <f>W8/'Output-Calculation-sheet'!W7*'Output-Calculation-sheet'!W79</f>
        <v>561397866.09035873</v>
      </c>
      <c r="X96" s="2">
        <f>X8/'Output-Calculation-sheet'!X7*'Output-Calculation-sheet'!X79</f>
        <v>197314369.28197581</v>
      </c>
      <c r="Y96" s="2">
        <f>Y8/'Output-Calculation-sheet'!Y7*'Output-Calculation-sheet'!Y79</f>
        <v>308596982.63282871</v>
      </c>
      <c r="AA96" s="2">
        <f t="shared" si="8"/>
        <v>58.776028343874273</v>
      </c>
    </row>
    <row r="97" spans="1:27" x14ac:dyDescent="0.25">
      <c r="A97" s="2">
        <v>2032</v>
      </c>
      <c r="B97" s="2">
        <f>B9/'Output-Calculation-sheet'!B8*'Output-Calculation-sheet'!B80</f>
        <v>18443137660.919292</v>
      </c>
      <c r="C97" s="2">
        <f>C9/'Output-Calculation-sheet'!C8*'Output-Calculation-sheet'!C80</f>
        <v>6281843242.7834492</v>
      </c>
      <c r="D97" s="2">
        <f>D9/'Output-Calculation-sheet'!D8*'Output-Calculation-sheet'!D80</f>
        <v>6259213868.122613</v>
      </c>
      <c r="E97" s="2">
        <f>E9/'Output-Calculation-sheet'!E8*'Output-Calculation-sheet'!E80</f>
        <v>11447182801.202211</v>
      </c>
      <c r="F97" s="2">
        <f>F9/'Output-Calculation-sheet'!F8*'Output-Calculation-sheet'!F80</f>
        <v>4728830461.3161926</v>
      </c>
      <c r="G97" s="2">
        <f>G9/'Output-Calculation-sheet'!G8*'Output-Calculation-sheet'!G80</f>
        <v>3579473129.3504243</v>
      </c>
      <c r="H97" s="2">
        <f>H9/'Output-Calculation-sheet'!H8*'Output-Calculation-sheet'!H80</f>
        <v>3149216323.7104101</v>
      </c>
      <c r="I97" s="2">
        <f>I9/'Output-Calculation-sheet'!I8*'Output-Calculation-sheet'!I80</f>
        <v>2590514225.3641152</v>
      </c>
      <c r="J97" s="2">
        <f>J9/'Output-Calculation-sheet'!J8*'Output-Calculation-sheet'!J80</f>
        <v>1703019260.7625413</v>
      </c>
      <c r="K97" s="2">
        <f>K9/'Output-Calculation-sheet'!K8*'Output-Calculation-sheet'!K80</f>
        <v>2455262861.585207</v>
      </c>
      <c r="L97" s="2">
        <f>L9/'Output-Calculation-sheet'!L8*'Output-Calculation-sheet'!L80</f>
        <v>1787029834.2395382</v>
      </c>
      <c r="M97" s="2">
        <f>M9/'Output-Calculation-sheet'!M8*'Output-Calculation-sheet'!M80</f>
        <v>2357790079.6442242</v>
      </c>
      <c r="N97" s="2">
        <f>N9/'Output-Calculation-sheet'!N8*'Output-Calculation-sheet'!N80</f>
        <v>1722677599.3245392</v>
      </c>
      <c r="O97" s="2">
        <f>O9/'Output-Calculation-sheet'!O8*'Output-Calculation-sheet'!O80</f>
        <v>891199396.13225853</v>
      </c>
      <c r="P97" s="2">
        <f>P9/'Output-Calculation-sheet'!P8*'Output-Calculation-sheet'!P80</f>
        <v>2915855762.0504851</v>
      </c>
      <c r="Q97" s="2">
        <f>Q9/'Output-Calculation-sheet'!Q8*'Output-Calculation-sheet'!Q80</f>
        <v>1363923175.4058638</v>
      </c>
      <c r="R97" s="2">
        <f>R9/'Output-Calculation-sheet'!R8*'Output-Calculation-sheet'!R80</f>
        <v>1723316696.1069088</v>
      </c>
      <c r="S97" s="2">
        <f>S9/'Output-Calculation-sheet'!S8*'Output-Calculation-sheet'!S80</f>
        <v>1000205796.329162</v>
      </c>
      <c r="T97" s="2">
        <f>T9/'Output-Calculation-sheet'!T8*'Output-Calculation-sheet'!T80</f>
        <v>753186656.26018083</v>
      </c>
      <c r="U97" s="2">
        <f>U9/'Output-Calculation-sheet'!U8*'Output-Calculation-sheet'!U80</f>
        <v>481507549.97334236</v>
      </c>
      <c r="V97" s="2">
        <f>V9/'Output-Calculation-sheet'!V8*'Output-Calculation-sheet'!V80</f>
        <v>252472739.10306522</v>
      </c>
      <c r="W97" s="2">
        <f>W9/'Output-Calculation-sheet'!W8*'Output-Calculation-sheet'!W80</f>
        <v>731171972.34219956</v>
      </c>
      <c r="X97" s="2">
        <f>X9/'Output-Calculation-sheet'!X8*'Output-Calculation-sheet'!X80</f>
        <v>262559905.28162137</v>
      </c>
      <c r="Y97" s="2">
        <f>Y9/'Output-Calculation-sheet'!Y8*'Output-Calculation-sheet'!Y80</f>
        <v>401897555.64653075</v>
      </c>
      <c r="AA97" s="2">
        <f t="shared" si="8"/>
        <v>77.282488552956366</v>
      </c>
    </row>
    <row r="98" spans="1:27" x14ac:dyDescent="0.25">
      <c r="A98" s="2">
        <v>2033</v>
      </c>
      <c r="B98" s="2">
        <f>B10/'Output-Calculation-sheet'!B9*'Output-Calculation-sheet'!B81</f>
        <v>21661567045.101284</v>
      </c>
      <c r="C98" s="2">
        <f>C10/'Output-Calculation-sheet'!C9*'Output-Calculation-sheet'!C81</f>
        <v>7426673621.3368902</v>
      </c>
      <c r="D98" s="2">
        <f>D10/'Output-Calculation-sheet'!D9*'Output-Calculation-sheet'!D81</f>
        <v>7067897980.8725414</v>
      </c>
      <c r="E98" s="2">
        <f>E10/'Output-Calculation-sheet'!E9*'Output-Calculation-sheet'!E81</f>
        <v>13295174549.581223</v>
      </c>
      <c r="F98" s="2">
        <f>F10/'Output-Calculation-sheet'!F9*'Output-Calculation-sheet'!F81</f>
        <v>5483251819.3440037</v>
      </c>
      <c r="G98" s="2">
        <f>G10/'Output-Calculation-sheet'!G9*'Output-Calculation-sheet'!G81</f>
        <v>4025977035.9464445</v>
      </c>
      <c r="H98" s="2">
        <f>H10/'Output-Calculation-sheet'!H9*'Output-Calculation-sheet'!H81</f>
        <v>3647575577.5414233</v>
      </c>
      <c r="I98" s="2">
        <f>I10/'Output-Calculation-sheet'!I9*'Output-Calculation-sheet'!I81</f>
        <v>3032199888.4070334</v>
      </c>
      <c r="J98" s="2">
        <f>J10/'Output-Calculation-sheet'!J9*'Output-Calculation-sheet'!J81</f>
        <v>1938859171.3789871</v>
      </c>
      <c r="K98" s="2">
        <f>K10/'Output-Calculation-sheet'!K9*'Output-Calculation-sheet'!K81</f>
        <v>2816274189.2146287</v>
      </c>
      <c r="L98" s="2">
        <f>L10/'Output-Calculation-sheet'!L9*'Output-Calculation-sheet'!L81</f>
        <v>2112252828.2210495</v>
      </c>
      <c r="M98" s="2">
        <f>M10/'Output-Calculation-sheet'!M9*'Output-Calculation-sheet'!M81</f>
        <v>2739172710.3135061</v>
      </c>
      <c r="N98" s="2">
        <f>N10/'Output-Calculation-sheet'!N9*'Output-Calculation-sheet'!N81</f>
        <v>1965139043.3728328</v>
      </c>
      <c r="O98" s="2">
        <f>O10/'Output-Calculation-sheet'!O9*'Output-Calculation-sheet'!O81</f>
        <v>1040650620.3029089</v>
      </c>
      <c r="P98" s="2">
        <f>P10/'Output-Calculation-sheet'!P9*'Output-Calculation-sheet'!P81</f>
        <v>3325637966.6816697</v>
      </c>
      <c r="Q98" s="2">
        <f>Q10/'Output-Calculation-sheet'!Q9*'Output-Calculation-sheet'!Q81</f>
        <v>1563627849.7178981</v>
      </c>
      <c r="R98" s="2">
        <f>R10/'Output-Calculation-sheet'!R9*'Output-Calculation-sheet'!R81</f>
        <v>2000122140.1937985</v>
      </c>
      <c r="S98" s="2">
        <f>S10/'Output-Calculation-sheet'!S9*'Output-Calculation-sheet'!S81</f>
        <v>1156423263.0022395</v>
      </c>
      <c r="T98" s="2">
        <f>T10/'Output-Calculation-sheet'!T9*'Output-Calculation-sheet'!T81</f>
        <v>858109877.39871442</v>
      </c>
      <c r="U98" s="2">
        <f>U10/'Output-Calculation-sheet'!U9*'Output-Calculation-sheet'!U81</f>
        <v>558342801.28662717</v>
      </c>
      <c r="V98" s="2">
        <f>V10/'Output-Calculation-sheet'!V9*'Output-Calculation-sheet'!V81</f>
        <v>295706636.45449942</v>
      </c>
      <c r="W98" s="2">
        <f>W10/'Output-Calculation-sheet'!W9*'Output-Calculation-sheet'!W81</f>
        <v>838436648.84725344</v>
      </c>
      <c r="X98" s="2">
        <f>X10/'Output-Calculation-sheet'!X9*'Output-Calculation-sheet'!X81</f>
        <v>308098340.59051806</v>
      </c>
      <c r="Y98" s="2">
        <f>Y10/'Output-Calculation-sheet'!Y9*'Output-Calculation-sheet'!Y81</f>
        <v>461022348.85963875</v>
      </c>
      <c r="AA98" s="2">
        <f t="shared" si="8"/>
        <v>89.618193953967605</v>
      </c>
    </row>
    <row r="99" spans="1:27" x14ac:dyDescent="0.25">
      <c r="A99" s="2">
        <v>2034</v>
      </c>
      <c r="B99" s="2">
        <f>B11/'Output-Calculation-sheet'!B10*'Output-Calculation-sheet'!B82</f>
        <v>22787707491.3312</v>
      </c>
      <c r="C99" s="2">
        <f>C11/'Output-Calculation-sheet'!C10*'Output-Calculation-sheet'!C82</f>
        <v>7862709937.2115698</v>
      </c>
      <c r="D99" s="2">
        <f>D11/'Output-Calculation-sheet'!D10*'Output-Calculation-sheet'!D82</f>
        <v>7152818938.1303024</v>
      </c>
      <c r="E99" s="2">
        <f>E11/'Output-Calculation-sheet'!E10*'Output-Calculation-sheet'!E82</f>
        <v>13836517209.423561</v>
      </c>
      <c r="F99" s="2">
        <f>F11/'Output-Calculation-sheet'!F10*'Output-Calculation-sheet'!F82</f>
        <v>5698552603.5484657</v>
      </c>
      <c r="G99" s="2">
        <f>G11/'Output-Calculation-sheet'!G10*'Output-Calculation-sheet'!G82</f>
        <v>4051271628.9515467</v>
      </c>
      <c r="H99" s="2">
        <f>H11/'Output-Calculation-sheet'!H10*'Output-Calculation-sheet'!H82</f>
        <v>3786654738.1095958</v>
      </c>
      <c r="I99" s="2">
        <f>I11/'Output-Calculation-sheet'!I10*'Output-Calculation-sheet'!I82</f>
        <v>3180515287.4506841</v>
      </c>
      <c r="J99" s="2">
        <f>J11/'Output-Calculation-sheet'!J10*'Output-Calculation-sheet'!J82</f>
        <v>1979227574.0237877</v>
      </c>
      <c r="K99" s="2">
        <f>K11/'Output-Calculation-sheet'!K10*'Output-Calculation-sheet'!K82</f>
        <v>2895873049.5114207</v>
      </c>
      <c r="L99" s="2">
        <f>L11/'Output-Calculation-sheet'!L10*'Output-Calculation-sheet'!L82</f>
        <v>2235829958.6618137</v>
      </c>
      <c r="M99" s="2">
        <f>M11/'Output-Calculation-sheet'!M10*'Output-Calculation-sheet'!M82</f>
        <v>2852414604.9902415</v>
      </c>
      <c r="N99" s="2">
        <f>N11/'Output-Calculation-sheet'!N10*'Output-Calculation-sheet'!N82</f>
        <v>2009525047.640836</v>
      </c>
      <c r="O99" s="2">
        <f>O11/'Output-Calculation-sheet'!O10*'Output-Calculation-sheet'!O82</f>
        <v>1089463151.0105147</v>
      </c>
      <c r="P99" s="2">
        <f>P11/'Output-Calculation-sheet'!P10*'Output-Calculation-sheet'!P82</f>
        <v>3396124287.8515511</v>
      </c>
      <c r="Q99" s="2">
        <f>Q11/'Output-Calculation-sheet'!Q10*'Output-Calculation-sheet'!Q82</f>
        <v>1607256074.5279665</v>
      </c>
      <c r="R99" s="2">
        <f>R11/'Output-Calculation-sheet'!R10*'Output-Calculation-sheet'!R82</f>
        <v>2080589351.4901719</v>
      </c>
      <c r="S99" s="2">
        <f>S11/'Output-Calculation-sheet'!S10*'Output-Calculation-sheet'!S82</f>
        <v>1198474728.6838863</v>
      </c>
      <c r="T99" s="2">
        <f>T11/'Output-Calculation-sheet'!T10*'Output-Calculation-sheet'!T82</f>
        <v>875941734.50488949</v>
      </c>
      <c r="U99" s="2">
        <f>U11/'Output-Calculation-sheet'!U10*'Output-Calculation-sheet'!U82</f>
        <v>580067369.93359184</v>
      </c>
      <c r="V99" s="2">
        <f>V11/'Output-Calculation-sheet'!V10*'Output-Calculation-sheet'!V82</f>
        <v>310153206.45533836</v>
      </c>
      <c r="W99" s="2">
        <f>W11/'Output-Calculation-sheet'!W10*'Output-Calculation-sheet'!W82</f>
        <v>860072711.08922064</v>
      </c>
      <c r="X99" s="2">
        <f>X11/'Output-Calculation-sheet'!X10*'Output-Calculation-sheet'!X82</f>
        <v>323925459.21986902</v>
      </c>
      <c r="Y99" s="2">
        <f>Y11/'Output-Calculation-sheet'!Y10*'Output-Calculation-sheet'!Y82</f>
        <v>473310549.90994298</v>
      </c>
      <c r="AA99" s="2">
        <f t="shared" si="8"/>
        <v>93.124996693661942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2019.74043868064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621.73874919498269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427.81676676466401</v>
      </c>
      <c r="N107" s="2">
        <f>N8/'Output-Calculation-sheet'!N7*'Output-Calculation-sheet'!N88</f>
        <v>168.18980022906544</v>
      </c>
      <c r="O107" s="2">
        <f>O8/'Output-Calculation-sheet'!O7*'Output-Calculation-sheet'!O88</f>
        <v>470.85534869177746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46.93238910110896</v>
      </c>
      <c r="Y107" s="2">
        <f>Y8/'Output-Calculation-sheet'!Y7*'Output-Calculation-sheet'!Y88</f>
        <v>0</v>
      </c>
      <c r="AA107" s="2">
        <f t="shared" si="9"/>
        <v>3.7552734926622389</v>
      </c>
    </row>
    <row r="108" spans="1:27" x14ac:dyDescent="0.25">
      <c r="A108" s="2">
        <v>2032</v>
      </c>
      <c r="B108" s="2">
        <f>B9/'Output-Calculation-sheet'!B8*'Output-Calculation-sheet'!B89</f>
        <v>907.65155037947807</v>
      </c>
      <c r="C108" s="2">
        <f>C9/'Output-Calculation-sheet'!C8*'Output-Calculation-sheet'!C89</f>
        <v>3446.3394701680363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928.2789048739653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638.74622621354195</v>
      </c>
      <c r="N108" s="2">
        <f>N9/'Output-Calculation-sheet'!N8*'Output-Calculation-sheet'!N89</f>
        <v>448.4171083851499</v>
      </c>
      <c r="O108" s="2">
        <f>O9/'Output-Calculation-sheet'!O8*'Output-Calculation-sheet'!O89</f>
        <v>669.52801700773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205.63853331752327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70.071789500502035</v>
      </c>
      <c r="Y108" s="2">
        <f>Y9/'Output-Calculation-sheet'!Y8*'Output-Calculation-sheet'!Y89</f>
        <v>0</v>
      </c>
      <c r="AA108" s="2">
        <f t="shared" si="9"/>
        <v>7.3146715998459264</v>
      </c>
    </row>
    <row r="109" spans="1:27" x14ac:dyDescent="0.25">
      <c r="A109" s="2">
        <v>2033</v>
      </c>
      <c r="B109" s="2">
        <f>B10/'Output-Calculation-sheet'!B9*'Output-Calculation-sheet'!B90</f>
        <v>4443.805606088973</v>
      </c>
      <c r="C109" s="2">
        <f>C10/'Output-Calculation-sheet'!C9*'Output-Calculation-sheet'!C90</f>
        <v>4218.26598864274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1298.5131006554884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893.50338392656954</v>
      </c>
      <c r="N109" s="2">
        <f>N10/'Output-Calculation-sheet'!N9*'Output-Calculation-sheet'!N90</f>
        <v>702.53513803618455</v>
      </c>
      <c r="O109" s="2">
        <f>O10/'Output-Calculation-sheet'!O9*'Output-Calculation-sheet'!O90</f>
        <v>819.49189481598614</v>
      </c>
      <c r="P109" s="2">
        <f>P10/'Output-Calculation-sheet'!P9*'Output-Calculation-sheet'!P90</f>
        <v>0</v>
      </c>
      <c r="Q109" s="2">
        <f>Q10/'Output-Calculation-sheet'!Q9*'Output-Calculation-sheet'!Q90</f>
        <v>153.88208583993128</v>
      </c>
      <c r="R109" s="2">
        <f>R10/'Output-Calculation-sheet'!R9*'Output-Calculation-sheet'!R90</f>
        <v>0</v>
      </c>
      <c r="S109" s="2">
        <f>S10/'Output-Calculation-sheet'!S9*'Output-Calculation-sheet'!S90</f>
        <v>352.37771960042795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98.019179553724115</v>
      </c>
      <c r="Y109" s="2">
        <f>Y10/'Output-Calculation-sheet'!Y9*'Output-Calculation-sheet'!Y90</f>
        <v>0</v>
      </c>
      <c r="AA109" s="2">
        <f t="shared" si="9"/>
        <v>12.980394097160026</v>
      </c>
    </row>
    <row r="110" spans="1:27" x14ac:dyDescent="0.25">
      <c r="A110" s="2">
        <v>2034</v>
      </c>
      <c r="B110" s="2">
        <f>B11/'Output-Calculation-sheet'!B10*'Output-Calculation-sheet'!B91</f>
        <v>7215.0426415754973</v>
      </c>
      <c r="C110" s="2">
        <f>C11/'Output-Calculation-sheet'!C10*'Output-Calculation-sheet'!C91</f>
        <v>4946.3934473217769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1405.5261371824258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967.13876751477437</v>
      </c>
      <c r="N110" s="2">
        <f>N11/'Output-Calculation-sheet'!N10*'Output-Calculation-sheet'!N91</f>
        <v>871.3288492322107</v>
      </c>
      <c r="O110" s="2">
        <f>O11/'Output-Calculation-sheet'!O10*'Output-Calculation-sheet'!O91</f>
        <v>960.94683207858952</v>
      </c>
      <c r="P110" s="2">
        <f>P11/'Output-Calculation-sheet'!P10*'Output-Calculation-sheet'!P91</f>
        <v>219.53312915346302</v>
      </c>
      <c r="Q110" s="2">
        <f>Q11/'Output-Calculation-sheet'!Q10*'Output-Calculation-sheet'!Q91</f>
        <v>485.81112218561975</v>
      </c>
      <c r="R110" s="2">
        <f>R11/'Output-Calculation-sheet'!R10*'Output-Calculation-sheet'!R91</f>
        <v>0</v>
      </c>
      <c r="S110" s="2">
        <f>S11/'Output-Calculation-sheet'!S10*'Output-Calculation-sheet'!S91</f>
        <v>499.47577613234927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106.09713428258137</v>
      </c>
      <c r="Y110" s="2">
        <f>Y11/'Output-Calculation-sheet'!Y10*'Output-Calculation-sheet'!Y91</f>
        <v>17.064294005249518</v>
      </c>
      <c r="AA110" s="2">
        <f t="shared" si="9"/>
        <v>17.694358130664533</v>
      </c>
    </row>
    <row r="111" spans="1:27" x14ac:dyDescent="0.25">
      <c r="A111" s="2">
        <v>2035</v>
      </c>
      <c r="B111" s="2">
        <f>B12/'Output-Calculation-sheet'!B11*'Output-Calculation-sheet'!B92</f>
        <v>9977.5910710118296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1778.0514092044359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728.61499998161901</v>
      </c>
      <c r="Q111" s="2">
        <f>Q12/'Output-Calculation-sheet'!Q11*'Output-Calculation-sheet'!Q92</f>
        <v>518.26272178559611</v>
      </c>
      <c r="R111" s="2">
        <f>R12/'Output-Calculation-sheet'!R11*'Output-Calculation-sheet'!R92</f>
        <v>0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70.793988043313789</v>
      </c>
      <c r="AA111" s="2">
        <f t="shared" si="9"/>
        <v>22.85079237146067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1619682740.2855458</v>
      </c>
      <c r="C118" s="2">
        <f>C8/'Output-Calculation-sheet'!C7*'Output-Calculation-sheet'!C97</f>
        <v>9494763079.6842575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2921343674.5194392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2029124923.8533704</v>
      </c>
      <c r="N118" s="2">
        <f>N8/'Output-Calculation-sheet'!N7*'Output-Calculation-sheet'!N97</f>
        <v>1592284510.8738003</v>
      </c>
      <c r="O118" s="2">
        <f>O8/'Output-Calculation-sheet'!O7*'Output-Calculation-sheet'!O97</f>
        <v>1059524412.9637976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576021886.65420902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218701154.2395778</v>
      </c>
      <c r="Y118" s="2">
        <f>Y8/'Output-Calculation-sheet'!Y7*'Output-Calculation-sheet'!Y97</f>
        <v>0</v>
      </c>
      <c r="AA118" s="2">
        <f t="shared" si="10"/>
        <v>19511.446383074002</v>
      </c>
    </row>
    <row r="119" spans="1:27" x14ac:dyDescent="0.25">
      <c r="A119" s="2">
        <v>2032</v>
      </c>
      <c r="B119" s="2">
        <f>B9/'Output-Calculation-sheet'!B8*'Output-Calculation-sheet'!B98</f>
        <v>6809249081.676734</v>
      </c>
      <c r="C119" s="2">
        <f>C9/'Output-Calculation-sheet'!C8*'Output-Calculation-sheet'!C98</f>
        <v>5412128706.5984182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3235382650.5539246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2258309206.3497491</v>
      </c>
      <c r="N119" s="2">
        <f>N9/'Output-Calculation-sheet'!N8*'Output-Calculation-sheet'!N98</f>
        <v>1524273411.4599459</v>
      </c>
      <c r="O119" s="2">
        <f>O9/'Output-Calculation-sheet'!O8*'Output-Calculation-sheet'!O98</f>
        <v>1057429942.6224735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633798523.53793848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241647181.21034262</v>
      </c>
      <c r="Y119" s="2">
        <f>Y9/'Output-Calculation-sheet'!Y8*'Output-Calculation-sheet'!Y98</f>
        <v>0</v>
      </c>
      <c r="AA119" s="2">
        <f t="shared" si="10"/>
        <v>21172.218704009527</v>
      </c>
    </row>
    <row r="120" spans="1:27" x14ac:dyDescent="0.25">
      <c r="A120" s="2">
        <v>2033</v>
      </c>
      <c r="B120" s="2">
        <f>B10/'Output-Calculation-sheet'!B9*'Output-Calculation-sheet'!B99</f>
        <v>6393006487.028059</v>
      </c>
      <c r="C120" s="2">
        <f>C10/'Output-Calculation-sheet'!C9*'Output-Calculation-sheet'!C99</f>
        <v>5255448299.4894514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1723137002.8537343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1219650685.3638492</v>
      </c>
      <c r="N120" s="2">
        <f>N10/'Output-Calculation-sheet'!N9*'Output-Calculation-sheet'!N99</f>
        <v>1215862509.0748382</v>
      </c>
      <c r="O120" s="2">
        <f>O10/'Output-Calculation-sheet'!O9*'Output-Calculation-sheet'!O99</f>
        <v>1028903576.4870375</v>
      </c>
      <c r="P120" s="2">
        <f>P10/'Output-Calculation-sheet'!P9*'Output-Calculation-sheet'!P99</f>
        <v>0</v>
      </c>
      <c r="Q120" s="2">
        <f>Q10/'Output-Calculation-sheet'!Q9*'Output-Calculation-sheet'!Q99</f>
        <v>7287273.96405409</v>
      </c>
      <c r="R120" s="2">
        <f>R10/'Output-Calculation-sheet'!R9*'Output-Calculation-sheet'!R99</f>
        <v>0</v>
      </c>
      <c r="S120" s="2">
        <f>S10/'Output-Calculation-sheet'!S9*'Output-Calculation-sheet'!S99</f>
        <v>509195284.37166148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121787532.1596172</v>
      </c>
      <c r="Y120" s="2">
        <f>Y10/'Output-Calculation-sheet'!Y9*'Output-Calculation-sheet'!Y99</f>
        <v>0</v>
      </c>
      <c r="AA120" s="2">
        <f t="shared" si="10"/>
        <v>17474.278650792305</v>
      </c>
    </row>
    <row r="121" spans="1:27" x14ac:dyDescent="0.25">
      <c r="A121" s="2">
        <v>2034</v>
      </c>
      <c r="B121" s="2">
        <f>B11/'Output-Calculation-sheet'!B10*'Output-Calculation-sheet'!B100</f>
        <v>5416510544.5504532</v>
      </c>
      <c r="C121" s="2">
        <f>C11/'Output-Calculation-sheet'!C10*'Output-Calculation-sheet'!C100</f>
        <v>649357689.14144742</v>
      </c>
      <c r="D121" s="2">
        <f>D11/'Output-Calculation-sheet'!D10*'Output-Calculation-sheet'!D100</f>
        <v>0</v>
      </c>
      <c r="E121" s="2">
        <f>E11/'Output-Calculation-sheet'!E10*'Output-Calculation-sheet'!E100</f>
        <v>766344912.47797823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1709819503.6180549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624626086.80154109</v>
      </c>
      <c r="M121" s="2">
        <f>M11/'Output-Calculation-sheet'!M10*'Output-Calculation-sheet'!M100</f>
        <v>1216872000.3031077</v>
      </c>
      <c r="N121" s="2">
        <f>N11/'Output-Calculation-sheet'!N10*'Output-Calculation-sheet'!N100</f>
        <v>811261372.36642134</v>
      </c>
      <c r="O121" s="2">
        <f>O11/'Output-Calculation-sheet'!O10*'Output-Calculation-sheet'!O100</f>
        <v>127373646.59004383</v>
      </c>
      <c r="P121" s="2">
        <f>P11/'Output-Calculation-sheet'!P10*'Output-Calculation-sheet'!P100</f>
        <v>0</v>
      </c>
      <c r="Q121" s="2">
        <f>Q11/'Output-Calculation-sheet'!Q10*'Output-Calculation-sheet'!Q100</f>
        <v>274523843.405002</v>
      </c>
      <c r="R121" s="2">
        <f>R11/'Output-Calculation-sheet'!R10*'Output-Calculation-sheet'!R100</f>
        <v>0</v>
      </c>
      <c r="S121" s="2">
        <f>S11/'Output-Calculation-sheet'!S10*'Output-Calculation-sheet'!S100</f>
        <v>303324621.41691601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119566188.44450274</v>
      </c>
      <c r="Y121" s="2">
        <f>Y11/'Output-Calculation-sheet'!Y10*'Output-Calculation-sheet'!Y100</f>
        <v>17345023.803056657</v>
      </c>
      <c r="AA121" s="2">
        <f t="shared" si="10"/>
        <v>12036.925432918524</v>
      </c>
    </row>
    <row r="122" spans="1:27" x14ac:dyDescent="0.25">
      <c r="A122" s="2">
        <v>2035</v>
      </c>
      <c r="B122" s="2">
        <f>B12/'Output-Calculation-sheet'!B11*'Output-Calculation-sheet'!B101</f>
        <v>1181461676.2807395</v>
      </c>
      <c r="C122" s="2">
        <f>C12/'Output-Calculation-sheet'!C11*'Output-Calculation-sheet'!C101</f>
        <v>222040477.15368834</v>
      </c>
      <c r="D122" s="2">
        <f>D12/'Output-Calculation-sheet'!D11*'Output-Calculation-sheet'!D101</f>
        <v>0</v>
      </c>
      <c r="E122" s="2">
        <f>E12/'Output-Calculation-sheet'!E11*'Output-Calculation-sheet'!E101</f>
        <v>1836585669.800632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360169368.88727522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789750505.96968865</v>
      </c>
      <c r="M122" s="2">
        <f>M12/'Output-Calculation-sheet'!M11*'Output-Calculation-sheet'!M101</f>
        <v>301992933.31389213</v>
      </c>
      <c r="N122" s="2">
        <f>N12/'Output-Calculation-sheet'!N11*'Output-Calculation-sheet'!N101</f>
        <v>210616374.77686206</v>
      </c>
      <c r="O122" s="2">
        <f>O12/'Output-Calculation-sheet'!O11*'Output-Calculation-sheet'!O101</f>
        <v>24332425.466666244</v>
      </c>
      <c r="P122" s="2">
        <f>P12/'Output-Calculation-sheet'!P11*'Output-Calculation-sheet'!P101</f>
        <v>32843377.773630325</v>
      </c>
      <c r="Q122" s="2">
        <f>Q12/'Output-Calculation-sheet'!Q11*'Output-Calculation-sheet'!Q101</f>
        <v>461313725.4829973</v>
      </c>
      <c r="R122" s="2">
        <f>R12/'Output-Calculation-sheet'!R11*'Output-Calculation-sheet'!R101</f>
        <v>0</v>
      </c>
      <c r="S122" s="2">
        <f>S12/'Output-Calculation-sheet'!S11*'Output-Calculation-sheet'!S101</f>
        <v>125124862.92904194</v>
      </c>
      <c r="T122" s="2">
        <f>T12/'Output-Calculation-sheet'!T11*'Output-Calculation-sheet'!T101</f>
        <v>0</v>
      </c>
      <c r="U122" s="2">
        <f>U12/'Output-Calculation-sheet'!U11*'Output-Calculation-sheet'!U101</f>
        <v>43235574.33969412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10946198.028010275</v>
      </c>
      <c r="Y122" s="2">
        <f>Y12/'Output-Calculation-sheet'!Y11*'Output-Calculation-sheet'!Y101</f>
        <v>65271183.543615296</v>
      </c>
      <c r="AA122" s="2">
        <f t="shared" si="10"/>
        <v>5665.6843537464329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54996775270.144455</v>
      </c>
      <c r="C129" s="2">
        <f>C8/'Output-Calculation-sheet'!C7*'Output-Calculation-sheet'!C106</f>
        <v>0</v>
      </c>
      <c r="D129" s="2">
        <f>D8/'Output-Calculation-sheet'!D7*'Output-Calculation-sheet'!D106</f>
        <v>23779490447.422318</v>
      </c>
      <c r="E129" s="2">
        <f>E8/'Output-Calculation-sheet'!E7*'Output-Calculation-sheet'!E106</f>
        <v>18866634688.337204</v>
      </c>
      <c r="F129" s="2">
        <f>F8/'Output-Calculation-sheet'!F7*'Output-Calculation-sheet'!F106</f>
        <v>12145125454.007286</v>
      </c>
      <c r="G129" s="2">
        <f>G8/'Output-Calculation-sheet'!G7*'Output-Calculation-sheet'!G106</f>
        <v>8533518182.4831715</v>
      </c>
      <c r="H129" s="2">
        <f>H8/'Output-Calculation-sheet'!H7*'Output-Calculation-sheet'!H106</f>
        <v>0</v>
      </c>
      <c r="I129" s="2">
        <f>I8/'Output-Calculation-sheet'!I7*'Output-Calculation-sheet'!I106</f>
        <v>7774688728.6354742</v>
      </c>
      <c r="J129" s="2">
        <f>J8/'Output-Calculation-sheet'!J7*'Output-Calculation-sheet'!J106</f>
        <v>7567322582.1861315</v>
      </c>
      <c r="K129" s="2">
        <f>K8/'Output-Calculation-sheet'!K7*'Output-Calculation-sheet'!K106</f>
        <v>7494786445.4709206</v>
      </c>
      <c r="L129" s="2">
        <f>L8/'Output-Calculation-sheet'!L7*'Output-Calculation-sheet'!L106</f>
        <v>6012429367.4262314</v>
      </c>
      <c r="M129" s="2">
        <f>M8/'Output-Calculation-sheet'!M7*'Output-Calculation-sheet'!M106</f>
        <v>0</v>
      </c>
      <c r="N129" s="2">
        <f>N8/'Output-Calculation-sheet'!N7*'Output-Calculation-sheet'!N106</f>
        <v>2642260669.457058</v>
      </c>
      <c r="O129" s="2">
        <f>O8/'Output-Calculation-sheet'!O7*'Output-Calculation-sheet'!O106</f>
        <v>0</v>
      </c>
      <c r="P129" s="2">
        <f>P8/'Output-Calculation-sheet'!P7*'Output-Calculation-sheet'!P106</f>
        <v>5131324674.5003805</v>
      </c>
      <c r="Q129" s="2">
        <f>Q8/'Output-Calculation-sheet'!Q7*'Output-Calculation-sheet'!Q106</f>
        <v>5048384776.0957918</v>
      </c>
      <c r="R129" s="2">
        <f>R8/'Output-Calculation-sheet'!R7*'Output-Calculation-sheet'!R106</f>
        <v>4856788217.6089563</v>
      </c>
      <c r="S129" s="2">
        <f>S8/'Output-Calculation-sheet'!S7*'Output-Calculation-sheet'!S106</f>
        <v>2652041053.4541492</v>
      </c>
      <c r="T129" s="2">
        <f>T8/'Output-Calculation-sheet'!T7*'Output-Calculation-sheet'!T106</f>
        <v>1785301350.9982357</v>
      </c>
      <c r="U129" s="2">
        <f>U8/'Output-Calculation-sheet'!U7*'Output-Calculation-sheet'!U106</f>
        <v>1554939228.8377728</v>
      </c>
      <c r="V129" s="2">
        <f>V8/'Output-Calculation-sheet'!V7*'Output-Calculation-sheet'!V106</f>
        <v>1197329124.8710303</v>
      </c>
      <c r="W129" s="2">
        <f>W8/'Output-Calculation-sheet'!W7*'Output-Calculation-sheet'!W106</f>
        <v>1036629820.9709338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173075.77008290749</v>
      </c>
    </row>
    <row r="130" spans="1:27" x14ac:dyDescent="0.25">
      <c r="A130" s="2">
        <v>2032</v>
      </c>
      <c r="B130" s="2">
        <f>B9/'Output-Calculation-sheet'!B8*'Output-Calculation-sheet'!B107</f>
        <v>61619803645.044304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0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2242559582.8688993</v>
      </c>
      <c r="O130" s="2">
        <f>O9/'Output-Calculation-sheet'!O8*'Output-Calculation-sheet'!O107</f>
        <v>0</v>
      </c>
      <c r="P130" s="2">
        <f>P9/'Output-Calculation-sheet'!P8*'Output-Calculation-sheet'!P107</f>
        <v>6840354924.6133013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1991018985.8832886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216203.07535172877</v>
      </c>
    </row>
    <row r="131" spans="1:27" x14ac:dyDescent="0.25">
      <c r="A131" s="2">
        <v>2033</v>
      </c>
      <c r="B131" s="2">
        <f>B10/'Output-Calculation-sheet'!B9*'Output-Calculation-sheet'!B108</f>
        <v>47689882952.846733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1747486586.6386776</v>
      </c>
      <c r="O131" s="2">
        <f>O10/'Output-Calculation-sheet'!O9*'Output-Calculation-sheet'!O108</f>
        <v>0</v>
      </c>
      <c r="P131" s="2">
        <f>P10/'Output-Calculation-sheet'!P9*'Output-Calculation-sheet'!P108</f>
        <v>8037179236.9796648</v>
      </c>
      <c r="Q131" s="2">
        <f>Q10/'Output-Calculation-sheet'!Q9*'Output-Calculation-sheet'!Q108</f>
        <v>6780177600.2724161</v>
      </c>
      <c r="R131" s="2">
        <f>R10/'Output-Calculation-sheet'!R9*'Output-Calculation-sheet'!R108</f>
        <v>7607261114.0471745</v>
      </c>
      <c r="S131" s="2">
        <f>S10/'Output-Calculation-sheet'!S9*'Output-Calculation-sheet'!S108</f>
        <v>1694968865.616204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226669.17429992172</v>
      </c>
    </row>
    <row r="132" spans="1:27" x14ac:dyDescent="0.25">
      <c r="A132" s="2">
        <v>2034</v>
      </c>
      <c r="B132" s="2">
        <f>B11/'Output-Calculation-sheet'!B10*'Output-Calculation-sheet'!B109</f>
        <v>31434004284.393024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30338202603.471523</v>
      </c>
      <c r="F132" s="2">
        <f>F11/'Output-Calculation-sheet'!F10*'Output-Calculation-sheet'!F109</f>
        <v>20019932254.308262</v>
      </c>
      <c r="G132" s="2">
        <f>G11/'Output-Calculation-sheet'!G10*'Output-Calculation-sheet'!G109</f>
        <v>14066947873.276241</v>
      </c>
      <c r="H132" s="2">
        <f>H11/'Output-Calculation-sheet'!H10*'Output-Calculation-sheet'!H109</f>
        <v>0</v>
      </c>
      <c r="I132" s="2">
        <f>I11/'Output-Calculation-sheet'!I10*'Output-Calculation-sheet'!I109</f>
        <v>12815205199.172115</v>
      </c>
      <c r="J132" s="2">
        <f>J11/'Output-Calculation-sheet'!J10*'Output-Calculation-sheet'!J109</f>
        <v>12473521613.153624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9285867722.7877998</v>
      </c>
      <c r="M132" s="2">
        <f>M11/'Output-Calculation-sheet'!M10*'Output-Calculation-sheet'!M109</f>
        <v>0</v>
      </c>
      <c r="N132" s="2">
        <f>N11/'Output-Calculation-sheet'!N10*'Output-Calculation-sheet'!N109</f>
        <v>1221103086.9768925</v>
      </c>
      <c r="O132" s="2">
        <f>O11/'Output-Calculation-sheet'!O10*'Output-Calculation-sheet'!O109</f>
        <v>0</v>
      </c>
      <c r="P132" s="2">
        <f>P11/'Output-Calculation-sheet'!P10*'Output-Calculation-sheet'!P109</f>
        <v>6937974856.9071436</v>
      </c>
      <c r="Q132" s="2">
        <f>Q11/'Output-Calculation-sheet'!Q10*'Output-Calculation-sheet'!Q109</f>
        <v>4468798051.756958</v>
      </c>
      <c r="R132" s="2">
        <f>R11/'Output-Calculation-sheet'!R10*'Output-Calculation-sheet'!R109</f>
        <v>8005117291.4976435</v>
      </c>
      <c r="S132" s="2">
        <f>S11/'Output-Calculation-sheet'!S10*'Output-Calculation-sheet'!S109</f>
        <v>838055485.36616874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2564513018.9455652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212646.31762048305</v>
      </c>
    </row>
    <row r="133" spans="1:27" x14ac:dyDescent="0.25">
      <c r="A133" s="2">
        <v>2035</v>
      </c>
      <c r="B133" s="2">
        <f>B12/'Output-Calculation-sheet'!B11*'Output-Calculation-sheet'!B110</f>
        <v>405905077.28024787</v>
      </c>
      <c r="C133" s="2">
        <f>C12/'Output-Calculation-sheet'!C11*'Output-Calculation-sheet'!C110</f>
        <v>0</v>
      </c>
      <c r="D133" s="2">
        <f>D12/'Output-Calculation-sheet'!D11*'Output-Calculation-sheet'!D110</f>
        <v>33628796023.825169</v>
      </c>
      <c r="E133" s="2">
        <f>E12/'Output-Calculation-sheet'!E11*'Output-Calculation-sheet'!E110</f>
        <v>16352943748.196791</v>
      </c>
      <c r="F133" s="2">
        <f>F12/'Output-Calculation-sheet'!F11*'Output-Calculation-sheet'!F110</f>
        <v>18134171243.165508</v>
      </c>
      <c r="G133" s="2">
        <f>G12/'Output-Calculation-sheet'!G11*'Output-Calculation-sheet'!G110</f>
        <v>12569683074.921732</v>
      </c>
      <c r="H133" s="2">
        <f>H12/'Output-Calculation-sheet'!H11*'Output-Calculation-sheet'!H110</f>
        <v>0</v>
      </c>
      <c r="I133" s="2">
        <f>I12/'Output-Calculation-sheet'!I11*'Output-Calculation-sheet'!I110</f>
        <v>11346493305.66678</v>
      </c>
      <c r="J133" s="2">
        <f>J12/'Output-Calculation-sheet'!J11*'Output-Calculation-sheet'!J110</f>
        <v>10927527958.552874</v>
      </c>
      <c r="K133" s="2">
        <f>K12/'Output-Calculation-sheet'!K11*'Output-Calculation-sheet'!K110</f>
        <v>10810416071.601171</v>
      </c>
      <c r="L133" s="2">
        <f>L12/'Output-Calculation-sheet'!L11*'Output-Calculation-sheet'!L110</f>
        <v>7951049823.1561556</v>
      </c>
      <c r="M133" s="2">
        <f>M12/'Output-Calculation-sheet'!M11*'Output-Calculation-sheet'!M110</f>
        <v>0</v>
      </c>
      <c r="N133" s="2">
        <f>N12/'Output-Calculation-sheet'!N11*'Output-Calculation-sheet'!N110</f>
        <v>1039205.1348010649</v>
      </c>
      <c r="O133" s="2">
        <f>O12/'Output-Calculation-sheet'!O11*'Output-Calculation-sheet'!O110</f>
        <v>0</v>
      </c>
      <c r="P133" s="2">
        <f>P12/'Output-Calculation-sheet'!P11*'Output-Calculation-sheet'!P110</f>
        <v>2463831336.0471516</v>
      </c>
      <c r="Q133" s="2">
        <f>Q12/'Output-Calculation-sheet'!Q11*'Output-Calculation-sheet'!Q110</f>
        <v>3272770755.4753189</v>
      </c>
      <c r="R133" s="2">
        <f>R12/'Output-Calculation-sheet'!R11*'Output-Calculation-sheet'!R110</f>
        <v>7190644411.2139196</v>
      </c>
      <c r="S133" s="2">
        <f>S12/'Output-Calculation-sheet'!S11*'Output-Calculation-sheet'!S110</f>
        <v>11905214.872193053</v>
      </c>
      <c r="T133" s="2">
        <f>T12/'Output-Calculation-sheet'!T11*'Output-Calculation-sheet'!T110</f>
        <v>2701654753.0162201</v>
      </c>
      <c r="U133" s="2">
        <f>U12/'Output-Calculation-sheet'!U11*'Output-Calculation-sheet'!U110</f>
        <v>2192024248.6345897</v>
      </c>
      <c r="V133" s="2">
        <f>V12/'Output-Calculation-sheet'!V11*'Output-Calculation-sheet'!V110</f>
        <v>1816865916.4915481</v>
      </c>
      <c r="W133" s="2">
        <f>W12/'Output-Calculation-sheet'!W11*'Output-Calculation-sheet'!W110</f>
        <v>1596185952.5790863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143373.90811983123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17185808764.282658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5402785382.7545605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3713794011.3554578</v>
      </c>
      <c r="N140" s="2">
        <f>N8/'Output-Calculation-sheet'!N7*'Output-Calculation-sheet'!N115</f>
        <v>1402104440.3355646</v>
      </c>
      <c r="O140" s="2">
        <f>O8/'Output-Calculation-sheet'!O7*'Output-Calculation-sheet'!O115</f>
        <v>4124510423.571538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403273440.83175719</v>
      </c>
      <c r="Y140" s="2">
        <f>Y8/'Output-Calculation-sheet'!Y7*'Output-Calculation-sheet'!Y115</f>
        <v>0</v>
      </c>
      <c r="AA140" s="2">
        <f t="shared" si="12"/>
        <v>32232.276463131529</v>
      </c>
    </row>
    <row r="141" spans="1:27" x14ac:dyDescent="0.25">
      <c r="A141" s="2">
        <v>2032</v>
      </c>
      <c r="B141" s="2">
        <f>B9/'Output-Calculation-sheet'!B8*'Output-Calculation-sheet'!B116</f>
        <v>7044565408.1062202</v>
      </c>
      <c r="C141" s="2">
        <f>C9/'Output-Calculation-sheet'!C8*'Output-Calculation-sheet'!C116</f>
        <v>30154905298.570179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7861253044.9635763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5397396131.0409603</v>
      </c>
      <c r="N141" s="2">
        <f>N9/'Output-Calculation-sheet'!N8*'Output-Calculation-sheet'!N116</f>
        <v>3747207466.3384824</v>
      </c>
      <c r="O141" s="2">
        <f>O9/'Output-Calculation-sheet'!O8*'Output-Calculation-sheet'!O116</f>
        <v>5853244346.6614552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1678411694.0739894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587487603.31829071</v>
      </c>
      <c r="Y141" s="2">
        <f>Y9/'Output-Calculation-sheet'!Y8*'Output-Calculation-sheet'!Y116</f>
        <v>0</v>
      </c>
      <c r="AA141" s="2">
        <f t="shared" si="12"/>
        <v>62324.470993073155</v>
      </c>
    </row>
    <row r="142" spans="1:27" x14ac:dyDescent="0.25">
      <c r="A142" s="2">
        <v>2033</v>
      </c>
      <c r="B142" s="2">
        <f>B10/'Output-Calculation-sheet'!B9*'Output-Calculation-sheet'!B117</f>
        <v>34600509260.70887</v>
      </c>
      <c r="C142" s="2">
        <f>C10/'Output-Calculation-sheet'!C9*'Output-Calculation-sheet'!C117</f>
        <v>36536708078.259735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11315688363.603579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7775995174.3642111</v>
      </c>
      <c r="N142" s="2">
        <f>N10/'Output-Calculation-sheet'!N9*'Output-Calculation-sheet'!N117</f>
        <v>5865836523.1781664</v>
      </c>
      <c r="O142" s="2">
        <f>O10/'Output-Calculation-sheet'!O9*'Output-Calculation-sheet'!O117</f>
        <v>7091311341.9615488</v>
      </c>
      <c r="P142" s="2">
        <f>P10/'Output-Calculation-sheet'!P9*'Output-Calculation-sheet'!P117</f>
        <v>0</v>
      </c>
      <c r="Q142" s="2">
        <f>Q10/'Output-Calculation-sheet'!Q9*'Output-Calculation-sheet'!Q117</f>
        <v>1120214620.901489</v>
      </c>
      <c r="R142" s="2">
        <f>R10/'Output-Calculation-sheet'!R9*'Output-Calculation-sheet'!R117</f>
        <v>0</v>
      </c>
      <c r="S142" s="2">
        <f>S10/'Output-Calculation-sheet'!S9*'Output-Calculation-sheet'!S117</f>
        <v>2852238096.6502857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852466694.29222095</v>
      </c>
      <c r="Y142" s="2">
        <f>Y10/'Output-Calculation-sheet'!Y9*'Output-Calculation-sheet'!Y117</f>
        <v>0</v>
      </c>
      <c r="AA142" s="2">
        <f t="shared" si="12"/>
        <v>108010.96815392008</v>
      </c>
    </row>
    <row r="143" spans="1:27" x14ac:dyDescent="0.25">
      <c r="A143" s="2">
        <v>2034</v>
      </c>
      <c r="B143" s="2">
        <f>B11/'Output-Calculation-sheet'!B10*'Output-Calculation-sheet'!B118</f>
        <v>56474585415.093048</v>
      </c>
      <c r="C143" s="2">
        <f>C11/'Output-Calculation-sheet'!C10*'Output-Calculation-sheet'!C118</f>
        <v>43330406598.538765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12011404283.062279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8249565991.0897303</v>
      </c>
      <c r="N143" s="2">
        <f>N11/'Output-Calculation-sheet'!N10*'Output-Calculation-sheet'!N118</f>
        <v>7258956287.6222162</v>
      </c>
      <c r="O143" s="2">
        <f>O11/'Output-Calculation-sheet'!O10*'Output-Calculation-sheet'!O118</f>
        <v>8417894249.0084448</v>
      </c>
      <c r="P143" s="2">
        <f>P11/'Output-Calculation-sheet'!P10*'Output-Calculation-sheet'!P118</f>
        <v>1519825952.4096916</v>
      </c>
      <c r="Q143" s="2">
        <f>Q11/'Output-Calculation-sheet'!Q10*'Output-Calculation-sheet'!Q118</f>
        <v>3578203514.3863959</v>
      </c>
      <c r="R143" s="2">
        <f>R11/'Output-Calculation-sheet'!R10*'Output-Calculation-sheet'!R118</f>
        <v>0</v>
      </c>
      <c r="S143" s="2">
        <f>S11/'Output-Calculation-sheet'!S10*'Output-Calculation-sheet'!S118</f>
        <v>4179699390.854147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905676829.58791316</v>
      </c>
      <c r="Y143" s="2">
        <f>Y11/'Output-Calculation-sheet'!Y10*'Output-Calculation-sheet'!Y118</f>
        <v>106131952.76258981</v>
      </c>
      <c r="AA143" s="2">
        <f t="shared" si="12"/>
        <v>146032.35046441524</v>
      </c>
    </row>
    <row r="144" spans="1:27" x14ac:dyDescent="0.25">
      <c r="A144" s="2">
        <v>2035</v>
      </c>
      <c r="B144" s="2">
        <f>B12/'Output-Calculation-sheet'!B11*'Output-Calculation-sheet'!B119</f>
        <v>86595124167.997223</v>
      </c>
      <c r="C144" s="2">
        <f>C12/'Output-Calculation-sheet'!C11*'Output-Calculation-sheet'!C119</f>
        <v>41437487025.303452</v>
      </c>
      <c r="D144" s="2">
        <f>D12/'Output-Calculation-sheet'!D11*'Output-Calculation-sheet'!D119</f>
        <v>0</v>
      </c>
      <c r="E144" s="2">
        <f>E12/'Output-Calculation-sheet'!E11*'Output-Calculation-sheet'!E119</f>
        <v>10916987418.06525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12589414798.449171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8625678878.82481</v>
      </c>
      <c r="N144" s="2">
        <f>N12/'Output-Calculation-sheet'!N11*'Output-Calculation-sheet'!N119</f>
        <v>8540688652.7597036</v>
      </c>
      <c r="O144" s="2">
        <f>O12/'Output-Calculation-sheet'!O11*'Output-Calculation-sheet'!O119</f>
        <v>8056843433.1201401</v>
      </c>
      <c r="P144" s="2">
        <f>P12/'Output-Calculation-sheet'!P11*'Output-Calculation-sheet'!P119</f>
        <v>5478371022.0695877</v>
      </c>
      <c r="Q144" s="2">
        <f>Q12/'Output-Calculation-sheet'!Q11*'Output-Calculation-sheet'!Q119</f>
        <v>3754477632.9555736</v>
      </c>
      <c r="R144" s="2">
        <f>R12/'Output-Calculation-sheet'!R11*'Output-Calculation-sheet'!R119</f>
        <v>0</v>
      </c>
      <c r="S144" s="2">
        <f>S12/'Output-Calculation-sheet'!S11*'Output-Calculation-sheet'!S119</f>
        <v>4878909563.3617125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959808541.80484366</v>
      </c>
      <c r="Y144" s="2">
        <f>Y12/'Output-Calculation-sheet'!Y11*'Output-Calculation-sheet'!Y119</f>
        <v>458001154.00475329</v>
      </c>
      <c r="AA144" s="2">
        <f t="shared" si="12"/>
        <v>192291.79228871621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56616459115.744629</v>
      </c>
      <c r="C151" s="2">
        <f>C8/'Output-Calculation-sheet'!C7*'Output-Calculation-sheet'!C124</f>
        <v>26680571843.966919</v>
      </c>
      <c r="D151" s="2">
        <f>D8/'Output-Calculation-sheet'!D7*'Output-Calculation-sheet'!D124</f>
        <v>23779490447.422318</v>
      </c>
      <c r="E151" s="2">
        <f>E8/'Output-Calculation-sheet'!E7*'Output-Calculation-sheet'!E124</f>
        <v>18866634688.337204</v>
      </c>
      <c r="F151" s="2">
        <f>F8/'Output-Calculation-sheet'!F7*'Output-Calculation-sheet'!F124</f>
        <v>12145125454.007286</v>
      </c>
      <c r="G151" s="2">
        <f>G8/'Output-Calculation-sheet'!G7*'Output-Calculation-sheet'!G124</f>
        <v>8533518182.4831715</v>
      </c>
      <c r="H151" s="2">
        <f>H8/'Output-Calculation-sheet'!H7*'Output-Calculation-sheet'!H124</f>
        <v>8324129057.2740002</v>
      </c>
      <c r="I151" s="2">
        <f>I8/'Output-Calculation-sheet'!I7*'Output-Calculation-sheet'!I124</f>
        <v>7774688728.6354742</v>
      </c>
      <c r="J151" s="2">
        <f>J8/'Output-Calculation-sheet'!J7*'Output-Calculation-sheet'!J124</f>
        <v>7567322582.1861315</v>
      </c>
      <c r="K151" s="2">
        <f>K8/'Output-Calculation-sheet'!K7*'Output-Calculation-sheet'!K124</f>
        <v>7494786445.4709206</v>
      </c>
      <c r="L151" s="2">
        <f>L8/'Output-Calculation-sheet'!L7*'Output-Calculation-sheet'!L124</f>
        <v>6012429367.4262314</v>
      </c>
      <c r="M151" s="2">
        <f>M8/'Output-Calculation-sheet'!M7*'Output-Calculation-sheet'!M124</f>
        <v>5742918935.208828</v>
      </c>
      <c r="N151" s="2">
        <f>N8/'Output-Calculation-sheet'!N7*'Output-Calculation-sheet'!N124</f>
        <v>5636648528.5248632</v>
      </c>
      <c r="O151" s="2">
        <f>O8/'Output-Calculation-sheet'!O7*'Output-Calculation-sheet'!O124</f>
        <v>5184034836.5353355</v>
      </c>
      <c r="P151" s="2">
        <f>P8/'Output-Calculation-sheet'!P7*'Output-Calculation-sheet'!P124</f>
        <v>5131324674.5003805</v>
      </c>
      <c r="Q151" s="2">
        <f>Q8/'Output-Calculation-sheet'!Q7*'Output-Calculation-sheet'!Q124</f>
        <v>5048384776.0957918</v>
      </c>
      <c r="R151" s="2">
        <f>R8/'Output-Calculation-sheet'!R7*'Output-Calculation-sheet'!R124</f>
        <v>4856788217.6089563</v>
      </c>
      <c r="S151" s="2">
        <f>S8/'Output-Calculation-sheet'!S7*'Output-Calculation-sheet'!S124</f>
        <v>3228062627.0817361</v>
      </c>
      <c r="T151" s="2">
        <f>T8/'Output-Calculation-sheet'!T7*'Output-Calculation-sheet'!T124</f>
        <v>1785301350.9982357</v>
      </c>
      <c r="U151" s="2">
        <f>U8/'Output-Calculation-sheet'!U7*'Output-Calculation-sheet'!U124</f>
        <v>1554939228.8377728</v>
      </c>
      <c r="V151" s="2">
        <f>V8/'Output-Calculation-sheet'!V7*'Output-Calculation-sheet'!V124</f>
        <v>1197329124.8710303</v>
      </c>
      <c r="W151" s="2">
        <f>W8/'Output-Calculation-sheet'!W7*'Output-Calculation-sheet'!W124</f>
        <v>1036629820.9709338</v>
      </c>
      <c r="X151" s="2">
        <f>X8/'Output-Calculation-sheet'!X7*'Output-Calculation-sheet'!X124</f>
        <v>621974595.07133496</v>
      </c>
      <c r="Y151" s="2">
        <f>Y8/'Output-Calculation-sheet'!Y7*'Output-Calculation-sheet'!Y124</f>
        <v>604864437.8037008</v>
      </c>
      <c r="AA151" s="2">
        <f t="shared" si="13"/>
        <v>225424.35706706319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21340220738.783573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4146404399.666976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180303.68723318563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2706738093.2944913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117700.74729171982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1960191776.4272308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1188809559.5263045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760154365.58528125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366161849.46044999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53083.634033032788</v>
      </c>
    </row>
    <row r="155" spans="1:27" x14ac:dyDescent="0.25">
      <c r="A155" s="2">
        <v>2035</v>
      </c>
      <c r="B155" s="2">
        <f>B12/'Output-Calculation-sheet'!B11*'Output-Calculation-sheet'!B128</f>
        <v>451737638.5848425</v>
      </c>
      <c r="C155" s="2">
        <f>C12/'Output-Calculation-sheet'!C11*'Output-Calculation-sheet'!C128</f>
        <v>58056967.73402717</v>
      </c>
      <c r="D155" s="2">
        <f>D12/'Output-Calculation-sheet'!D11*'Output-Calculation-sheet'!D128</f>
        <v>4527186734.5206842</v>
      </c>
      <c r="E155" s="2">
        <f>E12/'Output-Calculation-sheet'!E11*'Output-Calculation-sheet'!E128</f>
        <v>843260797.30014455</v>
      </c>
      <c r="F155" s="2">
        <f>F12/'Output-Calculation-sheet'!F11*'Output-Calculation-sheet'!F128</f>
        <v>1305398131.0287788</v>
      </c>
      <c r="G155" s="2">
        <f>G12/'Output-Calculation-sheet'!G11*'Output-Calculation-sheet'!G128</f>
        <v>1165980299.5708685</v>
      </c>
      <c r="H155" s="2">
        <f>H12/'Output-Calculation-sheet'!H11*'Output-Calculation-sheet'!H128</f>
        <v>93455155.234448001</v>
      </c>
      <c r="I155" s="2">
        <f>I12/'Output-Calculation-sheet'!I11*'Output-Calculation-sheet'!I128</f>
        <v>1162695669.4694288</v>
      </c>
      <c r="J155" s="2">
        <f>J12/'Output-Calculation-sheet'!J11*'Output-Calculation-sheet'!J128</f>
        <v>1113284532.0452931</v>
      </c>
      <c r="K155" s="2">
        <f>K12/'Output-Calculation-sheet'!K11*'Output-Calculation-sheet'!K128</f>
        <v>1264195089.5942698</v>
      </c>
      <c r="L155" s="2">
        <f>L12/'Output-Calculation-sheet'!L11*'Output-Calculation-sheet'!L128</f>
        <v>914200617.63715601</v>
      </c>
      <c r="M155" s="2">
        <f>M12/'Output-Calculation-sheet'!M11*'Output-Calculation-sheet'!M128</f>
        <v>77942733.481342524</v>
      </c>
      <c r="N155" s="2">
        <f>N12/'Output-Calculation-sheet'!N11*'Output-Calculation-sheet'!N128</f>
        <v>78885810.105062321</v>
      </c>
      <c r="O155" s="2">
        <f>O12/'Output-Calculation-sheet'!O11*'Output-Calculation-sheet'!O128</f>
        <v>26124407.827025056</v>
      </c>
      <c r="P155" s="2">
        <f>P12/'Output-Calculation-sheet'!P11*'Output-Calculation-sheet'!P128</f>
        <v>88178028.176346943</v>
      </c>
      <c r="Q155" s="2">
        <f>Q12/'Output-Calculation-sheet'!Q11*'Output-Calculation-sheet'!Q128</f>
        <v>525534329.17771423</v>
      </c>
      <c r="R155" s="2">
        <f>R12/'Output-Calculation-sheet'!R11*'Output-Calculation-sheet'!R128</f>
        <v>587623039.68798912</v>
      </c>
      <c r="S155" s="2">
        <f>S12/'Output-Calculation-sheet'!S11*'Output-Calculation-sheet'!S128</f>
        <v>41195090.970773622</v>
      </c>
      <c r="T155" s="2">
        <f>T12/'Output-Calculation-sheet'!T11*'Output-Calculation-sheet'!T128</f>
        <v>138195735.99575597</v>
      </c>
      <c r="U155" s="2">
        <f>U12/'Output-Calculation-sheet'!U11*'Output-Calculation-sheet'!U128</f>
        <v>271973321.99589419</v>
      </c>
      <c r="V155" s="2">
        <f>V12/'Output-Calculation-sheet'!V11*'Output-Calculation-sheet'!V128</f>
        <v>67866374.867504746</v>
      </c>
      <c r="W155" s="2">
        <f>W12/'Output-Calculation-sheet'!W11*'Output-Calculation-sheet'!W128</f>
        <v>62985249.783340625</v>
      </c>
      <c r="X155" s="2">
        <f>X12/'Output-Calculation-sheet'!X11*'Output-Calculation-sheet'!X128</f>
        <v>2396761.2963982862</v>
      </c>
      <c r="Y155" s="2">
        <f>Y12/'Output-Calculation-sheet'!Y11*'Output-Calculation-sheet'!Y128</f>
        <v>18637427.560820054</v>
      </c>
      <c r="AA155" s="2">
        <f t="shared" si="13"/>
        <v>14886.989943645907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1283.3618646062007</v>
      </c>
      <c r="C19" s="2">
        <f>C8/'Output-Calculation-sheet'!C7*'Output-Calculation-sheet'!C25</f>
        <v>6038.1744506921323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1829.0356484293679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1270.520779341025</v>
      </c>
      <c r="N19" s="2">
        <f>N8/'Output-Calculation-sheet'!N7*'Output-Calculation-sheet'!N25</f>
        <v>1056.9231499219284</v>
      </c>
      <c r="O19" s="2">
        <f>O8/'Output-Calculation-sheet'!O7*'Output-Calculation-sheet'!O25</f>
        <v>663.33352063950485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488.79665578416751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137.50569068081137</v>
      </c>
      <c r="Y19" s="2">
        <f>Y8/'Output-Calculation-sheet'!Y7*'Output-Calculation-sheet'!Y25</f>
        <v>0</v>
      </c>
      <c r="AA19" s="2">
        <f t="shared" si="0"/>
        <v>12.767651760095136</v>
      </c>
    </row>
    <row r="20" spans="1:27" x14ac:dyDescent="0.25">
      <c r="A20" s="2">
        <v>2032</v>
      </c>
      <c r="B20" s="2">
        <f>B9/'Output-Calculation-sheet'!B8*'Output-Calculation-sheet'!B26</f>
        <v>6507.3378098620306</v>
      </c>
      <c r="C20" s="2">
        <f>C9/'Output-Calculation-sheet'!C8*'Output-Calculation-sheet'!C26</f>
        <v>3568.4651871213596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2142.1672717485681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1496.9612735160019</v>
      </c>
      <c r="N20" s="2">
        <f>N9/'Output-Calculation-sheet'!N8*'Output-Calculation-sheet'!N26</f>
        <v>1037.4349545170367</v>
      </c>
      <c r="O20" s="2">
        <f>O9/'Output-Calculation-sheet'!O8*'Output-Calculation-sheet'!O26</f>
        <v>697.21196638619926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492.11060210236775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162.89124957388282</v>
      </c>
      <c r="Y20" s="2">
        <f>Y9/'Output-Calculation-sheet'!Y8*'Output-Calculation-sheet'!Y26</f>
        <v>0</v>
      </c>
      <c r="AA20" s="2">
        <f t="shared" si="0"/>
        <v>16.104580314827448</v>
      </c>
    </row>
    <row r="21" spans="1:27" x14ac:dyDescent="0.25">
      <c r="A21" s="2">
        <v>2033</v>
      </c>
      <c r="B21" s="2">
        <f>B10/'Output-Calculation-sheet'!B9*'Output-Calculation-sheet'!B27</f>
        <v>6159.5781656747904</v>
      </c>
      <c r="C21" s="2">
        <f>C10/'Output-Calculation-sheet'!C9*'Output-Calculation-sheet'!C27</f>
        <v>3785.9374152538758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1241.3210163095678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878.61725540534349</v>
      </c>
      <c r="N21" s="2">
        <f>N10/'Output-Calculation-sheet'!N9*'Output-Calculation-sheet'!N27</f>
        <v>889.77331512691535</v>
      </c>
      <c r="O21" s="2">
        <f>O10/'Output-Calculation-sheet'!O9*'Output-Calculation-sheet'!O27</f>
        <v>741.20537814937552</v>
      </c>
      <c r="P21" s="2">
        <f>P10/'Output-Calculation-sheet'!P9*'Output-Calculation-sheet'!P27</f>
        <v>0</v>
      </c>
      <c r="Q21" s="2">
        <f>Q10/'Output-Calculation-sheet'!Q9*'Output-Calculation-sheet'!Q27</f>
        <v>10.174285328766469</v>
      </c>
      <c r="R21" s="2">
        <f>R10/'Output-Calculation-sheet'!R9*'Output-Calculation-sheet'!R27</f>
        <v>0</v>
      </c>
      <c r="S21" s="2">
        <f>S10/'Output-Calculation-sheet'!S9*'Output-Calculation-sheet'!S27</f>
        <v>423.6771093622238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87.733709008243295</v>
      </c>
      <c r="Y21" s="2">
        <f>Y10/'Output-Calculation-sheet'!Y9*'Output-Calculation-sheet'!Y27</f>
        <v>0</v>
      </c>
      <c r="AA21" s="2">
        <f t="shared" si="0"/>
        <v>14.218017649619103</v>
      </c>
    </row>
    <row r="22" spans="1:27" x14ac:dyDescent="0.25">
      <c r="A22" s="2">
        <v>2034</v>
      </c>
      <c r="B22" s="2">
        <f>B11/'Output-Calculation-sheet'!B10*'Output-Calculation-sheet'!B28</f>
        <v>5308.0908184911505</v>
      </c>
      <c r="C22" s="2">
        <f>C11/'Output-Calculation-sheet'!C10*'Output-Calculation-sheet'!C28</f>
        <v>534.74699202685019</v>
      </c>
      <c r="D22" s="2">
        <f>D11/'Output-Calculation-sheet'!D10*'Output-Calculation-sheet'!D28</f>
        <v>0</v>
      </c>
      <c r="E22" s="2">
        <f>E11/'Output-Calculation-sheet'!E10*'Output-Calculation-sheet'!E28</f>
        <v>1809.9078388895937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1408.0307256538044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1076.9333354317857</v>
      </c>
      <c r="M22" s="2">
        <f>M11/'Output-Calculation-sheet'!M10*'Output-Calculation-sheet'!M28</f>
        <v>1002.0901004817061</v>
      </c>
      <c r="N22" s="2">
        <f>N11/'Output-Calculation-sheet'!N10*'Output-Calculation-sheet'!N28</f>
        <v>669.90294927816626</v>
      </c>
      <c r="O22" s="2">
        <f>O11/'Output-Calculation-sheet'!O10*'Output-Calculation-sheet'!O28</f>
        <v>104.89186700226799</v>
      </c>
      <c r="P22" s="2">
        <f>P11/'Output-Calculation-sheet'!P10*'Output-Calculation-sheet'!P28</f>
        <v>0</v>
      </c>
      <c r="Q22" s="2">
        <f>Q11/'Output-Calculation-sheet'!Q10*'Output-Calculation-sheet'!Q28</f>
        <v>343.39729994158893</v>
      </c>
      <c r="R22" s="2">
        <f>R11/'Output-Calculation-sheet'!R10*'Output-Calculation-sheet'!R28</f>
        <v>0</v>
      </c>
      <c r="S22" s="2">
        <f>S11/'Output-Calculation-sheet'!S10*'Output-Calculation-sheet'!S28</f>
        <v>250.83291696789215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98.462329481045387</v>
      </c>
      <c r="Y22" s="2">
        <f>Y11/'Output-Calculation-sheet'!Y10*'Output-Calculation-sheet'!Y28</f>
        <v>40.136026547217632</v>
      </c>
      <c r="AA22" s="2">
        <f t="shared" si="0"/>
        <v>12.647423200193073</v>
      </c>
    </row>
    <row r="23" spans="1:27" x14ac:dyDescent="0.25">
      <c r="A23" s="2">
        <v>2035</v>
      </c>
      <c r="B23" s="2">
        <f>B12/'Output-Calculation-sheet'!B11*'Output-Calculation-sheet'!B29</f>
        <v>1173.9243958335051</v>
      </c>
      <c r="C23" s="2">
        <f>C12/'Output-Calculation-sheet'!C11*'Output-Calculation-sheet'!C29</f>
        <v>220.62244899034147</v>
      </c>
      <c r="D23" s="2">
        <f>D12/'Output-Calculation-sheet'!D11*'Output-Calculation-sheet'!D29</f>
        <v>0</v>
      </c>
      <c r="E23" s="2">
        <f>E12/'Output-Calculation-sheet'!E11*'Output-Calculation-sheet'!E29</f>
        <v>2972.3773323795263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357.87150433330095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1498.3830082490754</v>
      </c>
      <c r="M23" s="2">
        <f>M12/'Output-Calculation-sheet'!M11*'Output-Calculation-sheet'!M29</f>
        <v>300.06702892388546</v>
      </c>
      <c r="N23" s="2">
        <f>N12/'Output-Calculation-sheet'!N11*'Output-Calculation-sheet'!N29</f>
        <v>209.27252890608807</v>
      </c>
      <c r="O23" s="2">
        <f>O12/'Output-Calculation-sheet'!O11*'Output-Calculation-sheet'!O29</f>
        <v>24.177431746825356</v>
      </c>
      <c r="P23" s="2">
        <f>P12/'Output-Calculation-sheet'!P11*'Output-Calculation-sheet'!P29</f>
        <v>41.645069701382639</v>
      </c>
      <c r="Q23" s="2">
        <f>Q12/'Output-Calculation-sheet'!Q11*'Output-Calculation-sheet'!Q29</f>
        <v>583.91328705633055</v>
      </c>
      <c r="R23" s="2">
        <f>R12/'Output-Calculation-sheet'!R11*'Output-Calculation-sheet'!R29</f>
        <v>0</v>
      </c>
      <c r="S23" s="2">
        <f>S12/'Output-Calculation-sheet'!S11*'Output-Calculation-sheet'!S29</f>
        <v>124.32670348904327</v>
      </c>
      <c r="T23" s="2">
        <f>T12/'Output-Calculation-sheet'!T11*'Output-Calculation-sheet'!T29</f>
        <v>0</v>
      </c>
      <c r="U23" s="2">
        <f>U12/'Output-Calculation-sheet'!U11*'Output-Calculation-sheet'!U29</f>
        <v>135.54753608352866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10.876366642241788</v>
      </c>
      <c r="Y23" s="2">
        <f>Y12/'Output-Calculation-sheet'!Y11*'Output-Calculation-sheet'!Y29</f>
        <v>92.11259520089186</v>
      </c>
      <c r="AA23" s="2">
        <f t="shared" si="0"/>
        <v>7.7451172375359665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22370.280425315661</v>
      </c>
      <c r="C30" s="2">
        <f>C8/'Output-Calculation-sheet'!C7*'Output-Calculation-sheet'!C16</f>
        <v>0</v>
      </c>
      <c r="D30" s="2">
        <f>D8/'Output-Calculation-sheet'!D7*'Output-Calculation-sheet'!D16</f>
        <v>3766.8314154183772</v>
      </c>
      <c r="E30" s="2">
        <f>E8/'Output-Calculation-sheet'!E7*'Output-Calculation-sheet'!E16</f>
        <v>4052.9029926351218</v>
      </c>
      <c r="F30" s="2">
        <f>F8/'Output-Calculation-sheet'!F7*'Output-Calculation-sheet'!F16</f>
        <v>2044.7445397567731</v>
      </c>
      <c r="G30" s="2">
        <f>G8/'Output-Calculation-sheet'!G7*'Output-Calculation-sheet'!G16</f>
        <v>1339.0470075374349</v>
      </c>
      <c r="H30" s="2">
        <f>H8/'Output-Calculation-sheet'!H7*'Output-Calculation-sheet'!H16</f>
        <v>0</v>
      </c>
      <c r="I30" s="2">
        <f>I8/'Output-Calculation-sheet'!I7*'Output-Calculation-sheet'!I16</f>
        <v>1305.3862848275257</v>
      </c>
      <c r="J30" s="2">
        <f>J8/'Output-Calculation-sheet'!J7*'Output-Calculation-sheet'!J16</f>
        <v>1162.0287993851166</v>
      </c>
      <c r="K30" s="2">
        <f>K8/'Output-Calculation-sheet'!K7*'Output-Calculation-sheet'!K16</f>
        <v>1551.5319012450625</v>
      </c>
      <c r="L30" s="2">
        <f>L8/'Output-Calculation-sheet'!L7*'Output-Calculation-sheet'!L16</f>
        <v>1310.5409708464608</v>
      </c>
      <c r="M30" s="2">
        <f>M8/'Output-Calculation-sheet'!M7*'Output-Calculation-sheet'!M16</f>
        <v>0</v>
      </c>
      <c r="N30" s="2">
        <f>N8/'Output-Calculation-sheet'!N7*'Output-Calculation-sheet'!N16</f>
        <v>1204.8700337606238</v>
      </c>
      <c r="O30" s="2">
        <f>O8/'Output-Calculation-sheet'!O7*'Output-Calculation-sheet'!O16</f>
        <v>0</v>
      </c>
      <c r="P30" s="2">
        <f>P8/'Output-Calculation-sheet'!P7*'Output-Calculation-sheet'!P16</f>
        <v>1673.0751013418565</v>
      </c>
      <c r="Q30" s="2">
        <f>Q8/'Output-Calculation-sheet'!Q7*'Output-Calculation-sheet'!Q16</f>
        <v>1839.8386121418803</v>
      </c>
      <c r="R30" s="2">
        <f>R8/'Output-Calculation-sheet'!R7*'Output-Calculation-sheet'!R16</f>
        <v>1167.3841738356168</v>
      </c>
      <c r="S30" s="2">
        <f>S8/'Output-Calculation-sheet'!S7*'Output-Calculation-sheet'!S16</f>
        <v>1174.0478912965862</v>
      </c>
      <c r="T30" s="2">
        <f>T8/'Output-Calculation-sheet'!T7*'Output-Calculation-sheet'!T16</f>
        <v>350.42976993358434</v>
      </c>
      <c r="U30" s="2">
        <f>U8/'Output-Calculation-sheet'!U7*'Output-Calculation-sheet'!U16</f>
        <v>349.80498475800505</v>
      </c>
      <c r="V30" s="2">
        <f>V8/'Output-Calculation-sheet'!V7*'Output-Calculation-sheet'!V16</f>
        <v>272.24538806191623</v>
      </c>
      <c r="W30" s="2">
        <f>W8/'Output-Calculation-sheet'!W7*'Output-Calculation-sheet'!W16</f>
        <v>165.13259919377109</v>
      </c>
      <c r="X30" s="2">
        <f>X8/'Output-Calculation-sheet'!X7*'Output-Calculation-sheet'!X16</f>
        <v>0</v>
      </c>
      <c r="Y30" s="2">
        <f>Y8/'Output-Calculation-sheet'!Y7*'Output-Calculation-sheet'!Y16</f>
        <v>139.7634758997892</v>
      </c>
      <c r="AA30" s="2">
        <f t="shared" si="1"/>
        <v>47.239886367191147</v>
      </c>
    </row>
    <row r="31" spans="1:27" x14ac:dyDescent="0.25">
      <c r="A31" s="2">
        <v>2032</v>
      </c>
      <c r="B31" s="2">
        <f>B9/'Output-Calculation-sheet'!B8*'Output-Calculation-sheet'!B17</f>
        <v>27359.542757398802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1069.7869565569281</v>
      </c>
      <c r="O31" s="2">
        <f>O9/'Output-Calculation-sheet'!O8*'Output-Calculation-sheet'!O17</f>
        <v>0</v>
      </c>
      <c r="P31" s="2">
        <f>P9/'Output-Calculation-sheet'!P8*'Output-Calculation-sheet'!P17</f>
        <v>2673.7560195949068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885.42819243269059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62.683956219536881</v>
      </c>
    </row>
    <row r="32" spans="1:27" x14ac:dyDescent="0.25">
      <c r="A32" s="2">
        <v>2033</v>
      </c>
      <c r="B32" s="2">
        <f>B10/'Output-Calculation-sheet'!B9*'Output-Calculation-sheet'!B18</f>
        <v>22280.822720632597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3488.2061166256067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901.82056449273466</v>
      </c>
      <c r="O32" s="2">
        <f>O10/'Output-Calculation-sheet'!O9*'Output-Calculation-sheet'!O18</f>
        <v>0</v>
      </c>
      <c r="P32" s="2">
        <f>P10/'Output-Calculation-sheet'!P9*'Output-Calculation-sheet'!P18</f>
        <v>3590.1283297894529</v>
      </c>
      <c r="Q32" s="2">
        <f>Q10/'Output-Calculation-sheet'!Q9*'Output-Calculation-sheet'!Q18</f>
        <v>3324.3410652798689</v>
      </c>
      <c r="R32" s="2">
        <f>R10/'Output-Calculation-sheet'!R9*'Output-Calculation-sheet'!R18</f>
        <v>2578.0214857503897</v>
      </c>
      <c r="S32" s="2">
        <f>S10/'Output-Calculation-sheet'!S9*'Output-Calculation-sheet'!S18</f>
        <v>820.3901524438578</v>
      </c>
      <c r="T32" s="2">
        <f>T10/'Output-Calculation-sheet'!T9*'Output-Calculation-sheet'!T18</f>
        <v>752.71306007946771</v>
      </c>
      <c r="U32" s="2">
        <f>U10/'Output-Calculation-sheet'!U9*'Output-Calculation-sheet'!U18</f>
        <v>832.09942256584259</v>
      </c>
      <c r="V32" s="2">
        <f>V10/'Output-Calculation-sheet'!V9*'Output-Calculation-sheet'!V18</f>
        <v>614.14826599054368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355.6242230069841</v>
      </c>
      <c r="AA32" s="2">
        <f t="shared" si="1"/>
        <v>70.832738765182413</v>
      </c>
    </row>
    <row r="33" spans="1:27" x14ac:dyDescent="0.25">
      <c r="A33" s="2">
        <v>2034</v>
      </c>
      <c r="B33" s="2">
        <f>B11/'Output-Calculation-sheet'!B10*'Output-Calculation-sheet'!B19</f>
        <v>16020.548396832231</v>
      </c>
      <c r="C33" s="2">
        <f>C11/'Output-Calculation-sheet'!C10*'Output-Calculation-sheet'!C19</f>
        <v>0</v>
      </c>
      <c r="D33" s="2">
        <f>D11/'Output-Calculation-sheet'!D10*'Output-Calculation-sheet'!D19</f>
        <v>10657.513734524749</v>
      </c>
      <c r="E33" s="2">
        <f>E11/'Output-Calculation-sheet'!E10*'Output-Calculation-sheet'!E19</f>
        <v>13187.478345129859</v>
      </c>
      <c r="F33" s="2">
        <f>F11/'Output-Calculation-sheet'!F10*'Output-Calculation-sheet'!F19</f>
        <v>6048.9203491446369</v>
      </c>
      <c r="G33" s="2">
        <f>G11/'Output-Calculation-sheet'!G10*'Output-Calculation-sheet'!G19</f>
        <v>3627.541312395264</v>
      </c>
      <c r="H33" s="2">
        <f>H11/'Output-Calculation-sheet'!H10*'Output-Calculation-sheet'!H19</f>
        <v>0</v>
      </c>
      <c r="I33" s="2">
        <f>I11/'Output-Calculation-sheet'!I10*'Output-Calculation-sheet'!I19</f>
        <v>3958.6000038443517</v>
      </c>
      <c r="J33" s="2">
        <f>J11/'Output-Calculation-sheet'!J10*'Output-Calculation-sheet'!J19</f>
        <v>3347.1591616245114</v>
      </c>
      <c r="K33" s="2">
        <f>K11/'Output-Calculation-sheet'!K10*'Output-Calculation-sheet'!K19</f>
        <v>4642.6283107930785</v>
      </c>
      <c r="L33" s="2">
        <f>L11/'Output-Calculation-sheet'!L10*'Output-Calculation-sheet'!L19</f>
        <v>3776.1682522251012</v>
      </c>
      <c r="M33" s="2">
        <f>M11/'Output-Calculation-sheet'!M10*'Output-Calculation-sheet'!M19</f>
        <v>0</v>
      </c>
      <c r="N33" s="2">
        <f>N11/'Output-Calculation-sheet'!N10*'Output-Calculation-sheet'!N19</f>
        <v>716.811964500302</v>
      </c>
      <c r="O33" s="2">
        <f>O11/'Output-Calculation-sheet'!O10*'Output-Calculation-sheet'!O19</f>
        <v>0</v>
      </c>
      <c r="P33" s="2">
        <f>P11/'Output-Calculation-sheet'!P10*'Output-Calculation-sheet'!P19</f>
        <v>3548.3360193606322</v>
      </c>
      <c r="Q33" s="2">
        <f>Q11/'Output-Calculation-sheet'!Q10*'Output-Calculation-sheet'!Q19</f>
        <v>2261.9265576898047</v>
      </c>
      <c r="R33" s="2">
        <f>R11/'Output-Calculation-sheet'!R10*'Output-Calculation-sheet'!R19</f>
        <v>3353.8563374930945</v>
      </c>
      <c r="S33" s="2">
        <f>S11/'Output-Calculation-sheet'!S10*'Output-Calculation-sheet'!S19</f>
        <v>455.67668882721478</v>
      </c>
      <c r="T33" s="2">
        <f>T11/'Output-Calculation-sheet'!T10*'Output-Calculation-sheet'!T19</f>
        <v>984.01433333376917</v>
      </c>
      <c r="U33" s="2">
        <f>U11/'Output-Calculation-sheet'!U10*'Output-Calculation-sheet'!U19</f>
        <v>1131.8259731036687</v>
      </c>
      <c r="V33" s="2">
        <f>V11/'Output-Calculation-sheet'!V10*'Output-Calculation-sheet'!V19</f>
        <v>771.86150370613575</v>
      </c>
      <c r="W33" s="2">
        <f>W11/'Output-Calculation-sheet'!W10*'Output-Calculation-sheet'!W19</f>
        <v>480.5258871102771</v>
      </c>
      <c r="X33" s="2">
        <f>X11/'Output-Calculation-sheet'!X10*'Output-Calculation-sheet'!X19</f>
        <v>0</v>
      </c>
      <c r="Y33" s="2">
        <f>Y11/'Output-Calculation-sheet'!Y10*'Output-Calculation-sheet'!Y19</f>
        <v>393.47086026794602</v>
      </c>
      <c r="AA33" s="2">
        <f t="shared" si="1"/>
        <v>79.364863991906617</v>
      </c>
    </row>
    <row r="34" spans="1:27" x14ac:dyDescent="0.25">
      <c r="A34" s="2">
        <v>2035</v>
      </c>
      <c r="B34" s="2">
        <f>B12/'Output-Calculation-sheet'!B11*'Output-Calculation-sheet'!B20</f>
        <v>239.94523215270786</v>
      </c>
      <c r="C34" s="2">
        <f>C12/'Output-Calculation-sheet'!C11*'Output-Calculation-sheet'!C20</f>
        <v>0</v>
      </c>
      <c r="D34" s="2">
        <f>D12/'Output-Calculation-sheet'!D11*'Output-Calculation-sheet'!D20</f>
        <v>10687.075026267086</v>
      </c>
      <c r="E34" s="2">
        <f>E12/'Output-Calculation-sheet'!E11*'Output-Calculation-sheet'!E20</f>
        <v>6307.8644899818228</v>
      </c>
      <c r="F34" s="2">
        <f>F12/'Output-Calculation-sheet'!F11*'Output-Calculation-sheet'!F20</f>
        <v>7299.1456681241898</v>
      </c>
      <c r="G34" s="2">
        <f>G12/'Output-Calculation-sheet'!G11*'Output-Calculation-sheet'!G20</f>
        <v>3936.2441982149739</v>
      </c>
      <c r="H34" s="2">
        <f>H12/'Output-Calculation-sheet'!H11*'Output-Calculation-sheet'!H20</f>
        <v>0</v>
      </c>
      <c r="I34" s="2">
        <f>I12/'Output-Calculation-sheet'!I11*'Output-Calculation-sheet'!I20</f>
        <v>4285.3690700356883</v>
      </c>
      <c r="J34" s="2">
        <f>J12/'Output-Calculation-sheet'!J11*'Output-Calculation-sheet'!J20</f>
        <v>3672.7997225942804</v>
      </c>
      <c r="K34" s="2">
        <f>K12/'Output-Calculation-sheet'!K11*'Output-Calculation-sheet'!K20</f>
        <v>4828.9051246894787</v>
      </c>
      <c r="L34" s="2">
        <f>L12/'Output-Calculation-sheet'!L11*'Output-Calculation-sheet'!L20</f>
        <v>3815.1360797537723</v>
      </c>
      <c r="M34" s="2">
        <f>M12/'Output-Calculation-sheet'!M11*'Output-Calculation-sheet'!M20</f>
        <v>0</v>
      </c>
      <c r="N34" s="2">
        <f>N12/'Output-Calculation-sheet'!N11*'Output-Calculation-sheet'!N20</f>
        <v>0.73610190592647662</v>
      </c>
      <c r="O34" s="2">
        <f>O12/'Output-Calculation-sheet'!O11*'Output-Calculation-sheet'!O20</f>
        <v>0</v>
      </c>
      <c r="P34" s="2">
        <f>P12/'Output-Calculation-sheet'!P11*'Output-Calculation-sheet'!P20</f>
        <v>1201.9631377643598</v>
      </c>
      <c r="Q34" s="2">
        <f>Q12/'Output-Calculation-sheet'!Q11*'Output-Calculation-sheet'!Q20</f>
        <v>1871.4902012602467</v>
      </c>
      <c r="R34" s="2">
        <f>R12/'Output-Calculation-sheet'!R11*'Output-Calculation-sheet'!R20</f>
        <v>3791.9857149257791</v>
      </c>
      <c r="S34" s="2">
        <f>S12/'Output-Calculation-sheet'!S11*'Output-Calculation-sheet'!S20</f>
        <v>7.8105961171576164</v>
      </c>
      <c r="T34" s="2">
        <f>T12/'Output-Calculation-sheet'!T11*'Output-Calculation-sheet'!T20</f>
        <v>1184.9798644196817</v>
      </c>
      <c r="U34" s="2">
        <f>U12/'Output-Calculation-sheet'!U11*'Output-Calculation-sheet'!U20</f>
        <v>1083.3591400631649</v>
      </c>
      <c r="V34" s="2">
        <f>V12/'Output-Calculation-sheet'!V11*'Output-Calculation-sheet'!V20</f>
        <v>992.49787413708623</v>
      </c>
      <c r="W34" s="2">
        <f>W12/'Output-Calculation-sheet'!W11*'Output-Calculation-sheet'!W20</f>
        <v>641.23961789183591</v>
      </c>
      <c r="X34" s="2">
        <f>X12/'Output-Calculation-sheet'!X11*'Output-Calculation-sheet'!X20</f>
        <v>0</v>
      </c>
      <c r="Y34" s="2">
        <f>Y12/'Output-Calculation-sheet'!Y11*'Output-Calculation-sheet'!Y20</f>
        <v>159.64609310966381</v>
      </c>
      <c r="AA34" s="2">
        <f t="shared" si="1"/>
        <v>56.008192953408916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0.15933917670768738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0.15972162086969471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2.32800471873802E-2</v>
      </c>
      <c r="I45" s="2">
        <f>I12/'Output-Calculation-sheet'!I11*'Output-Calculation-sheet'!I38*0.0114</f>
        <v>8.6459082449572483E-2</v>
      </c>
      <c r="J45" s="2">
        <f>J12/'Output-Calculation-sheet'!J11*'Output-Calculation-sheet'!J38*0.0114</f>
        <v>6.4174388800560561E-2</v>
      </c>
      <c r="K45" s="2">
        <f>K12/'Output-Calculation-sheet'!K11*'Output-Calculation-sheet'!K38*0.0114</f>
        <v>0.1062193946955443</v>
      </c>
      <c r="L45" s="2">
        <f>L12/'Output-Calculation-sheet'!L11*'Output-Calculation-sheet'!L38*0.0114</f>
        <v>6.75686182596128E-2</v>
      </c>
      <c r="M45" s="2">
        <f>M12/'Output-Calculation-sheet'!M11*'Output-Calculation-sheet'!M38*0.0114</f>
        <v>1.6018938068005781E-2</v>
      </c>
      <c r="N45" s="2">
        <f>N12/'Output-Calculation-sheet'!N11*'Output-Calculation-sheet'!N38*0.0114</f>
        <v>1.5744018250585055E-2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1.4544707410795077E-2</v>
      </c>
      <c r="Q45" s="2">
        <f>Q12/'Output-Calculation-sheet'!Q11*'Output-Calculation-sheet'!Q38*0.0114</f>
        <v>0.11035336394643094</v>
      </c>
      <c r="R45" s="2">
        <f>R12/'Output-Calculation-sheet'!R11*'Output-Calculation-sheet'!R38*0.0114</f>
        <v>5.4718079592005038E-2</v>
      </c>
      <c r="S45" s="2">
        <f>S12/'Output-Calculation-sheet'!S11*'Output-Calculation-sheet'!S38*0.0114</f>
        <v>9.0250147714977524E-3</v>
      </c>
      <c r="T45" s="2">
        <f>T12/'Output-Calculation-sheet'!T11*'Output-Calculation-sheet'!T38*0.0114</f>
        <v>1.5182721128813536E-2</v>
      </c>
      <c r="U45" s="2">
        <f>U12/'Output-Calculation-sheet'!U11*'Output-Calculation-sheet'!U38*0.0114</f>
        <v>2.2005848956021205E-2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5.0875156745516913E-3</v>
      </c>
      <c r="AA45" s="2">
        <f t="shared" si="2"/>
        <v>1.4982738252317267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0.17444330140562822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228.56977409095182</v>
      </c>
      <c r="R54" s="2">
        <f>R10/'Output-Calculation-sheet'!R9*'Output-Calculation-sheet'!R45</f>
        <v>1711.0679779029235</v>
      </c>
      <c r="S54" s="2">
        <f>S10/'Output-Calculation-sheet'!S9*'Output-Calculation-sheet'!S45</f>
        <v>0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21.327248004043057</v>
      </c>
      <c r="AA54" s="2">
        <f t="shared" si="3"/>
        <v>5.6303092926251503</v>
      </c>
    </row>
    <row r="55" spans="1:27" x14ac:dyDescent="0.25">
      <c r="A55" s="2">
        <v>2034</v>
      </c>
      <c r="B55" s="2">
        <f>B11/'Output-Calculation-sheet'!B10*'Output-Calculation-sheet'!B46</f>
        <v>2094.169258094114</v>
      </c>
      <c r="C55" s="2">
        <f>C11/'Output-Calculation-sheet'!C10*'Output-Calculation-sheet'!C46</f>
        <v>0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713.92049981867217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4398.4077886156292</v>
      </c>
      <c r="L55" s="2">
        <f>L11/'Output-Calculation-sheet'!L10*'Output-Calculation-sheet'!L46</f>
        <v>1626.5997119926728</v>
      </c>
      <c r="M55" s="2">
        <f>M11/'Output-Calculation-sheet'!M10*'Output-Calculation-sheet'!M46</f>
        <v>529.14296262490609</v>
      </c>
      <c r="N55" s="2">
        <f>N11/'Output-Calculation-sheet'!N10*'Output-Calculation-sheet'!N46</f>
        <v>180.71110113512111</v>
      </c>
      <c r="O55" s="2">
        <f>O11/'Output-Calculation-sheet'!O10*'Output-Calculation-sheet'!O46</f>
        <v>0</v>
      </c>
      <c r="P55" s="2">
        <f>P11/'Output-Calculation-sheet'!P10*'Output-Calculation-sheet'!P46</f>
        <v>3930.2240654447323</v>
      </c>
      <c r="Q55" s="2">
        <f>Q11/'Output-Calculation-sheet'!Q10*'Output-Calculation-sheet'!Q46</f>
        <v>842.41544292497747</v>
      </c>
      <c r="R55" s="2">
        <f>R11/'Output-Calculation-sheet'!R10*'Output-Calculation-sheet'!R46</f>
        <v>4872.2476795307775</v>
      </c>
      <c r="S55" s="2">
        <f>S11/'Output-Calculation-sheet'!S10*'Output-Calculation-sheet'!S46</f>
        <v>0</v>
      </c>
      <c r="T55" s="2">
        <f>T11/'Output-Calculation-sheet'!T10*'Output-Calculation-sheet'!T46</f>
        <v>1103.2569918648753</v>
      </c>
      <c r="U55" s="2">
        <f>U11/'Output-Calculation-sheet'!U10*'Output-Calculation-sheet'!U46</f>
        <v>1849.8469330977084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50.50337240671314</v>
      </c>
      <c r="Y55" s="2">
        <f>Y11/'Output-Calculation-sheet'!Y10*'Output-Calculation-sheet'!Y46</f>
        <v>351.26099711466685</v>
      </c>
      <c r="AA55" s="2">
        <f t="shared" si="3"/>
        <v>52.58217131204691</v>
      </c>
    </row>
    <row r="56" spans="1:27" x14ac:dyDescent="0.25">
      <c r="A56" s="2">
        <v>2035</v>
      </c>
      <c r="B56" s="2">
        <f>B12/'Output-Calculation-sheet'!B11*'Output-Calculation-sheet'!B47</f>
        <v>573.06195131712127</v>
      </c>
      <c r="C56" s="2">
        <f>C12/'Output-Calculation-sheet'!C11*'Output-Calculation-sheet'!C47</f>
        <v>451.10282140130562</v>
      </c>
      <c r="D56" s="2">
        <f>D12/'Output-Calculation-sheet'!D11*'Output-Calculation-sheet'!D47</f>
        <v>10424.838048854388</v>
      </c>
      <c r="E56" s="2">
        <f>E12/'Output-Calculation-sheet'!E11*'Output-Calculation-sheet'!E47</f>
        <v>12698.335881423973</v>
      </c>
      <c r="F56" s="2">
        <f>F12/'Output-Calculation-sheet'!F11*'Output-Calculation-sheet'!F47</f>
        <v>3310.2794688735753</v>
      </c>
      <c r="G56" s="2">
        <f>G12/'Output-Calculation-sheet'!G11*'Output-Calculation-sheet'!G47</f>
        <v>8170.6802824019423</v>
      </c>
      <c r="H56" s="2">
        <f>H12/'Output-Calculation-sheet'!H11*'Output-Calculation-sheet'!H47</f>
        <v>169.49508039934707</v>
      </c>
      <c r="I56" s="2">
        <f>I12/'Output-Calculation-sheet'!I11*'Output-Calculation-sheet'!I47</f>
        <v>4080.2619612166659</v>
      </c>
      <c r="J56" s="2">
        <f>J12/'Output-Calculation-sheet'!J11*'Output-Calculation-sheet'!J47</f>
        <v>3724.741572196278</v>
      </c>
      <c r="K56" s="2">
        <f>K12/'Output-Calculation-sheet'!K11*'Output-Calculation-sheet'!K47</f>
        <v>5309.1062366246615</v>
      </c>
      <c r="L56" s="2">
        <f>L12/'Output-Calculation-sheet'!L11*'Output-Calculation-sheet'!L47</f>
        <v>2950.1999770809011</v>
      </c>
      <c r="M56" s="2">
        <f>M12/'Output-Calculation-sheet'!M11*'Output-Calculation-sheet'!M47</f>
        <v>118.03428050109522</v>
      </c>
      <c r="N56" s="2">
        <f>N12/'Output-Calculation-sheet'!N11*'Output-Calculation-sheet'!N47</f>
        <v>109.1032843680894</v>
      </c>
      <c r="O56" s="2">
        <f>O12/'Output-Calculation-sheet'!O11*'Output-Calculation-sheet'!O47</f>
        <v>15.465308153619631</v>
      </c>
      <c r="P56" s="2">
        <f>P12/'Output-Calculation-sheet'!P11*'Output-Calculation-sheet'!P47</f>
        <v>1562.9181208968394</v>
      </c>
      <c r="Q56" s="2">
        <f>Q12/'Output-Calculation-sheet'!Q11*'Output-Calculation-sheet'!Q47</f>
        <v>1391.5171988859165</v>
      </c>
      <c r="R56" s="2">
        <f>R12/'Output-Calculation-sheet'!R11*'Output-Calculation-sheet'!R47</f>
        <v>6288.9792794232098</v>
      </c>
      <c r="S56" s="2">
        <f>S12/'Output-Calculation-sheet'!S11*'Output-Calculation-sheet'!S47</f>
        <v>49.875081631961265</v>
      </c>
      <c r="T56" s="2">
        <f>T12/'Output-Calculation-sheet'!T11*'Output-Calculation-sheet'!T47</f>
        <v>2216.5884969639178</v>
      </c>
      <c r="U56" s="2">
        <f>U12/'Output-Calculation-sheet'!U11*'Output-Calculation-sheet'!U47</f>
        <v>2115.2639724568453</v>
      </c>
      <c r="V56" s="2">
        <f>V12/'Output-Calculation-sheet'!V11*'Output-Calculation-sheet'!V47</f>
        <v>1476.5512717000374</v>
      </c>
      <c r="W56" s="2">
        <f>W12/'Output-Calculation-sheet'!W11*'Output-Calculation-sheet'!W47</f>
        <v>858.66760971293525</v>
      </c>
      <c r="X56" s="2">
        <f>X12/'Output-Calculation-sheet'!X11*'Output-Calculation-sheet'!X47</f>
        <v>13.256906206794417</v>
      </c>
      <c r="Y56" s="2">
        <f>Y12/'Output-Calculation-sheet'!Y11*'Output-Calculation-sheet'!Y47</f>
        <v>343.33292914810829</v>
      </c>
      <c r="AA56" s="2">
        <f t="shared" si="3"/>
        <v>68.421657021839508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8.504403358259145</v>
      </c>
      <c r="C63" s="2">
        <f>C8*'Output-Calculation-sheet'!C52/10^9</f>
        <v>4.0071460675060155</v>
      </c>
      <c r="D63" s="2">
        <f>D8*'Output-Calculation-sheet'!D52/10^9</f>
        <v>1.9912265311832407</v>
      </c>
      <c r="E63" s="2">
        <f>E8*'Output-Calculation-sheet'!E52/10^9</f>
        <v>2.278050923249364</v>
      </c>
      <c r="F63" s="2">
        <f>F8*'Output-Calculation-sheet'!F52/10^9</f>
        <v>1.0648424595542538</v>
      </c>
      <c r="G63" s="2">
        <f>G8*'Output-Calculation-sheet'!G52/10^9</f>
        <v>0.81222528373948</v>
      </c>
      <c r="H63" s="2">
        <f>H8*'Output-Calculation-sheet'!H52/10^9</f>
        <v>1.1052281159735926</v>
      </c>
      <c r="I63" s="2">
        <f>I8*'Output-Calculation-sheet'!I52/10^9</f>
        <v>0.64160400065046463</v>
      </c>
      <c r="J63" s="2">
        <f>J8*'Output-Calculation-sheet'!J52/10^9</f>
        <v>0.90701492213266321</v>
      </c>
      <c r="K63" s="2">
        <f>K8*'Output-Calculation-sheet'!K52/10^9</f>
        <v>0.59541076049917085</v>
      </c>
      <c r="L63" s="2">
        <f>L8*'Output-Calculation-sheet'!L52/10^9</f>
        <v>0.70494194328703497</v>
      </c>
      <c r="M63" s="2">
        <f>M8*'Output-Calculation-sheet'!M52/10^9</f>
        <v>0.81164512113370202</v>
      </c>
      <c r="N63" s="2">
        <f>N8*'Output-Calculation-sheet'!N52/10^9</f>
        <v>0.70186450446818571</v>
      </c>
      <c r="O63" s="2">
        <f>O8*'Output-Calculation-sheet'!O52/10^9</f>
        <v>0.71761403789395062</v>
      </c>
      <c r="P63" s="2">
        <f>P8*'Output-Calculation-sheet'!P52/10^9</f>
        <v>0.60554300106594894</v>
      </c>
      <c r="Q63" s="2">
        <f>Q8*'Output-Calculation-sheet'!Q52/10^9</f>
        <v>0.56483988611201696</v>
      </c>
      <c r="R63" s="2">
        <f>R8*'Output-Calculation-sheet'!R52/10^9</f>
        <v>0.51161303955550286</v>
      </c>
      <c r="S63" s="2">
        <f>S8*'Output-Calculation-sheet'!S52/10^9</f>
        <v>0.4340846348843781</v>
      </c>
      <c r="T63" s="2">
        <f>T8*'Output-Calculation-sheet'!T52/10^9</f>
        <v>0.20779707576181294</v>
      </c>
      <c r="U63" s="2">
        <f>U8*'Output-Calculation-sheet'!U52/10^9</f>
        <v>0.16205048411443335</v>
      </c>
      <c r="V63" s="2">
        <f>V8*'Output-Calculation-sheet'!V52/10^9</f>
        <v>0.26830726261360582</v>
      </c>
      <c r="W63" s="2">
        <f>W8*'Output-Calculation-sheet'!W52/10^9</f>
        <v>0.11259391937044017</v>
      </c>
      <c r="X63" s="2">
        <f>X8*'Output-Calculation-sheet'!X52/10^9</f>
        <v>0.10553833467048171</v>
      </c>
      <c r="Y63" s="2">
        <f>Y8*'Output-Calculation-sheet'!Y52/10^9</f>
        <v>6.5018802966902503E-2</v>
      </c>
      <c r="AA63" s="2">
        <f t="shared" si="4"/>
        <v>27.880604470645793</v>
      </c>
    </row>
    <row r="64" spans="1:27" x14ac:dyDescent="0.25">
      <c r="A64" s="2">
        <v>2032</v>
      </c>
      <c r="B64" s="2">
        <f>B9*'Output-Calculation-sheet'!B53/10^9</f>
        <v>9.1546635889577974</v>
      </c>
      <c r="C64" s="2">
        <f>C9*'Output-Calculation-sheet'!C53/10^9</f>
        <v>4.4006641551288768</v>
      </c>
      <c r="D64" s="2">
        <f>D9*'Output-Calculation-sheet'!D53/10^9</f>
        <v>1.9238516126393019</v>
      </c>
      <c r="E64" s="2">
        <f>E9*'Output-Calculation-sheet'!E53/10^9</f>
        <v>2.2463217469142509</v>
      </c>
      <c r="F64" s="2">
        <f>F9*'Output-Calculation-sheet'!F53/10^9</f>
        <v>1.03079914483028</v>
      </c>
      <c r="G64" s="2">
        <f>G9*'Output-Calculation-sheet'!G53/10^9</f>
        <v>0.77181977802589308</v>
      </c>
      <c r="H64" s="2">
        <f>H9*'Output-Calculation-sheet'!H53/10^9</f>
        <v>1.2441592496911462</v>
      </c>
      <c r="I64" s="2">
        <f>I9*'Output-Calculation-sheet'!I53/10^9</f>
        <v>0.62589289780086432</v>
      </c>
      <c r="J64" s="2">
        <f>J9*'Output-Calculation-sheet'!J53/10^9</f>
        <v>0.84008176786916</v>
      </c>
      <c r="K64" s="2">
        <f>K9*'Output-Calculation-sheet'!K53/10^9</f>
        <v>0.62016828556520442</v>
      </c>
      <c r="L64" s="2">
        <f>L9*'Output-Calculation-sheet'!L53/10^9</f>
        <v>0.69624499989452959</v>
      </c>
      <c r="M64" s="2">
        <f>M9*'Output-Calculation-sheet'!M53/10^9</f>
        <v>0.9001177135818017</v>
      </c>
      <c r="N64" s="2">
        <f>N9*'Output-Calculation-sheet'!N53/10^9</f>
        <v>0.80430809639198975</v>
      </c>
      <c r="O64" s="2">
        <f>O9*'Output-Calculation-sheet'!O53/10^9</f>
        <v>0.80393599253163361</v>
      </c>
      <c r="P64" s="2">
        <f>P9*'Output-Calculation-sheet'!P53/10^9</f>
        <v>0.66175565613356735</v>
      </c>
      <c r="Q64" s="2">
        <f>Q9*'Output-Calculation-sheet'!Q53/10^9</f>
        <v>0.62769156241400259</v>
      </c>
      <c r="R64" s="2">
        <f>R9*'Output-Calculation-sheet'!R53/10^9</f>
        <v>0.53398929706206066</v>
      </c>
      <c r="S64" s="2">
        <f>S9*'Output-Calculation-sheet'!S53/10^9</f>
        <v>0.4868374498644929</v>
      </c>
      <c r="T64" s="2">
        <f>T9*'Output-Calculation-sheet'!T53/10^9</f>
        <v>0.19961532802984461</v>
      </c>
      <c r="U64" s="2">
        <f>U9*'Output-Calculation-sheet'!U53/10^9</f>
        <v>0.17007119846598998</v>
      </c>
      <c r="V64" s="2">
        <f>V9*'Output-Calculation-sheet'!V53/10^9</f>
        <v>0.24787272153649167</v>
      </c>
      <c r="W64" s="2">
        <f>W9*'Output-Calculation-sheet'!W53/10^9</f>
        <v>0.1056516072979857</v>
      </c>
      <c r="X64" s="2">
        <f>X9*'Output-Calculation-sheet'!X53/10^9</f>
        <v>0.11300618229233308</v>
      </c>
      <c r="Y64" s="2">
        <f>Y9*'Output-Calculation-sheet'!Y53/10^9</f>
        <v>6.7200335939775369E-2</v>
      </c>
      <c r="AA64" s="2">
        <f t="shared" si="4"/>
        <v>29.276720368859277</v>
      </c>
    </row>
    <row r="65" spans="1:27" x14ac:dyDescent="0.25">
      <c r="A65" s="2">
        <v>2033</v>
      </c>
      <c r="B65" s="2">
        <f>B10*'Output-Calculation-sheet'!B54/10^9</f>
        <v>9.5489322572691506</v>
      </c>
      <c r="C65" s="2">
        <f>C10*'Output-Calculation-sheet'!C54/10^9</f>
        <v>4.6116198679130704</v>
      </c>
      <c r="D65" s="2">
        <f>D10*'Output-Calculation-sheet'!D54/10^9</f>
        <v>1.7489491985677046</v>
      </c>
      <c r="E65" s="2">
        <f>E10*'Output-Calculation-sheet'!E54/10^9</f>
        <v>2.2273099568673298</v>
      </c>
      <c r="F65" s="2">
        <f>F10*'Output-Calculation-sheet'!F54/10^9</f>
        <v>0.95709321518872281</v>
      </c>
      <c r="G65" s="2">
        <f>G10*'Output-Calculation-sheet'!G54/10^9</f>
        <v>0.6814040142479203</v>
      </c>
      <c r="H65" s="2">
        <f>H10*'Output-Calculation-sheet'!H54/10^9</f>
        <v>1.3505982029307533</v>
      </c>
      <c r="I65" s="2">
        <f>I10*'Output-Calculation-sheet'!I54/10^9</f>
        <v>0.59744909321198447</v>
      </c>
      <c r="J65" s="2">
        <f>J10*'Output-Calculation-sheet'!J54/10^9</f>
        <v>0.70687626645440294</v>
      </c>
      <c r="K65" s="2">
        <f>K10*'Output-Calculation-sheet'!K54/10^9</f>
        <v>0.66150680822949348</v>
      </c>
      <c r="L65" s="2">
        <f>L10*'Output-Calculation-sheet'!L54/10^9</f>
        <v>0.68218331390740594</v>
      </c>
      <c r="M65" s="2">
        <f>M10*'Output-Calculation-sheet'!M54/10^9</f>
        <v>0.96111253536948549</v>
      </c>
      <c r="N65" s="2">
        <f>N10*'Output-Calculation-sheet'!N54/10^9</f>
        <v>0.88167868183119813</v>
      </c>
      <c r="O65" s="2">
        <f>O10*'Output-Calculation-sheet'!O54/10^9</f>
        <v>0.86115405948856183</v>
      </c>
      <c r="P65" s="2">
        <f>P10*'Output-Calculation-sheet'!P54/10^9</f>
        <v>0.71561392442921468</v>
      </c>
      <c r="Q65" s="2">
        <f>Q10*'Output-Calculation-sheet'!Q54/10^9</f>
        <v>0.70469864583839725</v>
      </c>
      <c r="R65" s="2">
        <f>R10*'Output-Calculation-sheet'!R54/10^9</f>
        <v>0.55981324745386973</v>
      </c>
      <c r="S65" s="2">
        <f>S10*'Output-Calculation-sheet'!S54/10^9</f>
        <v>0.52249641881550013</v>
      </c>
      <c r="T65" s="2">
        <f>T10*'Output-Calculation-sheet'!T54/10^9</f>
        <v>0.18957887298700501</v>
      </c>
      <c r="U65" s="2">
        <f>U10*'Output-Calculation-sheet'!U54/10^9</f>
        <v>0.18207628734776507</v>
      </c>
      <c r="V65" s="2">
        <f>V10*'Output-Calculation-sheet'!V54/10^9</f>
        <v>0.2145328688050287</v>
      </c>
      <c r="W65" s="2">
        <f>W10*'Output-Calculation-sheet'!W54/10^9</f>
        <v>9.1685364280463658E-2</v>
      </c>
      <c r="X65" s="2">
        <f>X10*'Output-Calculation-sheet'!X54/10^9</f>
        <v>0.11481475192824489</v>
      </c>
      <c r="Y65" s="2">
        <f>Y10*'Output-Calculation-sheet'!Y54/10^9</f>
        <v>7.1130980507856267E-2</v>
      </c>
      <c r="AA65" s="2">
        <f t="shared" si="4"/>
        <v>29.844308833870535</v>
      </c>
    </row>
    <row r="66" spans="1:27" x14ac:dyDescent="0.25">
      <c r="A66" s="2">
        <v>2034</v>
      </c>
      <c r="B66" s="2">
        <f>B11*'Output-Calculation-sheet'!B55/10^9</f>
        <v>9.6769377572162121</v>
      </c>
      <c r="C66" s="2">
        <f>C11*'Output-Calculation-sheet'!C55/10^9</f>
        <v>4.6997341399693573</v>
      </c>
      <c r="D66" s="2">
        <f>D11*'Output-Calculation-sheet'!D55/10^9</f>
        <v>1.889833895162268</v>
      </c>
      <c r="E66" s="2">
        <f>E11*'Output-Calculation-sheet'!E55/10^9</f>
        <v>2.447711891996895</v>
      </c>
      <c r="F66" s="2">
        <f>F11*'Output-Calculation-sheet'!F55/10^9</f>
        <v>0.96336345983124527</v>
      </c>
      <c r="G66" s="2">
        <f>G11*'Output-Calculation-sheet'!G55/10^9</f>
        <v>0.7027311385675814</v>
      </c>
      <c r="H66" s="2">
        <f>H11*'Output-Calculation-sheet'!H55/10^9</f>
        <v>1.4127495760899327</v>
      </c>
      <c r="I66" s="2">
        <f>I11*'Output-Calculation-sheet'!I55/10^9</f>
        <v>0.65327230605355613</v>
      </c>
      <c r="J66" s="2">
        <f>J11*'Output-Calculation-sheet'!J55/10^9</f>
        <v>0.65771867555701158</v>
      </c>
      <c r="K66" s="2">
        <f>K11*'Output-Calculation-sheet'!K55/10^9</f>
        <v>0.74891975287888457</v>
      </c>
      <c r="L66" s="2">
        <f>L11*'Output-Calculation-sheet'!L55/10^9</f>
        <v>0.72605296747128911</v>
      </c>
      <c r="M66" s="2">
        <f>M11*'Output-Calculation-sheet'!M55/10^9</f>
        <v>0.99051308808557714</v>
      </c>
      <c r="N66" s="2">
        <f>N11*'Output-Calculation-sheet'!N55/10^9</f>
        <v>0.93891907620288995</v>
      </c>
      <c r="O66" s="2">
        <f>O11*'Output-Calculation-sheet'!O55/10^9</f>
        <v>0.89317314988297614</v>
      </c>
      <c r="P66" s="2">
        <f>P11*'Output-Calculation-sheet'!P55/10^9</f>
        <v>0.77634189594999015</v>
      </c>
      <c r="Q66" s="2">
        <f>Q11*'Output-Calculation-sheet'!Q55/10^9</f>
        <v>0.78171824973023918</v>
      </c>
      <c r="R66" s="2">
        <f>R11*'Output-Calculation-sheet'!R55/10^9</f>
        <v>0.5961627396660798</v>
      </c>
      <c r="S66" s="2">
        <f>S11*'Output-Calculation-sheet'!S55/10^9</f>
        <v>0.54529996075951681</v>
      </c>
      <c r="T66" s="2">
        <f>T11*'Output-Calculation-sheet'!T55/10^9</f>
        <v>0.18679768815092099</v>
      </c>
      <c r="U66" s="2">
        <f>U11*'Output-Calculation-sheet'!U55/10^9</f>
        <v>0.20330151801575649</v>
      </c>
      <c r="V66" s="2">
        <f>V11*'Output-Calculation-sheet'!V55/10^9</f>
        <v>0.17652856032972911</v>
      </c>
      <c r="W66" s="2">
        <f>W11*'Output-Calculation-sheet'!W55/10^9</f>
        <v>8.6487288643913612E-2</v>
      </c>
      <c r="X66" s="2">
        <f>X11*'Output-Calculation-sheet'!X55/10^9</f>
        <v>0.11330990151337565</v>
      </c>
      <c r="Y66" s="2">
        <f>Y11*'Output-Calculation-sheet'!Y55/10^9</f>
        <v>8.2663982685419413E-2</v>
      </c>
      <c r="AA66" s="2">
        <f t="shared" si="4"/>
        <v>30.950242660410623</v>
      </c>
    </row>
    <row r="67" spans="1:27" x14ac:dyDescent="0.25">
      <c r="A67" s="2">
        <v>2035</v>
      </c>
      <c r="B67" s="2">
        <f>B12*'Output-Calculation-sheet'!B56/10^9</f>
        <v>9.8886402585781443</v>
      </c>
      <c r="C67" s="2">
        <f>C12*'Output-Calculation-sheet'!C56/10^9</f>
        <v>4.6255994191723397</v>
      </c>
      <c r="D67" s="2">
        <f>D12*'Output-Calculation-sheet'!D56/10^9</f>
        <v>2.2692518179895091</v>
      </c>
      <c r="E67" s="2">
        <f>E12*'Output-Calculation-sheet'!E56/10^9</f>
        <v>3.048630494742091</v>
      </c>
      <c r="F67" s="2">
        <f>F12*'Output-Calculation-sheet'!F56/10^9</f>
        <v>1.218390211527336</v>
      </c>
      <c r="G67" s="2">
        <f>G12*'Output-Calculation-sheet'!G56/10^9</f>
        <v>0.89766837849185332</v>
      </c>
      <c r="H67" s="2">
        <f>H12*'Output-Calculation-sheet'!H56/10^9</f>
        <v>1.4563343218828657</v>
      </c>
      <c r="I67" s="2">
        <f>I12*'Output-Calculation-sheet'!I56/10^9</f>
        <v>0.82256876706111559</v>
      </c>
      <c r="J67" s="2">
        <f>J12*'Output-Calculation-sheet'!J56/10^9</f>
        <v>0.75320030692607609</v>
      </c>
      <c r="K67" s="2">
        <f>K12*'Output-Calculation-sheet'!K56/10^9</f>
        <v>0.90216930762916347</v>
      </c>
      <c r="L67" s="2">
        <f>L12*'Output-Calculation-sheet'!L56/10^9</f>
        <v>0.84082307284520785</v>
      </c>
      <c r="M67" s="2">
        <f>M12*'Output-Calculation-sheet'!M56/10^9</f>
        <v>1.0099654503635114</v>
      </c>
      <c r="N67" s="2">
        <f>N12*'Output-Calculation-sheet'!N56/10^9</f>
        <v>0.98491246197632276</v>
      </c>
      <c r="O67" s="2">
        <f>O12*'Output-Calculation-sheet'!O56/10^9</f>
        <v>0.89830802833857448</v>
      </c>
      <c r="P67" s="2">
        <f>P12*'Output-Calculation-sheet'!P56/10^9</f>
        <v>0.87210330417746162</v>
      </c>
      <c r="Q67" s="2">
        <f>Q12*'Output-Calculation-sheet'!Q56/10^9</f>
        <v>0.8640017418283169</v>
      </c>
      <c r="R67" s="2">
        <f>R12*'Output-Calculation-sheet'!R56/10^9</f>
        <v>0.69461632463780354</v>
      </c>
      <c r="S67" s="2">
        <f>S12*'Output-Calculation-sheet'!S56/10^9</f>
        <v>0.56525102541364813</v>
      </c>
      <c r="T67" s="2">
        <f>T12*'Output-Calculation-sheet'!T56/10^9</f>
        <v>0.2161619800277953</v>
      </c>
      <c r="U67" s="2">
        <f>U12*'Output-Calculation-sheet'!U56/10^9</f>
        <v>0.23368207840252223</v>
      </c>
      <c r="V67" s="2">
        <f>V12*'Output-Calculation-sheet'!V56/10^9</f>
        <v>0.16670855002681681</v>
      </c>
      <c r="W67" s="2">
        <f>W12*'Output-Calculation-sheet'!W56/10^9</f>
        <v>0.11316145129140891</v>
      </c>
      <c r="X67" s="2">
        <f>X12*'Output-Calculation-sheet'!X56/10^9</f>
        <v>0.10831128180389905</v>
      </c>
      <c r="Y67" s="2">
        <f>Y12*'Output-Calculation-sheet'!Y56/10^9</f>
        <v>0.10070629159384577</v>
      </c>
      <c r="AA67" s="2">
        <f t="shared" si="4"/>
        <v>33.551166326727639</v>
      </c>
    </row>
    <row r="68" spans="1:27" x14ac:dyDescent="0.25">
      <c r="B68" s="2">
        <f>SUM(B60:B67)</f>
        <v>46.773577220280451</v>
      </c>
      <c r="C68" s="2">
        <f t="shared" ref="C68:Y68" si="5">SUM(C60:C67)</f>
        <v>22.344763649689661</v>
      </c>
      <c r="D68" s="2">
        <f t="shared" si="5"/>
        <v>9.8231130555420236</v>
      </c>
      <c r="E68" s="2">
        <f t="shared" si="5"/>
        <v>12.248025013769933</v>
      </c>
      <c r="F68" s="2">
        <f t="shared" si="5"/>
        <v>5.2344884909318381</v>
      </c>
      <c r="G68" s="2">
        <f t="shared" si="5"/>
        <v>3.865848593072728</v>
      </c>
      <c r="H68" s="2">
        <f t="shared" si="5"/>
        <v>6.5690694665682905</v>
      </c>
      <c r="I68" s="2">
        <f t="shared" si="5"/>
        <v>3.3407870647779849</v>
      </c>
      <c r="J68" s="2">
        <f t="shared" si="5"/>
        <v>3.8648919389393139</v>
      </c>
      <c r="K68" s="2">
        <f t="shared" si="5"/>
        <v>3.5281749148019168</v>
      </c>
      <c r="L68" s="2">
        <f t="shared" si="5"/>
        <v>3.6502462974054675</v>
      </c>
      <c r="M68" s="2">
        <f t="shared" si="5"/>
        <v>4.6733539085340778</v>
      </c>
      <c r="N68" s="2">
        <f t="shared" si="5"/>
        <v>4.3116828208705869</v>
      </c>
      <c r="O68" s="2">
        <f t="shared" si="5"/>
        <v>4.1741852681356963</v>
      </c>
      <c r="P68" s="2">
        <f t="shared" si="5"/>
        <v>3.6313577817561828</v>
      </c>
      <c r="Q68" s="2">
        <f t="shared" si="5"/>
        <v>3.542950085922973</v>
      </c>
      <c r="R68" s="2">
        <f t="shared" si="5"/>
        <v>2.8961946483753165</v>
      </c>
      <c r="S68" s="2">
        <f t="shared" si="5"/>
        <v>2.5539694897375362</v>
      </c>
      <c r="T68" s="2">
        <f t="shared" si="5"/>
        <v>0.99995094495737891</v>
      </c>
      <c r="U68" s="2">
        <f t="shared" si="5"/>
        <v>0.951181566346467</v>
      </c>
      <c r="V68" s="2">
        <f t="shared" si="5"/>
        <v>1.073949963311672</v>
      </c>
      <c r="W68" s="2">
        <f t="shared" si="5"/>
        <v>0.50957963088421199</v>
      </c>
      <c r="X68" s="2">
        <f t="shared" si="5"/>
        <v>0.55498045220833447</v>
      </c>
      <c r="Y68" s="2">
        <f t="shared" si="5"/>
        <v>0.38672039369379929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63.898234728786115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6.3898234728786113E-2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609.19691039875033</v>
      </c>
      <c r="Q76" s="2">
        <f>Q10/'Output-Calculation-sheet'!Q9*'Output-Calculation-sheet'!Q63</f>
        <v>72.256180277244269</v>
      </c>
      <c r="R76" s="2">
        <f>R10/'Output-Calculation-sheet'!R9*'Output-Calculation-sheet'!R63</f>
        <v>462.86946104958446</v>
      </c>
      <c r="S76" s="2">
        <f>S10/'Output-Calculation-sheet'!S9*'Output-Calculation-sheet'!S63</f>
        <v>0</v>
      </c>
      <c r="T76" s="2">
        <f>T10/'Output-Calculation-sheet'!T9*'Output-Calculation-sheet'!T63</f>
        <v>30.462451928657426</v>
      </c>
      <c r="U76" s="2">
        <f>U10/'Output-Calculation-sheet'!U9*'Output-Calculation-sheet'!U63</f>
        <v>164.70283454695178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7.8121133026701495</v>
      </c>
      <c r="AA76" s="2">
        <f t="shared" si="6"/>
        <v>1.475189617187602</v>
      </c>
    </row>
    <row r="77" spans="1:27" x14ac:dyDescent="0.25">
      <c r="A77" s="2">
        <v>2034</v>
      </c>
      <c r="B77" s="2">
        <f>B11/'Output-Calculation-sheet'!B10*'Output-Calculation-sheet'!B64</f>
        <v>631.61540936957203</v>
      </c>
      <c r="C77" s="2">
        <f>C11/'Output-Calculation-sheet'!C10*'Output-Calculation-sheet'!C64</f>
        <v>0</v>
      </c>
      <c r="D77" s="2">
        <f>D11/'Output-Calculation-sheet'!D10*'Output-Calculation-sheet'!D64</f>
        <v>2126.0063269232519</v>
      </c>
      <c r="E77" s="2">
        <f>E11/'Output-Calculation-sheet'!E10*'Output-Calculation-sheet'!E64</f>
        <v>2661.7567730052315</v>
      </c>
      <c r="F77" s="2">
        <f>F11/'Output-Calculation-sheet'!F10*'Output-Calculation-sheet'!F64</f>
        <v>190.21863590924201</v>
      </c>
      <c r="G77" s="2">
        <f>G11/'Output-Calculation-sheet'!G10*'Output-Calculation-sheet'!G64</f>
        <v>1122.6357912627291</v>
      </c>
      <c r="H77" s="2">
        <f>H11/'Output-Calculation-sheet'!H10*'Output-Calculation-sheet'!H64</f>
        <v>174.80037472131693</v>
      </c>
      <c r="I77" s="2">
        <f>I11/'Output-Calculation-sheet'!I10*'Output-Calculation-sheet'!I64</f>
        <v>664.16642693881818</v>
      </c>
      <c r="J77" s="2">
        <f>J11/'Output-Calculation-sheet'!J10*'Output-Calculation-sheet'!J64</f>
        <v>465.044979146728</v>
      </c>
      <c r="K77" s="2">
        <f>K11/'Output-Calculation-sheet'!K10*'Output-Calculation-sheet'!K64</f>
        <v>1014.4965722444348</v>
      </c>
      <c r="L77" s="2">
        <f>L11/'Output-Calculation-sheet'!L10*'Output-Calculation-sheet'!L64</f>
        <v>420.05198476986402</v>
      </c>
      <c r="M77" s="2">
        <f>M11/'Output-Calculation-sheet'!M10*'Output-Calculation-sheet'!M64</f>
        <v>125.89391823767528</v>
      </c>
      <c r="N77" s="2">
        <f>N11/'Output-Calculation-sheet'!N10*'Output-Calculation-sheet'!N64</f>
        <v>41.636665385964584</v>
      </c>
      <c r="O77" s="2">
        <f>O11/'Output-Calculation-sheet'!O10*'Output-Calculation-sheet'!O64</f>
        <v>0</v>
      </c>
      <c r="P77" s="2">
        <f>P11/'Output-Calculation-sheet'!P10*'Output-Calculation-sheet'!P64</f>
        <v>857.3342859232456</v>
      </c>
      <c r="Q77" s="2">
        <f>Q11/'Output-Calculation-sheet'!Q10*'Output-Calculation-sheet'!Q64</f>
        <v>206.95983984111697</v>
      </c>
      <c r="R77" s="2">
        <f>R11/'Output-Calculation-sheet'!R10*'Output-Calculation-sheet'!R64</f>
        <v>1065.7960894491812</v>
      </c>
      <c r="S77" s="2">
        <f>S11/'Output-Calculation-sheet'!S10*'Output-Calculation-sheet'!S64</f>
        <v>0</v>
      </c>
      <c r="T77" s="2">
        <f>T11/'Output-Calculation-sheet'!T10*'Output-Calculation-sheet'!T64</f>
        <v>295.57620580361834</v>
      </c>
      <c r="U77" s="2">
        <f>U11/'Output-Calculation-sheet'!U10*'Output-Calculation-sheet'!U64</f>
        <v>391.82742786653864</v>
      </c>
      <c r="V77" s="2">
        <f>V11/'Output-Calculation-sheet'!V10*'Output-Calculation-sheet'!V64</f>
        <v>153.05081264963164</v>
      </c>
      <c r="W77" s="2">
        <f>W11/'Output-Calculation-sheet'!W10*'Output-Calculation-sheet'!W64</f>
        <v>33.788571642320399</v>
      </c>
      <c r="X77" s="2">
        <f>X11/'Output-Calculation-sheet'!X10*'Output-Calculation-sheet'!X64</f>
        <v>12.550242016764578</v>
      </c>
      <c r="Y77" s="2">
        <f>Y11/'Output-Calculation-sheet'!Y10*'Output-Calculation-sheet'!Y64</f>
        <v>70.739715214614094</v>
      </c>
      <c r="AA77" s="2">
        <f t="shared" si="6"/>
        <v>12.725947048321858</v>
      </c>
    </row>
    <row r="78" spans="1:27" x14ac:dyDescent="0.25">
      <c r="A78" s="2">
        <v>2035</v>
      </c>
      <c r="B78" s="2">
        <f>B12/'Output-Calculation-sheet'!B11*'Output-Calculation-sheet'!B65</f>
        <v>110.22357434358095</v>
      </c>
      <c r="C78" s="2">
        <f>C12/'Output-Calculation-sheet'!C11*'Output-Calculation-sheet'!C65</f>
        <v>80.45551496992698</v>
      </c>
      <c r="D78" s="2">
        <f>D12/'Output-Calculation-sheet'!D11*'Output-Calculation-sheet'!D65</f>
        <v>2319.0857314542818</v>
      </c>
      <c r="E78" s="2">
        <f>E12/'Output-Calculation-sheet'!E11*'Output-Calculation-sheet'!E65</f>
        <v>2073.0418619808311</v>
      </c>
      <c r="F78" s="2">
        <f>F12/'Output-Calculation-sheet'!F11*'Output-Calculation-sheet'!F65</f>
        <v>933.33726153486998</v>
      </c>
      <c r="G78" s="2">
        <f>G12/'Output-Calculation-sheet'!G11*'Output-Calculation-sheet'!G65</f>
        <v>1795.7536302397261</v>
      </c>
      <c r="H78" s="2">
        <f>H12/'Output-Calculation-sheet'!H11*'Output-Calculation-sheet'!H65</f>
        <v>31.550590267107374</v>
      </c>
      <c r="I78" s="2">
        <f>I12/'Output-Calculation-sheet'!I11*'Output-Calculation-sheet'!I65</f>
        <v>1044.1735436670244</v>
      </c>
      <c r="J78" s="2">
        <f>J12/'Output-Calculation-sheet'!J11*'Output-Calculation-sheet'!J65</f>
        <v>938.23144070831233</v>
      </c>
      <c r="K78" s="2">
        <f>K12/'Output-Calculation-sheet'!K11*'Output-Calculation-sheet'!K65</f>
        <v>1183.9810052174184</v>
      </c>
      <c r="L78" s="2">
        <f>L12/'Output-Calculation-sheet'!L11*'Output-Calculation-sheet'!L65</f>
        <v>701.80382438217919</v>
      </c>
      <c r="M78" s="2">
        <f>M12/'Output-Calculation-sheet'!M11*'Output-Calculation-sheet'!M65</f>
        <v>21.618540541777975</v>
      </c>
      <c r="N78" s="2">
        <f>N12/'Output-Calculation-sheet'!N11*'Output-Calculation-sheet'!N65</f>
        <v>18.504745661367465</v>
      </c>
      <c r="O78" s="2">
        <f>O12/'Output-Calculation-sheet'!O11*'Output-Calculation-sheet'!O65</f>
        <v>3.6846096675998767</v>
      </c>
      <c r="P78" s="2">
        <f>P12/'Output-Calculation-sheet'!P11*'Output-Calculation-sheet'!P65</f>
        <v>311.32818627654132</v>
      </c>
      <c r="Q78" s="2">
        <f>Q12/'Output-Calculation-sheet'!Q11*'Output-Calculation-sheet'!Q65</f>
        <v>296.44277397587791</v>
      </c>
      <c r="R78" s="2">
        <f>R12/'Output-Calculation-sheet'!R11*'Output-Calculation-sheet'!R65</f>
        <v>1358.0439375371611</v>
      </c>
      <c r="S78" s="2">
        <f>S12/'Output-Calculation-sheet'!S11*'Output-Calculation-sheet'!S65</f>
        <v>8.2349301450104928</v>
      </c>
      <c r="T78" s="2">
        <f>T12/'Output-Calculation-sheet'!T11*'Output-Calculation-sheet'!T65</f>
        <v>487.16246801398273</v>
      </c>
      <c r="U78" s="2">
        <f>U12/'Output-Calculation-sheet'!U11*'Output-Calculation-sheet'!U65</f>
        <v>415.39360085209705</v>
      </c>
      <c r="V78" s="2">
        <f>V12/'Output-Calculation-sheet'!V11*'Output-Calculation-sheet'!V65</f>
        <v>262.22657510026715</v>
      </c>
      <c r="W78" s="2">
        <f>W12/'Output-Calculation-sheet'!W11*'Output-Calculation-sheet'!W65</f>
        <v>188.71817864290702</v>
      </c>
      <c r="X78" s="2">
        <f>X12/'Output-Calculation-sheet'!X11*'Output-Calculation-sheet'!X65</f>
        <v>2.7602111923123354</v>
      </c>
      <c r="Y78" s="2">
        <f>Y12/'Output-Calculation-sheet'!Y11*'Output-Calculation-sheet'!Y65</f>
        <v>55.259494449495335</v>
      </c>
      <c r="AA78" s="2">
        <f t="shared" si="6"/>
        <v>14.641016230821657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27.954241527664454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146.91147193988709</v>
      </c>
      <c r="E89" s="2">
        <f>E12/'Output-Calculation-sheet'!E11*'Output-Calculation-sheet'!E74</f>
        <v>102.74490231383869</v>
      </c>
      <c r="F89" s="2">
        <f>F12/'Output-Calculation-sheet'!F11*'Output-Calculation-sheet'!F74</f>
        <v>61.682226128079044</v>
      </c>
      <c r="G89" s="2">
        <f>G12/'Output-Calculation-sheet'!G11*'Output-Calculation-sheet'!G74</f>
        <v>54.8084848664733</v>
      </c>
      <c r="H89" s="2">
        <f>H12/'Output-Calculation-sheet'!H11*'Output-Calculation-sheet'!H74</f>
        <v>8.1684376096070874</v>
      </c>
      <c r="I89" s="2">
        <f>I12/'Output-Calculation-sheet'!I11*'Output-Calculation-sheet'!I74</f>
        <v>51.192877766194229</v>
      </c>
      <c r="J89" s="2">
        <f>J12/'Output-Calculation-sheet'!J11*'Output-Calculation-sheet'!J74</f>
        <v>30.023105871607278</v>
      </c>
      <c r="K89" s="2">
        <f>K12/'Output-Calculation-sheet'!K11*'Output-Calculation-sheet'!K74</f>
        <v>59.631940881709077</v>
      </c>
      <c r="L89" s="2">
        <f>L12/'Output-Calculation-sheet'!L11*'Output-Calculation-sheet'!L74</f>
        <v>40.007734495823371</v>
      </c>
      <c r="M89" s="2">
        <f>M12/'Output-Calculation-sheet'!M11*'Output-Calculation-sheet'!M74</f>
        <v>7.0258500298270965</v>
      </c>
      <c r="N89" s="2">
        <f>N12/'Output-Calculation-sheet'!N11*'Output-Calculation-sheet'!N74</f>
        <v>5.5242169300298434</v>
      </c>
      <c r="O89" s="2">
        <f>O12/'Output-Calculation-sheet'!O11*'Output-Calculation-sheet'!O74</f>
        <v>2.577551358936605</v>
      </c>
      <c r="P89" s="2">
        <f>P12/'Output-Calculation-sheet'!P11*'Output-Calculation-sheet'!P74</f>
        <v>6.3792576363136302</v>
      </c>
      <c r="Q89" s="2">
        <f>Q12/'Output-Calculation-sheet'!Q11*'Output-Calculation-sheet'!Q74</f>
        <v>65.340807599860426</v>
      </c>
      <c r="R89" s="2">
        <f>R12/'Output-Calculation-sheet'!R11*'Output-Calculation-sheet'!R74</f>
        <v>29.998947144739603</v>
      </c>
      <c r="S89" s="2">
        <f>S12/'Output-Calculation-sheet'!S11*'Output-Calculation-sheet'!S74</f>
        <v>2.3750038872362507</v>
      </c>
      <c r="T89" s="2">
        <f>T12/'Output-Calculation-sheet'!T11*'Output-Calculation-sheet'!T74</f>
        <v>7.1030274286846957</v>
      </c>
      <c r="U89" s="2">
        <f>U12/'Output-Calculation-sheet'!U11*'Output-Calculation-sheet'!U74</f>
        <v>13.126295868503878</v>
      </c>
      <c r="V89" s="2">
        <f>V12/'Output-Calculation-sheet'!V11*'Output-Calculation-sheet'!V74</f>
        <v>1.7861507318952066</v>
      </c>
      <c r="W89" s="2">
        <f>W12/'Output-Calculation-sheet'!W11*'Output-Calculation-sheet'!W74</f>
        <v>4.6400531296405987</v>
      </c>
      <c r="X89" s="2">
        <f>X12/'Output-Calculation-sheet'!X11*'Output-Calculation-sheet'!X74</f>
        <v>0.30830014434405623</v>
      </c>
      <c r="Y89" s="2">
        <f>Y12/'Output-Calculation-sheet'!Y11*'Output-Calculation-sheet'!Y74</f>
        <v>3.2726709017583979</v>
      </c>
      <c r="AA89" s="2">
        <f t="shared" si="7"/>
        <v>0.73921742121326128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14112360493.594965</v>
      </c>
      <c r="C96" s="2">
        <f>C8/'Output-Calculation-sheet'!C7*'Output-Calculation-sheet'!C79</f>
        <v>4774284924.4996119</v>
      </c>
      <c r="D96" s="2">
        <f>D8/'Output-Calculation-sheet'!D7*'Output-Calculation-sheet'!D79</f>
        <v>4984013694.8083477</v>
      </c>
      <c r="E96" s="2">
        <f>E8/'Output-Calculation-sheet'!E7*'Output-Calculation-sheet'!E79</f>
        <v>8861165727.8108387</v>
      </c>
      <c r="F96" s="2">
        <f>F8/'Output-Calculation-sheet'!F7*'Output-Calculation-sheet'!F79</f>
        <v>3667548344.8744764</v>
      </c>
      <c r="G96" s="2">
        <f>G8/'Output-Calculation-sheet'!G7*'Output-Calculation-sheet'!G79</f>
        <v>2856724821.5898519</v>
      </c>
      <c r="H96" s="2">
        <f>H8/'Output-Calculation-sheet'!H7*'Output-Calculation-sheet'!H79</f>
        <v>2445198604.4999113</v>
      </c>
      <c r="I96" s="2">
        <f>I8/'Output-Calculation-sheet'!I7*'Output-Calculation-sheet'!I79</f>
        <v>1990007613.530231</v>
      </c>
      <c r="J96" s="2">
        <f>J8/'Output-Calculation-sheet'!J7*'Output-Calculation-sheet'!J79</f>
        <v>1345690762.7688694</v>
      </c>
      <c r="K96" s="2">
        <f>K8/'Output-Calculation-sheet'!K7*'Output-Calculation-sheet'!K79</f>
        <v>1925284904.0520165</v>
      </c>
      <c r="L96" s="2">
        <f>L8/'Output-Calculation-sheet'!L7*'Output-Calculation-sheet'!L79</f>
        <v>1358482623.9468157</v>
      </c>
      <c r="M96" s="2">
        <f>M8/'Output-Calculation-sheet'!M7*'Output-Calculation-sheet'!M79</f>
        <v>1825291327.5512474</v>
      </c>
      <c r="N96" s="2">
        <f>N8/'Output-Calculation-sheet'!N7*'Output-Calculation-sheet'!N79</f>
        <v>1358160142.9303889</v>
      </c>
      <c r="O96" s="2">
        <f>O8/'Output-Calculation-sheet'!O7*'Output-Calculation-sheet'!O79</f>
        <v>686595271.27032757</v>
      </c>
      <c r="P96" s="2">
        <f>P8/'Output-Calculation-sheet'!P7*'Output-Calculation-sheet'!P79</f>
        <v>2296532080.2066941</v>
      </c>
      <c r="Q96" s="2">
        <f>Q8/'Output-Calculation-sheet'!Q7*'Output-Calculation-sheet'!Q79</f>
        <v>1070280380.3535947</v>
      </c>
      <c r="R96" s="2">
        <f>R8/'Output-Calculation-sheet'!R7*'Output-Calculation-sheet'!R79</f>
        <v>1335304276.234055</v>
      </c>
      <c r="S96" s="2">
        <f>S8/'Output-Calculation-sheet'!S7*'Output-Calculation-sheet'!S79</f>
        <v>778058578.10114253</v>
      </c>
      <c r="T96" s="2">
        <f>T8/'Output-Calculation-sheet'!T7*'Output-Calculation-sheet'!T79</f>
        <v>594254866.84719098</v>
      </c>
      <c r="U96" s="2">
        <f>U8/'Output-Calculation-sheet'!U7*'Output-Calculation-sheet'!U79</f>
        <v>373296357.71763104</v>
      </c>
      <c r="V96" s="2">
        <f>V8/'Output-Calculation-sheet'!V7*'Output-Calculation-sheet'!V79</f>
        <v>193684746.58385724</v>
      </c>
      <c r="W96" s="2">
        <f>W8/'Output-Calculation-sheet'!W7*'Output-Calculation-sheet'!W79</f>
        <v>572327432.85451651</v>
      </c>
      <c r="X96" s="2">
        <f>X8/'Output-Calculation-sheet'!X7*'Output-Calculation-sheet'!X79</f>
        <v>201155781.41204605</v>
      </c>
      <c r="Y96" s="2">
        <f>Y8/'Output-Calculation-sheet'!Y7*'Output-Calculation-sheet'!Y79</f>
        <v>314604898.81603748</v>
      </c>
      <c r="AA96" s="2">
        <f t="shared" si="8"/>
        <v>59.920308656854644</v>
      </c>
    </row>
    <row r="97" spans="1:27" x14ac:dyDescent="0.25">
      <c r="A97" s="2">
        <v>2032</v>
      </c>
      <c r="B97" s="2">
        <f>B9/'Output-Calculation-sheet'!B8*'Output-Calculation-sheet'!B80</f>
        <v>19801646760.27874</v>
      </c>
      <c r="C97" s="2">
        <f>C9/'Output-Calculation-sheet'!C8*'Output-Calculation-sheet'!C80</f>
        <v>6744559585.467062</v>
      </c>
      <c r="D97" s="2">
        <f>D9/'Output-Calculation-sheet'!D8*'Output-Calculation-sheet'!D80</f>
        <v>6720263346.3087234</v>
      </c>
      <c r="E97" s="2">
        <f>E9/'Output-Calculation-sheet'!E8*'Output-Calculation-sheet'!E80</f>
        <v>12290374577.101425</v>
      </c>
      <c r="F97" s="2">
        <f>F9/'Output-Calculation-sheet'!F8*'Output-Calculation-sheet'!F80</f>
        <v>5077152928.4113045</v>
      </c>
      <c r="G97" s="2">
        <f>G9/'Output-Calculation-sheet'!G8*'Output-Calculation-sheet'!G80</f>
        <v>3843134709.4208951</v>
      </c>
      <c r="H97" s="2">
        <f>H9/'Output-Calculation-sheet'!H8*'Output-Calculation-sheet'!H80</f>
        <v>3381185477.2388487</v>
      </c>
      <c r="I97" s="2">
        <f>I9/'Output-Calculation-sheet'!I8*'Output-Calculation-sheet'!I80</f>
        <v>2781329758.5927401</v>
      </c>
      <c r="J97" s="2">
        <f>J9/'Output-Calculation-sheet'!J8*'Output-Calculation-sheet'!J80</f>
        <v>1828462512.5923381</v>
      </c>
      <c r="K97" s="2">
        <f>K9/'Output-Calculation-sheet'!K8*'Output-Calculation-sheet'!K80</f>
        <v>2636115870.4444685</v>
      </c>
      <c r="L97" s="2">
        <f>L9/'Output-Calculation-sheet'!L8*'Output-Calculation-sheet'!L80</f>
        <v>1918661248.333761</v>
      </c>
      <c r="M97" s="2">
        <f>M9/'Output-Calculation-sheet'!M8*'Output-Calculation-sheet'!M80</f>
        <v>2531463309.0298824</v>
      </c>
      <c r="N97" s="2">
        <f>N9/'Output-Calculation-sheet'!N8*'Output-Calculation-sheet'!N80</f>
        <v>1849568871.1336782</v>
      </c>
      <c r="O97" s="2">
        <f>O9/'Output-Calculation-sheet'!O8*'Output-Calculation-sheet'!O80</f>
        <v>956844543.46284389</v>
      </c>
      <c r="P97" s="2">
        <f>P9/'Output-Calculation-sheet'!P8*'Output-Calculation-sheet'!P80</f>
        <v>3130635733.7664161</v>
      </c>
      <c r="Q97" s="2">
        <f>Q9/'Output-Calculation-sheet'!Q8*'Output-Calculation-sheet'!Q80</f>
        <v>1464388837.956459</v>
      </c>
      <c r="R97" s="2">
        <f>R9/'Output-Calculation-sheet'!R8*'Output-Calculation-sheet'!R80</f>
        <v>1850255043.3546305</v>
      </c>
      <c r="S97" s="2">
        <f>S9/'Output-Calculation-sheet'!S8*'Output-Calculation-sheet'!S80</f>
        <v>1073880281.6866338</v>
      </c>
      <c r="T97" s="2">
        <f>T9/'Output-Calculation-sheet'!T8*'Output-Calculation-sheet'!T80</f>
        <v>808665878.11806142</v>
      </c>
      <c r="U97" s="2">
        <f>U9/'Output-Calculation-sheet'!U8*'Output-Calculation-sheet'!U80</f>
        <v>516975071.82756329</v>
      </c>
      <c r="V97" s="2">
        <f>V9/'Output-Calculation-sheet'!V8*'Output-Calculation-sheet'!V80</f>
        <v>271069711.03471774</v>
      </c>
      <c r="W97" s="2">
        <f>W9/'Output-Calculation-sheet'!W8*'Output-Calculation-sheet'!W80</f>
        <v>785029607.40872443</v>
      </c>
      <c r="X97" s="2">
        <f>X9/'Output-Calculation-sheet'!X8*'Output-Calculation-sheet'!X80</f>
        <v>281899891.08066785</v>
      </c>
      <c r="Y97" s="2">
        <f>Y9/'Output-Calculation-sheet'!Y8*'Output-Calculation-sheet'!Y80</f>
        <v>431501058.93290806</v>
      </c>
      <c r="AA97" s="2">
        <f t="shared" si="8"/>
        <v>82.975064612983502</v>
      </c>
    </row>
    <row r="98" spans="1:27" x14ac:dyDescent="0.25">
      <c r="A98" s="2">
        <v>2033</v>
      </c>
      <c r="B98" s="2">
        <f>B10/'Output-Calculation-sheet'!B9*'Output-Calculation-sheet'!B81</f>
        <v>25410119958.798431</v>
      </c>
      <c r="C98" s="2">
        <f>C10/'Output-Calculation-sheet'!C9*'Output-Calculation-sheet'!C81</f>
        <v>8711865915.3374271</v>
      </c>
      <c r="D98" s="2">
        <f>D10/'Output-Calculation-sheet'!D9*'Output-Calculation-sheet'!D81</f>
        <v>8291003839.961606</v>
      </c>
      <c r="E98" s="2">
        <f>E10/'Output-Calculation-sheet'!E9*'Output-Calculation-sheet'!E81</f>
        <v>15595916005.274548</v>
      </c>
      <c r="F98" s="2">
        <f>F10/'Output-Calculation-sheet'!F9*'Output-Calculation-sheet'!F81</f>
        <v>6432133289.513792</v>
      </c>
      <c r="G98" s="2">
        <f>G10/'Output-Calculation-sheet'!G9*'Output-Calculation-sheet'!G81</f>
        <v>4722675844.3545732</v>
      </c>
      <c r="H98" s="2">
        <f>H10/'Output-Calculation-sheet'!H9*'Output-Calculation-sheet'!H81</f>
        <v>4278791686.2677574</v>
      </c>
      <c r="I98" s="2">
        <f>I10/'Output-Calculation-sheet'!I9*'Output-Calculation-sheet'!I81</f>
        <v>3556924701.8489504</v>
      </c>
      <c r="J98" s="2">
        <f>J10/'Output-Calculation-sheet'!J9*'Output-Calculation-sheet'!J81</f>
        <v>2274380428.0354748</v>
      </c>
      <c r="K98" s="2">
        <f>K10/'Output-Calculation-sheet'!K9*'Output-Calculation-sheet'!K81</f>
        <v>3303632873.6426778</v>
      </c>
      <c r="L98" s="2">
        <f>L10/'Output-Calculation-sheet'!L9*'Output-Calculation-sheet'!L81</f>
        <v>2477780007.173861</v>
      </c>
      <c r="M98" s="2">
        <f>M10/'Output-Calculation-sheet'!M9*'Output-Calculation-sheet'!M81</f>
        <v>3213188917.1274748</v>
      </c>
      <c r="N98" s="2">
        <f>N10/'Output-Calculation-sheet'!N9*'Output-Calculation-sheet'!N81</f>
        <v>2305208054.6090794</v>
      </c>
      <c r="O98" s="2">
        <f>O10/'Output-Calculation-sheet'!O9*'Output-Calculation-sheet'!O81</f>
        <v>1220736110.2748544</v>
      </c>
      <c r="P98" s="2">
        <f>P10/'Output-Calculation-sheet'!P9*'Output-Calculation-sheet'!P81</f>
        <v>3901142493.3832889</v>
      </c>
      <c r="Q98" s="2">
        <f>Q10/'Output-Calculation-sheet'!Q9*'Output-Calculation-sheet'!Q81</f>
        <v>1834215001.5981936</v>
      </c>
      <c r="R98" s="2">
        <f>R10/'Output-Calculation-sheet'!R9*'Output-Calculation-sheet'!R81</f>
        <v>2346245006.594141</v>
      </c>
      <c r="S98" s="2">
        <f>S10/'Output-Calculation-sheet'!S9*'Output-Calculation-sheet'!S81</f>
        <v>1356543308.9328284</v>
      </c>
      <c r="T98" s="2">
        <f>T10/'Output-Calculation-sheet'!T9*'Output-Calculation-sheet'!T81</f>
        <v>1006606533.919356</v>
      </c>
      <c r="U98" s="2">
        <f>U10/'Output-Calculation-sheet'!U9*'Output-Calculation-sheet'!U81</f>
        <v>654964505.99741995</v>
      </c>
      <c r="V98" s="2">
        <f>V10/'Output-Calculation-sheet'!V9*'Output-Calculation-sheet'!V81</f>
        <v>346878925.66945601</v>
      </c>
      <c r="W98" s="2">
        <f>W10/'Output-Calculation-sheet'!W9*'Output-Calculation-sheet'!W81</f>
        <v>983528836.15036952</v>
      </c>
      <c r="X98" s="2">
        <f>X10/'Output-Calculation-sheet'!X9*'Output-Calculation-sheet'!X81</f>
        <v>361415024.92462879</v>
      </c>
      <c r="Y98" s="2">
        <f>Y10/'Output-Calculation-sheet'!Y9*'Output-Calculation-sheet'!Y81</f>
        <v>540802665.0989536</v>
      </c>
      <c r="AA98" s="2">
        <f t="shared" si="8"/>
        <v>105.12669993448915</v>
      </c>
    </row>
    <row r="99" spans="1:27" x14ac:dyDescent="0.25">
      <c r="A99" s="2">
        <v>2034</v>
      </c>
      <c r="B99" s="2">
        <f>B11/'Output-Calculation-sheet'!B10*'Output-Calculation-sheet'!B82</f>
        <v>30557335990.919621</v>
      </c>
      <c r="C99" s="2">
        <f>C11/'Output-Calculation-sheet'!C10*'Output-Calculation-sheet'!C82</f>
        <v>10543555969.459255</v>
      </c>
      <c r="D99" s="2">
        <f>D11/'Output-Calculation-sheet'!D10*'Output-Calculation-sheet'!D82</f>
        <v>9591622661.3760281</v>
      </c>
      <c r="E99" s="2">
        <f>E11/'Output-Calculation-sheet'!E10*'Output-Calculation-sheet'!E82</f>
        <v>18554174678.314602</v>
      </c>
      <c r="F99" s="2">
        <f>F11/'Output-Calculation-sheet'!F10*'Output-Calculation-sheet'!F82</f>
        <v>7641514032.7215023</v>
      </c>
      <c r="G99" s="2">
        <f>G11/'Output-Calculation-sheet'!G10*'Output-Calculation-sheet'!G82</f>
        <v>5432581070.4497862</v>
      </c>
      <c r="H99" s="2">
        <f>H11/'Output-Calculation-sheet'!H10*'Output-Calculation-sheet'!H82</f>
        <v>5077741197.0045958</v>
      </c>
      <c r="I99" s="2">
        <f>I11/'Output-Calculation-sheet'!I10*'Output-Calculation-sheet'!I82</f>
        <v>4264934254.5694308</v>
      </c>
      <c r="J99" s="2">
        <f>J11/'Output-Calculation-sheet'!J10*'Output-Calculation-sheet'!J82</f>
        <v>2654059080.0959311</v>
      </c>
      <c r="K99" s="2">
        <f>K11/'Output-Calculation-sheet'!K10*'Output-Calculation-sheet'!K82</f>
        <v>3883241251.6543217</v>
      </c>
      <c r="L99" s="2">
        <f>L11/'Output-Calculation-sheet'!L10*'Output-Calculation-sheet'!L82</f>
        <v>2998151845.3044639</v>
      </c>
      <c r="M99" s="2">
        <f>M11/'Output-Calculation-sheet'!M10*'Output-Calculation-sheet'!M82</f>
        <v>3824965346.0424199</v>
      </c>
      <c r="N99" s="2">
        <f>N11/'Output-Calculation-sheet'!N10*'Output-Calculation-sheet'!N82</f>
        <v>2694686689.5798759</v>
      </c>
      <c r="O99" s="2">
        <f>O11/'Output-Calculation-sheet'!O10*'Output-Calculation-sheet'!O82</f>
        <v>1460923244.157788</v>
      </c>
      <c r="P99" s="2">
        <f>P11/'Output-Calculation-sheet'!P10*'Output-Calculation-sheet'!P82</f>
        <v>4554056654.0219412</v>
      </c>
      <c r="Q99" s="2">
        <f>Q11/'Output-Calculation-sheet'!Q10*'Output-Calculation-sheet'!Q82</f>
        <v>2155261292.1453886</v>
      </c>
      <c r="R99" s="2">
        <f>R11/'Output-Calculation-sheet'!R10*'Output-Calculation-sheet'!R82</f>
        <v>2789980865.6399746</v>
      </c>
      <c r="S99" s="2">
        <f>S11/'Output-Calculation-sheet'!S10*'Output-Calculation-sheet'!S82</f>
        <v>1607103082.8770907</v>
      </c>
      <c r="T99" s="2">
        <f>T11/'Output-Calculation-sheet'!T10*'Output-Calculation-sheet'!T82</f>
        <v>1174600204.9533591</v>
      </c>
      <c r="U99" s="2">
        <f>U11/'Output-Calculation-sheet'!U10*'Output-Calculation-sheet'!U82</f>
        <v>777845403.14872932</v>
      </c>
      <c r="V99" s="2">
        <f>V11/'Output-Calculation-sheet'!V10*'Output-Calculation-sheet'!V82</f>
        <v>415902114.8539058</v>
      </c>
      <c r="W99" s="2">
        <f>W11/'Output-Calculation-sheet'!W10*'Output-Calculation-sheet'!W82</f>
        <v>1153320526.8398488</v>
      </c>
      <c r="X99" s="2">
        <f>X11/'Output-Calculation-sheet'!X10*'Output-Calculation-sheet'!X82</f>
        <v>434370113.67466164</v>
      </c>
      <c r="Y99" s="2">
        <f>Y11/'Output-Calculation-sheet'!Y10*'Output-Calculation-sheet'!Y82</f>
        <v>634689097.49464953</v>
      </c>
      <c r="AA99" s="2">
        <f t="shared" si="8"/>
        <v>124.87661666729915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2059.0617280980036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633.84306162586881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436.14571170302588</v>
      </c>
      <c r="N107" s="2">
        <f>N8/'Output-Calculation-sheet'!N7*'Output-Calculation-sheet'!N88</f>
        <v>171.46420108038262</v>
      </c>
      <c r="O107" s="2">
        <f>O8/'Output-Calculation-sheet'!O7*'Output-Calculation-sheet'!O88</f>
        <v>480.02218968037363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47.846091683653938</v>
      </c>
      <c r="Y107" s="2">
        <f>Y8/'Output-Calculation-sheet'!Y7*'Output-Calculation-sheet'!Y88</f>
        <v>0</v>
      </c>
      <c r="AA107" s="2">
        <f t="shared" si="9"/>
        <v>3.8283829838713088</v>
      </c>
    </row>
    <row r="108" spans="1:27" x14ac:dyDescent="0.25">
      <c r="A108" s="2">
        <v>2032</v>
      </c>
      <c r="B108" s="2">
        <f>B9/'Output-Calculation-sheet'!B8*'Output-Calculation-sheet'!B89</f>
        <v>974.5085523120207</v>
      </c>
      <c r="C108" s="2">
        <f>C9/'Output-Calculation-sheet'!C8*'Output-Calculation-sheet'!C89</f>
        <v>3700.1945145635318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996.65530384684223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685.79584306541494</v>
      </c>
      <c r="N108" s="2">
        <f>N9/'Output-Calculation-sheet'!N8*'Output-Calculation-sheet'!N89</f>
        <v>481.4472105971243</v>
      </c>
      <c r="O108" s="2">
        <f>O9/'Output-Calculation-sheet'!O8*'Output-Calculation-sheet'!O89</f>
        <v>718.84499983915077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220.78572919204905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75.233230324453842</v>
      </c>
      <c r="Y108" s="2">
        <f>Y9/'Output-Calculation-sheet'!Y8*'Output-Calculation-sheet'!Y89</f>
        <v>0</v>
      </c>
      <c r="AA108" s="2">
        <f t="shared" si="9"/>
        <v>7.8534653837405877</v>
      </c>
    </row>
    <row r="109" spans="1:27" x14ac:dyDescent="0.25">
      <c r="A109" s="2">
        <v>2033</v>
      </c>
      <c r="B109" s="2">
        <f>B10/'Output-Calculation-sheet'!B9*'Output-Calculation-sheet'!B90</f>
        <v>5212.8100099682242</v>
      </c>
      <c r="C109" s="2">
        <f>C10/'Output-Calculation-sheet'!C9*'Output-Calculation-sheet'!C90</f>
        <v>4948.2405666385757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1523.2219158950038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1048.124917366074</v>
      </c>
      <c r="N109" s="2">
        <f>N10/'Output-Calculation-sheet'!N9*'Output-Calculation-sheet'!N90</f>
        <v>824.10945134311237</v>
      </c>
      <c r="O109" s="2">
        <f>O10/'Output-Calculation-sheet'!O9*'Output-Calculation-sheet'!O90</f>
        <v>961.30567604740293</v>
      </c>
      <c r="P109" s="2">
        <f>P10/'Output-Calculation-sheet'!P9*'Output-Calculation-sheet'!P90</f>
        <v>0</v>
      </c>
      <c r="Q109" s="2">
        <f>Q10/'Output-Calculation-sheet'!Q9*'Output-Calculation-sheet'!Q90</f>
        <v>180.51151389746963</v>
      </c>
      <c r="R109" s="2">
        <f>R10/'Output-Calculation-sheet'!R9*'Output-Calculation-sheet'!R90</f>
        <v>0</v>
      </c>
      <c r="S109" s="2">
        <f>S10/'Output-Calculation-sheet'!S9*'Output-Calculation-sheet'!S90</f>
        <v>413.35698877240878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114.98148335885946</v>
      </c>
      <c r="Y109" s="2">
        <f>Y10/'Output-Calculation-sheet'!Y9*'Output-Calculation-sheet'!Y90</f>
        <v>0</v>
      </c>
      <c r="AA109" s="2">
        <f t="shared" si="9"/>
        <v>15.22666252328713</v>
      </c>
    </row>
    <row r="110" spans="1:27" x14ac:dyDescent="0.25">
      <c r="A110" s="2">
        <v>2034</v>
      </c>
      <c r="B110" s="2">
        <f>B11/'Output-Calculation-sheet'!B10*'Output-Calculation-sheet'!B91</f>
        <v>9675.0619723948057</v>
      </c>
      <c r="C110" s="2">
        <f>C11/'Output-Calculation-sheet'!C10*'Output-Calculation-sheet'!C91</f>
        <v>6632.9009432209896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1884.7501195212944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1296.8915052132979</v>
      </c>
      <c r="N110" s="2">
        <f>N11/'Output-Calculation-sheet'!N10*'Output-Calculation-sheet'!N91</f>
        <v>1168.4145241331876</v>
      </c>
      <c r="O110" s="2">
        <f>O11/'Output-Calculation-sheet'!O10*'Output-Calculation-sheet'!O91</f>
        <v>1288.5883860149513</v>
      </c>
      <c r="P110" s="2">
        <f>P11/'Output-Calculation-sheet'!P10*'Output-Calculation-sheet'!P91</f>
        <v>294.38448739226106</v>
      </c>
      <c r="Q110" s="2">
        <f>Q11/'Output-Calculation-sheet'!Q10*'Output-Calculation-sheet'!Q91</f>
        <v>651.45182745561385</v>
      </c>
      <c r="R110" s="2">
        <f>R11/'Output-Calculation-sheet'!R10*'Output-Calculation-sheet'!R91</f>
        <v>0</v>
      </c>
      <c r="S110" s="2">
        <f>S11/'Output-Calculation-sheet'!S10*'Output-Calculation-sheet'!S91</f>
        <v>669.77554088789748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142.27169543842362</v>
      </c>
      <c r="Y110" s="2">
        <f>Y11/'Output-Calculation-sheet'!Y10*'Output-Calculation-sheet'!Y91</f>
        <v>22.882484583611969</v>
      </c>
      <c r="AA110" s="2">
        <f t="shared" si="9"/>
        <v>23.727373486256337</v>
      </c>
    </row>
    <row r="111" spans="1:27" x14ac:dyDescent="0.25">
      <c r="A111" s="2">
        <v>2035</v>
      </c>
      <c r="B111" s="2">
        <f>B12/'Output-Calculation-sheet'!B11*'Output-Calculation-sheet'!B92</f>
        <v>16143.574482226222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2876.8572647874835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1178.8868111907589</v>
      </c>
      <c r="Q111" s="2">
        <f>Q12/'Output-Calculation-sheet'!Q11*'Output-Calculation-sheet'!Q92</f>
        <v>838.54036419820886</v>
      </c>
      <c r="R111" s="2">
        <f>R12/'Output-Calculation-sheet'!R11*'Output-Calculation-sheet'!R92</f>
        <v>0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114.54348156154393</v>
      </c>
      <c r="AA111" s="2">
        <f t="shared" si="9"/>
        <v>36.972197597706575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1651215511.8117125</v>
      </c>
      <c r="C118" s="2">
        <f>C8/'Output-Calculation-sheet'!C7*'Output-Calculation-sheet'!C97</f>
        <v>9679611746.3027496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2978217814.3412871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2068628914.993412</v>
      </c>
      <c r="N118" s="2">
        <f>N8/'Output-Calculation-sheet'!N7*'Output-Calculation-sheet'!N97</f>
        <v>1623283880.3411727</v>
      </c>
      <c r="O118" s="2">
        <f>O8/'Output-Calculation-sheet'!O7*'Output-Calculation-sheet'!O97</f>
        <v>1080151749.6695607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587236160.96495235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222958934.70338011</v>
      </c>
      <c r="Y118" s="2">
        <f>Y8/'Output-Calculation-sheet'!Y7*'Output-Calculation-sheet'!Y97</f>
        <v>0</v>
      </c>
      <c r="AA118" s="2">
        <f t="shared" si="10"/>
        <v>19891.304713128222</v>
      </c>
    </row>
    <row r="119" spans="1:27" x14ac:dyDescent="0.25">
      <c r="A119" s="2">
        <v>2032</v>
      </c>
      <c r="B119" s="2">
        <f>B9/'Output-Calculation-sheet'!B8*'Output-Calculation-sheet'!B98</f>
        <v>7310813783.2656784</v>
      </c>
      <c r="C119" s="2">
        <f>C9/'Output-Calculation-sheet'!C8*'Output-Calculation-sheet'!C98</f>
        <v>5810782462.2659321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3473698757.6879492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2424654741.6050782</v>
      </c>
      <c r="N119" s="2">
        <f>N9/'Output-Calculation-sheet'!N8*'Output-Calculation-sheet'!N98</f>
        <v>1636550364.4085689</v>
      </c>
      <c r="O119" s="2">
        <f>O9/'Output-Calculation-sheet'!O8*'Output-Calculation-sheet'!O98</f>
        <v>1135319520.0576484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680483695.94281435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259446749.83821401</v>
      </c>
      <c r="Y119" s="2">
        <f>Y9/'Output-Calculation-sheet'!Y8*'Output-Calculation-sheet'!Y98</f>
        <v>0</v>
      </c>
      <c r="AA119" s="2">
        <f t="shared" si="10"/>
        <v>22731.750075071883</v>
      </c>
    </row>
    <row r="120" spans="1:27" x14ac:dyDescent="0.25">
      <c r="A120" s="2">
        <v>2033</v>
      </c>
      <c r="B120" s="2">
        <f>B10/'Output-Calculation-sheet'!B9*'Output-Calculation-sheet'!B99</f>
        <v>7499321789.3484106</v>
      </c>
      <c r="C120" s="2">
        <f>C10/'Output-Calculation-sheet'!C9*'Output-Calculation-sheet'!C99</f>
        <v>6164908173.5058641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2021327351.6543524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1430712291.4237533</v>
      </c>
      <c r="N120" s="2">
        <f>N10/'Output-Calculation-sheet'!N9*'Output-Calculation-sheet'!N99</f>
        <v>1426268567.9512815</v>
      </c>
      <c r="O120" s="2">
        <f>O10/'Output-Calculation-sheet'!O9*'Output-Calculation-sheet'!O99</f>
        <v>1206956230.3658404</v>
      </c>
      <c r="P120" s="2">
        <f>P10/'Output-Calculation-sheet'!P9*'Output-Calculation-sheet'!P99</f>
        <v>0</v>
      </c>
      <c r="Q120" s="2">
        <f>Q10/'Output-Calculation-sheet'!Q9*'Output-Calculation-sheet'!Q99</f>
        <v>8548343.026785722</v>
      </c>
      <c r="R120" s="2">
        <f>R10/'Output-Calculation-sheet'!R9*'Output-Calculation-sheet'!R99</f>
        <v>0</v>
      </c>
      <c r="S120" s="2">
        <f>S10/'Output-Calculation-sheet'!S9*'Output-Calculation-sheet'!S99</f>
        <v>597311968.76933515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142862969.94204488</v>
      </c>
      <c r="Y120" s="2">
        <f>Y10/'Output-Calculation-sheet'!Y9*'Output-Calculation-sheet'!Y99</f>
        <v>0</v>
      </c>
      <c r="AA120" s="2">
        <f t="shared" si="10"/>
        <v>20498.217685987671</v>
      </c>
    </row>
    <row r="121" spans="1:27" x14ac:dyDescent="0.25">
      <c r="A121" s="2">
        <v>2034</v>
      </c>
      <c r="B121" s="2">
        <f>B11/'Output-Calculation-sheet'!B10*'Output-Calculation-sheet'!B100</f>
        <v>7263307757.9722033</v>
      </c>
      <c r="C121" s="2">
        <f>C11/'Output-Calculation-sheet'!C10*'Output-Calculation-sheet'!C100</f>
        <v>870760742.07687628</v>
      </c>
      <c r="D121" s="2">
        <f>D11/'Output-Calculation-sheet'!D10*'Output-Calculation-sheet'!D100</f>
        <v>0</v>
      </c>
      <c r="E121" s="2">
        <f>E11/'Output-Calculation-sheet'!E10*'Output-Calculation-sheet'!E100</f>
        <v>1027635578.7184753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2292794440.8519416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837596726.671561</v>
      </c>
      <c r="M121" s="2">
        <f>M11/'Output-Calculation-sheet'!M10*'Output-Calculation-sheet'!M100</f>
        <v>1631773033.1298146</v>
      </c>
      <c r="N121" s="2">
        <f>N11/'Output-Calculation-sheet'!N10*'Output-Calculation-sheet'!N100</f>
        <v>1087866620.250668</v>
      </c>
      <c r="O121" s="2">
        <f>O11/'Output-Calculation-sheet'!O10*'Output-Calculation-sheet'!O100</f>
        <v>170802583.66144454</v>
      </c>
      <c r="P121" s="2">
        <f>P11/'Output-Calculation-sheet'!P10*'Output-Calculation-sheet'!P100</f>
        <v>0</v>
      </c>
      <c r="Q121" s="2">
        <f>Q11/'Output-Calculation-sheet'!Q10*'Output-Calculation-sheet'!Q100</f>
        <v>368124670.88391626</v>
      </c>
      <c r="R121" s="2">
        <f>R11/'Output-Calculation-sheet'!R10*'Output-Calculation-sheet'!R100</f>
        <v>0</v>
      </c>
      <c r="S121" s="2">
        <f>S11/'Output-Calculation-sheet'!S10*'Output-Calculation-sheet'!S100</f>
        <v>406745275.91163743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160333117.96907076</v>
      </c>
      <c r="Y121" s="2">
        <f>Y11/'Output-Calculation-sheet'!Y10*'Output-Calculation-sheet'!Y100</f>
        <v>23258931.172524832</v>
      </c>
      <c r="AA121" s="2">
        <f t="shared" si="10"/>
        <v>16140.999479270135</v>
      </c>
    </row>
    <row r="122" spans="1:27" x14ac:dyDescent="0.25">
      <c r="A122" s="2">
        <v>2035</v>
      </c>
      <c r="B122" s="2">
        <f>B12/'Output-Calculation-sheet'!B11*'Output-Calculation-sheet'!B101</f>
        <v>1911585114.4017437</v>
      </c>
      <c r="C122" s="2">
        <f>C12/'Output-Calculation-sheet'!C11*'Output-Calculation-sheet'!C101</f>
        <v>359257756.25479817</v>
      </c>
      <c r="D122" s="2">
        <f>D12/'Output-Calculation-sheet'!D11*'Output-Calculation-sheet'!D101</f>
        <v>0</v>
      </c>
      <c r="E122" s="2">
        <f>E12/'Output-Calculation-sheet'!E11*'Output-Calculation-sheet'!E101</f>
        <v>2971564713.6066804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582747979.09296334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1277803031.2886531</v>
      </c>
      <c r="M122" s="2">
        <f>M12/'Output-Calculation-sheet'!M11*'Output-Calculation-sheet'!M101</f>
        <v>488619485.14035404</v>
      </c>
      <c r="N122" s="2">
        <f>N12/'Output-Calculation-sheet'!N11*'Output-Calculation-sheet'!N101</f>
        <v>340773750.81698346</v>
      </c>
      <c r="O122" s="2">
        <f>O12/'Output-Calculation-sheet'!O11*'Output-Calculation-sheet'!O101</f>
        <v>39369455.017613731</v>
      </c>
      <c r="P122" s="2">
        <f>P12/'Output-Calculation-sheet'!P11*'Output-Calculation-sheet'!P101</f>
        <v>53140032.655469984</v>
      </c>
      <c r="Q122" s="2">
        <f>Q12/'Output-Calculation-sheet'!Q11*'Output-Calculation-sheet'!Q101</f>
        <v>746397846.3343457</v>
      </c>
      <c r="R122" s="2">
        <f>R12/'Output-Calculation-sheet'!R11*'Output-Calculation-sheet'!R101</f>
        <v>0</v>
      </c>
      <c r="S122" s="2">
        <f>S12/'Output-Calculation-sheet'!S11*'Output-Calculation-sheet'!S101</f>
        <v>202449923.02220002</v>
      </c>
      <c r="T122" s="2">
        <f>T12/'Output-Calculation-sheet'!T11*'Output-Calculation-sheet'!T101</f>
        <v>0</v>
      </c>
      <c r="U122" s="2">
        <f>U12/'Output-Calculation-sheet'!U11*'Output-Calculation-sheet'!U101</f>
        <v>69954431.853048369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17710764.242060825</v>
      </c>
      <c r="Y122" s="2">
        <f>Y12/'Output-Calculation-sheet'!Y11*'Output-Calculation-sheet'!Y101</f>
        <v>105607676.80094501</v>
      </c>
      <c r="AA122" s="2">
        <f t="shared" si="10"/>
        <v>9166.981960527859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56067479245.766045</v>
      </c>
      <c r="C129" s="2">
        <f>C8/'Output-Calculation-sheet'!C7*'Output-Calculation-sheet'!C106</f>
        <v>0</v>
      </c>
      <c r="D129" s="2">
        <f>D8/'Output-Calculation-sheet'!D7*'Output-Calculation-sheet'!D106</f>
        <v>24242441135.626255</v>
      </c>
      <c r="E129" s="2">
        <f>E8/'Output-Calculation-sheet'!E7*'Output-Calculation-sheet'!E106</f>
        <v>19233939510.632286</v>
      </c>
      <c r="F129" s="2">
        <f>F8/'Output-Calculation-sheet'!F7*'Output-Calculation-sheet'!F106</f>
        <v>12381572664.66925</v>
      </c>
      <c r="G129" s="2">
        <f>G8/'Output-Calculation-sheet'!G7*'Output-Calculation-sheet'!G106</f>
        <v>8699652865.8194847</v>
      </c>
      <c r="H129" s="2">
        <f>H8/'Output-Calculation-sheet'!H7*'Output-Calculation-sheet'!H106</f>
        <v>0</v>
      </c>
      <c r="I129" s="2">
        <f>I8/'Output-Calculation-sheet'!I7*'Output-Calculation-sheet'!I106</f>
        <v>7926050151.0112562</v>
      </c>
      <c r="J129" s="2">
        <f>J8/'Output-Calculation-sheet'!J7*'Output-Calculation-sheet'!J106</f>
        <v>7714646899.543993</v>
      </c>
      <c r="K129" s="2">
        <f>K8/'Output-Calculation-sheet'!K7*'Output-Calculation-sheet'!K106</f>
        <v>7640698594.032052</v>
      </c>
      <c r="L129" s="2">
        <f>L8/'Output-Calculation-sheet'!L7*'Output-Calculation-sheet'!L106</f>
        <v>6129482267.2594681</v>
      </c>
      <c r="M129" s="2">
        <f>M8/'Output-Calculation-sheet'!M7*'Output-Calculation-sheet'!M106</f>
        <v>0</v>
      </c>
      <c r="N129" s="2">
        <f>N8/'Output-Calculation-sheet'!N7*'Output-Calculation-sheet'!N106</f>
        <v>2693701485.5689077</v>
      </c>
      <c r="O129" s="2">
        <f>O8/'Output-Calculation-sheet'!O7*'Output-Calculation-sheet'!O106</f>
        <v>0</v>
      </c>
      <c r="P129" s="2">
        <f>P8/'Output-Calculation-sheet'!P7*'Output-Calculation-sheet'!P106</f>
        <v>5231223799.5346308</v>
      </c>
      <c r="Q129" s="2">
        <f>Q8/'Output-Calculation-sheet'!Q7*'Output-Calculation-sheet'!Q106</f>
        <v>5146669186.8395548</v>
      </c>
      <c r="R129" s="2">
        <f>R8/'Output-Calculation-sheet'!R7*'Output-Calculation-sheet'!R106</f>
        <v>4951342533.3447914</v>
      </c>
      <c r="S129" s="2">
        <f>S8/'Output-Calculation-sheet'!S7*'Output-Calculation-sheet'!S106</f>
        <v>2703672278.8395858</v>
      </c>
      <c r="T129" s="2">
        <f>T8/'Output-Calculation-sheet'!T7*'Output-Calculation-sheet'!T106</f>
        <v>1820058466.2073903</v>
      </c>
      <c r="U129" s="2">
        <f>U8/'Output-Calculation-sheet'!U7*'Output-Calculation-sheet'!U106</f>
        <v>1585211542.1868498</v>
      </c>
      <c r="V129" s="2">
        <f>V8/'Output-Calculation-sheet'!V7*'Output-Calculation-sheet'!V106</f>
        <v>1220639310.7470167</v>
      </c>
      <c r="W129" s="2">
        <f>W8/'Output-Calculation-sheet'!W7*'Output-Calculation-sheet'!W106</f>
        <v>1056811434.6220895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176445.29337225098</v>
      </c>
    </row>
    <row r="130" spans="1:27" x14ac:dyDescent="0.25">
      <c r="A130" s="2">
        <v>2032</v>
      </c>
      <c r="B130" s="2">
        <f>B9/'Output-Calculation-sheet'!B8*'Output-Calculation-sheet'!B107</f>
        <v>66158676882.970497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0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2407745011.4653955</v>
      </c>
      <c r="O130" s="2">
        <f>O9/'Output-Calculation-sheet'!O8*'Output-Calculation-sheet'!O107</f>
        <v>0</v>
      </c>
      <c r="P130" s="2">
        <f>P9/'Output-Calculation-sheet'!P8*'Output-Calculation-sheet'!P107</f>
        <v>7344210861.6443653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2137676103.5087426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232128.44827768131</v>
      </c>
    </row>
    <row r="131" spans="1:27" x14ac:dyDescent="0.25">
      <c r="A131" s="2">
        <v>2033</v>
      </c>
      <c r="B131" s="2">
        <f>B10/'Output-Calculation-sheet'!B9*'Output-Calculation-sheet'!B108</f>
        <v>55942658448.01561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2049890651.9748688</v>
      </c>
      <c r="O131" s="2">
        <f>O10/'Output-Calculation-sheet'!O9*'Output-Calculation-sheet'!O108</f>
        <v>0</v>
      </c>
      <c r="P131" s="2">
        <f>P10/'Output-Calculation-sheet'!P9*'Output-Calculation-sheet'!P108</f>
        <v>9428020055.8344402</v>
      </c>
      <c r="Q131" s="2">
        <f>Q10/'Output-Calculation-sheet'!Q9*'Output-Calculation-sheet'!Q108</f>
        <v>7953493198.6299696</v>
      </c>
      <c r="R131" s="2">
        <f>R10/'Output-Calculation-sheet'!R9*'Output-Calculation-sheet'!R108</f>
        <v>8923704229.8634644</v>
      </c>
      <c r="S131" s="2">
        <f>S10/'Output-Calculation-sheet'!S9*'Output-Calculation-sheet'!S108</f>
        <v>1988284693.9033563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265894.47097389674</v>
      </c>
    </row>
    <row r="132" spans="1:27" x14ac:dyDescent="0.25">
      <c r="A132" s="2">
        <v>2034</v>
      </c>
      <c r="B132" s="2">
        <f>B11/'Output-Calculation-sheet'!B10*'Output-Calculation-sheet'!B109</f>
        <v>42151648243.844131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40682225303.600105</v>
      </c>
      <c r="F132" s="2">
        <f>F11/'Output-Calculation-sheet'!F10*'Output-Calculation-sheet'!F109</f>
        <v>26845868398.261127</v>
      </c>
      <c r="G132" s="2">
        <f>G11/'Output-Calculation-sheet'!G10*'Output-Calculation-sheet'!G109</f>
        <v>18863172291.200218</v>
      </c>
      <c r="H132" s="2">
        <f>H11/'Output-Calculation-sheet'!H10*'Output-Calculation-sheet'!H109</f>
        <v>0</v>
      </c>
      <c r="I132" s="2">
        <f>I11/'Output-Calculation-sheet'!I10*'Output-Calculation-sheet'!I109</f>
        <v>17184639183.763992</v>
      </c>
      <c r="J132" s="2">
        <f>J11/'Output-Calculation-sheet'!J10*'Output-Calculation-sheet'!J109</f>
        <v>16726456185.561071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12451949371.405878</v>
      </c>
      <c r="M132" s="2">
        <f>M11/'Output-Calculation-sheet'!M10*'Output-Calculation-sheet'!M109</f>
        <v>0</v>
      </c>
      <c r="N132" s="2">
        <f>N11/'Output-Calculation-sheet'!N10*'Output-Calculation-sheet'!N109</f>
        <v>1637446738.4442582</v>
      </c>
      <c r="O132" s="2">
        <f>O11/'Output-Calculation-sheet'!O10*'Output-Calculation-sheet'!O109</f>
        <v>0</v>
      </c>
      <c r="P132" s="2">
        <f>P11/'Output-Calculation-sheet'!P10*'Output-Calculation-sheet'!P109</f>
        <v>9303525985.6532097</v>
      </c>
      <c r="Q132" s="2">
        <f>Q11/'Output-Calculation-sheet'!Q10*'Output-Calculation-sheet'!Q109</f>
        <v>5992466051.929616</v>
      </c>
      <c r="R132" s="2">
        <f>R11/'Output-Calculation-sheet'!R10*'Output-Calculation-sheet'!R109</f>
        <v>10734518108.768482</v>
      </c>
      <c r="S132" s="2">
        <f>S11/'Output-Calculation-sheet'!S10*'Output-Calculation-sheet'!S109</f>
        <v>1123796373.7734129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3438901697.4532619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285149.56922423281</v>
      </c>
    </row>
    <row r="133" spans="1:27" x14ac:dyDescent="0.25">
      <c r="A133" s="2">
        <v>2035</v>
      </c>
      <c r="B133" s="2">
        <f>B12/'Output-Calculation-sheet'!B11*'Output-Calculation-sheet'!B110</f>
        <v>656747585.78003693</v>
      </c>
      <c r="C133" s="2">
        <f>C12/'Output-Calculation-sheet'!C11*'Output-Calculation-sheet'!C110</f>
        <v>0</v>
      </c>
      <c r="D133" s="2">
        <f>D12/'Output-Calculation-sheet'!D11*'Output-Calculation-sheet'!D110</f>
        <v>54410826169.804138</v>
      </c>
      <c r="E133" s="2">
        <f>E12/'Output-Calculation-sheet'!E11*'Output-Calculation-sheet'!E110</f>
        <v>26458787850.071587</v>
      </c>
      <c r="F133" s="2">
        <f>F12/'Output-Calculation-sheet'!F11*'Output-Calculation-sheet'!F110</f>
        <v>29340783968.188759</v>
      </c>
      <c r="G133" s="2">
        <f>G12/'Output-Calculation-sheet'!G11*'Output-Calculation-sheet'!G110</f>
        <v>20337535733.201698</v>
      </c>
      <c r="H133" s="2">
        <f>H12/'Output-Calculation-sheet'!H11*'Output-Calculation-sheet'!H110</f>
        <v>0</v>
      </c>
      <c r="I133" s="2">
        <f>I12/'Output-Calculation-sheet'!I11*'Output-Calculation-sheet'!I110</f>
        <v>18358435266.433231</v>
      </c>
      <c r="J133" s="2">
        <f>J12/'Output-Calculation-sheet'!J11*'Output-Calculation-sheet'!J110</f>
        <v>17680556383.798367</v>
      </c>
      <c r="K133" s="2">
        <f>K12/'Output-Calculation-sheet'!K11*'Output-Calculation-sheet'!K110</f>
        <v>17491071321.091022</v>
      </c>
      <c r="L133" s="2">
        <f>L12/'Output-Calculation-sheet'!L11*'Output-Calculation-sheet'!L110</f>
        <v>12864664839.28532</v>
      </c>
      <c r="M133" s="2">
        <f>M12/'Output-Calculation-sheet'!M11*'Output-Calculation-sheet'!M110</f>
        <v>0</v>
      </c>
      <c r="N133" s="2">
        <f>N12/'Output-Calculation-sheet'!N11*'Output-Calculation-sheet'!N110</f>
        <v>1681416.423721164</v>
      </c>
      <c r="O133" s="2">
        <f>O12/'Output-Calculation-sheet'!O11*'Output-Calculation-sheet'!O110</f>
        <v>0</v>
      </c>
      <c r="P133" s="2">
        <f>P12/'Output-Calculation-sheet'!P11*'Output-Calculation-sheet'!P110</f>
        <v>3986437648.3297324</v>
      </c>
      <c r="Q133" s="2">
        <f>Q12/'Output-Calculation-sheet'!Q11*'Output-Calculation-sheet'!Q110</f>
        <v>5295288018.7451553</v>
      </c>
      <c r="R133" s="2">
        <f>R12/'Output-Calculation-sheet'!R11*'Output-Calculation-sheet'!R110</f>
        <v>11634341676.408636</v>
      </c>
      <c r="S133" s="2">
        <f>S12/'Output-Calculation-sheet'!S11*'Output-Calculation-sheet'!S110</f>
        <v>19262437.360711116</v>
      </c>
      <c r="T133" s="2">
        <f>T12/'Output-Calculation-sheet'!T11*'Output-Calculation-sheet'!T110</f>
        <v>4371231935.6614904</v>
      </c>
      <c r="U133" s="2">
        <f>U12/'Output-Calculation-sheet'!U11*'Output-Calculation-sheet'!U110</f>
        <v>3546658353.9878283</v>
      </c>
      <c r="V133" s="2">
        <f>V12/'Output-Calculation-sheet'!V11*'Output-Calculation-sheet'!V110</f>
        <v>2939658484.5328884</v>
      </c>
      <c r="W133" s="2">
        <f>W12/'Output-Calculation-sheet'!W11*'Output-Calculation-sheet'!W110</f>
        <v>2582602015.8120723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231976.57110491639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17520390449.80521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5507969436.9164753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3786095959.843636</v>
      </c>
      <c r="N140" s="2">
        <f>N8/'Output-Calculation-sheet'!N7*'Output-Calculation-sheet'!N115</f>
        <v>1429401291.6714816</v>
      </c>
      <c r="O140" s="2">
        <f>O8/'Output-Calculation-sheet'!O7*'Output-Calculation-sheet'!O115</f>
        <v>4204808398.9767985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411124564.36109555</v>
      </c>
      <c r="Y140" s="2">
        <f>Y8/'Output-Calculation-sheet'!Y7*'Output-Calculation-sheet'!Y115</f>
        <v>0</v>
      </c>
      <c r="AA140" s="2">
        <f t="shared" si="12"/>
        <v>32859.790101574697</v>
      </c>
    </row>
    <row r="141" spans="1:27" x14ac:dyDescent="0.25">
      <c r="A141" s="2">
        <v>2032</v>
      </c>
      <c r="B141" s="2">
        <f>B9/'Output-Calculation-sheet'!B8*'Output-Calculation-sheet'!B116</f>
        <v>7563463351.8234663</v>
      </c>
      <c r="C141" s="2">
        <f>C9/'Output-Calculation-sheet'!C8*'Output-Calculation-sheet'!C116</f>
        <v>32376095314.693935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8440307650.0040245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5794964695.1147327</v>
      </c>
      <c r="N141" s="2">
        <f>N9/'Output-Calculation-sheet'!N8*'Output-Calculation-sheet'!N116</f>
        <v>4023224244.7088695</v>
      </c>
      <c r="O141" s="2">
        <f>O9/'Output-Calculation-sheet'!O8*'Output-Calculation-sheet'!O116</f>
        <v>6284390383.3015928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1802042369.1137581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630761544.52841079</v>
      </c>
      <c r="Y141" s="2">
        <f>Y9/'Output-Calculation-sheet'!Y8*'Output-Calculation-sheet'!Y116</f>
        <v>0</v>
      </c>
      <c r="AA141" s="2">
        <f t="shared" si="12"/>
        <v>66915.249553288784</v>
      </c>
    </row>
    <row r="142" spans="1:27" x14ac:dyDescent="0.25">
      <c r="A142" s="2">
        <v>2033</v>
      </c>
      <c r="B142" s="2">
        <f>B10/'Output-Calculation-sheet'!B9*'Output-Calculation-sheet'!B117</f>
        <v>40588157316.575958</v>
      </c>
      <c r="C142" s="2">
        <f>C10/'Output-Calculation-sheet'!C9*'Output-Calculation-sheet'!C117</f>
        <v>42859417014.252235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13273878022.623085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9121637865.267765</v>
      </c>
      <c r="N142" s="2">
        <f>N10/'Output-Calculation-sheet'!N9*'Output-Calculation-sheet'!N117</f>
        <v>6880924607.2696295</v>
      </c>
      <c r="O142" s="2">
        <f>O10/'Output-Calculation-sheet'!O9*'Output-Calculation-sheet'!O117</f>
        <v>8318468903.4388514</v>
      </c>
      <c r="P142" s="2">
        <f>P10/'Output-Calculation-sheet'!P9*'Output-Calculation-sheet'!P117</f>
        <v>0</v>
      </c>
      <c r="Q142" s="2">
        <f>Q10/'Output-Calculation-sheet'!Q9*'Output-Calculation-sheet'!Q117</f>
        <v>1314068729.9972596</v>
      </c>
      <c r="R142" s="2">
        <f>R10/'Output-Calculation-sheet'!R9*'Output-Calculation-sheet'!R117</f>
        <v>0</v>
      </c>
      <c r="S142" s="2">
        <f>S10/'Output-Calculation-sheet'!S9*'Output-Calculation-sheet'!S117</f>
        <v>3345820366.367672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999986793.09511602</v>
      </c>
      <c r="Y142" s="2">
        <f>Y10/'Output-Calculation-sheet'!Y9*'Output-Calculation-sheet'!Y117</f>
        <v>0</v>
      </c>
      <c r="AA142" s="2">
        <f t="shared" si="12"/>
        <v>126702.35961888755</v>
      </c>
    </row>
    <row r="143" spans="1:27" x14ac:dyDescent="0.25">
      <c r="A143" s="2">
        <v>2034</v>
      </c>
      <c r="B143" s="2">
        <f>B11/'Output-Calculation-sheet'!B10*'Output-Calculation-sheet'!B118</f>
        <v>75729990923.105164</v>
      </c>
      <c r="C143" s="2">
        <f>C11/'Output-Calculation-sheet'!C10*'Output-Calculation-sheet'!C118</f>
        <v>58104212262.615868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16106776714.591915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11062313304.876751</v>
      </c>
      <c r="N143" s="2">
        <f>N11/'Output-Calculation-sheet'!N10*'Output-Calculation-sheet'!N118</f>
        <v>9733948283.6811199</v>
      </c>
      <c r="O143" s="2">
        <f>O11/'Output-Calculation-sheet'!O10*'Output-Calculation-sheet'!O118</f>
        <v>11288034261.490973</v>
      </c>
      <c r="P143" s="2">
        <f>P11/'Output-Calculation-sheet'!P10*'Output-Calculation-sheet'!P118</f>
        <v>2038021257.433183</v>
      </c>
      <c r="Q143" s="2">
        <f>Q11/'Output-Calculation-sheet'!Q10*'Output-Calculation-sheet'!Q118</f>
        <v>4798217068.3290234</v>
      </c>
      <c r="R143" s="2">
        <f>R11/'Output-Calculation-sheet'!R10*'Output-Calculation-sheet'!R118</f>
        <v>0</v>
      </c>
      <c r="S143" s="2">
        <f>S11/'Output-Calculation-sheet'!S10*'Output-Calculation-sheet'!S118</f>
        <v>5604797177.4237986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1214473689.0025799</v>
      </c>
      <c r="Y143" s="2">
        <f>Y11/'Output-Calculation-sheet'!Y10*'Output-Calculation-sheet'!Y118</f>
        <v>142318385.52309826</v>
      </c>
      <c r="AA143" s="2">
        <f t="shared" si="12"/>
        <v>195823.10332807348</v>
      </c>
    </row>
    <row r="144" spans="1:27" x14ac:dyDescent="0.25">
      <c r="A144" s="2">
        <v>2035</v>
      </c>
      <c r="B144" s="2">
        <f>B12/'Output-Calculation-sheet'!B11*'Output-Calculation-sheet'!B119</f>
        <v>140109453960.80701</v>
      </c>
      <c r="C144" s="2">
        <f>C12/'Output-Calculation-sheet'!C11*'Output-Calculation-sheet'!C119</f>
        <v>67045156830.769051</v>
      </c>
      <c r="D144" s="2">
        <f>D12/'Output-Calculation-sheet'!D11*'Output-Calculation-sheet'!D119</f>
        <v>0</v>
      </c>
      <c r="E144" s="2">
        <f>E12/'Output-Calculation-sheet'!E11*'Output-Calculation-sheet'!E119</f>
        <v>17663501966.631557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20369461329.887394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13956203300.878777</v>
      </c>
      <c r="N144" s="2">
        <f>N12/'Output-Calculation-sheet'!N11*'Output-Calculation-sheet'!N119</f>
        <v>13818690545.046402</v>
      </c>
      <c r="O144" s="2">
        <f>O12/'Output-Calculation-sheet'!O11*'Output-Calculation-sheet'!O119</f>
        <v>13035837120.253933</v>
      </c>
      <c r="P144" s="2">
        <f>P12/'Output-Calculation-sheet'!P11*'Output-Calculation-sheet'!P119</f>
        <v>8863912141.3783703</v>
      </c>
      <c r="Q144" s="2">
        <f>Q12/'Output-Calculation-sheet'!Q11*'Output-Calculation-sheet'!Q119</f>
        <v>6074681641.90098</v>
      </c>
      <c r="R144" s="2">
        <f>R12/'Output-Calculation-sheet'!R11*'Output-Calculation-sheet'!R119</f>
        <v>0</v>
      </c>
      <c r="S144" s="2">
        <f>S12/'Output-Calculation-sheet'!S11*'Output-Calculation-sheet'!S119</f>
        <v>7893993586.9899549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1552954072.0826628</v>
      </c>
      <c r="Y144" s="2">
        <f>Y12/'Output-Calculation-sheet'!Y11*'Output-Calculation-sheet'!Y119</f>
        <v>741038161.4157989</v>
      </c>
      <c r="AA144" s="2">
        <f t="shared" si="12"/>
        <v>311124.88465804182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57718695884.411186</v>
      </c>
      <c r="C151" s="2">
        <f>C8/'Output-Calculation-sheet'!C7*'Output-Calculation-sheet'!C124</f>
        <v>27200002196.10796</v>
      </c>
      <c r="D151" s="2">
        <f>D8/'Output-Calculation-sheet'!D7*'Output-Calculation-sheet'!D124</f>
        <v>24242441135.626255</v>
      </c>
      <c r="E151" s="2">
        <f>E8/'Output-Calculation-sheet'!E7*'Output-Calculation-sheet'!E124</f>
        <v>19233939510.632286</v>
      </c>
      <c r="F151" s="2">
        <f>F8/'Output-Calculation-sheet'!F7*'Output-Calculation-sheet'!F124</f>
        <v>12381572664.66925</v>
      </c>
      <c r="G151" s="2">
        <f>G8/'Output-Calculation-sheet'!G7*'Output-Calculation-sheet'!G124</f>
        <v>8699652865.8194847</v>
      </c>
      <c r="H151" s="2">
        <f>H8/'Output-Calculation-sheet'!H7*'Output-Calculation-sheet'!H124</f>
        <v>8486187251.257762</v>
      </c>
      <c r="I151" s="2">
        <f>I8/'Output-Calculation-sheet'!I7*'Output-Calculation-sheet'!I124</f>
        <v>7926050151.0112562</v>
      </c>
      <c r="J151" s="2">
        <f>J8/'Output-Calculation-sheet'!J7*'Output-Calculation-sheet'!J124</f>
        <v>7714646899.543993</v>
      </c>
      <c r="K151" s="2">
        <f>K8/'Output-Calculation-sheet'!K7*'Output-Calculation-sheet'!K124</f>
        <v>7640698594.032052</v>
      </c>
      <c r="L151" s="2">
        <f>L8/'Output-Calculation-sheet'!L7*'Output-Calculation-sheet'!L124</f>
        <v>6129482267.2594681</v>
      </c>
      <c r="M151" s="2">
        <f>M8/'Output-Calculation-sheet'!M7*'Output-Calculation-sheet'!M124</f>
        <v>5854724874.8370476</v>
      </c>
      <c r="N151" s="2">
        <f>N8/'Output-Calculation-sheet'!N7*'Output-Calculation-sheet'!N124</f>
        <v>5746385544.177659</v>
      </c>
      <c r="O151" s="2">
        <f>O8/'Output-Calculation-sheet'!O7*'Output-Calculation-sheet'!O124</f>
        <v>5284960148.6463594</v>
      </c>
      <c r="P151" s="2">
        <f>P8/'Output-Calculation-sheet'!P7*'Output-Calculation-sheet'!P124</f>
        <v>5231223799.5346308</v>
      </c>
      <c r="Q151" s="2">
        <f>Q8/'Output-Calculation-sheet'!Q7*'Output-Calculation-sheet'!Q124</f>
        <v>5146669186.8395548</v>
      </c>
      <c r="R151" s="2">
        <f>R8/'Output-Calculation-sheet'!R7*'Output-Calculation-sheet'!R124</f>
        <v>4951342533.3447914</v>
      </c>
      <c r="S151" s="2">
        <f>S8/'Output-Calculation-sheet'!S7*'Output-Calculation-sheet'!S124</f>
        <v>3290908120.6837611</v>
      </c>
      <c r="T151" s="2">
        <f>T8/'Output-Calculation-sheet'!T7*'Output-Calculation-sheet'!T124</f>
        <v>1820058466.2073903</v>
      </c>
      <c r="U151" s="2">
        <f>U8/'Output-Calculation-sheet'!U7*'Output-Calculation-sheet'!U124</f>
        <v>1585211542.1868498</v>
      </c>
      <c r="V151" s="2">
        <f>V8/'Output-Calculation-sheet'!V7*'Output-Calculation-sheet'!V124</f>
        <v>1220639310.7470167</v>
      </c>
      <c r="W151" s="2">
        <f>W8/'Output-Calculation-sheet'!W7*'Output-Calculation-sheet'!W124</f>
        <v>1056811434.6220895</v>
      </c>
      <c r="X151" s="2">
        <f>X8/'Output-Calculation-sheet'!X7*'Output-Calculation-sheet'!X124</f>
        <v>634083499.06447566</v>
      </c>
      <c r="Y151" s="2">
        <f>Y8/'Output-Calculation-sheet'!Y7*'Output-Calculation-sheet'!Y124</f>
        <v>616640232.93145823</v>
      </c>
      <c r="AA151" s="2">
        <f t="shared" si="13"/>
        <v>229813.02811419405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22912127026.584476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4451825755.3025579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193584.7354071835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3175141461.5784445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138068.96341782351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2628532893.9609532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1594142506.5896497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1019334321.4972456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491007297.03836805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71182.870913340827</v>
      </c>
    </row>
    <row r="155" spans="1:27" x14ac:dyDescent="0.25">
      <c r="A155" s="2">
        <v>2035</v>
      </c>
      <c r="B155" s="2">
        <f>B12/'Output-Calculation-sheet'!B11*'Output-Calculation-sheet'!B128</f>
        <v>730903898.84858704</v>
      </c>
      <c r="C155" s="2">
        <f>C12/'Output-Calculation-sheet'!C11*'Output-Calculation-sheet'!C128</f>
        <v>93935196.998550266</v>
      </c>
      <c r="D155" s="2">
        <f>D12/'Output-Calculation-sheet'!D11*'Output-Calculation-sheet'!D128</f>
        <v>7324911967.5807295</v>
      </c>
      <c r="E155" s="2">
        <f>E12/'Output-Calculation-sheet'!E11*'Output-Calculation-sheet'!E128</f>
        <v>1364381782.3630078</v>
      </c>
      <c r="F155" s="2">
        <f>F12/'Output-Calculation-sheet'!F11*'Output-Calculation-sheet'!F128</f>
        <v>2112112212.9817748</v>
      </c>
      <c r="G155" s="2">
        <f>G12/'Output-Calculation-sheet'!G11*'Output-Calculation-sheet'!G128</f>
        <v>1886536507.3557684</v>
      </c>
      <c r="H155" s="2">
        <f>H12/'Output-Calculation-sheet'!H11*'Output-Calculation-sheet'!H128</f>
        <v>151208868.80788222</v>
      </c>
      <c r="I155" s="2">
        <f>I12/'Output-Calculation-sheet'!I11*'Output-Calculation-sheet'!I128</f>
        <v>1881222031.1147835</v>
      </c>
      <c r="J155" s="2">
        <f>J12/'Output-Calculation-sheet'!J11*'Output-Calculation-sheet'!J128</f>
        <v>1801275642.0935352</v>
      </c>
      <c r="K155" s="2">
        <f>K12/'Output-Calculation-sheet'!K11*'Output-Calculation-sheet'!K128</f>
        <v>2045446385.1724184</v>
      </c>
      <c r="L155" s="2">
        <f>L12/'Output-Calculation-sheet'!L11*'Output-Calculation-sheet'!L128</f>
        <v>1479161218.12216</v>
      </c>
      <c r="M155" s="2">
        <f>M12/'Output-Calculation-sheet'!M11*'Output-Calculation-sheet'!M128</f>
        <v>126110031.4042795</v>
      </c>
      <c r="N155" s="2">
        <f>N12/'Output-Calculation-sheet'!N11*'Output-Calculation-sheet'!N128</f>
        <v>127635913.5144112</v>
      </c>
      <c r="O155" s="2">
        <f>O12/'Output-Calculation-sheet'!O11*'Output-Calculation-sheet'!O128</f>
        <v>42268852.326983958</v>
      </c>
      <c r="P155" s="2">
        <f>P12/'Output-Calculation-sheet'!P11*'Output-Calculation-sheet'!P128</f>
        <v>142670566.01432163</v>
      </c>
      <c r="Q155" s="2">
        <f>Q12/'Output-Calculation-sheet'!Q11*'Output-Calculation-sheet'!Q128</f>
        <v>850305702.61553705</v>
      </c>
      <c r="R155" s="2">
        <f>R12/'Output-Calculation-sheet'!R11*'Output-Calculation-sheet'!R128</f>
        <v>950764191.59291267</v>
      </c>
      <c r="S155" s="2">
        <f>S12/'Output-Calculation-sheet'!S11*'Output-Calculation-sheet'!S128</f>
        <v>66652964.092797548</v>
      </c>
      <c r="T155" s="2">
        <f>T12/'Output-Calculation-sheet'!T11*'Output-Calculation-sheet'!T128</f>
        <v>223598375.72971559</v>
      </c>
      <c r="U155" s="2">
        <f>U12/'Output-Calculation-sheet'!U11*'Output-Calculation-sheet'!U128</f>
        <v>440048259.10087723</v>
      </c>
      <c r="V155" s="2">
        <f>V12/'Output-Calculation-sheet'!V11*'Output-Calculation-sheet'!V128</f>
        <v>109806652.69950205</v>
      </c>
      <c r="W155" s="2">
        <f>W12/'Output-Calculation-sheet'!W11*'Output-Calculation-sheet'!W128</f>
        <v>101909074.43712939</v>
      </c>
      <c r="X155" s="2">
        <f>X12/'Output-Calculation-sheet'!X11*'Output-Calculation-sheet'!X128</f>
        <v>3877919.4526158334</v>
      </c>
      <c r="Y155" s="2">
        <f>Y12/'Output-Calculation-sheet'!Y11*'Output-Calculation-sheet'!Y128</f>
        <v>30155044.222982232</v>
      </c>
      <c r="AA155" s="2">
        <f t="shared" si="13"/>
        <v>24086.899258643258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1286.8922579372584</v>
      </c>
      <c r="C19" s="2">
        <f>C8/'Output-Calculation-sheet'!C7*'Output-Calculation-sheet'!C25</f>
        <v>6054.7848326899111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1834.0671328715712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1274.0158481988899</v>
      </c>
      <c r="N19" s="2">
        <f>N8/'Output-Calculation-sheet'!N7*'Output-Calculation-sheet'!N25</f>
        <v>1059.8306341964983</v>
      </c>
      <c r="O19" s="2">
        <f>O8/'Output-Calculation-sheet'!O7*'Output-Calculation-sheet'!O25</f>
        <v>665.15828129518457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490.14128390614565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137.88395435433188</v>
      </c>
      <c r="Y19" s="2">
        <f>Y8/'Output-Calculation-sheet'!Y7*'Output-Calculation-sheet'!Y25</f>
        <v>0</v>
      </c>
      <c r="AA19" s="2">
        <f t="shared" si="0"/>
        <v>12.80277422544979</v>
      </c>
    </row>
    <row r="20" spans="1:27" x14ac:dyDescent="0.25">
      <c r="A20" s="2">
        <v>2032</v>
      </c>
      <c r="B20" s="2">
        <f>B9/'Output-Calculation-sheet'!B8*'Output-Calculation-sheet'!B26</f>
        <v>6562.0990754947097</v>
      </c>
      <c r="C20" s="2">
        <f>C9/'Output-Calculation-sheet'!C8*'Output-Calculation-sheet'!C26</f>
        <v>3598.4949282724592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2160.1942736386609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1509.5586668488959</v>
      </c>
      <c r="N20" s="2">
        <f>N9/'Output-Calculation-sheet'!N8*'Output-Calculation-sheet'!N26</f>
        <v>1046.165291373813</v>
      </c>
      <c r="O20" s="2">
        <f>O9/'Output-Calculation-sheet'!O8*'Output-Calculation-sheet'!O26</f>
        <v>703.07922129275948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496.25186542537267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164.26202995255562</v>
      </c>
      <c r="Y20" s="2">
        <f>Y9/'Output-Calculation-sheet'!Y8*'Output-Calculation-sheet'!Y26</f>
        <v>0</v>
      </c>
      <c r="AA20" s="2">
        <f t="shared" si="0"/>
        <v>16.240105352299224</v>
      </c>
    </row>
    <row r="21" spans="1:27" x14ac:dyDescent="0.25">
      <c r="A21" s="2">
        <v>2033</v>
      </c>
      <c r="B21" s="2">
        <f>B10/'Output-Calculation-sheet'!B9*'Output-Calculation-sheet'!B27</f>
        <v>6268.0447937248809</v>
      </c>
      <c r="C21" s="2">
        <f>C10/'Output-Calculation-sheet'!C9*'Output-Calculation-sheet'!C27</f>
        <v>3852.6055951837388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1263.179965306615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894.08919982704458</v>
      </c>
      <c r="N21" s="2">
        <f>N10/'Output-Calculation-sheet'!N9*'Output-Calculation-sheet'!N27</f>
        <v>905.44171134251769</v>
      </c>
      <c r="O21" s="2">
        <f>O10/'Output-Calculation-sheet'!O9*'Output-Calculation-sheet'!O27</f>
        <v>754.25757846212991</v>
      </c>
      <c r="P21" s="2">
        <f>P10/'Output-Calculation-sheet'!P9*'Output-Calculation-sheet'!P27</f>
        <v>0</v>
      </c>
      <c r="Q21" s="2">
        <f>Q10/'Output-Calculation-sheet'!Q9*'Output-Calculation-sheet'!Q27</f>
        <v>10.353448640400476</v>
      </c>
      <c r="R21" s="2">
        <f>R10/'Output-Calculation-sheet'!R9*'Output-Calculation-sheet'!R27</f>
        <v>0</v>
      </c>
      <c r="S21" s="2">
        <f>S10/'Output-Calculation-sheet'!S9*'Output-Calculation-sheet'!S27</f>
        <v>431.13781952751083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89.278649152924388</v>
      </c>
      <c r="Y21" s="2">
        <f>Y10/'Output-Calculation-sheet'!Y9*'Output-Calculation-sheet'!Y27</f>
        <v>0</v>
      </c>
      <c r="AA21" s="2">
        <f t="shared" si="0"/>
        <v>14.468388761167763</v>
      </c>
    </row>
    <row r="22" spans="1:27" x14ac:dyDescent="0.25">
      <c r="A22" s="2">
        <v>2034</v>
      </c>
      <c r="B22" s="2">
        <f>B11/'Output-Calculation-sheet'!B10*'Output-Calculation-sheet'!B28</f>
        <v>5479.4809009070159</v>
      </c>
      <c r="C22" s="2">
        <f>C11/'Output-Calculation-sheet'!C10*'Output-Calculation-sheet'!C28</f>
        <v>552.01314932691878</v>
      </c>
      <c r="D22" s="2">
        <f>D11/'Output-Calculation-sheet'!D10*'Output-Calculation-sheet'!D28</f>
        <v>0</v>
      </c>
      <c r="E22" s="2">
        <f>E11/'Output-Calculation-sheet'!E10*'Output-Calculation-sheet'!E28</f>
        <v>1868.3469772313495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1453.4938705708453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1111.7058552374119</v>
      </c>
      <c r="M22" s="2">
        <f>M11/'Output-Calculation-sheet'!M10*'Output-Calculation-sheet'!M28</f>
        <v>1034.4460474280893</v>
      </c>
      <c r="N22" s="2">
        <f>N11/'Output-Calculation-sheet'!N10*'Output-Calculation-sheet'!N28</f>
        <v>691.53308440838111</v>
      </c>
      <c r="O22" s="2">
        <f>O11/'Output-Calculation-sheet'!O10*'Output-Calculation-sheet'!O28</f>
        <v>108.27866394018905</v>
      </c>
      <c r="P22" s="2">
        <f>P11/'Output-Calculation-sheet'!P10*'Output-Calculation-sheet'!P28</f>
        <v>0</v>
      </c>
      <c r="Q22" s="2">
        <f>Q11/'Output-Calculation-sheet'!Q10*'Output-Calculation-sheet'!Q28</f>
        <v>354.48507020605933</v>
      </c>
      <c r="R22" s="2">
        <f>R11/'Output-Calculation-sheet'!R10*'Output-Calculation-sheet'!R28</f>
        <v>0</v>
      </c>
      <c r="S22" s="2">
        <f>S11/'Output-Calculation-sheet'!S10*'Output-Calculation-sheet'!S28</f>
        <v>258.93192577949333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101.64152654862899</v>
      </c>
      <c r="Y22" s="2">
        <f>Y11/'Output-Calculation-sheet'!Y10*'Output-Calculation-sheet'!Y28</f>
        <v>41.431957067812668</v>
      </c>
      <c r="AA22" s="2">
        <f t="shared" si="0"/>
        <v>13.055789028652196</v>
      </c>
    </row>
    <row r="23" spans="1:27" x14ac:dyDescent="0.25">
      <c r="A23" s="2">
        <v>2035</v>
      </c>
      <c r="B23" s="2">
        <f>B12/'Output-Calculation-sheet'!B11*'Output-Calculation-sheet'!B29</f>
        <v>1237.3349047560623</v>
      </c>
      <c r="C23" s="2">
        <f>C12/'Output-Calculation-sheet'!C11*'Output-Calculation-sheet'!C29</f>
        <v>232.5395552536333</v>
      </c>
      <c r="D23" s="2">
        <f>D12/'Output-Calculation-sheet'!D11*'Output-Calculation-sheet'!D29</f>
        <v>0</v>
      </c>
      <c r="E23" s="2">
        <f>E12/'Output-Calculation-sheet'!E11*'Output-Calculation-sheet'!E29</f>
        <v>3132.9327821384813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377.20223321089918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1579.3194207226616</v>
      </c>
      <c r="M23" s="2">
        <f>M12/'Output-Calculation-sheet'!M11*'Output-Calculation-sheet'!M29</f>
        <v>316.27540067463485</v>
      </c>
      <c r="N23" s="2">
        <f>N12/'Output-Calculation-sheet'!N11*'Output-Calculation-sheet'!N29</f>
        <v>220.57655973511234</v>
      </c>
      <c r="O23" s="2">
        <f>O12/'Output-Calculation-sheet'!O11*'Output-Calculation-sheet'!O29</f>
        <v>25.483395961341966</v>
      </c>
      <c r="P23" s="2">
        <f>P12/'Output-Calculation-sheet'!P11*'Output-Calculation-sheet'!P29</f>
        <v>43.894563002018131</v>
      </c>
      <c r="Q23" s="2">
        <f>Q12/'Output-Calculation-sheet'!Q11*'Output-Calculation-sheet'!Q29</f>
        <v>615.45385204526747</v>
      </c>
      <c r="R23" s="2">
        <f>R12/'Output-Calculation-sheet'!R11*'Output-Calculation-sheet'!R29</f>
        <v>0</v>
      </c>
      <c r="S23" s="2">
        <f>S12/'Output-Calculation-sheet'!S11*'Output-Calculation-sheet'!S29</f>
        <v>131.04231445077528</v>
      </c>
      <c r="T23" s="2">
        <f>T12/'Output-Calculation-sheet'!T11*'Output-Calculation-sheet'!T29</f>
        <v>0</v>
      </c>
      <c r="U23" s="2">
        <f>U12/'Output-Calculation-sheet'!U11*'Output-Calculation-sheet'!U29</f>
        <v>142.86924971071039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11.463862690931698</v>
      </c>
      <c r="Y23" s="2">
        <f>Y12/'Output-Calculation-sheet'!Y11*'Output-Calculation-sheet'!Y29</f>
        <v>97.088134137297502</v>
      </c>
      <c r="AA23" s="2">
        <f t="shared" si="0"/>
        <v>8.1634762284898272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22431.81871081837</v>
      </c>
      <c r="C30" s="2">
        <f>C8/'Output-Calculation-sheet'!C7*'Output-Calculation-sheet'!C16</f>
        <v>0</v>
      </c>
      <c r="D30" s="2">
        <f>D8/'Output-Calculation-sheet'!D7*'Output-Calculation-sheet'!D16</f>
        <v>3777.1935719347643</v>
      </c>
      <c r="E30" s="2">
        <f>E8/'Output-Calculation-sheet'!E7*'Output-Calculation-sheet'!E16</f>
        <v>4064.0521019325333</v>
      </c>
      <c r="F30" s="2">
        <f>F8/'Output-Calculation-sheet'!F7*'Output-Calculation-sheet'!F16</f>
        <v>2050.3694166414307</v>
      </c>
      <c r="G30" s="2">
        <f>G8/'Output-Calculation-sheet'!G7*'Output-Calculation-sheet'!G16</f>
        <v>1342.730584832163</v>
      </c>
      <c r="H30" s="2">
        <f>H8/'Output-Calculation-sheet'!H7*'Output-Calculation-sheet'!H16</f>
        <v>0</v>
      </c>
      <c r="I30" s="2">
        <f>I8/'Output-Calculation-sheet'!I7*'Output-Calculation-sheet'!I16</f>
        <v>1308.9772650190903</v>
      </c>
      <c r="J30" s="2">
        <f>J8/'Output-Calculation-sheet'!J7*'Output-Calculation-sheet'!J16</f>
        <v>1165.2254182320582</v>
      </c>
      <c r="K30" s="2">
        <f>K8/'Output-Calculation-sheet'!K7*'Output-Calculation-sheet'!K16</f>
        <v>1555.8000021043322</v>
      </c>
      <c r="L30" s="2">
        <f>L8/'Output-Calculation-sheet'!L7*'Output-Calculation-sheet'!L16</f>
        <v>1314.1461310363925</v>
      </c>
      <c r="M30" s="2">
        <f>M8/'Output-Calculation-sheet'!M7*'Output-Calculation-sheet'!M16</f>
        <v>0</v>
      </c>
      <c r="N30" s="2">
        <f>N8/'Output-Calculation-sheet'!N7*'Output-Calculation-sheet'!N16</f>
        <v>1208.1845043314672</v>
      </c>
      <c r="O30" s="2">
        <f>O8/'Output-Calculation-sheet'!O7*'Output-Calculation-sheet'!O16</f>
        <v>0</v>
      </c>
      <c r="P30" s="2">
        <f>P8/'Output-Calculation-sheet'!P7*'Output-Calculation-sheet'!P16</f>
        <v>1677.6775547441543</v>
      </c>
      <c r="Q30" s="2">
        <f>Q8/'Output-Calculation-sheet'!Q7*'Output-Calculation-sheet'!Q16</f>
        <v>1844.8998143995316</v>
      </c>
      <c r="R30" s="2">
        <f>R8/'Output-Calculation-sheet'!R7*'Output-Calculation-sheet'!R16</f>
        <v>1170.5955247536654</v>
      </c>
      <c r="S30" s="2">
        <f>S8/'Output-Calculation-sheet'!S7*'Output-Calculation-sheet'!S16</f>
        <v>1177.2775733995741</v>
      </c>
      <c r="T30" s="2">
        <f>T8/'Output-Calculation-sheet'!T7*'Output-Calculation-sheet'!T16</f>
        <v>351.3937653248276</v>
      </c>
      <c r="U30" s="2">
        <f>U8/'Output-Calculation-sheet'!U7*'Output-Calculation-sheet'!U16</f>
        <v>350.76726143103008</v>
      </c>
      <c r="V30" s="2">
        <f>V8/'Output-Calculation-sheet'!V7*'Output-Calculation-sheet'!V16</f>
        <v>272.99430645269297</v>
      </c>
      <c r="W30" s="2">
        <f>W8/'Output-Calculation-sheet'!W7*'Output-Calculation-sheet'!W16</f>
        <v>165.58686158305662</v>
      </c>
      <c r="X30" s="2">
        <f>X8/'Output-Calculation-sheet'!X7*'Output-Calculation-sheet'!X16</f>
        <v>0</v>
      </c>
      <c r="Y30" s="2">
        <f>Y8/'Output-Calculation-sheet'!Y7*'Output-Calculation-sheet'!Y16</f>
        <v>140.14795050266633</v>
      </c>
      <c r="AA30" s="2">
        <f t="shared" si="1"/>
        <v>47.369838319473814</v>
      </c>
    </row>
    <row r="31" spans="1:27" x14ac:dyDescent="0.25">
      <c r="A31" s="2">
        <v>2032</v>
      </c>
      <c r="B31" s="2">
        <f>B9/'Output-Calculation-sheet'!B8*'Output-Calculation-sheet'!B17</f>
        <v>27589.781794053077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1078.7895455434111</v>
      </c>
      <c r="O31" s="2">
        <f>O9/'Output-Calculation-sheet'!O8*'Output-Calculation-sheet'!O17</f>
        <v>0</v>
      </c>
      <c r="P31" s="2">
        <f>P9/'Output-Calculation-sheet'!P8*'Output-Calculation-sheet'!P17</f>
        <v>2696.2565056468393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892.87934524836055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63.211461149777797</v>
      </c>
    </row>
    <row r="32" spans="1:27" x14ac:dyDescent="0.25">
      <c r="A32" s="2">
        <v>2033</v>
      </c>
      <c r="B32" s="2">
        <f>B10/'Output-Calculation-sheet'!B9*'Output-Calculation-sheet'!B18</f>
        <v>22673.175191156708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3549.6314196638118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917.70110583919541</v>
      </c>
      <c r="O32" s="2">
        <f>O10/'Output-Calculation-sheet'!O9*'Output-Calculation-sheet'!O18</f>
        <v>0</v>
      </c>
      <c r="P32" s="2">
        <f>P10/'Output-Calculation-sheet'!P9*'Output-Calculation-sheet'!P18</f>
        <v>3653.3484243682365</v>
      </c>
      <c r="Q32" s="2">
        <f>Q10/'Output-Calculation-sheet'!Q9*'Output-Calculation-sheet'!Q18</f>
        <v>3382.8807990312384</v>
      </c>
      <c r="R32" s="2">
        <f>R10/'Output-Calculation-sheet'!R9*'Output-Calculation-sheet'!R18</f>
        <v>2623.4189610447702</v>
      </c>
      <c r="S32" s="2">
        <f>S10/'Output-Calculation-sheet'!S9*'Output-Calculation-sheet'!S18</f>
        <v>834.83675107896681</v>
      </c>
      <c r="T32" s="2">
        <f>T10/'Output-Calculation-sheet'!T9*'Output-Calculation-sheet'!T18</f>
        <v>765.96790405093634</v>
      </c>
      <c r="U32" s="2">
        <f>U10/'Output-Calculation-sheet'!U9*'Output-Calculation-sheet'!U18</f>
        <v>846.75221471175678</v>
      </c>
      <c r="V32" s="2">
        <f>V10/'Output-Calculation-sheet'!V9*'Output-Calculation-sheet'!V18</f>
        <v>624.96306365088105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361.88656099263659</v>
      </c>
      <c r="AA32" s="2">
        <f t="shared" si="1"/>
        <v>72.080062546578176</v>
      </c>
    </row>
    <row r="33" spans="1:27" x14ac:dyDescent="0.25">
      <c r="A33" s="2">
        <v>2034</v>
      </c>
      <c r="B33" s="2">
        <f>B11/'Output-Calculation-sheet'!B10*'Output-Calculation-sheet'!B19</f>
        <v>16537.827246040189</v>
      </c>
      <c r="C33" s="2">
        <f>C11/'Output-Calculation-sheet'!C10*'Output-Calculation-sheet'!C19</f>
        <v>0</v>
      </c>
      <c r="D33" s="2">
        <f>D11/'Output-Calculation-sheet'!D10*'Output-Calculation-sheet'!D19</f>
        <v>11001.62844916854</v>
      </c>
      <c r="E33" s="2">
        <f>E11/'Output-Calculation-sheet'!E10*'Output-Calculation-sheet'!E19</f>
        <v>13613.281722976306</v>
      </c>
      <c r="F33" s="2">
        <f>F11/'Output-Calculation-sheet'!F10*'Output-Calculation-sheet'!F19</f>
        <v>6244.2306768344715</v>
      </c>
      <c r="G33" s="2">
        <f>G11/'Output-Calculation-sheet'!G10*'Output-Calculation-sheet'!G19</f>
        <v>3744.6690379293786</v>
      </c>
      <c r="H33" s="2">
        <f>H11/'Output-Calculation-sheet'!H10*'Output-Calculation-sheet'!H19</f>
        <v>0</v>
      </c>
      <c r="I33" s="2">
        <f>I11/'Output-Calculation-sheet'!I10*'Output-Calculation-sheet'!I19</f>
        <v>4086.4171049660658</v>
      </c>
      <c r="J33" s="2">
        <f>J11/'Output-Calculation-sheet'!J10*'Output-Calculation-sheet'!J19</f>
        <v>3455.2337790691527</v>
      </c>
      <c r="K33" s="2">
        <f>K11/'Output-Calculation-sheet'!K10*'Output-Calculation-sheet'!K19</f>
        <v>4792.531633102707</v>
      </c>
      <c r="L33" s="2">
        <f>L11/'Output-Calculation-sheet'!L10*'Output-Calculation-sheet'!L19</f>
        <v>3898.0949128825391</v>
      </c>
      <c r="M33" s="2">
        <f>M11/'Output-Calculation-sheet'!M10*'Output-Calculation-sheet'!M19</f>
        <v>0</v>
      </c>
      <c r="N33" s="2">
        <f>N11/'Output-Calculation-sheet'!N10*'Output-Calculation-sheet'!N19</f>
        <v>739.95671953056865</v>
      </c>
      <c r="O33" s="2">
        <f>O11/'Output-Calculation-sheet'!O10*'Output-Calculation-sheet'!O19</f>
        <v>0</v>
      </c>
      <c r="P33" s="2">
        <f>P11/'Output-Calculation-sheet'!P10*'Output-Calculation-sheet'!P19</f>
        <v>3662.9063278939493</v>
      </c>
      <c r="Q33" s="2">
        <f>Q11/'Output-Calculation-sheet'!Q10*'Output-Calculation-sheet'!Q19</f>
        <v>2334.9606847229379</v>
      </c>
      <c r="R33" s="2">
        <f>R11/'Output-Calculation-sheet'!R10*'Output-Calculation-sheet'!R19</f>
        <v>3462.1471964383654</v>
      </c>
      <c r="S33" s="2">
        <f>S11/'Output-Calculation-sheet'!S10*'Output-Calculation-sheet'!S19</f>
        <v>470.3897877404857</v>
      </c>
      <c r="T33" s="2">
        <f>T11/'Output-Calculation-sheet'!T10*'Output-Calculation-sheet'!T19</f>
        <v>1015.7866415808252</v>
      </c>
      <c r="U33" s="2">
        <f>U11/'Output-Calculation-sheet'!U10*'Output-Calculation-sheet'!U19</f>
        <v>1168.3708916900082</v>
      </c>
      <c r="V33" s="2">
        <f>V11/'Output-Calculation-sheet'!V10*'Output-Calculation-sheet'!V19</f>
        <v>796.78372362614698</v>
      </c>
      <c r="W33" s="2">
        <f>W11/'Output-Calculation-sheet'!W10*'Output-Calculation-sheet'!W19</f>
        <v>496.04132838869089</v>
      </c>
      <c r="X33" s="2">
        <f>X11/'Output-Calculation-sheet'!X10*'Output-Calculation-sheet'!X19</f>
        <v>0</v>
      </c>
      <c r="Y33" s="2">
        <f>Y11/'Output-Calculation-sheet'!Y10*'Output-Calculation-sheet'!Y19</f>
        <v>406.17542872307541</v>
      </c>
      <c r="AA33" s="2">
        <f t="shared" si="1"/>
        <v>81.927433293304389</v>
      </c>
    </row>
    <row r="34" spans="1:27" x14ac:dyDescent="0.25">
      <c r="A34" s="2">
        <v>2035</v>
      </c>
      <c r="B34" s="2">
        <f>B12/'Output-Calculation-sheet'!B11*'Output-Calculation-sheet'!B20</f>
        <v>252.90607472344379</v>
      </c>
      <c r="C34" s="2">
        <f>C12/'Output-Calculation-sheet'!C11*'Output-Calculation-sheet'!C20</f>
        <v>0</v>
      </c>
      <c r="D34" s="2">
        <f>D12/'Output-Calculation-sheet'!D11*'Output-Calculation-sheet'!D20</f>
        <v>11264.34632986581</v>
      </c>
      <c r="E34" s="2">
        <f>E12/'Output-Calculation-sheet'!E11*'Output-Calculation-sheet'!E20</f>
        <v>6648.589070665128</v>
      </c>
      <c r="F34" s="2">
        <f>F12/'Output-Calculation-sheet'!F11*'Output-Calculation-sheet'!F20</f>
        <v>7693.415131437464</v>
      </c>
      <c r="G34" s="2">
        <f>G12/'Output-Calculation-sheet'!G11*'Output-Calculation-sheet'!G20</f>
        <v>4148.8637235763636</v>
      </c>
      <c r="H34" s="2">
        <f>H12/'Output-Calculation-sheet'!H11*'Output-Calculation-sheet'!H20</f>
        <v>0</v>
      </c>
      <c r="I34" s="2">
        <f>I12/'Output-Calculation-sheet'!I11*'Output-Calculation-sheet'!I20</f>
        <v>4516.8468675977801</v>
      </c>
      <c r="J34" s="2">
        <f>J12/'Output-Calculation-sheet'!J11*'Output-Calculation-sheet'!J20</f>
        <v>3871.1890740780032</v>
      </c>
      <c r="K34" s="2">
        <f>K12/'Output-Calculation-sheet'!K11*'Output-Calculation-sheet'!K20</f>
        <v>5089.7424772328641</v>
      </c>
      <c r="L34" s="2">
        <f>L12/'Output-Calculation-sheet'!L11*'Output-Calculation-sheet'!L20</f>
        <v>4021.2138487179564</v>
      </c>
      <c r="M34" s="2">
        <f>M12/'Output-Calculation-sheet'!M11*'Output-Calculation-sheet'!M20</f>
        <v>0</v>
      </c>
      <c r="N34" s="2">
        <f>N12/'Output-Calculation-sheet'!N11*'Output-Calculation-sheet'!N20</f>
        <v>0.77586306655941606</v>
      </c>
      <c r="O34" s="2">
        <f>O12/'Output-Calculation-sheet'!O11*'Output-Calculation-sheet'!O20</f>
        <v>0</v>
      </c>
      <c r="P34" s="2">
        <f>P12/'Output-Calculation-sheet'!P11*'Output-Calculation-sheet'!P20</f>
        <v>1266.8881828032922</v>
      </c>
      <c r="Q34" s="2">
        <f>Q12/'Output-Calculation-sheet'!Q11*'Output-Calculation-sheet'!Q20</f>
        <v>1972.5803110890254</v>
      </c>
      <c r="R34" s="2">
        <f>R12/'Output-Calculation-sheet'!R11*'Output-Calculation-sheet'!R20</f>
        <v>3996.8129975548159</v>
      </c>
      <c r="S34" s="2">
        <f>S12/'Output-Calculation-sheet'!S11*'Output-Calculation-sheet'!S20</f>
        <v>8.2324920046060264</v>
      </c>
      <c r="T34" s="2">
        <f>T12/'Output-Calculation-sheet'!T11*'Output-Calculation-sheet'!T20</f>
        <v>1248.9875437323551</v>
      </c>
      <c r="U34" s="2">
        <f>U12/'Output-Calculation-sheet'!U11*'Output-Calculation-sheet'!U20</f>
        <v>1141.8776908839218</v>
      </c>
      <c r="V34" s="2">
        <f>V12/'Output-Calculation-sheet'!V11*'Output-Calculation-sheet'!V20</f>
        <v>1046.1084776196931</v>
      </c>
      <c r="W34" s="2">
        <f>W12/'Output-Calculation-sheet'!W11*'Output-Calculation-sheet'!W20</f>
        <v>675.87671262821175</v>
      </c>
      <c r="X34" s="2">
        <f>X12/'Output-Calculation-sheet'!X11*'Output-Calculation-sheet'!X20</f>
        <v>0</v>
      </c>
      <c r="Y34" s="2">
        <f>Y12/'Output-Calculation-sheet'!Y11*'Output-Calculation-sheet'!Y20</f>
        <v>168.26951046729874</v>
      </c>
      <c r="AA34" s="2">
        <f t="shared" si="1"/>
        <v>59.033522379744596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0.1679460157189526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0.16834911792251128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2.4537538423725795E-2</v>
      </c>
      <c r="I45" s="2">
        <f>I12/'Output-Calculation-sheet'!I11*'Output-Calculation-sheet'!I38*0.0114</f>
        <v>9.1129242162210647E-2</v>
      </c>
      <c r="J45" s="2">
        <f>J12/'Output-Calculation-sheet'!J11*'Output-Calculation-sheet'!J38*0.0114</f>
        <v>6.7640822131429634E-2</v>
      </c>
      <c r="K45" s="2">
        <f>K12/'Output-Calculation-sheet'!K11*'Output-Calculation-sheet'!K38*0.0114</f>
        <v>0.11195692421532927</v>
      </c>
      <c r="L45" s="2">
        <f>L12/'Output-Calculation-sheet'!L11*'Output-Calculation-sheet'!L38*0.0114</f>
        <v>7.1218393735991703E-2</v>
      </c>
      <c r="M45" s="2">
        <f>M12/'Output-Calculation-sheet'!M11*'Output-Calculation-sheet'!M38*0.0114</f>
        <v>1.6884214417058875E-2</v>
      </c>
      <c r="N45" s="2">
        <f>N12/'Output-Calculation-sheet'!N11*'Output-Calculation-sheet'!N38*0.0114</f>
        <v>1.659444457556725E-2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1.5330351956833637E-2</v>
      </c>
      <c r="Q45" s="2">
        <f>Q12/'Output-Calculation-sheet'!Q11*'Output-Calculation-sheet'!Q38*0.0114</f>
        <v>0.11631419327581123</v>
      </c>
      <c r="R45" s="2">
        <f>R12/'Output-Calculation-sheet'!R11*'Output-Calculation-sheet'!R38*0.0114</f>
        <v>5.767372246518214E-2</v>
      </c>
      <c r="S45" s="2">
        <f>S12/'Output-Calculation-sheet'!S11*'Output-Calculation-sheet'!S38*0.0114</f>
        <v>9.5125084991393369E-3</v>
      </c>
      <c r="T45" s="2">
        <f>T12/'Output-Calculation-sheet'!T11*'Output-Calculation-sheet'!T38*0.0114</f>
        <v>1.6002828519906438E-2</v>
      </c>
      <c r="U45" s="2">
        <f>U12/'Output-Calculation-sheet'!U11*'Output-Calculation-sheet'!U38*0.0114</f>
        <v>2.3194513308280002E-2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5.3623220924264624E-3</v>
      </c>
      <c r="AA45" s="2">
        <f t="shared" si="2"/>
        <v>1.5792043400932345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0.17591129588282256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232.59475632236092</v>
      </c>
      <c r="R54" s="2">
        <f>R10/'Output-Calculation-sheet'!R9*'Output-Calculation-sheet'!R45</f>
        <v>1741.1989006602425</v>
      </c>
      <c r="S54" s="2">
        <f>S10/'Output-Calculation-sheet'!S9*'Output-Calculation-sheet'!S45</f>
        <v>0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21.702808572375112</v>
      </c>
      <c r="AA54" s="2">
        <f t="shared" si="3"/>
        <v>5.7294558002956544</v>
      </c>
    </row>
    <row r="55" spans="1:27" x14ac:dyDescent="0.25">
      <c r="A55" s="2">
        <v>2034</v>
      </c>
      <c r="B55" s="2">
        <f>B11/'Output-Calculation-sheet'!B10*'Output-Calculation-sheet'!B46</f>
        <v>2161.7867601321718</v>
      </c>
      <c r="C55" s="2">
        <f>C11/'Output-Calculation-sheet'!C10*'Output-Calculation-sheet'!C46</f>
        <v>0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736.97189390485687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4540.4256061637661</v>
      </c>
      <c r="L55" s="2">
        <f>L11/'Output-Calculation-sheet'!L10*'Output-Calculation-sheet'!L46</f>
        <v>1679.1201130613365</v>
      </c>
      <c r="M55" s="2">
        <f>M11/'Output-Calculation-sheet'!M10*'Output-Calculation-sheet'!M46</f>
        <v>546.22817444120233</v>
      </c>
      <c r="N55" s="2">
        <f>N11/'Output-Calculation-sheet'!N10*'Output-Calculation-sheet'!N46</f>
        <v>186.54598444365769</v>
      </c>
      <c r="O55" s="2">
        <f>O11/'Output-Calculation-sheet'!O10*'Output-Calculation-sheet'!O46</f>
        <v>0</v>
      </c>
      <c r="P55" s="2">
        <f>P11/'Output-Calculation-sheet'!P10*'Output-Calculation-sheet'!P46</f>
        <v>4057.1249511912315</v>
      </c>
      <c r="Q55" s="2">
        <f>Q11/'Output-Calculation-sheet'!Q10*'Output-Calculation-sheet'!Q46</f>
        <v>869.61574094707328</v>
      </c>
      <c r="R55" s="2">
        <f>R11/'Output-Calculation-sheet'!R10*'Output-Calculation-sheet'!R46</f>
        <v>5029.5650578311461</v>
      </c>
      <c r="S55" s="2">
        <f>S11/'Output-Calculation-sheet'!S10*'Output-Calculation-sheet'!S46</f>
        <v>0</v>
      </c>
      <c r="T55" s="2">
        <f>T11/'Output-Calculation-sheet'!T10*'Output-Calculation-sheet'!T46</f>
        <v>1138.879462019851</v>
      </c>
      <c r="U55" s="2">
        <f>U11/'Output-Calculation-sheet'!U10*'Output-Calculation-sheet'!U46</f>
        <v>1909.5756433179442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52.1340485678882</v>
      </c>
      <c r="Y55" s="2">
        <f>Y11/'Output-Calculation-sheet'!Y10*'Output-Calculation-sheet'!Y46</f>
        <v>362.60267405720163</v>
      </c>
      <c r="AA55" s="2">
        <f t="shared" si="3"/>
        <v>54.27996869022715</v>
      </c>
    </row>
    <row r="56" spans="1:27" x14ac:dyDescent="0.25">
      <c r="A56" s="2">
        <v>2035</v>
      </c>
      <c r="B56" s="2">
        <f>B12/'Output-Calculation-sheet'!B11*'Output-Calculation-sheet'!B47</f>
        <v>604.01637232254882</v>
      </c>
      <c r="C56" s="2">
        <f>C12/'Output-Calculation-sheet'!C11*'Output-Calculation-sheet'!C47</f>
        <v>475.46951791343372</v>
      </c>
      <c r="D56" s="2">
        <f>D12/'Output-Calculation-sheet'!D11*'Output-Calculation-sheet'!D47</f>
        <v>10987.944402601936</v>
      </c>
      <c r="E56" s="2">
        <f>E12/'Output-Calculation-sheet'!E11*'Output-Calculation-sheet'!E47</f>
        <v>13384.247123722462</v>
      </c>
      <c r="F56" s="2">
        <f>F12/'Output-Calculation-sheet'!F11*'Output-Calculation-sheet'!F47</f>
        <v>3489.0869853901131</v>
      </c>
      <c r="G56" s="2">
        <f>G12/'Output-Calculation-sheet'!G11*'Output-Calculation-sheet'!G47</f>
        <v>8612.0264174592594</v>
      </c>
      <c r="H56" s="2">
        <f>H12/'Output-Calculation-sheet'!H11*'Output-Calculation-sheet'!H47</f>
        <v>178.65049904993342</v>
      </c>
      <c r="I56" s="2">
        <f>I12/'Output-Calculation-sheet'!I11*'Output-Calculation-sheet'!I47</f>
        <v>4300.660726602573</v>
      </c>
      <c r="J56" s="2">
        <f>J12/'Output-Calculation-sheet'!J11*'Output-Calculation-sheet'!J47</f>
        <v>3925.9366061663104</v>
      </c>
      <c r="K56" s="2">
        <f>K12/'Output-Calculation-sheet'!K11*'Output-Calculation-sheet'!K47</f>
        <v>5595.8820542012818</v>
      </c>
      <c r="L56" s="2">
        <f>L12/'Output-Calculation-sheet'!L11*'Output-Calculation-sheet'!L47</f>
        <v>3109.5574984289356</v>
      </c>
      <c r="M56" s="2">
        <f>M12/'Output-Calculation-sheet'!M11*'Output-Calculation-sheet'!M47</f>
        <v>124.41000096780223</v>
      </c>
      <c r="N56" s="2">
        <f>N12/'Output-Calculation-sheet'!N11*'Output-Calculation-sheet'!N47</f>
        <v>114.99658960261515</v>
      </c>
      <c r="O56" s="2">
        <f>O12/'Output-Calculation-sheet'!O11*'Output-Calculation-sheet'!O47</f>
        <v>16.300679719408507</v>
      </c>
      <c r="P56" s="2">
        <f>P12/'Output-Calculation-sheet'!P11*'Output-Calculation-sheet'!P47</f>
        <v>1647.3404515018601</v>
      </c>
      <c r="Q56" s="2">
        <f>Q12/'Output-Calculation-sheet'!Q11*'Output-Calculation-sheet'!Q47</f>
        <v>1466.681165210339</v>
      </c>
      <c r="R56" s="2">
        <f>R12/'Output-Calculation-sheet'!R11*'Output-Calculation-sheet'!R47</f>
        <v>6628.6837596495525</v>
      </c>
      <c r="S56" s="2">
        <f>S12/'Output-Calculation-sheet'!S11*'Output-Calculation-sheet'!S47</f>
        <v>52.569125916296336</v>
      </c>
      <c r="T56" s="2">
        <f>T12/'Output-Calculation-sheet'!T11*'Output-Calculation-sheet'!T47</f>
        <v>2336.3193801138259</v>
      </c>
      <c r="U56" s="2">
        <f>U12/'Output-Calculation-sheet'!U11*'Output-Calculation-sheet'!U47</f>
        <v>2229.5217265976512</v>
      </c>
      <c r="V56" s="2">
        <f>V12/'Output-Calculation-sheet'!V11*'Output-Calculation-sheet'!V47</f>
        <v>1556.3084246487761</v>
      </c>
      <c r="W56" s="2">
        <f>W12/'Output-Calculation-sheet'!W11*'Output-Calculation-sheet'!W47</f>
        <v>905.04925943455487</v>
      </c>
      <c r="X56" s="2">
        <f>X12/'Output-Calculation-sheet'!X11*'Output-Calculation-sheet'!X47</f>
        <v>13.972989092792012</v>
      </c>
      <c r="Y56" s="2">
        <f>Y12/'Output-Calculation-sheet'!Y11*'Output-Calculation-sheet'!Y47</f>
        <v>361.87834471696709</v>
      </c>
      <c r="AA56" s="2">
        <f t="shared" si="3"/>
        <v>72.117510101031243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8.5277980762483985</v>
      </c>
      <c r="C63" s="2">
        <f>C8*'Output-Calculation-sheet'!C52/10^9</f>
        <v>4.0181693043213311</v>
      </c>
      <c r="D63" s="2">
        <f>D8*'Output-Calculation-sheet'!D52/10^9</f>
        <v>1.9967041856626124</v>
      </c>
      <c r="E63" s="2">
        <f>E8*'Output-Calculation-sheet'!E52/10^9</f>
        <v>2.2843176014241267</v>
      </c>
      <c r="F63" s="2">
        <f>F8*'Output-Calculation-sheet'!F52/10^9</f>
        <v>1.0677717290155926</v>
      </c>
      <c r="G63" s="2">
        <f>G8*'Output-Calculation-sheet'!G52/10^9</f>
        <v>0.81445962995477006</v>
      </c>
      <c r="H63" s="2">
        <f>H8*'Output-Calculation-sheet'!H52/10^9</f>
        <v>1.1082684821224875</v>
      </c>
      <c r="I63" s="2">
        <f>I8*'Output-Calculation-sheet'!I52/10^9</f>
        <v>0.64336898568511947</v>
      </c>
      <c r="J63" s="2">
        <f>J8*'Output-Calculation-sheet'!J52/10^9</f>
        <v>0.90951002466031217</v>
      </c>
      <c r="K63" s="2">
        <f>K8*'Output-Calculation-sheet'!K52/10^9</f>
        <v>0.59704867279505447</v>
      </c>
      <c r="L63" s="2">
        <f>L8*'Output-Calculation-sheet'!L52/10^9</f>
        <v>0.70688116433138737</v>
      </c>
      <c r="M63" s="2">
        <f>M8*'Output-Calculation-sheet'!M52/10^9</f>
        <v>0.81387787138276413</v>
      </c>
      <c r="N63" s="2">
        <f>N8*'Output-Calculation-sheet'!N52/10^9</f>
        <v>0.70379525980245072</v>
      </c>
      <c r="O63" s="2">
        <f>O8*'Output-Calculation-sheet'!O52/10^9</f>
        <v>0.71958811853599303</v>
      </c>
      <c r="P63" s="2">
        <f>P8*'Output-Calculation-sheet'!P52/10^9</f>
        <v>0.60720878608854512</v>
      </c>
      <c r="Q63" s="2">
        <f>Q8*'Output-Calculation-sheet'!Q52/10^9</f>
        <v>0.56639370115206189</v>
      </c>
      <c r="R63" s="2">
        <f>R8*'Output-Calculation-sheet'!R52/10^9</f>
        <v>0.51302043314630685</v>
      </c>
      <c r="S63" s="2">
        <f>S8*'Output-Calculation-sheet'!S52/10^9</f>
        <v>0.43527875599890942</v>
      </c>
      <c r="T63" s="2">
        <f>T8*'Output-Calculation-sheet'!T52/10^9</f>
        <v>0.20836870363288737</v>
      </c>
      <c r="U63" s="2">
        <f>U8*'Output-Calculation-sheet'!U52/10^9</f>
        <v>0.16249626792973149</v>
      </c>
      <c r="V63" s="2">
        <f>V8*'Output-Calculation-sheet'!V52/10^9</f>
        <v>0.26904534763602167</v>
      </c>
      <c r="W63" s="2">
        <f>W8*'Output-Calculation-sheet'!W52/10^9</f>
        <v>0.11290365338469269</v>
      </c>
      <c r="X63" s="2">
        <f>X8*'Output-Calculation-sheet'!X52/10^9</f>
        <v>0.10582865951429027</v>
      </c>
      <c r="Y63" s="2">
        <f>Y8*'Output-Calculation-sheet'!Y52/10^9</f>
        <v>6.5197662846347468E-2</v>
      </c>
      <c r="AA63" s="2">
        <f t="shared" si="4"/>
        <v>27.957301077272195</v>
      </c>
    </row>
    <row r="64" spans="1:27" x14ac:dyDescent="0.25">
      <c r="A64" s="2">
        <v>2032</v>
      </c>
      <c r="B64" s="2">
        <f>B9*'Output-Calculation-sheet'!B53/10^9</f>
        <v>9.23170292197244</v>
      </c>
      <c r="C64" s="2">
        <f>C9*'Output-Calculation-sheet'!C53/10^9</f>
        <v>4.4376971086654216</v>
      </c>
      <c r="D64" s="2">
        <f>D9*'Output-Calculation-sheet'!D53/10^9</f>
        <v>1.9400414205570551</v>
      </c>
      <c r="E64" s="2">
        <f>E9*'Output-Calculation-sheet'!E53/10^9</f>
        <v>2.2652252410117617</v>
      </c>
      <c r="F64" s="2">
        <f>F9*'Output-Calculation-sheet'!F53/10^9</f>
        <v>1.03947363929074</v>
      </c>
      <c r="G64" s="2">
        <f>G9*'Output-Calculation-sheet'!G53/10^9</f>
        <v>0.7783148808037107</v>
      </c>
      <c r="H64" s="2">
        <f>H9*'Output-Calculation-sheet'!H53/10^9</f>
        <v>1.2546292355981998</v>
      </c>
      <c r="I64" s="2">
        <f>I9*'Output-Calculation-sheet'!I53/10^9</f>
        <v>0.63115998062882772</v>
      </c>
      <c r="J64" s="2">
        <f>J9*'Output-Calculation-sheet'!J53/10^9</f>
        <v>0.84715131645994257</v>
      </c>
      <c r="K64" s="2">
        <f>K9*'Output-Calculation-sheet'!K53/10^9</f>
        <v>0.62538719400596965</v>
      </c>
      <c r="L64" s="2">
        <f>L9*'Output-Calculation-sheet'!L53/10^9</f>
        <v>0.70210411747820067</v>
      </c>
      <c r="M64" s="2">
        <f>M9*'Output-Calculation-sheet'!M53/10^9</f>
        <v>0.90769248327324625</v>
      </c>
      <c r="N64" s="2">
        <f>N9*'Output-Calculation-sheet'!N53/10^9</f>
        <v>0.81107659844367119</v>
      </c>
      <c r="O64" s="2">
        <f>O9*'Output-Calculation-sheet'!O53/10^9</f>
        <v>0.81070136321393882</v>
      </c>
      <c r="P64" s="2">
        <f>P9*'Output-Calculation-sheet'!P53/10^9</f>
        <v>0.66732453519414692</v>
      </c>
      <c r="Q64" s="2">
        <f>Q9*'Output-Calculation-sheet'!Q53/10^9</f>
        <v>0.63297378156246165</v>
      </c>
      <c r="R64" s="2">
        <f>R9*'Output-Calculation-sheet'!R53/10^9</f>
        <v>0.53848298258997451</v>
      </c>
      <c r="S64" s="2">
        <f>S9*'Output-Calculation-sheet'!S53/10^9</f>
        <v>0.49093433797618147</v>
      </c>
      <c r="T64" s="2">
        <f>T9*'Output-Calculation-sheet'!T53/10^9</f>
        <v>0.2012951529170712</v>
      </c>
      <c r="U64" s="2">
        <f>U9*'Output-Calculation-sheet'!U53/10^9</f>
        <v>0.17150240034113312</v>
      </c>
      <c r="V64" s="2">
        <f>V9*'Output-Calculation-sheet'!V53/10^9</f>
        <v>0.2499586473549705</v>
      </c>
      <c r="W64" s="2">
        <f>W9*'Output-Calculation-sheet'!W53/10^9</f>
        <v>0.10654069833656624</v>
      </c>
      <c r="X64" s="2">
        <f>X9*'Output-Calculation-sheet'!X53/10^9</f>
        <v>0.11395716436018684</v>
      </c>
      <c r="Y64" s="2">
        <f>Y9*'Output-Calculation-sheet'!Y53/10^9</f>
        <v>6.7765847605917279E-2</v>
      </c>
      <c r="AA64" s="2">
        <f t="shared" si="4"/>
        <v>29.52309304964173</v>
      </c>
    </row>
    <row r="65" spans="1:27" x14ac:dyDescent="0.25">
      <c r="A65" s="2">
        <v>2033</v>
      </c>
      <c r="B65" s="2">
        <f>B10*'Output-Calculation-sheet'!B54/10^9</f>
        <v>9.7170834610636803</v>
      </c>
      <c r="C65" s="2">
        <f>C10*'Output-Calculation-sheet'!C54/10^9</f>
        <v>4.6928278408403097</v>
      </c>
      <c r="D65" s="2">
        <f>D10*'Output-Calculation-sheet'!D54/10^9</f>
        <v>1.7797471878288351</v>
      </c>
      <c r="E65" s="2">
        <f>E10*'Output-Calculation-sheet'!E54/10^9</f>
        <v>2.2665316038934327</v>
      </c>
      <c r="F65" s="2">
        <f>F10*'Output-Calculation-sheet'!F54/10^9</f>
        <v>0.97394707611700071</v>
      </c>
      <c r="G65" s="2">
        <f>G10*'Output-Calculation-sheet'!G54/10^9</f>
        <v>0.69340314694456173</v>
      </c>
      <c r="H65" s="2">
        <f>H10*'Output-Calculation-sheet'!H54/10^9</f>
        <v>1.374381460319835</v>
      </c>
      <c r="I65" s="2">
        <f>I10*'Output-Calculation-sheet'!I54/10^9</f>
        <v>0.60796982804629729</v>
      </c>
      <c r="J65" s="2">
        <f>J10*'Output-Calculation-sheet'!J54/10^9</f>
        <v>0.71932395085886691</v>
      </c>
      <c r="K65" s="2">
        <f>K10*'Output-Calculation-sheet'!K54/10^9</f>
        <v>0.67315556257450326</v>
      </c>
      <c r="L65" s="2">
        <f>L10*'Output-Calculation-sheet'!L54/10^9</f>
        <v>0.69419616962273989</v>
      </c>
      <c r="M65" s="2">
        <f>M10*'Output-Calculation-sheet'!M54/10^9</f>
        <v>0.97803717421393488</v>
      </c>
      <c r="N65" s="2">
        <f>N10*'Output-Calculation-sheet'!N54/10^9</f>
        <v>0.89720453621109797</v>
      </c>
      <c r="O65" s="2">
        <f>O10*'Output-Calculation-sheet'!O54/10^9</f>
        <v>0.87631848707629734</v>
      </c>
      <c r="P65" s="2">
        <f>P10*'Output-Calculation-sheet'!P54/10^9</f>
        <v>0.7282154739640645</v>
      </c>
      <c r="Q65" s="2">
        <f>Q10*'Output-Calculation-sheet'!Q54/10^9</f>
        <v>0.7171079835965426</v>
      </c>
      <c r="R65" s="2">
        <f>R10*'Output-Calculation-sheet'!R54/10^9</f>
        <v>0.5696712366953196</v>
      </c>
      <c r="S65" s="2">
        <f>S10*'Output-Calculation-sheet'!S54/10^9</f>
        <v>0.53169728017204343</v>
      </c>
      <c r="T65" s="2">
        <f>T10*'Output-Calculation-sheet'!T54/10^9</f>
        <v>0.19291724788043965</v>
      </c>
      <c r="U65" s="2">
        <f>U10*'Output-Calculation-sheet'!U54/10^9</f>
        <v>0.18528254602413788</v>
      </c>
      <c r="V65" s="2">
        <f>V10*'Output-Calculation-sheet'!V54/10^9</f>
        <v>0.21831066920942452</v>
      </c>
      <c r="W65" s="2">
        <f>W10*'Output-Calculation-sheet'!W54/10^9</f>
        <v>9.3299890801202517E-2</v>
      </c>
      <c r="X65" s="2">
        <f>X10*'Output-Calculation-sheet'!X54/10^9</f>
        <v>0.11683657365971732</v>
      </c>
      <c r="Y65" s="2">
        <f>Y10*'Output-Calculation-sheet'!Y54/10^9</f>
        <v>7.2383556154769685E-2</v>
      </c>
      <c r="AA65" s="2">
        <f t="shared" si="4"/>
        <v>30.369849943769051</v>
      </c>
    </row>
    <row r="66" spans="1:27" x14ac:dyDescent="0.25">
      <c r="A66" s="2">
        <v>2034</v>
      </c>
      <c r="B66" s="2">
        <f>B11*'Output-Calculation-sheet'!B55/10^9</f>
        <v>9.9893911828367496</v>
      </c>
      <c r="C66" s="2">
        <f>C11*'Output-Calculation-sheet'!C55/10^9</f>
        <v>4.8514813216068724</v>
      </c>
      <c r="D66" s="2">
        <f>D11*'Output-Calculation-sheet'!D55/10^9</f>
        <v>1.9508537228403908</v>
      </c>
      <c r="E66" s="2">
        <f>E11*'Output-Calculation-sheet'!E55/10^9</f>
        <v>2.5267447415175233</v>
      </c>
      <c r="F66" s="2">
        <f>F11*'Output-Calculation-sheet'!F55/10^9</f>
        <v>0.99446898315833954</v>
      </c>
      <c r="G66" s="2">
        <f>G11*'Output-Calculation-sheet'!G55/10^9</f>
        <v>0.72542124540142228</v>
      </c>
      <c r="H66" s="2">
        <f>H11*'Output-Calculation-sheet'!H55/10^9</f>
        <v>1.4583650854243906</v>
      </c>
      <c r="I66" s="2">
        <f>I11*'Output-Calculation-sheet'!I55/10^9</f>
        <v>0.67436546331162039</v>
      </c>
      <c r="J66" s="2">
        <f>J11*'Output-Calculation-sheet'!J55/10^9</f>
        <v>0.67895539924257442</v>
      </c>
      <c r="K66" s="2">
        <f>K11*'Output-Calculation-sheet'!K55/10^9</f>
        <v>0.77310121897619366</v>
      </c>
      <c r="L66" s="2">
        <f>L11*'Output-Calculation-sheet'!L55/10^9</f>
        <v>0.74949610026391156</v>
      </c>
      <c r="M66" s="2">
        <f>M11*'Output-Calculation-sheet'!M55/10^9</f>
        <v>1.0224952311208082</v>
      </c>
      <c r="N66" s="2">
        <f>N11*'Output-Calculation-sheet'!N55/10^9</f>
        <v>0.96923532800695822</v>
      </c>
      <c r="O66" s="2">
        <f>O11*'Output-Calculation-sheet'!O55/10^9</f>
        <v>0.92201233613744105</v>
      </c>
      <c r="P66" s="2">
        <f>P11*'Output-Calculation-sheet'!P55/10^9</f>
        <v>0.80140878083941991</v>
      </c>
      <c r="Q66" s="2">
        <f>Q11*'Output-Calculation-sheet'!Q55/10^9</f>
        <v>0.80695872880805097</v>
      </c>
      <c r="R66" s="2">
        <f>R11*'Output-Calculation-sheet'!R55/10^9</f>
        <v>0.61541191692745945</v>
      </c>
      <c r="S66" s="2">
        <f>S11*'Output-Calculation-sheet'!S55/10^9</f>
        <v>0.56290685717703293</v>
      </c>
      <c r="T66" s="2">
        <f>T11*'Output-Calculation-sheet'!T55/10^9</f>
        <v>0.19282909798583789</v>
      </c>
      <c r="U66" s="2">
        <f>U11*'Output-Calculation-sheet'!U55/10^9</f>
        <v>0.20986581111462543</v>
      </c>
      <c r="V66" s="2">
        <f>V11*'Output-Calculation-sheet'!V55/10^9</f>
        <v>0.18222839583334743</v>
      </c>
      <c r="W66" s="2">
        <f>W11*'Output-Calculation-sheet'!W55/10^9</f>
        <v>8.9279830074623076E-2</v>
      </c>
      <c r="X66" s="2">
        <f>X11*'Output-Calculation-sheet'!X55/10^9</f>
        <v>0.11696850382878053</v>
      </c>
      <c r="Y66" s="2">
        <f>Y11*'Output-Calculation-sheet'!Y55/10^9</f>
        <v>8.5333075451489479E-2</v>
      </c>
      <c r="AA66" s="2">
        <f t="shared" si="4"/>
        <v>31.949578357885866</v>
      </c>
    </row>
    <row r="67" spans="1:27" x14ac:dyDescent="0.25">
      <c r="A67" s="2">
        <v>2035</v>
      </c>
      <c r="B67" s="2">
        <f>B12*'Output-Calculation-sheet'!B56/10^9</f>
        <v>10.422783439837545</v>
      </c>
      <c r="C67" s="2">
        <f>C12*'Output-Calculation-sheet'!C56/10^9</f>
        <v>4.8754550438468298</v>
      </c>
      <c r="D67" s="2">
        <f>D12*'Output-Calculation-sheet'!D56/10^9</f>
        <v>2.3918273545086097</v>
      </c>
      <c r="E67" s="2">
        <f>E12*'Output-Calculation-sheet'!E56/10^9</f>
        <v>3.2133048228969008</v>
      </c>
      <c r="F67" s="2">
        <f>F12*'Output-Calculation-sheet'!F56/10^9</f>
        <v>1.2842025787065321</v>
      </c>
      <c r="G67" s="2">
        <f>G12*'Output-Calculation-sheet'!G56/10^9</f>
        <v>0.94615668738626046</v>
      </c>
      <c r="H67" s="2">
        <f>H12*'Output-Calculation-sheet'!H56/10^9</f>
        <v>1.534999439363802</v>
      </c>
      <c r="I67" s="2">
        <f>I12*'Output-Calculation-sheet'!I56/10^9</f>
        <v>0.86700050757887848</v>
      </c>
      <c r="J67" s="2">
        <f>J12*'Output-Calculation-sheet'!J56/10^9</f>
        <v>0.79388505200192727</v>
      </c>
      <c r="K67" s="2">
        <f>K12*'Output-Calculation-sheet'!K56/10^9</f>
        <v>0.95090073797860997</v>
      </c>
      <c r="L67" s="2">
        <f>L12*'Output-Calculation-sheet'!L56/10^9</f>
        <v>0.88624083497041439</v>
      </c>
      <c r="M67" s="2">
        <f>M12*'Output-Calculation-sheet'!M56/10^9</f>
        <v>1.0645195795979403</v>
      </c>
      <c r="N67" s="2">
        <f>N12*'Output-Calculation-sheet'!N56/10^9</f>
        <v>1.0381133330713852</v>
      </c>
      <c r="O67" s="2">
        <f>O12*'Output-Calculation-sheet'!O56/10^9</f>
        <v>0.94683088845489738</v>
      </c>
      <c r="P67" s="2">
        <f>P12*'Output-Calculation-sheet'!P56/10^9</f>
        <v>0.9192106941824818</v>
      </c>
      <c r="Q67" s="2">
        <f>Q12*'Output-Calculation-sheet'!Q56/10^9</f>
        <v>0.91067151916130273</v>
      </c>
      <c r="R67" s="2">
        <f>R12*'Output-Calculation-sheet'!R56/10^9</f>
        <v>0.73213660687022619</v>
      </c>
      <c r="S67" s="2">
        <f>S12*'Output-Calculation-sheet'!S56/10^9</f>
        <v>0.59578353271794326</v>
      </c>
      <c r="T67" s="2">
        <f>T12*'Output-Calculation-sheet'!T56/10^9</f>
        <v>0.22783815032625643</v>
      </c>
      <c r="U67" s="2">
        <f>U12*'Output-Calculation-sheet'!U56/10^9</f>
        <v>0.24630461148061195</v>
      </c>
      <c r="V67" s="2">
        <f>V12*'Output-Calculation-sheet'!V56/10^9</f>
        <v>0.17571345190675128</v>
      </c>
      <c r="W67" s="2">
        <f>W12*'Output-Calculation-sheet'!W56/10^9</f>
        <v>0.11927396180935301</v>
      </c>
      <c r="X67" s="2">
        <f>X12*'Output-Calculation-sheet'!X56/10^9</f>
        <v>0.11416180635694176</v>
      </c>
      <c r="Y67" s="2">
        <f>Y12*'Output-Calculation-sheet'!Y56/10^9</f>
        <v>0.10614602623462317</v>
      </c>
      <c r="AA67" s="2">
        <f t="shared" si="4"/>
        <v>35.363460661247039</v>
      </c>
    </row>
    <row r="68" spans="1:27" x14ac:dyDescent="0.25">
      <c r="B68" s="2">
        <f>SUM(B60:B67)</f>
        <v>47.88875908195881</v>
      </c>
      <c r="C68" s="2">
        <f t="shared" ref="C68:Y68" si="5">SUM(C60:C67)</f>
        <v>22.875630619280766</v>
      </c>
      <c r="D68" s="2">
        <f t="shared" si="5"/>
        <v>10.059173871397503</v>
      </c>
      <c r="E68" s="2">
        <f t="shared" si="5"/>
        <v>12.556124010743744</v>
      </c>
      <c r="F68" s="2">
        <f t="shared" si="5"/>
        <v>5.3598640062882055</v>
      </c>
      <c r="G68" s="2">
        <f t="shared" si="5"/>
        <v>3.9577555904907253</v>
      </c>
      <c r="H68" s="2">
        <f t="shared" si="5"/>
        <v>6.7306437028287158</v>
      </c>
      <c r="I68" s="2">
        <f t="shared" si="5"/>
        <v>3.4238647652507432</v>
      </c>
      <c r="J68" s="2">
        <f t="shared" si="5"/>
        <v>3.9488257432236229</v>
      </c>
      <c r="K68" s="2">
        <f t="shared" si="5"/>
        <v>3.6195933863303313</v>
      </c>
      <c r="L68" s="2">
        <f t="shared" si="5"/>
        <v>3.7389183866666542</v>
      </c>
      <c r="M68" s="2">
        <f t="shared" si="5"/>
        <v>4.7866223395886935</v>
      </c>
      <c r="N68" s="2">
        <f t="shared" si="5"/>
        <v>4.4194250555355641</v>
      </c>
      <c r="O68" s="2">
        <f t="shared" si="5"/>
        <v>4.2754511934185677</v>
      </c>
      <c r="P68" s="2">
        <f t="shared" si="5"/>
        <v>3.7233682702686579</v>
      </c>
      <c r="Q68" s="2">
        <f t="shared" si="5"/>
        <v>3.6341057142804196</v>
      </c>
      <c r="R68" s="2">
        <f t="shared" si="5"/>
        <v>2.9687231762292865</v>
      </c>
      <c r="S68" s="2">
        <f t="shared" si="5"/>
        <v>2.6166007640421105</v>
      </c>
      <c r="T68" s="2">
        <f t="shared" si="5"/>
        <v>1.0232483527424927</v>
      </c>
      <c r="U68" s="2">
        <f t="shared" si="5"/>
        <v>0.97545163689023995</v>
      </c>
      <c r="V68" s="2">
        <f t="shared" si="5"/>
        <v>1.0952565119405155</v>
      </c>
      <c r="W68" s="2">
        <f t="shared" si="5"/>
        <v>0.52129803440643752</v>
      </c>
      <c r="X68" s="2">
        <f t="shared" si="5"/>
        <v>0.5677527077199167</v>
      </c>
      <c r="Y68" s="2">
        <f t="shared" si="5"/>
        <v>0.39682616829314704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64.43595818923707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6.4435958189237072E-2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619.92451753550415</v>
      </c>
      <c r="Q76" s="2">
        <f>Q10/'Output-Calculation-sheet'!Q9*'Output-Calculation-sheet'!Q63</f>
        <v>73.52857004479803</v>
      </c>
      <c r="R76" s="2">
        <f>R10/'Output-Calculation-sheet'!R9*'Output-Calculation-sheet'!R63</f>
        <v>471.02032598173048</v>
      </c>
      <c r="S76" s="2">
        <f>S10/'Output-Calculation-sheet'!S9*'Output-Calculation-sheet'!S63</f>
        <v>0</v>
      </c>
      <c r="T76" s="2">
        <f>T10/'Output-Calculation-sheet'!T9*'Output-Calculation-sheet'!T63</f>
        <v>30.998878182853268</v>
      </c>
      <c r="U76" s="2">
        <f>U10/'Output-Calculation-sheet'!U9*'Output-Calculation-sheet'!U63</f>
        <v>167.60315671400437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7.9496801238216195</v>
      </c>
      <c r="AA76" s="2">
        <f t="shared" si="6"/>
        <v>1.5011668577074995</v>
      </c>
    </row>
    <row r="77" spans="1:27" x14ac:dyDescent="0.25">
      <c r="A77" s="2">
        <v>2034</v>
      </c>
      <c r="B77" s="2">
        <f>B11/'Output-Calculation-sheet'!B10*'Output-Calculation-sheet'!B64</f>
        <v>652.00929876759722</v>
      </c>
      <c r="C77" s="2">
        <f>C11/'Output-Calculation-sheet'!C10*'Output-Calculation-sheet'!C64</f>
        <v>0</v>
      </c>
      <c r="D77" s="2">
        <f>D11/'Output-Calculation-sheet'!D10*'Output-Calculation-sheet'!D64</f>
        <v>2194.651798910787</v>
      </c>
      <c r="E77" s="2">
        <f>E11/'Output-Calculation-sheet'!E10*'Output-Calculation-sheet'!E64</f>
        <v>2747.7008022797777</v>
      </c>
      <c r="F77" s="2">
        <f>F11/'Output-Calculation-sheet'!F10*'Output-Calculation-sheet'!F64</f>
        <v>196.36050288181687</v>
      </c>
      <c r="G77" s="2">
        <f>G11/'Output-Calculation-sheet'!G10*'Output-Calculation-sheet'!G64</f>
        <v>1158.8839730227792</v>
      </c>
      <c r="H77" s="2">
        <f>H11/'Output-Calculation-sheet'!H10*'Output-Calculation-sheet'!H64</f>
        <v>180.44440977163032</v>
      </c>
      <c r="I77" s="2">
        <f>I11/'Output-Calculation-sheet'!I10*'Output-Calculation-sheet'!I64</f>
        <v>685.6113385922423</v>
      </c>
      <c r="J77" s="2">
        <f>J11/'Output-Calculation-sheet'!J10*'Output-Calculation-sheet'!J64</f>
        <v>480.0605657349202</v>
      </c>
      <c r="K77" s="2">
        <f>K11/'Output-Calculation-sheet'!K10*'Output-Calculation-sheet'!K64</f>
        <v>1047.2531050682289</v>
      </c>
      <c r="L77" s="2">
        <f>L11/'Output-Calculation-sheet'!L10*'Output-Calculation-sheet'!L64</f>
        <v>433.61481682199508</v>
      </c>
      <c r="M77" s="2">
        <f>M11/'Output-Calculation-sheet'!M10*'Output-Calculation-sheet'!M64</f>
        <v>129.95883908402675</v>
      </c>
      <c r="N77" s="2">
        <f>N11/'Output-Calculation-sheet'!N10*'Output-Calculation-sheet'!N64</f>
        <v>42.981049224907785</v>
      </c>
      <c r="O77" s="2">
        <f>O11/'Output-Calculation-sheet'!O10*'Output-Calculation-sheet'!O64</f>
        <v>0</v>
      </c>
      <c r="P77" s="2">
        <f>P11/'Output-Calculation-sheet'!P10*'Output-Calculation-sheet'!P64</f>
        <v>885.01629042295372</v>
      </c>
      <c r="Q77" s="2">
        <f>Q11/'Output-Calculation-sheet'!Q10*'Output-Calculation-sheet'!Q64</f>
        <v>213.64225452090687</v>
      </c>
      <c r="R77" s="2">
        <f>R11/'Output-Calculation-sheet'!R10*'Output-Calculation-sheet'!R64</f>
        <v>1100.209004724268</v>
      </c>
      <c r="S77" s="2">
        <f>S11/'Output-Calculation-sheet'!S10*'Output-Calculation-sheet'!S64</f>
        <v>0</v>
      </c>
      <c r="T77" s="2">
        <f>T11/'Output-Calculation-sheet'!T10*'Output-Calculation-sheet'!T64</f>
        <v>305.11990654369936</v>
      </c>
      <c r="U77" s="2">
        <f>U11/'Output-Calculation-sheet'!U10*'Output-Calculation-sheet'!U64</f>
        <v>404.47893241896674</v>
      </c>
      <c r="V77" s="2">
        <f>V11/'Output-Calculation-sheet'!V10*'Output-Calculation-sheet'!V64</f>
        <v>157.9925878171658</v>
      </c>
      <c r="W77" s="2">
        <f>W11/'Output-Calculation-sheet'!W10*'Output-Calculation-sheet'!W64</f>
        <v>34.87955261391911</v>
      </c>
      <c r="X77" s="2">
        <f>X11/'Output-Calculation-sheet'!X10*'Output-Calculation-sheet'!X64</f>
        <v>12.955470014390242</v>
      </c>
      <c r="Y77" s="2">
        <f>Y11/'Output-Calculation-sheet'!Y10*'Output-Calculation-sheet'!Y64</f>
        <v>73.023791737659323</v>
      </c>
      <c r="AA77" s="2">
        <f t="shared" si="6"/>
        <v>13.136848290974637</v>
      </c>
    </row>
    <row r="78" spans="1:27" x14ac:dyDescent="0.25">
      <c r="A78" s="2">
        <v>2035</v>
      </c>
      <c r="B78" s="2">
        <f>B12/'Output-Calculation-sheet'!B11*'Output-Calculation-sheet'!B65</f>
        <v>116.17739297891755</v>
      </c>
      <c r="C78" s="2">
        <f>C12/'Output-Calculation-sheet'!C11*'Output-Calculation-sheet'!C65</f>
        <v>84.801386959619464</v>
      </c>
      <c r="D78" s="2">
        <f>D12/'Output-Calculation-sheet'!D11*'Output-Calculation-sheet'!D65</f>
        <v>2444.3530885247055</v>
      </c>
      <c r="E78" s="2">
        <f>E12/'Output-Calculation-sheet'!E11*'Output-Calculation-sheet'!E65</f>
        <v>2185.018953480524</v>
      </c>
      <c r="F78" s="2">
        <f>F12/'Output-Calculation-sheet'!F11*'Output-Calculation-sheet'!F65</f>
        <v>983.75225500494855</v>
      </c>
      <c r="G78" s="2">
        <f>G12/'Output-Calculation-sheet'!G11*'Output-Calculation-sheet'!G65</f>
        <v>1892.7527657864255</v>
      </c>
      <c r="H78" s="2">
        <f>H12/'Output-Calculation-sheet'!H11*'Output-Calculation-sheet'!H65</f>
        <v>33.254821811102062</v>
      </c>
      <c r="I78" s="2">
        <f>I12/'Output-Calculation-sheet'!I11*'Output-Calculation-sheet'!I65</f>
        <v>1100.5754516965317</v>
      </c>
      <c r="J78" s="2">
        <f>J12/'Output-Calculation-sheet'!J11*'Output-Calculation-sheet'!J65</f>
        <v>988.9107973633179</v>
      </c>
      <c r="K78" s="2">
        <f>K12/'Output-Calculation-sheet'!K11*'Output-Calculation-sheet'!K65</f>
        <v>1247.9347303141458</v>
      </c>
      <c r="L78" s="2">
        <f>L12/'Output-Calculation-sheet'!L11*'Output-Calculation-sheet'!L65</f>
        <v>739.712345429886</v>
      </c>
      <c r="M78" s="2">
        <f>M12/'Output-Calculation-sheet'!M11*'Output-Calculation-sheet'!M65</f>
        <v>22.786284105829015</v>
      </c>
      <c r="N78" s="2">
        <f>N12/'Output-Calculation-sheet'!N11*'Output-Calculation-sheet'!N65</f>
        <v>19.504294988423293</v>
      </c>
      <c r="O78" s="2">
        <f>O12/'Output-Calculation-sheet'!O11*'Output-Calculation-sheet'!O65</f>
        <v>3.8836369431490767</v>
      </c>
      <c r="P78" s="2">
        <f>P12/'Output-Calculation-sheet'!P11*'Output-Calculation-sheet'!P65</f>
        <v>328.14483886830851</v>
      </c>
      <c r="Q78" s="2">
        <f>Q12/'Output-Calculation-sheet'!Q11*'Output-Calculation-sheet'!Q65</f>
        <v>312.4553785617793</v>
      </c>
      <c r="R78" s="2">
        <f>R12/'Output-Calculation-sheet'!R11*'Output-Calculation-sheet'!R65</f>
        <v>1431.3998176296627</v>
      </c>
      <c r="S78" s="2">
        <f>S12/'Output-Calculation-sheet'!S11*'Output-Calculation-sheet'!S65</f>
        <v>8.6797467901795944</v>
      </c>
      <c r="T78" s="2">
        <f>T12/'Output-Calculation-sheet'!T11*'Output-Calculation-sheet'!T65</f>
        <v>513.47695652310199</v>
      </c>
      <c r="U78" s="2">
        <f>U12/'Output-Calculation-sheet'!U11*'Output-Calculation-sheet'!U65</f>
        <v>437.83143392439052</v>
      </c>
      <c r="V78" s="2">
        <f>V12/'Output-Calculation-sheet'!V11*'Output-Calculation-sheet'!V65</f>
        <v>276.39096306182836</v>
      </c>
      <c r="W78" s="2">
        <f>W12/'Output-Calculation-sheet'!W11*'Output-Calculation-sheet'!W65</f>
        <v>198.91194903660292</v>
      </c>
      <c r="X78" s="2">
        <f>X12/'Output-Calculation-sheet'!X11*'Output-Calculation-sheet'!X65</f>
        <v>2.9093063104131835</v>
      </c>
      <c r="Y78" s="2">
        <f>Y12/'Output-Calculation-sheet'!Y11*'Output-Calculation-sheet'!Y65</f>
        <v>58.24438229941331</v>
      </c>
      <c r="AA78" s="2">
        <f t="shared" si="6"/>
        <v>15.431862978393205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29.464213284026769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154.84701807499908</v>
      </c>
      <c r="E89" s="2">
        <f>E12/'Output-Calculation-sheet'!E11*'Output-Calculation-sheet'!E74</f>
        <v>108.2947542191593</v>
      </c>
      <c r="F89" s="2">
        <f>F12/'Output-Calculation-sheet'!F11*'Output-Calculation-sheet'!F74</f>
        <v>65.014043206026955</v>
      </c>
      <c r="G89" s="2">
        <f>G12/'Output-Calculation-sheet'!G11*'Output-Calculation-sheet'!G74</f>
        <v>57.769011056228265</v>
      </c>
      <c r="H89" s="2">
        <f>H12/'Output-Calculation-sheet'!H11*'Output-Calculation-sheet'!H74</f>
        <v>8.6096626048160676</v>
      </c>
      <c r="I89" s="2">
        <f>I12/'Output-Calculation-sheet'!I11*'Output-Calculation-sheet'!I74</f>
        <v>53.958103911835252</v>
      </c>
      <c r="J89" s="2">
        <f>J12/'Output-Calculation-sheet'!J11*'Output-Calculation-sheet'!J74</f>
        <v>31.6448290673355</v>
      </c>
      <c r="K89" s="2">
        <f>K12/'Output-Calculation-sheet'!K11*'Output-Calculation-sheet'!K74</f>
        <v>62.853010085798878</v>
      </c>
      <c r="L89" s="2">
        <f>L12/'Output-Calculation-sheet'!L11*'Output-Calculation-sheet'!L74</f>
        <v>42.168785764731922</v>
      </c>
      <c r="M89" s="2">
        <f>M12/'Output-Calculation-sheet'!M11*'Output-Calculation-sheet'!M74</f>
        <v>7.4053572004644188</v>
      </c>
      <c r="N89" s="2">
        <f>N12/'Output-Calculation-sheet'!N11*'Output-Calculation-sheet'!N74</f>
        <v>5.8226121317779818</v>
      </c>
      <c r="O89" s="2">
        <f>O12/'Output-Calculation-sheet'!O11*'Output-Calculation-sheet'!O74</f>
        <v>2.716779953234751</v>
      </c>
      <c r="P89" s="2">
        <f>P12/'Output-Calculation-sheet'!P11*'Output-Calculation-sheet'!P74</f>
        <v>6.7238385775586131</v>
      </c>
      <c r="Q89" s="2">
        <f>Q12/'Output-Calculation-sheet'!Q11*'Output-Calculation-sheet'!Q74</f>
        <v>68.870246018572431</v>
      </c>
      <c r="R89" s="2">
        <f>R12/'Output-Calculation-sheet'!R11*'Output-Calculation-sheet'!R74</f>
        <v>31.619365386613012</v>
      </c>
      <c r="S89" s="2">
        <f>S12/'Output-Calculation-sheet'!S11*'Output-Calculation-sheet'!S74</f>
        <v>2.5032917102998256</v>
      </c>
      <c r="T89" s="2">
        <f>T12/'Output-Calculation-sheet'!T11*'Output-Calculation-sheet'!T74</f>
        <v>7.4867034011258191</v>
      </c>
      <c r="U89" s="2">
        <f>U12/'Output-Calculation-sheet'!U11*'Output-Calculation-sheet'!U74</f>
        <v>13.835323727745966</v>
      </c>
      <c r="V89" s="2">
        <f>V12/'Output-Calculation-sheet'!V11*'Output-Calculation-sheet'!V74</f>
        <v>1.8826311588493259</v>
      </c>
      <c r="W89" s="2">
        <f>W12/'Output-Calculation-sheet'!W11*'Output-Calculation-sheet'!W74</f>
        <v>4.8906894835851054</v>
      </c>
      <c r="X89" s="2">
        <f>X12/'Output-Calculation-sheet'!X11*'Output-Calculation-sheet'!X74</f>
        <v>0.32495323471609333</v>
      </c>
      <c r="Y89" s="2">
        <f>Y12/'Output-Calculation-sheet'!Y11*'Output-Calculation-sheet'!Y74</f>
        <v>3.4494469600404143</v>
      </c>
      <c r="AA89" s="2">
        <f t="shared" si="7"/>
        <v>0.77914686901238628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14151182111.056194</v>
      </c>
      <c r="C96" s="2">
        <f>C8/'Output-Calculation-sheet'!C7*'Output-Calculation-sheet'!C79</f>
        <v>4787418479.5185604</v>
      </c>
      <c r="D96" s="2">
        <f>D8/'Output-Calculation-sheet'!D7*'Output-Calculation-sheet'!D79</f>
        <v>4997724191.5866289</v>
      </c>
      <c r="E96" s="2">
        <f>E8/'Output-Calculation-sheet'!E7*'Output-Calculation-sheet'!E79</f>
        <v>8885541861.5059624</v>
      </c>
      <c r="F96" s="2">
        <f>F8/'Output-Calculation-sheet'!F7*'Output-Calculation-sheet'!F79</f>
        <v>3677637384.1198893</v>
      </c>
      <c r="G96" s="2">
        <f>G8/'Output-Calculation-sheet'!G7*'Output-Calculation-sheet'!G79</f>
        <v>2864583370.7153583</v>
      </c>
      <c r="H96" s="2">
        <f>H8/'Output-Calculation-sheet'!H7*'Output-Calculation-sheet'!H79</f>
        <v>2451925088.3424778</v>
      </c>
      <c r="I96" s="2">
        <f>I8/'Output-Calculation-sheet'!I7*'Output-Calculation-sheet'!I79</f>
        <v>1995481914.8955114</v>
      </c>
      <c r="J96" s="2">
        <f>J8/'Output-Calculation-sheet'!J7*'Output-Calculation-sheet'!J79</f>
        <v>1349392616.3345456</v>
      </c>
      <c r="K96" s="2">
        <f>K8/'Output-Calculation-sheet'!K7*'Output-Calculation-sheet'!K79</f>
        <v>1930581160.0598557</v>
      </c>
      <c r="L96" s="2">
        <f>L8/'Output-Calculation-sheet'!L7*'Output-Calculation-sheet'!L79</f>
        <v>1362219666.5754061</v>
      </c>
      <c r="M96" s="2">
        <f>M8/'Output-Calculation-sheet'!M7*'Output-Calculation-sheet'!M79</f>
        <v>1830312511.7610514</v>
      </c>
      <c r="N96" s="2">
        <f>N8/'Output-Calculation-sheet'!N7*'Output-Calculation-sheet'!N79</f>
        <v>1361896298.447665</v>
      </c>
      <c r="O96" s="2">
        <f>O8/'Output-Calculation-sheet'!O7*'Output-Calculation-sheet'!O79</f>
        <v>688484022.55215931</v>
      </c>
      <c r="P96" s="2">
        <f>P8/'Output-Calculation-sheet'!P7*'Output-Calculation-sheet'!P79</f>
        <v>2302849598.0978856</v>
      </c>
      <c r="Q96" s="2">
        <f>Q8/'Output-Calculation-sheet'!Q7*'Output-Calculation-sheet'!Q79</f>
        <v>1073224608.9623525</v>
      </c>
      <c r="R96" s="2">
        <f>R8/'Output-Calculation-sheet'!R7*'Output-Calculation-sheet'!R79</f>
        <v>1338977557.6691365</v>
      </c>
      <c r="S96" s="2">
        <f>S8/'Output-Calculation-sheet'!S7*'Output-Calculation-sheet'!S79</f>
        <v>780198935.30752051</v>
      </c>
      <c r="T96" s="2">
        <f>T8/'Output-Calculation-sheet'!T7*'Output-Calculation-sheet'!T79</f>
        <v>595889599.40137196</v>
      </c>
      <c r="U96" s="2">
        <f>U8/'Output-Calculation-sheet'!U7*'Output-Calculation-sheet'!U79</f>
        <v>374323256.68365175</v>
      </c>
      <c r="V96" s="2">
        <f>V8/'Output-Calculation-sheet'!V7*'Output-Calculation-sheet'!V79</f>
        <v>194217552.92361641</v>
      </c>
      <c r="W96" s="2">
        <f>W8/'Output-Calculation-sheet'!W7*'Output-Calculation-sheet'!W79</f>
        <v>573901845.34709203</v>
      </c>
      <c r="X96" s="2">
        <f>X8/'Output-Calculation-sheet'!X7*'Output-Calculation-sheet'!X79</f>
        <v>201709139.78179845</v>
      </c>
      <c r="Y96" s="2">
        <f>Y8/'Output-Calculation-sheet'!Y7*'Output-Calculation-sheet'!Y79</f>
        <v>315470343.7597667</v>
      </c>
      <c r="AA96" s="2">
        <f t="shared" si="8"/>
        <v>60.085143115405451</v>
      </c>
    </row>
    <row r="97" spans="1:27" x14ac:dyDescent="0.25">
      <c r="A97" s="2">
        <v>2032</v>
      </c>
      <c r="B97" s="2">
        <f>B9/'Output-Calculation-sheet'!B8*'Output-Calculation-sheet'!B80</f>
        <v>19968283758.370453</v>
      </c>
      <c r="C97" s="2">
        <f>C9/'Output-Calculation-sheet'!C8*'Output-Calculation-sheet'!C80</f>
        <v>6801317145.9052877</v>
      </c>
      <c r="D97" s="2">
        <f>D9/'Output-Calculation-sheet'!D8*'Output-Calculation-sheet'!D80</f>
        <v>6776816446.3600283</v>
      </c>
      <c r="E97" s="2">
        <f>E9/'Output-Calculation-sheet'!E8*'Output-Calculation-sheet'!E80</f>
        <v>12393801890.483215</v>
      </c>
      <c r="F97" s="2">
        <f>F9/'Output-Calculation-sheet'!F8*'Output-Calculation-sheet'!F80</f>
        <v>5119878744.7580614</v>
      </c>
      <c r="G97" s="2">
        <f>G9/'Output-Calculation-sheet'!G8*'Output-Calculation-sheet'!G80</f>
        <v>3875475879.7787361</v>
      </c>
      <c r="H97" s="2">
        <f>H9/'Output-Calculation-sheet'!H8*'Output-Calculation-sheet'!H80</f>
        <v>3409639201.5547781</v>
      </c>
      <c r="I97" s="2">
        <f>I9/'Output-Calculation-sheet'!I8*'Output-Calculation-sheet'!I80</f>
        <v>2804735511.0175714</v>
      </c>
      <c r="J97" s="2">
        <f>J9/'Output-Calculation-sheet'!J8*'Output-Calculation-sheet'!J80</f>
        <v>1843849591.6524909</v>
      </c>
      <c r="K97" s="2">
        <f>K9/'Output-Calculation-sheet'!K8*'Output-Calculation-sheet'!K80</f>
        <v>2658299602.9688749</v>
      </c>
      <c r="L97" s="2">
        <f>L9/'Output-Calculation-sheet'!L8*'Output-Calculation-sheet'!L80</f>
        <v>1934807377.7263217</v>
      </c>
      <c r="M97" s="2">
        <f>M9/'Output-Calculation-sheet'!M8*'Output-Calculation-sheet'!M80</f>
        <v>2552766357.7966266</v>
      </c>
      <c r="N97" s="2">
        <f>N9/'Output-Calculation-sheet'!N8*'Output-Calculation-sheet'!N80</f>
        <v>1865133566.7461581</v>
      </c>
      <c r="O97" s="2">
        <f>O9/'Output-Calculation-sheet'!O8*'Output-Calculation-sheet'!O80</f>
        <v>964896687.01905203</v>
      </c>
      <c r="P97" s="2">
        <f>P9/'Output-Calculation-sheet'!P8*'Output-Calculation-sheet'!P80</f>
        <v>3156981004.2941155</v>
      </c>
      <c r="Q97" s="2">
        <f>Q9/'Output-Calculation-sheet'!Q8*'Output-Calculation-sheet'!Q80</f>
        <v>1476712124.1432209</v>
      </c>
      <c r="R97" s="2">
        <f>R9/'Output-Calculation-sheet'!R8*'Output-Calculation-sheet'!R80</f>
        <v>1865825513.3191359</v>
      </c>
      <c r="S97" s="2">
        <f>S9/'Output-Calculation-sheet'!S8*'Output-Calculation-sheet'!S80</f>
        <v>1082917317.2734468</v>
      </c>
      <c r="T97" s="2">
        <f>T9/'Output-Calculation-sheet'!T8*'Output-Calculation-sheet'!T80</f>
        <v>815471052.25434101</v>
      </c>
      <c r="U97" s="2">
        <f>U9/'Output-Calculation-sheet'!U8*'Output-Calculation-sheet'!U80</f>
        <v>521325577.3739202</v>
      </c>
      <c r="V97" s="2">
        <f>V9/'Output-Calculation-sheet'!V8*'Output-Calculation-sheet'!V80</f>
        <v>273350846.71334338</v>
      </c>
      <c r="W97" s="2">
        <f>W9/'Output-Calculation-sheet'!W8*'Output-Calculation-sheet'!W80</f>
        <v>791635874.99724221</v>
      </c>
      <c r="X97" s="2">
        <f>X9/'Output-Calculation-sheet'!X8*'Output-Calculation-sheet'!X80</f>
        <v>284272166.08288097</v>
      </c>
      <c r="Y97" s="2">
        <f>Y9/'Output-Calculation-sheet'!Y8*'Output-Calculation-sheet'!Y80</f>
        <v>435132274.15477592</v>
      </c>
      <c r="AA97" s="2">
        <f t="shared" si="8"/>
        <v>83.673325512744086</v>
      </c>
    </row>
    <row r="98" spans="1:27" x14ac:dyDescent="0.25">
      <c r="A98" s="2">
        <v>2033</v>
      </c>
      <c r="B98" s="2">
        <f>B10/'Output-Calculation-sheet'!B9*'Output-Calculation-sheet'!B81</f>
        <v>25857577553.482147</v>
      </c>
      <c r="C98" s="2">
        <f>C10/'Output-Calculation-sheet'!C9*'Output-Calculation-sheet'!C81</f>
        <v>8865276862.3933506</v>
      </c>
      <c r="D98" s="2">
        <f>D10/'Output-Calculation-sheet'!D9*'Output-Calculation-sheet'!D81</f>
        <v>8437003647.9813261</v>
      </c>
      <c r="E98" s="2">
        <f>E10/'Output-Calculation-sheet'!E9*'Output-Calculation-sheet'!E81</f>
        <v>15870551114.196692</v>
      </c>
      <c r="F98" s="2">
        <f>F10/'Output-Calculation-sheet'!F9*'Output-Calculation-sheet'!F81</f>
        <v>6545399456.5007105</v>
      </c>
      <c r="G98" s="2">
        <f>G10/'Output-Calculation-sheet'!G9*'Output-Calculation-sheet'!G81</f>
        <v>4805839449.1392899</v>
      </c>
      <c r="H98" s="2">
        <f>H10/'Output-Calculation-sheet'!H9*'Output-Calculation-sheet'!H81</f>
        <v>4354138746.3837461</v>
      </c>
      <c r="I98" s="2">
        <f>I10/'Output-Calculation-sheet'!I9*'Output-Calculation-sheet'!I81</f>
        <v>3619560099.6408963</v>
      </c>
      <c r="J98" s="2">
        <f>J10/'Output-Calculation-sheet'!J9*'Output-Calculation-sheet'!J81</f>
        <v>2314430958.9804139</v>
      </c>
      <c r="K98" s="2">
        <f>K10/'Output-Calculation-sheet'!K9*'Output-Calculation-sheet'!K81</f>
        <v>3361807948.0522094</v>
      </c>
      <c r="L98" s="2">
        <f>L10/'Output-Calculation-sheet'!L9*'Output-Calculation-sheet'!L81</f>
        <v>2521412287.6968622</v>
      </c>
      <c r="M98" s="2">
        <f>M10/'Output-Calculation-sheet'!M9*'Output-Calculation-sheet'!M81</f>
        <v>3269771325.4928632</v>
      </c>
      <c r="N98" s="2">
        <f>N10/'Output-Calculation-sheet'!N9*'Output-Calculation-sheet'!N81</f>
        <v>2345801442.3236356</v>
      </c>
      <c r="O98" s="2">
        <f>O10/'Output-Calculation-sheet'!O9*'Output-Calculation-sheet'!O81</f>
        <v>1242232570.9185991</v>
      </c>
      <c r="P98" s="2">
        <f>P10/'Output-Calculation-sheet'!P9*'Output-Calculation-sheet'!P81</f>
        <v>3969839368.4644828</v>
      </c>
      <c r="Q98" s="2">
        <f>Q10/'Output-Calculation-sheet'!Q9*'Output-Calculation-sheet'!Q81</f>
        <v>1866514472.5994601</v>
      </c>
      <c r="R98" s="2">
        <f>R10/'Output-Calculation-sheet'!R9*'Output-Calculation-sheet'!R81</f>
        <v>2387561031.4256482</v>
      </c>
      <c r="S98" s="2">
        <f>S10/'Output-Calculation-sheet'!S9*'Output-Calculation-sheet'!S81</f>
        <v>1380431256.2185397</v>
      </c>
      <c r="T98" s="2">
        <f>T10/'Output-Calculation-sheet'!T9*'Output-Calculation-sheet'!T81</f>
        <v>1024332295.9067371</v>
      </c>
      <c r="U98" s="2">
        <f>U10/'Output-Calculation-sheet'!U9*'Output-Calculation-sheet'!U81</f>
        <v>666498054.16374147</v>
      </c>
      <c r="V98" s="2">
        <f>V10/'Output-Calculation-sheet'!V9*'Output-Calculation-sheet'!V81</f>
        <v>352987263.9999401</v>
      </c>
      <c r="W98" s="2">
        <f>W10/'Output-Calculation-sheet'!W9*'Output-Calculation-sheet'!W81</f>
        <v>1000848213.1560469</v>
      </c>
      <c r="X98" s="2">
        <f>X10/'Output-Calculation-sheet'!X9*'Output-Calculation-sheet'!X81</f>
        <v>367779335.60075116</v>
      </c>
      <c r="Y98" s="2">
        <f>Y10/'Output-Calculation-sheet'!Y9*'Output-Calculation-sheet'!Y81</f>
        <v>550325888.92143428</v>
      </c>
      <c r="AA98" s="2">
        <f t="shared" si="8"/>
        <v>106.97792064363951</v>
      </c>
    </row>
    <row r="99" spans="1:27" x14ac:dyDescent="0.25">
      <c r="A99" s="2">
        <v>2034</v>
      </c>
      <c r="B99" s="2">
        <f>B11/'Output-Calculation-sheet'!B10*'Output-Calculation-sheet'!B82</f>
        <v>31543985336.791538</v>
      </c>
      <c r="C99" s="2">
        <f>C11/'Output-Calculation-sheet'!C10*'Output-Calculation-sheet'!C82</f>
        <v>10883991163.270723</v>
      </c>
      <c r="D99" s="2">
        <f>D11/'Output-Calculation-sheet'!D10*'Output-Calculation-sheet'!D82</f>
        <v>9901321393.8672714</v>
      </c>
      <c r="E99" s="2">
        <f>E11/'Output-Calculation-sheet'!E10*'Output-Calculation-sheet'!E82</f>
        <v>19153260420.441872</v>
      </c>
      <c r="F99" s="2">
        <f>F11/'Output-Calculation-sheet'!F10*'Output-Calculation-sheet'!F82</f>
        <v>7888246759.1638918</v>
      </c>
      <c r="G99" s="2">
        <f>G11/'Output-Calculation-sheet'!G10*'Output-Calculation-sheet'!G82</f>
        <v>5607990751.4883518</v>
      </c>
      <c r="H99" s="2">
        <f>H11/'Output-Calculation-sheet'!H10*'Output-Calculation-sheet'!H82</f>
        <v>5241693644.6924505</v>
      </c>
      <c r="I99" s="2">
        <f>I11/'Output-Calculation-sheet'!I10*'Output-Calculation-sheet'!I82</f>
        <v>4402642417.1431599</v>
      </c>
      <c r="J99" s="2">
        <f>J11/'Output-Calculation-sheet'!J10*'Output-Calculation-sheet'!J82</f>
        <v>2739754562.7145796</v>
      </c>
      <c r="K99" s="2">
        <f>K11/'Output-Calculation-sheet'!K10*'Output-Calculation-sheet'!K82</f>
        <v>4008625134.6585889</v>
      </c>
      <c r="L99" s="2">
        <f>L11/'Output-Calculation-sheet'!L10*'Output-Calculation-sheet'!L82</f>
        <v>3094957553.6906052</v>
      </c>
      <c r="M99" s="2">
        <f>M11/'Output-Calculation-sheet'!M10*'Output-Calculation-sheet'!M82</f>
        <v>3948467589.7516537</v>
      </c>
      <c r="N99" s="2">
        <f>N11/'Output-Calculation-sheet'!N10*'Output-Calculation-sheet'!N82</f>
        <v>2781693975.1755114</v>
      </c>
      <c r="O99" s="2">
        <f>O11/'Output-Calculation-sheet'!O10*'Output-Calculation-sheet'!O82</f>
        <v>1508094207.0861559</v>
      </c>
      <c r="P99" s="2">
        <f>P11/'Output-Calculation-sheet'!P10*'Output-Calculation-sheet'!P82</f>
        <v>4701100133.8622513</v>
      </c>
      <c r="Q99" s="2">
        <f>Q11/'Output-Calculation-sheet'!Q10*'Output-Calculation-sheet'!Q82</f>
        <v>2224851361.9312563</v>
      </c>
      <c r="R99" s="2">
        <f>R11/'Output-Calculation-sheet'!R10*'Output-Calculation-sheet'!R82</f>
        <v>2880065053.5055933</v>
      </c>
      <c r="S99" s="2">
        <f>S11/'Output-Calculation-sheet'!S10*'Output-Calculation-sheet'!S82</f>
        <v>1658993967.8004563</v>
      </c>
      <c r="T99" s="2">
        <f>T11/'Output-Calculation-sheet'!T10*'Output-Calculation-sheet'!T82</f>
        <v>1212526237.6488349</v>
      </c>
      <c r="U99" s="2">
        <f>U11/'Output-Calculation-sheet'!U10*'Output-Calculation-sheet'!U82</f>
        <v>802960833.97143674</v>
      </c>
      <c r="V99" s="2">
        <f>V11/'Output-Calculation-sheet'!V10*'Output-Calculation-sheet'!V82</f>
        <v>429330953.99385214</v>
      </c>
      <c r="W99" s="2">
        <f>W11/'Output-Calculation-sheet'!W10*'Output-Calculation-sheet'!W82</f>
        <v>1190559471.4823179</v>
      </c>
      <c r="X99" s="2">
        <f>X11/'Output-Calculation-sheet'!X10*'Output-Calculation-sheet'!X82</f>
        <v>448395256.07093495</v>
      </c>
      <c r="Y99" s="2">
        <f>Y11/'Output-Calculation-sheet'!Y10*'Output-Calculation-sheet'!Y82</f>
        <v>655182231.5512706</v>
      </c>
      <c r="AA99" s="2">
        <f t="shared" si="8"/>
        <v>128.90869041175455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2064.7259900599602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635.58669713461768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437.34550262282113</v>
      </c>
      <c r="N107" s="2">
        <f>N8/'Output-Calculation-sheet'!N7*'Output-Calculation-sheet'!N88</f>
        <v>171.93588103963955</v>
      </c>
      <c r="O107" s="2">
        <f>O8/'Output-Calculation-sheet'!O7*'Output-Calculation-sheet'!O88</f>
        <v>481.34268017019161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47.977711242919092</v>
      </c>
      <c r="Y107" s="2">
        <f>Y8/'Output-Calculation-sheet'!Y7*'Output-Calculation-sheet'!Y88</f>
        <v>0</v>
      </c>
      <c r="AA107" s="2">
        <f t="shared" si="9"/>
        <v>3.8389144622701497</v>
      </c>
    </row>
    <row r="108" spans="1:27" x14ac:dyDescent="0.25">
      <c r="A108" s="2">
        <v>2032</v>
      </c>
      <c r="B108" s="2">
        <f>B9/'Output-Calculation-sheet'!B8*'Output-Calculation-sheet'!B89</f>
        <v>982.70934398040458</v>
      </c>
      <c r="C108" s="2">
        <f>C9/'Output-Calculation-sheet'!C8*'Output-Calculation-sheet'!C89</f>
        <v>3731.3327988550755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1005.0424672972262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691.56702775402573</v>
      </c>
      <c r="N108" s="2">
        <f>N9/'Output-Calculation-sheet'!N8*'Output-Calculation-sheet'!N89</f>
        <v>485.49873817383394</v>
      </c>
      <c r="O108" s="2">
        <f>O9/'Output-Calculation-sheet'!O8*'Output-Calculation-sheet'!O89</f>
        <v>724.89430343074514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222.64370957011809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75.866341287889355</v>
      </c>
      <c r="Y108" s="2">
        <f>Y9/'Output-Calculation-sheet'!Y8*'Output-Calculation-sheet'!Y89</f>
        <v>0</v>
      </c>
      <c r="AA108" s="2">
        <f t="shared" si="9"/>
        <v>7.9195547303493186</v>
      </c>
    </row>
    <row r="109" spans="1:27" x14ac:dyDescent="0.25">
      <c r="A109" s="2">
        <v>2033</v>
      </c>
      <c r="B109" s="2">
        <f>B10/'Output-Calculation-sheet'!B9*'Output-Calculation-sheet'!B90</f>
        <v>5304.604595447775</v>
      </c>
      <c r="C109" s="2">
        <f>C10/'Output-Calculation-sheet'!C9*'Output-Calculation-sheet'!C90</f>
        <v>5035.3762364211116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1550.0449775633886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1066.5817942014903</v>
      </c>
      <c r="N109" s="2">
        <f>N10/'Output-Calculation-sheet'!N9*'Output-Calculation-sheet'!N90</f>
        <v>838.6215446922198</v>
      </c>
      <c r="O109" s="2">
        <f>O10/'Output-Calculation-sheet'!O9*'Output-Calculation-sheet'!O90</f>
        <v>978.2337159880816</v>
      </c>
      <c r="P109" s="2">
        <f>P10/'Output-Calculation-sheet'!P9*'Output-Calculation-sheet'!P90</f>
        <v>0</v>
      </c>
      <c r="Q109" s="2">
        <f>Q10/'Output-Calculation-sheet'!Q9*'Output-Calculation-sheet'!Q90</f>
        <v>183.69021781355681</v>
      </c>
      <c r="R109" s="2">
        <f>R10/'Output-Calculation-sheet'!R9*'Output-Calculation-sheet'!R90</f>
        <v>0</v>
      </c>
      <c r="S109" s="2">
        <f>S10/'Output-Calculation-sheet'!S9*'Output-Calculation-sheet'!S90</f>
        <v>420.63596755101003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117.00624113490871</v>
      </c>
      <c r="Y109" s="2">
        <f>Y10/'Output-Calculation-sheet'!Y9*'Output-Calculation-sheet'!Y90</f>
        <v>0</v>
      </c>
      <c r="AA109" s="2">
        <f t="shared" si="9"/>
        <v>15.494795290813542</v>
      </c>
    </row>
    <row r="110" spans="1:27" x14ac:dyDescent="0.25">
      <c r="A110" s="2">
        <v>2034</v>
      </c>
      <c r="B110" s="2">
        <f>B11/'Output-Calculation-sheet'!B10*'Output-Calculation-sheet'!B91</f>
        <v>9987.4548318106336</v>
      </c>
      <c r="C110" s="2">
        <f>C11/'Output-Calculation-sheet'!C10*'Output-Calculation-sheet'!C91</f>
        <v>6847.0671054416389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1945.6057999088221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1338.7661357657053</v>
      </c>
      <c r="N110" s="2">
        <f>N11/'Output-Calculation-sheet'!N10*'Output-Calculation-sheet'!N91</f>
        <v>1206.1408307158631</v>
      </c>
      <c r="O110" s="2">
        <f>O11/'Output-Calculation-sheet'!O10*'Output-Calculation-sheet'!O91</f>
        <v>1330.1949216284484</v>
      </c>
      <c r="P110" s="2">
        <f>P11/'Output-Calculation-sheet'!P10*'Output-Calculation-sheet'!P91</f>
        <v>303.88970937910977</v>
      </c>
      <c r="Q110" s="2">
        <f>Q11/'Output-Calculation-sheet'!Q10*'Output-Calculation-sheet'!Q91</f>
        <v>672.48620426179696</v>
      </c>
      <c r="R110" s="2">
        <f>R11/'Output-Calculation-sheet'!R10*'Output-Calculation-sheet'!R91</f>
        <v>0</v>
      </c>
      <c r="S110" s="2">
        <f>S11/'Output-Calculation-sheet'!S10*'Output-Calculation-sheet'!S91</f>
        <v>691.40156219729522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146.86542950222164</v>
      </c>
      <c r="Y110" s="2">
        <f>Y11/'Output-Calculation-sheet'!Y10*'Output-Calculation-sheet'!Y91</f>
        <v>23.621324790528366</v>
      </c>
      <c r="AA110" s="2">
        <f t="shared" si="9"/>
        <v>24.493493855402061</v>
      </c>
    </row>
    <row r="111" spans="1:27" x14ac:dyDescent="0.25">
      <c r="A111" s="2">
        <v>2035</v>
      </c>
      <c r="B111" s="2">
        <f>B12/'Output-Calculation-sheet'!B11*'Output-Calculation-sheet'!B92</f>
        <v>17015.583171525461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3032.2531181364607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1242.5653691328316</v>
      </c>
      <c r="Q111" s="2">
        <f>Q12/'Output-Calculation-sheet'!Q11*'Output-Calculation-sheet'!Q92</f>
        <v>883.83482390501297</v>
      </c>
      <c r="R111" s="2">
        <f>R12/'Output-Calculation-sheet'!R11*'Output-Calculation-sheet'!R92</f>
        <v>0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120.7306436014145</v>
      </c>
      <c r="AA111" s="2">
        <f t="shared" si="9"/>
        <v>38.969281800042552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1655757831.7853763</v>
      </c>
      <c r="C118" s="2">
        <f>C8/'Output-Calculation-sheet'!C7*'Output-Calculation-sheet'!C97</f>
        <v>9706239338.7993279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2986410577.8947029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2074319495.2789404</v>
      </c>
      <c r="N118" s="2">
        <f>N8/'Output-Calculation-sheet'!N7*'Output-Calculation-sheet'!N97</f>
        <v>1627749363.3383076</v>
      </c>
      <c r="O118" s="2">
        <f>O8/'Output-Calculation-sheet'!O7*'Output-Calculation-sheet'!O97</f>
        <v>1083123133.3756945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588851585.79843295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223572271.25161716</v>
      </c>
      <c r="Y118" s="2">
        <f>Y8/'Output-Calculation-sheet'!Y7*'Output-Calculation-sheet'!Y97</f>
        <v>0</v>
      </c>
      <c r="AA118" s="2">
        <f t="shared" si="10"/>
        <v>19946.023597522395</v>
      </c>
    </row>
    <row r="119" spans="1:27" x14ac:dyDescent="0.25">
      <c r="A119" s="2">
        <v>2032</v>
      </c>
      <c r="B119" s="2">
        <f>B9/'Output-Calculation-sheet'!B8*'Output-Calculation-sheet'!B98</f>
        <v>7372336548.3770466</v>
      </c>
      <c r="C119" s="2">
        <f>C9/'Output-Calculation-sheet'!C8*'Output-Calculation-sheet'!C98</f>
        <v>5859681998.6427908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3502931009.9477553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2445058963.154995</v>
      </c>
      <c r="N119" s="2">
        <f>N9/'Output-Calculation-sheet'!N8*'Output-Calculation-sheet'!N98</f>
        <v>1650322443.228699</v>
      </c>
      <c r="O119" s="2">
        <f>O9/'Output-Calculation-sheet'!O8*'Output-Calculation-sheet'!O98</f>
        <v>1144873585.8880134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686210177.26606095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261630074.69402432</v>
      </c>
      <c r="Y119" s="2">
        <f>Y9/'Output-Calculation-sheet'!Y8*'Output-Calculation-sheet'!Y98</f>
        <v>0</v>
      </c>
      <c r="AA119" s="2">
        <f t="shared" si="10"/>
        <v>22923.044801199383</v>
      </c>
    </row>
    <row r="120" spans="1:27" x14ac:dyDescent="0.25">
      <c r="A120" s="2">
        <v>2033</v>
      </c>
      <c r="B120" s="2">
        <f>B10/'Output-Calculation-sheet'!B9*'Output-Calculation-sheet'!B99</f>
        <v>7631380531.8912258</v>
      </c>
      <c r="C120" s="2">
        <f>C10/'Output-Calculation-sheet'!C9*'Output-Calculation-sheet'!C99</f>
        <v>6273468659.9276428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2056921763.4991689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1455906311.8236151</v>
      </c>
      <c r="N120" s="2">
        <f>N10/'Output-Calculation-sheet'!N9*'Output-Calculation-sheet'!N99</f>
        <v>1451384336.9371529</v>
      </c>
      <c r="O120" s="2">
        <f>O10/'Output-Calculation-sheet'!O9*'Output-Calculation-sheet'!O99</f>
        <v>1228210035.2515991</v>
      </c>
      <c r="P120" s="2">
        <f>P10/'Output-Calculation-sheet'!P9*'Output-Calculation-sheet'!P99</f>
        <v>0</v>
      </c>
      <c r="Q120" s="2">
        <f>Q10/'Output-Calculation-sheet'!Q9*'Output-Calculation-sheet'!Q99</f>
        <v>8698874.429844778</v>
      </c>
      <c r="R120" s="2">
        <f>R10/'Output-Calculation-sheet'!R9*'Output-Calculation-sheet'!R99</f>
        <v>0</v>
      </c>
      <c r="S120" s="2">
        <f>S10/'Output-Calculation-sheet'!S9*'Output-Calculation-sheet'!S99</f>
        <v>607830288.92109728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145378704.65731943</v>
      </c>
      <c r="Y120" s="2">
        <f>Y10/'Output-Calculation-sheet'!Y9*'Output-Calculation-sheet'!Y99</f>
        <v>0</v>
      </c>
      <c r="AA120" s="2">
        <f t="shared" si="10"/>
        <v>20859.17950733866</v>
      </c>
    </row>
    <row r="121" spans="1:27" x14ac:dyDescent="0.25">
      <c r="A121" s="2">
        <v>2034</v>
      </c>
      <c r="B121" s="2">
        <f>B11/'Output-Calculation-sheet'!B10*'Output-Calculation-sheet'!B100</f>
        <v>7497828785.9308977</v>
      </c>
      <c r="C121" s="2">
        <f>C11/'Output-Calculation-sheet'!C10*'Output-Calculation-sheet'!C100</f>
        <v>898876266.18003738</v>
      </c>
      <c r="D121" s="2">
        <f>D11/'Output-Calculation-sheet'!D10*'Output-Calculation-sheet'!D100</f>
        <v>0</v>
      </c>
      <c r="E121" s="2">
        <f>E11/'Output-Calculation-sheet'!E10*'Output-Calculation-sheet'!E100</f>
        <v>1060816349.8380055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2366825244.3211169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864641435.76271093</v>
      </c>
      <c r="M121" s="2">
        <f>M11/'Output-Calculation-sheet'!M10*'Output-Calculation-sheet'!M100</f>
        <v>1684460472.7753186</v>
      </c>
      <c r="N121" s="2">
        <f>N11/'Output-Calculation-sheet'!N10*'Output-Calculation-sheet'!N100</f>
        <v>1122992158.9947906</v>
      </c>
      <c r="O121" s="2">
        <f>O11/'Output-Calculation-sheet'!O10*'Output-Calculation-sheet'!O100</f>
        <v>176317536.19175917</v>
      </c>
      <c r="P121" s="2">
        <f>P11/'Output-Calculation-sheet'!P10*'Output-Calculation-sheet'!P100</f>
        <v>0</v>
      </c>
      <c r="Q121" s="2">
        <f>Q11/'Output-Calculation-sheet'!Q10*'Output-Calculation-sheet'!Q100</f>
        <v>380010849.89621168</v>
      </c>
      <c r="R121" s="2">
        <f>R11/'Output-Calculation-sheet'!R10*'Output-Calculation-sheet'!R100</f>
        <v>0</v>
      </c>
      <c r="S121" s="2">
        <f>S11/'Output-Calculation-sheet'!S10*'Output-Calculation-sheet'!S100</f>
        <v>419878454.81617165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165510027.56658268</v>
      </c>
      <c r="Y121" s="2">
        <f>Y11/'Output-Calculation-sheet'!Y10*'Output-Calculation-sheet'!Y100</f>
        <v>24009926.260377739</v>
      </c>
      <c r="AA121" s="2">
        <f t="shared" si="10"/>
        <v>16662.167508533981</v>
      </c>
    </row>
    <row r="122" spans="1:27" x14ac:dyDescent="0.25">
      <c r="A122" s="2">
        <v>2035</v>
      </c>
      <c r="B122" s="2">
        <f>B12/'Output-Calculation-sheet'!B11*'Output-Calculation-sheet'!B101</f>
        <v>2014840984.5269532</v>
      </c>
      <c r="C122" s="2">
        <f>C12/'Output-Calculation-sheet'!C11*'Output-Calculation-sheet'!C101</f>
        <v>378663364.69035518</v>
      </c>
      <c r="D122" s="2">
        <f>D12/'Output-Calculation-sheet'!D11*'Output-Calculation-sheet'!D101</f>
        <v>0</v>
      </c>
      <c r="E122" s="2">
        <f>E12/'Output-Calculation-sheet'!E11*'Output-Calculation-sheet'!E101</f>
        <v>3132076269.0823846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614225598.99679017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1346824631.6611965</v>
      </c>
      <c r="M122" s="2">
        <f>M12/'Output-Calculation-sheet'!M11*'Output-Calculation-sheet'!M101</f>
        <v>515012675.64921045</v>
      </c>
      <c r="N122" s="2">
        <f>N12/'Output-Calculation-sheet'!N11*'Output-Calculation-sheet'!N101</f>
        <v>359180930.22602129</v>
      </c>
      <c r="O122" s="2">
        <f>O12/'Output-Calculation-sheet'!O11*'Output-Calculation-sheet'!O101</f>
        <v>41496029.086208753</v>
      </c>
      <c r="P122" s="2">
        <f>P12/'Output-Calculation-sheet'!P11*'Output-Calculation-sheet'!P101</f>
        <v>56010436.002401173</v>
      </c>
      <c r="Q122" s="2">
        <f>Q12/'Output-Calculation-sheet'!Q11*'Output-Calculation-sheet'!Q101</f>
        <v>786715150.80705571</v>
      </c>
      <c r="R122" s="2">
        <f>R12/'Output-Calculation-sheet'!R11*'Output-Calculation-sheet'!R101</f>
        <v>0</v>
      </c>
      <c r="S122" s="2">
        <f>S12/'Output-Calculation-sheet'!S11*'Output-Calculation-sheet'!S101</f>
        <v>213385425.0832637</v>
      </c>
      <c r="T122" s="2">
        <f>T12/'Output-Calculation-sheet'!T11*'Output-Calculation-sheet'!T101</f>
        <v>0</v>
      </c>
      <c r="U122" s="2">
        <f>U12/'Output-Calculation-sheet'!U11*'Output-Calculation-sheet'!U101</f>
        <v>73733079.047819912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18667425.998118054</v>
      </c>
      <c r="Y122" s="2">
        <f>Y12/'Output-Calculation-sheet'!Y11*'Output-Calculation-sheet'!Y101</f>
        <v>111312163.86658961</v>
      </c>
      <c r="AA122" s="2">
        <f t="shared" si="10"/>
        <v>9662.1441647243664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56221714976.371307</v>
      </c>
      <c r="C129" s="2">
        <f>C8/'Output-Calculation-sheet'!C7*'Output-Calculation-sheet'!C106</f>
        <v>0</v>
      </c>
      <c r="D129" s="2">
        <f>D8/'Output-Calculation-sheet'!D7*'Output-Calculation-sheet'!D106</f>
        <v>24309129538.074646</v>
      </c>
      <c r="E129" s="2">
        <f>E8/'Output-Calculation-sheet'!E7*'Output-Calculation-sheet'!E106</f>
        <v>19286850052.58543</v>
      </c>
      <c r="F129" s="2">
        <f>F8/'Output-Calculation-sheet'!F7*'Output-Calculation-sheet'!F106</f>
        <v>12415633067.09267</v>
      </c>
      <c r="G129" s="2">
        <f>G8/'Output-Calculation-sheet'!G7*'Output-Calculation-sheet'!G106</f>
        <v>8723584694.6411495</v>
      </c>
      <c r="H129" s="2">
        <f>H8/'Output-Calculation-sheet'!H7*'Output-Calculation-sheet'!H106</f>
        <v>0</v>
      </c>
      <c r="I129" s="2">
        <f>I8/'Output-Calculation-sheet'!I7*'Output-Calculation-sheet'!I106</f>
        <v>7947853880.2371912</v>
      </c>
      <c r="J129" s="2">
        <f>J8/'Output-Calculation-sheet'!J7*'Output-Calculation-sheet'!J106</f>
        <v>7735869080.6892719</v>
      </c>
      <c r="K129" s="2">
        <f>K8/'Output-Calculation-sheet'!K7*'Output-Calculation-sheet'!K106</f>
        <v>7661717351.1768064</v>
      </c>
      <c r="L129" s="2">
        <f>L8/'Output-Calculation-sheet'!L7*'Output-Calculation-sheet'!L106</f>
        <v>6146343827.4444532</v>
      </c>
      <c r="M129" s="2">
        <f>M8/'Output-Calculation-sheet'!M7*'Output-Calculation-sheet'!M106</f>
        <v>0</v>
      </c>
      <c r="N129" s="2">
        <f>N8/'Output-Calculation-sheet'!N7*'Output-Calculation-sheet'!N106</f>
        <v>2701111574.6659775</v>
      </c>
      <c r="O129" s="2">
        <f>O8/'Output-Calculation-sheet'!O7*'Output-Calculation-sheet'!O106</f>
        <v>0</v>
      </c>
      <c r="P129" s="2">
        <f>P8/'Output-Calculation-sheet'!P7*'Output-Calculation-sheet'!P106</f>
        <v>5245614345.2758474</v>
      </c>
      <c r="Q129" s="2">
        <f>Q8/'Output-Calculation-sheet'!Q7*'Output-Calculation-sheet'!Q106</f>
        <v>5160827131.7461958</v>
      </c>
      <c r="R129" s="2">
        <f>R8/'Output-Calculation-sheet'!R7*'Output-Calculation-sheet'!R106</f>
        <v>4964963155.1986809</v>
      </c>
      <c r="S129" s="2">
        <f>S8/'Output-Calculation-sheet'!S7*'Output-Calculation-sheet'!S106</f>
        <v>2711109796.5388594</v>
      </c>
      <c r="T129" s="2">
        <f>T8/'Output-Calculation-sheet'!T7*'Output-Calculation-sheet'!T106</f>
        <v>1825065255.3667409</v>
      </c>
      <c r="U129" s="2">
        <f>U8/'Output-Calculation-sheet'!U7*'Output-Calculation-sheet'!U106</f>
        <v>1589572292.1913464</v>
      </c>
      <c r="V129" s="2">
        <f>V8/'Output-Calculation-sheet'!V7*'Output-Calculation-sheet'!V106</f>
        <v>1223997160.9380934</v>
      </c>
      <c r="W129" s="2">
        <f>W8/'Output-Calculation-sheet'!W7*'Output-Calculation-sheet'!W106</f>
        <v>1059718611.5796347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176930.67579181425</v>
      </c>
    </row>
    <row r="130" spans="1:27" x14ac:dyDescent="0.25">
      <c r="A130" s="2">
        <v>2032</v>
      </c>
      <c r="B130" s="2">
        <f>B9/'Output-Calculation-sheet'!B8*'Output-Calculation-sheet'!B107</f>
        <v>66715422665.124954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0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2428006932.3923821</v>
      </c>
      <c r="O130" s="2">
        <f>O9/'Output-Calculation-sheet'!O8*'Output-Calculation-sheet'!O107</f>
        <v>0</v>
      </c>
      <c r="P130" s="2">
        <f>P9/'Output-Calculation-sheet'!P8*'Output-Calculation-sheet'!P107</f>
        <v>7406014673.5269156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2155665310.8253598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234081.88115429808</v>
      </c>
    </row>
    <row r="131" spans="1:27" x14ac:dyDescent="0.25">
      <c r="A131" s="2">
        <v>2033</v>
      </c>
      <c r="B131" s="2">
        <f>B10/'Output-Calculation-sheet'!B9*'Output-Calculation-sheet'!B108</f>
        <v>56927776480.907623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2085988047.1065946</v>
      </c>
      <c r="O131" s="2">
        <f>O10/'Output-Calculation-sheet'!O9*'Output-Calculation-sheet'!O108</f>
        <v>0</v>
      </c>
      <c r="P131" s="2">
        <f>P10/'Output-Calculation-sheet'!P9*'Output-Calculation-sheet'!P108</f>
        <v>9594042065.319397</v>
      </c>
      <c r="Q131" s="2">
        <f>Q10/'Output-Calculation-sheet'!Q9*'Output-Calculation-sheet'!Q108</f>
        <v>8093549638.4170618</v>
      </c>
      <c r="R131" s="2">
        <f>R10/'Output-Calculation-sheet'!R9*'Output-Calculation-sheet'!R108</f>
        <v>9080845527.7730389</v>
      </c>
      <c r="S131" s="2">
        <f>S10/'Output-Calculation-sheet'!S9*'Output-Calculation-sheet'!S108</f>
        <v>2023297243.553772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270576.719645473</v>
      </c>
    </row>
    <row r="132" spans="1:27" x14ac:dyDescent="0.25">
      <c r="A132" s="2">
        <v>2034</v>
      </c>
      <c r="B132" s="2">
        <f>B11/'Output-Calculation-sheet'!B10*'Output-Calculation-sheet'!B109</f>
        <v>43512660086.616371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41995791741.33992</v>
      </c>
      <c r="F132" s="2">
        <f>F11/'Output-Calculation-sheet'!F10*'Output-Calculation-sheet'!F109</f>
        <v>27712680168.186977</v>
      </c>
      <c r="G132" s="2">
        <f>G11/'Output-Calculation-sheet'!G10*'Output-Calculation-sheet'!G109</f>
        <v>19472235090.644276</v>
      </c>
      <c r="H132" s="2">
        <f>H11/'Output-Calculation-sheet'!H10*'Output-Calculation-sheet'!H109</f>
        <v>0</v>
      </c>
      <c r="I132" s="2">
        <f>I11/'Output-Calculation-sheet'!I10*'Output-Calculation-sheet'!I109</f>
        <v>17739504732.735405</v>
      </c>
      <c r="J132" s="2">
        <f>J11/'Output-Calculation-sheet'!J10*'Output-Calculation-sheet'!J109</f>
        <v>17266527710.747139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12854003650.803093</v>
      </c>
      <c r="M132" s="2">
        <f>M11/'Output-Calculation-sheet'!M10*'Output-Calculation-sheet'!M109</f>
        <v>0</v>
      </c>
      <c r="N132" s="2">
        <f>N11/'Output-Calculation-sheet'!N10*'Output-Calculation-sheet'!N109</f>
        <v>1690317373.3015053</v>
      </c>
      <c r="O132" s="2">
        <f>O11/'Output-Calculation-sheet'!O10*'Output-Calculation-sheet'!O109</f>
        <v>0</v>
      </c>
      <c r="P132" s="2">
        <f>P11/'Output-Calculation-sheet'!P10*'Output-Calculation-sheet'!P109</f>
        <v>9603922519.9183292</v>
      </c>
      <c r="Q132" s="2">
        <f>Q11/'Output-Calculation-sheet'!Q10*'Output-Calculation-sheet'!Q109</f>
        <v>6185953557.2557659</v>
      </c>
      <c r="R132" s="2">
        <f>R11/'Output-Calculation-sheet'!R10*'Output-Calculation-sheet'!R109</f>
        <v>11081119176.132925</v>
      </c>
      <c r="S132" s="2">
        <f>S11/'Output-Calculation-sheet'!S10*'Output-Calculation-sheet'!S109</f>
        <v>1160082028.9563863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3549938540.1714339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294356.60991764755</v>
      </c>
    </row>
    <row r="133" spans="1:27" x14ac:dyDescent="0.25">
      <c r="A133" s="2">
        <v>2035</v>
      </c>
      <c r="B133" s="2">
        <f>B12/'Output-Calculation-sheet'!B11*'Output-Calculation-sheet'!B110</f>
        <v>692222356.38347471</v>
      </c>
      <c r="C133" s="2">
        <f>C12/'Output-Calculation-sheet'!C11*'Output-Calculation-sheet'!C110</f>
        <v>0</v>
      </c>
      <c r="D133" s="2">
        <f>D12/'Output-Calculation-sheet'!D11*'Output-Calculation-sheet'!D110</f>
        <v>57349872492.181984</v>
      </c>
      <c r="E133" s="2">
        <f>E12/'Output-Calculation-sheet'!E11*'Output-Calculation-sheet'!E110</f>
        <v>27887981424.207825</v>
      </c>
      <c r="F133" s="2">
        <f>F12/'Output-Calculation-sheet'!F11*'Output-Calculation-sheet'!F110</f>
        <v>30925650975.138271</v>
      </c>
      <c r="G133" s="2">
        <f>G12/'Output-Calculation-sheet'!G11*'Output-Calculation-sheet'!G110</f>
        <v>21436084750.199829</v>
      </c>
      <c r="H133" s="2">
        <f>H12/'Output-Calculation-sheet'!H11*'Output-Calculation-sheet'!H110</f>
        <v>0</v>
      </c>
      <c r="I133" s="2">
        <f>I12/'Output-Calculation-sheet'!I11*'Output-Calculation-sheet'!I110</f>
        <v>19350081515.031563</v>
      </c>
      <c r="J133" s="2">
        <f>J12/'Output-Calculation-sheet'!J11*'Output-Calculation-sheet'!J110</f>
        <v>18635586437.104824</v>
      </c>
      <c r="K133" s="2">
        <f>K12/'Output-Calculation-sheet'!K11*'Output-Calculation-sheet'!K110</f>
        <v>18435866180.119095</v>
      </c>
      <c r="L133" s="2">
        <f>L12/'Output-Calculation-sheet'!L11*'Output-Calculation-sheet'!L110</f>
        <v>13559560479.475172</v>
      </c>
      <c r="M133" s="2">
        <f>M12/'Output-Calculation-sheet'!M11*'Output-Calculation-sheet'!M110</f>
        <v>0</v>
      </c>
      <c r="N133" s="2">
        <f>N12/'Output-Calculation-sheet'!N11*'Output-Calculation-sheet'!N110</f>
        <v>1772239.5393471101</v>
      </c>
      <c r="O133" s="2">
        <f>O12/'Output-Calculation-sheet'!O11*'Output-Calculation-sheet'!O110</f>
        <v>0</v>
      </c>
      <c r="P133" s="2">
        <f>P12/'Output-Calculation-sheet'!P11*'Output-Calculation-sheet'!P110</f>
        <v>4201768414.9155579</v>
      </c>
      <c r="Q133" s="2">
        <f>Q12/'Output-Calculation-sheet'!Q11*'Output-Calculation-sheet'!Q110</f>
        <v>5581317433.7159081</v>
      </c>
      <c r="R133" s="2">
        <f>R12/'Output-Calculation-sheet'!R11*'Output-Calculation-sheet'!R110</f>
        <v>12262780381.063192</v>
      </c>
      <c r="S133" s="2">
        <f>S12/'Output-Calculation-sheet'!S11*'Output-Calculation-sheet'!S110</f>
        <v>20302914.039163928</v>
      </c>
      <c r="T133" s="2">
        <f>T12/'Output-Calculation-sheet'!T11*'Output-Calculation-sheet'!T110</f>
        <v>4607347687.7853966</v>
      </c>
      <c r="U133" s="2">
        <f>U12/'Output-Calculation-sheet'!U11*'Output-Calculation-sheet'!U110</f>
        <v>3738234073.8544631</v>
      </c>
      <c r="V133" s="2">
        <f>V12/'Output-Calculation-sheet'!V11*'Output-Calculation-sheet'!V110</f>
        <v>3098446598.3367529</v>
      </c>
      <c r="W133" s="2">
        <f>W12/'Output-Calculation-sheet'!W11*'Output-Calculation-sheet'!W110</f>
        <v>2722103425.5692077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244506.97977866104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17568587198.756069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5523121280.7604008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3796511111.0928745</v>
      </c>
      <c r="N140" s="2">
        <f>N8/'Output-Calculation-sheet'!N7*'Output-Calculation-sheet'!N115</f>
        <v>1433333424.0861151</v>
      </c>
      <c r="O140" s="2">
        <f>O8/'Output-Calculation-sheet'!O7*'Output-Calculation-sheet'!O115</f>
        <v>4216375384.0489945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412255524.73967898</v>
      </c>
      <c r="Y140" s="2">
        <f>Y8/'Output-Calculation-sheet'!Y7*'Output-Calculation-sheet'!Y115</f>
        <v>0</v>
      </c>
      <c r="AA140" s="2">
        <f t="shared" si="12"/>
        <v>32950.183923484132</v>
      </c>
    </row>
    <row r="141" spans="1:27" x14ac:dyDescent="0.25">
      <c r="A141" s="2">
        <v>2032</v>
      </c>
      <c r="B141" s="2">
        <f>B9/'Output-Calculation-sheet'!B8*'Output-Calculation-sheet'!B116</f>
        <v>7627112241.4023247</v>
      </c>
      <c r="C141" s="2">
        <f>C9/'Output-Calculation-sheet'!C8*'Output-Calculation-sheet'!C116</f>
        <v>32648550196.779503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8511335456.2665071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5843731120.0758362</v>
      </c>
      <c r="N141" s="2">
        <f>N9/'Output-Calculation-sheet'!N8*'Output-Calculation-sheet'!N116</f>
        <v>4057080924.3529534</v>
      </c>
      <c r="O141" s="2">
        <f>O9/'Output-Calculation-sheet'!O8*'Output-Calculation-sheet'!O116</f>
        <v>6337275477.2024946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1817207114.4735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636069598.52838171</v>
      </c>
      <c r="Y141" s="2">
        <f>Y9/'Output-Calculation-sheet'!Y8*'Output-Calculation-sheet'!Y116</f>
        <v>0</v>
      </c>
      <c r="AA141" s="2">
        <f t="shared" si="12"/>
        <v>67478.362129081492</v>
      </c>
    </row>
    <row r="142" spans="1:27" x14ac:dyDescent="0.25">
      <c r="A142" s="2">
        <v>2033</v>
      </c>
      <c r="B142" s="2">
        <f>B10/'Output-Calculation-sheet'!B9*'Output-Calculation-sheet'!B117</f>
        <v>41302891417.594276</v>
      </c>
      <c r="C142" s="2">
        <f>C10/'Output-Calculation-sheet'!C9*'Output-Calculation-sheet'!C117</f>
        <v>43614146691.949135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13507623378.479675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9282264660.6306648</v>
      </c>
      <c r="N142" s="2">
        <f>N10/'Output-Calculation-sheet'!N9*'Output-Calculation-sheet'!N117</f>
        <v>7002093731.1840849</v>
      </c>
      <c r="O142" s="2">
        <f>O10/'Output-Calculation-sheet'!O9*'Output-Calculation-sheet'!O117</f>
        <v>8464952355.4264612</v>
      </c>
      <c r="P142" s="2">
        <f>P10/'Output-Calculation-sheet'!P9*'Output-Calculation-sheet'!P117</f>
        <v>0</v>
      </c>
      <c r="Q142" s="2">
        <f>Q10/'Output-Calculation-sheet'!Q9*'Output-Calculation-sheet'!Q117</f>
        <v>1337208724.382452</v>
      </c>
      <c r="R142" s="2">
        <f>R10/'Output-Calculation-sheet'!R9*'Output-Calculation-sheet'!R117</f>
        <v>0</v>
      </c>
      <c r="S142" s="2">
        <f>S10/'Output-Calculation-sheet'!S9*'Output-Calculation-sheet'!S117</f>
        <v>3404738338.2547069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1017595985.2547498</v>
      </c>
      <c r="Y142" s="2">
        <f>Y10/'Output-Calculation-sheet'!Y9*'Output-Calculation-sheet'!Y117</f>
        <v>0</v>
      </c>
      <c r="AA142" s="2">
        <f t="shared" si="12"/>
        <v>128933.51528315619</v>
      </c>
    </row>
    <row r="143" spans="1:27" x14ac:dyDescent="0.25">
      <c r="A143" s="2">
        <v>2034</v>
      </c>
      <c r="B143" s="2">
        <f>B11/'Output-Calculation-sheet'!B10*'Output-Calculation-sheet'!B118</f>
        <v>78175195767.839371</v>
      </c>
      <c r="C143" s="2">
        <f>C11/'Output-Calculation-sheet'!C10*'Output-Calculation-sheet'!C118</f>
        <v>59980307843.668755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16626839743.459335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11419498374.587351</v>
      </c>
      <c r="N143" s="2">
        <f>N11/'Output-Calculation-sheet'!N10*'Output-Calculation-sheet'!N118</f>
        <v>10048242491.451683</v>
      </c>
      <c r="O143" s="2">
        <f>O11/'Output-Calculation-sheet'!O10*'Output-Calculation-sheet'!O118</f>
        <v>11652507513.465208</v>
      </c>
      <c r="P143" s="2">
        <f>P11/'Output-Calculation-sheet'!P10*'Output-Calculation-sheet'!P118</f>
        <v>2103825826.9518418</v>
      </c>
      <c r="Q143" s="2">
        <f>Q11/'Output-Calculation-sheet'!Q10*'Output-Calculation-sheet'!Q118</f>
        <v>4953144112.1402073</v>
      </c>
      <c r="R143" s="2">
        <f>R11/'Output-Calculation-sheet'!R10*'Output-Calculation-sheet'!R118</f>
        <v>0</v>
      </c>
      <c r="S143" s="2">
        <f>S11/'Output-Calculation-sheet'!S10*'Output-Calculation-sheet'!S118</f>
        <v>5785767451.4847717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1253687175.1254907</v>
      </c>
      <c r="Y143" s="2">
        <f>Y11/'Output-Calculation-sheet'!Y10*'Output-Calculation-sheet'!Y118</f>
        <v>146913627.1378659</v>
      </c>
      <c r="AA143" s="2">
        <f t="shared" si="12"/>
        <v>202145.9299273119</v>
      </c>
    </row>
    <row r="144" spans="1:27" x14ac:dyDescent="0.25">
      <c r="A144" s="2">
        <v>2035</v>
      </c>
      <c r="B144" s="2">
        <f>B12/'Output-Calculation-sheet'!B11*'Output-Calculation-sheet'!B119</f>
        <v>147677583400.87057</v>
      </c>
      <c r="C144" s="2">
        <f>C12/'Output-Calculation-sheet'!C11*'Output-Calculation-sheet'!C119</f>
        <v>70666657099.884079</v>
      </c>
      <c r="D144" s="2">
        <f>D12/'Output-Calculation-sheet'!D11*'Output-Calculation-sheet'!D119</f>
        <v>0</v>
      </c>
      <c r="E144" s="2">
        <f>E12/'Output-Calculation-sheet'!E11*'Output-Calculation-sheet'!E119</f>
        <v>18617610811.318649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21469734834.715126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14710059304.788685</v>
      </c>
      <c r="N144" s="2">
        <f>N12/'Output-Calculation-sheet'!N11*'Output-Calculation-sheet'!N119</f>
        <v>14565118682.339327</v>
      </c>
      <c r="O144" s="2">
        <f>O12/'Output-Calculation-sheet'!O11*'Output-Calculation-sheet'!O119</f>
        <v>13739978774.487091</v>
      </c>
      <c r="P144" s="2">
        <f>P12/'Output-Calculation-sheet'!P11*'Output-Calculation-sheet'!P119</f>
        <v>9342703775.5964851</v>
      </c>
      <c r="Q144" s="2">
        <f>Q12/'Output-Calculation-sheet'!Q11*'Output-Calculation-sheet'!Q119</f>
        <v>6402810655.8499231</v>
      </c>
      <c r="R144" s="2">
        <f>R12/'Output-Calculation-sheet'!R11*'Output-Calculation-sheet'!R119</f>
        <v>0</v>
      </c>
      <c r="S144" s="2">
        <f>S12/'Output-Calculation-sheet'!S11*'Output-Calculation-sheet'!S119</f>
        <v>8320394258.582634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1636838186.2501695</v>
      </c>
      <c r="Y144" s="2">
        <f>Y12/'Output-Calculation-sheet'!Y11*'Output-Calculation-sheet'!Y119</f>
        <v>781065958.02108932</v>
      </c>
      <c r="AA144" s="2">
        <f t="shared" si="12"/>
        <v>327930.5557427039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57877473938.089912</v>
      </c>
      <c r="C151" s="2">
        <f>C8/'Output-Calculation-sheet'!C7*'Output-Calculation-sheet'!C124</f>
        <v>27274826537.555393</v>
      </c>
      <c r="D151" s="2">
        <f>D8/'Output-Calculation-sheet'!D7*'Output-Calculation-sheet'!D124</f>
        <v>24309129538.074646</v>
      </c>
      <c r="E151" s="2">
        <f>E8/'Output-Calculation-sheet'!E7*'Output-Calculation-sheet'!E124</f>
        <v>19286850052.58543</v>
      </c>
      <c r="F151" s="2">
        <f>F8/'Output-Calculation-sheet'!F7*'Output-Calculation-sheet'!F124</f>
        <v>12415633067.09267</v>
      </c>
      <c r="G151" s="2">
        <f>G8/'Output-Calculation-sheet'!G7*'Output-Calculation-sheet'!G124</f>
        <v>8723584694.6411495</v>
      </c>
      <c r="H151" s="2">
        <f>H8/'Output-Calculation-sheet'!H7*'Output-Calculation-sheet'!H124</f>
        <v>8509531858.6551037</v>
      </c>
      <c r="I151" s="2">
        <f>I8/'Output-Calculation-sheet'!I7*'Output-Calculation-sheet'!I124</f>
        <v>7947853880.2371912</v>
      </c>
      <c r="J151" s="2">
        <f>J8/'Output-Calculation-sheet'!J7*'Output-Calculation-sheet'!J124</f>
        <v>7735869080.6892719</v>
      </c>
      <c r="K151" s="2">
        <f>K8/'Output-Calculation-sheet'!K7*'Output-Calculation-sheet'!K124</f>
        <v>7661717351.1768064</v>
      </c>
      <c r="L151" s="2">
        <f>L8/'Output-Calculation-sheet'!L7*'Output-Calculation-sheet'!L124</f>
        <v>6146343827.4444532</v>
      </c>
      <c r="M151" s="2">
        <f>M8/'Output-Calculation-sheet'!M7*'Output-Calculation-sheet'!M124</f>
        <v>5870830606.3718147</v>
      </c>
      <c r="N151" s="2">
        <f>N8/'Output-Calculation-sheet'!N7*'Output-Calculation-sheet'!N124</f>
        <v>5762193245.6236401</v>
      </c>
      <c r="O151" s="2">
        <f>O8/'Output-Calculation-sheet'!O7*'Output-Calculation-sheet'!O124</f>
        <v>5299498517.4246893</v>
      </c>
      <c r="P151" s="2">
        <f>P8/'Output-Calculation-sheet'!P7*'Output-Calculation-sheet'!P124</f>
        <v>5245614345.2758474</v>
      </c>
      <c r="Q151" s="2">
        <f>Q8/'Output-Calculation-sheet'!Q7*'Output-Calculation-sheet'!Q124</f>
        <v>5160827131.7461958</v>
      </c>
      <c r="R151" s="2">
        <f>R8/'Output-Calculation-sheet'!R7*'Output-Calculation-sheet'!R124</f>
        <v>4964963155.1986809</v>
      </c>
      <c r="S151" s="2">
        <f>S8/'Output-Calculation-sheet'!S7*'Output-Calculation-sheet'!S124</f>
        <v>3299961062.3386478</v>
      </c>
      <c r="T151" s="2">
        <f>T8/'Output-Calculation-sheet'!T7*'Output-Calculation-sheet'!T124</f>
        <v>1825065255.3667409</v>
      </c>
      <c r="U151" s="2">
        <f>U8/'Output-Calculation-sheet'!U7*'Output-Calculation-sheet'!U124</f>
        <v>1589572292.1913464</v>
      </c>
      <c r="V151" s="2">
        <f>V8/'Output-Calculation-sheet'!V7*'Output-Calculation-sheet'!V124</f>
        <v>1223997160.9380934</v>
      </c>
      <c r="W151" s="2">
        <f>W8/'Output-Calculation-sheet'!W7*'Output-Calculation-sheet'!W124</f>
        <v>1059718611.5796347</v>
      </c>
      <c r="X151" s="2">
        <f>X8/'Output-Calculation-sheet'!X7*'Output-Calculation-sheet'!X124</f>
        <v>635827795.99129617</v>
      </c>
      <c r="Y151" s="2">
        <f>Y8/'Output-Calculation-sheet'!Y7*'Output-Calculation-sheet'!Y124</f>
        <v>618336545.27020097</v>
      </c>
      <c r="AA151" s="2">
        <f t="shared" si="13"/>
        <v>230445.21955155881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23104939680.694881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4489289249.5700703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195213.81098736907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3231053876.1393404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140500.27843607558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2713404175.3187275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1645614914.4533679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1052247057.7982409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506861166.91057163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73481.256251801067</v>
      </c>
    </row>
    <row r="155" spans="1:27" x14ac:dyDescent="0.25">
      <c r="A155" s="2">
        <v>2035</v>
      </c>
      <c r="B155" s="2">
        <f>B12/'Output-Calculation-sheet'!B11*'Output-Calculation-sheet'!B128</f>
        <v>770384284.77800894</v>
      </c>
      <c r="C155" s="2">
        <f>C12/'Output-Calculation-sheet'!C11*'Output-Calculation-sheet'!C128</f>
        <v>99009185.296740085</v>
      </c>
      <c r="D155" s="2">
        <f>D12/'Output-Calculation-sheet'!D11*'Output-Calculation-sheet'!D128</f>
        <v>7720573219.1278868</v>
      </c>
      <c r="E155" s="2">
        <f>E12/'Output-Calculation-sheet'!E11*'Output-Calculation-sheet'!E128</f>
        <v>1438080006.4491305</v>
      </c>
      <c r="F155" s="2">
        <f>F12/'Output-Calculation-sheet'!F11*'Output-Calculation-sheet'!F128</f>
        <v>2226199722.1962252</v>
      </c>
      <c r="G155" s="2">
        <f>G12/'Output-Calculation-sheet'!G11*'Output-Calculation-sheet'!G128</f>
        <v>1988439356.0034251</v>
      </c>
      <c r="H155" s="2">
        <f>H12/'Output-Calculation-sheet'!H11*'Output-Calculation-sheet'!H128</f>
        <v>159376542.43213144</v>
      </c>
      <c r="I155" s="2">
        <f>I12/'Output-Calculation-sheet'!I11*'Output-Calculation-sheet'!I128</f>
        <v>1982837813.8795826</v>
      </c>
      <c r="J155" s="2">
        <f>J12/'Output-Calculation-sheet'!J11*'Output-Calculation-sheet'!J128</f>
        <v>1898573053.7329443</v>
      </c>
      <c r="K155" s="2">
        <f>K12/'Output-Calculation-sheet'!K11*'Output-Calculation-sheet'!K128</f>
        <v>2155932883.8923783</v>
      </c>
      <c r="L155" s="2">
        <f>L12/'Output-Calculation-sheet'!L11*'Output-Calculation-sheet'!L128</f>
        <v>1559059349.5116522</v>
      </c>
      <c r="M155" s="2">
        <f>M12/'Output-Calculation-sheet'!M11*'Output-Calculation-sheet'!M128</f>
        <v>132921970.31616086</v>
      </c>
      <c r="N155" s="2">
        <f>N12/'Output-Calculation-sheet'!N11*'Output-Calculation-sheet'!N128</f>
        <v>134530274.22577357</v>
      </c>
      <c r="O155" s="2">
        <f>O12/'Output-Calculation-sheet'!O11*'Output-Calculation-sheet'!O128</f>
        <v>44552039.768304162</v>
      </c>
      <c r="P155" s="2">
        <f>P12/'Output-Calculation-sheet'!P11*'Output-Calculation-sheet'!P128</f>
        <v>150377036.06583977</v>
      </c>
      <c r="Q155" s="2">
        <f>Q12/'Output-Calculation-sheet'!Q11*'Output-Calculation-sheet'!Q128</f>
        <v>896235676.92561269</v>
      </c>
      <c r="R155" s="2">
        <f>R12/'Output-Calculation-sheet'!R11*'Output-Calculation-sheet'!R128</f>
        <v>1002120515.2780037</v>
      </c>
      <c r="S155" s="2">
        <f>S12/'Output-Calculation-sheet'!S11*'Output-Calculation-sheet'!S128</f>
        <v>70253279.742870003</v>
      </c>
      <c r="T155" s="2">
        <f>T12/'Output-Calculation-sheet'!T11*'Output-Calculation-sheet'!T128</f>
        <v>235676229.16695625</v>
      </c>
      <c r="U155" s="2">
        <f>U12/'Output-Calculation-sheet'!U11*'Output-Calculation-sheet'!U128</f>
        <v>463817834.1766724</v>
      </c>
      <c r="V155" s="2">
        <f>V12/'Output-Calculation-sheet'!V11*'Output-Calculation-sheet'!V128</f>
        <v>115737950.96323235</v>
      </c>
      <c r="W155" s="2">
        <f>W12/'Output-Calculation-sheet'!W11*'Output-Calculation-sheet'!W128</f>
        <v>107413778.40002558</v>
      </c>
      <c r="X155" s="2">
        <f>X12/'Output-Calculation-sheet'!X11*'Output-Calculation-sheet'!X128</f>
        <v>4087388.518020561</v>
      </c>
      <c r="Y155" s="2">
        <f>Y12/'Output-Calculation-sheet'!Y11*'Output-Calculation-sheet'!Y128</f>
        <v>31783894.179204386</v>
      </c>
      <c r="AA155" s="2">
        <f t="shared" si="13"/>
        <v>25387.973285026786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1245.1084036251796</v>
      </c>
      <c r="C19" s="2">
        <f>C8/'Output-Calculation-sheet'!C7*'Output-Calculation-sheet'!C25</f>
        <v>5858.1932021321054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1774.5171640176791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1232.6500755290399</v>
      </c>
      <c r="N19" s="2">
        <f>N8/'Output-Calculation-sheet'!N7*'Output-Calculation-sheet'!N25</f>
        <v>1025.4191995627032</v>
      </c>
      <c r="O19" s="2">
        <f>O8/'Output-Calculation-sheet'!O7*'Output-Calculation-sheet'!O25</f>
        <v>643.56138649012928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474.22698193350277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133.40702707065273</v>
      </c>
      <c r="Y19" s="2">
        <f>Y8/'Output-Calculation-sheet'!Y7*'Output-Calculation-sheet'!Y25</f>
        <v>0</v>
      </c>
      <c r="AA19" s="2">
        <f t="shared" si="0"/>
        <v>12.387083440360991</v>
      </c>
    </row>
    <row r="20" spans="1:27" x14ac:dyDescent="0.25">
      <c r="A20" s="2">
        <v>2032</v>
      </c>
      <c r="B20" s="2">
        <f>B9/'Output-Calculation-sheet'!B8*'Output-Calculation-sheet'!B26</f>
        <v>5803.7451777111264</v>
      </c>
      <c r="C20" s="2">
        <f>C9/'Output-Calculation-sheet'!C8*'Output-Calculation-sheet'!C26</f>
        <v>3182.6321649074998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1910.5498033957067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1335.1053881392099</v>
      </c>
      <c r="N20" s="2">
        <f>N9/'Output-Calculation-sheet'!N8*'Output-Calculation-sheet'!N26</f>
        <v>925.26441540229041</v>
      </c>
      <c r="O20" s="2">
        <f>O9/'Output-Calculation-sheet'!O8*'Output-Calculation-sheet'!O26</f>
        <v>621.82734414431593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438.9021466695134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145.27896535093302</v>
      </c>
      <c r="Y20" s="2">
        <f>Y9/'Output-Calculation-sheet'!Y8*'Output-Calculation-sheet'!Y26</f>
        <v>0</v>
      </c>
      <c r="AA20" s="2">
        <f t="shared" si="0"/>
        <v>14.363305405720597</v>
      </c>
    </row>
    <row r="21" spans="1:27" x14ac:dyDescent="0.25">
      <c r="A21" s="2">
        <v>2033</v>
      </c>
      <c r="B21" s="2">
        <f>B10/'Output-Calculation-sheet'!B9*'Output-Calculation-sheet'!B27</f>
        <v>4776.7548467730021</v>
      </c>
      <c r="C21" s="2">
        <f>C10/'Output-Calculation-sheet'!C9*'Output-Calculation-sheet'!C27</f>
        <v>2935.995682086133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962.64484702879577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681.36796389791198</v>
      </c>
      <c r="N21" s="2">
        <f>N10/'Output-Calculation-sheet'!N9*'Output-Calculation-sheet'!N27</f>
        <v>690.01949179683083</v>
      </c>
      <c r="O21" s="2">
        <f>O10/'Output-Calculation-sheet'!O9*'Output-Calculation-sheet'!O27</f>
        <v>574.80500893057069</v>
      </c>
      <c r="P21" s="2">
        <f>P10/'Output-Calculation-sheet'!P9*'Output-Calculation-sheet'!P27</f>
        <v>0</v>
      </c>
      <c r="Q21" s="2">
        <f>Q10/'Output-Calculation-sheet'!Q9*'Output-Calculation-sheet'!Q27</f>
        <v>7.8901615418192348</v>
      </c>
      <c r="R21" s="2">
        <f>R10/'Output-Calculation-sheet'!R9*'Output-Calculation-sheet'!R27</f>
        <v>0</v>
      </c>
      <c r="S21" s="2">
        <f>S10/'Output-Calculation-sheet'!S9*'Output-Calculation-sheet'!S27</f>
        <v>328.56173445297412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68.037519527863211</v>
      </c>
      <c r="Y21" s="2">
        <f>Y10/'Output-Calculation-sheet'!Y9*'Output-Calculation-sheet'!Y27</f>
        <v>0</v>
      </c>
      <c r="AA21" s="2">
        <f t="shared" si="0"/>
        <v>11.026077256035903</v>
      </c>
    </row>
    <row r="22" spans="1:27" x14ac:dyDescent="0.25">
      <c r="A22" s="2">
        <v>2034</v>
      </c>
      <c r="B22" s="2">
        <f>B11/'Output-Calculation-sheet'!B10*'Output-Calculation-sheet'!B28</f>
        <v>3362.6802223293412</v>
      </c>
      <c r="C22" s="2">
        <f>C11/'Output-Calculation-sheet'!C10*'Output-Calculation-sheet'!C28</f>
        <v>338.76269180901784</v>
      </c>
      <c r="D22" s="2">
        <f>D11/'Output-Calculation-sheet'!D10*'Output-Calculation-sheet'!D28</f>
        <v>0</v>
      </c>
      <c r="E22" s="2">
        <f>E11/'Output-Calculation-sheet'!E10*'Output-Calculation-sheet'!E28</f>
        <v>1146.5782146890415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891.9887084625949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682.23821928748214</v>
      </c>
      <c r="M22" s="2">
        <f>M11/'Output-Calculation-sheet'!M10*'Output-Calculation-sheet'!M28</f>
        <v>634.82496383505952</v>
      </c>
      <c r="N22" s="2">
        <f>N11/'Output-Calculation-sheet'!N10*'Output-Calculation-sheet'!N28</f>
        <v>424.38411011553075</v>
      </c>
      <c r="O22" s="2">
        <f>O11/'Output-Calculation-sheet'!O10*'Output-Calculation-sheet'!O28</f>
        <v>66.449090400451709</v>
      </c>
      <c r="P22" s="2">
        <f>P11/'Output-Calculation-sheet'!P10*'Output-Calculation-sheet'!P28</f>
        <v>0</v>
      </c>
      <c r="Q22" s="2">
        <f>Q11/'Output-Calculation-sheet'!Q10*'Output-Calculation-sheet'!Q28</f>
        <v>217.54249284738444</v>
      </c>
      <c r="R22" s="2">
        <f>R11/'Output-Calculation-sheet'!R10*'Output-Calculation-sheet'!R28</f>
        <v>0</v>
      </c>
      <c r="S22" s="2">
        <f>S11/'Output-Calculation-sheet'!S10*'Output-Calculation-sheet'!S28</f>
        <v>158.90287446831394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62.375972701330404</v>
      </c>
      <c r="Y22" s="2">
        <f>Y11/'Output-Calculation-sheet'!Y10*'Output-Calculation-sheet'!Y28</f>
        <v>25.426208271164892</v>
      </c>
      <c r="AA22" s="2">
        <f t="shared" si="0"/>
        <v>8.0121537692167131</v>
      </c>
    </row>
    <row r="23" spans="1:27" x14ac:dyDescent="0.25">
      <c r="A23" s="2">
        <v>2035</v>
      </c>
      <c r="B23" s="2">
        <f>B12/'Output-Calculation-sheet'!B11*'Output-Calculation-sheet'!B29</f>
        <v>561.72697540789238</v>
      </c>
      <c r="C23" s="2">
        <f>C12/'Output-Calculation-sheet'!C11*'Output-Calculation-sheet'!C29</f>
        <v>105.56862215171407</v>
      </c>
      <c r="D23" s="2">
        <f>D12/'Output-Calculation-sheet'!D11*'Output-Calculation-sheet'!D29</f>
        <v>0</v>
      </c>
      <c r="E23" s="2">
        <f>E12/'Output-Calculation-sheet'!E11*'Output-Calculation-sheet'!E29</f>
        <v>1422.2930664142489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171.24278056346708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716.98156901213758</v>
      </c>
      <c r="M23" s="2">
        <f>M12/'Output-Calculation-sheet'!M11*'Output-Calculation-sheet'!M29</f>
        <v>143.58313463395524</v>
      </c>
      <c r="N23" s="2">
        <f>N12/'Output-Calculation-sheet'!N11*'Output-Calculation-sheet'!N29</f>
        <v>100.1376452483657</v>
      </c>
      <c r="O23" s="2">
        <f>O12/'Output-Calculation-sheet'!O11*'Output-Calculation-sheet'!O29</f>
        <v>11.568986602950826</v>
      </c>
      <c r="P23" s="2">
        <f>P12/'Output-Calculation-sheet'!P11*'Output-Calculation-sheet'!P29</f>
        <v>19.927313144726842</v>
      </c>
      <c r="Q23" s="2">
        <f>Q12/'Output-Calculation-sheet'!Q11*'Output-Calculation-sheet'!Q29</f>
        <v>279.40457307367546</v>
      </c>
      <c r="R23" s="2">
        <f>R12/'Output-Calculation-sheet'!R11*'Output-Calculation-sheet'!R29</f>
        <v>0</v>
      </c>
      <c r="S23" s="2">
        <f>S12/'Output-Calculation-sheet'!S11*'Output-Calculation-sheet'!S29</f>
        <v>59.490767345156222</v>
      </c>
      <c r="T23" s="2">
        <f>T12/'Output-Calculation-sheet'!T11*'Output-Calculation-sheet'!T29</f>
        <v>0</v>
      </c>
      <c r="U23" s="2">
        <f>U12/'Output-Calculation-sheet'!U11*'Output-Calculation-sheet'!U29</f>
        <v>64.859975428086727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5.204379906455471</v>
      </c>
      <c r="Y23" s="2">
        <f>Y12/'Output-Calculation-sheet'!Y11*'Output-Calculation-sheet'!Y29</f>
        <v>44.076202592613114</v>
      </c>
      <c r="AA23" s="2">
        <f t="shared" si="0"/>
        <v>3.706065991525445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21703.484354008917</v>
      </c>
      <c r="C30" s="2">
        <f>C8/'Output-Calculation-sheet'!C7*'Output-Calculation-sheet'!C16</f>
        <v>0</v>
      </c>
      <c r="D30" s="2">
        <f>D8/'Output-Calculation-sheet'!D7*'Output-Calculation-sheet'!D16</f>
        <v>3654.5526088356314</v>
      </c>
      <c r="E30" s="2">
        <f>E8/'Output-Calculation-sheet'!E7*'Output-Calculation-sheet'!E16</f>
        <v>3932.0971850414821</v>
      </c>
      <c r="F30" s="2">
        <f>F8/'Output-Calculation-sheet'!F7*'Output-Calculation-sheet'!F16</f>
        <v>1983.7963710251558</v>
      </c>
      <c r="G30" s="2">
        <f>G8/'Output-Calculation-sheet'!G7*'Output-Calculation-sheet'!G16</f>
        <v>1299.1337267494757</v>
      </c>
      <c r="H30" s="2">
        <f>H8/'Output-Calculation-sheet'!H7*'Output-Calculation-sheet'!H16</f>
        <v>0</v>
      </c>
      <c r="I30" s="2">
        <f>I8/'Output-Calculation-sheet'!I7*'Output-Calculation-sheet'!I16</f>
        <v>1266.4763369094987</v>
      </c>
      <c r="J30" s="2">
        <f>J8/'Output-Calculation-sheet'!J7*'Output-Calculation-sheet'!J16</f>
        <v>1127.391940863735</v>
      </c>
      <c r="K30" s="2">
        <f>K8/'Output-Calculation-sheet'!K7*'Output-Calculation-sheet'!K16</f>
        <v>1505.2850345725053</v>
      </c>
      <c r="L30" s="2">
        <f>L8/'Output-Calculation-sheet'!L7*'Output-Calculation-sheet'!L16</f>
        <v>1271.4773760218727</v>
      </c>
      <c r="M30" s="2">
        <f>M8/'Output-Calculation-sheet'!M7*'Output-Calculation-sheet'!M16</f>
        <v>0</v>
      </c>
      <c r="N30" s="2">
        <f>N8/'Output-Calculation-sheet'!N7*'Output-Calculation-sheet'!N16</f>
        <v>1168.9561967558079</v>
      </c>
      <c r="O30" s="2">
        <f>O8/'Output-Calculation-sheet'!O7*'Output-Calculation-sheet'!O16</f>
        <v>0</v>
      </c>
      <c r="P30" s="2">
        <f>P8/'Output-Calculation-sheet'!P7*'Output-Calculation-sheet'!P16</f>
        <v>1623.2053686712995</v>
      </c>
      <c r="Q30" s="2">
        <f>Q8/'Output-Calculation-sheet'!Q7*'Output-Calculation-sheet'!Q16</f>
        <v>1784.998121316994</v>
      </c>
      <c r="R30" s="2">
        <f>R8/'Output-Calculation-sheet'!R7*'Output-Calculation-sheet'!R16</f>
        <v>1132.5876864416384</v>
      </c>
      <c r="S30" s="2">
        <f>S8/'Output-Calculation-sheet'!S7*'Output-Calculation-sheet'!S16</f>
        <v>1139.0527769502944</v>
      </c>
      <c r="T30" s="2">
        <f>T8/'Output-Calculation-sheet'!T7*'Output-Calculation-sheet'!T16</f>
        <v>339.98442953471266</v>
      </c>
      <c r="U30" s="2">
        <f>U8/'Output-Calculation-sheet'!U7*'Output-Calculation-sheet'!U16</f>
        <v>339.3782674739341</v>
      </c>
      <c r="V30" s="2">
        <f>V8/'Output-Calculation-sheet'!V7*'Output-Calculation-sheet'!V16</f>
        <v>264.1305074372803</v>
      </c>
      <c r="W30" s="2">
        <f>W8/'Output-Calculation-sheet'!W7*'Output-Calculation-sheet'!W16</f>
        <v>160.21045399515882</v>
      </c>
      <c r="X30" s="2">
        <f>X8/'Output-Calculation-sheet'!X7*'Output-Calculation-sheet'!X16</f>
        <v>0</v>
      </c>
      <c r="Y30" s="2">
        <f>Y8/'Output-Calculation-sheet'!Y7*'Output-Calculation-sheet'!Y16</f>
        <v>135.59751396858829</v>
      </c>
      <c r="AA30" s="2">
        <f t="shared" si="1"/>
        <v>45.831796256573988</v>
      </c>
    </row>
    <row r="31" spans="1:27" x14ac:dyDescent="0.25">
      <c r="A31" s="2">
        <v>2032</v>
      </c>
      <c r="B31" s="2">
        <f>B9/'Output-Calculation-sheet'!B8*'Output-Calculation-sheet'!B17</f>
        <v>24401.347983193351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954.11842318774177</v>
      </c>
      <c r="O31" s="2">
        <f>O9/'Output-Calculation-sheet'!O8*'Output-Calculation-sheet'!O17</f>
        <v>0</v>
      </c>
      <c r="P31" s="2">
        <f>P9/'Output-Calculation-sheet'!P8*'Output-Calculation-sheet'!P17</f>
        <v>2384.6616017970405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789.69307452468956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55.906381266643656</v>
      </c>
    </row>
    <row r="32" spans="1:27" x14ac:dyDescent="0.25">
      <c r="A32" s="2">
        <v>2033</v>
      </c>
      <c r="B32" s="2">
        <f>B10/'Output-Calculation-sheet'!B9*'Output-Calculation-sheet'!B18</f>
        <v>17278.785179473769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2705.1049643282226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699.36213755123481</v>
      </c>
      <c r="O32" s="2">
        <f>O10/'Output-Calculation-sheet'!O9*'Output-Calculation-sheet'!O18</f>
        <v>0</v>
      </c>
      <c r="P32" s="2">
        <f>P10/'Output-Calculation-sheet'!P9*'Output-Calculation-sheet'!P18</f>
        <v>2784.1456733880291</v>
      </c>
      <c r="Q32" s="2">
        <f>Q10/'Output-Calculation-sheet'!Q9*'Output-Calculation-sheet'!Q18</f>
        <v>2578.0275643539162</v>
      </c>
      <c r="R32" s="2">
        <f>R10/'Output-Calculation-sheet'!R9*'Output-Calculation-sheet'!R18</f>
        <v>1999.2564906096991</v>
      </c>
      <c r="S32" s="2">
        <f>S10/'Output-Calculation-sheet'!S9*'Output-Calculation-sheet'!S18</f>
        <v>636.2128268408344</v>
      </c>
      <c r="T32" s="2">
        <f>T10/'Output-Calculation-sheet'!T9*'Output-Calculation-sheet'!T18</f>
        <v>583.72921996518596</v>
      </c>
      <c r="U32" s="2">
        <f>U10/'Output-Calculation-sheet'!U9*'Output-Calculation-sheet'!U18</f>
        <v>645.29336958303998</v>
      </c>
      <c r="V32" s="2">
        <f>V10/'Output-Calculation-sheet'!V9*'Output-Calculation-sheet'!V18</f>
        <v>476.27217762341382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275.78669921666568</v>
      </c>
      <c r="AA32" s="2">
        <f t="shared" si="1"/>
        <v>54.930811673484818</v>
      </c>
    </row>
    <row r="33" spans="1:27" x14ac:dyDescent="0.25">
      <c r="A33" s="2">
        <v>2034</v>
      </c>
      <c r="B33" s="2">
        <f>B11/'Output-Calculation-sheet'!B10*'Output-Calculation-sheet'!B19</f>
        <v>10149.031560882589</v>
      </c>
      <c r="C33" s="2">
        <f>C11/'Output-Calculation-sheet'!C10*'Output-Calculation-sheet'!C19</f>
        <v>0</v>
      </c>
      <c r="D33" s="2">
        <f>D11/'Output-Calculation-sheet'!D10*'Output-Calculation-sheet'!D19</f>
        <v>6751.5443649618555</v>
      </c>
      <c r="E33" s="2">
        <f>E11/'Output-Calculation-sheet'!E10*'Output-Calculation-sheet'!E19</f>
        <v>8354.2791805830475</v>
      </c>
      <c r="F33" s="2">
        <f>F11/'Output-Calculation-sheet'!F10*'Output-Calculation-sheet'!F19</f>
        <v>3831.9963843979726</v>
      </c>
      <c r="G33" s="2">
        <f>G11/'Output-Calculation-sheet'!G10*'Output-Calculation-sheet'!G19</f>
        <v>2298.0506257316806</v>
      </c>
      <c r="H33" s="2">
        <f>H11/'Output-Calculation-sheet'!H10*'Output-Calculation-sheet'!H19</f>
        <v>0</v>
      </c>
      <c r="I33" s="2">
        <f>I11/'Output-Calculation-sheet'!I10*'Output-Calculation-sheet'!I19</f>
        <v>2507.7765991999577</v>
      </c>
      <c r="J33" s="2">
        <f>J11/'Output-Calculation-sheet'!J10*'Output-Calculation-sheet'!J19</f>
        <v>2120.4282855474221</v>
      </c>
      <c r="K33" s="2">
        <f>K11/'Output-Calculation-sheet'!K10*'Output-Calculation-sheet'!K19</f>
        <v>2941.1091358771919</v>
      </c>
      <c r="L33" s="2">
        <f>L11/'Output-Calculation-sheet'!L10*'Output-Calculation-sheet'!L19</f>
        <v>2392.2059234010585</v>
      </c>
      <c r="M33" s="2">
        <f>M11/'Output-Calculation-sheet'!M10*'Output-Calculation-sheet'!M19</f>
        <v>0</v>
      </c>
      <c r="N33" s="2">
        <f>N11/'Output-Calculation-sheet'!N10*'Output-Calculation-sheet'!N19</f>
        <v>454.10101269506498</v>
      </c>
      <c r="O33" s="2">
        <f>O11/'Output-Calculation-sheet'!O10*'Output-Calculation-sheet'!O19</f>
        <v>0</v>
      </c>
      <c r="P33" s="2">
        <f>P11/'Output-Calculation-sheet'!P10*'Output-Calculation-sheet'!P19</f>
        <v>2247.8740026295418</v>
      </c>
      <c r="Q33" s="2">
        <f>Q11/'Output-Calculation-sheet'!Q10*'Output-Calculation-sheet'!Q19</f>
        <v>1432.9324723323168</v>
      </c>
      <c r="R33" s="2">
        <f>R11/'Output-Calculation-sheet'!R10*'Output-Calculation-sheet'!R19</f>
        <v>2124.6709523760101</v>
      </c>
      <c r="S33" s="2">
        <f>S11/'Output-Calculation-sheet'!S10*'Output-Calculation-sheet'!S19</f>
        <v>288.67158488659004</v>
      </c>
      <c r="T33" s="2">
        <f>T11/'Output-Calculation-sheet'!T10*'Output-Calculation-sheet'!T19</f>
        <v>623.37394937990814</v>
      </c>
      <c r="U33" s="2">
        <f>U11/'Output-Calculation-sheet'!U10*'Output-Calculation-sheet'!U19</f>
        <v>717.01275374113357</v>
      </c>
      <c r="V33" s="2">
        <f>V11/'Output-Calculation-sheet'!V10*'Output-Calculation-sheet'!V19</f>
        <v>488.97494440907059</v>
      </c>
      <c r="W33" s="2">
        <f>W11/'Output-Calculation-sheet'!W10*'Output-Calculation-sheet'!W19</f>
        <v>304.4135739490427</v>
      </c>
      <c r="X33" s="2">
        <f>X11/'Output-Calculation-sheet'!X10*'Output-Calculation-sheet'!X19</f>
        <v>0</v>
      </c>
      <c r="Y33" s="2">
        <f>Y11/'Output-Calculation-sheet'!Y10*'Output-Calculation-sheet'!Y19</f>
        <v>249.26413754579201</v>
      </c>
      <c r="AA33" s="2">
        <f t="shared" si="1"/>
        <v>50.277711444527249</v>
      </c>
    </row>
    <row r="34" spans="1:27" x14ac:dyDescent="0.25">
      <c r="A34" s="2">
        <v>2035</v>
      </c>
      <c r="B34" s="2">
        <f>B12/'Output-Calculation-sheet'!B11*'Output-Calculation-sheet'!B20</f>
        <v>114.81464223680825</v>
      </c>
      <c r="C34" s="2">
        <f>C12/'Output-Calculation-sheet'!C11*'Output-Calculation-sheet'!C20</f>
        <v>0</v>
      </c>
      <c r="D34" s="2">
        <f>D12/'Output-Calculation-sheet'!D11*'Output-Calculation-sheet'!D20</f>
        <v>5113.8031987143877</v>
      </c>
      <c r="E34" s="2">
        <f>E12/'Output-Calculation-sheet'!E11*'Output-Calculation-sheet'!E20</f>
        <v>3018.3354684647629</v>
      </c>
      <c r="F34" s="2">
        <f>F12/'Output-Calculation-sheet'!F11*'Output-Calculation-sheet'!F20</f>
        <v>3492.6670182246835</v>
      </c>
      <c r="G34" s="2">
        <f>G12/'Output-Calculation-sheet'!G11*'Output-Calculation-sheet'!G20</f>
        <v>1883.5067707748331</v>
      </c>
      <c r="H34" s="2">
        <f>H12/'Output-Calculation-sheet'!H11*'Output-Calculation-sheet'!H20</f>
        <v>0</v>
      </c>
      <c r="I34" s="2">
        <f>I12/'Output-Calculation-sheet'!I11*'Output-Calculation-sheet'!I20</f>
        <v>2050.5642567454474</v>
      </c>
      <c r="J34" s="2">
        <f>J12/'Output-Calculation-sheet'!J11*'Output-Calculation-sheet'!J20</f>
        <v>1757.4476574251526</v>
      </c>
      <c r="K34" s="2">
        <f>K12/'Output-Calculation-sheet'!K11*'Output-Calculation-sheet'!K20</f>
        <v>2310.64818130605</v>
      </c>
      <c r="L34" s="2">
        <f>L12/'Output-Calculation-sheet'!L11*'Output-Calculation-sheet'!L20</f>
        <v>1825.5561077491705</v>
      </c>
      <c r="M34" s="2">
        <f>M12/'Output-Calculation-sheet'!M11*'Output-Calculation-sheet'!M20</f>
        <v>0</v>
      </c>
      <c r="N34" s="2">
        <f>N12/'Output-Calculation-sheet'!N11*'Output-Calculation-sheet'!N20</f>
        <v>0.35222736547227246</v>
      </c>
      <c r="O34" s="2">
        <f>O12/'Output-Calculation-sheet'!O11*'Output-Calculation-sheet'!O20</f>
        <v>0</v>
      </c>
      <c r="P34" s="2">
        <f>P12/'Output-Calculation-sheet'!P11*'Output-Calculation-sheet'!P20</f>
        <v>575.14361259079931</v>
      </c>
      <c r="Q34" s="2">
        <f>Q12/'Output-Calculation-sheet'!Q11*'Output-Calculation-sheet'!Q20</f>
        <v>895.51468049440268</v>
      </c>
      <c r="R34" s="2">
        <f>R12/'Output-Calculation-sheet'!R11*'Output-Calculation-sheet'!R20</f>
        <v>1814.4785762994691</v>
      </c>
      <c r="S34" s="2">
        <f>S12/'Output-Calculation-sheet'!S11*'Output-Calculation-sheet'!S20</f>
        <v>3.7373978670137746</v>
      </c>
      <c r="T34" s="2">
        <f>T12/'Output-Calculation-sheet'!T11*'Output-Calculation-sheet'!T20</f>
        <v>567.0170562279784</v>
      </c>
      <c r="U34" s="2">
        <f>U12/'Output-Calculation-sheet'!U11*'Output-Calculation-sheet'!U20</f>
        <v>518.39118020551484</v>
      </c>
      <c r="V34" s="2">
        <f>V12/'Output-Calculation-sheet'!V11*'Output-Calculation-sheet'!V20</f>
        <v>474.9137430966714</v>
      </c>
      <c r="W34" s="2">
        <f>W12/'Output-Calculation-sheet'!W11*'Output-Calculation-sheet'!W20</f>
        <v>306.83542513344293</v>
      </c>
      <c r="X34" s="2">
        <f>X12/'Output-Calculation-sheet'!X11*'Output-Calculation-sheet'!X20</f>
        <v>0</v>
      </c>
      <c r="Y34" s="2">
        <f>Y12/'Output-Calculation-sheet'!Y11*'Output-Calculation-sheet'!Y20</f>
        <v>76.391220198218761</v>
      </c>
      <c r="AA34" s="2">
        <f t="shared" si="1"/>
        <v>26.800118421120278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7.624435961435394E-2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7.6427360498524347E-2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1.1139584917336342E-2</v>
      </c>
      <c r="I45" s="2">
        <f>I12/'Output-Calculation-sheet'!I11*'Output-Calculation-sheet'!I38*0.0114</f>
        <v>4.1370976745446222E-2</v>
      </c>
      <c r="J45" s="2">
        <f>J12/'Output-Calculation-sheet'!J11*'Output-Calculation-sheet'!J38*0.0114</f>
        <v>3.0707672016641242E-2</v>
      </c>
      <c r="K45" s="2">
        <f>K12/'Output-Calculation-sheet'!K11*'Output-Calculation-sheet'!K38*0.0114</f>
        <v>5.0826356044522958E-2</v>
      </c>
      <c r="L45" s="2">
        <f>L12/'Output-Calculation-sheet'!L11*'Output-Calculation-sheet'!L38*0.0114</f>
        <v>3.233182281769862E-2</v>
      </c>
      <c r="M45" s="2">
        <f>M12/'Output-Calculation-sheet'!M11*'Output-Calculation-sheet'!M38*0.0114</f>
        <v>7.6651185222182203E-3</v>
      </c>
      <c r="N45" s="2">
        <f>N12/'Output-Calculation-sheet'!N11*'Output-Calculation-sheet'!N38*0.0114</f>
        <v>7.533568417230593E-3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6.9596939386013306E-3</v>
      </c>
      <c r="Q45" s="2">
        <f>Q12/'Output-Calculation-sheet'!Q11*'Output-Calculation-sheet'!Q38*0.0114</f>
        <v>5.2804474952326215E-2</v>
      </c>
      <c r="R45" s="2">
        <f>R12/'Output-Calculation-sheet'!R11*'Output-Calculation-sheet'!R38*0.0114</f>
        <v>2.6182794614743331E-2</v>
      </c>
      <c r="S45" s="2">
        <f>S12/'Output-Calculation-sheet'!S11*'Output-Calculation-sheet'!S38*0.0114</f>
        <v>4.318501488339452E-3</v>
      </c>
      <c r="T45" s="2">
        <f>T12/'Output-Calculation-sheet'!T11*'Output-Calculation-sheet'!T38*0.0114</f>
        <v>7.2649857592358199E-3</v>
      </c>
      <c r="U45" s="2">
        <f>U12/'Output-Calculation-sheet'!U11*'Output-Calculation-sheet'!U38*0.0114</f>
        <v>1.0529876556975385E-2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2.434394244083397E-3</v>
      </c>
      <c r="AA45" s="2">
        <f t="shared" si="2"/>
        <v>0.7169293245521714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0.15558197513314417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2022.357941507436</v>
      </c>
      <c r="Q54" s="2">
        <f>Q10/'Output-Calculation-sheet'!Q9*'Output-Calculation-sheet'!Q45</f>
        <v>177.25593325515564</v>
      </c>
      <c r="R54" s="2">
        <f>R10/'Output-Calculation-sheet'!R9*'Output-Calculation-sheet'!R45</f>
        <v>1326.9337666908993</v>
      </c>
      <c r="S54" s="2">
        <f>S10/'Output-Calculation-sheet'!S9*'Output-Calculation-sheet'!S45</f>
        <v>0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16.539287680341008</v>
      </c>
      <c r="AA54" s="2">
        <f t="shared" si="3"/>
        <v>4.3663066656500371</v>
      </c>
    </row>
    <row r="55" spans="1:27" x14ac:dyDescent="0.25">
      <c r="A55" s="2">
        <v>2034</v>
      </c>
      <c r="B55" s="2">
        <f>B11/'Output-Calculation-sheet'!B10*'Output-Calculation-sheet'!B46</f>
        <v>1326.6580748527799</v>
      </c>
      <c r="C55" s="2">
        <f>C11/'Output-Calculation-sheet'!C10*'Output-Calculation-sheet'!C46</f>
        <v>0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452.26926726512443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2786.3952193495738</v>
      </c>
      <c r="L55" s="2">
        <f>L11/'Output-Calculation-sheet'!L10*'Output-Calculation-sheet'!L46</f>
        <v>1030.4523543776065</v>
      </c>
      <c r="M55" s="2">
        <f>M11/'Output-Calculation-sheet'!M10*'Output-Calculation-sheet'!M46</f>
        <v>335.21253423265864</v>
      </c>
      <c r="N55" s="2">
        <f>N11/'Output-Calculation-sheet'!N10*'Output-Calculation-sheet'!N46</f>
        <v>114.48064219729444</v>
      </c>
      <c r="O55" s="2">
        <f>O11/'Output-Calculation-sheet'!O10*'Output-Calculation-sheet'!O46</f>
        <v>0</v>
      </c>
      <c r="P55" s="2">
        <f>P11/'Output-Calculation-sheet'!P10*'Output-Calculation-sheet'!P46</f>
        <v>2489.800417158378</v>
      </c>
      <c r="Q55" s="2">
        <f>Q11/'Output-Calculation-sheet'!Q10*'Output-Calculation-sheet'!Q46</f>
        <v>533.67092722687505</v>
      </c>
      <c r="R55" s="2">
        <f>R11/'Output-Calculation-sheet'!R10*'Output-Calculation-sheet'!R46</f>
        <v>3086.5732088030368</v>
      </c>
      <c r="S55" s="2">
        <f>S11/'Output-Calculation-sheet'!S10*'Output-Calculation-sheet'!S46</f>
        <v>0</v>
      </c>
      <c r="T55" s="2">
        <f>T11/'Output-Calculation-sheet'!T10*'Output-Calculation-sheet'!T46</f>
        <v>698.91427889041574</v>
      </c>
      <c r="U55" s="2">
        <f>U11/'Output-Calculation-sheet'!U10*'Output-Calculation-sheet'!U46</f>
        <v>1171.8796661494277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31.993931030980683</v>
      </c>
      <c r="Y55" s="2">
        <f>Y11/'Output-Calculation-sheet'!Y10*'Output-Calculation-sheet'!Y46</f>
        <v>222.5241519527975</v>
      </c>
      <c r="AA55" s="2">
        <f t="shared" si="3"/>
        <v>33.310851973782633</v>
      </c>
    </row>
    <row r="56" spans="1:27" x14ac:dyDescent="0.25">
      <c r="A56" s="2">
        <v>2035</v>
      </c>
      <c r="B56" s="2">
        <f>B12/'Output-Calculation-sheet'!B11*'Output-Calculation-sheet'!B47</f>
        <v>274.21217054285188</v>
      </c>
      <c r="C56" s="2">
        <f>C12/'Output-Calculation-sheet'!C11*'Output-Calculation-sheet'!C47</f>
        <v>215.85429552625183</v>
      </c>
      <c r="D56" s="2">
        <f>D12/'Output-Calculation-sheet'!D11*'Output-Calculation-sheet'!D47</f>
        <v>4988.3218775279802</v>
      </c>
      <c r="E56" s="2">
        <f>E12/'Output-Calculation-sheet'!E11*'Output-Calculation-sheet'!E47</f>
        <v>6076.1986314470087</v>
      </c>
      <c r="F56" s="2">
        <f>F12/'Output-Calculation-sheet'!F11*'Output-Calculation-sheet'!F47</f>
        <v>1583.9804338378556</v>
      </c>
      <c r="G56" s="2">
        <f>G12/'Output-Calculation-sheet'!G11*'Output-Calculation-sheet'!G47</f>
        <v>3909.6994136490312</v>
      </c>
      <c r="H56" s="2">
        <f>H12/'Output-Calculation-sheet'!H11*'Output-Calculation-sheet'!H47</f>
        <v>81.103995450782136</v>
      </c>
      <c r="I56" s="2">
        <f>I12/'Output-Calculation-sheet'!I11*'Output-Calculation-sheet'!I47</f>
        <v>1952.4197797412339</v>
      </c>
      <c r="J56" s="2">
        <f>J12/'Output-Calculation-sheet'!J11*'Output-Calculation-sheet'!J47</f>
        <v>1782.3020161705515</v>
      </c>
      <c r="K56" s="2">
        <f>K12/'Output-Calculation-sheet'!K11*'Output-Calculation-sheet'!K47</f>
        <v>2540.4261117692263</v>
      </c>
      <c r="L56" s="2">
        <f>L12/'Output-Calculation-sheet'!L11*'Output-Calculation-sheet'!L47</f>
        <v>1411.6811234657446</v>
      </c>
      <c r="M56" s="2">
        <f>M12/'Output-Calculation-sheet'!M11*'Output-Calculation-sheet'!M47</f>
        <v>56.479820690028987</v>
      </c>
      <c r="N56" s="2">
        <f>N12/'Output-Calculation-sheet'!N11*'Output-Calculation-sheet'!N47</f>
        <v>52.206307452738322</v>
      </c>
      <c r="O56" s="2">
        <f>O12/'Output-Calculation-sheet'!O11*'Output-Calculation-sheet'!O47</f>
        <v>7.400204650075155</v>
      </c>
      <c r="P56" s="2">
        <f>P12/'Output-Calculation-sheet'!P11*'Output-Calculation-sheet'!P47</f>
        <v>747.86184866549388</v>
      </c>
      <c r="Q56" s="2">
        <f>Q12/'Output-Calculation-sheet'!Q11*'Output-Calculation-sheet'!Q47</f>
        <v>665.84590126288538</v>
      </c>
      <c r="R56" s="2">
        <f>R12/'Output-Calculation-sheet'!R11*'Output-Calculation-sheet'!R47</f>
        <v>3009.2988284181974</v>
      </c>
      <c r="S56" s="2">
        <f>S12/'Output-Calculation-sheet'!S11*'Output-Calculation-sheet'!S47</f>
        <v>23.865402961875919</v>
      </c>
      <c r="T56" s="2">
        <f>T12/'Output-Calculation-sheet'!T11*'Output-Calculation-sheet'!T47</f>
        <v>1060.6454355515921</v>
      </c>
      <c r="U56" s="2">
        <f>U12/'Output-Calculation-sheet'!U11*'Output-Calculation-sheet'!U47</f>
        <v>1012.161292204704</v>
      </c>
      <c r="V56" s="2">
        <f>V12/'Output-Calculation-sheet'!V11*'Output-Calculation-sheet'!V47</f>
        <v>706.53500585771417</v>
      </c>
      <c r="W56" s="2">
        <f>W12/'Output-Calculation-sheet'!W11*'Output-Calculation-sheet'!W47</f>
        <v>410.8754882313396</v>
      </c>
      <c r="X56" s="2">
        <f>X12/'Output-Calculation-sheet'!X11*'Output-Calculation-sheet'!X47</f>
        <v>6.3434765077195809</v>
      </c>
      <c r="Y56" s="2">
        <f>Y12/'Output-Calculation-sheet'!Y11*'Output-Calculation-sheet'!Y47</f>
        <v>164.28602091650529</v>
      </c>
      <c r="AA56" s="2">
        <f t="shared" si="3"/>
        <v>32.740004882499385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8.2509106598986115</v>
      </c>
      <c r="C63" s="2">
        <f>C8*'Output-Calculation-sheet'!C52/10^9</f>
        <v>3.8877041470577804</v>
      </c>
      <c r="D63" s="2">
        <f>D8*'Output-Calculation-sheet'!D52/10^9</f>
        <v>1.9318735859885001</v>
      </c>
      <c r="E63" s="2">
        <f>E8*'Output-Calculation-sheet'!E52/10^9</f>
        <v>2.2101485377191232</v>
      </c>
      <c r="F63" s="2">
        <f>F8*'Output-Calculation-sheet'!F52/10^9</f>
        <v>1.0331024565193401</v>
      </c>
      <c r="G63" s="2">
        <f>G8*'Output-Calculation-sheet'!G52/10^9</f>
        <v>0.78801509871200071</v>
      </c>
      <c r="H63" s="2">
        <f>H8*'Output-Calculation-sheet'!H52/10^9</f>
        <v>1.0722843284296979</v>
      </c>
      <c r="I63" s="2">
        <f>I8*'Output-Calculation-sheet'!I52/10^9</f>
        <v>0.62247956327934117</v>
      </c>
      <c r="J63" s="2">
        <f>J8*'Output-Calculation-sheet'!J52/10^9</f>
        <v>0.87997932064730011</v>
      </c>
      <c r="K63" s="2">
        <f>K8*'Output-Calculation-sheet'!K52/10^9</f>
        <v>0.57766321561523115</v>
      </c>
      <c r="L63" s="2">
        <f>L8*'Output-Calculation-sheet'!L52/10^9</f>
        <v>0.68392957735570803</v>
      </c>
      <c r="M63" s="2">
        <f>M8*'Output-Calculation-sheet'!M52/10^9</f>
        <v>0.78745222914586721</v>
      </c>
      <c r="N63" s="2">
        <f>N8*'Output-Calculation-sheet'!N52/10^9</f>
        <v>0.68094386846044841</v>
      </c>
      <c r="O63" s="2">
        <f>O8*'Output-Calculation-sheet'!O52/10^9</f>
        <v>0.69622395193683617</v>
      </c>
      <c r="P63" s="2">
        <f>P8*'Output-Calculation-sheet'!P52/10^9</f>
        <v>0.58749344216720878</v>
      </c>
      <c r="Q63" s="2">
        <f>Q8*'Output-Calculation-sheet'!Q52/10^9</f>
        <v>0.54800357428149471</v>
      </c>
      <c r="R63" s="2">
        <f>R8*'Output-Calculation-sheet'!R52/10^9</f>
        <v>0.49636327252894152</v>
      </c>
      <c r="S63" s="2">
        <f>S8*'Output-Calculation-sheet'!S52/10^9</f>
        <v>0.42114577476942089</v>
      </c>
      <c r="T63" s="2">
        <f>T8*'Output-Calculation-sheet'!T52/10^9</f>
        <v>0.20160322074021012</v>
      </c>
      <c r="U63" s="2">
        <f>U8*'Output-Calculation-sheet'!U52/10^9</f>
        <v>0.15722020822577804</v>
      </c>
      <c r="V63" s="2">
        <f>V8*'Output-Calculation-sheet'!V52/10^9</f>
        <v>0.26030976659601646</v>
      </c>
      <c r="W63" s="2">
        <f>W8*'Output-Calculation-sheet'!W52/10^9</f>
        <v>0.10923780663238636</v>
      </c>
      <c r="X63" s="2">
        <f>X8*'Output-Calculation-sheet'!X52/10^9</f>
        <v>0.10239252936126907</v>
      </c>
      <c r="Y63" s="2">
        <f>Y8*'Output-Calculation-sheet'!Y52/10^9</f>
        <v>6.3080772617925052E-2</v>
      </c>
      <c r="AA63" s="2">
        <f t="shared" si="4"/>
        <v>27.049560908686445</v>
      </c>
    </row>
    <row r="64" spans="1:27" x14ac:dyDescent="0.25">
      <c r="A64" s="2">
        <v>2032</v>
      </c>
      <c r="B64" s="2">
        <f>B9*'Output-Calculation-sheet'!B53/10^9</f>
        <v>8.1648342548714172</v>
      </c>
      <c r="C64" s="2">
        <f>C9*'Output-Calculation-sheet'!C53/10^9</f>
        <v>3.9248513163629566</v>
      </c>
      <c r="D64" s="2">
        <f>D9*'Output-Calculation-sheet'!D53/10^9</f>
        <v>1.715839079779363</v>
      </c>
      <c r="E64" s="2">
        <f>E9*'Output-Calculation-sheet'!E53/10^9</f>
        <v>2.0034427883063342</v>
      </c>
      <c r="F64" s="2">
        <f>F9*'Output-Calculation-sheet'!F53/10^9</f>
        <v>0.91934608910741833</v>
      </c>
      <c r="G64" s="2">
        <f>G9*'Output-Calculation-sheet'!G53/10^9</f>
        <v>0.6883683382766973</v>
      </c>
      <c r="H64" s="2">
        <f>H9*'Output-Calculation-sheet'!H53/10^9</f>
        <v>1.1096370676740352</v>
      </c>
      <c r="I64" s="2">
        <f>I9*'Output-Calculation-sheet'!I53/10^9</f>
        <v>0.55821950442932777</v>
      </c>
      <c r="J64" s="2">
        <f>J9*'Output-Calculation-sheet'!J53/10^9</f>
        <v>0.74924963965518343</v>
      </c>
      <c r="K64" s="2">
        <f>K9*'Output-Calculation-sheet'!K53/10^9</f>
        <v>0.55311385421909498</v>
      </c>
      <c r="L64" s="2">
        <f>L9*'Output-Calculation-sheet'!L53/10^9</f>
        <v>0.62096492893290178</v>
      </c>
      <c r="M64" s="2">
        <f>M9*'Output-Calculation-sheet'!M53/10^9</f>
        <v>0.80279432115166427</v>
      </c>
      <c r="N64" s="2">
        <f>N9*'Output-Calculation-sheet'!N53/10^9</f>
        <v>0.71734392346353337</v>
      </c>
      <c r="O64" s="2">
        <f>O9*'Output-Calculation-sheet'!O53/10^9</f>
        <v>0.71701205257435419</v>
      </c>
      <c r="P64" s="2">
        <f>P9*'Output-Calculation-sheet'!P53/10^9</f>
        <v>0.59020467514190467</v>
      </c>
      <c r="Q64" s="2">
        <f>Q9*'Output-Calculation-sheet'!Q53/10^9</f>
        <v>0.55982369209866933</v>
      </c>
      <c r="R64" s="2">
        <f>R9*'Output-Calculation-sheet'!R53/10^9</f>
        <v>0.47625279312785468</v>
      </c>
      <c r="S64" s="2">
        <f>S9*'Output-Calculation-sheet'!S53/10^9</f>
        <v>0.43419914326533771</v>
      </c>
      <c r="T64" s="2">
        <f>T9*'Output-Calculation-sheet'!T53/10^9</f>
        <v>0.17803232770468363</v>
      </c>
      <c r="U64" s="2">
        <f>U9*'Output-Calculation-sheet'!U53/10^9</f>
        <v>0.15168259690908362</v>
      </c>
      <c r="V64" s="2">
        <f>V9*'Output-Calculation-sheet'!V53/10^9</f>
        <v>0.22107198893583294</v>
      </c>
      <c r="W64" s="2">
        <f>W9*'Output-Calculation-sheet'!W53/10^9</f>
        <v>9.4228242683794955E-2</v>
      </c>
      <c r="X64" s="2">
        <f>X9*'Output-Calculation-sheet'!X53/10^9</f>
        <v>0.10078761925294584</v>
      </c>
      <c r="Y64" s="2">
        <f>Y9*'Output-Calculation-sheet'!Y53/10^9</f>
        <v>5.9934436638584172E-2</v>
      </c>
      <c r="AA64" s="2">
        <f t="shared" si="4"/>
        <v>26.111234674562976</v>
      </c>
    </row>
    <row r="65" spans="1:27" x14ac:dyDescent="0.25">
      <c r="A65" s="2">
        <v>2033</v>
      </c>
      <c r="B65" s="2">
        <f>B10*'Output-Calculation-sheet'!B54/10^9</f>
        <v>7.4052000339248094</v>
      </c>
      <c r="C65" s="2">
        <f>C10*'Output-Calculation-sheet'!C54/10^9</f>
        <v>3.5763126894445656</v>
      </c>
      <c r="D65" s="2">
        <f>D10*'Output-Calculation-sheet'!D54/10^9</f>
        <v>1.3563106654890249</v>
      </c>
      <c r="E65" s="2">
        <f>E10*'Output-Calculation-sheet'!E54/10^9</f>
        <v>1.7272795872647604</v>
      </c>
      <c r="F65" s="2">
        <f>F10*'Output-Calculation-sheet'!F54/10^9</f>
        <v>0.74222609592704825</v>
      </c>
      <c r="G65" s="2">
        <f>G10*'Output-Calculation-sheet'!G54/10^9</f>
        <v>0.52842903200868041</v>
      </c>
      <c r="H65" s="2">
        <f>H10*'Output-Calculation-sheet'!H54/10^9</f>
        <v>1.0473893403681833</v>
      </c>
      <c r="I65" s="2">
        <f>I10*'Output-Calculation-sheet'!I54/10^9</f>
        <v>0.4633219637676011</v>
      </c>
      <c r="J65" s="2">
        <f>J10*'Output-Calculation-sheet'!J54/10^9</f>
        <v>0.54818277177995123</v>
      </c>
      <c r="K65" s="2">
        <f>K10*'Output-Calculation-sheet'!K54/10^9</f>
        <v>0.51299874234770848</v>
      </c>
      <c r="L65" s="2">
        <f>L10*'Output-Calculation-sheet'!L54/10^9</f>
        <v>0.52903337914502835</v>
      </c>
      <c r="M65" s="2">
        <f>M10*'Output-Calculation-sheet'!M54/10^9</f>
        <v>0.74534308001878058</v>
      </c>
      <c r="N65" s="2">
        <f>N10*'Output-Calculation-sheet'!N54/10^9</f>
        <v>0.68374210107490774</v>
      </c>
      <c r="O65" s="2">
        <f>O10*'Output-Calculation-sheet'!O54/10^9</f>
        <v>0.66782524985290004</v>
      </c>
      <c r="P65" s="2">
        <f>P10*'Output-Calculation-sheet'!P54/10^9</f>
        <v>0.55495882834713905</v>
      </c>
      <c r="Q65" s="2">
        <f>Q10*'Output-Calculation-sheet'!Q54/10^9</f>
        <v>0.54649402629249166</v>
      </c>
      <c r="R65" s="2">
        <f>R10*'Output-Calculation-sheet'!R54/10^9</f>
        <v>0.43413535328844322</v>
      </c>
      <c r="S65" s="2">
        <f>S10*'Output-Calculation-sheet'!S54/10^9</f>
        <v>0.40519614068815935</v>
      </c>
      <c r="T65" s="2">
        <f>T10*'Output-Calculation-sheet'!T54/10^9</f>
        <v>0.14701847691987741</v>
      </c>
      <c r="U65" s="2">
        <f>U10*'Output-Calculation-sheet'!U54/10^9</f>
        <v>0.14120021934579838</v>
      </c>
      <c r="V65" s="2">
        <f>V10*'Output-Calculation-sheet'!V54/10^9</f>
        <v>0.16637030869536382</v>
      </c>
      <c r="W65" s="2">
        <f>W10*'Output-Calculation-sheet'!W54/10^9</f>
        <v>7.1102029461277902E-2</v>
      </c>
      <c r="X65" s="2">
        <f>X10*'Output-Calculation-sheet'!X54/10^9</f>
        <v>8.9038877014429627E-2</v>
      </c>
      <c r="Y65" s="2">
        <f>Y10*'Output-Calculation-sheet'!Y54/10^9</f>
        <v>5.5162098240764124E-2</v>
      </c>
      <c r="AA65" s="2">
        <f t="shared" si="4"/>
        <v>23.144271090707704</v>
      </c>
    </row>
    <row r="66" spans="1:27" x14ac:dyDescent="0.25">
      <c r="A66" s="2">
        <v>2034</v>
      </c>
      <c r="B66" s="2">
        <f>B11*'Output-Calculation-sheet'!B55/10^9</f>
        <v>6.1303486171611468</v>
      </c>
      <c r="C66" s="2">
        <f>C11*'Output-Calculation-sheet'!C55/10^9</f>
        <v>2.9772857291038641</v>
      </c>
      <c r="D66" s="2">
        <f>D11*'Output-Calculation-sheet'!D55/10^9</f>
        <v>1.1972114419391551</v>
      </c>
      <c r="E66" s="2">
        <f>E11*'Output-Calculation-sheet'!E55/10^9</f>
        <v>1.5506276457262942</v>
      </c>
      <c r="F66" s="2">
        <f>F11*'Output-Calculation-sheet'!F55/10^9</f>
        <v>0.61029160277444794</v>
      </c>
      <c r="G66" s="2">
        <f>G11*'Output-Calculation-sheet'!G55/10^9</f>
        <v>0.44518079702861924</v>
      </c>
      <c r="H66" s="2">
        <f>H11*'Output-Calculation-sheet'!H55/10^9</f>
        <v>0.89497810438220138</v>
      </c>
      <c r="I66" s="2">
        <f>I11*'Output-Calculation-sheet'!I55/10^9</f>
        <v>0.4138485829423334</v>
      </c>
      <c r="J66" s="2">
        <f>J11*'Output-Calculation-sheet'!J55/10^9</f>
        <v>0.41666536195040021</v>
      </c>
      <c r="K66" s="2">
        <f>K11*'Output-Calculation-sheet'!K55/10^9</f>
        <v>0.47444132499478664</v>
      </c>
      <c r="L66" s="2">
        <f>L11*'Output-Calculation-sheet'!L55/10^9</f>
        <v>0.45995519624007408</v>
      </c>
      <c r="M66" s="2">
        <f>M11*'Output-Calculation-sheet'!M55/10^9</f>
        <v>0.62749091625574716</v>
      </c>
      <c r="N66" s="2">
        <f>N11*'Output-Calculation-sheet'!N55/10^9</f>
        <v>0.59480606415333837</v>
      </c>
      <c r="O66" s="2">
        <f>O11*'Output-Calculation-sheet'!O55/10^9</f>
        <v>0.56582597942075719</v>
      </c>
      <c r="P66" s="2">
        <f>P11*'Output-Calculation-sheet'!P55/10^9</f>
        <v>0.49181327685323351</v>
      </c>
      <c r="Q66" s="2">
        <f>Q11*'Output-Calculation-sheet'!Q55/10^9</f>
        <v>0.4952192017221354</v>
      </c>
      <c r="R66" s="2">
        <f>R11*'Output-Calculation-sheet'!R55/10^9</f>
        <v>0.37766962218906591</v>
      </c>
      <c r="S66" s="2">
        <f>S11*'Output-Calculation-sheet'!S55/10^9</f>
        <v>0.34544800682295457</v>
      </c>
      <c r="T66" s="2">
        <f>T11*'Output-Calculation-sheet'!T55/10^9</f>
        <v>0.11833650044829074</v>
      </c>
      <c r="U66" s="2">
        <f>U11*'Output-Calculation-sheet'!U55/10^9</f>
        <v>0.12879169124605216</v>
      </c>
      <c r="V66" s="2">
        <f>V11*'Output-Calculation-sheet'!V55/10^9</f>
        <v>0.11183099890249959</v>
      </c>
      <c r="W66" s="2">
        <f>W11*'Output-Calculation-sheet'!W55/10^9</f>
        <v>5.4789773753050976E-2</v>
      </c>
      <c r="X66" s="2">
        <f>X11*'Output-Calculation-sheet'!X55/10^9</f>
        <v>7.178192269917151E-2</v>
      </c>
      <c r="Y66" s="2">
        <f>Y11*'Output-Calculation-sheet'!Y55/10^9</f>
        <v>5.2367706051090118E-2</v>
      </c>
      <c r="AA66" s="2">
        <f t="shared" si="4"/>
        <v>19.607006064760711</v>
      </c>
    </row>
    <row r="67" spans="1:27" x14ac:dyDescent="0.25">
      <c r="A67" s="2">
        <v>2035</v>
      </c>
      <c r="B67" s="2">
        <f>B12*'Output-Calculation-sheet'!B56/10^9</f>
        <v>4.7317493384264182</v>
      </c>
      <c r="C67" s="2">
        <f>C12*'Output-Calculation-sheet'!C56/10^9</f>
        <v>2.2133656821530914</v>
      </c>
      <c r="D67" s="2">
        <f>D12*'Output-Calculation-sheet'!D56/10^9</f>
        <v>1.0858450209249213</v>
      </c>
      <c r="E67" s="2">
        <f>E12*'Output-Calculation-sheet'!E56/10^9</f>
        <v>1.4587804743011923</v>
      </c>
      <c r="F67" s="2">
        <f>F12*'Output-Calculation-sheet'!F56/10^9</f>
        <v>0.58300402548657804</v>
      </c>
      <c r="G67" s="2">
        <f>G12*'Output-Calculation-sheet'!G56/10^9</f>
        <v>0.42953749403215546</v>
      </c>
      <c r="H67" s="2">
        <f>H12*'Output-Calculation-sheet'!H56/10^9</f>
        <v>0.69686112386575683</v>
      </c>
      <c r="I67" s="2">
        <f>I12*'Output-Calculation-sheet'!I56/10^9</f>
        <v>0.39360206434603512</v>
      </c>
      <c r="J67" s="2">
        <f>J12*'Output-Calculation-sheet'!J56/10^9</f>
        <v>0.36040901082516319</v>
      </c>
      <c r="K67" s="2">
        <f>K12*'Output-Calculation-sheet'!K56/10^9</f>
        <v>0.43169120454349669</v>
      </c>
      <c r="L67" s="2">
        <f>L12*'Output-Calculation-sheet'!L56/10^9</f>
        <v>0.40233681422657441</v>
      </c>
      <c r="M67" s="2">
        <f>M12*'Output-Calculation-sheet'!M56/10^9</f>
        <v>0.4832720401013178</v>
      </c>
      <c r="N67" s="2">
        <f>N12*'Output-Calculation-sheet'!N56/10^9</f>
        <v>0.47128409654923548</v>
      </c>
      <c r="O67" s="2">
        <f>O12*'Output-Calculation-sheet'!O56/10^9</f>
        <v>0.42984356874616092</v>
      </c>
      <c r="P67" s="2">
        <f>P12*'Output-Calculation-sheet'!P56/10^9</f>
        <v>0.41730451555273218</v>
      </c>
      <c r="Q67" s="2">
        <f>Q12*'Output-Calculation-sheet'!Q56/10^9</f>
        <v>0.41342788931460683</v>
      </c>
      <c r="R67" s="2">
        <f>R12*'Output-Calculation-sheet'!R56/10^9</f>
        <v>0.33237636809711468</v>
      </c>
      <c r="S67" s="2">
        <f>S12*'Output-Calculation-sheet'!S56/10^9</f>
        <v>0.27047461487191965</v>
      </c>
      <c r="T67" s="2">
        <f>T12*'Output-Calculation-sheet'!T56/10^9</f>
        <v>0.10343427197709924</v>
      </c>
      <c r="U67" s="2">
        <f>U12*'Output-Calculation-sheet'!U56/10^9</f>
        <v>0.11181770101547139</v>
      </c>
      <c r="V67" s="2">
        <f>V12*'Output-Calculation-sheet'!V56/10^9</f>
        <v>7.9770630811969695E-2</v>
      </c>
      <c r="W67" s="2">
        <f>W12*'Output-Calculation-sheet'!W56/10^9</f>
        <v>5.4148154678698802E-2</v>
      </c>
      <c r="X67" s="2">
        <f>X12*'Output-Calculation-sheet'!X56/10^9</f>
        <v>5.18273314245742E-2</v>
      </c>
      <c r="Y67" s="2">
        <f>Y12*'Output-Calculation-sheet'!Y56/10^9</f>
        <v>4.818831671130834E-2</v>
      </c>
      <c r="AA67" s="2">
        <f t="shared" si="4"/>
        <v>16.054351752983592</v>
      </c>
    </row>
    <row r="68" spans="1:27" x14ac:dyDescent="0.25">
      <c r="B68" s="2">
        <f>SUM(B60:B67)</f>
        <v>34.683042904282402</v>
      </c>
      <c r="C68" s="2">
        <f t="shared" ref="C68:Y68" si="5">SUM(C60:C67)</f>
        <v>16.579519564122258</v>
      </c>
      <c r="D68" s="2">
        <f t="shared" si="5"/>
        <v>7.2870797941209648</v>
      </c>
      <c r="E68" s="2">
        <f t="shared" si="5"/>
        <v>8.9502790333177042</v>
      </c>
      <c r="F68" s="2">
        <f t="shared" si="5"/>
        <v>3.8879702698148324</v>
      </c>
      <c r="G68" s="2">
        <f t="shared" si="5"/>
        <v>2.8795307600581528</v>
      </c>
      <c r="H68" s="2">
        <f t="shared" si="5"/>
        <v>4.8211499647198748</v>
      </c>
      <c r="I68" s="2">
        <f t="shared" si="5"/>
        <v>2.4514716787646389</v>
      </c>
      <c r="J68" s="2">
        <f t="shared" si="5"/>
        <v>2.9544861048579985</v>
      </c>
      <c r="K68" s="2">
        <f t="shared" si="5"/>
        <v>2.5499083417203177</v>
      </c>
      <c r="L68" s="2">
        <f t="shared" si="5"/>
        <v>2.6962198959002865</v>
      </c>
      <c r="M68" s="2">
        <f t="shared" si="5"/>
        <v>3.4463525866733771</v>
      </c>
      <c r="N68" s="2">
        <f t="shared" si="5"/>
        <v>3.1481200537014633</v>
      </c>
      <c r="O68" s="2">
        <f t="shared" si="5"/>
        <v>3.0767308025310087</v>
      </c>
      <c r="P68" s="2">
        <f t="shared" si="5"/>
        <v>2.6417747380622179</v>
      </c>
      <c r="Q68" s="2">
        <f t="shared" si="5"/>
        <v>2.5629683837093982</v>
      </c>
      <c r="R68" s="2">
        <f t="shared" si="5"/>
        <v>2.1167974092314199</v>
      </c>
      <c r="S68" s="2">
        <f t="shared" si="5"/>
        <v>1.8764636804177923</v>
      </c>
      <c r="T68" s="2">
        <f t="shared" si="5"/>
        <v>0.74842479779016102</v>
      </c>
      <c r="U68" s="2">
        <f t="shared" si="5"/>
        <v>0.69071241674218364</v>
      </c>
      <c r="V68" s="2">
        <f t="shared" si="5"/>
        <v>0.83935369394168247</v>
      </c>
      <c r="W68" s="2">
        <f t="shared" si="5"/>
        <v>0.38350600720920902</v>
      </c>
      <c r="X68" s="2">
        <f t="shared" si="5"/>
        <v>0.41582827975239023</v>
      </c>
      <c r="Y68" s="2">
        <f t="shared" si="5"/>
        <v>0.27873333025967179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56.989368388008856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5.6989368388008853E-2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472.43239977093089</v>
      </c>
      <c r="Q76" s="2">
        <f>Q10/'Output-Calculation-sheet'!Q9*'Output-Calculation-sheet'!Q63</f>
        <v>56.034691023491348</v>
      </c>
      <c r="R76" s="2">
        <f>R10/'Output-Calculation-sheet'!R9*'Output-Calculation-sheet'!R63</f>
        <v>358.95541578042304</v>
      </c>
      <c r="S76" s="2">
        <f>S10/'Output-Calculation-sheet'!S9*'Output-Calculation-sheet'!S63</f>
        <v>0</v>
      </c>
      <c r="T76" s="2">
        <f>T10/'Output-Calculation-sheet'!T9*'Output-Calculation-sheet'!T63</f>
        <v>23.623641259346364</v>
      </c>
      <c r="U76" s="2">
        <f>U10/'Output-Calculation-sheet'!U9*'Output-Calculation-sheet'!U63</f>
        <v>127.72710111605748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6.0582963765313975</v>
      </c>
      <c r="AA76" s="2">
        <f t="shared" si="6"/>
        <v>1.1440100221600356</v>
      </c>
    </row>
    <row r="77" spans="1:27" x14ac:dyDescent="0.25">
      <c r="A77" s="2">
        <v>2034</v>
      </c>
      <c r="B77" s="2">
        <f>B11/'Output-Calculation-sheet'!B10*'Output-Calculation-sheet'!B64</f>
        <v>400.12891976276416</v>
      </c>
      <c r="C77" s="2">
        <f>C11/'Output-Calculation-sheet'!C10*'Output-Calculation-sheet'!C64</f>
        <v>0</v>
      </c>
      <c r="D77" s="2">
        <f>D11/'Output-Calculation-sheet'!D10*'Output-Calculation-sheet'!D64</f>
        <v>1346.8268860787928</v>
      </c>
      <c r="E77" s="2">
        <f>E11/'Output-Calculation-sheet'!E10*'Output-Calculation-sheet'!E64</f>
        <v>1686.22526691812</v>
      </c>
      <c r="F77" s="2">
        <f>F11/'Output-Calculation-sheet'!F10*'Output-Calculation-sheet'!F64</f>
        <v>120.50367387502534</v>
      </c>
      <c r="G77" s="2">
        <f>G11/'Output-Calculation-sheet'!G10*'Output-Calculation-sheet'!G64</f>
        <v>711.19076542690163</v>
      </c>
      <c r="H77" s="2">
        <f>H11/'Output-Calculation-sheet'!H10*'Output-Calculation-sheet'!H64</f>
        <v>110.73619179300601</v>
      </c>
      <c r="I77" s="2">
        <f>I11/'Output-Calculation-sheet'!I10*'Output-Calculation-sheet'!I64</f>
        <v>420.75001814629047</v>
      </c>
      <c r="J77" s="2">
        <f>J11/'Output-Calculation-sheet'!J10*'Output-Calculation-sheet'!J64</f>
        <v>294.60640507932754</v>
      </c>
      <c r="K77" s="2">
        <f>K11/'Output-Calculation-sheet'!K10*'Output-Calculation-sheet'!K64</f>
        <v>642.68447465580186</v>
      </c>
      <c r="L77" s="2">
        <f>L11/'Output-Calculation-sheet'!L10*'Output-Calculation-sheet'!L64</f>
        <v>266.10330339775857</v>
      </c>
      <c r="M77" s="2">
        <f>M11/'Output-Calculation-sheet'!M10*'Output-Calculation-sheet'!M64</f>
        <v>79.75390840990066</v>
      </c>
      <c r="N77" s="2">
        <f>N11/'Output-Calculation-sheet'!N10*'Output-Calculation-sheet'!N64</f>
        <v>26.376864301075862</v>
      </c>
      <c r="O77" s="2">
        <f>O11/'Output-Calculation-sheet'!O10*'Output-Calculation-sheet'!O64</f>
        <v>0</v>
      </c>
      <c r="P77" s="2">
        <f>P11/'Output-Calculation-sheet'!P10*'Output-Calculation-sheet'!P64</f>
        <v>543.12202744459375</v>
      </c>
      <c r="Q77" s="2">
        <f>Q11/'Output-Calculation-sheet'!Q10*'Output-Calculation-sheet'!Q64</f>
        <v>131.1092413539368</v>
      </c>
      <c r="R77" s="2">
        <f>R11/'Output-Calculation-sheet'!R10*'Output-Calculation-sheet'!R64</f>
        <v>675.182764119598</v>
      </c>
      <c r="S77" s="2">
        <f>S11/'Output-Calculation-sheet'!S10*'Output-Calculation-sheet'!S64</f>
        <v>0</v>
      </c>
      <c r="T77" s="2">
        <f>T11/'Output-Calculation-sheet'!T10*'Output-Calculation-sheet'!T64</f>
        <v>187.24778746899875</v>
      </c>
      <c r="U77" s="2">
        <f>U11/'Output-Calculation-sheet'!U10*'Output-Calculation-sheet'!U64</f>
        <v>248.22302166780131</v>
      </c>
      <c r="V77" s="2">
        <f>V11/'Output-Calculation-sheet'!V10*'Output-Calculation-sheet'!V64</f>
        <v>96.957825008473478</v>
      </c>
      <c r="W77" s="2">
        <f>W11/'Output-Calculation-sheet'!W10*'Output-Calculation-sheet'!W64</f>
        <v>21.405089981992038</v>
      </c>
      <c r="X77" s="2">
        <f>X11/'Output-Calculation-sheet'!X10*'Output-Calculation-sheet'!X64</f>
        <v>7.9505894036713549</v>
      </c>
      <c r="Y77" s="2">
        <f>Y11/'Output-Calculation-sheet'!Y10*'Output-Calculation-sheet'!Y64</f>
        <v>44.81367207522834</v>
      </c>
      <c r="AA77" s="2">
        <f t="shared" si="6"/>
        <v>8.0618986963690578</v>
      </c>
    </row>
    <row r="78" spans="1:27" x14ac:dyDescent="0.25">
      <c r="A78" s="2">
        <v>2035</v>
      </c>
      <c r="B78" s="2">
        <f>B12/'Output-Calculation-sheet'!B11*'Output-Calculation-sheet'!B65</f>
        <v>52.742370168315361</v>
      </c>
      <c r="C78" s="2">
        <f>C12/'Output-Calculation-sheet'!C11*'Output-Calculation-sheet'!C65</f>
        <v>38.498248472682093</v>
      </c>
      <c r="D78" s="2">
        <f>D12/'Output-Calculation-sheet'!D11*'Output-Calculation-sheet'!D65</f>
        <v>1109.6907247731917</v>
      </c>
      <c r="E78" s="2">
        <f>E12/'Output-Calculation-sheet'!E11*'Output-Calculation-sheet'!E65</f>
        <v>991.95786300840587</v>
      </c>
      <c r="F78" s="2">
        <f>F12/'Output-Calculation-sheet'!F11*'Output-Calculation-sheet'!F65</f>
        <v>446.60518072394251</v>
      </c>
      <c r="G78" s="2">
        <f>G12/'Output-Calculation-sheet'!G11*'Output-Calculation-sheet'!G65</f>
        <v>859.27446339173707</v>
      </c>
      <c r="H78" s="2">
        <f>H12/'Output-Calculation-sheet'!H11*'Output-Calculation-sheet'!H65</f>
        <v>15.09706903270583</v>
      </c>
      <c r="I78" s="2">
        <f>I12/'Output-Calculation-sheet'!I11*'Output-Calculation-sheet'!I65</f>
        <v>499.64073373614946</v>
      </c>
      <c r="J78" s="2">
        <f>J12/'Output-Calculation-sheet'!J11*'Output-Calculation-sheet'!J65</f>
        <v>448.94706276844164</v>
      </c>
      <c r="K78" s="2">
        <f>K12/'Output-Calculation-sheet'!K11*'Output-Calculation-sheet'!K65</f>
        <v>566.53909856687437</v>
      </c>
      <c r="L78" s="2">
        <f>L12/'Output-Calculation-sheet'!L11*'Output-Calculation-sheet'!L65</f>
        <v>335.81561214595013</v>
      </c>
      <c r="M78" s="2">
        <f>M12/'Output-Calculation-sheet'!M11*'Output-Calculation-sheet'!M65</f>
        <v>10.344548110905905</v>
      </c>
      <c r="N78" s="2">
        <f>N12/'Output-Calculation-sheet'!N11*'Output-Calculation-sheet'!N65</f>
        <v>8.8545862475853259</v>
      </c>
      <c r="O78" s="2">
        <f>O12/'Output-Calculation-sheet'!O11*'Output-Calculation-sheet'!O65</f>
        <v>1.7630987578804056</v>
      </c>
      <c r="P78" s="2">
        <f>P12/'Output-Calculation-sheet'!P11*'Output-Calculation-sheet'!P65</f>
        <v>148.97163825629318</v>
      </c>
      <c r="Q78" s="2">
        <f>Q12/'Output-Calculation-sheet'!Q11*'Output-Calculation-sheet'!Q65</f>
        <v>141.84891582286571</v>
      </c>
      <c r="R78" s="2">
        <f>R12/'Output-Calculation-sheet'!R11*'Output-Calculation-sheet'!R65</f>
        <v>649.8288273174004</v>
      </c>
      <c r="S78" s="2">
        <f>S12/'Output-Calculation-sheet'!S11*'Output-Calculation-sheet'!S65</f>
        <v>3.9404432001497347</v>
      </c>
      <c r="T78" s="2">
        <f>T12/'Output-Calculation-sheet'!T11*'Output-Calculation-sheet'!T65</f>
        <v>233.10896396819581</v>
      </c>
      <c r="U78" s="2">
        <f>U12/'Output-Calculation-sheet'!U11*'Output-Calculation-sheet'!U65</f>
        <v>198.76730719508404</v>
      </c>
      <c r="V78" s="2">
        <f>V12/'Output-Calculation-sheet'!V11*'Output-Calculation-sheet'!V65</f>
        <v>125.47634364311718</v>
      </c>
      <c r="W78" s="2">
        <f>W12/'Output-Calculation-sheet'!W11*'Output-Calculation-sheet'!W65</f>
        <v>90.302315949656233</v>
      </c>
      <c r="X78" s="2">
        <f>X12/'Output-Calculation-sheet'!X11*'Output-Calculation-sheet'!X65</f>
        <v>1.3207708179910094</v>
      </c>
      <c r="Y78" s="2">
        <f>Y12/'Output-Calculation-sheet'!Y11*'Output-Calculation-sheet'!Y65</f>
        <v>26.441863538958827</v>
      </c>
      <c r="AA78" s="2">
        <f t="shared" si="6"/>
        <v>7.005778049614479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13.376203441114725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70.297658927959134</v>
      </c>
      <c r="E89" s="2">
        <f>E12/'Output-Calculation-sheet'!E11*'Output-Calculation-sheet'!E74</f>
        <v>49.163799151097535</v>
      </c>
      <c r="F89" s="2">
        <f>F12/'Output-Calculation-sheet'!F11*'Output-Calculation-sheet'!F74</f>
        <v>29.515163363438305</v>
      </c>
      <c r="G89" s="2">
        <f>G12/'Output-Calculation-sheet'!G11*'Output-Calculation-sheet'!G74</f>
        <v>26.226053858326836</v>
      </c>
      <c r="H89" s="2">
        <f>H12/'Output-Calculation-sheet'!H11*'Output-Calculation-sheet'!H74</f>
        <v>3.9086262867846813</v>
      </c>
      <c r="I89" s="2">
        <f>I12/'Output-Calculation-sheet'!I11*'Output-Calculation-sheet'!I74</f>
        <v>24.495973072961579</v>
      </c>
      <c r="J89" s="2">
        <f>J12/'Output-Calculation-sheet'!J11*'Output-Calculation-sheet'!J74</f>
        <v>14.366162346966663</v>
      </c>
      <c r="K89" s="2">
        <f>K12/'Output-Calculation-sheet'!K11*'Output-Calculation-sheet'!K74</f>
        <v>28.53409462148657</v>
      </c>
      <c r="L89" s="2">
        <f>L12/'Output-Calculation-sheet'!L11*'Output-Calculation-sheet'!L74</f>
        <v>19.143842457847867</v>
      </c>
      <c r="M89" s="2">
        <f>M12/'Output-Calculation-sheet'!M11*'Output-Calculation-sheet'!M74</f>
        <v>3.3618940886922015</v>
      </c>
      <c r="N89" s="2">
        <f>N12/'Output-Calculation-sheet'!N11*'Output-Calculation-sheet'!N74</f>
        <v>2.6433573393791554</v>
      </c>
      <c r="O89" s="2">
        <f>O12/'Output-Calculation-sheet'!O11*'Output-Calculation-sheet'!O74</f>
        <v>1.2333674416791924</v>
      </c>
      <c r="P89" s="2">
        <f>P12/'Output-Calculation-sheet'!P11*'Output-Calculation-sheet'!P74</f>
        <v>3.0524973414918115</v>
      </c>
      <c r="Q89" s="2">
        <f>Q12/'Output-Calculation-sheet'!Q11*'Output-Calculation-sheet'!Q74</f>
        <v>31.265807537561574</v>
      </c>
      <c r="R89" s="2">
        <f>R12/'Output-Calculation-sheet'!R11*'Output-Calculation-sheet'!R74</f>
        <v>14.354602310714546</v>
      </c>
      <c r="S89" s="2">
        <f>S12/'Output-Calculation-sheet'!S11*'Output-Calculation-sheet'!S74</f>
        <v>1.1364477600893295</v>
      </c>
      <c r="T89" s="2">
        <f>T12/'Output-Calculation-sheet'!T11*'Output-Calculation-sheet'!T74</f>
        <v>3.3988237470109097</v>
      </c>
      <c r="U89" s="2">
        <f>U12/'Output-Calculation-sheet'!U11*'Output-Calculation-sheet'!U74</f>
        <v>6.2809789988975977</v>
      </c>
      <c r="V89" s="2">
        <f>V12/'Output-Calculation-sheet'!V11*'Output-Calculation-sheet'!V74</f>
        <v>0.85467944256981543</v>
      </c>
      <c r="W89" s="2">
        <f>W12/'Output-Calculation-sheet'!W11*'Output-Calculation-sheet'!W74</f>
        <v>2.2202818337328467</v>
      </c>
      <c r="X89" s="2">
        <f>X12/'Output-Calculation-sheet'!X11*'Output-Calculation-sheet'!X74</f>
        <v>0.14752270948185073</v>
      </c>
      <c r="Y89" s="2">
        <f>Y12/'Output-Calculation-sheet'!Y11*'Output-Calculation-sheet'!Y74</f>
        <v>1.5659846014571561</v>
      </c>
      <c r="AA89" s="2">
        <f t="shared" si="7"/>
        <v>0.35371815055612799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13691710132.710594</v>
      </c>
      <c r="C96" s="2">
        <f>C8/'Output-Calculation-sheet'!C7*'Output-Calculation-sheet'!C79</f>
        <v>4631976720.4704523</v>
      </c>
      <c r="D96" s="2">
        <f>D8/'Output-Calculation-sheet'!D7*'Output-Calculation-sheet'!D79</f>
        <v>4835454057.2958765</v>
      </c>
      <c r="E96" s="2">
        <f>E8/'Output-Calculation-sheet'!E7*'Output-Calculation-sheet'!E79</f>
        <v>8597038931.8044872</v>
      </c>
      <c r="F96" s="2">
        <f>F8/'Output-Calculation-sheet'!F7*'Output-Calculation-sheet'!F79</f>
        <v>3558228891.5107021</v>
      </c>
      <c r="G96" s="2">
        <f>G8/'Output-Calculation-sheet'!G7*'Output-Calculation-sheet'!G79</f>
        <v>2771573770.6586838</v>
      </c>
      <c r="H96" s="2">
        <f>H8/'Output-Calculation-sheet'!H7*'Output-Calculation-sheet'!H79</f>
        <v>2372314009.75875</v>
      </c>
      <c r="I96" s="2">
        <f>I8/'Output-Calculation-sheet'!I7*'Output-Calculation-sheet'!I79</f>
        <v>1930691000.8930995</v>
      </c>
      <c r="J96" s="2">
        <f>J8/'Output-Calculation-sheet'!J7*'Output-Calculation-sheet'!J79</f>
        <v>1305579450.0473437</v>
      </c>
      <c r="K96" s="2">
        <f>K8/'Output-Calculation-sheet'!K7*'Output-Calculation-sheet'!K79</f>
        <v>1867897496.0374408</v>
      </c>
      <c r="L96" s="2">
        <f>L8/'Output-Calculation-sheet'!L7*'Output-Calculation-sheet'!L79</f>
        <v>1317990021.2898946</v>
      </c>
      <c r="M96" s="2">
        <f>M8/'Output-Calculation-sheet'!M7*'Output-Calculation-sheet'!M79</f>
        <v>1770884450.9694011</v>
      </c>
      <c r="N96" s="2">
        <f>N8/'Output-Calculation-sheet'!N7*'Output-Calculation-sheet'!N79</f>
        <v>1317677152.5389705</v>
      </c>
      <c r="O96" s="2">
        <f>O8/'Output-Calculation-sheet'!O7*'Output-Calculation-sheet'!O79</f>
        <v>666129768.79308808</v>
      </c>
      <c r="P96" s="2">
        <f>P8/'Output-Calculation-sheet'!P7*'Output-Calculation-sheet'!P79</f>
        <v>2228078822.5989447</v>
      </c>
      <c r="Q96" s="2">
        <f>Q8/'Output-Calculation-sheet'!Q7*'Output-Calculation-sheet'!Q79</f>
        <v>1038378287.9681617</v>
      </c>
      <c r="R96" s="2">
        <f>R8/'Output-Calculation-sheet'!R7*'Output-Calculation-sheet'!R79</f>
        <v>1295502555.8951204</v>
      </c>
      <c r="S96" s="2">
        <f>S8/'Output-Calculation-sheet'!S7*'Output-Calculation-sheet'!S79</f>
        <v>754866807.89260995</v>
      </c>
      <c r="T96" s="2">
        <f>T8/'Output-Calculation-sheet'!T7*'Output-Calculation-sheet'!T79</f>
        <v>576541775.95002913</v>
      </c>
      <c r="U96" s="2">
        <f>U8/'Output-Calculation-sheet'!U7*'Output-Calculation-sheet'!U79</f>
        <v>362169427.70035923</v>
      </c>
      <c r="V96" s="2">
        <f>V8/'Output-Calculation-sheet'!V7*'Output-Calculation-sheet'!V79</f>
        <v>187911540.98970628</v>
      </c>
      <c r="W96" s="2">
        <f>W8/'Output-Calculation-sheet'!W7*'Output-Calculation-sheet'!W79</f>
        <v>555267938.00363421</v>
      </c>
      <c r="X96" s="2">
        <f>X8/'Output-Calculation-sheet'!X7*'Output-Calculation-sheet'!X79</f>
        <v>195159884.971946</v>
      </c>
      <c r="Y96" s="2">
        <f>Y8/'Output-Calculation-sheet'!Y7*'Output-Calculation-sheet'!Y79</f>
        <v>305227398.55426192</v>
      </c>
      <c r="AA96" s="2">
        <f t="shared" si="8"/>
        <v>58.134250295303545</v>
      </c>
    </row>
    <row r="97" spans="1:27" x14ac:dyDescent="0.25">
      <c r="A97" s="2">
        <v>2032</v>
      </c>
      <c r="B97" s="2">
        <f>B9/'Output-Calculation-sheet'!B8*'Output-Calculation-sheet'!B80</f>
        <v>17660634080.120628</v>
      </c>
      <c r="C97" s="2">
        <f>C9/'Output-Calculation-sheet'!C8*'Output-Calculation-sheet'!C80</f>
        <v>6015317832.5269308</v>
      </c>
      <c r="D97" s="2">
        <f>D9/'Output-Calculation-sheet'!D8*'Output-Calculation-sheet'!D80</f>
        <v>5993648574.6872616</v>
      </c>
      <c r="E97" s="2">
        <f>E9/'Output-Calculation-sheet'!E8*'Output-Calculation-sheet'!E80</f>
        <v>10961502886.17461</v>
      </c>
      <c r="F97" s="2">
        <f>F9/'Output-Calculation-sheet'!F8*'Output-Calculation-sheet'!F80</f>
        <v>4528196120.4030056</v>
      </c>
      <c r="G97" s="2">
        <f>G9/'Output-Calculation-sheet'!G8*'Output-Calculation-sheet'!G80</f>
        <v>3427603605.1628723</v>
      </c>
      <c r="H97" s="2">
        <f>H9/'Output-Calculation-sheet'!H8*'Output-Calculation-sheet'!H80</f>
        <v>3015601691.7904439</v>
      </c>
      <c r="I97" s="2">
        <f>I9/'Output-Calculation-sheet'!I8*'Output-Calculation-sheet'!I80</f>
        <v>2480604149.6098871</v>
      </c>
      <c r="J97" s="2">
        <f>J9/'Output-Calculation-sheet'!J8*'Output-Calculation-sheet'!J80</f>
        <v>1630763731.6754498</v>
      </c>
      <c r="K97" s="2">
        <f>K9/'Output-Calculation-sheet'!K8*'Output-Calculation-sheet'!K80</f>
        <v>2351091217.0247746</v>
      </c>
      <c r="L97" s="2">
        <f>L9/'Output-Calculation-sheet'!L8*'Output-Calculation-sheet'!L80</f>
        <v>1711209913.0311434</v>
      </c>
      <c r="M97" s="2">
        <f>M9/'Output-Calculation-sheet'!M8*'Output-Calculation-sheet'!M80</f>
        <v>2257754000.4253035</v>
      </c>
      <c r="N97" s="2">
        <f>N9/'Output-Calculation-sheet'!N8*'Output-Calculation-sheet'!N80</f>
        <v>1649588008.2356274</v>
      </c>
      <c r="O97" s="2">
        <f>O9/'Output-Calculation-sheet'!O8*'Output-Calculation-sheet'!O80</f>
        <v>853387678.21851051</v>
      </c>
      <c r="P97" s="2">
        <f>P9/'Output-Calculation-sheet'!P8*'Output-Calculation-sheet'!P80</f>
        <v>2792142128.4570131</v>
      </c>
      <c r="Q97" s="2">
        <f>Q9/'Output-Calculation-sheet'!Q8*'Output-Calculation-sheet'!Q80</f>
        <v>1306054780.7589533</v>
      </c>
      <c r="R97" s="2">
        <f>R9/'Output-Calculation-sheet'!R8*'Output-Calculation-sheet'!R80</f>
        <v>1650199989.4843025</v>
      </c>
      <c r="S97" s="2">
        <f>S9/'Output-Calculation-sheet'!S8*'Output-Calculation-sheet'!S80</f>
        <v>957769165.88413739</v>
      </c>
      <c r="T97" s="2">
        <f>T9/'Output-Calculation-sheet'!T8*'Output-Calculation-sheet'!T80</f>
        <v>721230528.92604327</v>
      </c>
      <c r="U97" s="2">
        <f>U9/'Output-Calculation-sheet'!U8*'Output-Calculation-sheet'!U80</f>
        <v>461078196.30462658</v>
      </c>
      <c r="V97" s="2">
        <f>V9/'Output-Calculation-sheet'!V8*'Output-Calculation-sheet'!V80</f>
        <v>241760851.24350524</v>
      </c>
      <c r="W97" s="2">
        <f>W9/'Output-Calculation-sheet'!W8*'Output-Calculation-sheet'!W80</f>
        <v>700149881.79251182</v>
      </c>
      <c r="X97" s="2">
        <f>X9/'Output-Calculation-sheet'!X8*'Output-Calculation-sheet'!X80</f>
        <v>251420040.15485504</v>
      </c>
      <c r="Y97" s="2">
        <f>Y9/'Output-Calculation-sheet'!Y8*'Output-Calculation-sheet'!Y80</f>
        <v>384845886.77166075</v>
      </c>
      <c r="AA97" s="2">
        <f t="shared" si="8"/>
        <v>74.00355493886407</v>
      </c>
    </row>
    <row r="98" spans="1:27" x14ac:dyDescent="0.25">
      <c r="A98" s="2">
        <v>2033</v>
      </c>
      <c r="B98" s="2">
        <f>B10/'Output-Calculation-sheet'!B9*'Output-Calculation-sheet'!B81</f>
        <v>19705556193.226212</v>
      </c>
      <c r="C98" s="2">
        <f>C10/'Output-Calculation-sheet'!C9*'Output-Calculation-sheet'!C81</f>
        <v>6756054816.777483</v>
      </c>
      <c r="D98" s="2">
        <f>D10/'Output-Calculation-sheet'!D9*'Output-Calculation-sheet'!D81</f>
        <v>6429676142.0855331</v>
      </c>
      <c r="E98" s="2">
        <f>E10/'Output-Calculation-sheet'!E9*'Output-Calculation-sheet'!E81</f>
        <v>12094637873.614595</v>
      </c>
      <c r="F98" s="2">
        <f>F10/'Output-Calculation-sheet'!F9*'Output-Calculation-sheet'!F81</f>
        <v>4988121432.8918333</v>
      </c>
      <c r="G98" s="2">
        <f>G10/'Output-Calculation-sheet'!G9*'Output-Calculation-sheet'!G81</f>
        <v>3662436634.8611975</v>
      </c>
      <c r="H98" s="2">
        <f>H10/'Output-Calculation-sheet'!H9*'Output-Calculation-sheet'!H81</f>
        <v>3318204327.6290584</v>
      </c>
      <c r="I98" s="2">
        <f>I10/'Output-Calculation-sheet'!I9*'Output-Calculation-sheet'!I81</f>
        <v>2758396249.250658</v>
      </c>
      <c r="J98" s="2">
        <f>J10/'Output-Calculation-sheet'!J9*'Output-Calculation-sheet'!J81</f>
        <v>1763782752.7810791</v>
      </c>
      <c r="K98" s="2">
        <f>K10/'Output-Calculation-sheet'!K9*'Output-Calculation-sheet'!K81</f>
        <v>2561968355.0849938</v>
      </c>
      <c r="L98" s="2">
        <f>L10/'Output-Calculation-sheet'!L9*'Output-Calculation-sheet'!L81</f>
        <v>1921519191.7624381</v>
      </c>
      <c r="M98" s="2">
        <f>M10/'Output-Calculation-sheet'!M9*'Output-Calculation-sheet'!M81</f>
        <v>2491829037.7445836</v>
      </c>
      <c r="N98" s="2">
        <f>N10/'Output-Calculation-sheet'!N9*'Output-Calculation-sheet'!N81</f>
        <v>1787689587.0949249</v>
      </c>
      <c r="O98" s="2">
        <f>O10/'Output-Calculation-sheet'!O9*'Output-Calculation-sheet'!O81</f>
        <v>946681245.78421068</v>
      </c>
      <c r="P98" s="2">
        <f>P10/'Output-Calculation-sheet'!P9*'Output-Calculation-sheet'!P81</f>
        <v>3025337257.1949944</v>
      </c>
      <c r="Q98" s="2">
        <f>Q10/'Output-Calculation-sheet'!Q9*'Output-Calculation-sheet'!Q81</f>
        <v>1422434323.1381137</v>
      </c>
      <c r="R98" s="2">
        <f>R10/'Output-Calculation-sheet'!R9*'Output-Calculation-sheet'!R81</f>
        <v>1819513756.5459774</v>
      </c>
      <c r="S98" s="2">
        <f>S10/'Output-Calculation-sheet'!S9*'Output-Calculation-sheet'!S81</f>
        <v>1051999771.9831673</v>
      </c>
      <c r="T98" s="2">
        <f>T10/'Output-Calculation-sheet'!T9*'Output-Calculation-sheet'!T81</f>
        <v>780623690.51304996</v>
      </c>
      <c r="U98" s="2">
        <f>U10/'Output-Calculation-sheet'!U9*'Output-Calculation-sheet'!U81</f>
        <v>507925184.86446029</v>
      </c>
      <c r="V98" s="2">
        <f>V10/'Output-Calculation-sheet'!V9*'Output-Calculation-sheet'!V81</f>
        <v>269004718.32123661</v>
      </c>
      <c r="W98" s="2">
        <f>W10/'Output-Calculation-sheet'!W9*'Output-Calculation-sheet'!W81</f>
        <v>762726928.47751319</v>
      </c>
      <c r="X98" s="2">
        <f>X10/'Output-Calculation-sheet'!X9*'Output-Calculation-sheet'!X81</f>
        <v>280277467.96459037</v>
      </c>
      <c r="Y98" s="2">
        <f>Y10/'Output-Calculation-sheet'!Y9*'Output-Calculation-sheet'!Y81</f>
        <v>419392640.56342763</v>
      </c>
      <c r="AA98" s="2">
        <f t="shared" si="8"/>
        <v>81.525789580155305</v>
      </c>
    </row>
    <row r="99" spans="1:27" x14ac:dyDescent="0.25">
      <c r="A99" s="2">
        <v>2034</v>
      </c>
      <c r="B99" s="2">
        <f>B11/'Output-Calculation-sheet'!B10*'Output-Calculation-sheet'!B82</f>
        <v>19358099342.570488</v>
      </c>
      <c r="C99" s="2">
        <f>C11/'Output-Calculation-sheet'!C10*'Output-Calculation-sheet'!C82</f>
        <v>6679352020.1301374</v>
      </c>
      <c r="D99" s="2">
        <f>D11/'Output-Calculation-sheet'!D10*'Output-Calculation-sheet'!D82</f>
        <v>6076301428.5846968</v>
      </c>
      <c r="E99" s="2">
        <f>E11/'Output-Calculation-sheet'!E10*'Output-Calculation-sheet'!E82</f>
        <v>11754086048.239004</v>
      </c>
      <c r="F99" s="2">
        <f>F11/'Output-Calculation-sheet'!F10*'Output-Calculation-sheet'!F82</f>
        <v>4840905889.7354965</v>
      </c>
      <c r="G99" s="2">
        <f>G11/'Output-Calculation-sheet'!G10*'Output-Calculation-sheet'!G82</f>
        <v>3441544906.9115653</v>
      </c>
      <c r="H99" s="2">
        <f>H11/'Output-Calculation-sheet'!H10*'Output-Calculation-sheet'!H82</f>
        <v>3216753533.6420393</v>
      </c>
      <c r="I99" s="2">
        <f>I11/'Output-Calculation-sheet'!I10*'Output-Calculation-sheet'!I82</f>
        <v>2701839617.6296444</v>
      </c>
      <c r="J99" s="2">
        <f>J11/'Output-Calculation-sheet'!J10*'Output-Calculation-sheet'!J82</f>
        <v>1681348771.6604469</v>
      </c>
      <c r="K99" s="2">
        <f>K11/'Output-Calculation-sheet'!K10*'Output-Calculation-sheet'!K82</f>
        <v>2460036763.1206517</v>
      </c>
      <c r="L99" s="2">
        <f>L11/'Output-Calculation-sheet'!L10*'Output-Calculation-sheet'!L82</f>
        <v>1899331842.3687677</v>
      </c>
      <c r="M99" s="2">
        <f>M11/'Output-Calculation-sheet'!M10*'Output-Calculation-sheet'!M82</f>
        <v>2423118925.4384446</v>
      </c>
      <c r="N99" s="2">
        <f>N11/'Output-Calculation-sheet'!N10*'Output-Calculation-sheet'!N82</f>
        <v>1707086398.1562605</v>
      </c>
      <c r="O99" s="2">
        <f>O11/'Output-Calculation-sheet'!O10*'Output-Calculation-sheet'!O82</f>
        <v>925496165.65660918</v>
      </c>
      <c r="P99" s="2">
        <f>P11/'Output-Calculation-sheet'!P10*'Output-Calculation-sheet'!P82</f>
        <v>2884998913.0743527</v>
      </c>
      <c r="Q99" s="2">
        <f>Q11/'Output-Calculation-sheet'!Q10*'Output-Calculation-sheet'!Q82</f>
        <v>1365359932.3889117</v>
      </c>
      <c r="R99" s="2">
        <f>R11/'Output-Calculation-sheet'!R10*'Output-Calculation-sheet'!R82</f>
        <v>1767455342.8668842</v>
      </c>
      <c r="S99" s="2">
        <f>S11/'Output-Calculation-sheet'!S10*'Output-Calculation-sheet'!S82</f>
        <v>1018101222.6108574</v>
      </c>
      <c r="T99" s="2">
        <f>T11/'Output-Calculation-sheet'!T10*'Output-Calculation-sheet'!T82</f>
        <v>744110267.40183067</v>
      </c>
      <c r="U99" s="2">
        <f>U11/'Output-Calculation-sheet'!U10*'Output-Calculation-sheet'!U82</f>
        <v>492765749.99173331</v>
      </c>
      <c r="V99" s="2">
        <f>V11/'Output-Calculation-sheet'!V10*'Output-Calculation-sheet'!V82</f>
        <v>263474357.14027938</v>
      </c>
      <c r="W99" s="2">
        <f>W11/'Output-Calculation-sheet'!W10*'Output-Calculation-sheet'!W82</f>
        <v>730629572.51986611</v>
      </c>
      <c r="X99" s="2">
        <f>X11/'Output-Calculation-sheet'!X10*'Output-Calculation-sheet'!X82</f>
        <v>275173850.70663285</v>
      </c>
      <c r="Y99" s="2">
        <f>Y11/'Output-Calculation-sheet'!Y10*'Output-Calculation-sheet'!Y82</f>
        <v>402076103.90509284</v>
      </c>
      <c r="AA99" s="2">
        <f t="shared" si="8"/>
        <v>79.10944696645069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1997.6868036549433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614.94995634146323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423.14541659936015</v>
      </c>
      <c r="N107" s="2">
        <f>N8/'Output-Calculation-sheet'!N7*'Output-Calculation-sheet'!N88</f>
        <v>166.3533283744346</v>
      </c>
      <c r="O107" s="2">
        <f>O8/'Output-Calculation-sheet'!O7*'Output-Calculation-sheet'!O88</f>
        <v>465.71405835016856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46.419932272351325</v>
      </c>
      <c r="Y107" s="2">
        <f>Y8/'Output-Calculation-sheet'!Y7*'Output-Calculation-sheet'!Y88</f>
        <v>0</v>
      </c>
      <c r="AA107" s="2">
        <f t="shared" si="9"/>
        <v>3.7142694955927209</v>
      </c>
    </row>
    <row r="108" spans="1:27" x14ac:dyDescent="0.25">
      <c r="A108" s="2">
        <v>2032</v>
      </c>
      <c r="B108" s="2">
        <f>B9/'Output-Calculation-sheet'!B8*'Output-Calculation-sheet'!B89</f>
        <v>869.14180212799749</v>
      </c>
      <c r="C108" s="2">
        <f>C9/'Output-Calculation-sheet'!C8*'Output-Calculation-sheet'!C89</f>
        <v>3300.1185274176778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888.89398131061034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611.64556587997811</v>
      </c>
      <c r="N108" s="2">
        <f>N9/'Output-Calculation-sheet'!N8*'Output-Calculation-sheet'!N89</f>
        <v>429.39171262799039</v>
      </c>
      <c r="O108" s="2">
        <f>O9/'Output-Calculation-sheet'!O8*'Output-Calculation-sheet'!O89</f>
        <v>641.12134996518375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196.91372240792847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67.098790697088035</v>
      </c>
      <c r="Y108" s="2">
        <f>Y9/'Output-Calculation-sheet'!Y8*'Output-Calculation-sheet'!Y89</f>
        <v>0</v>
      </c>
      <c r="AA108" s="2">
        <f t="shared" si="9"/>
        <v>7.004325452434454</v>
      </c>
    </row>
    <row r="109" spans="1:27" x14ac:dyDescent="0.25">
      <c r="A109" s="2">
        <v>2033</v>
      </c>
      <c r="B109" s="2">
        <f>B10/'Output-Calculation-sheet'!B9*'Output-Calculation-sheet'!B90</f>
        <v>4042.5358377921762</v>
      </c>
      <c r="C109" s="2">
        <f>C10/'Output-Calculation-sheet'!C9*'Output-Calculation-sheet'!C90</f>
        <v>3837.3621494744348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1181.2590852421172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812.82121021731734</v>
      </c>
      <c r="N109" s="2">
        <f>N10/'Output-Calculation-sheet'!N9*'Output-Calculation-sheet'!N90</f>
        <v>639.09714433234967</v>
      </c>
      <c r="O109" s="2">
        <f>O10/'Output-Calculation-sheet'!O9*'Output-Calculation-sheet'!O90</f>
        <v>745.49286067656851</v>
      </c>
      <c r="P109" s="2">
        <f>P10/'Output-Calculation-sheet'!P9*'Output-Calculation-sheet'!P90</f>
        <v>0</v>
      </c>
      <c r="Q109" s="2">
        <f>Q10/'Output-Calculation-sheet'!Q9*'Output-Calculation-sheet'!Q90</f>
        <v>139.98673703227675</v>
      </c>
      <c r="R109" s="2">
        <f>R10/'Output-Calculation-sheet'!R9*'Output-Calculation-sheet'!R90</f>
        <v>0</v>
      </c>
      <c r="S109" s="2">
        <f>S10/'Output-Calculation-sheet'!S9*'Output-Calculation-sheet'!S90</f>
        <v>320.55847761934967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89.168177292447993</v>
      </c>
      <c r="Y109" s="2">
        <f>Y10/'Output-Calculation-sheet'!Y9*'Output-Calculation-sheet'!Y90</f>
        <v>0</v>
      </c>
      <c r="AA109" s="2">
        <f t="shared" si="9"/>
        <v>11.808281679679039</v>
      </c>
    </row>
    <row r="110" spans="1:27" x14ac:dyDescent="0.25">
      <c r="A110" s="2">
        <v>2034</v>
      </c>
      <c r="B110" s="2">
        <f>B11/'Output-Calculation-sheet'!B10*'Output-Calculation-sheet'!B91</f>
        <v>6129.1603058198434</v>
      </c>
      <c r="C110" s="2">
        <f>C11/'Output-Calculation-sheet'!C10*'Output-Calculation-sheet'!C91</f>
        <v>4201.9486065950468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1193.9908655799286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821.58191414052146</v>
      </c>
      <c r="N110" s="2">
        <f>N11/'Output-Calculation-sheet'!N10*'Output-Calculation-sheet'!N91</f>
        <v>740.19163313823196</v>
      </c>
      <c r="O110" s="2">
        <f>O11/'Output-Calculation-sheet'!O10*'Output-Calculation-sheet'!O91</f>
        <v>816.32188079394416</v>
      </c>
      <c r="P110" s="2">
        <f>P11/'Output-Calculation-sheet'!P10*'Output-Calculation-sheet'!P91</f>
        <v>186.49283280271897</v>
      </c>
      <c r="Q110" s="2">
        <f>Q11/'Output-Calculation-sheet'!Q10*'Output-Calculation-sheet'!Q91</f>
        <v>412.69530814244712</v>
      </c>
      <c r="R110" s="2">
        <f>R11/'Output-Calculation-sheet'!R10*'Output-Calculation-sheet'!R91</f>
        <v>0</v>
      </c>
      <c r="S110" s="2">
        <f>S11/'Output-Calculation-sheet'!S10*'Output-Calculation-sheet'!S91</f>
        <v>424.30339678775141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90.129244733616318</v>
      </c>
      <c r="Y110" s="2">
        <f>Y11/'Output-Calculation-sheet'!Y10*'Output-Calculation-sheet'!Y91</f>
        <v>14.49607419658664</v>
      </c>
      <c r="AA110" s="2">
        <f t="shared" si="9"/>
        <v>15.031312062730635</v>
      </c>
    </row>
    <row r="111" spans="1:27" x14ac:dyDescent="0.25">
      <c r="A111" s="2">
        <v>2035</v>
      </c>
      <c r="B111" s="2">
        <f>B12/'Output-Calculation-sheet'!B11*'Output-Calculation-sheet'!B92</f>
        <v>7724.7574872437535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1376.5863762307308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564.10150870768678</v>
      </c>
      <c r="Q111" s="2">
        <f>Q12/'Output-Calculation-sheet'!Q11*'Output-Calculation-sheet'!Q92</f>
        <v>401.24453006537351</v>
      </c>
      <c r="R111" s="2">
        <f>R12/'Output-Calculation-sheet'!R11*'Output-Calculation-sheet'!R92</f>
        <v>0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54.809461051000469</v>
      </c>
      <c r="AA111" s="2">
        <f t="shared" si="9"/>
        <v>17.691327315842045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1601997352.9320047</v>
      </c>
      <c r="C118" s="2">
        <f>C8/'Output-Calculation-sheet'!C7*'Output-Calculation-sheet'!C97</f>
        <v>9391089342.4036407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2889445393.9539595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2006968819.219728</v>
      </c>
      <c r="N118" s="2">
        <f>N8/'Output-Calculation-sheet'!N7*'Output-Calculation-sheet'!N97</f>
        <v>1574898285.9968948</v>
      </c>
      <c r="O118" s="2">
        <f>O8/'Output-Calculation-sheet'!O7*'Output-Calculation-sheet'!O97</f>
        <v>1047955419.1184384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569732278.24126673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216313146.68032485</v>
      </c>
      <c r="Y118" s="2">
        <f>Y8/'Output-Calculation-sheet'!Y7*'Output-Calculation-sheet'!Y97</f>
        <v>0</v>
      </c>
      <c r="AA118" s="2">
        <f t="shared" si="10"/>
        <v>19298.400038546257</v>
      </c>
    </row>
    <row r="119" spans="1:27" x14ac:dyDescent="0.25">
      <c r="A119" s="2">
        <v>2032</v>
      </c>
      <c r="B119" s="2">
        <f>B9/'Output-Calculation-sheet'!B8*'Output-Calculation-sheet'!B98</f>
        <v>6520346949.7877245</v>
      </c>
      <c r="C119" s="2">
        <f>C9/'Output-Calculation-sheet'!C8*'Output-Calculation-sheet'!C98</f>
        <v>5182503456.7890854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3098112162.4266825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2162493891.5693469</v>
      </c>
      <c r="N119" s="2">
        <f>N9/'Output-Calculation-sheet'!N8*'Output-Calculation-sheet'!N98</f>
        <v>1459601693.2028611</v>
      </c>
      <c r="O119" s="2">
        <f>O9/'Output-Calculation-sheet'!O8*'Output-Calculation-sheet'!O98</f>
        <v>1012565411.8816358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606907783.83347631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231394599.02701521</v>
      </c>
      <c r="Y119" s="2">
        <f>Y9/'Output-Calculation-sheet'!Y8*'Output-Calculation-sheet'!Y98</f>
        <v>0</v>
      </c>
      <c r="AA119" s="2">
        <f t="shared" si="10"/>
        <v>20273.92594851783</v>
      </c>
    </row>
    <row r="120" spans="1:27" x14ac:dyDescent="0.25">
      <c r="A120" s="2">
        <v>2033</v>
      </c>
      <c r="B120" s="2">
        <f>B10/'Output-Calculation-sheet'!B9*'Output-Calculation-sheet'!B99</f>
        <v>5815726457.4393148</v>
      </c>
      <c r="C120" s="2">
        <f>C10/'Output-Calculation-sheet'!C9*'Output-Calculation-sheet'!C99</f>
        <v>4780888269.5587225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1567540010.732538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1109517841.7380195</v>
      </c>
      <c r="N120" s="2">
        <f>N10/'Output-Calculation-sheet'!N9*'Output-Calculation-sheet'!N99</f>
        <v>1106071732.7571905</v>
      </c>
      <c r="O120" s="2">
        <f>O10/'Output-Calculation-sheet'!O9*'Output-Calculation-sheet'!O99</f>
        <v>935994944.48680329</v>
      </c>
      <c r="P120" s="2">
        <f>P10/'Output-Calculation-sheet'!P9*'Output-Calculation-sheet'!P99</f>
        <v>0</v>
      </c>
      <c r="Q120" s="2">
        <f>Q10/'Output-Calculation-sheet'!Q9*'Output-Calculation-sheet'!Q99</f>
        <v>6629242.7641598992</v>
      </c>
      <c r="R120" s="2">
        <f>R10/'Output-Calculation-sheet'!R9*'Output-Calculation-sheet'!R99</f>
        <v>0</v>
      </c>
      <c r="S120" s="2">
        <f>S10/'Output-Calculation-sheet'!S9*'Output-Calculation-sheet'!S99</f>
        <v>463215623.71826357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110790279.09702457</v>
      </c>
      <c r="Y120" s="2">
        <f>Y10/'Output-Calculation-sheet'!Y9*'Output-Calculation-sheet'!Y99</f>
        <v>0</v>
      </c>
      <c r="AA120" s="2">
        <f t="shared" si="10"/>
        <v>15896.374402292038</v>
      </c>
    </row>
    <row r="121" spans="1:27" x14ac:dyDescent="0.25">
      <c r="A121" s="2">
        <v>2034</v>
      </c>
      <c r="B121" s="2">
        <f>B11/'Output-Calculation-sheet'!B10*'Output-Calculation-sheet'!B100</f>
        <v>4601311880.5994902</v>
      </c>
      <c r="C121" s="2">
        <f>C11/'Output-Calculation-sheet'!C10*'Output-Calculation-sheet'!C100</f>
        <v>551627699.27795923</v>
      </c>
      <c r="D121" s="2">
        <f>D11/'Output-Calculation-sheet'!D10*'Output-Calculation-sheet'!D100</f>
        <v>0</v>
      </c>
      <c r="E121" s="2">
        <f>E11/'Output-Calculation-sheet'!E10*'Output-Calculation-sheet'!E100</f>
        <v>651008046.86323309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1452487303.58217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530618266.22380131</v>
      </c>
      <c r="M121" s="2">
        <f>M11/'Output-Calculation-sheet'!M10*'Output-Calculation-sheet'!M100</f>
        <v>1033729657.8877547</v>
      </c>
      <c r="N121" s="2">
        <f>N11/'Output-Calculation-sheet'!N10*'Output-Calculation-sheet'!N100</f>
        <v>689164464.8779825</v>
      </c>
      <c r="O121" s="2">
        <f>O11/'Output-Calculation-sheet'!O10*'Output-Calculation-sheet'!O100</f>
        <v>108203587.62519346</v>
      </c>
      <c r="P121" s="2">
        <f>P11/'Output-Calculation-sheet'!P10*'Output-Calculation-sheet'!P100</f>
        <v>0</v>
      </c>
      <c r="Q121" s="2">
        <f>Q11/'Output-Calculation-sheet'!Q10*'Output-Calculation-sheet'!Q100</f>
        <v>233207304.18186742</v>
      </c>
      <c r="R121" s="2">
        <f>R11/'Output-Calculation-sheet'!R10*'Output-Calculation-sheet'!R100</f>
        <v>0</v>
      </c>
      <c r="S121" s="2">
        <f>S11/'Output-Calculation-sheet'!S10*'Output-Calculation-sheet'!S100</f>
        <v>257673491.58180854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101571171.86104344</v>
      </c>
      <c r="Y121" s="2">
        <f>Y11/'Output-Calculation-sheet'!Y10*'Output-Calculation-sheet'!Y100</f>
        <v>14734553.443190875</v>
      </c>
      <c r="AA121" s="2">
        <f t="shared" si="10"/>
        <v>10225.337428005498</v>
      </c>
    </row>
    <row r="122" spans="1:27" x14ac:dyDescent="0.25">
      <c r="A122" s="2">
        <v>2035</v>
      </c>
      <c r="B122" s="2">
        <f>B12/'Output-Calculation-sheet'!B11*'Output-Calculation-sheet'!B101</f>
        <v>914700238.24254394</v>
      </c>
      <c r="C122" s="2">
        <f>C12/'Output-Calculation-sheet'!C11*'Output-Calculation-sheet'!C101</f>
        <v>171906107.01087692</v>
      </c>
      <c r="D122" s="2">
        <f>D12/'Output-Calculation-sheet'!D11*'Output-Calculation-sheet'!D101</f>
        <v>0</v>
      </c>
      <c r="E122" s="2">
        <f>E12/'Output-Calculation-sheet'!E11*'Output-Calculation-sheet'!E101</f>
        <v>1421904225.4573267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278846969.09167784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611433269.87695718</v>
      </c>
      <c r="M122" s="2">
        <f>M12/'Output-Calculation-sheet'!M11*'Output-Calculation-sheet'!M101</f>
        <v>233806151.81642431</v>
      </c>
      <c r="N122" s="2">
        <f>N12/'Output-Calculation-sheet'!N11*'Output-Calculation-sheet'!N101</f>
        <v>163061445.03361681</v>
      </c>
      <c r="O122" s="2">
        <f>O12/'Output-Calculation-sheet'!O11*'Output-Calculation-sheet'!O101</f>
        <v>18838423.470021944</v>
      </c>
      <c r="P122" s="2">
        <f>P12/'Output-Calculation-sheet'!P11*'Output-Calculation-sheet'!P101</f>
        <v>25427693.574286502</v>
      </c>
      <c r="Q122" s="2">
        <f>Q12/'Output-Calculation-sheet'!Q11*'Output-Calculation-sheet'!Q101</f>
        <v>357154009.37269646</v>
      </c>
      <c r="R122" s="2">
        <f>R12/'Output-Calculation-sheet'!R11*'Output-Calculation-sheet'!R101</f>
        <v>0</v>
      </c>
      <c r="S122" s="2">
        <f>S12/'Output-Calculation-sheet'!S11*'Output-Calculation-sheet'!S101</f>
        <v>96873004.202350616</v>
      </c>
      <c r="T122" s="2">
        <f>T12/'Output-Calculation-sheet'!T11*'Output-Calculation-sheet'!T101</f>
        <v>0</v>
      </c>
      <c r="U122" s="2">
        <f>U12/'Output-Calculation-sheet'!U11*'Output-Calculation-sheet'!U101</f>
        <v>33473443.060436692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8474663.3302491382</v>
      </c>
      <c r="Y122" s="2">
        <f>Y12/'Output-Calculation-sheet'!Y11*'Output-Calculation-sheet'!Y101</f>
        <v>50533646.868399076</v>
      </c>
      <c r="AA122" s="2">
        <f t="shared" si="10"/>
        <v>4386.4332904078628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54396263052.747681</v>
      </c>
      <c r="C129" s="2">
        <f>C8/'Output-Calculation-sheet'!C7*'Output-Calculation-sheet'!C106</f>
        <v>0</v>
      </c>
      <c r="D129" s="2">
        <f>D8/'Output-Calculation-sheet'!D7*'Output-Calculation-sheet'!D106</f>
        <v>23519841141.312927</v>
      </c>
      <c r="E129" s="2">
        <f>E8/'Output-Calculation-sheet'!E7*'Output-Calculation-sheet'!E106</f>
        <v>18660629071.174072</v>
      </c>
      <c r="F129" s="2">
        <f>F8/'Output-Calculation-sheet'!F7*'Output-Calculation-sheet'!F106</f>
        <v>12012512292.942419</v>
      </c>
      <c r="G129" s="2">
        <f>G8/'Output-Calculation-sheet'!G7*'Output-Calculation-sheet'!G106</f>
        <v>8440340320.676054</v>
      </c>
      <c r="H129" s="2">
        <f>H8/'Output-Calculation-sheet'!H7*'Output-Calculation-sheet'!H106</f>
        <v>0</v>
      </c>
      <c r="I129" s="2">
        <f>I8/'Output-Calculation-sheet'!I7*'Output-Calculation-sheet'!I106</f>
        <v>7689796559.1388197</v>
      </c>
      <c r="J129" s="2">
        <f>J8/'Output-Calculation-sheet'!J7*'Output-Calculation-sheet'!J106</f>
        <v>7484694652.7982025</v>
      </c>
      <c r="K129" s="2">
        <f>K8/'Output-Calculation-sheet'!K7*'Output-Calculation-sheet'!K106</f>
        <v>7412950541.3624067</v>
      </c>
      <c r="L129" s="2">
        <f>L8/'Output-Calculation-sheet'!L7*'Output-Calculation-sheet'!L106</f>
        <v>5946779385.7020378</v>
      </c>
      <c r="M129" s="2">
        <f>M8/'Output-Calculation-sheet'!M7*'Output-Calculation-sheet'!M106</f>
        <v>0</v>
      </c>
      <c r="N129" s="2">
        <f>N8/'Output-Calculation-sheet'!N7*'Output-Calculation-sheet'!N106</f>
        <v>2613409708.5459495</v>
      </c>
      <c r="O129" s="2">
        <f>O8/'Output-Calculation-sheet'!O7*'Output-Calculation-sheet'!O106</f>
        <v>0</v>
      </c>
      <c r="P129" s="2">
        <f>P8/'Output-Calculation-sheet'!P7*'Output-Calculation-sheet'!P106</f>
        <v>5075295513.8208494</v>
      </c>
      <c r="Q129" s="2">
        <f>Q8/'Output-Calculation-sheet'!Q7*'Output-Calculation-sheet'!Q106</f>
        <v>4993261239.8289099</v>
      </c>
      <c r="R129" s="2">
        <f>R8/'Output-Calculation-sheet'!R7*'Output-Calculation-sheet'!R106</f>
        <v>4803756732.623579</v>
      </c>
      <c r="S129" s="2">
        <f>S8/'Output-Calculation-sheet'!S7*'Output-Calculation-sheet'!S106</f>
        <v>2623083300.0983524</v>
      </c>
      <c r="T129" s="2">
        <f>T8/'Output-Calculation-sheet'!T7*'Output-Calculation-sheet'!T106</f>
        <v>1765807566.7219167</v>
      </c>
      <c r="U129" s="2">
        <f>U8/'Output-Calculation-sheet'!U7*'Output-Calculation-sheet'!U106</f>
        <v>1537960778.7442911</v>
      </c>
      <c r="V129" s="2">
        <f>V8/'Output-Calculation-sheet'!V7*'Output-Calculation-sheet'!V106</f>
        <v>1184255435.291991</v>
      </c>
      <c r="W129" s="2">
        <f>W8/'Output-Calculation-sheet'!W7*'Output-Calculation-sheet'!W106</f>
        <v>1025310814.1863887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171185.94810771689</v>
      </c>
    </row>
    <row r="130" spans="1:27" x14ac:dyDescent="0.25">
      <c r="A130" s="2">
        <v>2032</v>
      </c>
      <c r="B130" s="2">
        <f>B9/'Output-Calculation-sheet'!B8*'Output-Calculation-sheet'!B107</f>
        <v>59005404843.340935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0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2147412491.5218728</v>
      </c>
      <c r="O130" s="2">
        <f>O9/'Output-Calculation-sheet'!O8*'Output-Calculation-sheet'!O107</f>
        <v>0</v>
      </c>
      <c r="P130" s="2">
        <f>P9/'Output-Calculation-sheet'!P8*'Output-Calculation-sheet'!P107</f>
        <v>6550133037.1637611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1906544233.5642657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207030.03312036808</v>
      </c>
    </row>
    <row r="131" spans="1:27" x14ac:dyDescent="0.25">
      <c r="A131" s="2">
        <v>2033</v>
      </c>
      <c r="B131" s="2">
        <f>B10/'Output-Calculation-sheet'!B9*'Output-Calculation-sheet'!B108</f>
        <v>43383549602.807968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1589690859.3095052</v>
      </c>
      <c r="O131" s="2">
        <f>O10/'Output-Calculation-sheet'!O9*'Output-Calculation-sheet'!O108</f>
        <v>0</v>
      </c>
      <c r="P131" s="2">
        <f>P10/'Output-Calculation-sheet'!P9*'Output-Calculation-sheet'!P108</f>
        <v>7311432582.8587923</v>
      </c>
      <c r="Q131" s="2">
        <f>Q10/'Output-Calculation-sheet'!Q9*'Output-Calculation-sheet'!Q108</f>
        <v>6167936531.2786417</v>
      </c>
      <c r="R131" s="2">
        <f>R10/'Output-Calculation-sheet'!R9*'Output-Calculation-sheet'!R108</f>
        <v>6920335497.7636309</v>
      </c>
      <c r="S131" s="2">
        <f>S10/'Output-Calculation-sheet'!S9*'Output-Calculation-sheet'!S108</f>
        <v>1541915419.0288556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206201.24768163604</v>
      </c>
    </row>
    <row r="132" spans="1:27" x14ac:dyDescent="0.25">
      <c r="A132" s="2">
        <v>2034</v>
      </c>
      <c r="B132" s="2">
        <f>B11/'Output-Calculation-sheet'!B10*'Output-Calculation-sheet'!B109</f>
        <v>26703106396.444241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25772225665.808929</v>
      </c>
      <c r="F132" s="2">
        <f>F11/'Output-Calculation-sheet'!F10*'Output-Calculation-sheet'!F109</f>
        <v>17006881344.157141</v>
      </c>
      <c r="G132" s="2">
        <f>G11/'Output-Calculation-sheet'!G10*'Output-Calculation-sheet'!G109</f>
        <v>11949836308.950029</v>
      </c>
      <c r="H132" s="2">
        <f>H11/'Output-Calculation-sheet'!H10*'Output-Calculation-sheet'!H109</f>
        <v>0</v>
      </c>
      <c r="I132" s="2">
        <f>I11/'Output-Calculation-sheet'!I10*'Output-Calculation-sheet'!I109</f>
        <v>10886484102.684416</v>
      </c>
      <c r="J132" s="2">
        <f>J11/'Output-Calculation-sheet'!J10*'Output-Calculation-sheet'!J109</f>
        <v>10596224768.594408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7888320926.0114174</v>
      </c>
      <c r="M132" s="2">
        <f>M11/'Output-Calculation-sheet'!M10*'Output-Calculation-sheet'!M109</f>
        <v>0</v>
      </c>
      <c r="N132" s="2">
        <f>N11/'Output-Calculation-sheet'!N10*'Output-Calculation-sheet'!N109</f>
        <v>1037323955.2162297</v>
      </c>
      <c r="O132" s="2">
        <f>O11/'Output-Calculation-sheet'!O10*'Output-Calculation-sheet'!O109</f>
        <v>0</v>
      </c>
      <c r="P132" s="2">
        <f>P11/'Output-Calculation-sheet'!P10*'Output-Calculation-sheet'!P109</f>
        <v>5893791930.0288067</v>
      </c>
      <c r="Q132" s="2">
        <f>Q11/'Output-Calculation-sheet'!Q10*'Output-Calculation-sheet'!Q109</f>
        <v>3796232537.244278</v>
      </c>
      <c r="R132" s="2">
        <f>R11/'Output-Calculation-sheet'!R10*'Output-Calculation-sheet'!R109</f>
        <v>6800326704.065814</v>
      </c>
      <c r="S132" s="2">
        <f>S11/'Output-Calculation-sheet'!S10*'Output-Calculation-sheet'!S109</f>
        <v>711925995.47260165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2178547263.034204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180642.5039857591</v>
      </c>
    </row>
    <row r="133" spans="1:27" x14ac:dyDescent="0.25">
      <c r="A133" s="2">
        <v>2035</v>
      </c>
      <c r="B133" s="2">
        <f>B12/'Output-Calculation-sheet'!B11*'Output-Calculation-sheet'!B110</f>
        <v>314256042.61739659</v>
      </c>
      <c r="C133" s="2">
        <f>C12/'Output-Calculation-sheet'!C11*'Output-Calculation-sheet'!C110</f>
        <v>0</v>
      </c>
      <c r="D133" s="2">
        <f>D12/'Output-Calculation-sheet'!D11*'Output-Calculation-sheet'!D110</f>
        <v>26035772765.509087</v>
      </c>
      <c r="E133" s="2">
        <f>E12/'Output-Calculation-sheet'!E11*'Output-Calculation-sheet'!E110</f>
        <v>12660623567.182201</v>
      </c>
      <c r="F133" s="2">
        <f>F12/'Output-Calculation-sheet'!F11*'Output-Calculation-sheet'!F110</f>
        <v>14039668902.906576</v>
      </c>
      <c r="G133" s="2">
        <f>G12/'Output-Calculation-sheet'!G11*'Output-Calculation-sheet'!G110</f>
        <v>9731582779.2725964</v>
      </c>
      <c r="H133" s="2">
        <f>H12/'Output-Calculation-sheet'!H11*'Output-Calculation-sheet'!H110</f>
        <v>0</v>
      </c>
      <c r="I133" s="2">
        <f>I12/'Output-Calculation-sheet'!I11*'Output-Calculation-sheet'!I110</f>
        <v>8784576206.1304951</v>
      </c>
      <c r="J133" s="2">
        <f>J12/'Output-Calculation-sheet'!J11*'Output-Calculation-sheet'!J110</f>
        <v>8460208763.2297068</v>
      </c>
      <c r="K133" s="2">
        <f>K12/'Output-Calculation-sheet'!K11*'Output-Calculation-sheet'!K110</f>
        <v>8369539490.542861</v>
      </c>
      <c r="L133" s="2">
        <f>L12/'Output-Calculation-sheet'!L11*'Output-Calculation-sheet'!L110</f>
        <v>6155787626.065239</v>
      </c>
      <c r="M133" s="2">
        <f>M12/'Output-Calculation-sheet'!M11*'Output-Calculation-sheet'!M110</f>
        <v>0</v>
      </c>
      <c r="N133" s="2">
        <f>N12/'Output-Calculation-sheet'!N11*'Output-Calculation-sheet'!N110</f>
        <v>804563.70567836834</v>
      </c>
      <c r="O133" s="2">
        <f>O12/'Output-Calculation-sheet'!O11*'Output-Calculation-sheet'!O110</f>
        <v>0</v>
      </c>
      <c r="P133" s="2">
        <f>P12/'Output-Calculation-sheet'!P11*'Output-Calculation-sheet'!P110</f>
        <v>1907524514.1817503</v>
      </c>
      <c r="Q133" s="2">
        <f>Q12/'Output-Calculation-sheet'!Q11*'Output-Calculation-sheet'!Q110</f>
        <v>2533814045.6408353</v>
      </c>
      <c r="R133" s="2">
        <f>R12/'Output-Calculation-sheet'!R11*'Output-Calculation-sheet'!R110</f>
        <v>5567073641.1528683</v>
      </c>
      <c r="S133" s="2">
        <f>S12/'Output-Calculation-sheet'!S11*'Output-Calculation-sheet'!S110</f>
        <v>9217144.4055677056</v>
      </c>
      <c r="T133" s="2">
        <f>T12/'Output-Calculation-sheet'!T11*'Output-Calculation-sheet'!T110</f>
        <v>2091649941.6319861</v>
      </c>
      <c r="U133" s="2">
        <f>U12/'Output-Calculation-sheet'!U11*'Output-Calculation-sheet'!U110</f>
        <v>1697088566.4031069</v>
      </c>
      <c r="V133" s="2">
        <f>V12/'Output-Calculation-sheet'!V11*'Output-Calculation-sheet'!V110</f>
        <v>1406636981.9977791</v>
      </c>
      <c r="W133" s="2">
        <f>W12/'Output-Calculation-sheet'!W11*'Output-Calculation-sheet'!W110</f>
        <v>1235784198.8575499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111001.60974143328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16998156159.596243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5343792130.6160469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3673242930.5737338</v>
      </c>
      <c r="N140" s="2">
        <f>N8/'Output-Calculation-sheet'!N7*'Output-Calculation-sheet'!N115</f>
        <v>1386794800.045712</v>
      </c>
      <c r="O140" s="2">
        <f>O8/'Output-Calculation-sheet'!O7*'Output-Calculation-sheet'!O115</f>
        <v>4079474712.1508431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398870080.32595378</v>
      </c>
      <c r="Y140" s="2">
        <f>Y8/'Output-Calculation-sheet'!Y7*'Output-Calculation-sheet'!Y115</f>
        <v>0</v>
      </c>
      <c r="AA140" s="2">
        <f t="shared" si="12"/>
        <v>31880.330813308534</v>
      </c>
    </row>
    <row r="141" spans="1:27" x14ac:dyDescent="0.25">
      <c r="A141" s="2">
        <v>2032</v>
      </c>
      <c r="B141" s="2">
        <f>B9/'Output-Calculation-sheet'!B8*'Output-Calculation-sheet'!B116</f>
        <v>6745679298.9007244</v>
      </c>
      <c r="C141" s="2">
        <f>C9/'Output-Calculation-sheet'!C8*'Output-Calculation-sheet'!C116</f>
        <v>28875496024.042233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7527716595.2366285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5168395953.4584923</v>
      </c>
      <c r="N141" s="2">
        <f>N9/'Output-Calculation-sheet'!N8*'Output-Calculation-sheet'!N116</f>
        <v>3588221326.6525736</v>
      </c>
      <c r="O141" s="2">
        <f>O9/'Output-Calculation-sheet'!O8*'Output-Calculation-sheet'!O116</f>
        <v>5604903487.0550404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1607200212.3394988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562561738.65668786</v>
      </c>
      <c r="Y141" s="2">
        <f>Y9/'Output-Calculation-sheet'!Y8*'Output-Calculation-sheet'!Y116</f>
        <v>0</v>
      </c>
      <c r="AA141" s="2">
        <f t="shared" si="12"/>
        <v>59680.174636341872</v>
      </c>
    </row>
    <row r="142" spans="1:27" x14ac:dyDescent="0.25">
      <c r="A142" s="2">
        <v>2033</v>
      </c>
      <c r="B142" s="2">
        <f>B10/'Output-Calculation-sheet'!B9*'Output-Calculation-sheet'!B117</f>
        <v>31476129041.427551</v>
      </c>
      <c r="C142" s="2">
        <f>C10/'Output-Calculation-sheet'!C9*'Output-Calculation-sheet'!C117</f>
        <v>33237491666.812275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10293896671.914749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7073833095.6228056</v>
      </c>
      <c r="N142" s="2">
        <f>N10/'Output-Calculation-sheet'!N9*'Output-Calculation-sheet'!N117</f>
        <v>5336159244.0241451</v>
      </c>
      <c r="O142" s="2">
        <f>O10/'Output-Calculation-sheet'!O9*'Output-Calculation-sheet'!O117</f>
        <v>6450975307.6376438</v>
      </c>
      <c r="P142" s="2">
        <f>P10/'Output-Calculation-sheet'!P9*'Output-Calculation-sheet'!P117</f>
        <v>0</v>
      </c>
      <c r="Q142" s="2">
        <f>Q10/'Output-Calculation-sheet'!Q9*'Output-Calculation-sheet'!Q117</f>
        <v>1019060722.3700364</v>
      </c>
      <c r="R142" s="2">
        <f>R10/'Output-Calculation-sheet'!R9*'Output-Calculation-sheet'!R117</f>
        <v>0</v>
      </c>
      <c r="S142" s="2">
        <f>S10/'Output-Calculation-sheet'!S9*'Output-Calculation-sheet'!S117</f>
        <v>2594684769.2495728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775490079.37669289</v>
      </c>
      <c r="Y142" s="2">
        <f>Y10/'Output-Calculation-sheet'!Y9*'Output-Calculation-sheet'!Y117</f>
        <v>0</v>
      </c>
      <c r="AA142" s="2">
        <f t="shared" si="12"/>
        <v>98257.720598435466</v>
      </c>
    </row>
    <row r="143" spans="1:27" x14ac:dyDescent="0.25">
      <c r="A143" s="2">
        <v>2034</v>
      </c>
      <c r="B143" s="2">
        <f>B11/'Output-Calculation-sheet'!B10*'Output-Calculation-sheet'!B118</f>
        <v>47975016144.635849</v>
      </c>
      <c r="C143" s="2">
        <f>C11/'Output-Calculation-sheet'!C10*'Output-Calculation-sheet'!C118</f>
        <v>36809069793.772614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10203657276.351725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7007985250.3529282</v>
      </c>
      <c r="N143" s="2">
        <f>N11/'Output-Calculation-sheet'!N10*'Output-Calculation-sheet'!N118</f>
        <v>6166464836.035984</v>
      </c>
      <c r="O143" s="2">
        <f>O11/'Output-Calculation-sheet'!O10*'Output-Calculation-sheet'!O118</f>
        <v>7150979675.7549515</v>
      </c>
      <c r="P143" s="2">
        <f>P11/'Output-Calculation-sheet'!P10*'Output-Calculation-sheet'!P118</f>
        <v>1291088266.8366623</v>
      </c>
      <c r="Q143" s="2">
        <f>Q11/'Output-Calculation-sheet'!Q10*'Output-Calculation-sheet'!Q118</f>
        <v>3039674751.2129974</v>
      </c>
      <c r="R143" s="2">
        <f>R11/'Output-Calculation-sheet'!R10*'Output-Calculation-sheet'!R118</f>
        <v>0</v>
      </c>
      <c r="S143" s="2">
        <f>S11/'Output-Calculation-sheet'!S10*'Output-Calculation-sheet'!S118</f>
        <v>3550643962.8038836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769370154.76860178</v>
      </c>
      <c r="Y143" s="2">
        <f>Y11/'Output-Calculation-sheet'!Y10*'Output-Calculation-sheet'!Y118</f>
        <v>90158822.943500623</v>
      </c>
      <c r="AA143" s="2">
        <f t="shared" si="12"/>
        <v>124054.1089354697</v>
      </c>
    </row>
    <row r="144" spans="1:27" x14ac:dyDescent="0.25">
      <c r="A144" s="2">
        <v>2035</v>
      </c>
      <c r="B144" s="2">
        <f>B12/'Output-Calculation-sheet'!B11*'Output-Calculation-sheet'!B119</f>
        <v>67042869267.211113</v>
      </c>
      <c r="C144" s="2">
        <f>C12/'Output-Calculation-sheet'!C11*'Output-Calculation-sheet'!C119</f>
        <v>32081344672.58918</v>
      </c>
      <c r="D144" s="2">
        <f>D12/'Output-Calculation-sheet'!D11*'Output-Calculation-sheet'!D119</f>
        <v>0</v>
      </c>
      <c r="E144" s="2">
        <f>E12/'Output-Calculation-sheet'!E11*'Output-Calculation-sheet'!E119</f>
        <v>8452048164.2963696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9746859290.2029381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6678092640.5520811</v>
      </c>
      <c r="N144" s="2">
        <f>N12/'Output-Calculation-sheet'!N11*'Output-Calculation-sheet'!N119</f>
        <v>6612292300.5234728</v>
      </c>
      <c r="O144" s="2">
        <f>O12/'Output-Calculation-sheet'!O11*'Output-Calculation-sheet'!O119</f>
        <v>6237694167.9204321</v>
      </c>
      <c r="P144" s="2">
        <f>P12/'Output-Calculation-sheet'!P11*'Output-Calculation-sheet'!P119</f>
        <v>4241413310.0305209</v>
      </c>
      <c r="Q144" s="2">
        <f>Q12/'Output-Calculation-sheet'!Q11*'Output-Calculation-sheet'!Q119</f>
        <v>2906756650.9239206</v>
      </c>
      <c r="R144" s="2">
        <f>R12/'Output-Calculation-sheet'!R11*'Output-Calculation-sheet'!R119</f>
        <v>0</v>
      </c>
      <c r="S144" s="2">
        <f>S12/'Output-Calculation-sheet'!S11*'Output-Calculation-sheet'!S119</f>
        <v>3777303851.2933917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743094016.06650436</v>
      </c>
      <c r="Y144" s="2">
        <f>Y12/'Output-Calculation-sheet'!Y11*'Output-Calculation-sheet'!Y119</f>
        <v>354589381.18273801</v>
      </c>
      <c r="AA144" s="2">
        <f t="shared" si="12"/>
        <v>148874.35771279267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55998261498.925339</v>
      </c>
      <c r="C151" s="2">
        <f>C8/'Output-Calculation-sheet'!C7*'Output-Calculation-sheet'!C124</f>
        <v>26389245501.999882</v>
      </c>
      <c r="D151" s="2">
        <f>D8/'Output-Calculation-sheet'!D7*'Output-Calculation-sheet'!D124</f>
        <v>23519841141.312927</v>
      </c>
      <c r="E151" s="2">
        <f>E8/'Output-Calculation-sheet'!E7*'Output-Calculation-sheet'!E124</f>
        <v>18660629071.174072</v>
      </c>
      <c r="F151" s="2">
        <f>F8/'Output-Calculation-sheet'!F7*'Output-Calculation-sheet'!F124</f>
        <v>12012512292.942419</v>
      </c>
      <c r="G151" s="2">
        <f>G8/'Output-Calculation-sheet'!G7*'Output-Calculation-sheet'!G124</f>
        <v>8440340320.676054</v>
      </c>
      <c r="H151" s="2">
        <f>H8/'Output-Calculation-sheet'!H7*'Output-Calculation-sheet'!H124</f>
        <v>8233237524.5700064</v>
      </c>
      <c r="I151" s="2">
        <f>I8/'Output-Calculation-sheet'!I7*'Output-Calculation-sheet'!I124</f>
        <v>7689796559.1388197</v>
      </c>
      <c r="J151" s="2">
        <f>J8/'Output-Calculation-sheet'!J7*'Output-Calculation-sheet'!J124</f>
        <v>7484694652.7982025</v>
      </c>
      <c r="K151" s="2">
        <f>K8/'Output-Calculation-sheet'!K7*'Output-Calculation-sheet'!K124</f>
        <v>7412950541.3624067</v>
      </c>
      <c r="L151" s="2">
        <f>L8/'Output-Calculation-sheet'!L7*'Output-Calculation-sheet'!L124</f>
        <v>5946779385.7020378</v>
      </c>
      <c r="M151" s="2">
        <f>M8/'Output-Calculation-sheet'!M7*'Output-Calculation-sheet'!M124</f>
        <v>5680211749.7934618</v>
      </c>
      <c r="N151" s="2">
        <f>N8/'Output-Calculation-sheet'!N7*'Output-Calculation-sheet'!N124</f>
        <v>5575101714.372139</v>
      </c>
      <c r="O151" s="2">
        <f>O8/'Output-Calculation-sheet'!O7*'Output-Calculation-sheet'!O124</f>
        <v>5127430131.2692814</v>
      </c>
      <c r="P151" s="2">
        <f>P8/'Output-Calculation-sheet'!P7*'Output-Calculation-sheet'!P124</f>
        <v>5075295513.8208494</v>
      </c>
      <c r="Q151" s="2">
        <f>Q8/'Output-Calculation-sheet'!Q7*'Output-Calculation-sheet'!Q124</f>
        <v>4993261239.8289099</v>
      </c>
      <c r="R151" s="2">
        <f>R8/'Output-Calculation-sheet'!R7*'Output-Calculation-sheet'!R124</f>
        <v>4803756732.623579</v>
      </c>
      <c r="S151" s="2">
        <f>S8/'Output-Calculation-sheet'!S7*'Output-Calculation-sheet'!S124</f>
        <v>3192815268.7309484</v>
      </c>
      <c r="T151" s="2">
        <f>T8/'Output-Calculation-sheet'!T7*'Output-Calculation-sheet'!T124</f>
        <v>1765807566.7219167</v>
      </c>
      <c r="U151" s="2">
        <f>U8/'Output-Calculation-sheet'!U7*'Output-Calculation-sheet'!U124</f>
        <v>1537960778.7442911</v>
      </c>
      <c r="V151" s="2">
        <f>V8/'Output-Calculation-sheet'!V7*'Output-Calculation-sheet'!V124</f>
        <v>1184255435.291991</v>
      </c>
      <c r="W151" s="2">
        <f>W8/'Output-Calculation-sheet'!W7*'Output-Calculation-sheet'!W124</f>
        <v>1025310814.1863887</v>
      </c>
      <c r="X151" s="2">
        <f>X8/'Output-Calculation-sheet'!X7*'Output-Calculation-sheet'!X124</f>
        <v>615183227.00627863</v>
      </c>
      <c r="Y151" s="2">
        <f>Y8/'Output-Calculation-sheet'!Y7*'Output-Calculation-sheet'!Y124</f>
        <v>598259896.30129874</v>
      </c>
      <c r="AA151" s="2">
        <f t="shared" si="13"/>
        <v>222962.93855929351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20434800009.938908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3970481172.8369799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172653.78061289652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2462323223.7403064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107072.5254970056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1665177910.1957998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1009890686.0842502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645749193.08080435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311053556.39707035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45094.411601826083</v>
      </c>
    </row>
    <row r="155" spans="1:27" x14ac:dyDescent="0.25">
      <c r="A155" s="2">
        <v>2035</v>
      </c>
      <c r="B155" s="2">
        <f>B12/'Output-Calculation-sheet'!B11*'Output-Calculation-sheet'!B128</f>
        <v>349740100.70089972</v>
      </c>
      <c r="C155" s="2">
        <f>C12/'Output-Calculation-sheet'!C11*'Output-Calculation-sheet'!C128</f>
        <v>44948323.99907279</v>
      </c>
      <c r="D155" s="2">
        <f>D12/'Output-Calculation-sheet'!D11*'Output-Calculation-sheet'!D128</f>
        <v>3504996283.6463289</v>
      </c>
      <c r="E155" s="2">
        <f>E12/'Output-Calculation-sheet'!E11*'Output-Calculation-sheet'!E128</f>
        <v>652861508.48261249</v>
      </c>
      <c r="F155" s="2">
        <f>F12/'Output-Calculation-sheet'!F11*'Output-Calculation-sheet'!F128</f>
        <v>1010653164.1485635</v>
      </c>
      <c r="G155" s="2">
        <f>G12/'Output-Calculation-sheet'!G11*'Output-Calculation-sheet'!G128</f>
        <v>902714391.17772841</v>
      </c>
      <c r="H155" s="2">
        <f>H12/'Output-Calculation-sheet'!H11*'Output-Calculation-sheet'!H128</f>
        <v>72353978.52856876</v>
      </c>
      <c r="I155" s="2">
        <f>I12/'Output-Calculation-sheet'!I11*'Output-Calculation-sheet'!I128</f>
        <v>900171395.49987972</v>
      </c>
      <c r="J155" s="2">
        <f>J12/'Output-Calculation-sheet'!J11*'Output-Calculation-sheet'!J128</f>
        <v>861916765.59434533</v>
      </c>
      <c r="K155" s="2">
        <f>K12/'Output-Calculation-sheet'!K11*'Output-Calculation-sheet'!K128</f>
        <v>978753329.75435233</v>
      </c>
      <c r="L155" s="2">
        <f>L12/'Output-Calculation-sheet'!L11*'Output-Calculation-sheet'!L128</f>
        <v>707783874.4517045</v>
      </c>
      <c r="M155" s="2">
        <f>M12/'Output-Calculation-sheet'!M11*'Output-Calculation-sheet'!M128</f>
        <v>60344096.059970818</v>
      </c>
      <c r="N155" s="2">
        <f>N12/'Output-Calculation-sheet'!N11*'Output-Calculation-sheet'!N128</f>
        <v>61074236.046494164</v>
      </c>
      <c r="O155" s="2">
        <f>O12/'Output-Calculation-sheet'!O11*'Output-Calculation-sheet'!O128</f>
        <v>20225795.337306406</v>
      </c>
      <c r="P155" s="2">
        <f>P12/'Output-Calculation-sheet'!P11*'Output-Calculation-sheet'!P128</f>
        <v>68268370.443102404</v>
      </c>
      <c r="Q155" s="2">
        <f>Q12/'Output-Calculation-sheet'!Q11*'Output-Calculation-sheet'!Q128</f>
        <v>406874286.11037302</v>
      </c>
      <c r="R155" s="2">
        <f>R12/'Output-Calculation-sheet'!R11*'Output-Calculation-sheet'!R128</f>
        <v>454944028.39325839</v>
      </c>
      <c r="S155" s="2">
        <f>S12/'Output-Calculation-sheet'!S11*'Output-Calculation-sheet'!S128</f>
        <v>31893679.060340576</v>
      </c>
      <c r="T155" s="2">
        <f>T12/'Output-Calculation-sheet'!T11*'Output-Calculation-sheet'!T128</f>
        <v>106992613.62192895</v>
      </c>
      <c r="U155" s="2">
        <f>U12/'Output-Calculation-sheet'!U11*'Output-Calculation-sheet'!U128</f>
        <v>210564648.3671017</v>
      </c>
      <c r="V155" s="2">
        <f>V12/'Output-Calculation-sheet'!V11*'Output-Calculation-sheet'!V128</f>
        <v>52542871.687031776</v>
      </c>
      <c r="W155" s="2">
        <f>W12/'Output-Calculation-sheet'!W11*'Output-Calculation-sheet'!W128</f>
        <v>48763852.555889294</v>
      </c>
      <c r="X155" s="2">
        <f>X12/'Output-Calculation-sheet'!X11*'Output-Calculation-sheet'!X128</f>
        <v>1855598.1737194164</v>
      </c>
      <c r="Y155" s="2">
        <f>Y12/'Output-Calculation-sheet'!Y11*'Output-Calculation-sheet'!Y128</f>
        <v>14429295.314746529</v>
      </c>
      <c r="AA155" s="2">
        <f t="shared" si="13"/>
        <v>11525.66648715532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1259.2667579292929</v>
      </c>
      <c r="C19" s="2">
        <f>C8/'Output-Calculation-sheet'!C7*'Output-Calculation-sheet'!C25</f>
        <v>5924.8077833976768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1794.6955217042414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1246.6667639165887</v>
      </c>
      <c r="N19" s="2">
        <f>N8/'Output-Calculation-sheet'!N7*'Output-Calculation-sheet'!N25</f>
        <v>1037.0794279375009</v>
      </c>
      <c r="O19" s="2">
        <f>O8/'Output-Calculation-sheet'!O7*'Output-Calculation-sheet'!O25</f>
        <v>650.87944016308234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479.61950326838098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134.92402265949096</v>
      </c>
      <c r="Y19" s="2">
        <f>Y8/'Output-Calculation-sheet'!Y7*'Output-Calculation-sheet'!Y25</f>
        <v>0</v>
      </c>
      <c r="AA19" s="2">
        <f t="shared" si="0"/>
        <v>12.527939220976252</v>
      </c>
    </row>
    <row r="20" spans="1:27" x14ac:dyDescent="0.25">
      <c r="A20" s="2">
        <v>2032</v>
      </c>
      <c r="B20" s="2">
        <f>B9/'Output-Calculation-sheet'!B8*'Output-Calculation-sheet'!B26</f>
        <v>6080.494143963565</v>
      </c>
      <c r="C20" s="2">
        <f>C9/'Output-Calculation-sheet'!C8*'Output-Calculation-sheet'!C26</f>
        <v>3334.3945415505204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2001.6535074477317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1398.7692852766281</v>
      </c>
      <c r="N20" s="2">
        <f>N9/'Output-Calculation-sheet'!N8*'Output-Calculation-sheet'!N26</f>
        <v>969.38523095018081</v>
      </c>
      <c r="O20" s="2">
        <f>O9/'Output-Calculation-sheet'!O8*'Output-Calculation-sheet'!O26</f>
        <v>651.47890006381749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459.83099720610227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152.20652716627632</v>
      </c>
      <c r="Y20" s="2">
        <f>Y9/'Output-Calculation-sheet'!Y8*'Output-Calculation-sheet'!Y26</f>
        <v>0</v>
      </c>
      <c r="AA20" s="2">
        <f t="shared" si="0"/>
        <v>15.04821313362482</v>
      </c>
    </row>
    <row r="21" spans="1:27" x14ac:dyDescent="0.25">
      <c r="A21" s="2">
        <v>2033</v>
      </c>
      <c r="B21" s="2">
        <f>B10/'Output-Calculation-sheet'!B9*'Output-Calculation-sheet'!B27</f>
        <v>5335.2150549294211</v>
      </c>
      <c r="C21" s="2">
        <f>C10/'Output-Calculation-sheet'!C9*'Output-Calculation-sheet'!C27</f>
        <v>3279.2489601713264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1075.1896308616076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761.02809031336051</v>
      </c>
      <c r="N21" s="2">
        <f>N10/'Output-Calculation-sheet'!N9*'Output-Calculation-sheet'!N27</f>
        <v>770.69108608665954</v>
      </c>
      <c r="O21" s="2">
        <f>O10/'Output-Calculation-sheet'!O9*'Output-Calculation-sheet'!O27</f>
        <v>642.00664167786942</v>
      </c>
      <c r="P21" s="2">
        <f>P10/'Output-Calculation-sheet'!P9*'Output-Calculation-sheet'!P27</f>
        <v>0</v>
      </c>
      <c r="Q21" s="2">
        <f>Q10/'Output-Calculation-sheet'!Q9*'Output-Calculation-sheet'!Q27</f>
        <v>8.8126165135264163</v>
      </c>
      <c r="R21" s="2">
        <f>R10/'Output-Calculation-sheet'!R9*'Output-Calculation-sheet'!R27</f>
        <v>0</v>
      </c>
      <c r="S21" s="2">
        <f>S10/'Output-Calculation-sheet'!S9*'Output-Calculation-sheet'!S27</f>
        <v>366.97456083840194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75.991925507823808</v>
      </c>
      <c r="Y21" s="2">
        <f>Y10/'Output-Calculation-sheet'!Y9*'Output-Calculation-sheet'!Y27</f>
        <v>0</v>
      </c>
      <c r="AA21" s="2">
        <f t="shared" si="0"/>
        <v>12.315158566899997</v>
      </c>
    </row>
    <row r="22" spans="1:27" x14ac:dyDescent="0.25">
      <c r="A22" s="2">
        <v>2034</v>
      </c>
      <c r="B22" s="2">
        <f>B11/'Output-Calculation-sheet'!B10*'Output-Calculation-sheet'!B28</f>
        <v>4142.8028257234428</v>
      </c>
      <c r="C22" s="2">
        <f>C11/'Output-Calculation-sheet'!C10*'Output-Calculation-sheet'!C28</f>
        <v>417.35370124011382</v>
      </c>
      <c r="D22" s="2">
        <f>D11/'Output-Calculation-sheet'!D10*'Output-Calculation-sheet'!D28</f>
        <v>0</v>
      </c>
      <c r="E22" s="2">
        <f>E11/'Output-Calculation-sheet'!E10*'Output-Calculation-sheet'!E28</f>
        <v>1412.5778110522585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1098.9249936386966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840.51358910448755</v>
      </c>
      <c r="M22" s="2">
        <f>M11/'Output-Calculation-sheet'!M10*'Output-Calculation-sheet'!M28</f>
        <v>782.10072921946994</v>
      </c>
      <c r="N22" s="2">
        <f>N11/'Output-Calculation-sheet'!N10*'Output-Calculation-sheet'!N28</f>
        <v>522.83879951001677</v>
      </c>
      <c r="O22" s="2">
        <f>O11/'Output-Calculation-sheet'!O10*'Output-Calculation-sheet'!O28</f>
        <v>81.864899805147857</v>
      </c>
      <c r="P22" s="2">
        <f>P11/'Output-Calculation-sheet'!P10*'Output-Calculation-sheet'!P28</f>
        <v>0</v>
      </c>
      <c r="Q22" s="2">
        <f>Q11/'Output-Calculation-sheet'!Q10*'Output-Calculation-sheet'!Q28</f>
        <v>268.0111085492324</v>
      </c>
      <c r="R22" s="2">
        <f>R11/'Output-Calculation-sheet'!R10*'Output-Calculation-sheet'!R28</f>
        <v>0</v>
      </c>
      <c r="S22" s="2">
        <f>S11/'Output-Calculation-sheet'!S10*'Output-Calculation-sheet'!S28</f>
        <v>195.76743366542874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76.846842066153258</v>
      </c>
      <c r="Y22" s="2">
        <f>Y11/'Output-Calculation-sheet'!Y10*'Output-Calculation-sheet'!Y28</f>
        <v>31.324943351362801</v>
      </c>
      <c r="AA22" s="2">
        <f t="shared" si="0"/>
        <v>9.8709276769258114</v>
      </c>
    </row>
    <row r="23" spans="1:27" x14ac:dyDescent="0.25">
      <c r="A23" s="2">
        <v>2035</v>
      </c>
      <c r="B23" s="2">
        <f>B12/'Output-Calculation-sheet'!B11*'Output-Calculation-sheet'!B29</f>
        <v>800.29322494949815</v>
      </c>
      <c r="C23" s="2">
        <f>C12/'Output-Calculation-sheet'!C11*'Output-Calculation-sheet'!C29</f>
        <v>150.40376690815276</v>
      </c>
      <c r="D23" s="2">
        <f>D12/'Output-Calculation-sheet'!D11*'Output-Calculation-sheet'!D29</f>
        <v>0</v>
      </c>
      <c r="E23" s="2">
        <f>E12/'Output-Calculation-sheet'!E11*'Output-Calculation-sheet'!E29</f>
        <v>2026.3429651343349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243.96983428994639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1021.4846664207624</v>
      </c>
      <c r="M23" s="2">
        <f>M12/'Output-Calculation-sheet'!M11*'Output-Calculation-sheet'!M29</f>
        <v>204.56309718992276</v>
      </c>
      <c r="N23" s="2">
        <f>N12/'Output-Calculation-sheet'!N11*'Output-Calculation-sheet'!N29</f>
        <v>142.66624634943145</v>
      </c>
      <c r="O23" s="2">
        <f>O12/'Output-Calculation-sheet'!O11*'Output-Calculation-sheet'!O29</f>
        <v>16.482351753091493</v>
      </c>
      <c r="P23" s="2">
        <f>P12/'Output-Calculation-sheet'!P11*'Output-Calculation-sheet'!P29</f>
        <v>28.390471526833327</v>
      </c>
      <c r="Q23" s="2">
        <f>Q12/'Output-Calculation-sheet'!Q11*'Output-Calculation-sheet'!Q29</f>
        <v>398.06809471523161</v>
      </c>
      <c r="R23" s="2">
        <f>R12/'Output-Calculation-sheet'!R11*'Output-Calculation-sheet'!R29</f>
        <v>0</v>
      </c>
      <c r="S23" s="2">
        <f>S12/'Output-Calculation-sheet'!S11*'Output-Calculation-sheet'!S29</f>
        <v>84.756581288986183</v>
      </c>
      <c r="T23" s="2">
        <f>T12/'Output-Calculation-sheet'!T11*'Output-Calculation-sheet'!T29</f>
        <v>0</v>
      </c>
      <c r="U23" s="2">
        <f>U12/'Output-Calculation-sheet'!U11*'Output-Calculation-sheet'!U29</f>
        <v>92.406099720948944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7.4146874932883939</v>
      </c>
      <c r="Y23" s="2">
        <f>Y12/'Output-Calculation-sheet'!Y11*'Output-Calculation-sheet'!Y29</f>
        <v>62.795428848251426</v>
      </c>
      <c r="AA23" s="2">
        <f t="shared" si="0"/>
        <v>5.2800375165886795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21950.278625273302</v>
      </c>
      <c r="C30" s="2">
        <f>C8/'Output-Calculation-sheet'!C7*'Output-Calculation-sheet'!C16</f>
        <v>0</v>
      </c>
      <c r="D30" s="2">
        <f>D8/'Output-Calculation-sheet'!D7*'Output-Calculation-sheet'!D16</f>
        <v>3696.1091917871781</v>
      </c>
      <c r="E30" s="2">
        <f>E8/'Output-Calculation-sheet'!E7*'Output-Calculation-sheet'!E16</f>
        <v>3976.8097778903725</v>
      </c>
      <c r="F30" s="2">
        <f>F8/'Output-Calculation-sheet'!F7*'Output-Calculation-sheet'!F16</f>
        <v>2006.354480669595</v>
      </c>
      <c r="G30" s="2">
        <f>G8/'Output-Calculation-sheet'!G7*'Output-Calculation-sheet'!G16</f>
        <v>1313.9064128370396</v>
      </c>
      <c r="H30" s="2">
        <f>H8/'Output-Calculation-sheet'!H7*'Output-Calculation-sheet'!H16</f>
        <v>0</v>
      </c>
      <c r="I30" s="2">
        <f>I8/'Output-Calculation-sheet'!I7*'Output-Calculation-sheet'!I16</f>
        <v>1280.8776698725831</v>
      </c>
      <c r="J30" s="2">
        <f>J8/'Output-Calculation-sheet'!J7*'Output-Calculation-sheet'!J16</f>
        <v>1140.2117198419162</v>
      </c>
      <c r="K30" s="2">
        <f>K8/'Output-Calculation-sheet'!K7*'Output-Calculation-sheet'!K16</f>
        <v>1522.4019047069496</v>
      </c>
      <c r="L30" s="2">
        <f>L8/'Output-Calculation-sheet'!L7*'Output-Calculation-sheet'!L16</f>
        <v>1285.9355767110405</v>
      </c>
      <c r="M30" s="2">
        <f>M8/'Output-Calculation-sheet'!M7*'Output-Calculation-sheet'!M16</f>
        <v>0</v>
      </c>
      <c r="N30" s="2">
        <f>N8/'Output-Calculation-sheet'!N7*'Output-Calculation-sheet'!N16</f>
        <v>1182.2486104536599</v>
      </c>
      <c r="O30" s="2">
        <f>O8/'Output-Calculation-sheet'!O7*'Output-Calculation-sheet'!O16</f>
        <v>0</v>
      </c>
      <c r="P30" s="2">
        <f>P8/'Output-Calculation-sheet'!P7*'Output-Calculation-sheet'!P16</f>
        <v>1641.6631323897639</v>
      </c>
      <c r="Q30" s="2">
        <f>Q8/'Output-Calculation-sheet'!Q7*'Output-Calculation-sheet'!Q16</f>
        <v>1805.2956598768506</v>
      </c>
      <c r="R30" s="2">
        <f>R8/'Output-Calculation-sheet'!R7*'Output-Calculation-sheet'!R16</f>
        <v>1145.4665471885653</v>
      </c>
      <c r="S30" s="2">
        <f>S8/'Output-Calculation-sheet'!S7*'Output-Calculation-sheet'!S16</f>
        <v>1152.0051534182323</v>
      </c>
      <c r="T30" s="2">
        <f>T8/'Output-Calculation-sheet'!T7*'Output-Calculation-sheet'!T16</f>
        <v>343.85045437015611</v>
      </c>
      <c r="U30" s="2">
        <f>U8/'Output-Calculation-sheet'!U7*'Output-Calculation-sheet'!U16</f>
        <v>343.23739953024511</v>
      </c>
      <c r="V30" s="2">
        <f>V8/'Output-Calculation-sheet'!V7*'Output-Calculation-sheet'!V16</f>
        <v>267.13398351690057</v>
      </c>
      <c r="W30" s="2">
        <f>W8/'Output-Calculation-sheet'!W7*'Output-Calculation-sheet'!W16</f>
        <v>162.03223623057065</v>
      </c>
      <c r="X30" s="2">
        <f>X8/'Output-Calculation-sheet'!X7*'Output-Calculation-sheet'!X16</f>
        <v>0</v>
      </c>
      <c r="Y30" s="2">
        <f>Y8/'Output-Calculation-sheet'!Y7*'Output-Calculation-sheet'!Y16</f>
        <v>137.13941798267621</v>
      </c>
      <c r="AA30" s="2">
        <f t="shared" si="1"/>
        <v>46.352957954547605</v>
      </c>
    </row>
    <row r="31" spans="1:27" x14ac:dyDescent="0.25">
      <c r="A31" s="2">
        <v>2032</v>
      </c>
      <c r="B31" s="2">
        <f>B9/'Output-Calculation-sheet'!B8*'Output-Calculation-sheet'!B17</f>
        <v>25564.915235499564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999.61512905857921</v>
      </c>
      <c r="O31" s="2">
        <f>O9/'Output-Calculation-sheet'!O8*'Output-Calculation-sheet'!O17</f>
        <v>0</v>
      </c>
      <c r="P31" s="2">
        <f>P9/'Output-Calculation-sheet'!P8*'Output-Calculation-sheet'!P17</f>
        <v>2498.37311271825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827.34923194364922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58.572251794846316</v>
      </c>
    </row>
    <row r="32" spans="1:27" x14ac:dyDescent="0.25">
      <c r="A32" s="2">
        <v>2033</v>
      </c>
      <c r="B32" s="2">
        <f>B10/'Output-Calculation-sheet'!B9*'Output-Calculation-sheet'!B18</f>
        <v>19298.883400452771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3021.3643349518316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781.12599972168562</v>
      </c>
      <c r="O32" s="2">
        <f>O10/'Output-Calculation-sheet'!O9*'Output-Calculation-sheet'!O18</f>
        <v>0</v>
      </c>
      <c r="P32" s="2">
        <f>P10/'Output-Calculation-sheet'!P9*'Output-Calculation-sheet'!P18</f>
        <v>3109.6458554516867</v>
      </c>
      <c r="Q32" s="2">
        <f>Q10/'Output-Calculation-sheet'!Q9*'Output-Calculation-sheet'!Q18</f>
        <v>2879.4300554603406</v>
      </c>
      <c r="R32" s="2">
        <f>R10/'Output-Calculation-sheet'!R9*'Output-Calculation-sheet'!R18</f>
        <v>2232.9936681954887</v>
      </c>
      <c r="S32" s="2">
        <f>S10/'Output-Calculation-sheet'!S9*'Output-Calculation-sheet'!S18</f>
        <v>710.59377355183085</v>
      </c>
      <c r="T32" s="2">
        <f>T10/'Output-Calculation-sheet'!T9*'Output-Calculation-sheet'!T18</f>
        <v>651.97420053164046</v>
      </c>
      <c r="U32" s="2">
        <f>U10/'Output-Calculation-sheet'!U9*'Output-Calculation-sheet'!U18</f>
        <v>720.73594117382481</v>
      </c>
      <c r="V32" s="2">
        <f>V10/'Output-Calculation-sheet'!V9*'Output-Calculation-sheet'!V18</f>
        <v>531.95413493264596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308.02948797007178</v>
      </c>
      <c r="AA32" s="2">
        <f t="shared" si="1"/>
        <v>61.352885551129887</v>
      </c>
    </row>
    <row r="33" spans="1:27" x14ac:dyDescent="0.25">
      <c r="A33" s="2">
        <v>2034</v>
      </c>
      <c r="B33" s="2">
        <f>B11/'Output-Calculation-sheet'!B10*'Output-Calculation-sheet'!B19</f>
        <v>12503.548910058347</v>
      </c>
      <c r="C33" s="2">
        <f>C11/'Output-Calculation-sheet'!C10*'Output-Calculation-sheet'!C19</f>
        <v>0</v>
      </c>
      <c r="D33" s="2">
        <f>D11/'Output-Calculation-sheet'!D10*'Output-Calculation-sheet'!D19</f>
        <v>8317.8640916935037</v>
      </c>
      <c r="E33" s="2">
        <f>E11/'Output-Calculation-sheet'!E10*'Output-Calculation-sheet'!E19</f>
        <v>10292.424229452132</v>
      </c>
      <c r="F33" s="2">
        <f>F11/'Output-Calculation-sheet'!F10*'Output-Calculation-sheet'!F19</f>
        <v>4720.997656580359</v>
      </c>
      <c r="G33" s="2">
        <f>G11/'Output-Calculation-sheet'!G10*'Output-Calculation-sheet'!G19</f>
        <v>2831.1852440556886</v>
      </c>
      <c r="H33" s="2">
        <f>H11/'Output-Calculation-sheet'!H10*'Output-Calculation-sheet'!H19</f>
        <v>0</v>
      </c>
      <c r="I33" s="2">
        <f>I11/'Output-Calculation-sheet'!I10*'Output-Calculation-sheet'!I19</f>
        <v>3089.5664453791132</v>
      </c>
      <c r="J33" s="2">
        <f>J11/'Output-Calculation-sheet'!J10*'Output-Calculation-sheet'!J19</f>
        <v>2612.3555355569042</v>
      </c>
      <c r="K33" s="2">
        <f>K11/'Output-Calculation-sheet'!K10*'Output-Calculation-sheet'!K19</f>
        <v>3623.4296552982546</v>
      </c>
      <c r="L33" s="2">
        <f>L11/'Output-Calculation-sheet'!L10*'Output-Calculation-sheet'!L19</f>
        <v>2947.184032953709</v>
      </c>
      <c r="M33" s="2">
        <f>M11/'Output-Calculation-sheet'!M10*'Output-Calculation-sheet'!M19</f>
        <v>0</v>
      </c>
      <c r="N33" s="2">
        <f>N11/'Output-Calculation-sheet'!N10*'Output-Calculation-sheet'!N19</f>
        <v>559.44985374013424</v>
      </c>
      <c r="O33" s="2">
        <f>O11/'Output-Calculation-sheet'!O10*'Output-Calculation-sheet'!O19</f>
        <v>0</v>
      </c>
      <c r="P33" s="2">
        <f>P11/'Output-Calculation-sheet'!P10*'Output-Calculation-sheet'!P19</f>
        <v>2769.3679310110333</v>
      </c>
      <c r="Q33" s="2">
        <f>Q11/'Output-Calculation-sheet'!Q10*'Output-Calculation-sheet'!Q19</f>
        <v>1765.3646207658321</v>
      </c>
      <c r="R33" s="2">
        <f>R11/'Output-Calculation-sheet'!R10*'Output-Calculation-sheet'!R19</f>
        <v>2617.5824768549096</v>
      </c>
      <c r="S33" s="2">
        <f>S11/'Output-Calculation-sheet'!S10*'Output-Calculation-sheet'!S19</f>
        <v>355.64174364038064</v>
      </c>
      <c r="T33" s="2">
        <f>T11/'Output-Calculation-sheet'!T10*'Output-Calculation-sheet'!T19</f>
        <v>767.99314482081434</v>
      </c>
      <c r="U33" s="2">
        <f>U11/'Output-Calculation-sheet'!U10*'Output-Calculation-sheet'!U19</f>
        <v>883.35561691348664</v>
      </c>
      <c r="V33" s="2">
        <f>V11/'Output-Calculation-sheet'!V10*'Output-Calculation-sheet'!V19</f>
        <v>602.41433840611592</v>
      </c>
      <c r="W33" s="2">
        <f>W11/'Output-Calculation-sheet'!W10*'Output-Calculation-sheet'!W19</f>
        <v>375.03578424447392</v>
      </c>
      <c r="X33" s="2">
        <f>X11/'Output-Calculation-sheet'!X10*'Output-Calculation-sheet'!X19</f>
        <v>0</v>
      </c>
      <c r="Y33" s="2">
        <f>Y11/'Output-Calculation-sheet'!Y10*'Output-Calculation-sheet'!Y19</f>
        <v>307.09199361838273</v>
      </c>
      <c r="AA33" s="2">
        <f t="shared" si="1"/>
        <v>61.941853305043573</v>
      </c>
    </row>
    <row r="34" spans="1:27" x14ac:dyDescent="0.25">
      <c r="A34" s="2">
        <v>2035</v>
      </c>
      <c r="B34" s="2">
        <f>B12/'Output-Calculation-sheet'!B11*'Output-Calculation-sheet'!B20</f>
        <v>163.57658494217142</v>
      </c>
      <c r="C34" s="2">
        <f>C12/'Output-Calculation-sheet'!C11*'Output-Calculation-sheet'!C20</f>
        <v>0</v>
      </c>
      <c r="D34" s="2">
        <f>D12/'Output-Calculation-sheet'!D11*'Output-Calculation-sheet'!D20</f>
        <v>7285.6427282746008</v>
      </c>
      <c r="E34" s="2">
        <f>E12/'Output-Calculation-sheet'!E11*'Output-Calculation-sheet'!E20</f>
        <v>4300.2268571543855</v>
      </c>
      <c r="F34" s="2">
        <f>F12/'Output-Calculation-sheet'!F11*'Output-Calculation-sheet'!F20</f>
        <v>4976.0076942363403</v>
      </c>
      <c r="G34" s="2">
        <f>G12/'Output-Calculation-sheet'!G11*'Output-Calculation-sheet'!G20</f>
        <v>2683.4347891216257</v>
      </c>
      <c r="H34" s="2">
        <f>H12/'Output-Calculation-sheet'!H11*'Output-Calculation-sheet'!H20</f>
        <v>0</v>
      </c>
      <c r="I34" s="2">
        <f>I12/'Output-Calculation-sheet'!I11*'Output-Calculation-sheet'!I20</f>
        <v>2921.441828221532</v>
      </c>
      <c r="J34" s="2">
        <f>J12/'Output-Calculation-sheet'!J11*'Output-Calculation-sheet'!J20</f>
        <v>2503.8381901090293</v>
      </c>
      <c r="K34" s="2">
        <f>K12/'Output-Calculation-sheet'!K11*'Output-Calculation-sheet'!K20</f>
        <v>3291.9837673779798</v>
      </c>
      <c r="L34" s="2">
        <f>L12/'Output-Calculation-sheet'!L11*'Output-Calculation-sheet'!L20</f>
        <v>2600.8723966584676</v>
      </c>
      <c r="M34" s="2">
        <f>M12/'Output-Calculation-sheet'!M11*'Output-Calculation-sheet'!M20</f>
        <v>0</v>
      </c>
      <c r="N34" s="2">
        <f>N12/'Output-Calculation-sheet'!N11*'Output-Calculation-sheet'!N20</f>
        <v>0.50181883115829073</v>
      </c>
      <c r="O34" s="2">
        <f>O12/'Output-Calculation-sheet'!O11*'Output-Calculation-sheet'!O20</f>
        <v>0</v>
      </c>
      <c r="P34" s="2">
        <f>P12/'Output-Calculation-sheet'!P11*'Output-Calculation-sheet'!P20</f>
        <v>819.40792712538928</v>
      </c>
      <c r="Q34" s="2">
        <f>Q12/'Output-Calculation-sheet'!Q11*'Output-Calculation-sheet'!Q20</f>
        <v>1275.8410455935095</v>
      </c>
      <c r="R34" s="2">
        <f>R12/'Output-Calculation-sheet'!R11*'Output-Calculation-sheet'!R20</f>
        <v>2585.0902217648304</v>
      </c>
      <c r="S34" s="2">
        <f>S12/'Output-Calculation-sheet'!S11*'Output-Calculation-sheet'!S20</f>
        <v>5.3246760843912382</v>
      </c>
      <c r="T34" s="2">
        <f>T12/'Output-Calculation-sheet'!T11*'Output-Calculation-sheet'!T20</f>
        <v>807.83001065696033</v>
      </c>
      <c r="U34" s="2">
        <f>U12/'Output-Calculation-sheet'!U11*'Output-Calculation-sheet'!U20</f>
        <v>738.55265556865584</v>
      </c>
      <c r="V34" s="2">
        <f>V12/'Output-Calculation-sheet'!V11*'Output-Calculation-sheet'!V20</f>
        <v>676.61028876116984</v>
      </c>
      <c r="W34" s="2">
        <f>W12/'Output-Calculation-sheet'!W11*'Output-Calculation-sheet'!W20</f>
        <v>437.14886886193011</v>
      </c>
      <c r="X34" s="2">
        <f>X12/'Output-Calculation-sheet'!X11*'Output-Calculation-sheet'!X20</f>
        <v>0</v>
      </c>
      <c r="Y34" s="2">
        <f>Y12/'Output-Calculation-sheet'!Y11*'Output-Calculation-sheet'!Y20</f>
        <v>108.83468063086501</v>
      </c>
      <c r="AA34" s="2">
        <f t="shared" si="1"/>
        <v>38.182167029974998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0.10862544814707019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0.10888616976837921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1.5870582557692553E-2</v>
      </c>
      <c r="I45" s="2">
        <f>I12/'Output-Calculation-sheet'!I11*'Output-Calculation-sheet'!I38*0.0114</f>
        <v>5.8941289716204465E-2</v>
      </c>
      <c r="J45" s="2">
        <f>J12/'Output-Calculation-sheet'!J11*'Output-Calculation-sheet'!J38*0.0114</f>
        <v>4.3749264224037472E-2</v>
      </c>
      <c r="K45" s="2">
        <f>K12/'Output-Calculation-sheet'!K11*'Output-Calculation-sheet'!K38*0.0114</f>
        <v>7.2412382121699301E-2</v>
      </c>
      <c r="L45" s="2">
        <f>L12/'Output-Calculation-sheet'!L11*'Output-Calculation-sheet'!L38*0.0114</f>
        <v>4.6063194192308414E-2</v>
      </c>
      <c r="M45" s="2">
        <f>M12/'Output-Calculation-sheet'!M11*'Output-Calculation-sheet'!M38*0.0114</f>
        <v>1.0920505317217071E-2</v>
      </c>
      <c r="N45" s="2">
        <f>N12/'Output-Calculation-sheet'!N11*'Output-Calculation-sheet'!N38*0.0114</f>
        <v>1.073308569456757E-2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9.9154859044116288E-3</v>
      </c>
      <c r="Q45" s="2">
        <f>Q12/'Output-Calculation-sheet'!Q11*'Output-Calculation-sheet'!Q38*0.0114</f>
        <v>7.5230610957709762E-2</v>
      </c>
      <c r="R45" s="2">
        <f>R12/'Output-Calculation-sheet'!R11*'Output-Calculation-sheet'!R38*0.0114</f>
        <v>3.7302664920458591E-2</v>
      </c>
      <c r="S45" s="2">
        <f>S12/'Output-Calculation-sheet'!S11*'Output-Calculation-sheet'!S38*0.0114</f>
        <v>6.1525752444820721E-3</v>
      </c>
      <c r="T45" s="2">
        <f>T12/'Output-Calculation-sheet'!T11*'Output-Calculation-sheet'!T38*0.0114</f>
        <v>1.0350435597737049E-2</v>
      </c>
      <c r="U45" s="2">
        <f>U12/'Output-Calculation-sheet'!U11*'Output-Calculation-sheet'!U38*0.0114</f>
        <v>1.5001930185002734E-2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3.4682849599332677E-3</v>
      </c>
      <c r="AA45" s="2">
        <f t="shared" si="2"/>
        <v>1.0214102336639561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0.16300083131431631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197.97928803429161</v>
      </c>
      <c r="R54" s="2">
        <f>R10/'Output-Calculation-sheet'!R9*'Output-Calculation-sheet'!R45</f>
        <v>1482.068315422576</v>
      </c>
      <c r="S54" s="2">
        <f>S10/'Output-Calculation-sheet'!S9*'Output-Calculation-sheet'!S45</f>
        <v>0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18.472929731693505</v>
      </c>
      <c r="AA54" s="2">
        <f t="shared" si="3"/>
        <v>4.8767805349592352</v>
      </c>
    </row>
    <row r="55" spans="1:27" x14ac:dyDescent="0.25">
      <c r="A55" s="2">
        <v>2034</v>
      </c>
      <c r="B55" s="2">
        <f>B11/'Output-Calculation-sheet'!B10*'Output-Calculation-sheet'!B46</f>
        <v>1634.4351701280007</v>
      </c>
      <c r="C55" s="2">
        <f>C11/'Output-Calculation-sheet'!C10*'Output-Calculation-sheet'!C46</f>
        <v>0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557.19315383368075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3432.8229938877425</v>
      </c>
      <c r="L55" s="2">
        <f>L11/'Output-Calculation-sheet'!L10*'Output-Calculation-sheet'!L46</f>
        <v>1269.5114144787153</v>
      </c>
      <c r="M55" s="2">
        <f>M11/'Output-Calculation-sheet'!M10*'Output-Calculation-sheet'!M46</f>
        <v>412.97992738512721</v>
      </c>
      <c r="N55" s="2">
        <f>N11/'Output-Calculation-sheet'!N10*'Output-Calculation-sheet'!N46</f>
        <v>141.03949725467999</v>
      </c>
      <c r="O55" s="2">
        <f>O11/'Output-Calculation-sheet'!O10*'Output-Calculation-sheet'!O46</f>
        <v>0</v>
      </c>
      <c r="P55" s="2">
        <f>P11/'Output-Calculation-sheet'!P10*'Output-Calculation-sheet'!P46</f>
        <v>3067.4198917868157</v>
      </c>
      <c r="Q55" s="2">
        <f>Q11/'Output-Calculation-sheet'!Q10*'Output-Calculation-sheet'!Q46</f>
        <v>657.47953392679528</v>
      </c>
      <c r="R55" s="2">
        <f>R11/'Output-Calculation-sheet'!R10*'Output-Calculation-sheet'!R46</f>
        <v>3802.6405622280226</v>
      </c>
      <c r="S55" s="2">
        <f>S11/'Output-Calculation-sheet'!S10*'Output-Calculation-sheet'!S46</f>
        <v>0</v>
      </c>
      <c r="T55" s="2">
        <f>T11/'Output-Calculation-sheet'!T10*'Output-Calculation-sheet'!T46</f>
        <v>861.05839927888769</v>
      </c>
      <c r="U55" s="2">
        <f>U11/'Output-Calculation-sheet'!U10*'Output-Calculation-sheet'!U46</f>
        <v>1443.7490547253733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39.416340275535816</v>
      </c>
      <c r="Y55" s="2">
        <f>Y11/'Output-Calculation-sheet'!Y10*'Output-Calculation-sheet'!Y46</f>
        <v>274.14848411103952</v>
      </c>
      <c r="AA55" s="2">
        <f t="shared" si="3"/>
        <v>41.038779354597303</v>
      </c>
    </row>
    <row r="56" spans="1:27" x14ac:dyDescent="0.25">
      <c r="A56" s="2">
        <v>2035</v>
      </c>
      <c r="B56" s="2">
        <f>B12/'Output-Calculation-sheet'!B11*'Output-Calculation-sheet'!B47</f>
        <v>390.67047140612965</v>
      </c>
      <c r="C56" s="2">
        <f>C12/'Output-Calculation-sheet'!C11*'Output-Calculation-sheet'!C47</f>
        <v>307.52792343730306</v>
      </c>
      <c r="D56" s="2">
        <f>D12/'Output-Calculation-sheet'!D11*'Output-Calculation-sheet'!D47</f>
        <v>7106.8693105830735</v>
      </c>
      <c r="E56" s="2">
        <f>E12/'Output-Calculation-sheet'!E11*'Output-Calculation-sheet'!E47</f>
        <v>8656.7688771995054</v>
      </c>
      <c r="F56" s="2">
        <f>F12/'Output-Calculation-sheet'!F11*'Output-Calculation-sheet'!F47</f>
        <v>2256.6991886628061</v>
      </c>
      <c r="G56" s="2">
        <f>G12/'Output-Calculation-sheet'!G11*'Output-Calculation-sheet'!G47</f>
        <v>5570.1543442173515</v>
      </c>
      <c r="H56" s="2">
        <f>H12/'Output-Calculation-sheet'!H11*'Output-Calculation-sheet'!H47</f>
        <v>115.54897827091945</v>
      </c>
      <c r="I56" s="2">
        <f>I12/'Output-Calculation-sheet'!I11*'Output-Calculation-sheet'!I47</f>
        <v>2781.6152515191229</v>
      </c>
      <c r="J56" s="2">
        <f>J12/'Output-Calculation-sheet'!J11*'Output-Calculation-sheet'!J47</f>
        <v>2539.248230547204</v>
      </c>
      <c r="K56" s="2">
        <f>K12/'Output-Calculation-sheet'!K11*'Output-Calculation-sheet'!K47</f>
        <v>3619.3487134161633</v>
      </c>
      <c r="L56" s="2">
        <f>L12/'Output-Calculation-sheet'!L11*'Output-Calculation-sheet'!L47</f>
        <v>2011.2241148439923</v>
      </c>
      <c r="M56" s="2">
        <f>M12/'Output-Calculation-sheet'!M11*'Output-Calculation-sheet'!M47</f>
        <v>80.466881284757363</v>
      </c>
      <c r="N56" s="2">
        <f>N12/'Output-Calculation-sheet'!N11*'Output-Calculation-sheet'!N47</f>
        <v>74.378400865862986</v>
      </c>
      <c r="O56" s="2">
        <f>O12/'Output-Calculation-sheet'!O11*'Output-Calculation-sheet'!O47</f>
        <v>10.543082144834642</v>
      </c>
      <c r="P56" s="2">
        <f>P12/'Output-Calculation-sheet'!P11*'Output-Calculation-sheet'!P47</f>
        <v>1065.4798449916004</v>
      </c>
      <c r="Q56" s="2">
        <f>Q12/'Output-Calculation-sheet'!Q11*'Output-Calculation-sheet'!Q47</f>
        <v>948.63160747112079</v>
      </c>
      <c r="R56" s="2">
        <f>R12/'Output-Calculation-sheet'!R11*'Output-Calculation-sheet'!R47</f>
        <v>4287.3523431606027</v>
      </c>
      <c r="S56" s="2">
        <f>S12/'Output-Calculation-sheet'!S11*'Output-Calculation-sheet'!S47</f>
        <v>34.001073719506188</v>
      </c>
      <c r="T56" s="2">
        <f>T12/'Output-Calculation-sheet'!T11*'Output-Calculation-sheet'!T47</f>
        <v>1511.1030684064644</v>
      </c>
      <c r="U56" s="2">
        <f>U12/'Output-Calculation-sheet'!U11*'Output-Calculation-sheet'!U47</f>
        <v>1442.0276400636837</v>
      </c>
      <c r="V56" s="2">
        <f>V12/'Output-Calculation-sheet'!V11*'Output-Calculation-sheet'!V47</f>
        <v>1006.6014329594864</v>
      </c>
      <c r="W56" s="2">
        <f>W12/'Output-Calculation-sheet'!W11*'Output-Calculation-sheet'!W47</f>
        <v>585.37489550076964</v>
      </c>
      <c r="X56" s="2">
        <f>X12/'Output-Calculation-sheet'!X11*'Output-Calculation-sheet'!X47</f>
        <v>9.0375600496449948</v>
      </c>
      <c r="Y56" s="2">
        <f>Y12/'Output-Calculation-sheet'!Y11*'Output-Calculation-sheet'!Y47</f>
        <v>234.05852887502871</v>
      </c>
      <c r="AA56" s="2">
        <f t="shared" si="3"/>
        <v>46.64473176359693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8.3447332669216703</v>
      </c>
      <c r="C63" s="2">
        <f>C8*'Output-Calculation-sheet'!C52/10^9</f>
        <v>3.9319119385909147</v>
      </c>
      <c r="D63" s="2">
        <f>D8*'Output-Calculation-sheet'!D52/10^9</f>
        <v>1.9538412721928069</v>
      </c>
      <c r="E63" s="2">
        <f>E8*'Output-Calculation-sheet'!E52/10^9</f>
        <v>2.2352805390538162</v>
      </c>
      <c r="F63" s="2">
        <f>F8*'Output-Calculation-sheet'!F52/10^9</f>
        <v>1.0448500526075715</v>
      </c>
      <c r="G63" s="2">
        <f>G8*'Output-Calculation-sheet'!G52/10^9</f>
        <v>0.79697576184146923</v>
      </c>
      <c r="H63" s="2">
        <f>H8*'Output-Calculation-sheet'!H52/10^9</f>
        <v>1.0844774687156795</v>
      </c>
      <c r="I63" s="2">
        <f>I8*'Output-Calculation-sheet'!I52/10^9</f>
        <v>0.62955789170304999</v>
      </c>
      <c r="J63" s="2">
        <f>J8*'Output-Calculation-sheet'!J52/10^9</f>
        <v>0.88998572568459855</v>
      </c>
      <c r="K63" s="2">
        <f>K8*'Output-Calculation-sheet'!K52/10^9</f>
        <v>0.58423192919175293</v>
      </c>
      <c r="L63" s="2">
        <f>L8*'Output-Calculation-sheet'!L52/10^9</f>
        <v>0.69170666507519607</v>
      </c>
      <c r="M63" s="2">
        <f>M8*'Output-Calculation-sheet'!M52/10^9</f>
        <v>0.79640649178304024</v>
      </c>
      <c r="N63" s="2">
        <f>N8*'Output-Calculation-sheet'!N52/10^9</f>
        <v>0.68868700514060133</v>
      </c>
      <c r="O63" s="2">
        <f>O8*'Output-Calculation-sheet'!O52/10^9</f>
        <v>0.70414084122762544</v>
      </c>
      <c r="P63" s="2">
        <f>P8*'Output-Calculation-sheet'!P52/10^9</f>
        <v>0.59417393703924448</v>
      </c>
      <c r="Q63" s="2">
        <f>Q8*'Output-Calculation-sheet'!Q52/10^9</f>
        <v>0.55423502267748015</v>
      </c>
      <c r="R63" s="2">
        <f>R8*'Output-Calculation-sheet'!R52/10^9</f>
        <v>0.50200750965363894</v>
      </c>
      <c r="S63" s="2">
        <f>S8*'Output-Calculation-sheet'!S52/10^9</f>
        <v>0.42593470003528933</v>
      </c>
      <c r="T63" s="2">
        <f>T8*'Output-Calculation-sheet'!T52/10^9</f>
        <v>0.20389568766098556</v>
      </c>
      <c r="U63" s="2">
        <f>U8*'Output-Calculation-sheet'!U52/10^9</f>
        <v>0.15900798783223324</v>
      </c>
      <c r="V63" s="2">
        <f>V8*'Output-Calculation-sheet'!V52/10^9</f>
        <v>0.26326979633604308</v>
      </c>
      <c r="W63" s="2">
        <f>W8*'Output-Calculation-sheet'!W52/10^9</f>
        <v>0.11047996961610931</v>
      </c>
      <c r="X63" s="2">
        <f>X8*'Output-Calculation-sheet'!X52/10^9</f>
        <v>0.10355685345109959</v>
      </c>
      <c r="Y63" s="2">
        <f>Y8*'Output-Calculation-sheet'!Y52/10^9</f>
        <v>6.3798075565926579E-2</v>
      </c>
      <c r="AA63" s="2">
        <f t="shared" si="4"/>
        <v>27.357146389597844</v>
      </c>
    </row>
    <row r="64" spans="1:27" x14ac:dyDescent="0.25">
      <c r="A64" s="2">
        <v>2032</v>
      </c>
      <c r="B64" s="2">
        <f>B9*'Output-Calculation-sheet'!B53/10^9</f>
        <v>8.5541706868595124</v>
      </c>
      <c r="C64" s="2">
        <f>C9*'Output-Calculation-sheet'!C53/10^9</f>
        <v>4.1120060778554901</v>
      </c>
      <c r="D64" s="2">
        <f>D9*'Output-Calculation-sheet'!D53/10^9</f>
        <v>1.7976580909599587</v>
      </c>
      <c r="E64" s="2">
        <f>E9*'Output-Calculation-sheet'!E53/10^9</f>
        <v>2.0989760523681351</v>
      </c>
      <c r="F64" s="2">
        <f>F9*'Output-Calculation-sheet'!F53/10^9</f>
        <v>0.96318469194026024</v>
      </c>
      <c r="G64" s="2">
        <f>G9*'Output-Calculation-sheet'!G53/10^9</f>
        <v>0.72119287143342625</v>
      </c>
      <c r="H64" s="2">
        <f>H9*'Output-Calculation-sheet'!H53/10^9</f>
        <v>1.162549609832767</v>
      </c>
      <c r="I64" s="2">
        <f>I9*'Output-Calculation-sheet'!I53/10^9</f>
        <v>0.58483794925458643</v>
      </c>
      <c r="J64" s="2">
        <f>J9*'Output-Calculation-sheet'!J53/10^9</f>
        <v>0.78497727015762386</v>
      </c>
      <c r="K64" s="2">
        <f>K9*'Output-Calculation-sheet'!K53/10^9</f>
        <v>0.57948883842117627</v>
      </c>
      <c r="L64" s="2">
        <f>L9*'Output-Calculation-sheet'!L53/10^9</f>
        <v>0.65057536097274782</v>
      </c>
      <c r="M64" s="2">
        <f>M9*'Output-Calculation-sheet'!M53/10^9</f>
        <v>0.84107520559595195</v>
      </c>
      <c r="N64" s="2">
        <f>N9*'Output-Calculation-sheet'!N53/10^9</f>
        <v>0.75155014430665723</v>
      </c>
      <c r="O64" s="2">
        <f>O9*'Output-Calculation-sheet'!O53/10^9</f>
        <v>0.75120244830409033</v>
      </c>
      <c r="P64" s="2">
        <f>P9*'Output-Calculation-sheet'!P53/10^9</f>
        <v>0.61834831837940729</v>
      </c>
      <c r="Q64" s="2">
        <f>Q9*'Output-Calculation-sheet'!Q53/10^9</f>
        <v>0.58651863188805398</v>
      </c>
      <c r="R64" s="2">
        <f>R9*'Output-Calculation-sheet'!R53/10^9</f>
        <v>0.49896269236311896</v>
      </c>
      <c r="S64" s="2">
        <f>S9*'Output-Calculation-sheet'!S53/10^9</f>
        <v>0.4549037332097513</v>
      </c>
      <c r="T64" s="2">
        <f>T9*'Output-Calculation-sheet'!T53/10^9</f>
        <v>0.18652171880355639</v>
      </c>
      <c r="U64" s="2">
        <f>U9*'Output-Calculation-sheet'!U53/10^9</f>
        <v>0.1589155130016591</v>
      </c>
      <c r="V64" s="2">
        <f>V9*'Output-Calculation-sheet'!V53/10^9</f>
        <v>0.23161370683211915</v>
      </c>
      <c r="W64" s="2">
        <f>W9*'Output-Calculation-sheet'!W53/10^9</f>
        <v>9.8721473857119588E-2</v>
      </c>
      <c r="X64" s="2">
        <f>X9*'Output-Calculation-sheet'!X53/10^9</f>
        <v>0.10559363133397545</v>
      </c>
      <c r="Y64" s="2">
        <f>Y9*'Output-Calculation-sheet'!Y53/10^9</f>
        <v>6.2792383167034602E-2</v>
      </c>
      <c r="AA64" s="2">
        <f t="shared" si="4"/>
        <v>27.35633710109818</v>
      </c>
    </row>
    <row r="65" spans="1:27" x14ac:dyDescent="0.25">
      <c r="A65" s="2">
        <v>2033</v>
      </c>
      <c r="B65" s="2">
        <f>B10*'Output-Calculation-sheet'!B54/10^9</f>
        <v>8.2709571608955113</v>
      </c>
      <c r="C65" s="2">
        <f>C10*'Output-Calculation-sheet'!C54/10^9</f>
        <v>3.9944267424043711</v>
      </c>
      <c r="D65" s="2">
        <f>D10*'Output-Calculation-sheet'!D54/10^9</f>
        <v>1.5148797277228703</v>
      </c>
      <c r="E65" s="2">
        <f>E10*'Output-Calculation-sheet'!E54/10^9</f>
        <v>1.9292193871479113</v>
      </c>
      <c r="F65" s="2">
        <f>F10*'Output-Calculation-sheet'!F54/10^9</f>
        <v>0.82900127140220736</v>
      </c>
      <c r="G65" s="2">
        <f>G10*'Output-Calculation-sheet'!G54/10^9</f>
        <v>0.59020875415850471</v>
      </c>
      <c r="H65" s="2">
        <f>H10*'Output-Calculation-sheet'!H54/10^9</f>
        <v>1.169841776761896</v>
      </c>
      <c r="I65" s="2">
        <f>I10*'Output-Calculation-sheet'!I54/10^9</f>
        <v>0.51748988500892146</v>
      </c>
      <c r="J65" s="2">
        <f>J10*'Output-Calculation-sheet'!J54/10^9</f>
        <v>0.6122719441691955</v>
      </c>
      <c r="K65" s="2">
        <f>K10*'Output-Calculation-sheet'!K54/10^9</f>
        <v>0.57297447767961984</v>
      </c>
      <c r="L65" s="2">
        <f>L10*'Output-Calculation-sheet'!L54/10^9</f>
        <v>0.59088375675831895</v>
      </c>
      <c r="M65" s="2">
        <f>M10*'Output-Calculation-sheet'!M54/10^9</f>
        <v>0.83248266849827601</v>
      </c>
      <c r="N65" s="2">
        <f>N10*'Output-Calculation-sheet'!N54/10^9</f>
        <v>0.76367979273801634</v>
      </c>
      <c r="O65" s="2">
        <f>O10*'Output-Calculation-sheet'!O54/10^9</f>
        <v>0.74590206978786422</v>
      </c>
      <c r="P65" s="2">
        <f>P10*'Output-Calculation-sheet'!P54/10^9</f>
        <v>0.61984020341003498</v>
      </c>
      <c r="Q65" s="2">
        <f>Q10*'Output-Calculation-sheet'!Q54/10^9</f>
        <v>0.61038576398250988</v>
      </c>
      <c r="R65" s="2">
        <f>R10*'Output-Calculation-sheet'!R54/10^9</f>
        <v>0.48489100802532226</v>
      </c>
      <c r="S65" s="2">
        <f>S10*'Output-Calculation-sheet'!S54/10^9</f>
        <v>0.45256845271412766</v>
      </c>
      <c r="T65" s="2">
        <f>T10*'Output-Calculation-sheet'!T54/10^9</f>
        <v>0.16420670864983117</v>
      </c>
      <c r="U65" s="2">
        <f>U10*'Output-Calculation-sheet'!U54/10^9</f>
        <v>0.1577082266472109</v>
      </c>
      <c r="V65" s="2">
        <f>V10*'Output-Calculation-sheet'!V54/10^9</f>
        <v>0.18582100277647784</v>
      </c>
      <c r="W65" s="2">
        <f>W10*'Output-Calculation-sheet'!W54/10^9</f>
        <v>7.9414713584080254E-2</v>
      </c>
      <c r="X65" s="2">
        <f>X10*'Output-Calculation-sheet'!X54/10^9</f>
        <v>9.9448594780264812E-2</v>
      </c>
      <c r="Y65" s="2">
        <f>Y10*'Output-Calculation-sheet'!Y54/10^9</f>
        <v>6.1611212305450365E-2</v>
      </c>
      <c r="AA65" s="2">
        <f t="shared" si="4"/>
        <v>25.850115302008799</v>
      </c>
    </row>
    <row r="66" spans="1:27" x14ac:dyDescent="0.25">
      <c r="A66" s="2">
        <v>2034</v>
      </c>
      <c r="B66" s="2">
        <f>B11*'Output-Calculation-sheet'!B55/10^9</f>
        <v>7.5525544787760177</v>
      </c>
      <c r="C66" s="2">
        <f>C11*'Output-Calculation-sheet'!C55/10^9</f>
        <v>3.6679990115068244</v>
      </c>
      <c r="D66" s="2">
        <f>D11*'Output-Calculation-sheet'!D55/10^9</f>
        <v>1.4749576577990189</v>
      </c>
      <c r="E66" s="2">
        <f>E11*'Output-Calculation-sheet'!E55/10^9</f>
        <v>1.9103644020928912</v>
      </c>
      <c r="F66" s="2">
        <f>F11*'Output-Calculation-sheet'!F55/10^9</f>
        <v>0.75187576853141769</v>
      </c>
      <c r="G66" s="2">
        <f>G11*'Output-Calculation-sheet'!G55/10^9</f>
        <v>0.54846019899282228</v>
      </c>
      <c r="H66" s="2">
        <f>H11*'Output-Calculation-sheet'!H55/10^9</f>
        <v>1.1026079123357273</v>
      </c>
      <c r="I66" s="2">
        <f>I11*'Output-Calculation-sheet'!I55/10^9</f>
        <v>0.50985909021331377</v>
      </c>
      <c r="J66" s="2">
        <f>J11*'Output-Calculation-sheet'!J55/10^9</f>
        <v>0.51332934586134393</v>
      </c>
      <c r="K66" s="2">
        <f>K11*'Output-Calculation-sheet'!K55/10^9</f>
        <v>0.5845090023061591</v>
      </c>
      <c r="L66" s="2">
        <f>L11*'Output-Calculation-sheet'!L55/10^9</f>
        <v>0.56666217442751965</v>
      </c>
      <c r="M66" s="2">
        <f>M11*'Output-Calculation-sheet'!M55/10^9</f>
        <v>0.77306522449505166</v>
      </c>
      <c r="N66" s="2">
        <f>N11*'Output-Calculation-sheet'!N55/10^9</f>
        <v>0.73279767340617163</v>
      </c>
      <c r="O66" s="2">
        <f>O11*'Output-Calculation-sheet'!O55/10^9</f>
        <v>0.69709437455467493</v>
      </c>
      <c r="P66" s="2">
        <f>P11*'Output-Calculation-sheet'!P55/10^9</f>
        <v>0.60591114776429966</v>
      </c>
      <c r="Q66" s="2">
        <f>Q11*'Output-Calculation-sheet'!Q55/10^9</f>
        <v>0.61010722774758008</v>
      </c>
      <c r="R66" s="2">
        <f>R11*'Output-Calculation-sheet'!R55/10^9</f>
        <v>0.46528681722550352</v>
      </c>
      <c r="S66" s="2">
        <f>S11*'Output-Calculation-sheet'!S55/10^9</f>
        <v>0.42558997114965724</v>
      </c>
      <c r="T66" s="2">
        <f>T11*'Output-Calculation-sheet'!T55/10^9</f>
        <v>0.14578989259460653</v>
      </c>
      <c r="U66" s="2">
        <f>U11*'Output-Calculation-sheet'!U55/10^9</f>
        <v>0.15867062793566736</v>
      </c>
      <c r="V66" s="2">
        <f>V11*'Output-Calculation-sheet'!V55/10^9</f>
        <v>0.13777515185069403</v>
      </c>
      <c r="W66" s="2">
        <f>W11*'Output-Calculation-sheet'!W55/10^9</f>
        <v>6.7500688295497685E-2</v>
      </c>
      <c r="X66" s="2">
        <f>X11*'Output-Calculation-sheet'!X55/10^9</f>
        <v>8.8434918735149443E-2</v>
      </c>
      <c r="Y66" s="2">
        <f>Y11*'Output-Calculation-sheet'!Y55/10^9</f>
        <v>6.4516714721933724E-2</v>
      </c>
      <c r="AA66" s="2">
        <f t="shared" si="4"/>
        <v>24.155719473319543</v>
      </c>
    </row>
    <row r="67" spans="1:27" x14ac:dyDescent="0.25">
      <c r="A67" s="2">
        <v>2035</v>
      </c>
      <c r="B67" s="2">
        <f>B12*'Output-Calculation-sheet'!B56/10^9</f>
        <v>6.7413300473102531</v>
      </c>
      <c r="C67" s="2">
        <f>C12*'Output-Calculation-sheet'!C56/10^9</f>
        <v>3.1533852517526006</v>
      </c>
      <c r="D67" s="2">
        <f>D12*'Output-Calculation-sheet'!D56/10^9</f>
        <v>1.5470049537150128</v>
      </c>
      <c r="E67" s="2">
        <f>E12*'Output-Calculation-sheet'!E56/10^9</f>
        <v>2.0783266273159238</v>
      </c>
      <c r="F67" s="2">
        <f>F12*'Output-Calculation-sheet'!F56/10^9</f>
        <v>0.83060666861582522</v>
      </c>
      <c r="G67" s="2">
        <f>G12*'Output-Calculation-sheet'!G56/10^9</f>
        <v>0.61196268184575719</v>
      </c>
      <c r="H67" s="2">
        <f>H12*'Output-Calculation-sheet'!H56/10^9</f>
        <v>0.99281903945505723</v>
      </c>
      <c r="I67" s="2">
        <f>I12*'Output-Calculation-sheet'!I56/10^9</f>
        <v>0.56076542379602901</v>
      </c>
      <c r="J67" s="2">
        <f>J12*'Output-Calculation-sheet'!J56/10^9</f>
        <v>0.51347523298963138</v>
      </c>
      <c r="K67" s="2">
        <f>K12*'Output-Calculation-sheet'!K56/10^9</f>
        <v>0.6150310762903668</v>
      </c>
      <c r="L67" s="2">
        <f>L12*'Output-Calculation-sheet'!L56/10^9</f>
        <v>0.57320983443866924</v>
      </c>
      <c r="M67" s="2">
        <f>M12*'Output-Calculation-sheet'!M56/10^9</f>
        <v>0.6885183664533211</v>
      </c>
      <c r="N67" s="2">
        <f>N12*'Output-Calculation-sheet'!N56/10^9</f>
        <v>0.67143912613583046</v>
      </c>
      <c r="O67" s="2">
        <f>O12*'Output-Calculation-sheet'!O56/10^9</f>
        <v>0.61239874692838747</v>
      </c>
      <c r="P67" s="2">
        <f>P12*'Output-Calculation-sheet'!P56/10^9</f>
        <v>0.59453433991696414</v>
      </c>
      <c r="Q67" s="2">
        <f>Q12*'Output-Calculation-sheet'!Q56/10^9</f>
        <v>0.5890113049731992</v>
      </c>
      <c r="R67" s="2">
        <f>R12*'Output-Calculation-sheet'!R56/10^9</f>
        <v>0.47353708681746898</v>
      </c>
      <c r="S67" s="2">
        <f>S12*'Output-Calculation-sheet'!S56/10^9</f>
        <v>0.38534557049827023</v>
      </c>
      <c r="T67" s="2">
        <f>T12*'Output-Calculation-sheet'!T56/10^9</f>
        <v>0.14736295516295622</v>
      </c>
      <c r="U67" s="2">
        <f>U12*'Output-Calculation-sheet'!U56/10^9</f>
        <v>0.15930683849948696</v>
      </c>
      <c r="V67" s="2">
        <f>V12*'Output-Calculation-sheet'!V56/10^9</f>
        <v>0.113649331763728</v>
      </c>
      <c r="W67" s="2">
        <f>W12*'Output-Calculation-sheet'!W56/10^9</f>
        <v>7.7144953384895368E-2</v>
      </c>
      <c r="X67" s="2">
        <f>X12*'Output-Calculation-sheet'!X56/10^9</f>
        <v>7.3838473176725775E-2</v>
      </c>
      <c r="Y67" s="2">
        <f>Y12*'Output-Calculation-sheet'!Y56/10^9</f>
        <v>6.8653963712134919E-2</v>
      </c>
      <c r="AA67" s="2">
        <f t="shared" si="4"/>
        <v>22.872657894948489</v>
      </c>
    </row>
    <row r="68" spans="1:27" x14ac:dyDescent="0.25">
      <c r="B68" s="2">
        <f>SUM(B60:B67)</f>
        <v>39.463745640762966</v>
      </c>
      <c r="C68" s="2">
        <f t="shared" ref="C68:Y68" si="5">SUM(C60:C67)</f>
        <v>18.859729022110201</v>
      </c>
      <c r="D68" s="2">
        <f t="shared" si="5"/>
        <v>8.2883417023896673</v>
      </c>
      <c r="E68" s="2">
        <f t="shared" si="5"/>
        <v>10.252167007978679</v>
      </c>
      <c r="F68" s="2">
        <f t="shared" si="5"/>
        <v>4.4195184530972815</v>
      </c>
      <c r="G68" s="2">
        <f t="shared" si="5"/>
        <v>3.2688002682719794</v>
      </c>
      <c r="H68" s="2">
        <f t="shared" si="5"/>
        <v>5.5122958071011272</v>
      </c>
      <c r="I68" s="2">
        <f t="shared" si="5"/>
        <v>2.8025102399759008</v>
      </c>
      <c r="J68" s="2">
        <f t="shared" si="5"/>
        <v>3.3140395188623928</v>
      </c>
      <c r="K68" s="2">
        <f t="shared" si="5"/>
        <v>2.9362353238890746</v>
      </c>
      <c r="L68" s="2">
        <f t="shared" si="5"/>
        <v>3.0730377916724514</v>
      </c>
      <c r="M68" s="2">
        <f t="shared" si="5"/>
        <v>3.9315479568256411</v>
      </c>
      <c r="N68" s="2">
        <f t="shared" si="5"/>
        <v>3.6081537417272771</v>
      </c>
      <c r="O68" s="2">
        <f t="shared" si="5"/>
        <v>3.5107384808026421</v>
      </c>
      <c r="P68" s="2">
        <f t="shared" si="5"/>
        <v>3.0328079465099509</v>
      </c>
      <c r="Q68" s="2">
        <f t="shared" si="5"/>
        <v>2.9502579512688234</v>
      </c>
      <c r="R68" s="2">
        <f t="shared" si="5"/>
        <v>2.4246851140850527</v>
      </c>
      <c r="S68" s="2">
        <f t="shared" si="5"/>
        <v>2.1443424276070955</v>
      </c>
      <c r="T68" s="2">
        <f t="shared" si="5"/>
        <v>0.84777696287193582</v>
      </c>
      <c r="U68" s="2">
        <f t="shared" si="5"/>
        <v>0.7936091939162575</v>
      </c>
      <c r="V68" s="2">
        <f t="shared" si="5"/>
        <v>0.93212898955906209</v>
      </c>
      <c r="W68" s="2">
        <f t="shared" si="5"/>
        <v>0.43326179873770221</v>
      </c>
      <c r="X68" s="2">
        <f t="shared" si="5"/>
        <v>0.470872471477215</v>
      </c>
      <c r="Y68" s="2">
        <f t="shared" si="5"/>
        <v>0.32137234947248017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59.706880667722849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5.9706880667722846E-2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527.6654407745209</v>
      </c>
      <c r="Q76" s="2">
        <f>Q10/'Output-Calculation-sheet'!Q9*'Output-Calculation-sheet'!Q63</f>
        <v>62.585821700440363</v>
      </c>
      <c r="R76" s="2">
        <f>R10/'Output-Calculation-sheet'!R9*'Output-Calculation-sheet'!R63</f>
        <v>400.92162979934704</v>
      </c>
      <c r="S76" s="2">
        <f>S10/'Output-Calculation-sheet'!S9*'Output-Calculation-sheet'!S63</f>
        <v>0</v>
      </c>
      <c r="T76" s="2">
        <f>T10/'Output-Calculation-sheet'!T9*'Output-Calculation-sheet'!T63</f>
        <v>26.385529620441496</v>
      </c>
      <c r="U76" s="2">
        <f>U10/'Output-Calculation-sheet'!U9*'Output-Calculation-sheet'!U63</f>
        <v>142.65993852651775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6.7665842338822184</v>
      </c>
      <c r="AA76" s="2">
        <f t="shared" si="6"/>
        <v>1.2777585806694027</v>
      </c>
    </row>
    <row r="77" spans="1:27" x14ac:dyDescent="0.25">
      <c r="A77" s="2">
        <v>2034</v>
      </c>
      <c r="B77" s="2">
        <f>B11/'Output-Calculation-sheet'!B10*'Output-Calculation-sheet'!B64</f>
        <v>492.95654354507252</v>
      </c>
      <c r="C77" s="2">
        <f>C11/'Output-Calculation-sheet'!C10*'Output-Calculation-sheet'!C64</f>
        <v>0</v>
      </c>
      <c r="D77" s="2">
        <f>D11/'Output-Calculation-sheet'!D10*'Output-Calculation-sheet'!D64</f>
        <v>1659.2830303508583</v>
      </c>
      <c r="E77" s="2">
        <f>E11/'Output-Calculation-sheet'!E10*'Output-Calculation-sheet'!E64</f>
        <v>2077.4198968451528</v>
      </c>
      <c r="F77" s="2">
        <f>F11/'Output-Calculation-sheet'!F10*'Output-Calculation-sheet'!F64</f>
        <v>148.45983787709011</v>
      </c>
      <c r="G77" s="2">
        <f>G11/'Output-Calculation-sheet'!G10*'Output-Calculation-sheet'!G64</f>
        <v>876.18296056651411</v>
      </c>
      <c r="H77" s="2">
        <f>H11/'Output-Calculation-sheet'!H10*'Output-Calculation-sheet'!H64</f>
        <v>136.42635574551744</v>
      </c>
      <c r="I77" s="2">
        <f>I11/'Output-Calculation-sheet'!I10*'Output-Calculation-sheet'!I64</f>
        <v>518.36161896244801</v>
      </c>
      <c r="J77" s="2">
        <f>J11/'Output-Calculation-sheet'!J10*'Output-Calculation-sheet'!J64</f>
        <v>362.95340821715752</v>
      </c>
      <c r="K77" s="2">
        <f>K11/'Output-Calculation-sheet'!K10*'Output-Calculation-sheet'!K64</f>
        <v>791.78360165579704</v>
      </c>
      <c r="L77" s="2">
        <f>L11/'Output-Calculation-sheet'!L10*'Output-Calculation-sheet'!L64</f>
        <v>327.83774975990161</v>
      </c>
      <c r="M77" s="2">
        <f>M11/'Output-Calculation-sheet'!M10*'Output-Calculation-sheet'!M64</f>
        <v>98.256359593465163</v>
      </c>
      <c r="N77" s="2">
        <f>N11/'Output-Calculation-sheet'!N10*'Output-Calculation-sheet'!N64</f>
        <v>32.496146149908441</v>
      </c>
      <c r="O77" s="2">
        <f>O11/'Output-Calculation-sheet'!O10*'Output-Calculation-sheet'!O64</f>
        <v>0</v>
      </c>
      <c r="P77" s="2">
        <f>P11/'Output-Calculation-sheet'!P10*'Output-Calculation-sheet'!P64</f>
        <v>669.12323540877503</v>
      </c>
      <c r="Q77" s="2">
        <f>Q11/'Output-Calculation-sheet'!Q10*'Output-Calculation-sheet'!Q64</f>
        <v>161.52583643035121</v>
      </c>
      <c r="R77" s="2">
        <f>R11/'Output-Calculation-sheet'!R10*'Output-Calculation-sheet'!R64</f>
        <v>831.82130863958287</v>
      </c>
      <c r="S77" s="2">
        <f>S11/'Output-Calculation-sheet'!S10*'Output-Calculation-sheet'!S64</f>
        <v>0</v>
      </c>
      <c r="T77" s="2">
        <f>T11/'Output-Calculation-sheet'!T10*'Output-Calculation-sheet'!T64</f>
        <v>230.68820457143534</v>
      </c>
      <c r="U77" s="2">
        <f>U11/'Output-Calculation-sheet'!U10*'Output-Calculation-sheet'!U64</f>
        <v>305.80934480372457</v>
      </c>
      <c r="V77" s="2">
        <f>V11/'Output-Calculation-sheet'!V10*'Output-Calculation-sheet'!V64</f>
        <v>119.4514865712862</v>
      </c>
      <c r="W77" s="2">
        <f>W11/'Output-Calculation-sheet'!W10*'Output-Calculation-sheet'!W64</f>
        <v>26.370948588395432</v>
      </c>
      <c r="X77" s="2">
        <f>X11/'Output-Calculation-sheet'!X10*'Output-Calculation-sheet'!X64</f>
        <v>9.795080730239782</v>
      </c>
      <c r="Y77" s="2">
        <f>Y11/'Output-Calculation-sheet'!Y10*'Output-Calculation-sheet'!Y64</f>
        <v>55.210188013565059</v>
      </c>
      <c r="AA77" s="2">
        <f t="shared" si="6"/>
        <v>9.9322131430262424</v>
      </c>
    </row>
    <row r="78" spans="1:27" x14ac:dyDescent="0.25">
      <c r="A78" s="2">
        <v>2035</v>
      </c>
      <c r="B78" s="2">
        <f>B12/'Output-Calculation-sheet'!B11*'Output-Calculation-sheet'!B65</f>
        <v>75.142130183139955</v>
      </c>
      <c r="C78" s="2">
        <f>C12/'Output-Calculation-sheet'!C11*'Output-Calculation-sheet'!C65</f>
        <v>54.848509638935461</v>
      </c>
      <c r="D78" s="2">
        <f>D12/'Output-Calculation-sheet'!D11*'Output-Calculation-sheet'!D65</f>
        <v>1580.9779620792019</v>
      </c>
      <c r="E78" s="2">
        <f>E12/'Output-Calculation-sheet'!E11*'Output-Calculation-sheet'!E65</f>
        <v>1413.2437856034212</v>
      </c>
      <c r="F78" s="2">
        <f>F12/'Output-Calculation-sheet'!F11*'Output-Calculation-sheet'!F65</f>
        <v>636.27903947675657</v>
      </c>
      <c r="G78" s="2">
        <f>G12/'Output-Calculation-sheet'!G11*'Output-Calculation-sheet'!G65</f>
        <v>1224.2095564756828</v>
      </c>
      <c r="H78" s="2">
        <f>H12/'Output-Calculation-sheet'!H11*'Output-Calculation-sheet'!H65</f>
        <v>21.508815834767535</v>
      </c>
      <c r="I78" s="2">
        <f>I12/'Output-Calculation-sheet'!I11*'Output-Calculation-sheet'!I65</f>
        <v>711.83886767674437</v>
      </c>
      <c r="J78" s="2">
        <f>J12/'Output-Calculation-sheet'!J11*'Output-Calculation-sheet'!J65</f>
        <v>639.61552217368001</v>
      </c>
      <c r="K78" s="2">
        <f>K12/'Output-Calculation-sheet'!K11*'Output-Calculation-sheet'!K65</f>
        <v>807.1490636938621</v>
      </c>
      <c r="L78" s="2">
        <f>L12/'Output-Calculation-sheet'!L11*'Output-Calculation-sheet'!L65</f>
        <v>478.43698273083908</v>
      </c>
      <c r="M78" s="2">
        <f>M12/'Output-Calculation-sheet'!M11*'Output-Calculation-sheet'!M65</f>
        <v>14.737892482928476</v>
      </c>
      <c r="N78" s="2">
        <f>N12/'Output-Calculation-sheet'!N11*'Output-Calculation-sheet'!N65</f>
        <v>12.615141686097443</v>
      </c>
      <c r="O78" s="2">
        <f>O12/'Output-Calculation-sheet'!O11*'Output-Calculation-sheet'!O65</f>
        <v>2.5118893210068536</v>
      </c>
      <c r="P78" s="2">
        <f>P12/'Output-Calculation-sheet'!P11*'Output-Calculation-sheet'!P65</f>
        <v>212.24010600446559</v>
      </c>
      <c r="Q78" s="2">
        <f>Q12/'Output-Calculation-sheet'!Q11*'Output-Calculation-sheet'!Q65</f>
        <v>202.09235317039773</v>
      </c>
      <c r="R78" s="2">
        <f>R12/'Output-Calculation-sheet'!R11*'Output-Calculation-sheet'!R65</f>
        <v>925.81205932181058</v>
      </c>
      <c r="S78" s="2">
        <f>S12/'Output-Calculation-sheet'!S11*'Output-Calculation-sheet'!S65</f>
        <v>5.6139550607984656</v>
      </c>
      <c r="T78" s="2">
        <f>T12/'Output-Calculation-sheet'!T11*'Output-Calculation-sheet'!T65</f>
        <v>332.11067423507376</v>
      </c>
      <c r="U78" s="2">
        <f>U12/'Output-Calculation-sheet'!U11*'Output-Calculation-sheet'!U65</f>
        <v>283.18406673308289</v>
      </c>
      <c r="V78" s="2">
        <f>V12/'Output-Calculation-sheet'!V11*'Output-Calculation-sheet'!V65</f>
        <v>178.76632617848608</v>
      </c>
      <c r="W78" s="2">
        <f>W12/'Output-Calculation-sheet'!W11*'Output-Calculation-sheet'!W65</f>
        <v>128.65383863625561</v>
      </c>
      <c r="X78" s="2">
        <f>X12/'Output-Calculation-sheet'!X11*'Output-Calculation-sheet'!X65</f>
        <v>1.881704072662131</v>
      </c>
      <c r="Y78" s="2">
        <f>Y12/'Output-Calculation-sheet'!Y11*'Output-Calculation-sheet'!Y65</f>
        <v>37.671760787172246</v>
      </c>
      <c r="AA78" s="2">
        <f t="shared" si="6"/>
        <v>9.9811420032572684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19.057096166152665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100.15317517732629</v>
      </c>
      <c r="E89" s="2">
        <f>E12/'Output-Calculation-sheet'!E11*'Output-Calculation-sheet'!E74</f>
        <v>70.043734938723475</v>
      </c>
      <c r="F89" s="2">
        <f>F12/'Output-Calculation-sheet'!F11*'Output-Calculation-sheet'!F74</f>
        <v>42.050295440921857</v>
      </c>
      <c r="G89" s="2">
        <f>G12/'Output-Calculation-sheet'!G11*'Output-Calculation-sheet'!G74</f>
        <v>37.364296426638582</v>
      </c>
      <c r="H89" s="2">
        <f>H12/'Output-Calculation-sheet'!H11*'Output-Calculation-sheet'!H74</f>
        <v>5.5686254588394917</v>
      </c>
      <c r="I89" s="2">
        <f>I12/'Output-Calculation-sheet'!I11*'Output-Calculation-sheet'!I74</f>
        <v>34.899447858278961</v>
      </c>
      <c r="J89" s="2">
        <f>J12/'Output-Calculation-sheet'!J11*'Output-Calculation-sheet'!J74</f>
        <v>20.467492034637413</v>
      </c>
      <c r="K89" s="2">
        <f>K12/'Output-Calculation-sheet'!K11*'Output-Calculation-sheet'!K74</f>
        <v>40.65256540165575</v>
      </c>
      <c r="L89" s="2">
        <f>L12/'Output-Calculation-sheet'!L11*'Output-Calculation-sheet'!L74</f>
        <v>27.274259719129979</v>
      </c>
      <c r="M89" s="2">
        <f>M12/'Output-Calculation-sheet'!M11*'Output-Calculation-sheet'!M74</f>
        <v>4.789695314568891</v>
      </c>
      <c r="N89" s="2">
        <f>N12/'Output-Calculation-sheet'!N11*'Output-Calculation-sheet'!N74</f>
        <v>3.7659949805500244</v>
      </c>
      <c r="O89" s="2">
        <f>O12/'Output-Calculation-sheet'!O11*'Output-Calculation-sheet'!O74</f>
        <v>1.7571803574724403</v>
      </c>
      <c r="P89" s="2">
        <f>P12/'Output-Calculation-sheet'!P11*'Output-Calculation-sheet'!P74</f>
        <v>4.3488973264963278</v>
      </c>
      <c r="Q89" s="2">
        <f>Q12/'Output-Calculation-sheet'!Q11*'Output-Calculation-sheet'!Q74</f>
        <v>44.544440698643932</v>
      </c>
      <c r="R89" s="2">
        <f>R12/'Output-Calculation-sheet'!R11*'Output-Calculation-sheet'!R74</f>
        <v>20.451022434461947</v>
      </c>
      <c r="S89" s="2">
        <f>S12/'Output-Calculation-sheet'!S11*'Output-Calculation-sheet'!S74</f>
        <v>1.6190987485479136</v>
      </c>
      <c r="T89" s="2">
        <f>T12/'Output-Calculation-sheet'!T11*'Output-Calculation-sheet'!T74</f>
        <v>4.8423090515728884</v>
      </c>
      <c r="U89" s="2">
        <f>U12/'Output-Calculation-sheet'!U11*'Output-Calculation-sheet'!U74</f>
        <v>8.9485197594753139</v>
      </c>
      <c r="V89" s="2">
        <f>V12/'Output-Calculation-sheet'!V11*'Output-Calculation-sheet'!V74</f>
        <v>1.2176630237413142</v>
      </c>
      <c r="W89" s="2">
        <f>W12/'Output-Calculation-sheet'!W11*'Output-Calculation-sheet'!W74</f>
        <v>3.1632387027961135</v>
      </c>
      <c r="X89" s="2">
        <f>X12/'Output-Calculation-sheet'!X11*'Output-Calculation-sheet'!X74</f>
        <v>0.21017581510802313</v>
      </c>
      <c r="Y89" s="2">
        <f>Y12/'Output-Calculation-sheet'!Y11*'Output-Calculation-sheet'!Y74</f>
        <v>2.2310605005418682</v>
      </c>
      <c r="AA89" s="2">
        <f t="shared" si="7"/>
        <v>0.50394275479859474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13847401060.92514</v>
      </c>
      <c r="C96" s="2">
        <f>C8/'Output-Calculation-sheet'!C7*'Output-Calculation-sheet'!C79</f>
        <v>4684647770.9154453</v>
      </c>
      <c r="D96" s="2">
        <f>D8/'Output-Calculation-sheet'!D7*'Output-Calculation-sheet'!D79</f>
        <v>4890438885.5767946</v>
      </c>
      <c r="E96" s="2">
        <f>E8/'Output-Calculation-sheet'!E7*'Output-Calculation-sheet'!E79</f>
        <v>8694797426.4129505</v>
      </c>
      <c r="F96" s="2">
        <f>F8/'Output-Calculation-sheet'!F7*'Output-Calculation-sheet'!F79</f>
        <v>3598690159.938787</v>
      </c>
      <c r="G96" s="2">
        <f>G8/'Output-Calculation-sheet'!G7*'Output-Calculation-sheet'!G79</f>
        <v>2803089840.5131016</v>
      </c>
      <c r="H96" s="2">
        <f>H8/'Output-Calculation-sheet'!H7*'Output-Calculation-sheet'!H79</f>
        <v>2399290024.19491</v>
      </c>
      <c r="I96" s="2">
        <f>I8/'Output-Calculation-sheet'!I7*'Output-Calculation-sheet'!I79</f>
        <v>1952645239.7070212</v>
      </c>
      <c r="J96" s="2">
        <f>J8/'Output-Calculation-sheet'!J7*'Output-Calculation-sheet'!J79</f>
        <v>1320425431.6278396</v>
      </c>
      <c r="K96" s="2">
        <f>K8/'Output-Calculation-sheet'!K7*'Output-Calculation-sheet'!K79</f>
        <v>1889137698.4773774</v>
      </c>
      <c r="L96" s="2">
        <f>L8/'Output-Calculation-sheet'!L7*'Output-Calculation-sheet'!L79</f>
        <v>1332977125.7350798</v>
      </c>
      <c r="M96" s="2">
        <f>M8/'Output-Calculation-sheet'!M7*'Output-Calculation-sheet'!M79</f>
        <v>1791021500.4146302</v>
      </c>
      <c r="N96" s="2">
        <f>N8/'Output-Calculation-sheet'!N7*'Output-Calculation-sheet'!N79</f>
        <v>1332660699.2966375</v>
      </c>
      <c r="O96" s="2">
        <f>O8/'Output-Calculation-sheet'!O7*'Output-Calculation-sheet'!O79</f>
        <v>673704451.64932001</v>
      </c>
      <c r="P96" s="2">
        <f>P8/'Output-Calculation-sheet'!P7*'Output-Calculation-sheet'!P79</f>
        <v>2253414712.4668479</v>
      </c>
      <c r="Q96" s="2">
        <f>Q8/'Output-Calculation-sheet'!Q7*'Output-Calculation-sheet'!Q79</f>
        <v>1050185876.4961545</v>
      </c>
      <c r="R96" s="2">
        <f>R8/'Output-Calculation-sheet'!R7*'Output-Calculation-sheet'!R79</f>
        <v>1310233951.2779191</v>
      </c>
      <c r="S96" s="2">
        <f>S8/'Output-Calculation-sheet'!S7*'Output-Calculation-sheet'!S79</f>
        <v>763450535.77320349</v>
      </c>
      <c r="T96" s="2">
        <f>T8/'Output-Calculation-sheet'!T7*'Output-Calculation-sheet'!T79</f>
        <v>583097737.43198264</v>
      </c>
      <c r="U96" s="2">
        <f>U8/'Output-Calculation-sheet'!U7*'Output-Calculation-sheet'!U79</f>
        <v>366287722.18826902</v>
      </c>
      <c r="V96" s="2">
        <f>V8/'Output-Calculation-sheet'!V7*'Output-Calculation-sheet'!V79</f>
        <v>190048317.32774886</v>
      </c>
      <c r="W96" s="2">
        <f>W8/'Output-Calculation-sheet'!W7*'Output-Calculation-sheet'!W79</f>
        <v>561581990.80183268</v>
      </c>
      <c r="X96" s="2">
        <f>X8/'Output-Calculation-sheet'!X7*'Output-Calculation-sheet'!X79</f>
        <v>197379083.54882321</v>
      </c>
      <c r="Y96" s="2">
        <f>Y8/'Output-Calculation-sheet'!Y7*'Output-Calculation-sheet'!Y79</f>
        <v>308698194.86362094</v>
      </c>
      <c r="AA96" s="2">
        <f t="shared" si="8"/>
        <v>58.795305437561439</v>
      </c>
    </row>
    <row r="97" spans="1:27" x14ac:dyDescent="0.25">
      <c r="A97" s="2">
        <v>2032</v>
      </c>
      <c r="B97" s="2">
        <f>B9/'Output-Calculation-sheet'!B8*'Output-Calculation-sheet'!B80</f>
        <v>18502773435.894947</v>
      </c>
      <c r="C97" s="2">
        <f>C9/'Output-Calculation-sheet'!C8*'Output-Calculation-sheet'!C80</f>
        <v>6302155545.2206192</v>
      </c>
      <c r="D97" s="2">
        <f>D9/'Output-Calculation-sheet'!D8*'Output-Calculation-sheet'!D80</f>
        <v>6279452998.6125851</v>
      </c>
      <c r="E97" s="2">
        <f>E9/'Output-Calculation-sheet'!E8*'Output-Calculation-sheet'!E80</f>
        <v>11484197198.111706</v>
      </c>
      <c r="F97" s="2">
        <f>F9/'Output-Calculation-sheet'!F8*'Output-Calculation-sheet'!F80</f>
        <v>4744121106.2419014</v>
      </c>
      <c r="G97" s="2">
        <f>G9/'Output-Calculation-sheet'!G8*'Output-Calculation-sheet'!G80</f>
        <v>3591047334.2388721</v>
      </c>
      <c r="H97" s="2">
        <f>H9/'Output-Calculation-sheet'!H8*'Output-Calculation-sheet'!H80</f>
        <v>3159399295.7991786</v>
      </c>
      <c r="I97" s="2">
        <f>I9/'Output-Calculation-sheet'!I8*'Output-Calculation-sheet'!I80</f>
        <v>2598890637.5698543</v>
      </c>
      <c r="J97" s="2">
        <f>J9/'Output-Calculation-sheet'!J8*'Output-Calculation-sheet'!J80</f>
        <v>1708525963.3248305</v>
      </c>
      <c r="K97" s="2">
        <f>K9/'Output-Calculation-sheet'!K8*'Output-Calculation-sheet'!K80</f>
        <v>2463201939.3176169</v>
      </c>
      <c r="L97" s="2">
        <f>L9/'Output-Calculation-sheet'!L8*'Output-Calculation-sheet'!L80</f>
        <v>1792808184.487138</v>
      </c>
      <c r="M97" s="2">
        <f>M9/'Output-Calculation-sheet'!M8*'Output-Calculation-sheet'!M80</f>
        <v>2365413979.7210226</v>
      </c>
      <c r="N97" s="2">
        <f>N9/'Output-Calculation-sheet'!N8*'Output-Calculation-sheet'!N80</f>
        <v>1728247867.0066273</v>
      </c>
      <c r="O97" s="2">
        <f>O9/'Output-Calculation-sheet'!O8*'Output-Calculation-sheet'!O80</f>
        <v>894081084.03283739</v>
      </c>
      <c r="P97" s="2">
        <f>P9/'Output-Calculation-sheet'!P8*'Output-Calculation-sheet'!P80</f>
        <v>2925284164.1631894</v>
      </c>
      <c r="Q97" s="2">
        <f>Q9/'Output-Calculation-sheet'!Q8*'Output-Calculation-sheet'!Q80</f>
        <v>1368333412.8105838</v>
      </c>
      <c r="R97" s="2">
        <f>R9/'Output-Calculation-sheet'!R8*'Output-Calculation-sheet'!R80</f>
        <v>1728889030.3046088</v>
      </c>
      <c r="S97" s="2">
        <f>S9/'Output-Calculation-sheet'!S8*'Output-Calculation-sheet'!S80</f>
        <v>1003439955.7707862</v>
      </c>
      <c r="T97" s="2">
        <f>T9/'Output-Calculation-sheet'!T8*'Output-Calculation-sheet'!T80</f>
        <v>755622080.79440081</v>
      </c>
      <c r="U97" s="2">
        <f>U9/'Output-Calculation-sheet'!U8*'Output-Calculation-sheet'!U80</f>
        <v>483064501.74734205</v>
      </c>
      <c r="V97" s="2">
        <f>V9/'Output-Calculation-sheet'!V8*'Output-Calculation-sheet'!V80</f>
        <v>253289108.19022676</v>
      </c>
      <c r="W97" s="2">
        <f>W9/'Output-Calculation-sheet'!W8*'Output-Calculation-sheet'!W80</f>
        <v>733536212.52804923</v>
      </c>
      <c r="X97" s="2">
        <f>X9/'Output-Calculation-sheet'!X8*'Output-Calculation-sheet'!X80</f>
        <v>263408891.16010258</v>
      </c>
      <c r="Y97" s="2">
        <f>Y9/'Output-Calculation-sheet'!Y8*'Output-Calculation-sheet'!Y80</f>
        <v>403197088.98150063</v>
      </c>
      <c r="AA97" s="2">
        <f t="shared" si="8"/>
        <v>77.532381016030513</v>
      </c>
    </row>
    <row r="98" spans="1:27" x14ac:dyDescent="0.25">
      <c r="A98" s="2">
        <v>2033</v>
      </c>
      <c r="B98" s="2">
        <f>B10/'Output-Calculation-sheet'!B9*'Output-Calculation-sheet'!B81</f>
        <v>22009373191.693596</v>
      </c>
      <c r="C98" s="2">
        <f>C10/'Output-Calculation-sheet'!C9*'Output-Calculation-sheet'!C81</f>
        <v>7545919044.7569904</v>
      </c>
      <c r="D98" s="2">
        <f>D10/'Output-Calculation-sheet'!D9*'Output-Calculation-sheet'!D81</f>
        <v>7181382769.6745968</v>
      </c>
      <c r="E98" s="2">
        <f>E10/'Output-Calculation-sheet'!E9*'Output-Calculation-sheet'!E81</f>
        <v>13508646798.321775</v>
      </c>
      <c r="F98" s="2">
        <f>F10/'Output-Calculation-sheet'!F9*'Output-Calculation-sheet'!F81</f>
        <v>5571292942.2281685</v>
      </c>
      <c r="G98" s="2">
        <f>G10/'Output-Calculation-sheet'!G9*'Output-Calculation-sheet'!G81</f>
        <v>4090619614.9540582</v>
      </c>
      <c r="H98" s="2">
        <f>H10/'Output-Calculation-sheet'!H9*'Output-Calculation-sheet'!H81</f>
        <v>3706142402.5263133</v>
      </c>
      <c r="I98" s="2">
        <f>I10/'Output-Calculation-sheet'!I9*'Output-Calculation-sheet'!I81</f>
        <v>3080886013.3161263</v>
      </c>
      <c r="J98" s="2">
        <f>J10/'Output-Calculation-sheet'!J9*'Output-Calculation-sheet'!J81</f>
        <v>1969990212.6272237</v>
      </c>
      <c r="K98" s="2">
        <f>K10/'Output-Calculation-sheet'!K9*'Output-Calculation-sheet'!K81</f>
        <v>2861493331.0919771</v>
      </c>
      <c r="L98" s="2">
        <f>L10/'Output-Calculation-sheet'!L9*'Output-Calculation-sheet'!L81</f>
        <v>2146167942.2699392</v>
      </c>
      <c r="M98" s="2">
        <f>M10/'Output-Calculation-sheet'!M9*'Output-Calculation-sheet'!M81</f>
        <v>2783153882.27772</v>
      </c>
      <c r="N98" s="2">
        <f>N10/'Output-Calculation-sheet'!N9*'Output-Calculation-sheet'!N81</f>
        <v>1996692043.9831083</v>
      </c>
      <c r="O98" s="2">
        <f>O10/'Output-Calculation-sheet'!O9*'Output-Calculation-sheet'!O81</f>
        <v>1057359692.2478359</v>
      </c>
      <c r="P98" s="2">
        <f>P10/'Output-Calculation-sheet'!P9*'Output-Calculation-sheet'!P81</f>
        <v>3379035642.1011968</v>
      </c>
      <c r="Q98" s="2">
        <f>Q10/'Output-Calculation-sheet'!Q9*'Output-Calculation-sheet'!Q81</f>
        <v>1588734037.8335814</v>
      </c>
      <c r="R98" s="2">
        <f>R10/'Output-Calculation-sheet'!R9*'Output-Calculation-sheet'!R81</f>
        <v>2032236842.3686857</v>
      </c>
      <c r="S98" s="2">
        <f>S10/'Output-Calculation-sheet'!S9*'Output-Calculation-sheet'!S81</f>
        <v>1174991223.3948131</v>
      </c>
      <c r="T98" s="2">
        <f>T10/'Output-Calculation-sheet'!T9*'Output-Calculation-sheet'!T81</f>
        <v>871888007.53996587</v>
      </c>
      <c r="U98" s="2">
        <f>U10/'Output-Calculation-sheet'!U9*'Output-Calculation-sheet'!U81</f>
        <v>567307760.18312478</v>
      </c>
      <c r="V98" s="2">
        <f>V10/'Output-Calculation-sheet'!V9*'Output-Calculation-sheet'!V81</f>
        <v>300454611.77562338</v>
      </c>
      <c r="W98" s="2">
        <f>W10/'Output-Calculation-sheet'!W9*'Output-Calculation-sheet'!W81</f>
        <v>851898898.3414923</v>
      </c>
      <c r="X98" s="2">
        <f>X10/'Output-Calculation-sheet'!X9*'Output-Calculation-sheet'!X81</f>
        <v>313045281.70466554</v>
      </c>
      <c r="Y98" s="2">
        <f>Y10/'Output-Calculation-sheet'!Y9*'Output-Calculation-sheet'!Y81</f>
        <v>468424694.51246959</v>
      </c>
      <c r="AA98" s="2">
        <f t="shared" si="8"/>
        <v>91.057136881725015</v>
      </c>
    </row>
    <row r="99" spans="1:27" x14ac:dyDescent="0.25">
      <c r="A99" s="2">
        <v>2034</v>
      </c>
      <c r="B99" s="2">
        <f>B11/'Output-Calculation-sheet'!B10*'Output-Calculation-sheet'!B82</f>
        <v>23849067813.377605</v>
      </c>
      <c r="C99" s="2">
        <f>C11/'Output-Calculation-sheet'!C10*'Output-Calculation-sheet'!C82</f>
        <v>8228923535.2354603</v>
      </c>
      <c r="D99" s="2">
        <f>D11/'Output-Calculation-sheet'!D10*'Output-Calculation-sheet'!D82</f>
        <v>7485968651.176321</v>
      </c>
      <c r="E99" s="2">
        <f>E11/'Output-Calculation-sheet'!E10*'Output-Calculation-sheet'!E82</f>
        <v>14480966870.144419</v>
      </c>
      <c r="F99" s="2">
        <f>F11/'Output-Calculation-sheet'!F10*'Output-Calculation-sheet'!F82</f>
        <v>5963968404.0980139</v>
      </c>
      <c r="G99" s="2">
        <f>G11/'Output-Calculation-sheet'!G10*'Output-Calculation-sheet'!G82</f>
        <v>4239963666.6406045</v>
      </c>
      <c r="H99" s="2">
        <f>H11/'Output-Calculation-sheet'!H10*'Output-Calculation-sheet'!H82</f>
        <v>3963021978.8180985</v>
      </c>
      <c r="I99" s="2">
        <f>I11/'Output-Calculation-sheet'!I10*'Output-Calculation-sheet'!I82</f>
        <v>3328650975.5643888</v>
      </c>
      <c r="J99" s="2">
        <f>J11/'Output-Calculation-sheet'!J10*'Output-Calculation-sheet'!J82</f>
        <v>2071412082.5430477</v>
      </c>
      <c r="K99" s="2">
        <f>K11/'Output-Calculation-sheet'!K10*'Output-Calculation-sheet'!K82</f>
        <v>3030751240.0272589</v>
      </c>
      <c r="L99" s="2">
        <f>L11/'Output-Calculation-sheet'!L10*'Output-Calculation-sheet'!L82</f>
        <v>2339965980.5002999</v>
      </c>
      <c r="M99" s="2">
        <f>M11/'Output-Calculation-sheet'!M10*'Output-Calculation-sheet'!M82</f>
        <v>2985268674.8835821</v>
      </c>
      <c r="N99" s="2">
        <f>N11/'Output-Calculation-sheet'!N10*'Output-Calculation-sheet'!N82</f>
        <v>2103120691.3683047</v>
      </c>
      <c r="O99" s="2">
        <f>O11/'Output-Calculation-sheet'!O10*'Output-Calculation-sheet'!O82</f>
        <v>1140205989.5015779</v>
      </c>
      <c r="P99" s="2">
        <f>P11/'Output-Calculation-sheet'!P10*'Output-Calculation-sheet'!P82</f>
        <v>3554302181.316041</v>
      </c>
      <c r="Q99" s="2">
        <f>Q11/'Output-Calculation-sheet'!Q10*'Output-Calculation-sheet'!Q82</f>
        <v>1682115637.5410953</v>
      </c>
      <c r="R99" s="2">
        <f>R11/'Output-Calculation-sheet'!R10*'Output-Calculation-sheet'!R82</f>
        <v>2177494886.4143844</v>
      </c>
      <c r="S99" s="2">
        <f>S11/'Output-Calculation-sheet'!S10*'Output-Calculation-sheet'!S82</f>
        <v>1254294890.6937904</v>
      </c>
      <c r="T99" s="2">
        <f>T11/'Output-Calculation-sheet'!T10*'Output-Calculation-sheet'!T82</f>
        <v>916739598.9579798</v>
      </c>
      <c r="U99" s="2">
        <f>U11/'Output-Calculation-sheet'!U10*'Output-Calculation-sheet'!U82</f>
        <v>607084589.23024714</v>
      </c>
      <c r="V99" s="2">
        <f>V11/'Output-Calculation-sheet'!V10*'Output-Calculation-sheet'!V82</f>
        <v>324598902.98766357</v>
      </c>
      <c r="W99" s="2">
        <f>W11/'Output-Calculation-sheet'!W10*'Output-Calculation-sheet'!W82</f>
        <v>900131459.86736119</v>
      </c>
      <c r="X99" s="2">
        <f>X11/'Output-Calculation-sheet'!X10*'Output-Calculation-sheet'!X82</f>
        <v>339012612.23196644</v>
      </c>
      <c r="Y99" s="2">
        <f>Y11/'Output-Calculation-sheet'!Y10*'Output-Calculation-sheet'!Y82</f>
        <v>495355463.28578311</v>
      </c>
      <c r="AA99" s="2">
        <f t="shared" si="8"/>
        <v>97.462386776405253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2020.4028639372843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621.94266423407066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427.95708015647079</v>
      </c>
      <c r="N107" s="2">
        <f>N8/'Output-Calculation-sheet'!N7*'Output-Calculation-sheet'!N88</f>
        <v>168.2449623525977</v>
      </c>
      <c r="O107" s="2">
        <f>O8/'Output-Calculation-sheet'!O7*'Output-Calculation-sheet'!O88</f>
        <v>471.00977768137739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46.947781772018466</v>
      </c>
      <c r="Y107" s="2">
        <f>Y8/'Output-Calculation-sheet'!Y7*'Output-Calculation-sheet'!Y88</f>
        <v>0</v>
      </c>
      <c r="AA107" s="2">
        <f t="shared" si="9"/>
        <v>3.7565051301338195</v>
      </c>
    </row>
    <row r="108" spans="1:27" x14ac:dyDescent="0.25">
      <c r="A108" s="2">
        <v>2032</v>
      </c>
      <c r="B108" s="2">
        <f>B9/'Output-Calculation-sheet'!B8*'Output-Calculation-sheet'!B89</f>
        <v>910.58643622210946</v>
      </c>
      <c r="C108" s="2">
        <f>C9/'Output-Calculation-sheet'!C8*'Output-Calculation-sheet'!C89</f>
        <v>3457.4831881682635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931.28048914359943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640.81160830379952</v>
      </c>
      <c r="N108" s="2">
        <f>N9/'Output-Calculation-sheet'!N8*'Output-Calculation-sheet'!N89</f>
        <v>449.86706241480266</v>
      </c>
      <c r="O108" s="2">
        <f>O9/'Output-Calculation-sheet'!O8*'Output-Calculation-sheet'!O89</f>
        <v>671.6929318338432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206.30346428126239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70.298366211451196</v>
      </c>
      <c r="Y108" s="2">
        <f>Y9/'Output-Calculation-sheet'!Y8*'Output-Calculation-sheet'!Y89</f>
        <v>0</v>
      </c>
      <c r="AA108" s="2">
        <f t="shared" si="9"/>
        <v>7.3383235465791312</v>
      </c>
    </row>
    <row r="109" spans="1:27" x14ac:dyDescent="0.25">
      <c r="A109" s="2">
        <v>2033</v>
      </c>
      <c r="B109" s="2">
        <f>B10/'Output-Calculation-sheet'!B9*'Output-Calculation-sheet'!B90</f>
        <v>4515.1569954340321</v>
      </c>
      <c r="C109" s="2">
        <f>C10/'Output-Calculation-sheet'!C9*'Output-Calculation-sheet'!C90</f>
        <v>4285.9960303223907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1319.3625081290238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907.84980532275233</v>
      </c>
      <c r="N109" s="2">
        <f>N10/'Output-Calculation-sheet'!N9*'Output-Calculation-sheet'!N90</f>
        <v>713.81530251815911</v>
      </c>
      <c r="O109" s="2">
        <f>O10/'Output-Calculation-sheet'!O9*'Output-Calculation-sheet'!O90</f>
        <v>832.64996032002557</v>
      </c>
      <c r="P109" s="2">
        <f>P10/'Output-Calculation-sheet'!P9*'Output-Calculation-sheet'!P90</f>
        <v>0</v>
      </c>
      <c r="Q109" s="2">
        <f>Q10/'Output-Calculation-sheet'!Q9*'Output-Calculation-sheet'!Q90</f>
        <v>156.35287362708158</v>
      </c>
      <c r="R109" s="2">
        <f>R10/'Output-Calculation-sheet'!R9*'Output-Calculation-sheet'!R90</f>
        <v>0</v>
      </c>
      <c r="S109" s="2">
        <f>S10/'Output-Calculation-sheet'!S9*'Output-Calculation-sheet'!S90</f>
        <v>358.035626830502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99.593011819032469</v>
      </c>
      <c r="Y109" s="2">
        <f>Y10/'Output-Calculation-sheet'!Y9*'Output-Calculation-sheet'!Y90</f>
        <v>0</v>
      </c>
      <c r="AA109" s="2">
        <f t="shared" si="9"/>
        <v>13.188812114322999</v>
      </c>
    </row>
    <row r="110" spans="1:27" x14ac:dyDescent="0.25">
      <c r="A110" s="2">
        <v>2034</v>
      </c>
      <c r="B110" s="2">
        <f>B11/'Output-Calculation-sheet'!B10*'Output-Calculation-sheet'!B91</f>
        <v>7551.0904859913635</v>
      </c>
      <c r="C110" s="2">
        <f>C11/'Output-Calculation-sheet'!C10*'Output-Calculation-sheet'!C91</f>
        <v>5176.776681098796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1470.9899261209171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1012.1842252091711</v>
      </c>
      <c r="N110" s="2">
        <f>N11/'Output-Calculation-sheet'!N10*'Output-Calculation-sheet'!N91</f>
        <v>911.91186392911402</v>
      </c>
      <c r="O110" s="2">
        <f>O11/'Output-Calculation-sheet'!O10*'Output-Calculation-sheet'!O91</f>
        <v>1005.7038941723694</v>
      </c>
      <c r="P110" s="2">
        <f>P11/'Output-Calculation-sheet'!P10*'Output-Calculation-sheet'!P91</f>
        <v>229.75810473500465</v>
      </c>
      <c r="Q110" s="2">
        <f>Q11/'Output-Calculation-sheet'!Q10*'Output-Calculation-sheet'!Q91</f>
        <v>508.43826224755043</v>
      </c>
      <c r="R110" s="2">
        <f>R11/'Output-Calculation-sheet'!R10*'Output-Calculation-sheet'!R91</f>
        <v>0</v>
      </c>
      <c r="S110" s="2">
        <f>S11/'Output-Calculation-sheet'!S10*'Output-Calculation-sheet'!S91</f>
        <v>522.73936115124059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111.03871467864357</v>
      </c>
      <c r="Y110" s="2">
        <f>Y11/'Output-Calculation-sheet'!Y10*'Output-Calculation-sheet'!Y91</f>
        <v>17.85908060621831</v>
      </c>
      <c r="AA110" s="2">
        <f t="shared" si="9"/>
        <v>18.518490599940389</v>
      </c>
    </row>
    <row r="111" spans="1:27" x14ac:dyDescent="0.25">
      <c r="A111" s="2">
        <v>2035</v>
      </c>
      <c r="B111" s="2">
        <f>B12/'Output-Calculation-sheet'!B11*'Output-Calculation-sheet'!B92</f>
        <v>11005.473035953164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1961.2245782842572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803.6762259365214</v>
      </c>
      <c r="Q111" s="2">
        <f>Q12/'Output-Calculation-sheet'!Q11*'Output-Calculation-sheet'!Q92</f>
        <v>571.65365563259718</v>
      </c>
      <c r="R111" s="2">
        <f>R12/'Output-Calculation-sheet'!R11*'Output-Calculation-sheet'!R92</f>
        <v>0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78.087117518965385</v>
      </c>
      <c r="AA111" s="2">
        <f t="shared" si="9"/>
        <v>25.204859319692641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1620213956.443012</v>
      </c>
      <c r="C118" s="2">
        <f>C8/'Output-Calculation-sheet'!C7*'Output-Calculation-sheet'!C97</f>
        <v>9497877128.7716484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2922301803.4929843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2029790426.9906569</v>
      </c>
      <c r="N118" s="2">
        <f>N8/'Output-Calculation-sheet'!N7*'Output-Calculation-sheet'!N97</f>
        <v>1592806741.0849531</v>
      </c>
      <c r="O118" s="2">
        <f>O8/'Output-Calculation-sheet'!O7*'Output-Calculation-sheet'!O97</f>
        <v>1059871910.9480618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576210807.68524432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218772882.84660622</v>
      </c>
      <c r="Y118" s="2">
        <f>Y8/'Output-Calculation-sheet'!Y7*'Output-Calculation-sheet'!Y97</f>
        <v>0</v>
      </c>
      <c r="AA118" s="2">
        <f t="shared" si="10"/>
        <v>19517.845658263173</v>
      </c>
    </row>
    <row r="119" spans="1:27" x14ac:dyDescent="0.25">
      <c r="A119" s="2">
        <v>2032</v>
      </c>
      <c r="B119" s="2">
        <f>B9/'Output-Calculation-sheet'!B8*'Output-Calculation-sheet'!B98</f>
        <v>6831266747.7297573</v>
      </c>
      <c r="C119" s="2">
        <f>C9/'Output-Calculation-sheet'!C8*'Output-Calculation-sheet'!C98</f>
        <v>5429628792.3007498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3245844240.9435806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2265611435.6195927</v>
      </c>
      <c r="N119" s="2">
        <f>N9/'Output-Calculation-sheet'!N8*'Output-Calculation-sheet'!N98</f>
        <v>1529202140.3909142</v>
      </c>
      <c r="O119" s="2">
        <f>O9/'Output-Calculation-sheet'!O8*'Output-Calculation-sheet'!O98</f>
        <v>1060849135.9978164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635847907.26127887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242428545.92100671</v>
      </c>
      <c r="Y119" s="2">
        <f>Y9/'Output-Calculation-sheet'!Y8*'Output-Calculation-sheet'!Y98</f>
        <v>0</v>
      </c>
      <c r="AA119" s="2">
        <f t="shared" si="10"/>
        <v>21240.678946164699</v>
      </c>
    </row>
    <row r="120" spans="1:27" x14ac:dyDescent="0.25">
      <c r="A120" s="2">
        <v>2033</v>
      </c>
      <c r="B120" s="2">
        <f>B10/'Output-Calculation-sheet'!B9*'Output-Calculation-sheet'!B99</f>
        <v>6495654967.9418955</v>
      </c>
      <c r="C120" s="2">
        <f>C10/'Output-Calculation-sheet'!C9*'Output-Calculation-sheet'!C99</f>
        <v>5339831724.6523104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1750804329.0340312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1239233848.6770961</v>
      </c>
      <c r="N120" s="2">
        <f>N10/'Output-Calculation-sheet'!N9*'Output-Calculation-sheet'!N99</f>
        <v>1235384848.0259812</v>
      </c>
      <c r="O120" s="2">
        <f>O10/'Output-Calculation-sheet'!O9*'Output-Calculation-sheet'!O99</f>
        <v>1045424033.5439031</v>
      </c>
      <c r="P120" s="2">
        <f>P10/'Output-Calculation-sheet'!P9*'Output-Calculation-sheet'!P99</f>
        <v>0</v>
      </c>
      <c r="Q120" s="2">
        <f>Q10/'Output-Calculation-sheet'!Q9*'Output-Calculation-sheet'!Q99</f>
        <v>7404281.1349260285</v>
      </c>
      <c r="R120" s="2">
        <f>R10/'Output-Calculation-sheet'!R9*'Output-Calculation-sheet'!R99</f>
        <v>0</v>
      </c>
      <c r="S120" s="2">
        <f>S10/'Output-Calculation-sheet'!S9*'Output-Calculation-sheet'!S99</f>
        <v>517371112.52627027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123742997.90109518</v>
      </c>
      <c r="Y120" s="2">
        <f>Y10/'Output-Calculation-sheet'!Y9*'Output-Calculation-sheet'!Y99</f>
        <v>0</v>
      </c>
      <c r="AA120" s="2">
        <f t="shared" si="10"/>
        <v>17754.852143437511</v>
      </c>
    </row>
    <row r="121" spans="1:27" x14ac:dyDescent="0.25">
      <c r="A121" s="2">
        <v>2034</v>
      </c>
      <c r="B121" s="2">
        <f>B11/'Output-Calculation-sheet'!B10*'Output-Calculation-sheet'!B100</f>
        <v>5668789953.4431114</v>
      </c>
      <c r="C121" s="2">
        <f>C11/'Output-Calculation-sheet'!C10*'Output-Calculation-sheet'!C100</f>
        <v>679602174.52167547</v>
      </c>
      <c r="D121" s="2">
        <f>D11/'Output-Calculation-sheet'!D10*'Output-Calculation-sheet'!D100</f>
        <v>0</v>
      </c>
      <c r="E121" s="2">
        <f>E11/'Output-Calculation-sheet'!E10*'Output-Calculation-sheet'!E100</f>
        <v>802038195.06972969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1789456061.1652167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653718673.00831366</v>
      </c>
      <c r="M121" s="2">
        <f>M11/'Output-Calculation-sheet'!M10*'Output-Calculation-sheet'!M100</f>
        <v>1273549033.6827176</v>
      </c>
      <c r="N121" s="2">
        <f>N11/'Output-Calculation-sheet'!N10*'Output-Calculation-sheet'!N100</f>
        <v>849046684.10812211</v>
      </c>
      <c r="O121" s="2">
        <f>O11/'Output-Calculation-sheet'!O10*'Output-Calculation-sheet'!O100</f>
        <v>133306201.87742682</v>
      </c>
      <c r="P121" s="2">
        <f>P11/'Output-Calculation-sheet'!P10*'Output-Calculation-sheet'!P100</f>
        <v>0</v>
      </c>
      <c r="Q121" s="2">
        <f>Q11/'Output-Calculation-sheet'!Q10*'Output-Calculation-sheet'!Q100</f>
        <v>287310066.63331896</v>
      </c>
      <c r="R121" s="2">
        <f>R11/'Output-Calculation-sheet'!R10*'Output-Calculation-sheet'!R100</f>
        <v>0</v>
      </c>
      <c r="S121" s="2">
        <f>S11/'Output-Calculation-sheet'!S10*'Output-Calculation-sheet'!S100</f>
        <v>317452269.75513226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125135103.5414512</v>
      </c>
      <c r="Y121" s="2">
        <f>Y11/'Output-Calculation-sheet'!Y10*'Output-Calculation-sheet'!Y100</f>
        <v>18152885.675801776</v>
      </c>
      <c r="AA121" s="2">
        <f t="shared" si="10"/>
        <v>12597.557302482019</v>
      </c>
    </row>
    <row r="122" spans="1:27" x14ac:dyDescent="0.25">
      <c r="A122" s="2">
        <v>2035</v>
      </c>
      <c r="B122" s="2">
        <f>B12/'Output-Calculation-sheet'!B11*'Output-Calculation-sheet'!B101</f>
        <v>1303174737.1463594</v>
      </c>
      <c r="C122" s="2">
        <f>C12/'Output-Calculation-sheet'!C11*'Output-Calculation-sheet'!C101</f>
        <v>244914876.42791116</v>
      </c>
      <c r="D122" s="2">
        <f>D12/'Output-Calculation-sheet'!D11*'Output-Calculation-sheet'!D101</f>
        <v>0</v>
      </c>
      <c r="E122" s="2">
        <f>E12/'Output-Calculation-sheet'!E11*'Output-Calculation-sheet'!E101</f>
        <v>2025788982.8670924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397273675.52488816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871109853.74332058</v>
      </c>
      <c r="M122" s="2">
        <f>M12/'Output-Calculation-sheet'!M11*'Output-Calculation-sheet'!M101</f>
        <v>333103958.75919551</v>
      </c>
      <c r="N122" s="2">
        <f>N12/'Output-Calculation-sheet'!N11*'Output-Calculation-sheet'!N101</f>
        <v>232313873.86393449</v>
      </c>
      <c r="O122" s="2">
        <f>O12/'Output-Calculation-sheet'!O11*'Output-Calculation-sheet'!O101</f>
        <v>26839128.850525115</v>
      </c>
      <c r="P122" s="2">
        <f>P12/'Output-Calculation-sheet'!P11*'Output-Calculation-sheet'!P101</f>
        <v>36226871.388572209</v>
      </c>
      <c r="Q122" s="2">
        <f>Q12/'Output-Calculation-sheet'!Q11*'Output-Calculation-sheet'!Q101</f>
        <v>508837827.76671445</v>
      </c>
      <c r="R122" s="2">
        <f>R12/'Output-Calculation-sheet'!R11*'Output-Calculation-sheet'!R101</f>
        <v>0</v>
      </c>
      <c r="S122" s="2">
        <f>S12/'Output-Calculation-sheet'!S11*'Output-Calculation-sheet'!S101</f>
        <v>138015107.58380467</v>
      </c>
      <c r="T122" s="2">
        <f>T12/'Output-Calculation-sheet'!T11*'Output-Calculation-sheet'!T101</f>
        <v>0</v>
      </c>
      <c r="U122" s="2">
        <f>U12/'Output-Calculation-sheet'!U11*'Output-Calculation-sheet'!U101</f>
        <v>47689662.184280947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12073864.962603051</v>
      </c>
      <c r="Y122" s="2">
        <f>Y12/'Output-Calculation-sheet'!Y11*'Output-Calculation-sheet'!Y101</f>
        <v>71995358.939997211</v>
      </c>
      <c r="AA122" s="2">
        <f t="shared" si="10"/>
        <v>6249.3577800091989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55014812861.646408</v>
      </c>
      <c r="C129" s="2">
        <f>C8/'Output-Calculation-sheet'!C7*'Output-Calculation-sheet'!C106</f>
        <v>0</v>
      </c>
      <c r="D129" s="2">
        <f>D8/'Output-Calculation-sheet'!D7*'Output-Calculation-sheet'!D106</f>
        <v>23787289536.236313</v>
      </c>
      <c r="E129" s="2">
        <f>E8/'Output-Calculation-sheet'!E7*'Output-Calculation-sheet'!E106</f>
        <v>18872822481.127842</v>
      </c>
      <c r="F129" s="2">
        <f>F8/'Output-Calculation-sheet'!F7*'Output-Calculation-sheet'!F106</f>
        <v>12149108756.85738</v>
      </c>
      <c r="G129" s="2">
        <f>G8/'Output-Calculation-sheet'!G7*'Output-Calculation-sheet'!G106</f>
        <v>8536316966.8536043</v>
      </c>
      <c r="H129" s="2">
        <f>H8/'Output-Calculation-sheet'!H7*'Output-Calculation-sheet'!H106</f>
        <v>0</v>
      </c>
      <c r="I129" s="2">
        <f>I8/'Output-Calculation-sheet'!I7*'Output-Calculation-sheet'!I106</f>
        <v>7777238635.5828047</v>
      </c>
      <c r="J129" s="2">
        <f>J8/'Output-Calculation-sheet'!J7*'Output-Calculation-sheet'!J106</f>
        <v>7569804478.1305857</v>
      </c>
      <c r="K129" s="2">
        <f>K8/'Output-Calculation-sheet'!K7*'Output-Calculation-sheet'!K106</f>
        <v>7497244551.3441076</v>
      </c>
      <c r="L129" s="2">
        <f>L8/'Output-Calculation-sheet'!L7*'Output-Calculation-sheet'!L106</f>
        <v>6014401296.5862837</v>
      </c>
      <c r="M129" s="2">
        <f>M8/'Output-Calculation-sheet'!M7*'Output-Calculation-sheet'!M106</f>
        <v>0</v>
      </c>
      <c r="N129" s="2">
        <f>N8/'Output-Calculation-sheet'!N7*'Output-Calculation-sheet'!N106</f>
        <v>2643127266.0595541</v>
      </c>
      <c r="O129" s="2">
        <f>O8/'Output-Calculation-sheet'!O7*'Output-Calculation-sheet'!O106</f>
        <v>0</v>
      </c>
      <c r="P129" s="2">
        <f>P8/'Output-Calculation-sheet'!P7*'Output-Calculation-sheet'!P106</f>
        <v>5133007622.9621401</v>
      </c>
      <c r="Q129" s="2">
        <f>Q8/'Output-Calculation-sheet'!Q7*'Output-Calculation-sheet'!Q106</f>
        <v>5050040522.3079786</v>
      </c>
      <c r="R129" s="2">
        <f>R8/'Output-Calculation-sheet'!R7*'Output-Calculation-sheet'!R106</f>
        <v>4858381124.8557997</v>
      </c>
      <c r="S129" s="2">
        <f>S8/'Output-Calculation-sheet'!S7*'Output-Calculation-sheet'!S106</f>
        <v>2652910857.7823787</v>
      </c>
      <c r="T129" s="2">
        <f>T8/'Output-Calculation-sheet'!T7*'Output-Calculation-sheet'!T106</f>
        <v>1785886885.9922245</v>
      </c>
      <c r="U129" s="2">
        <f>U8/'Output-Calculation-sheet'!U7*'Output-Calculation-sheet'!U106</f>
        <v>1555449210.7136629</v>
      </c>
      <c r="V129" s="2">
        <f>V8/'Output-Calculation-sheet'!V7*'Output-Calculation-sheet'!V106</f>
        <v>1197721819.4161513</v>
      </c>
      <c r="W129" s="2">
        <f>W8/'Output-Calculation-sheet'!W7*'Output-Calculation-sheet'!W106</f>
        <v>1036969810.0913429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173132.5346845465</v>
      </c>
    </row>
    <row r="130" spans="1:27" x14ac:dyDescent="0.25">
      <c r="A130" s="2">
        <v>2032</v>
      </c>
      <c r="B130" s="2">
        <f>B9/'Output-Calculation-sheet'!B8*'Output-Calculation-sheet'!B107</f>
        <v>61819050910.438126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0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2249810885.8257089</v>
      </c>
      <c r="O130" s="2">
        <f>O9/'Output-Calculation-sheet'!O8*'Output-Calculation-sheet'!O107</f>
        <v>0</v>
      </c>
      <c r="P130" s="2">
        <f>P9/'Output-Calculation-sheet'!P8*'Output-Calculation-sheet'!P107</f>
        <v>6862473171.2228384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1997456933.8288815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216902.16669875273</v>
      </c>
    </row>
    <row r="131" spans="1:27" x14ac:dyDescent="0.25">
      <c r="A131" s="2">
        <v>2033</v>
      </c>
      <c r="B131" s="2">
        <f>B10/'Output-Calculation-sheet'!B9*'Output-Calculation-sheet'!B108</f>
        <v>48455609383.752342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1775544878.7583144</v>
      </c>
      <c r="O131" s="2">
        <f>O10/'Output-Calculation-sheet'!O9*'Output-Calculation-sheet'!O108</f>
        <v>0</v>
      </c>
      <c r="P131" s="2">
        <f>P10/'Output-Calculation-sheet'!P9*'Output-Calculation-sheet'!P108</f>
        <v>8166227164.7711048</v>
      </c>
      <c r="Q131" s="2">
        <f>Q10/'Output-Calculation-sheet'!Q9*'Output-Calculation-sheet'!Q108</f>
        <v>6889042644.036437</v>
      </c>
      <c r="R131" s="2">
        <f>R10/'Output-Calculation-sheet'!R9*'Output-Calculation-sheet'!R108</f>
        <v>7729406117.1621103</v>
      </c>
      <c r="S131" s="2">
        <f>S10/'Output-Calculation-sheet'!S9*'Output-Calculation-sheet'!S108</f>
        <v>1722183913.7480628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230308.65854870074</v>
      </c>
    </row>
    <row r="132" spans="1:27" x14ac:dyDescent="0.25">
      <c r="A132" s="2">
        <v>2034</v>
      </c>
      <c r="B132" s="2">
        <f>B11/'Output-Calculation-sheet'!B10*'Output-Calculation-sheet'!B109</f>
        <v>32898074547.853413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31751234805.055607</v>
      </c>
      <c r="F132" s="2">
        <f>F11/'Output-Calculation-sheet'!F10*'Output-Calculation-sheet'!F109</f>
        <v>20952380669.878944</v>
      </c>
      <c r="G132" s="2">
        <f>G11/'Output-Calculation-sheet'!G10*'Output-Calculation-sheet'!G109</f>
        <v>14722130073.182491</v>
      </c>
      <c r="H132" s="2">
        <f>H11/'Output-Calculation-sheet'!H10*'Output-Calculation-sheet'!H109</f>
        <v>0</v>
      </c>
      <c r="I132" s="2">
        <f>I11/'Output-Calculation-sheet'!I10*'Output-Calculation-sheet'!I109</f>
        <v>13412086229.107151</v>
      </c>
      <c r="J132" s="2">
        <f>J11/'Output-Calculation-sheet'!J10*'Output-Calculation-sheet'!J109</f>
        <v>13054488387.517649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9718366321.4505939</v>
      </c>
      <c r="M132" s="2">
        <f>M11/'Output-Calculation-sheet'!M10*'Output-Calculation-sheet'!M109</f>
        <v>0</v>
      </c>
      <c r="N132" s="2">
        <f>N11/'Output-Calculation-sheet'!N10*'Output-Calculation-sheet'!N109</f>
        <v>1277977187.4601769</v>
      </c>
      <c r="O132" s="2">
        <f>O11/'Output-Calculation-sheet'!O10*'Output-Calculation-sheet'!O109</f>
        <v>0</v>
      </c>
      <c r="P132" s="2">
        <f>P11/'Output-Calculation-sheet'!P10*'Output-Calculation-sheet'!P109</f>
        <v>7261117991.4799442</v>
      </c>
      <c r="Q132" s="2">
        <f>Q11/'Output-Calculation-sheet'!Q10*'Output-Calculation-sheet'!Q109</f>
        <v>4676936801.1760235</v>
      </c>
      <c r="R132" s="2">
        <f>R11/'Output-Calculation-sheet'!R10*'Output-Calculation-sheet'!R109</f>
        <v>8377963654.8167858</v>
      </c>
      <c r="S132" s="2">
        <f>S11/'Output-Calculation-sheet'!S10*'Output-Calculation-sheet'!S109</f>
        <v>877088759.78306079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2683957783.8353953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222550.53305055716</v>
      </c>
    </row>
    <row r="133" spans="1:27" x14ac:dyDescent="0.25">
      <c r="A133" s="2">
        <v>2035</v>
      </c>
      <c r="B133" s="2">
        <f>B12/'Output-Calculation-sheet'!B11*'Output-Calculation-sheet'!B110</f>
        <v>447721033.20037502</v>
      </c>
      <c r="C133" s="2">
        <f>C12/'Output-Calculation-sheet'!C11*'Output-Calculation-sheet'!C110</f>
        <v>0</v>
      </c>
      <c r="D133" s="2">
        <f>D12/'Output-Calculation-sheet'!D11*'Output-Calculation-sheet'!D110</f>
        <v>37093202681.6614</v>
      </c>
      <c r="E133" s="2">
        <f>E12/'Output-Calculation-sheet'!E11*'Output-Calculation-sheet'!E110</f>
        <v>18037608496.715797</v>
      </c>
      <c r="F133" s="2">
        <f>F12/'Output-Calculation-sheet'!F11*'Output-Calculation-sheet'!F110</f>
        <v>20002336358.106155</v>
      </c>
      <c r="G133" s="2">
        <f>G12/'Output-Calculation-sheet'!G11*'Output-Calculation-sheet'!G110</f>
        <v>13864599898.610533</v>
      </c>
      <c r="H133" s="2">
        <f>H12/'Output-Calculation-sheet'!H11*'Output-Calculation-sheet'!H110</f>
        <v>0</v>
      </c>
      <c r="I133" s="2">
        <f>I12/'Output-Calculation-sheet'!I11*'Output-Calculation-sheet'!I110</f>
        <v>12515398279.945278</v>
      </c>
      <c r="J133" s="2">
        <f>J12/'Output-Calculation-sheet'!J11*'Output-Calculation-sheet'!J110</f>
        <v>12053271520.305164</v>
      </c>
      <c r="K133" s="2">
        <f>K12/'Output-Calculation-sheet'!K11*'Output-Calculation-sheet'!K110</f>
        <v>11924094877.880804</v>
      </c>
      <c r="L133" s="2">
        <f>L12/'Output-Calculation-sheet'!L11*'Output-Calculation-sheet'!L110</f>
        <v>8770159431.61833</v>
      </c>
      <c r="M133" s="2">
        <f>M12/'Output-Calculation-sheet'!M11*'Output-Calculation-sheet'!M110</f>
        <v>0</v>
      </c>
      <c r="N133" s="2">
        <f>N12/'Output-Calculation-sheet'!N11*'Output-Calculation-sheet'!N110</f>
        <v>1146263.0617429551</v>
      </c>
      <c r="O133" s="2">
        <f>O12/'Output-Calculation-sheet'!O11*'Output-Calculation-sheet'!O110</f>
        <v>0</v>
      </c>
      <c r="P133" s="2">
        <f>P12/'Output-Calculation-sheet'!P11*'Output-Calculation-sheet'!P110</f>
        <v>2717652902.4909797</v>
      </c>
      <c r="Q133" s="2">
        <f>Q12/'Output-Calculation-sheet'!Q11*'Output-Calculation-sheet'!Q110</f>
        <v>3609928493.3499532</v>
      </c>
      <c r="R133" s="2">
        <f>R12/'Output-Calculation-sheet'!R11*'Output-Calculation-sheet'!R110</f>
        <v>7931417775.6452045</v>
      </c>
      <c r="S133" s="2">
        <f>S12/'Output-Calculation-sheet'!S11*'Output-Calculation-sheet'!S110</f>
        <v>13131678.812114539</v>
      </c>
      <c r="T133" s="2">
        <f>T12/'Output-Calculation-sheet'!T11*'Output-Calculation-sheet'!T110</f>
        <v>2979976662.2184777</v>
      </c>
      <c r="U133" s="2">
        <f>U12/'Output-Calculation-sheet'!U11*'Output-Calculation-sheet'!U110</f>
        <v>2417844506.8361597</v>
      </c>
      <c r="V133" s="2">
        <f>V12/'Output-Calculation-sheet'!V11*'Output-Calculation-sheet'!V110</f>
        <v>2004037719.2831092</v>
      </c>
      <c r="W133" s="2">
        <f>W12/'Output-Calculation-sheet'!W11*'Output-Calculation-sheet'!W110</f>
        <v>1760623514.8796189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158144.15209462115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17191445287.453308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5404557363.6612272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3715012044.5759549</v>
      </c>
      <c r="N140" s="2">
        <f>N8/'Output-Calculation-sheet'!N7*'Output-Calculation-sheet'!N115</f>
        <v>1402564296.1546309</v>
      </c>
      <c r="O140" s="2">
        <f>O8/'Output-Calculation-sheet'!O7*'Output-Calculation-sheet'!O115</f>
        <v>4125863161.6875563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403405704.6154716</v>
      </c>
      <c r="Y140" s="2">
        <f>Y8/'Output-Calculation-sheet'!Y7*'Output-Calculation-sheet'!Y115</f>
        <v>0</v>
      </c>
      <c r="AA140" s="2">
        <f t="shared" si="12"/>
        <v>32242.84785814815</v>
      </c>
    </row>
    <row r="141" spans="1:27" x14ac:dyDescent="0.25">
      <c r="A141" s="2">
        <v>2032</v>
      </c>
      <c r="B141" s="2">
        <f>B9/'Output-Calculation-sheet'!B8*'Output-Calculation-sheet'!B116</f>
        <v>7067343968.0889568</v>
      </c>
      <c r="C141" s="2">
        <f>C9/'Output-Calculation-sheet'!C8*'Output-Calculation-sheet'!C116</f>
        <v>30252411003.936584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7886672359.5203152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5414848579.0486155</v>
      </c>
      <c r="N141" s="2">
        <f>N9/'Output-Calculation-sheet'!N8*'Output-Calculation-sheet'!N116</f>
        <v>3759324039.1992478</v>
      </c>
      <c r="O141" s="2">
        <f>O9/'Output-Calculation-sheet'!O8*'Output-Calculation-sheet'!O116</f>
        <v>5872170777.1394253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1683838828.2170267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589387240.95894647</v>
      </c>
      <c r="Y141" s="2">
        <f>Y9/'Output-Calculation-sheet'!Y8*'Output-Calculation-sheet'!Y116</f>
        <v>0</v>
      </c>
      <c r="AA141" s="2">
        <f t="shared" si="12"/>
        <v>62525.996796109124</v>
      </c>
    </row>
    <row r="142" spans="1:27" x14ac:dyDescent="0.25">
      <c r="A142" s="2">
        <v>2033</v>
      </c>
      <c r="B142" s="2">
        <f>B10/'Output-Calculation-sheet'!B9*'Output-Calculation-sheet'!B117</f>
        <v>35156067857.695061</v>
      </c>
      <c r="C142" s="2">
        <f>C10/'Output-Calculation-sheet'!C9*'Output-Calculation-sheet'!C117</f>
        <v>37123355000.867378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11497377248.696243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7900849434.0715036</v>
      </c>
      <c r="N142" s="2">
        <f>N10/'Output-Calculation-sheet'!N9*'Output-Calculation-sheet'!N117</f>
        <v>5960020567.8236532</v>
      </c>
      <c r="O142" s="2">
        <f>O10/'Output-Calculation-sheet'!O9*'Output-Calculation-sheet'!O117</f>
        <v>7205172064.3644466</v>
      </c>
      <c r="P142" s="2">
        <f>P10/'Output-Calculation-sheet'!P9*'Output-Calculation-sheet'!P117</f>
        <v>0</v>
      </c>
      <c r="Q142" s="2">
        <f>Q10/'Output-Calculation-sheet'!Q9*'Output-Calculation-sheet'!Q117</f>
        <v>1138201201.9203455</v>
      </c>
      <c r="R142" s="2">
        <f>R10/'Output-Calculation-sheet'!R9*'Output-Calculation-sheet'!R117</f>
        <v>0</v>
      </c>
      <c r="S142" s="2">
        <f>S10/'Output-Calculation-sheet'!S9*'Output-Calculation-sheet'!S117</f>
        <v>2898034688.3508883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866154215.39458346</v>
      </c>
      <c r="Y142" s="2">
        <f>Y10/'Output-Calculation-sheet'!Y9*'Output-Calculation-sheet'!Y117</f>
        <v>0</v>
      </c>
      <c r="AA142" s="2">
        <f t="shared" si="12"/>
        <v>109745.2322791841</v>
      </c>
    </row>
    <row r="143" spans="1:27" x14ac:dyDescent="0.25">
      <c r="A143" s="2">
        <v>2034</v>
      </c>
      <c r="B143" s="2">
        <f>B11/'Output-Calculation-sheet'!B10*'Output-Calculation-sheet'!B118</f>
        <v>59104945848.954269</v>
      </c>
      <c r="C143" s="2">
        <f>C11/'Output-Calculation-sheet'!C10*'Output-Calculation-sheet'!C118</f>
        <v>45348563726.425453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12570847479.485188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8633797797.6625023</v>
      </c>
      <c r="N143" s="2">
        <f>N11/'Output-Calculation-sheet'!N10*'Output-Calculation-sheet'!N118</f>
        <v>7597049454.1279917</v>
      </c>
      <c r="O143" s="2">
        <f>O11/'Output-Calculation-sheet'!O10*'Output-Calculation-sheet'!O118</f>
        <v>8809966112.9499569</v>
      </c>
      <c r="P143" s="2">
        <f>P11/'Output-Calculation-sheet'!P10*'Output-Calculation-sheet'!P118</f>
        <v>1590613369.8327773</v>
      </c>
      <c r="Q143" s="2">
        <f>Q11/'Output-Calculation-sheet'!Q10*'Output-Calculation-sheet'!Q118</f>
        <v>3744861930.3688493</v>
      </c>
      <c r="R143" s="2">
        <f>R11/'Output-Calculation-sheet'!R10*'Output-Calculation-sheet'!R118</f>
        <v>0</v>
      </c>
      <c r="S143" s="2">
        <f>S11/'Output-Calculation-sheet'!S10*'Output-Calculation-sheet'!S118</f>
        <v>4374373080.3080654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947859635.90518224</v>
      </c>
      <c r="Y143" s="2">
        <f>Y11/'Output-Calculation-sheet'!Y10*'Output-Calculation-sheet'!Y118</f>
        <v>111075154.86426537</v>
      </c>
      <c r="AA143" s="2">
        <f t="shared" si="12"/>
        <v>152833.95359088448</v>
      </c>
    </row>
    <row r="144" spans="1:27" x14ac:dyDescent="0.25">
      <c r="A144" s="2">
        <v>2035</v>
      </c>
      <c r="B144" s="2">
        <f>B12/'Output-Calculation-sheet'!B11*'Output-Calculation-sheet'!B119</f>
        <v>95516071694.373764</v>
      </c>
      <c r="C144" s="2">
        <f>C12/'Output-Calculation-sheet'!C11*'Output-Calculation-sheet'!C119</f>
        <v>45706337620.869164</v>
      </c>
      <c r="D144" s="2">
        <f>D12/'Output-Calculation-sheet'!D11*'Output-Calculation-sheet'!D119</f>
        <v>0</v>
      </c>
      <c r="E144" s="2">
        <f>E12/'Output-Calculation-sheet'!E11*'Output-Calculation-sheet'!E119</f>
        <v>12041645103.337852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13886364365.573404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9514288132.483099</v>
      </c>
      <c r="N144" s="2">
        <f>N12/'Output-Calculation-sheet'!N11*'Output-Calculation-sheet'!N119</f>
        <v>9420542293.9713726</v>
      </c>
      <c r="O144" s="2">
        <f>O12/'Output-Calculation-sheet'!O11*'Output-Calculation-sheet'!O119</f>
        <v>8886851798.8989925</v>
      </c>
      <c r="P144" s="2">
        <f>P12/'Output-Calculation-sheet'!P11*'Output-Calculation-sheet'!P119</f>
        <v>6042747606.6344528</v>
      </c>
      <c r="Q144" s="2">
        <f>Q12/'Output-Calculation-sheet'!Q11*'Output-Calculation-sheet'!Q119</f>
        <v>4141260356.2827277</v>
      </c>
      <c r="R144" s="2">
        <f>R12/'Output-Calculation-sheet'!R11*'Output-Calculation-sheet'!R119</f>
        <v>0</v>
      </c>
      <c r="S144" s="2">
        <f>S12/'Output-Calculation-sheet'!S11*'Output-Calculation-sheet'!S119</f>
        <v>5381530197.2469158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1058687107.0713787</v>
      </c>
      <c r="Y144" s="2">
        <f>Y12/'Output-Calculation-sheet'!Y11*'Output-Calculation-sheet'!Y119</f>
        <v>505183998.31790096</v>
      </c>
      <c r="AA144" s="2">
        <f t="shared" si="12"/>
        <v>212101.51027506101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56635027923.766563</v>
      </c>
      <c r="C151" s="2">
        <f>C8/'Output-Calculation-sheet'!C7*'Output-Calculation-sheet'!C124</f>
        <v>26689322416.224957</v>
      </c>
      <c r="D151" s="2">
        <f>D8/'Output-Calculation-sheet'!D7*'Output-Calculation-sheet'!D124</f>
        <v>23787289536.236313</v>
      </c>
      <c r="E151" s="2">
        <f>E8/'Output-Calculation-sheet'!E7*'Output-Calculation-sheet'!E124</f>
        <v>18872822481.127842</v>
      </c>
      <c r="F151" s="2">
        <f>F8/'Output-Calculation-sheet'!F7*'Output-Calculation-sheet'!F124</f>
        <v>12149108756.85738</v>
      </c>
      <c r="G151" s="2">
        <f>G8/'Output-Calculation-sheet'!G7*'Output-Calculation-sheet'!G124</f>
        <v>8536316966.8536043</v>
      </c>
      <c r="H151" s="2">
        <f>H8/'Output-Calculation-sheet'!H7*'Output-Calculation-sheet'!H124</f>
        <v>8326859167.154212</v>
      </c>
      <c r="I151" s="2">
        <f>I8/'Output-Calculation-sheet'!I7*'Output-Calculation-sheet'!I124</f>
        <v>7777238635.5828047</v>
      </c>
      <c r="J151" s="2">
        <f>J8/'Output-Calculation-sheet'!J7*'Output-Calculation-sheet'!J124</f>
        <v>7569804478.1305857</v>
      </c>
      <c r="K151" s="2">
        <f>K8/'Output-Calculation-sheet'!K7*'Output-Calculation-sheet'!K124</f>
        <v>7497244551.3441076</v>
      </c>
      <c r="L151" s="2">
        <f>L8/'Output-Calculation-sheet'!L7*'Output-Calculation-sheet'!L124</f>
        <v>6014401296.5862837</v>
      </c>
      <c r="M151" s="2">
        <f>M8/'Output-Calculation-sheet'!M7*'Output-Calculation-sheet'!M124</f>
        <v>5744802471.5666113</v>
      </c>
      <c r="N151" s="2">
        <f>N8/'Output-Calculation-sheet'!N7*'Output-Calculation-sheet'!N124</f>
        <v>5638497210.7993832</v>
      </c>
      <c r="O151" s="2">
        <f>O8/'Output-Calculation-sheet'!O7*'Output-Calculation-sheet'!O124</f>
        <v>5185735072.6356182</v>
      </c>
      <c r="P151" s="2">
        <f>P8/'Output-Calculation-sheet'!P7*'Output-Calculation-sheet'!P124</f>
        <v>5133007622.9621401</v>
      </c>
      <c r="Q151" s="2">
        <f>Q8/'Output-Calculation-sheet'!Q7*'Output-Calculation-sheet'!Q124</f>
        <v>5050040522.3079786</v>
      </c>
      <c r="R151" s="2">
        <f>R8/'Output-Calculation-sheet'!R7*'Output-Calculation-sheet'!R124</f>
        <v>4858381124.8557997</v>
      </c>
      <c r="S151" s="2">
        <f>S8/'Output-Calculation-sheet'!S7*'Output-Calculation-sheet'!S124</f>
        <v>3229121352.3383355</v>
      </c>
      <c r="T151" s="2">
        <f>T8/'Output-Calculation-sheet'!T7*'Output-Calculation-sheet'!T124</f>
        <v>1785886885.9922245</v>
      </c>
      <c r="U151" s="2">
        <f>U8/'Output-Calculation-sheet'!U7*'Output-Calculation-sheet'!U124</f>
        <v>1555449210.7136629</v>
      </c>
      <c r="V151" s="2">
        <f>V8/'Output-Calculation-sheet'!V7*'Output-Calculation-sheet'!V124</f>
        <v>1197721819.4161513</v>
      </c>
      <c r="W151" s="2">
        <f>W8/'Output-Calculation-sheet'!W7*'Output-Calculation-sheet'!W124</f>
        <v>1036969810.0913429</v>
      </c>
      <c r="X151" s="2">
        <f>X8/'Output-Calculation-sheet'!X7*'Output-Calculation-sheet'!X124</f>
        <v>622178587.46207786</v>
      </c>
      <c r="Y151" s="2">
        <f>Y8/'Output-Calculation-sheet'!Y7*'Output-Calculation-sheet'!Y124</f>
        <v>605062818.48310566</v>
      </c>
      <c r="AA151" s="2">
        <f t="shared" si="13"/>
        <v>225498.29071948901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21409224214.510242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4159811773.4166489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180886.69812410921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2750198483.030066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119590.59410110964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2051489673.589241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1244179556.5929549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795559317.24922097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383216204.69176465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55556.057506702797</v>
      </c>
    </row>
    <row r="155" spans="1:27" x14ac:dyDescent="0.25">
      <c r="A155" s="2">
        <v>2035</v>
      </c>
      <c r="B155" s="2">
        <f>B12/'Output-Calculation-sheet'!B11*'Output-Calculation-sheet'!B128</f>
        <v>498275221.48254067</v>
      </c>
      <c r="C155" s="2">
        <f>C12/'Output-Calculation-sheet'!C11*'Output-Calculation-sheet'!C128</f>
        <v>64037941.462882929</v>
      </c>
      <c r="D155" s="2">
        <f>D12/'Output-Calculation-sheet'!D11*'Output-Calculation-sheet'!D128</f>
        <v>4993573216.3093758</v>
      </c>
      <c r="E155" s="2">
        <f>E12/'Output-Calculation-sheet'!E11*'Output-Calculation-sheet'!E128</f>
        <v>930132724.51363063</v>
      </c>
      <c r="F155" s="2">
        <f>F12/'Output-Calculation-sheet'!F11*'Output-Calculation-sheet'!F128</f>
        <v>1439879007.8659706</v>
      </c>
      <c r="G155" s="2">
        <f>G12/'Output-Calculation-sheet'!G11*'Output-Calculation-sheet'!G128</f>
        <v>1286098483.6972752</v>
      </c>
      <c r="H155" s="2">
        <f>H12/'Output-Calculation-sheet'!H11*'Output-Calculation-sheet'!H128</f>
        <v>103082816.65217936</v>
      </c>
      <c r="I155" s="2">
        <f>I12/'Output-Calculation-sheet'!I11*'Output-Calculation-sheet'!I128</f>
        <v>1282475474.1193922</v>
      </c>
      <c r="J155" s="2">
        <f>J12/'Output-Calculation-sheet'!J11*'Output-Calculation-sheet'!J128</f>
        <v>1227974048.2013671</v>
      </c>
      <c r="K155" s="2">
        <f>K12/'Output-Calculation-sheet'!K11*'Output-Calculation-sheet'!K128</f>
        <v>1394431268.1982067</v>
      </c>
      <c r="L155" s="2">
        <f>L12/'Output-Calculation-sheet'!L11*'Output-Calculation-sheet'!L128</f>
        <v>1008380697.8308181</v>
      </c>
      <c r="M155" s="2">
        <f>M12/'Output-Calculation-sheet'!M11*'Output-Calculation-sheet'!M128</f>
        <v>85972319.928963542</v>
      </c>
      <c r="N155" s="2">
        <f>N12/'Output-Calculation-sheet'!N11*'Output-Calculation-sheet'!N128</f>
        <v>87012551.411624745</v>
      </c>
      <c r="O155" s="2">
        <f>O12/'Output-Calculation-sheet'!O11*'Output-Calculation-sheet'!O128</f>
        <v>28815719.533333354</v>
      </c>
      <c r="P155" s="2">
        <f>P12/'Output-Calculation-sheet'!P11*'Output-Calculation-sheet'!P128</f>
        <v>97262044.97173202</v>
      </c>
      <c r="Q155" s="2">
        <f>Q12/'Output-Calculation-sheet'!Q11*'Output-Calculation-sheet'!Q128</f>
        <v>579674377.11861801</v>
      </c>
      <c r="R155" s="2">
        <f>R12/'Output-Calculation-sheet'!R11*'Output-Calculation-sheet'!R128</f>
        <v>648159407.67305589</v>
      </c>
      <c r="S155" s="2">
        <f>S12/'Output-Calculation-sheet'!S11*'Output-Calculation-sheet'!S128</f>
        <v>45438970.15479812</v>
      </c>
      <c r="T155" s="2">
        <f>T12/'Output-Calculation-sheet'!T11*'Output-Calculation-sheet'!T128</f>
        <v>152432529.59160998</v>
      </c>
      <c r="U155" s="2">
        <f>U12/'Output-Calculation-sheet'!U11*'Output-Calculation-sheet'!U128</f>
        <v>299991755.56719625</v>
      </c>
      <c r="V155" s="2">
        <f>V12/'Output-Calculation-sheet'!V11*'Output-Calculation-sheet'!V128</f>
        <v>74857904.411637649</v>
      </c>
      <c r="W155" s="2">
        <f>W12/'Output-Calculation-sheet'!W11*'Output-Calculation-sheet'!W128</f>
        <v>69473930.452737451</v>
      </c>
      <c r="X155" s="2">
        <f>X12/'Output-Calculation-sheet'!X11*'Output-Calculation-sheet'!X128</f>
        <v>2643673.370996607</v>
      </c>
      <c r="Y155" s="2">
        <f>Y12/'Output-Calculation-sheet'!Y11*'Output-Calculation-sheet'!Y128</f>
        <v>20557437.664092883</v>
      </c>
      <c r="AA155" s="2">
        <f t="shared" si="13"/>
        <v>16420.633522184035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1268.2833200010482</v>
      </c>
      <c r="C19" s="2">
        <f>C8/'Output-Calculation-sheet'!C7*'Output-Calculation-sheet'!C25</f>
        <v>5967.2304049795148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1807.5458439012284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1255.5931079091292</v>
      </c>
      <c r="N19" s="2">
        <f>N8/'Output-Calculation-sheet'!N7*'Output-Calculation-sheet'!N25</f>
        <v>1044.5050913058526</v>
      </c>
      <c r="O19" s="2">
        <f>O8/'Output-Calculation-sheet'!O7*'Output-Calculation-sheet'!O25</f>
        <v>655.5398465753899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483.05365968902288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135.89010138555898</v>
      </c>
      <c r="Y19" s="2">
        <f>Y8/'Output-Calculation-sheet'!Y7*'Output-Calculation-sheet'!Y25</f>
        <v>0</v>
      </c>
      <c r="AA19" s="2">
        <f t="shared" si="0"/>
        <v>12.617641375746746</v>
      </c>
    </row>
    <row r="20" spans="1:27" x14ac:dyDescent="0.25">
      <c r="A20" s="2">
        <v>2032</v>
      </c>
      <c r="B20" s="2">
        <f>B9/'Output-Calculation-sheet'!B8*'Output-Calculation-sheet'!B26</f>
        <v>6237.4818075637177</v>
      </c>
      <c r="C20" s="2">
        <f>C9/'Output-Calculation-sheet'!C8*'Output-Calculation-sheet'!C26</f>
        <v>3420.4827436284359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2053.3326802306265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1434.883047877523</v>
      </c>
      <c r="N20" s="2">
        <f>N9/'Output-Calculation-sheet'!N8*'Output-Calculation-sheet'!N26</f>
        <v>994.41305252722179</v>
      </c>
      <c r="O20" s="2">
        <f>O9/'Output-Calculation-sheet'!O8*'Output-Calculation-sheet'!O26</f>
        <v>668.2989393541028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471.70302474090039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156.13623197624611</v>
      </c>
      <c r="Y20" s="2">
        <f>Y9/'Output-Calculation-sheet'!Y8*'Output-Calculation-sheet'!Y26</f>
        <v>0</v>
      </c>
      <c r="AA20" s="2">
        <f t="shared" si="0"/>
        <v>15.436731527898775</v>
      </c>
    </row>
    <row r="21" spans="1:27" x14ac:dyDescent="0.25">
      <c r="A21" s="2">
        <v>2033</v>
      </c>
      <c r="B21" s="2">
        <f>B10/'Output-Calculation-sheet'!B9*'Output-Calculation-sheet'!B27</f>
        <v>5637.45519786775</v>
      </c>
      <c r="C21" s="2">
        <f>C10/'Output-Calculation-sheet'!C9*'Output-Calculation-sheet'!C27</f>
        <v>3465.0185428869863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1136.09916578601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804.14036159544787</v>
      </c>
      <c r="N21" s="2">
        <f>N10/'Output-Calculation-sheet'!N9*'Output-Calculation-sheet'!N27</f>
        <v>814.35076645978927</v>
      </c>
      <c r="O21" s="2">
        <f>O10/'Output-Calculation-sheet'!O9*'Output-Calculation-sheet'!O27</f>
        <v>678.37634320823122</v>
      </c>
      <c r="P21" s="2">
        <f>P10/'Output-Calculation-sheet'!P9*'Output-Calculation-sheet'!P27</f>
        <v>0</v>
      </c>
      <c r="Q21" s="2">
        <f>Q10/'Output-Calculation-sheet'!Q9*'Output-Calculation-sheet'!Q27</f>
        <v>9.3118515860185695</v>
      </c>
      <c r="R21" s="2">
        <f>R10/'Output-Calculation-sheet'!R9*'Output-Calculation-sheet'!R27</f>
        <v>0</v>
      </c>
      <c r="S21" s="2">
        <f>S10/'Output-Calculation-sheet'!S9*'Output-Calculation-sheet'!S27</f>
        <v>387.76368415969165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80.296871080059475</v>
      </c>
      <c r="Y21" s="2">
        <f>Y10/'Output-Calculation-sheet'!Y9*'Output-Calculation-sheet'!Y27</f>
        <v>0</v>
      </c>
      <c r="AA21" s="2">
        <f t="shared" si="0"/>
        <v>13.012812784629984</v>
      </c>
    </row>
    <row r="22" spans="1:27" x14ac:dyDescent="0.25">
      <c r="A22" s="2">
        <v>2034</v>
      </c>
      <c r="B22" s="2">
        <f>B11/'Output-Calculation-sheet'!B10*'Output-Calculation-sheet'!B28</f>
        <v>4569.0458264242898</v>
      </c>
      <c r="C22" s="2">
        <f>C11/'Output-Calculation-sheet'!C10*'Output-Calculation-sheet'!C28</f>
        <v>460.29421795155685</v>
      </c>
      <c r="D22" s="2">
        <f>D11/'Output-Calculation-sheet'!D10*'Output-Calculation-sheet'!D28</f>
        <v>0</v>
      </c>
      <c r="E22" s="2">
        <f>E11/'Output-Calculation-sheet'!E10*'Output-Calculation-sheet'!E28</f>
        <v>1557.9145384407277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1211.9907383864982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926.9920070792009</v>
      </c>
      <c r="M22" s="2">
        <f>M11/'Output-Calculation-sheet'!M10*'Output-Calculation-sheet'!M28</f>
        <v>862.56918878575721</v>
      </c>
      <c r="N22" s="2">
        <f>N11/'Output-Calculation-sheet'!N10*'Output-Calculation-sheet'!N28</f>
        <v>576.63242381726627</v>
      </c>
      <c r="O22" s="2">
        <f>O11/'Output-Calculation-sheet'!O10*'Output-Calculation-sheet'!O28</f>
        <v>90.287782093523973</v>
      </c>
      <c r="P22" s="2">
        <f>P11/'Output-Calculation-sheet'!P10*'Output-Calculation-sheet'!P28</f>
        <v>0</v>
      </c>
      <c r="Q22" s="2">
        <f>Q11/'Output-Calculation-sheet'!Q10*'Output-Calculation-sheet'!Q28</f>
        <v>295.58612573804493</v>
      </c>
      <c r="R22" s="2">
        <f>R11/'Output-Calculation-sheet'!R10*'Output-Calculation-sheet'!R28</f>
        <v>0</v>
      </c>
      <c r="S22" s="2">
        <f>S11/'Output-Calculation-sheet'!S10*'Output-Calculation-sheet'!S28</f>
        <v>215.90947321578668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84.753428484719095</v>
      </c>
      <c r="Y22" s="2">
        <f>Y11/'Output-Calculation-sheet'!Y10*'Output-Calculation-sheet'!Y28</f>
        <v>34.547891295678099</v>
      </c>
      <c r="AA22" s="2">
        <f t="shared" si="0"/>
        <v>10.886523641713051</v>
      </c>
    </row>
    <row r="23" spans="1:27" x14ac:dyDescent="0.25">
      <c r="A23" s="2">
        <v>2035</v>
      </c>
      <c r="B23" s="2">
        <f>B12/'Output-Calculation-sheet'!B11*'Output-Calculation-sheet'!B29</f>
        <v>936.34114808020388</v>
      </c>
      <c r="C23" s="2">
        <f>C12/'Output-Calculation-sheet'!C11*'Output-Calculation-sheet'!C29</f>
        <v>175.97204548527077</v>
      </c>
      <c r="D23" s="2">
        <f>D12/'Output-Calculation-sheet'!D11*'Output-Calculation-sheet'!D29</f>
        <v>0</v>
      </c>
      <c r="E23" s="2">
        <f>E12/'Output-Calculation-sheet'!E11*'Output-Calculation-sheet'!E29</f>
        <v>2370.8163948256069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285.44411924816808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1195.1346025240903</v>
      </c>
      <c r="M23" s="2">
        <f>M12/'Output-Calculation-sheet'!M11*'Output-Calculation-sheet'!M29</f>
        <v>239.33833163431024</v>
      </c>
      <c r="N23" s="2">
        <f>N12/'Output-Calculation-sheet'!N11*'Output-Calculation-sheet'!N29</f>
        <v>166.91916504422431</v>
      </c>
      <c r="O23" s="2">
        <f>O12/'Output-Calculation-sheet'!O11*'Output-Calculation-sheet'!O29</f>
        <v>19.284311902709586</v>
      </c>
      <c r="P23" s="2">
        <f>P12/'Output-Calculation-sheet'!P11*'Output-Calculation-sheet'!P29</f>
        <v>33.21678339292572</v>
      </c>
      <c r="Q23" s="2">
        <f>Q12/'Output-Calculation-sheet'!Q11*'Output-Calculation-sheet'!Q29</f>
        <v>465.73871326135497</v>
      </c>
      <c r="R23" s="2">
        <f>R12/'Output-Calculation-sheet'!R11*'Output-Calculation-sheet'!R29</f>
        <v>0</v>
      </c>
      <c r="S23" s="2">
        <f>S12/'Output-Calculation-sheet'!S11*'Output-Calculation-sheet'!S29</f>
        <v>99.164996225590286</v>
      </c>
      <c r="T23" s="2">
        <f>T12/'Output-Calculation-sheet'!T11*'Output-Calculation-sheet'!T29</f>
        <v>0</v>
      </c>
      <c r="U23" s="2">
        <f>U12/'Output-Calculation-sheet'!U11*'Output-Calculation-sheet'!U29</f>
        <v>108.11491439001891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8.6751665310670294</v>
      </c>
      <c r="Y23" s="2">
        <f>Y12/'Output-Calculation-sheet'!Y11*'Output-Calculation-sheet'!Y29</f>
        <v>73.470500697629788</v>
      </c>
      <c r="AA23" s="2">
        <f t="shared" si="0"/>
        <v>6.1776311932431716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22107.446317083533</v>
      </c>
      <c r="C30" s="2">
        <f>C8/'Output-Calculation-sheet'!C7*'Output-Calculation-sheet'!C16</f>
        <v>0</v>
      </c>
      <c r="D30" s="2">
        <f>D8/'Output-Calculation-sheet'!D7*'Output-Calculation-sheet'!D16</f>
        <v>3722.5739560969523</v>
      </c>
      <c r="E30" s="2">
        <f>E8/'Output-Calculation-sheet'!E7*'Output-Calculation-sheet'!E16</f>
        <v>4005.2844056720787</v>
      </c>
      <c r="F30" s="2">
        <f>F8/'Output-Calculation-sheet'!F7*'Output-Calculation-sheet'!F16</f>
        <v>2020.7203166602537</v>
      </c>
      <c r="G30" s="2">
        <f>G8/'Output-Calculation-sheet'!G7*'Output-Calculation-sheet'!G16</f>
        <v>1323.3142040403134</v>
      </c>
      <c r="H30" s="2">
        <f>H8/'Output-Calculation-sheet'!H7*'Output-Calculation-sheet'!H16</f>
        <v>0</v>
      </c>
      <c r="I30" s="2">
        <f>I8/'Output-Calculation-sheet'!I7*'Output-Calculation-sheet'!I16</f>
        <v>1290.048969713549</v>
      </c>
      <c r="J30" s="2">
        <f>J8/'Output-Calculation-sheet'!J7*'Output-Calculation-sheet'!J16</f>
        <v>1148.375827789785</v>
      </c>
      <c r="K30" s="2">
        <f>K8/'Output-Calculation-sheet'!K7*'Output-Calculation-sheet'!K16</f>
        <v>1533.3025587467025</v>
      </c>
      <c r="L30" s="2">
        <f>L8/'Output-Calculation-sheet'!L7*'Output-Calculation-sheet'!L16</f>
        <v>1295.14309201682</v>
      </c>
      <c r="M30" s="2">
        <f>M8/'Output-Calculation-sheet'!M7*'Output-Calculation-sheet'!M16</f>
        <v>0</v>
      </c>
      <c r="N30" s="2">
        <f>N8/'Output-Calculation-sheet'!N7*'Output-Calculation-sheet'!N16</f>
        <v>1190.7137096181375</v>
      </c>
      <c r="O30" s="2">
        <f>O8/'Output-Calculation-sheet'!O7*'Output-Calculation-sheet'!O16</f>
        <v>0</v>
      </c>
      <c r="P30" s="2">
        <f>P8/'Output-Calculation-sheet'!P7*'Output-Calculation-sheet'!P16</f>
        <v>1653.4177169056322</v>
      </c>
      <c r="Q30" s="2">
        <f>Q8/'Output-Calculation-sheet'!Q7*'Output-Calculation-sheet'!Q16</f>
        <v>1818.2218808484226</v>
      </c>
      <c r="R30" s="2">
        <f>R8/'Output-Calculation-sheet'!R7*'Output-Calculation-sheet'!R16</f>
        <v>1153.6682805852506</v>
      </c>
      <c r="S30" s="2">
        <f>S8/'Output-Calculation-sheet'!S7*'Output-Calculation-sheet'!S16</f>
        <v>1160.2537043367508</v>
      </c>
      <c r="T30" s="2">
        <f>T8/'Output-Calculation-sheet'!T7*'Output-Calculation-sheet'!T16</f>
        <v>346.31248153454169</v>
      </c>
      <c r="U30" s="2">
        <f>U8/'Output-Calculation-sheet'!U7*'Output-Calculation-sheet'!U16</f>
        <v>345.69503711872659</v>
      </c>
      <c r="V30" s="2">
        <f>V8/'Output-Calculation-sheet'!V7*'Output-Calculation-sheet'!V16</f>
        <v>269.04670782943299</v>
      </c>
      <c r="W30" s="2">
        <f>W8/'Output-Calculation-sheet'!W7*'Output-Calculation-sheet'!W16</f>
        <v>163.19241433135733</v>
      </c>
      <c r="X30" s="2">
        <f>X8/'Output-Calculation-sheet'!X7*'Output-Calculation-sheet'!X16</f>
        <v>0</v>
      </c>
      <c r="Y30" s="2">
        <f>Y8/'Output-Calculation-sheet'!Y7*'Output-Calculation-sheet'!Y16</f>
        <v>138.12135931237387</v>
      </c>
      <c r="AA30" s="2">
        <f t="shared" si="1"/>
        <v>46.684852940240617</v>
      </c>
    </row>
    <row r="31" spans="1:27" x14ac:dyDescent="0.25">
      <c r="A31" s="2">
        <v>2032</v>
      </c>
      <c r="B31" s="2">
        <f>B9/'Output-Calculation-sheet'!B8*'Output-Calculation-sheet'!B17</f>
        <v>26224.956379843286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1025.4234334323382</v>
      </c>
      <c r="O31" s="2">
        <f>O9/'Output-Calculation-sheet'!O8*'Output-Calculation-sheet'!O17</f>
        <v>0</v>
      </c>
      <c r="P31" s="2">
        <f>P9/'Output-Calculation-sheet'!P8*'Output-Calculation-sheet'!P17</f>
        <v>2562.8767120114835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848.70993385850204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60.084484311376443</v>
      </c>
    </row>
    <row r="32" spans="1:27" x14ac:dyDescent="0.25">
      <c r="A32" s="2">
        <v>2033</v>
      </c>
      <c r="B32" s="2">
        <f>B10/'Output-Calculation-sheet'!B9*'Output-Calculation-sheet'!B18</f>
        <v>20392.165904990939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3192.5247434944799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825.37681836311913</v>
      </c>
      <c r="O32" s="2">
        <f>O10/'Output-Calculation-sheet'!O9*'Output-Calculation-sheet'!O18</f>
        <v>0</v>
      </c>
      <c r="P32" s="2">
        <f>P10/'Output-Calculation-sheet'!P9*'Output-Calculation-sheet'!P18</f>
        <v>3285.8074156067787</v>
      </c>
      <c r="Q32" s="2">
        <f>Q10/'Output-Calculation-sheet'!Q9*'Output-Calculation-sheet'!Q18</f>
        <v>3042.5498814810694</v>
      </c>
      <c r="R32" s="2">
        <f>R10/'Output-Calculation-sheet'!R9*'Output-Calculation-sheet'!R18</f>
        <v>2359.4928474239291</v>
      </c>
      <c r="S32" s="2">
        <f>S10/'Output-Calculation-sheet'!S9*'Output-Calculation-sheet'!S18</f>
        <v>750.84893880350273</v>
      </c>
      <c r="T32" s="2">
        <f>T10/'Output-Calculation-sheet'!T9*'Output-Calculation-sheet'!T18</f>
        <v>688.9085646635458</v>
      </c>
      <c r="U32" s="2">
        <f>U10/'Output-Calculation-sheet'!U9*'Output-Calculation-sheet'!U18</f>
        <v>761.56566062063541</v>
      </c>
      <c r="V32" s="2">
        <f>V10/'Output-Calculation-sheet'!V9*'Output-Calculation-sheet'!V18</f>
        <v>562.08935762252224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325.47937059238086</v>
      </c>
      <c r="AA32" s="2">
        <f t="shared" si="1"/>
        <v>64.828528933399838</v>
      </c>
    </row>
    <row r="33" spans="1:27" x14ac:dyDescent="0.25">
      <c r="A33" s="2">
        <v>2034</v>
      </c>
      <c r="B33" s="2">
        <f>B11/'Output-Calculation-sheet'!B10*'Output-Calculation-sheet'!B19</f>
        <v>13790.008930250689</v>
      </c>
      <c r="C33" s="2">
        <f>C11/'Output-Calculation-sheet'!C10*'Output-Calculation-sheet'!C19</f>
        <v>0</v>
      </c>
      <c r="D33" s="2">
        <f>D11/'Output-Calculation-sheet'!D10*'Output-Calculation-sheet'!D19</f>
        <v>9173.6690862858177</v>
      </c>
      <c r="E33" s="2">
        <f>E11/'Output-Calculation-sheet'!E10*'Output-Calculation-sheet'!E19</f>
        <v>11351.386958937494</v>
      </c>
      <c r="F33" s="2">
        <f>F11/'Output-Calculation-sheet'!F10*'Output-Calculation-sheet'!F19</f>
        <v>5206.7297302739889</v>
      </c>
      <c r="G33" s="2">
        <f>G11/'Output-Calculation-sheet'!G10*'Output-Calculation-sheet'!G19</f>
        <v>3122.4790721068762</v>
      </c>
      <c r="H33" s="2">
        <f>H11/'Output-Calculation-sheet'!H10*'Output-Calculation-sheet'!H19</f>
        <v>0</v>
      </c>
      <c r="I33" s="2">
        <f>I11/'Output-Calculation-sheet'!I10*'Output-Calculation-sheet'!I19</f>
        <v>3407.4444926678057</v>
      </c>
      <c r="J33" s="2">
        <f>J11/'Output-Calculation-sheet'!J10*'Output-Calculation-sheet'!J19</f>
        <v>2881.1345021684274</v>
      </c>
      <c r="K33" s="2">
        <f>K11/'Output-Calculation-sheet'!K10*'Output-Calculation-sheet'!K19</f>
        <v>3996.2356019179956</v>
      </c>
      <c r="L33" s="2">
        <f>L11/'Output-Calculation-sheet'!L10*'Output-Calculation-sheet'!L19</f>
        <v>3250.4126968968076</v>
      </c>
      <c r="M33" s="2">
        <f>M11/'Output-Calculation-sheet'!M10*'Output-Calculation-sheet'!M19</f>
        <v>0</v>
      </c>
      <c r="N33" s="2">
        <f>N11/'Output-Calculation-sheet'!N10*'Output-Calculation-sheet'!N19</f>
        <v>617.01030120318808</v>
      </c>
      <c r="O33" s="2">
        <f>O11/'Output-Calculation-sheet'!O10*'Output-Calculation-sheet'!O19</f>
        <v>0</v>
      </c>
      <c r="P33" s="2">
        <f>P11/'Output-Calculation-sheet'!P10*'Output-Calculation-sheet'!P19</f>
        <v>3054.3015246711921</v>
      </c>
      <c r="Q33" s="2">
        <f>Q11/'Output-Calculation-sheet'!Q10*'Output-Calculation-sheet'!Q19</f>
        <v>1946.9987329697933</v>
      </c>
      <c r="R33" s="2">
        <f>R11/'Output-Calculation-sheet'!R10*'Output-Calculation-sheet'!R19</f>
        <v>2886.8992308623256</v>
      </c>
      <c r="S33" s="2">
        <f>S11/'Output-Calculation-sheet'!S10*'Output-Calculation-sheet'!S19</f>
        <v>392.23286572867011</v>
      </c>
      <c r="T33" s="2">
        <f>T11/'Output-Calculation-sheet'!T10*'Output-Calculation-sheet'!T19</f>
        <v>847.01010902039332</v>
      </c>
      <c r="U33" s="2">
        <f>U11/'Output-Calculation-sheet'!U10*'Output-Calculation-sheet'!U19</f>
        <v>974.24194790207309</v>
      </c>
      <c r="V33" s="2">
        <f>V11/'Output-Calculation-sheet'!V10*'Output-Calculation-sheet'!V19</f>
        <v>664.39529817399944</v>
      </c>
      <c r="W33" s="2">
        <f>W11/'Output-Calculation-sheet'!W10*'Output-Calculation-sheet'!W19</f>
        <v>413.62231244079106</v>
      </c>
      <c r="X33" s="2">
        <f>X11/'Output-Calculation-sheet'!X10*'Output-Calculation-sheet'!X19</f>
        <v>0</v>
      </c>
      <c r="Y33" s="2">
        <f>Y11/'Output-Calculation-sheet'!Y10*'Output-Calculation-sheet'!Y19</f>
        <v>338.68794890699763</v>
      </c>
      <c r="AA33" s="2">
        <f t="shared" si="1"/>
        <v>68.31490134338533</v>
      </c>
    </row>
    <row r="34" spans="1:27" x14ac:dyDescent="0.25">
      <c r="A34" s="2">
        <v>2035</v>
      </c>
      <c r="B34" s="2">
        <f>B12/'Output-Calculation-sheet'!B11*'Output-Calculation-sheet'!B20</f>
        <v>191.38421089777066</v>
      </c>
      <c r="C34" s="2">
        <f>C12/'Output-Calculation-sheet'!C11*'Output-Calculation-sheet'!C20</f>
        <v>0</v>
      </c>
      <c r="D34" s="2">
        <f>D12/'Output-Calculation-sheet'!D11*'Output-Calculation-sheet'!D20</f>
        <v>8524.1844664189357</v>
      </c>
      <c r="E34" s="2">
        <f>E12/'Output-Calculation-sheet'!E11*'Output-Calculation-sheet'!E20</f>
        <v>5031.2550786461452</v>
      </c>
      <c r="F34" s="2">
        <f>F12/'Output-Calculation-sheet'!F11*'Output-Calculation-sheet'!F20</f>
        <v>5821.9170324367042</v>
      </c>
      <c r="G34" s="2">
        <f>G12/'Output-Calculation-sheet'!G11*'Output-Calculation-sheet'!G20</f>
        <v>3139.6122482519572</v>
      </c>
      <c r="H34" s="2">
        <f>H12/'Output-Calculation-sheet'!H11*'Output-Calculation-sheet'!H20</f>
        <v>0</v>
      </c>
      <c r="I34" s="2">
        <f>I12/'Output-Calculation-sheet'!I11*'Output-Calculation-sheet'!I20</f>
        <v>3418.0799114713218</v>
      </c>
      <c r="J34" s="2">
        <f>J12/'Output-Calculation-sheet'!J11*'Output-Calculation-sheet'!J20</f>
        <v>2929.4846594280393</v>
      </c>
      <c r="K34" s="2">
        <f>K12/'Output-Calculation-sheet'!K11*'Output-Calculation-sheet'!K20</f>
        <v>3851.6130889432511</v>
      </c>
      <c r="L34" s="2">
        <f>L12/'Output-Calculation-sheet'!L11*'Output-Calculation-sheet'!L20</f>
        <v>3043.0144476744499</v>
      </c>
      <c r="M34" s="2">
        <f>M12/'Output-Calculation-sheet'!M11*'Output-Calculation-sheet'!M20</f>
        <v>0</v>
      </c>
      <c r="N34" s="2">
        <f>N12/'Output-Calculation-sheet'!N11*'Output-Calculation-sheet'!N20</f>
        <v>0.58712682532664318</v>
      </c>
      <c r="O34" s="2">
        <f>O12/'Output-Calculation-sheet'!O11*'Output-Calculation-sheet'!O20</f>
        <v>0</v>
      </c>
      <c r="P34" s="2">
        <f>P12/'Output-Calculation-sheet'!P11*'Output-Calculation-sheet'!P20</f>
        <v>958.70530364545243</v>
      </c>
      <c r="Q34" s="2">
        <f>Q12/'Output-Calculation-sheet'!Q11*'Output-Calculation-sheet'!Q20</f>
        <v>1492.730954300232</v>
      </c>
      <c r="R34" s="2">
        <f>R12/'Output-Calculation-sheet'!R11*'Output-Calculation-sheet'!R20</f>
        <v>3024.5493410130221</v>
      </c>
      <c r="S34" s="2">
        <f>S12/'Output-Calculation-sheet'!S11*'Output-Calculation-sheet'!S20</f>
        <v>6.2298582101937905</v>
      </c>
      <c r="T34" s="2">
        <f>T12/'Output-Calculation-sheet'!T11*'Output-Calculation-sheet'!T20</f>
        <v>945.15916922814608</v>
      </c>
      <c r="U34" s="2">
        <f>U12/'Output-Calculation-sheet'!U11*'Output-Calculation-sheet'!U20</f>
        <v>864.10483042197131</v>
      </c>
      <c r="V34" s="2">
        <f>V12/'Output-Calculation-sheet'!V11*'Output-Calculation-sheet'!V20</f>
        <v>791.63241025999082</v>
      </c>
      <c r="W34" s="2">
        <f>W12/'Output-Calculation-sheet'!W11*'Output-Calculation-sheet'!W20</f>
        <v>511.46312500392844</v>
      </c>
      <c r="X34" s="2">
        <f>X12/'Output-Calculation-sheet'!X11*'Output-Calculation-sheet'!X20</f>
        <v>0</v>
      </c>
      <c r="Y34" s="2">
        <f>Y12/'Output-Calculation-sheet'!Y11*'Output-Calculation-sheet'!Y20</f>
        <v>127.3363145355594</v>
      </c>
      <c r="AA34" s="2">
        <f t="shared" si="1"/>
        <v>44.673043577612397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0.12709151303282959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0.12739655670259353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1.8568543415707725E-2</v>
      </c>
      <c r="I45" s="2">
        <f>I12/'Output-Calculation-sheet'!I11*'Output-Calculation-sheet'!I38*0.0114</f>
        <v>6.8961167184292321E-2</v>
      </c>
      <c r="J45" s="2">
        <f>J12/'Output-Calculation-sheet'!J11*'Output-Calculation-sheet'!J38*0.0114</f>
        <v>5.1186533902975929E-2</v>
      </c>
      <c r="K45" s="2">
        <f>K12/'Output-Calculation-sheet'!K11*'Output-Calculation-sheet'!K38*0.0114</f>
        <v>8.4722312893918336E-2</v>
      </c>
      <c r="L45" s="2">
        <f>L12/'Output-Calculation-sheet'!L11*'Output-Calculation-sheet'!L38*0.0114</f>
        <v>5.3893826399678928E-2</v>
      </c>
      <c r="M45" s="2">
        <f>M12/'Output-Calculation-sheet'!M11*'Output-Calculation-sheet'!M38*0.0114</f>
        <v>1.2776964951795344E-2</v>
      </c>
      <c r="N45" s="2">
        <f>N12/'Output-Calculation-sheet'!N11*'Output-Calculation-sheet'!N38*0.0114</f>
        <v>1.2557684444134581E-2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1.1601094656393899E-2</v>
      </c>
      <c r="Q45" s="2">
        <f>Q12/'Output-Calculation-sheet'!Q11*'Output-Calculation-sheet'!Q38*0.0114</f>
        <v>8.8019633852782261E-2</v>
      </c>
      <c r="R45" s="2">
        <f>R12/'Output-Calculation-sheet'!R11*'Output-Calculation-sheet'!R38*0.0114</f>
        <v>4.3644028225126426E-2</v>
      </c>
      <c r="S45" s="2">
        <f>S12/'Output-Calculation-sheet'!S11*'Output-Calculation-sheet'!S38*0.0114</f>
        <v>7.1984982359830953E-3</v>
      </c>
      <c r="T45" s="2">
        <f>T12/'Output-Calculation-sheet'!T11*'Output-Calculation-sheet'!T38*0.0114</f>
        <v>1.210998475131024E-2</v>
      </c>
      <c r="U45" s="2">
        <f>U12/'Output-Calculation-sheet'!U11*'Output-Calculation-sheet'!U38*0.0114</f>
        <v>1.755222222920973E-2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4.0578850601392397E-3</v>
      </c>
      <c r="AA45" s="2">
        <f t="shared" si="2"/>
        <v>1.1950475163776753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0.1672092260709038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209.19482249696097</v>
      </c>
      <c r="R54" s="2">
        <f>R10/'Output-Calculation-sheet'!R9*'Output-Calculation-sheet'!R45</f>
        <v>1566.0275438483955</v>
      </c>
      <c r="S54" s="2">
        <f>S10/'Output-Calculation-sheet'!S9*'Output-Calculation-sheet'!S45</f>
        <v>0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19.51942192837415</v>
      </c>
      <c r="AA54" s="2">
        <f t="shared" si="3"/>
        <v>5.1530503442901798</v>
      </c>
    </row>
    <row r="55" spans="1:27" x14ac:dyDescent="0.25">
      <c r="A55" s="2">
        <v>2034</v>
      </c>
      <c r="B55" s="2">
        <f>B11/'Output-Calculation-sheet'!B10*'Output-Calculation-sheet'!B46</f>
        <v>1802.5982666289069</v>
      </c>
      <c r="C55" s="2">
        <f>C11/'Output-Calculation-sheet'!C10*'Output-Calculation-sheet'!C46</f>
        <v>0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614.52141488085306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3786.0178803796093</v>
      </c>
      <c r="L55" s="2">
        <f>L11/'Output-Calculation-sheet'!L10*'Output-Calculation-sheet'!L46</f>
        <v>1400.1283850406419</v>
      </c>
      <c r="M55" s="2">
        <f>M11/'Output-Calculation-sheet'!M10*'Output-Calculation-sheet'!M46</f>
        <v>455.4704370431906</v>
      </c>
      <c r="N55" s="2">
        <f>N11/'Output-Calculation-sheet'!N10*'Output-Calculation-sheet'!N46</f>
        <v>155.5507112940968</v>
      </c>
      <c r="O55" s="2">
        <f>O11/'Output-Calculation-sheet'!O10*'Output-Calculation-sheet'!O46</f>
        <v>0</v>
      </c>
      <c r="P55" s="2">
        <f>P11/'Output-Calculation-sheet'!P10*'Output-Calculation-sheet'!P46</f>
        <v>3383.0193335382737</v>
      </c>
      <c r="Q55" s="2">
        <f>Q11/'Output-Calculation-sheet'!Q10*'Output-Calculation-sheet'!Q46</f>
        <v>725.12601898281832</v>
      </c>
      <c r="R55" s="2">
        <f>R11/'Output-Calculation-sheet'!R10*'Output-Calculation-sheet'!R46</f>
        <v>4193.8850872550565</v>
      </c>
      <c r="S55" s="2">
        <f>S11/'Output-Calculation-sheet'!S10*'Output-Calculation-sheet'!S46</f>
        <v>0</v>
      </c>
      <c r="T55" s="2">
        <f>T11/'Output-Calculation-sheet'!T10*'Output-Calculation-sheet'!T46</f>
        <v>949.65062326995098</v>
      </c>
      <c r="U55" s="2">
        <f>U11/'Output-Calculation-sheet'!U10*'Output-Calculation-sheet'!U46</f>
        <v>1592.2929162686005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43.471792553247369</v>
      </c>
      <c r="Y55" s="2">
        <f>Y11/'Output-Calculation-sheet'!Y10*'Output-Calculation-sheet'!Y46</f>
        <v>302.35496108346763</v>
      </c>
      <c r="AA55" s="2">
        <f t="shared" si="3"/>
        <v>45.261160479904376</v>
      </c>
    </row>
    <row r="56" spans="1:27" x14ac:dyDescent="0.25">
      <c r="A56" s="2">
        <v>2035</v>
      </c>
      <c r="B56" s="2">
        <f>B12/'Output-Calculation-sheet'!B11*'Output-Calculation-sheet'!B47</f>
        <v>457.08351178473794</v>
      </c>
      <c r="C56" s="2">
        <f>C12/'Output-Calculation-sheet'!C11*'Output-Calculation-sheet'!C47</f>
        <v>359.80693066116646</v>
      </c>
      <c r="D56" s="2">
        <f>D12/'Output-Calculation-sheet'!D11*'Output-Calculation-sheet'!D47</f>
        <v>8315.0199977605025</v>
      </c>
      <c r="E56" s="2">
        <f>E12/'Output-Calculation-sheet'!E11*'Output-Calculation-sheet'!E47</f>
        <v>10128.398762407947</v>
      </c>
      <c r="F56" s="2">
        <f>F12/'Output-Calculation-sheet'!F11*'Output-Calculation-sheet'!F47</f>
        <v>2640.3326222304804</v>
      </c>
      <c r="G56" s="2">
        <f>G12/'Output-Calculation-sheet'!G11*'Output-Calculation-sheet'!G47</f>
        <v>6517.0671836907459</v>
      </c>
      <c r="H56" s="2">
        <f>H12/'Output-Calculation-sheet'!H11*'Output-Calculation-sheet'!H47</f>
        <v>135.19202662313518</v>
      </c>
      <c r="I56" s="2">
        <f>I12/'Output-Calculation-sheet'!I11*'Output-Calculation-sheet'!I47</f>
        <v>3254.4831530832694</v>
      </c>
      <c r="J56" s="2">
        <f>J12/'Output-Calculation-sheet'!J11*'Output-Calculation-sheet'!J47</f>
        <v>2970.9143215616145</v>
      </c>
      <c r="K56" s="2">
        <f>K12/'Output-Calculation-sheet'!K11*'Output-Calculation-sheet'!K47</f>
        <v>4234.6292883293572</v>
      </c>
      <c r="L56" s="2">
        <f>L12/'Output-Calculation-sheet'!L11*'Output-Calculation-sheet'!L47</f>
        <v>2353.1273763544023</v>
      </c>
      <c r="M56" s="2">
        <f>M12/'Output-Calculation-sheet'!M11*'Output-Calculation-sheet'!M47</f>
        <v>94.146057539544643</v>
      </c>
      <c r="N56" s="2">
        <f>N12/'Output-Calculation-sheet'!N11*'Output-Calculation-sheet'!N47</f>
        <v>87.022550095318593</v>
      </c>
      <c r="O56" s="2">
        <f>O12/'Output-Calculation-sheet'!O11*'Output-Calculation-sheet'!O47</f>
        <v>12.335380748001867</v>
      </c>
      <c r="P56" s="2">
        <f>P12/'Output-Calculation-sheet'!P11*'Output-Calculation-sheet'!P47</f>
        <v>1246.6088556212742</v>
      </c>
      <c r="Q56" s="2">
        <f>Q12/'Output-Calculation-sheet'!Q11*'Output-Calculation-sheet'!Q47</f>
        <v>1109.8966988015306</v>
      </c>
      <c r="R56" s="2">
        <f>R12/'Output-Calculation-sheet'!R11*'Output-Calculation-sheet'!R47</f>
        <v>5016.1919282431491</v>
      </c>
      <c r="S56" s="2">
        <f>S12/'Output-Calculation-sheet'!S11*'Output-Calculation-sheet'!S47</f>
        <v>39.78117446201184</v>
      </c>
      <c r="T56" s="2">
        <f>T12/'Output-Calculation-sheet'!T11*'Output-Calculation-sheet'!T47</f>
        <v>1767.9869550670185</v>
      </c>
      <c r="U56" s="2">
        <f>U12/'Output-Calculation-sheet'!U11*'Output-Calculation-sheet'!U47</f>
        <v>1687.1688700673703</v>
      </c>
      <c r="V56" s="2">
        <f>V12/'Output-Calculation-sheet'!V11*'Output-Calculation-sheet'!V47</f>
        <v>1177.7212551761152</v>
      </c>
      <c r="W56" s="2">
        <f>W12/'Output-Calculation-sheet'!W11*'Output-Calculation-sheet'!W47</f>
        <v>684.88721961267152</v>
      </c>
      <c r="X56" s="2">
        <f>X12/'Output-Calculation-sheet'!X11*'Output-Calculation-sheet'!X47</f>
        <v>10.573923518173457</v>
      </c>
      <c r="Y56" s="2">
        <f>Y12/'Output-Calculation-sheet'!Y11*'Output-Calculation-sheet'!Y47</f>
        <v>273.84791575442591</v>
      </c>
      <c r="AA56" s="2">
        <f t="shared" si="3"/>
        <v>54.574223959193972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8.4044829625279949</v>
      </c>
      <c r="C63" s="2">
        <f>C8*'Output-Calculation-sheet'!C52/10^9</f>
        <v>3.9600650902815673</v>
      </c>
      <c r="D63" s="2">
        <f>D8*'Output-Calculation-sheet'!D52/10^9</f>
        <v>1.9678311047665278</v>
      </c>
      <c r="E63" s="2">
        <f>E8*'Output-Calculation-sheet'!E52/10^9</f>
        <v>2.251285524178102</v>
      </c>
      <c r="F63" s="2">
        <f>F8*'Output-Calculation-sheet'!F52/10^9</f>
        <v>1.052331354957285</v>
      </c>
      <c r="G63" s="2">
        <f>G8*'Output-Calculation-sheet'!G52/10^9</f>
        <v>0.80268224252245257</v>
      </c>
      <c r="H63" s="2">
        <f>H8*'Output-Calculation-sheet'!H52/10^9</f>
        <v>1.0922425100387538</v>
      </c>
      <c r="I63" s="2">
        <f>I8*'Output-Calculation-sheet'!I52/10^9</f>
        <v>0.63406563223742107</v>
      </c>
      <c r="J63" s="2">
        <f>J8*'Output-Calculation-sheet'!J52/10^9</f>
        <v>0.89635817337138324</v>
      </c>
      <c r="K63" s="2">
        <f>K8*'Output-Calculation-sheet'!K52/10^9</f>
        <v>0.58841512820077047</v>
      </c>
      <c r="L63" s="2">
        <f>L8*'Output-Calculation-sheet'!L52/10^9</f>
        <v>0.69665940129397197</v>
      </c>
      <c r="M63" s="2">
        <f>M8*'Output-Calculation-sheet'!M52/10^9</f>
        <v>0.80210889639452909</v>
      </c>
      <c r="N63" s="2">
        <f>N8*'Output-Calculation-sheet'!N52/10^9</f>
        <v>0.69361812008567625</v>
      </c>
      <c r="O63" s="2">
        <f>O8*'Output-Calculation-sheet'!O52/10^9</f>
        <v>0.70918260824180956</v>
      </c>
      <c r="P63" s="2">
        <f>P8*'Output-Calculation-sheet'!P52/10^9</f>
        <v>0.59842832249887734</v>
      </c>
      <c r="Q63" s="2">
        <f>Q8*'Output-Calculation-sheet'!Q52/10^9</f>
        <v>0.55820343878379386</v>
      </c>
      <c r="R63" s="2">
        <f>R8*'Output-Calculation-sheet'!R52/10^9</f>
        <v>0.50560196797057422</v>
      </c>
      <c r="S63" s="2">
        <f>S8*'Output-Calculation-sheet'!S52/10^9</f>
        <v>0.42898446422321868</v>
      </c>
      <c r="T63" s="2">
        <f>T8*'Output-Calculation-sheet'!T52/10^9</f>
        <v>0.20535561512463238</v>
      </c>
      <c r="U63" s="2">
        <f>U8*'Output-Calculation-sheet'!U52/10^9</f>
        <v>0.16014651180514566</v>
      </c>
      <c r="V63" s="2">
        <f>V8*'Output-Calculation-sheet'!V52/10^9</f>
        <v>0.26515485241755637</v>
      </c>
      <c r="W63" s="2">
        <f>W8*'Output-Calculation-sheet'!W52/10^9</f>
        <v>0.11127102480553344</v>
      </c>
      <c r="X63" s="2">
        <f>X8*'Output-Calculation-sheet'!X52/10^9</f>
        <v>0.104298337962795</v>
      </c>
      <c r="Y63" s="2">
        <f>Y8*'Output-Calculation-sheet'!Y52/10^9</f>
        <v>6.4254880531813718E-2</v>
      </c>
      <c r="AA63" s="2">
        <f t="shared" si="4"/>
        <v>27.55302816522218</v>
      </c>
    </row>
    <row r="64" spans="1:27" x14ac:dyDescent="0.25">
      <c r="A64" s="2">
        <v>2032</v>
      </c>
      <c r="B64" s="2">
        <f>B9*'Output-Calculation-sheet'!B53/10^9</f>
        <v>8.7750243277597626</v>
      </c>
      <c r="C64" s="2">
        <f>C9*'Output-Calculation-sheet'!C53/10^9</f>
        <v>4.2181708420322668</v>
      </c>
      <c r="D64" s="2">
        <f>D9*'Output-Calculation-sheet'!D53/10^9</f>
        <v>1.8440704609039178</v>
      </c>
      <c r="E64" s="2">
        <f>E9*'Output-Calculation-sheet'!E53/10^9</f>
        <v>2.1531679220767952</v>
      </c>
      <c r="F64" s="2">
        <f>F9*'Output-Calculation-sheet'!F53/10^9</f>
        <v>0.98805242650641345</v>
      </c>
      <c r="G64" s="2">
        <f>G9*'Output-Calculation-sheet'!G53/10^9</f>
        <v>0.73981280284209605</v>
      </c>
      <c r="H64" s="2">
        <f>H9*'Output-Calculation-sheet'!H53/10^9</f>
        <v>1.192564595908874</v>
      </c>
      <c r="I64" s="2">
        <f>I9*'Output-Calculation-sheet'!I53/10^9</f>
        <v>0.59993743641211117</v>
      </c>
      <c r="J64" s="2">
        <f>J9*'Output-Calculation-sheet'!J53/10^9</f>
        <v>0.80524400254870931</v>
      </c>
      <c r="K64" s="2">
        <f>K9*'Output-Calculation-sheet'!K53/10^9</f>
        <v>0.59445022094572331</v>
      </c>
      <c r="L64" s="2">
        <f>L9*'Output-Calculation-sheet'!L53/10^9</f>
        <v>0.66737207247296859</v>
      </c>
      <c r="M64" s="2">
        <f>M9*'Output-Calculation-sheet'!M53/10^9</f>
        <v>0.86279028800740509</v>
      </c>
      <c r="N64" s="2">
        <f>N9*'Output-Calculation-sheet'!N53/10^9</f>
        <v>0.77095384710442894</v>
      </c>
      <c r="O64" s="2">
        <f>O9*'Output-Calculation-sheet'!O53/10^9</f>
        <v>0.77059717420265061</v>
      </c>
      <c r="P64" s="2">
        <f>P9*'Output-Calculation-sheet'!P53/10^9</f>
        <v>0.63431298432515715</v>
      </c>
      <c r="Q64" s="2">
        <f>Q9*'Output-Calculation-sheet'!Q53/10^9</f>
        <v>0.60166151131496237</v>
      </c>
      <c r="R64" s="2">
        <f>R9*'Output-Calculation-sheet'!R53/10^9</f>
        <v>0.51184503143674365</v>
      </c>
      <c r="S64" s="2">
        <f>S9*'Output-Calculation-sheet'!S53/10^9</f>
        <v>0.46664854745490325</v>
      </c>
      <c r="T64" s="2">
        <f>T9*'Output-Calculation-sheet'!T53/10^9</f>
        <v>0.19133738150339216</v>
      </c>
      <c r="U64" s="2">
        <f>U9*'Output-Calculation-sheet'!U53/10^9</f>
        <v>0.16301843202522517</v>
      </c>
      <c r="V64" s="2">
        <f>V9*'Output-Calculation-sheet'!V53/10^9</f>
        <v>0.23759356534895404</v>
      </c>
      <c r="W64" s="2">
        <f>W9*'Output-Calculation-sheet'!W53/10^9</f>
        <v>0.10127028866740578</v>
      </c>
      <c r="X64" s="2">
        <f>X9*'Output-Calculation-sheet'!X53/10^9</f>
        <v>0.10831987316263234</v>
      </c>
      <c r="Y64" s="2">
        <f>Y9*'Output-Calculation-sheet'!Y53/10^9</f>
        <v>6.4413572052655771E-2</v>
      </c>
      <c r="AA64" s="2">
        <f t="shared" si="4"/>
        <v>28.062629607016149</v>
      </c>
    </row>
    <row r="65" spans="1:27" x14ac:dyDescent="0.25">
      <c r="A65" s="2">
        <v>2033</v>
      </c>
      <c r="B65" s="2">
        <f>B10*'Output-Calculation-sheet'!B54/10^9</f>
        <v>8.7395072097330324</v>
      </c>
      <c r="C65" s="2">
        <f>C10*'Output-Calculation-sheet'!C54/10^9</f>
        <v>4.2207111746439923</v>
      </c>
      <c r="D65" s="2">
        <f>D10*'Output-Calculation-sheet'!D54/10^9</f>
        <v>1.6006977239474656</v>
      </c>
      <c r="E65" s="2">
        <f>E10*'Output-Calculation-sheet'!E54/10^9</f>
        <v>2.038509741393753</v>
      </c>
      <c r="F65" s="2">
        <f>F10*'Output-Calculation-sheet'!F54/10^9</f>
        <v>0.87596422606945379</v>
      </c>
      <c r="G65" s="2">
        <f>G10*'Output-Calculation-sheet'!G54/10^9</f>
        <v>0.62364410332132847</v>
      </c>
      <c r="H65" s="2">
        <f>H10*'Output-Calculation-sheet'!H54/10^9</f>
        <v>1.2361133594785221</v>
      </c>
      <c r="I65" s="2">
        <f>I10*'Output-Calculation-sheet'!I54/10^9</f>
        <v>0.54680570737108203</v>
      </c>
      <c r="J65" s="2">
        <f>J10*'Output-Calculation-sheet'!J54/10^9</f>
        <v>0.64695717391487351</v>
      </c>
      <c r="K65" s="2">
        <f>K10*'Output-Calculation-sheet'!K54/10^9</f>
        <v>0.60543350440130705</v>
      </c>
      <c r="L65" s="2">
        <f>L10*'Output-Calculation-sheet'!L54/10^9</f>
        <v>0.62435734484500083</v>
      </c>
      <c r="M65" s="2">
        <f>M10*'Output-Calculation-sheet'!M54/10^9</f>
        <v>0.87964284444809615</v>
      </c>
      <c r="N65" s="2">
        <f>N10*'Output-Calculation-sheet'!N54/10^9</f>
        <v>0.80694228306687255</v>
      </c>
      <c r="O65" s="2">
        <f>O10*'Output-Calculation-sheet'!O54/10^9</f>
        <v>0.78815745141158811</v>
      </c>
      <c r="P65" s="2">
        <f>P10*'Output-Calculation-sheet'!P54/10^9</f>
        <v>0.65495417533971023</v>
      </c>
      <c r="Q65" s="2">
        <f>Q10*'Output-Calculation-sheet'!Q54/10^9</f>
        <v>0.64496414154634296</v>
      </c>
      <c r="R65" s="2">
        <f>R10*'Output-Calculation-sheet'!R54/10^9</f>
        <v>0.51236010272276611</v>
      </c>
      <c r="S65" s="2">
        <f>S10*'Output-Calculation-sheet'!S54/10^9</f>
        <v>0.47820647338047662</v>
      </c>
      <c r="T65" s="2">
        <f>T10*'Output-Calculation-sheet'!T54/10^9</f>
        <v>0.17350902516055977</v>
      </c>
      <c r="U65" s="2">
        <f>U10*'Output-Calculation-sheet'!U54/10^9</f>
        <v>0.16664240389661028</v>
      </c>
      <c r="V65" s="2">
        <f>V10*'Output-Calculation-sheet'!V54/10^9</f>
        <v>0.19634776990055386</v>
      </c>
      <c r="W65" s="2">
        <f>W10*'Output-Calculation-sheet'!W54/10^9</f>
        <v>8.3913560235609738E-2</v>
      </c>
      <c r="X65" s="2">
        <f>X10*'Output-Calculation-sheet'!X54/10^9</f>
        <v>0.10508236159040153</v>
      </c>
      <c r="Y65" s="2">
        <f>Y10*'Output-Calculation-sheet'!Y54/10^9</f>
        <v>6.5101489908524296E-2</v>
      </c>
      <c r="AA65" s="2">
        <f t="shared" si="4"/>
        <v>27.31452535172793</v>
      </c>
    </row>
    <row r="66" spans="1:27" x14ac:dyDescent="0.25">
      <c r="A66" s="2">
        <v>2034</v>
      </c>
      <c r="B66" s="2">
        <f>B11*'Output-Calculation-sheet'!B55/10^9</f>
        <v>8.3296186113003436</v>
      </c>
      <c r="C66" s="2">
        <f>C11*'Output-Calculation-sheet'!C55/10^9</f>
        <v>4.0453905917974913</v>
      </c>
      <c r="D66" s="2">
        <f>D11*'Output-Calculation-sheet'!D55/10^9</f>
        <v>1.6267124973157079</v>
      </c>
      <c r="E66" s="2">
        <f>E11*'Output-Calculation-sheet'!E55/10^9</f>
        <v>2.1069171924222156</v>
      </c>
      <c r="F66" s="2">
        <f>F11*'Output-Calculation-sheet'!F55/10^9</f>
        <v>0.82923445471922164</v>
      </c>
      <c r="G66" s="2">
        <f>G11*'Output-Calculation-sheet'!G55/10^9</f>
        <v>0.60488994735837731</v>
      </c>
      <c r="H66" s="2">
        <f>H11*'Output-Calculation-sheet'!H55/10^9</f>
        <v>1.2160525837143141</v>
      </c>
      <c r="I66" s="2">
        <f>I11*'Output-Calculation-sheet'!I55/10^9</f>
        <v>0.56231726350549216</v>
      </c>
      <c r="J66" s="2">
        <f>J11*'Output-Calculation-sheet'!J55/10^9</f>
        <v>0.56614456539560531</v>
      </c>
      <c r="K66" s="2">
        <f>K11*'Output-Calculation-sheet'!K55/10^9</f>
        <v>0.64464772518542823</v>
      </c>
      <c r="L66" s="2">
        <f>L11*'Output-Calculation-sheet'!L55/10^9</f>
        <v>0.62496468018809104</v>
      </c>
      <c r="M66" s="2">
        <f>M11*'Output-Calculation-sheet'!M55/10^9</f>
        <v>0.85260404275119261</v>
      </c>
      <c r="N66" s="2">
        <f>N11*'Output-Calculation-sheet'!N55/10^9</f>
        <v>0.80819346035499939</v>
      </c>
      <c r="O66" s="2">
        <f>O11*'Output-Calculation-sheet'!O55/10^9</f>
        <v>0.76881673511137816</v>
      </c>
      <c r="P66" s="2">
        <f>P11*'Output-Calculation-sheet'!P55/10^9</f>
        <v>0.66825188582152295</v>
      </c>
      <c r="Q66" s="2">
        <f>Q11*'Output-Calculation-sheet'!Q55/10^9</f>
        <v>0.67287969036387429</v>
      </c>
      <c r="R66" s="2">
        <f>R11*'Output-Calculation-sheet'!R55/10^9</f>
        <v>0.51315905674636741</v>
      </c>
      <c r="S66" s="2">
        <f>S11*'Output-Calculation-sheet'!S55/10^9</f>
        <v>0.46937789782689143</v>
      </c>
      <c r="T66" s="2">
        <f>T11*'Output-Calculation-sheet'!T55/10^9</f>
        <v>0.16078986336452308</v>
      </c>
      <c r="U66" s="2">
        <f>U11*'Output-Calculation-sheet'!U55/10^9</f>
        <v>0.17499586652883553</v>
      </c>
      <c r="V66" s="2">
        <f>V11*'Output-Calculation-sheet'!V55/10^9</f>
        <v>0.1519505052568991</v>
      </c>
      <c r="W66" s="2">
        <f>W11*'Output-Calculation-sheet'!W55/10^9</f>
        <v>7.4445671472055511E-2</v>
      </c>
      <c r="X66" s="2">
        <f>X11*'Output-Calculation-sheet'!X55/10^9</f>
        <v>9.7533774440845031E-2</v>
      </c>
      <c r="Y66" s="2">
        <f>Y11*'Output-Calculation-sheet'!Y55/10^9</f>
        <v>7.1154684047359071E-2</v>
      </c>
      <c r="AA66" s="2">
        <f t="shared" si="4"/>
        <v>26.641043246989032</v>
      </c>
    </row>
    <row r="67" spans="1:27" x14ac:dyDescent="0.25">
      <c r="A67" s="2">
        <v>2035</v>
      </c>
      <c r="B67" s="2">
        <f>B12*'Output-Calculation-sheet'!B56/10^9</f>
        <v>7.8873399390384478</v>
      </c>
      <c r="C67" s="2">
        <f>C12*'Output-Calculation-sheet'!C56/10^9</f>
        <v>3.6894531590612138</v>
      </c>
      <c r="D67" s="2">
        <f>D12*'Output-Calculation-sheet'!D56/10^9</f>
        <v>1.8099920745157945</v>
      </c>
      <c r="E67" s="2">
        <f>E12*'Output-Calculation-sheet'!E56/10^9</f>
        <v>2.4316371545310189</v>
      </c>
      <c r="F67" s="2">
        <f>F12*'Output-Calculation-sheet'!F56/10^9</f>
        <v>0.97180780425061475</v>
      </c>
      <c r="G67" s="2">
        <f>G12*'Output-Calculation-sheet'!G56/10^9</f>
        <v>0.71599486567920911</v>
      </c>
      <c r="H67" s="2">
        <f>H12*'Output-Calculation-sheet'!H56/10^9</f>
        <v>1.1615958879295731</v>
      </c>
      <c r="I67" s="2">
        <f>I12*'Output-Calculation-sheet'!I56/10^9</f>
        <v>0.65609419691637372</v>
      </c>
      <c r="J67" s="2">
        <f>J12*'Output-Calculation-sheet'!J56/10^9</f>
        <v>0.60076478742975903</v>
      </c>
      <c r="K67" s="2">
        <f>K12*'Output-Calculation-sheet'!K56/10^9</f>
        <v>0.71958487979835872</v>
      </c>
      <c r="L67" s="2">
        <f>L12*'Output-Calculation-sheet'!L56/10^9</f>
        <v>0.67065412743314967</v>
      </c>
      <c r="M67" s="2">
        <f>M12*'Output-Calculation-sheet'!M56/10^9</f>
        <v>0.80556483251484701</v>
      </c>
      <c r="N67" s="2">
        <f>N12*'Output-Calculation-sheet'!N56/10^9</f>
        <v>0.78558216242760981</v>
      </c>
      <c r="O67" s="2">
        <f>O12*'Output-Calculation-sheet'!O56/10^9</f>
        <v>0.71650506077692888</v>
      </c>
      <c r="P67" s="2">
        <f>P12*'Output-Calculation-sheet'!P56/10^9</f>
        <v>0.69560374754651422</v>
      </c>
      <c r="Q67" s="2">
        <f>Q12*'Output-Calculation-sheet'!Q56/10^9</f>
        <v>0.68914180994800689</v>
      </c>
      <c r="R67" s="2">
        <f>R12*'Output-Calculation-sheet'!R56/10^9</f>
        <v>0.55403725247980717</v>
      </c>
      <c r="S67" s="2">
        <f>S12*'Output-Calculation-sheet'!S56/10^9</f>
        <v>0.45085339053162726</v>
      </c>
      <c r="T67" s="2">
        <f>T12*'Output-Calculation-sheet'!T56/10^9</f>
        <v>0.17241430305808383</v>
      </c>
      <c r="U67" s="2">
        <f>U12*'Output-Calculation-sheet'!U56/10^9</f>
        <v>0.18638861783073349</v>
      </c>
      <c r="V67" s="2">
        <f>V12*'Output-Calculation-sheet'!V56/10^9</f>
        <v>0.13296944477933359</v>
      </c>
      <c r="W67" s="2">
        <f>W12*'Output-Calculation-sheet'!W56/10^9</f>
        <v>9.0259409887625888E-2</v>
      </c>
      <c r="X67" s="2">
        <f>X12*'Output-Calculation-sheet'!X56/10^9</f>
        <v>8.6390835997827722E-2</v>
      </c>
      <c r="Y67" s="2">
        <f>Y12*'Output-Calculation-sheet'!Y56/10^9</f>
        <v>8.0324972395628649E-2</v>
      </c>
      <c r="AA67" s="2">
        <f t="shared" si="4"/>
        <v>26.760954716758093</v>
      </c>
    </row>
    <row r="68" spans="1:27" x14ac:dyDescent="0.25">
      <c r="B68" s="2">
        <f>SUM(B60:B67)</f>
        <v>42.135973050359588</v>
      </c>
      <c r="C68" s="2">
        <f t="shared" ref="C68:Y68" si="5">SUM(C60:C67)</f>
        <v>20.133790857816532</v>
      </c>
      <c r="D68" s="2">
        <f t="shared" si="5"/>
        <v>8.8493038614494139</v>
      </c>
      <c r="E68" s="2">
        <f t="shared" si="5"/>
        <v>10.981517534601885</v>
      </c>
      <c r="F68" s="2">
        <f t="shared" si="5"/>
        <v>4.7173902665029885</v>
      </c>
      <c r="G68" s="2">
        <f t="shared" si="5"/>
        <v>3.4870239617234637</v>
      </c>
      <c r="H68" s="2">
        <f t="shared" si="5"/>
        <v>5.8985689370700367</v>
      </c>
      <c r="I68" s="2">
        <f t="shared" si="5"/>
        <v>2.9992202364424805</v>
      </c>
      <c r="J68" s="2">
        <f t="shared" si="5"/>
        <v>3.5154687026603306</v>
      </c>
      <c r="K68" s="2">
        <f t="shared" si="5"/>
        <v>3.152531458531588</v>
      </c>
      <c r="L68" s="2">
        <f t="shared" si="5"/>
        <v>3.2840076262331821</v>
      </c>
      <c r="M68" s="2">
        <f t="shared" si="5"/>
        <v>4.2027109041160706</v>
      </c>
      <c r="N68" s="2">
        <f t="shared" si="5"/>
        <v>3.865289873039587</v>
      </c>
      <c r="O68" s="2">
        <f t="shared" si="5"/>
        <v>3.7532590297443553</v>
      </c>
      <c r="P68" s="2">
        <f t="shared" si="5"/>
        <v>3.251551115531782</v>
      </c>
      <c r="Q68" s="2">
        <f t="shared" si="5"/>
        <v>3.1668505919569805</v>
      </c>
      <c r="R68" s="2">
        <f t="shared" si="5"/>
        <v>2.5970034113562583</v>
      </c>
      <c r="S68" s="2">
        <f t="shared" si="5"/>
        <v>2.2940707734171171</v>
      </c>
      <c r="T68" s="2">
        <f t="shared" si="5"/>
        <v>0.90340618821119123</v>
      </c>
      <c r="U68" s="2">
        <f t="shared" si="5"/>
        <v>0.85119183208655014</v>
      </c>
      <c r="V68" s="2">
        <f t="shared" si="5"/>
        <v>0.98401613770329699</v>
      </c>
      <c r="W68" s="2">
        <f t="shared" si="5"/>
        <v>0.46115995506823032</v>
      </c>
      <c r="X68" s="2">
        <f t="shared" si="5"/>
        <v>0.50162518315450166</v>
      </c>
      <c r="Y68" s="2">
        <f t="shared" si="5"/>
        <v>0.34524959893598151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61.248407306011657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6.1248407306011658E-2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557.55770877146995</v>
      </c>
      <c r="Q76" s="2">
        <f>Q10/'Output-Calculation-sheet'!Q9*'Output-Calculation-sheet'!Q63</f>
        <v>66.13131096411621</v>
      </c>
      <c r="R76" s="2">
        <f>R10/'Output-Calculation-sheet'!R9*'Output-Calculation-sheet'!R63</f>
        <v>423.63385591395604</v>
      </c>
      <c r="S76" s="2">
        <f>S10/'Output-Calculation-sheet'!S9*'Output-Calculation-sheet'!S63</f>
        <v>0</v>
      </c>
      <c r="T76" s="2">
        <f>T10/'Output-Calculation-sheet'!T9*'Output-Calculation-sheet'!T63</f>
        <v>27.880270912382027</v>
      </c>
      <c r="U76" s="2">
        <f>U10/'Output-Calculation-sheet'!U9*'Output-Calculation-sheet'!U63</f>
        <v>150.74162966134654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7.1499114971690512</v>
      </c>
      <c r="AA76" s="2">
        <f t="shared" si="6"/>
        <v>1.3501436545766634</v>
      </c>
    </row>
    <row r="77" spans="1:27" x14ac:dyDescent="0.25">
      <c r="A77" s="2">
        <v>2034</v>
      </c>
      <c r="B77" s="2">
        <f>B11/'Output-Calculation-sheet'!B10*'Output-Calculation-sheet'!B64</f>
        <v>543.67565453705583</v>
      </c>
      <c r="C77" s="2">
        <f>C11/'Output-Calculation-sheet'!C10*'Output-Calculation-sheet'!C64</f>
        <v>0</v>
      </c>
      <c r="D77" s="2">
        <f>D11/'Output-Calculation-sheet'!D10*'Output-Calculation-sheet'!D64</f>
        <v>1830.0026633194491</v>
      </c>
      <c r="E77" s="2">
        <f>E11/'Output-Calculation-sheet'!E10*'Output-Calculation-sheet'!E64</f>
        <v>2291.1606245111602</v>
      </c>
      <c r="F77" s="2">
        <f>F11/'Output-Calculation-sheet'!F10*'Output-Calculation-sheet'!F64</f>
        <v>163.73451288391757</v>
      </c>
      <c r="G77" s="2">
        <f>G11/'Output-Calculation-sheet'!G10*'Output-Calculation-sheet'!G64</f>
        <v>966.3313142259974</v>
      </c>
      <c r="H77" s="2">
        <f>H11/'Output-Calculation-sheet'!H10*'Output-Calculation-sheet'!H64</f>
        <v>150.46293477037025</v>
      </c>
      <c r="I77" s="2">
        <f>I11/'Output-Calculation-sheet'!I10*'Output-Calculation-sheet'!I64</f>
        <v>571.69459695087539</v>
      </c>
      <c r="J77" s="2">
        <f>J11/'Output-Calculation-sheet'!J10*'Output-Calculation-sheet'!J64</f>
        <v>400.29680985637623</v>
      </c>
      <c r="K77" s="2">
        <f>K11/'Output-Calculation-sheet'!K10*'Output-Calculation-sheet'!K64</f>
        <v>873.24830863628347</v>
      </c>
      <c r="L77" s="2">
        <f>L11/'Output-Calculation-sheet'!L10*'Output-Calculation-sheet'!L64</f>
        <v>361.56818591124602</v>
      </c>
      <c r="M77" s="2">
        <f>M11/'Output-Calculation-sheet'!M10*'Output-Calculation-sheet'!M64</f>
        <v>108.36571968441916</v>
      </c>
      <c r="N77" s="2">
        <f>N11/'Output-Calculation-sheet'!N10*'Output-Calculation-sheet'!N64</f>
        <v>35.839596328165833</v>
      </c>
      <c r="O77" s="2">
        <f>O11/'Output-Calculation-sheet'!O10*'Output-Calculation-sheet'!O64</f>
        <v>0</v>
      </c>
      <c r="P77" s="2">
        <f>P11/'Output-Calculation-sheet'!P10*'Output-Calculation-sheet'!P64</f>
        <v>737.96771285490865</v>
      </c>
      <c r="Q77" s="2">
        <f>Q11/'Output-Calculation-sheet'!Q10*'Output-Calculation-sheet'!Q64</f>
        <v>178.14484054594391</v>
      </c>
      <c r="R77" s="2">
        <f>R11/'Output-Calculation-sheet'!R10*'Output-Calculation-sheet'!R64</f>
        <v>917.40539882121607</v>
      </c>
      <c r="S77" s="2">
        <f>S11/'Output-Calculation-sheet'!S10*'Output-Calculation-sheet'!S64</f>
        <v>0</v>
      </c>
      <c r="T77" s="2">
        <f>T11/'Output-Calculation-sheet'!T10*'Output-Calculation-sheet'!T64</f>
        <v>254.42315809909894</v>
      </c>
      <c r="U77" s="2">
        <f>U11/'Output-Calculation-sheet'!U10*'Output-Calculation-sheet'!U64</f>
        <v>337.27333144632735</v>
      </c>
      <c r="V77" s="2">
        <f>V11/'Output-Calculation-sheet'!V10*'Output-Calculation-sheet'!V64</f>
        <v>131.74156220756294</v>
      </c>
      <c r="W77" s="2">
        <f>W11/'Output-Calculation-sheet'!W10*'Output-Calculation-sheet'!W64</f>
        <v>29.084191948144895</v>
      </c>
      <c r="X77" s="2">
        <f>X11/'Output-Calculation-sheet'!X10*'Output-Calculation-sheet'!X64</f>
        <v>10.802872985434878</v>
      </c>
      <c r="Y77" s="2">
        <f>Y11/'Output-Calculation-sheet'!Y10*'Output-Calculation-sheet'!Y64</f>
        <v>60.890631229940084</v>
      </c>
      <c r="AA77" s="2">
        <f t="shared" si="6"/>
        <v>10.954114621753892</v>
      </c>
    </row>
    <row r="78" spans="1:27" x14ac:dyDescent="0.25">
      <c r="A78" s="2">
        <v>2035</v>
      </c>
      <c r="B78" s="2">
        <f>B12/'Output-Calculation-sheet'!B11*'Output-Calculation-sheet'!B65</f>
        <v>87.916111559376674</v>
      </c>
      <c r="C78" s="2">
        <f>C12/'Output-Calculation-sheet'!C11*'Output-Calculation-sheet'!C65</f>
        <v>64.172624339097453</v>
      </c>
      <c r="D78" s="2">
        <f>D12/'Output-Calculation-sheet'!D11*'Output-Calculation-sheet'!D65</f>
        <v>1849.7404125795965</v>
      </c>
      <c r="E78" s="2">
        <f>E12/'Output-Calculation-sheet'!E11*'Output-Calculation-sheet'!E65</f>
        <v>1653.4918295886177</v>
      </c>
      <c r="F78" s="2">
        <f>F12/'Output-Calculation-sheet'!F11*'Output-Calculation-sheet'!F65</f>
        <v>744.44494561431702</v>
      </c>
      <c r="G78" s="2">
        <f>G12/'Output-Calculation-sheet'!G11*'Output-Calculation-sheet'!G65</f>
        <v>1432.3222362322674</v>
      </c>
      <c r="H78" s="2">
        <f>H12/'Output-Calculation-sheet'!H11*'Output-Calculation-sheet'!H65</f>
        <v>25.165262787077573</v>
      </c>
      <c r="I78" s="2">
        <f>I12/'Output-Calculation-sheet'!I11*'Output-Calculation-sheet'!I65</f>
        <v>832.84976284863046</v>
      </c>
      <c r="J78" s="2">
        <f>J12/'Output-Calculation-sheet'!J11*'Output-Calculation-sheet'!J65</f>
        <v>748.34862234378591</v>
      </c>
      <c r="K78" s="2">
        <f>K12/'Output-Calculation-sheet'!K11*'Output-Calculation-sheet'!K65</f>
        <v>944.36246291934378</v>
      </c>
      <c r="L78" s="2">
        <f>L12/'Output-Calculation-sheet'!L11*'Output-Calculation-sheet'!L65</f>
        <v>559.77011891171776</v>
      </c>
      <c r="M78" s="2">
        <f>M12/'Output-Calculation-sheet'!M11*'Output-Calculation-sheet'!M65</f>
        <v>17.243298752927313</v>
      </c>
      <c r="N78" s="2">
        <f>N12/'Output-Calculation-sheet'!N11*'Output-Calculation-sheet'!N65</f>
        <v>14.75968542692625</v>
      </c>
      <c r="O78" s="2">
        <f>O12/'Output-Calculation-sheet'!O11*'Output-Calculation-sheet'!O65</f>
        <v>2.9389044632114447</v>
      </c>
      <c r="P78" s="2">
        <f>P12/'Output-Calculation-sheet'!P11*'Output-Calculation-sheet'!P65</f>
        <v>248.32041348022923</v>
      </c>
      <c r="Q78" s="2">
        <f>Q12/'Output-Calculation-sheet'!Q11*'Output-Calculation-sheet'!Q65</f>
        <v>236.44756707485723</v>
      </c>
      <c r="R78" s="2">
        <f>R12/'Output-Calculation-sheet'!R11*'Output-Calculation-sheet'!R65</f>
        <v>1083.1978823594136</v>
      </c>
      <c r="S78" s="2">
        <f>S12/'Output-Calculation-sheet'!S11*'Output-Calculation-sheet'!S65</f>
        <v>6.5683139167277318</v>
      </c>
      <c r="T78" s="2">
        <f>T12/'Output-Calculation-sheet'!T11*'Output-Calculation-sheet'!T65</f>
        <v>388.56868996058654</v>
      </c>
      <c r="U78" s="2">
        <f>U12/'Output-Calculation-sheet'!U11*'Output-Calculation-sheet'!U65</f>
        <v>331.32467687653912</v>
      </c>
      <c r="V78" s="2">
        <f>V12/'Output-Calculation-sheet'!V11*'Output-Calculation-sheet'!V65</f>
        <v>209.15617160523465</v>
      </c>
      <c r="W78" s="2">
        <f>W12/'Output-Calculation-sheet'!W11*'Output-Calculation-sheet'!W65</f>
        <v>150.52468172674918</v>
      </c>
      <c r="X78" s="2">
        <f>X12/'Output-Calculation-sheet'!X11*'Output-Calculation-sheet'!X65</f>
        <v>2.2015892385629523</v>
      </c>
      <c r="Y78" s="2">
        <f>Y12/'Output-Calculation-sheet'!Y11*'Output-Calculation-sheet'!Y65</f>
        <v>44.075869501318827</v>
      </c>
      <c r="AA78" s="2">
        <f t="shared" si="6"/>
        <v>11.677912134107112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22.296756672426241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117.17897403833852</v>
      </c>
      <c r="E89" s="2">
        <f>E12/'Output-Calculation-sheet'!E11*'Output-Calculation-sheet'!E74</f>
        <v>81.951001387633269</v>
      </c>
      <c r="F89" s="2">
        <f>F12/'Output-Calculation-sheet'!F11*'Output-Calculation-sheet'!F74</f>
        <v>49.198744513611437</v>
      </c>
      <c r="G89" s="2">
        <f>G12/'Output-Calculation-sheet'!G11*'Output-Calculation-sheet'!G74</f>
        <v>43.716136939102014</v>
      </c>
      <c r="H89" s="2">
        <f>H12/'Output-Calculation-sheet'!H11*'Output-Calculation-sheet'!H74</f>
        <v>6.5152783914763948</v>
      </c>
      <c r="I89" s="2">
        <f>I12/'Output-Calculation-sheet'!I11*'Output-Calculation-sheet'!I74</f>
        <v>40.832270043330979</v>
      </c>
      <c r="J89" s="2">
        <f>J12/'Output-Calculation-sheet'!J11*'Output-Calculation-sheet'!J74</f>
        <v>23.946916445836692</v>
      </c>
      <c r="K89" s="2">
        <f>K12/'Output-Calculation-sheet'!K11*'Output-Calculation-sheet'!K74</f>
        <v>47.563403729919067</v>
      </c>
      <c r="L89" s="2">
        <f>L12/'Output-Calculation-sheet'!L11*'Output-Calculation-sheet'!L74</f>
        <v>31.910818262967783</v>
      </c>
      <c r="M89" s="2">
        <f>M12/'Output-Calculation-sheet'!M11*'Output-Calculation-sheet'!M74</f>
        <v>5.6039319964014664</v>
      </c>
      <c r="N89" s="2">
        <f>N12/'Output-Calculation-sheet'!N11*'Output-Calculation-sheet'!N74</f>
        <v>4.406205068117397</v>
      </c>
      <c r="O89" s="2">
        <f>O12/'Output-Calculation-sheet'!O11*'Output-Calculation-sheet'!O74</f>
        <v>2.0558967913336446</v>
      </c>
      <c r="P89" s="2">
        <f>P12/'Output-Calculation-sheet'!P11*'Output-Calculation-sheet'!P74</f>
        <v>5.0881994106990778</v>
      </c>
      <c r="Q89" s="2">
        <f>Q12/'Output-Calculation-sheet'!Q11*'Output-Calculation-sheet'!Q74</f>
        <v>52.116888465463177</v>
      </c>
      <c r="R89" s="2">
        <f>R12/'Output-Calculation-sheet'!R11*'Output-Calculation-sheet'!R74</f>
        <v>23.927647053249139</v>
      </c>
      <c r="S89" s="2">
        <f>S12/'Output-Calculation-sheet'!S11*'Output-Calculation-sheet'!S74</f>
        <v>1.8943416410481828</v>
      </c>
      <c r="T89" s="2">
        <f>T12/'Output-Calculation-sheet'!T11*'Output-Calculation-sheet'!T74</f>
        <v>5.6654899421334459</v>
      </c>
      <c r="U89" s="2">
        <f>U12/'Output-Calculation-sheet'!U11*'Output-Calculation-sheet'!U74</f>
        <v>10.469746592861943</v>
      </c>
      <c r="V89" s="2">
        <f>V12/'Output-Calculation-sheet'!V11*'Output-Calculation-sheet'!V74</f>
        <v>1.4246628086807844</v>
      </c>
      <c r="W89" s="2">
        <f>W12/'Output-Calculation-sheet'!W11*'Output-Calculation-sheet'!W74</f>
        <v>3.7009816730795819</v>
      </c>
      <c r="X89" s="2">
        <f>X12/'Output-Calculation-sheet'!X11*'Output-Calculation-sheet'!X74</f>
        <v>0.24590519809705713</v>
      </c>
      <c r="Y89" s="2">
        <f>Y12/'Output-Calculation-sheet'!Y11*'Output-Calculation-sheet'!Y74</f>
        <v>2.6103354188030199</v>
      </c>
      <c r="AA89" s="2">
        <f t="shared" si="7"/>
        <v>0.58961181087668624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13946550784.692667</v>
      </c>
      <c r="C96" s="2">
        <f>C8/'Output-Calculation-sheet'!C7*'Output-Calculation-sheet'!C79</f>
        <v>4718190637.940876</v>
      </c>
      <c r="D96" s="2">
        <f>D8/'Output-Calculation-sheet'!D7*'Output-Calculation-sheet'!D79</f>
        <v>4925455251.6424208</v>
      </c>
      <c r="E96" s="2">
        <f>E8/'Output-Calculation-sheet'!E7*'Output-Calculation-sheet'!E79</f>
        <v>8757053640.358839</v>
      </c>
      <c r="F96" s="2">
        <f>F8/'Output-Calculation-sheet'!F7*'Output-Calculation-sheet'!F79</f>
        <v>3624457387.5732698</v>
      </c>
      <c r="G96" s="2">
        <f>G8/'Output-Calculation-sheet'!G7*'Output-Calculation-sheet'!G79</f>
        <v>2823160435.8659506</v>
      </c>
      <c r="H96" s="2">
        <f>H8/'Output-Calculation-sheet'!H7*'Output-Calculation-sheet'!H79</f>
        <v>2416469344.8551879</v>
      </c>
      <c r="I96" s="2">
        <f>I8/'Output-Calculation-sheet'!I7*'Output-Calculation-sheet'!I79</f>
        <v>1966626508.4867086</v>
      </c>
      <c r="J96" s="2">
        <f>J8/'Output-Calculation-sheet'!J7*'Output-Calculation-sheet'!J79</f>
        <v>1329879900.103585</v>
      </c>
      <c r="K96" s="2">
        <f>K8/'Output-Calculation-sheet'!K7*'Output-Calculation-sheet'!K79</f>
        <v>1902664242.5659573</v>
      </c>
      <c r="L96" s="2">
        <f>L8/'Output-Calculation-sheet'!L7*'Output-Calculation-sheet'!L79</f>
        <v>1342521466.454582</v>
      </c>
      <c r="M96" s="2">
        <f>M8/'Output-Calculation-sheet'!M7*'Output-Calculation-sheet'!M79</f>
        <v>1803845516.0004077</v>
      </c>
      <c r="N96" s="2">
        <f>N8/'Output-Calculation-sheet'!N7*'Output-Calculation-sheet'!N79</f>
        <v>1342202774.3495481</v>
      </c>
      <c r="O96" s="2">
        <f>O8/'Output-Calculation-sheet'!O7*'Output-Calculation-sheet'!O79</f>
        <v>678528288.98804426</v>
      </c>
      <c r="P96" s="2">
        <f>P8/'Output-Calculation-sheet'!P7*'Output-Calculation-sheet'!P79</f>
        <v>2269549541.3269162</v>
      </c>
      <c r="Q96" s="2">
        <f>Q8/'Output-Calculation-sheet'!Q7*'Output-Calculation-sheet'!Q79</f>
        <v>1057705384.2435668</v>
      </c>
      <c r="R96" s="2">
        <f>R8/'Output-Calculation-sheet'!R7*'Output-Calculation-sheet'!R79</f>
        <v>1319615447.0379152</v>
      </c>
      <c r="S96" s="2">
        <f>S8/'Output-Calculation-sheet'!S7*'Output-Calculation-sheet'!S79</f>
        <v>768916970.18923879</v>
      </c>
      <c r="T96" s="2">
        <f>T8/'Output-Calculation-sheet'!T7*'Output-Calculation-sheet'!T79</f>
        <v>587272815.43698037</v>
      </c>
      <c r="U96" s="2">
        <f>U8/'Output-Calculation-sheet'!U7*'Output-Calculation-sheet'!U79</f>
        <v>368910403.96910399</v>
      </c>
      <c r="V96" s="2">
        <f>V8/'Output-Calculation-sheet'!V7*'Output-Calculation-sheet'!V79</f>
        <v>191409095.28764352</v>
      </c>
      <c r="W96" s="2">
        <f>W8/'Output-Calculation-sheet'!W7*'Output-Calculation-sheet'!W79</f>
        <v>565603012.437289</v>
      </c>
      <c r="X96" s="2">
        <f>X8/'Output-Calculation-sheet'!X7*'Output-Calculation-sheet'!X79</f>
        <v>198792351.02950421</v>
      </c>
      <c r="Y96" s="2">
        <f>Y8/'Output-Calculation-sheet'!Y7*'Output-Calculation-sheet'!Y79</f>
        <v>310908525.92961645</v>
      </c>
      <c r="AA96" s="2">
        <f t="shared" si="8"/>
        <v>59.216289726765822</v>
      </c>
    </row>
    <row r="97" spans="1:27" x14ac:dyDescent="0.25">
      <c r="A97" s="2">
        <v>2032</v>
      </c>
      <c r="B97" s="2">
        <f>B9/'Output-Calculation-sheet'!B8*'Output-Calculation-sheet'!B80</f>
        <v>18980482500.824772</v>
      </c>
      <c r="C97" s="2">
        <f>C9/'Output-Calculation-sheet'!C8*'Output-Calculation-sheet'!C80</f>
        <v>6464866116.3131218</v>
      </c>
      <c r="D97" s="2">
        <f>D9/'Output-Calculation-sheet'!D8*'Output-Calculation-sheet'!D80</f>
        <v>6441577429.8839836</v>
      </c>
      <c r="E97" s="2">
        <f>E9/'Output-Calculation-sheet'!E8*'Output-Calculation-sheet'!E80</f>
        <v>11780698969.804848</v>
      </c>
      <c r="F97" s="2">
        <f>F9/'Output-Calculation-sheet'!F8*'Output-Calculation-sheet'!F80</f>
        <v>4866605968.6020536</v>
      </c>
      <c r="G97" s="2">
        <f>G9/'Output-Calculation-sheet'!G8*'Output-Calculation-sheet'!G80</f>
        <v>3683761859.9882941</v>
      </c>
      <c r="H97" s="2">
        <f>H9/'Output-Calculation-sheet'!H8*'Output-Calculation-sheet'!H80</f>
        <v>3240969428.4371452</v>
      </c>
      <c r="I97" s="2">
        <f>I9/'Output-Calculation-sheet'!I8*'Output-Calculation-sheet'!I80</f>
        <v>2665989422.5509138</v>
      </c>
      <c r="J97" s="2">
        <f>J9/'Output-Calculation-sheet'!J8*'Output-Calculation-sheet'!J80</f>
        <v>1752637098.5109138</v>
      </c>
      <c r="K97" s="2">
        <f>K9/'Output-Calculation-sheet'!K8*'Output-Calculation-sheet'!K80</f>
        <v>2526797480.7774715</v>
      </c>
      <c r="L97" s="2">
        <f>L9/'Output-Calculation-sheet'!L8*'Output-Calculation-sheet'!L80</f>
        <v>1839095338.3766418</v>
      </c>
      <c r="M97" s="2">
        <f>M9/'Output-Calculation-sheet'!M8*'Output-Calculation-sheet'!M80</f>
        <v>2426484808.0668063</v>
      </c>
      <c r="N97" s="2">
        <f>N9/'Output-Calculation-sheet'!N8*'Output-Calculation-sheet'!N80</f>
        <v>1772868187.0562181</v>
      </c>
      <c r="O97" s="2">
        <f>O9/'Output-Calculation-sheet'!O8*'Output-Calculation-sheet'!O80</f>
        <v>917164684.99160981</v>
      </c>
      <c r="P97" s="2">
        <f>P9/'Output-Calculation-sheet'!P8*'Output-Calculation-sheet'!P80</f>
        <v>3000809855.8957291</v>
      </c>
      <c r="Q97" s="2">
        <f>Q9/'Output-Calculation-sheet'!Q8*'Output-Calculation-sheet'!Q80</f>
        <v>1403661374.719142</v>
      </c>
      <c r="R97" s="2">
        <f>R9/'Output-Calculation-sheet'!R8*'Output-Calculation-sheet'!R80</f>
        <v>1773525904.0627885</v>
      </c>
      <c r="S97" s="2">
        <f>S9/'Output-Calculation-sheet'!S8*'Output-Calculation-sheet'!S80</f>
        <v>1029347010.4426309</v>
      </c>
      <c r="T97" s="2">
        <f>T9/'Output-Calculation-sheet'!T8*'Output-Calculation-sheet'!T80</f>
        <v>775130913.83001244</v>
      </c>
      <c r="U97" s="2">
        <f>U9/'Output-Calculation-sheet'!U8*'Output-Calculation-sheet'!U80</f>
        <v>495536377.50315922</v>
      </c>
      <c r="V97" s="2">
        <f>V9/'Output-Calculation-sheet'!V8*'Output-Calculation-sheet'!V80</f>
        <v>259828587.44449508</v>
      </c>
      <c r="W97" s="2">
        <f>W9/'Output-Calculation-sheet'!W8*'Output-Calculation-sheet'!W80</f>
        <v>752474827.2926414</v>
      </c>
      <c r="X97" s="2">
        <f>X9/'Output-Calculation-sheet'!X8*'Output-Calculation-sheet'!X80</f>
        <v>270209645.41060764</v>
      </c>
      <c r="Y97" s="2">
        <f>Y9/'Output-Calculation-sheet'!Y8*'Output-Calculation-sheet'!Y80</f>
        <v>413606928.6213311</v>
      </c>
      <c r="AA97" s="2">
        <f t="shared" si="8"/>
        <v>79.534130719407358</v>
      </c>
    </row>
    <row r="98" spans="1:27" x14ac:dyDescent="0.25">
      <c r="A98" s="2">
        <v>2033</v>
      </c>
      <c r="B98" s="2">
        <f>B10/'Output-Calculation-sheet'!B9*'Output-Calculation-sheet'!B81</f>
        <v>23256205049.632355</v>
      </c>
      <c r="C98" s="2">
        <f>C10/'Output-Calculation-sheet'!C9*'Output-Calculation-sheet'!C81</f>
        <v>7973395655.7665491</v>
      </c>
      <c r="D98" s="2">
        <f>D10/'Output-Calculation-sheet'!D9*'Output-Calculation-sheet'!D81</f>
        <v>7588208386.3469553</v>
      </c>
      <c r="E98" s="2">
        <f>E10/'Output-Calculation-sheet'!E9*'Output-Calculation-sheet'!E81</f>
        <v>14273912171.355967</v>
      </c>
      <c r="F98" s="2">
        <f>F10/'Output-Calculation-sheet'!F9*'Output-Calculation-sheet'!F81</f>
        <v>5886906906.7776499</v>
      </c>
      <c r="G98" s="2">
        <f>G10/'Output-Calculation-sheet'!G9*'Output-Calculation-sheet'!G81</f>
        <v>4322353377.2112579</v>
      </c>
      <c r="H98" s="2">
        <f>H10/'Output-Calculation-sheet'!H9*'Output-Calculation-sheet'!H81</f>
        <v>3916095515.5605116</v>
      </c>
      <c r="I98" s="2">
        <f>I10/'Output-Calculation-sheet'!I9*'Output-Calculation-sheet'!I81</f>
        <v>3255418327.2818065</v>
      </c>
      <c r="J98" s="2">
        <f>J10/'Output-Calculation-sheet'!J9*'Output-Calculation-sheet'!J81</f>
        <v>2081590235.7418382</v>
      </c>
      <c r="K98" s="2">
        <f>K10/'Output-Calculation-sheet'!K9*'Output-Calculation-sheet'!K81</f>
        <v>3023597040.9709697</v>
      </c>
      <c r="L98" s="2">
        <f>L10/'Output-Calculation-sheet'!L9*'Output-Calculation-sheet'!L81</f>
        <v>2267748440.705894</v>
      </c>
      <c r="M98" s="2">
        <f>M10/'Output-Calculation-sheet'!M9*'Output-Calculation-sheet'!M81</f>
        <v>2940819659.2967334</v>
      </c>
      <c r="N98" s="2">
        <f>N10/'Output-Calculation-sheet'!N9*'Output-Calculation-sheet'!N81</f>
        <v>2109804726.8954306</v>
      </c>
      <c r="O98" s="2">
        <f>O10/'Output-Calculation-sheet'!O9*'Output-Calculation-sheet'!O81</f>
        <v>1117259160.447706</v>
      </c>
      <c r="P98" s="2">
        <f>P10/'Output-Calculation-sheet'!P9*'Output-Calculation-sheet'!P81</f>
        <v>3570458144.2773318</v>
      </c>
      <c r="Q98" s="2">
        <f>Q10/'Output-Calculation-sheet'!Q9*'Output-Calculation-sheet'!Q81</f>
        <v>1678735883.6339972</v>
      </c>
      <c r="R98" s="2">
        <f>R10/'Output-Calculation-sheet'!R9*'Output-Calculation-sheet'!R81</f>
        <v>2147363139.5091443</v>
      </c>
      <c r="S98" s="2">
        <f>S10/'Output-Calculation-sheet'!S9*'Output-Calculation-sheet'!S81</f>
        <v>1241554522.4659557</v>
      </c>
      <c r="T98" s="2">
        <f>T10/'Output-Calculation-sheet'!T9*'Output-Calculation-sheet'!T81</f>
        <v>921280497.49810147</v>
      </c>
      <c r="U98" s="2">
        <f>U10/'Output-Calculation-sheet'!U9*'Output-Calculation-sheet'!U81</f>
        <v>599445767.13550615</v>
      </c>
      <c r="V98" s="2">
        <f>V10/'Output-Calculation-sheet'!V9*'Output-Calculation-sheet'!V81</f>
        <v>317475377.3632527</v>
      </c>
      <c r="W98" s="2">
        <f>W10/'Output-Calculation-sheet'!W9*'Output-Calculation-sheet'!W81</f>
        <v>900159004.47645366</v>
      </c>
      <c r="X98" s="2">
        <f>X10/'Output-Calculation-sheet'!X9*'Output-Calculation-sheet'!X81</f>
        <v>330779309.23953861</v>
      </c>
      <c r="Y98" s="2">
        <f>Y10/'Output-Calculation-sheet'!Y9*'Output-Calculation-sheet'!Y81</f>
        <v>494960971.90104145</v>
      </c>
      <c r="AA98" s="2">
        <f t="shared" si="8"/>
        <v>96.215527271491936</v>
      </c>
    </row>
    <row r="99" spans="1:27" x14ac:dyDescent="0.25">
      <c r="A99" s="2">
        <v>2034</v>
      </c>
      <c r="B99" s="2">
        <f>B11/'Output-Calculation-sheet'!B10*'Output-Calculation-sheet'!B82</f>
        <v>26302840936.629467</v>
      </c>
      <c r="C99" s="2">
        <f>C11/'Output-Calculation-sheet'!C10*'Output-Calculation-sheet'!C82</f>
        <v>9075577650.2750969</v>
      </c>
      <c r="D99" s="2">
        <f>D11/'Output-Calculation-sheet'!D10*'Output-Calculation-sheet'!D82</f>
        <v>8256181928.3367348</v>
      </c>
      <c r="E99" s="2">
        <f>E11/'Output-Calculation-sheet'!E10*'Output-Calculation-sheet'!E82</f>
        <v>15970878659.683191</v>
      </c>
      <c r="F99" s="2">
        <f>F11/'Output-Calculation-sheet'!F10*'Output-Calculation-sheet'!F82</f>
        <v>6577586743.0793915</v>
      </c>
      <c r="G99" s="2">
        <f>G11/'Output-Calculation-sheet'!G10*'Output-Calculation-sheet'!G82</f>
        <v>4676203312.1554413</v>
      </c>
      <c r="H99" s="2">
        <f>H11/'Output-Calculation-sheet'!H10*'Output-Calculation-sheet'!H82</f>
        <v>4370767761.3608274</v>
      </c>
      <c r="I99" s="2">
        <f>I11/'Output-Calculation-sheet'!I10*'Output-Calculation-sheet'!I82</f>
        <v>3671127854.0922985</v>
      </c>
      <c r="J99" s="2">
        <f>J11/'Output-Calculation-sheet'!J10*'Output-Calculation-sheet'!J82</f>
        <v>2284534680.6712747</v>
      </c>
      <c r="K99" s="2">
        <f>K11/'Output-Calculation-sheet'!K10*'Output-Calculation-sheet'!K82</f>
        <v>3342577932.5518889</v>
      </c>
      <c r="L99" s="2">
        <f>L11/'Output-Calculation-sheet'!L10*'Output-Calculation-sheet'!L82</f>
        <v>2580719442.1116853</v>
      </c>
      <c r="M99" s="2">
        <f>M11/'Output-Calculation-sheet'!M10*'Output-Calculation-sheet'!M82</f>
        <v>3292415775.8703194</v>
      </c>
      <c r="N99" s="2">
        <f>N11/'Output-Calculation-sheet'!N10*'Output-Calculation-sheet'!N82</f>
        <v>2319505711.8570185</v>
      </c>
      <c r="O99" s="2">
        <f>O11/'Output-Calculation-sheet'!O10*'Output-Calculation-sheet'!O82</f>
        <v>1257519036.4476058</v>
      </c>
      <c r="P99" s="2">
        <f>P11/'Output-Calculation-sheet'!P10*'Output-Calculation-sheet'!P82</f>
        <v>3919995768.6996403</v>
      </c>
      <c r="Q99" s="2">
        <f>Q11/'Output-Calculation-sheet'!Q10*'Output-Calculation-sheet'!Q82</f>
        <v>1855184462.4485726</v>
      </c>
      <c r="R99" s="2">
        <f>R11/'Output-Calculation-sheet'!R10*'Output-Calculation-sheet'!R82</f>
        <v>2401532088.627583</v>
      </c>
      <c r="S99" s="2">
        <f>S11/'Output-Calculation-sheet'!S10*'Output-Calculation-sheet'!S82</f>
        <v>1383346269.7875323</v>
      </c>
      <c r="T99" s="2">
        <f>T11/'Output-Calculation-sheet'!T10*'Output-Calculation-sheet'!T82</f>
        <v>1011060727.4207866</v>
      </c>
      <c r="U99" s="2">
        <f>U11/'Output-Calculation-sheet'!U10*'Output-Calculation-sheet'!U82</f>
        <v>669546059.85250735</v>
      </c>
      <c r="V99" s="2">
        <f>V11/'Output-Calculation-sheet'!V10*'Output-Calculation-sheet'!V82</f>
        <v>357996101.99857819</v>
      </c>
      <c r="W99" s="2">
        <f>W11/'Output-Calculation-sheet'!W10*'Output-Calculation-sheet'!W82</f>
        <v>992743816.91626275</v>
      </c>
      <c r="X99" s="2">
        <f>X11/'Output-Calculation-sheet'!X10*'Output-Calculation-sheet'!X82</f>
        <v>373892803.05735338</v>
      </c>
      <c r="Y99" s="2">
        <f>Y11/'Output-Calculation-sheet'!Y10*'Output-Calculation-sheet'!Y82</f>
        <v>546321393.34971762</v>
      </c>
      <c r="AA99" s="2">
        <f t="shared" si="8"/>
        <v>107.49005691728081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2034.8692887181605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626.39587845721155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431.0213249266759</v>
      </c>
      <c r="N107" s="2">
        <f>N8/'Output-Calculation-sheet'!N7*'Output-Calculation-sheet'!N88</f>
        <v>169.44962461876187</v>
      </c>
      <c r="O107" s="2">
        <f>O8/'Output-Calculation-sheet'!O7*'Output-Calculation-sheet'!O88</f>
        <v>474.3822870167711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47.283935796424451</v>
      </c>
      <c r="Y107" s="2">
        <f>Y8/'Output-Calculation-sheet'!Y7*'Output-Calculation-sheet'!Y88</f>
        <v>0</v>
      </c>
      <c r="AA107" s="2">
        <f t="shared" si="9"/>
        <v>3.7834023395340051</v>
      </c>
    </row>
    <row r="108" spans="1:27" x14ac:dyDescent="0.25">
      <c r="A108" s="2">
        <v>2032</v>
      </c>
      <c r="B108" s="2">
        <f>B9/'Output-Calculation-sheet'!B8*'Output-Calculation-sheet'!B89</f>
        <v>934.09617634255892</v>
      </c>
      <c r="C108" s="2">
        <f>C9/'Output-Calculation-sheet'!C8*'Output-Calculation-sheet'!C89</f>
        <v>3546.7493225968597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955.32451331097775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657.35623688391911</v>
      </c>
      <c r="N108" s="2">
        <f>N9/'Output-Calculation-sheet'!N8*'Output-Calculation-sheet'!N89</f>
        <v>461.48183867920807</v>
      </c>
      <c r="O108" s="2">
        <f>O9/'Output-Calculation-sheet'!O8*'Output-Calculation-sheet'!O89</f>
        <v>689.0348618692525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211.62985685451818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72.113346376739173</v>
      </c>
      <c r="Y108" s="2">
        <f>Y9/'Output-Calculation-sheet'!Y8*'Output-Calculation-sheet'!Y89</f>
        <v>0</v>
      </c>
      <c r="AA108" s="2">
        <f t="shared" si="9"/>
        <v>7.5277861529140324</v>
      </c>
    </row>
    <row r="109" spans="1:27" x14ac:dyDescent="0.25">
      <c r="A109" s="2">
        <v>2033</v>
      </c>
      <c r="B109" s="2">
        <f>B10/'Output-Calculation-sheet'!B9*'Output-Calculation-sheet'!B90</f>
        <v>4770.9408170117795</v>
      </c>
      <c r="C109" s="2">
        <f>C10/'Output-Calculation-sheet'!C9*'Output-Calculation-sheet'!C90</f>
        <v>4528.7978742032428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1394.1044461650458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959.27953254129523</v>
      </c>
      <c r="N109" s="2">
        <f>N10/'Output-Calculation-sheet'!N9*'Output-Calculation-sheet'!N90</f>
        <v>754.25296751262283</v>
      </c>
      <c r="O109" s="2">
        <f>O10/'Output-Calculation-sheet'!O9*'Output-Calculation-sheet'!O90</f>
        <v>879.81961335813492</v>
      </c>
      <c r="P109" s="2">
        <f>P10/'Output-Calculation-sheet'!P9*'Output-Calculation-sheet'!P90</f>
        <v>0</v>
      </c>
      <c r="Q109" s="2">
        <f>Q10/'Output-Calculation-sheet'!Q9*'Output-Calculation-sheet'!Q90</f>
        <v>165.21027007452301</v>
      </c>
      <c r="R109" s="2">
        <f>R10/'Output-Calculation-sheet'!R9*'Output-Calculation-sheet'!R90</f>
        <v>0</v>
      </c>
      <c r="S109" s="2">
        <f>S10/'Output-Calculation-sheet'!S9*'Output-Calculation-sheet'!S90</f>
        <v>378.31835918826948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105.23495986010188</v>
      </c>
      <c r="Y109" s="2">
        <f>Y10/'Output-Calculation-sheet'!Y9*'Output-Calculation-sheet'!Y90</f>
        <v>0</v>
      </c>
      <c r="AA109" s="2">
        <f t="shared" si="9"/>
        <v>13.935958839915015</v>
      </c>
    </row>
    <row r="110" spans="1:27" x14ac:dyDescent="0.25">
      <c r="A110" s="2">
        <v>2034</v>
      </c>
      <c r="B110" s="2">
        <f>B11/'Output-Calculation-sheet'!B10*'Output-Calculation-sheet'!B91</f>
        <v>8328.0039918255497</v>
      </c>
      <c r="C110" s="2">
        <f>C11/'Output-Calculation-sheet'!C10*'Output-Calculation-sheet'!C91</f>
        <v>5709.402760430582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1622.3365352854521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1116.3254212941861</v>
      </c>
      <c r="N110" s="2">
        <f>N11/'Output-Calculation-sheet'!N10*'Output-Calculation-sheet'!N91</f>
        <v>1005.7362783671755</v>
      </c>
      <c r="O110" s="2">
        <f>O11/'Output-Calculation-sheet'!O10*'Output-Calculation-sheet'!O91</f>
        <v>1109.1783446112945</v>
      </c>
      <c r="P110" s="2">
        <f>P11/'Output-Calculation-sheet'!P10*'Output-Calculation-sheet'!P91</f>
        <v>253.39736253156329</v>
      </c>
      <c r="Q110" s="2">
        <f>Q11/'Output-Calculation-sheet'!Q10*'Output-Calculation-sheet'!Q91</f>
        <v>560.75024997380069</v>
      </c>
      <c r="R110" s="2">
        <f>R11/'Output-Calculation-sheet'!R10*'Output-Calculation-sheet'!R91</f>
        <v>0</v>
      </c>
      <c r="S110" s="2">
        <f>S11/'Output-Calculation-sheet'!S10*'Output-Calculation-sheet'!S91</f>
        <v>576.52275448535113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122.46322048536759</v>
      </c>
      <c r="Y110" s="2">
        <f>Y11/'Output-Calculation-sheet'!Y10*'Output-Calculation-sheet'!Y91</f>
        <v>19.696558378533847</v>
      </c>
      <c r="AA110" s="2">
        <f t="shared" si="9"/>
        <v>20.423813477668855</v>
      </c>
    </row>
    <row r="111" spans="1:27" x14ac:dyDescent="0.25">
      <c r="A111" s="2">
        <v>2035</v>
      </c>
      <c r="B111" s="2">
        <f>B12/'Output-Calculation-sheet'!B11*'Output-Calculation-sheet'!B92</f>
        <v>12876.376978326154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2294.6280388537316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940.29925109718965</v>
      </c>
      <c r="Q111" s="2">
        <f>Q12/'Output-Calculation-sheet'!Q11*'Output-Calculation-sheet'!Q92</f>
        <v>668.8334019734441</v>
      </c>
      <c r="R111" s="2">
        <f>R12/'Output-Calculation-sheet'!R11*'Output-Calculation-sheet'!R92</f>
        <v>0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91.361739658105691</v>
      </c>
      <c r="AA111" s="2">
        <f t="shared" si="9"/>
        <v>29.489624773582605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1631814961.2466445</v>
      </c>
      <c r="C118" s="2">
        <f>C8/'Output-Calculation-sheet'!C7*'Output-Calculation-sheet'!C97</f>
        <v>9565883528.6406422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2943225976.5783782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2044324068.3040435</v>
      </c>
      <c r="N118" s="2">
        <f>N8/'Output-Calculation-sheet'!N7*'Output-Calculation-sheet'!N97</f>
        <v>1604211505.6107142</v>
      </c>
      <c r="O118" s="2">
        <f>O8/'Output-Calculation-sheet'!O7*'Output-Calculation-sheet'!O97</f>
        <v>1067460772.3334658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580336574.11336279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220339333.5333907</v>
      </c>
      <c r="Y118" s="2">
        <f>Y8/'Output-Calculation-sheet'!Y7*'Output-Calculation-sheet'!Y97</f>
        <v>0</v>
      </c>
      <c r="AA118" s="2">
        <f t="shared" si="10"/>
        <v>19657.596720360641</v>
      </c>
    </row>
    <row r="119" spans="1:27" x14ac:dyDescent="0.25">
      <c r="A119" s="2">
        <v>2032</v>
      </c>
      <c r="B119" s="2">
        <f>B9/'Output-Calculation-sheet'!B8*'Output-Calculation-sheet'!B98</f>
        <v>7007638039.3985701</v>
      </c>
      <c r="C119" s="2">
        <f>C9/'Output-Calculation-sheet'!C8*'Output-Calculation-sheet'!C98</f>
        <v>5569812257.3511381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3329646230.0140929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2324105537.8229151</v>
      </c>
      <c r="N119" s="2">
        <f>N9/'Output-Calculation-sheet'!N8*'Output-Calculation-sheet'!N98</f>
        <v>1568683449.8878813</v>
      </c>
      <c r="O119" s="2">
        <f>O9/'Output-Calculation-sheet'!O8*'Output-Calculation-sheet'!O98</f>
        <v>1088238394.7240784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652264381.81131053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248687624.56051227</v>
      </c>
      <c r="Y119" s="2">
        <f>Y9/'Output-Calculation-sheet'!Y8*'Output-Calculation-sheet'!Y98</f>
        <v>0</v>
      </c>
      <c r="AA119" s="2">
        <f t="shared" si="10"/>
        <v>21789.075915570498</v>
      </c>
    </row>
    <row r="120" spans="1:27" x14ac:dyDescent="0.25">
      <c r="A120" s="2">
        <v>2033</v>
      </c>
      <c r="B120" s="2">
        <f>B10/'Output-Calculation-sheet'!B9*'Output-Calculation-sheet'!B99</f>
        <v>6863634077.6452436</v>
      </c>
      <c r="C120" s="2">
        <f>C10/'Output-Calculation-sheet'!C9*'Output-Calculation-sheet'!C99</f>
        <v>5642333402.1122236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1849987463.2125444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1309436495.0000637</v>
      </c>
      <c r="N120" s="2">
        <f>N10/'Output-Calculation-sheet'!N9*'Output-Calculation-sheet'!N99</f>
        <v>1305369448.3105068</v>
      </c>
      <c r="O120" s="2">
        <f>O10/'Output-Calculation-sheet'!O9*'Output-Calculation-sheet'!O99</f>
        <v>1104647346.2082233</v>
      </c>
      <c r="P120" s="2">
        <f>P10/'Output-Calculation-sheet'!P9*'Output-Calculation-sheet'!P99</f>
        <v>0</v>
      </c>
      <c r="Q120" s="2">
        <f>Q10/'Output-Calculation-sheet'!Q9*'Output-Calculation-sheet'!Q99</f>
        <v>7823733.9527666084</v>
      </c>
      <c r="R120" s="2">
        <f>R10/'Output-Calculation-sheet'!R9*'Output-Calculation-sheet'!R99</f>
        <v>0</v>
      </c>
      <c r="S120" s="2">
        <f>S10/'Output-Calculation-sheet'!S9*'Output-Calculation-sheet'!S99</f>
        <v>546680206.42261195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130753043.6046304</v>
      </c>
      <c r="Y120" s="2">
        <f>Y10/'Output-Calculation-sheet'!Y9*'Output-Calculation-sheet'!Y99</f>
        <v>0</v>
      </c>
      <c r="AA120" s="2">
        <f t="shared" si="10"/>
        <v>18760.665216468817</v>
      </c>
    </row>
    <row r="121" spans="1:27" x14ac:dyDescent="0.25">
      <c r="A121" s="2">
        <v>2034</v>
      </c>
      <c r="B121" s="2">
        <f>B11/'Output-Calculation-sheet'!B10*'Output-Calculation-sheet'!B100</f>
        <v>6252038092.8658361</v>
      </c>
      <c r="C121" s="2">
        <f>C11/'Output-Calculation-sheet'!C10*'Output-Calculation-sheet'!C100</f>
        <v>749524804.7642467</v>
      </c>
      <c r="D121" s="2">
        <f>D11/'Output-Calculation-sheet'!D10*'Output-Calculation-sheet'!D100</f>
        <v>0</v>
      </c>
      <c r="E121" s="2">
        <f>E11/'Output-Calculation-sheet'!E10*'Output-Calculation-sheet'!E100</f>
        <v>884557972.4582454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1973568883.6238103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720978212.14618731</v>
      </c>
      <c r="M121" s="2">
        <f>M11/'Output-Calculation-sheet'!M10*'Output-Calculation-sheet'!M100</f>
        <v>1404581425.1559446</v>
      </c>
      <c r="N121" s="2">
        <f>N11/'Output-Calculation-sheet'!N10*'Output-Calculation-sheet'!N100</f>
        <v>936403051.66736102</v>
      </c>
      <c r="O121" s="2">
        <f>O11/'Output-Calculation-sheet'!O10*'Output-Calculation-sheet'!O100</f>
        <v>147021755.78876823</v>
      </c>
      <c r="P121" s="2">
        <f>P11/'Output-Calculation-sheet'!P10*'Output-Calculation-sheet'!P100</f>
        <v>0</v>
      </c>
      <c r="Q121" s="2">
        <f>Q11/'Output-Calculation-sheet'!Q10*'Output-Calculation-sheet'!Q100</f>
        <v>316870707.1187759</v>
      </c>
      <c r="R121" s="2">
        <f>R11/'Output-Calculation-sheet'!R10*'Output-Calculation-sheet'!R100</f>
        <v>0</v>
      </c>
      <c r="S121" s="2">
        <f>S11/'Output-Calculation-sheet'!S10*'Output-Calculation-sheet'!S100</f>
        <v>350114168.89248574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138009952.8331756</v>
      </c>
      <c r="Y121" s="2">
        <f>Y11/'Output-Calculation-sheet'!Y10*'Output-Calculation-sheet'!Y100</f>
        <v>20020592.343806673</v>
      </c>
      <c r="AA121" s="2">
        <f t="shared" si="10"/>
        <v>13893.689619658646</v>
      </c>
    </row>
    <row r="122" spans="1:27" x14ac:dyDescent="0.25">
      <c r="A122" s="2">
        <v>2035</v>
      </c>
      <c r="B122" s="2">
        <f>B12/'Output-Calculation-sheet'!B11*'Output-Calculation-sheet'!B101</f>
        <v>1524711307.6656883</v>
      </c>
      <c r="C122" s="2">
        <f>C12/'Output-Calculation-sheet'!C11*'Output-Calculation-sheet'!C101</f>
        <v>286549816.2762816</v>
      </c>
      <c r="D122" s="2">
        <f>D12/'Output-Calculation-sheet'!D11*'Output-Calculation-sheet'!D101</f>
        <v>0</v>
      </c>
      <c r="E122" s="2">
        <f>E12/'Output-Calculation-sheet'!E11*'Output-Calculation-sheet'!E101</f>
        <v>2370168236.9055414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464809244.71963388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1019196433.4191017</v>
      </c>
      <c r="M122" s="2">
        <f>M12/'Output-Calculation-sheet'!M11*'Output-Calculation-sheet'!M101</f>
        <v>389730830.46445656</v>
      </c>
      <c r="N122" s="2">
        <f>N12/'Output-Calculation-sheet'!N11*'Output-Calculation-sheet'!N101</f>
        <v>271806673.58822489</v>
      </c>
      <c r="O122" s="2">
        <f>O12/'Output-Calculation-sheet'!O11*'Output-Calculation-sheet'!O101</f>
        <v>31401716.193410303</v>
      </c>
      <c r="P122" s="2">
        <f>P12/'Output-Calculation-sheet'!P11*'Output-Calculation-sheet'!P101</f>
        <v>42385352.38064789</v>
      </c>
      <c r="Q122" s="2">
        <f>Q12/'Output-Calculation-sheet'!Q11*'Output-Calculation-sheet'!Q101</f>
        <v>595339034.47425568</v>
      </c>
      <c r="R122" s="2">
        <f>R12/'Output-Calculation-sheet'!R11*'Output-Calculation-sheet'!R101</f>
        <v>0</v>
      </c>
      <c r="S122" s="2">
        <f>S12/'Output-Calculation-sheet'!S11*'Output-Calculation-sheet'!S101</f>
        <v>161477343.87678647</v>
      </c>
      <c r="T122" s="2">
        <f>T12/'Output-Calculation-sheet'!T11*'Output-Calculation-sheet'!T101</f>
        <v>0</v>
      </c>
      <c r="U122" s="2">
        <f>U12/'Output-Calculation-sheet'!U11*'Output-Calculation-sheet'!U101</f>
        <v>55796790.037807144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14126392.962482592</v>
      </c>
      <c r="Y122" s="2">
        <f>Y12/'Output-Calculation-sheet'!Y11*'Output-Calculation-sheet'!Y101</f>
        <v>84234396.774478957</v>
      </c>
      <c r="AA122" s="2">
        <f t="shared" si="10"/>
        <v>7311.7335697387971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55408728187.298866</v>
      </c>
      <c r="C129" s="2">
        <f>C8/'Output-Calculation-sheet'!C7*'Output-Calculation-sheet'!C106</f>
        <v>0</v>
      </c>
      <c r="D129" s="2">
        <f>D8/'Output-Calculation-sheet'!D7*'Output-Calculation-sheet'!D106</f>
        <v>23957610535.55735</v>
      </c>
      <c r="E129" s="2">
        <f>E8/'Output-Calculation-sheet'!E7*'Output-Calculation-sheet'!E106</f>
        <v>19007955068.642605</v>
      </c>
      <c r="F129" s="2">
        <f>F8/'Output-Calculation-sheet'!F7*'Output-Calculation-sheet'!F106</f>
        <v>12236098421.70237</v>
      </c>
      <c r="G129" s="2">
        <f>G8/'Output-Calculation-sheet'!G7*'Output-Calculation-sheet'!G106</f>
        <v>8597438434.0178585</v>
      </c>
      <c r="H129" s="2">
        <f>H8/'Output-Calculation-sheet'!H7*'Output-Calculation-sheet'!H106</f>
        <v>0</v>
      </c>
      <c r="I129" s="2">
        <f>I8/'Output-Calculation-sheet'!I7*'Output-Calculation-sheet'!I106</f>
        <v>7832924974.0516224</v>
      </c>
      <c r="J129" s="2">
        <f>J8/'Output-Calculation-sheet'!J7*'Output-Calculation-sheet'!J106</f>
        <v>7624005553.0961075</v>
      </c>
      <c r="K129" s="2">
        <f>K8/'Output-Calculation-sheet'!K7*'Output-Calculation-sheet'!K106</f>
        <v>7550926085.0133362</v>
      </c>
      <c r="L129" s="2">
        <f>L8/'Output-Calculation-sheet'!L7*'Output-Calculation-sheet'!L106</f>
        <v>6057465422.8118391</v>
      </c>
      <c r="M129" s="2">
        <f>M8/'Output-Calculation-sheet'!M7*'Output-Calculation-sheet'!M106</f>
        <v>0</v>
      </c>
      <c r="N129" s="2">
        <f>N8/'Output-Calculation-sheet'!N7*'Output-Calculation-sheet'!N106</f>
        <v>2662052502.4385109</v>
      </c>
      <c r="O129" s="2">
        <f>O8/'Output-Calculation-sheet'!O7*'Output-Calculation-sheet'!O106</f>
        <v>0</v>
      </c>
      <c r="P129" s="2">
        <f>P8/'Output-Calculation-sheet'!P7*'Output-Calculation-sheet'!P106</f>
        <v>5169760822.0407314</v>
      </c>
      <c r="Q129" s="2">
        <f>Q8/'Output-Calculation-sheet'!Q7*'Output-Calculation-sheet'!Q106</f>
        <v>5086199662.9726162</v>
      </c>
      <c r="R129" s="2">
        <f>R8/'Output-Calculation-sheet'!R7*'Output-Calculation-sheet'!R106</f>
        <v>4893167951.955514</v>
      </c>
      <c r="S129" s="2">
        <f>S8/'Output-Calculation-sheet'!S7*'Output-Calculation-sheet'!S106</f>
        <v>2671906146.3258181</v>
      </c>
      <c r="T129" s="2">
        <f>T8/'Output-Calculation-sheet'!T7*'Output-Calculation-sheet'!T106</f>
        <v>1798674136.8739684</v>
      </c>
      <c r="U129" s="2">
        <f>U8/'Output-Calculation-sheet'!U7*'Output-Calculation-sheet'!U106</f>
        <v>1566586489.0302317</v>
      </c>
      <c r="V129" s="2">
        <f>V8/'Output-Calculation-sheet'!V7*'Output-Calculation-sheet'!V106</f>
        <v>1206297709.3627889</v>
      </c>
      <c r="W129" s="2">
        <f>W8/'Output-Calculation-sheet'!W7*'Output-Calculation-sheet'!W106</f>
        <v>1044394688.5774546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1"/>
        <v>174372.1927917696</v>
      </c>
    </row>
    <row r="130" spans="1:27" x14ac:dyDescent="0.25">
      <c r="A130" s="2">
        <v>2032</v>
      </c>
      <c r="B130" s="2">
        <f>B9/'Output-Calculation-sheet'!B8*'Output-Calculation-sheet'!B107</f>
        <v>63415110069.222618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0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2307897045.6255012</v>
      </c>
      <c r="O130" s="2">
        <f>O9/'Output-Calculation-sheet'!O8*'Output-Calculation-sheet'!O107</f>
        <v>0</v>
      </c>
      <c r="P130" s="2">
        <f>P9/'Output-Calculation-sheet'!P8*'Output-Calculation-sheet'!P107</f>
        <v>7039650157.8561563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2049027758.4624393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1"/>
        <v>222502.1991259942</v>
      </c>
    </row>
    <row r="131" spans="1:27" x14ac:dyDescent="0.25">
      <c r="A131" s="2">
        <v>2033</v>
      </c>
      <c r="B131" s="2">
        <f>B10/'Output-Calculation-sheet'!B9*'Output-Calculation-sheet'!B108</f>
        <v>51200621563.3041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1876129566.0528793</v>
      </c>
      <c r="O131" s="2">
        <f>O10/'Output-Calculation-sheet'!O9*'Output-Calculation-sheet'!O108</f>
        <v>0</v>
      </c>
      <c r="P131" s="2">
        <f>P10/'Output-Calculation-sheet'!P9*'Output-Calculation-sheet'!P108</f>
        <v>8628844255.2043858</v>
      </c>
      <c r="Q131" s="2">
        <f>Q10/'Output-Calculation-sheet'!Q9*'Output-Calculation-sheet'!Q108</f>
        <v>7279307181.0803671</v>
      </c>
      <c r="R131" s="2">
        <f>R10/'Output-Calculation-sheet'!R9*'Output-Calculation-sheet'!R108</f>
        <v>8167277278.0483112</v>
      </c>
      <c r="S131" s="2">
        <f>S10/'Output-Calculation-sheet'!S9*'Output-Calculation-sheet'!S108</f>
        <v>1819745700.2736843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1"/>
        <v>243355.65312399532</v>
      </c>
    </row>
    <row r="132" spans="1:27" x14ac:dyDescent="0.25">
      <c r="A132" s="2">
        <v>2034</v>
      </c>
      <c r="B132" s="2">
        <f>B11/'Output-Calculation-sheet'!B10*'Output-Calculation-sheet'!B109</f>
        <v>36282878170.533302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35018042849.896774</v>
      </c>
      <c r="F132" s="2">
        <f>F11/'Output-Calculation-sheet'!F10*'Output-Calculation-sheet'!F109</f>
        <v>23108120632.472038</v>
      </c>
      <c r="G132" s="2">
        <f>G11/'Output-Calculation-sheet'!G10*'Output-Calculation-sheet'!G109</f>
        <v>16236854563.60177</v>
      </c>
      <c r="H132" s="2">
        <f>H11/'Output-Calculation-sheet'!H10*'Output-Calculation-sheet'!H109</f>
        <v>0</v>
      </c>
      <c r="I132" s="2">
        <f>I11/'Output-Calculation-sheet'!I10*'Output-Calculation-sheet'!I109</f>
        <v>14792023464.945751</v>
      </c>
      <c r="J132" s="2">
        <f>J11/'Output-Calculation-sheet'!J10*'Output-Calculation-sheet'!J109</f>
        <v>14397633243.063169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10718265615.967896</v>
      </c>
      <c r="M132" s="2">
        <f>M11/'Output-Calculation-sheet'!M10*'Output-Calculation-sheet'!M109</f>
        <v>0</v>
      </c>
      <c r="N132" s="2">
        <f>N11/'Output-Calculation-sheet'!N10*'Output-Calculation-sheet'!N109</f>
        <v>1409465181.0059791</v>
      </c>
      <c r="O132" s="2">
        <f>O11/'Output-Calculation-sheet'!O10*'Output-Calculation-sheet'!O109</f>
        <v>0</v>
      </c>
      <c r="P132" s="2">
        <f>P11/'Output-Calculation-sheet'!P10*'Output-Calculation-sheet'!P109</f>
        <v>8008196926.0393877</v>
      </c>
      <c r="Q132" s="2">
        <f>Q11/'Output-Calculation-sheet'!Q10*'Output-Calculation-sheet'!Q109</f>
        <v>5158135559.6212473</v>
      </c>
      <c r="R132" s="2">
        <f>R11/'Output-Calculation-sheet'!R10*'Output-Calculation-sheet'!R109</f>
        <v>9239952148.6496124</v>
      </c>
      <c r="S132" s="2">
        <f>S11/'Output-Calculation-sheet'!S10*'Output-Calculation-sheet'!S109</f>
        <v>967330308.94142103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2960103733.2474623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1"/>
        <v>245448.2211630677</v>
      </c>
    </row>
    <row r="133" spans="1:27" x14ac:dyDescent="0.25">
      <c r="A133" s="2">
        <v>2035</v>
      </c>
      <c r="B133" s="2">
        <f>B12/'Output-Calculation-sheet'!B11*'Output-Calculation-sheet'!B110</f>
        <v>523832531.84849685</v>
      </c>
      <c r="C133" s="2">
        <f>C12/'Output-Calculation-sheet'!C11*'Output-Calculation-sheet'!C110</f>
        <v>0</v>
      </c>
      <c r="D133" s="2">
        <f>D12/'Output-Calculation-sheet'!D11*'Output-Calculation-sheet'!D110</f>
        <v>43398957909.596519</v>
      </c>
      <c r="E133" s="2">
        <f>E12/'Output-Calculation-sheet'!E11*'Output-Calculation-sheet'!E110</f>
        <v>21103958551.569519</v>
      </c>
      <c r="F133" s="2">
        <f>F12/'Output-Calculation-sheet'!F11*'Output-Calculation-sheet'!F110</f>
        <v>23402685423.230213</v>
      </c>
      <c r="G133" s="2">
        <f>G12/'Output-Calculation-sheet'!G11*'Output-Calculation-sheet'!G110</f>
        <v>16221548529.986475</v>
      </c>
      <c r="H133" s="2">
        <f>H12/'Output-Calculation-sheet'!H11*'Output-Calculation-sheet'!H110</f>
        <v>0</v>
      </c>
      <c r="I133" s="2">
        <f>I12/'Output-Calculation-sheet'!I11*'Output-Calculation-sheet'!I110</f>
        <v>14642985881.66165</v>
      </c>
      <c r="J133" s="2">
        <f>J12/'Output-Calculation-sheet'!J11*'Output-Calculation-sheet'!J110</f>
        <v>14102298684.531725</v>
      </c>
      <c r="K133" s="2">
        <f>K12/'Output-Calculation-sheet'!K11*'Output-Calculation-sheet'!K110</f>
        <v>13951162323.630505</v>
      </c>
      <c r="L133" s="2">
        <f>L12/'Output-Calculation-sheet'!L11*'Output-Calculation-sheet'!L110</f>
        <v>10261065438.316236</v>
      </c>
      <c r="M133" s="2">
        <f>M12/'Output-Calculation-sheet'!M11*'Output-Calculation-sheet'!M110</f>
        <v>0</v>
      </c>
      <c r="N133" s="2">
        <f>N12/'Output-Calculation-sheet'!N11*'Output-Calculation-sheet'!N110</f>
        <v>1341125.0248957905</v>
      </c>
      <c r="O133" s="2">
        <f>O12/'Output-Calculation-sheet'!O11*'Output-Calculation-sheet'!O110</f>
        <v>0</v>
      </c>
      <c r="P133" s="2">
        <f>P12/'Output-Calculation-sheet'!P11*'Output-Calculation-sheet'!P110</f>
        <v>3179647358.5822001</v>
      </c>
      <c r="Q133" s="2">
        <f>Q12/'Output-Calculation-sheet'!Q11*'Output-Calculation-sheet'!Q110</f>
        <v>4223607653.5122938</v>
      </c>
      <c r="R133" s="2">
        <f>R12/'Output-Calculation-sheet'!R11*'Output-Calculation-sheet'!R110</f>
        <v>9279739718.4263458</v>
      </c>
      <c r="S133" s="2">
        <f>S12/'Output-Calculation-sheet'!S11*'Output-Calculation-sheet'!S110</f>
        <v>15364032.62183274</v>
      </c>
      <c r="T133" s="2">
        <f>T12/'Output-Calculation-sheet'!T11*'Output-Calculation-sheet'!T110</f>
        <v>3486565526.4418125</v>
      </c>
      <c r="U133" s="2">
        <f>U12/'Output-Calculation-sheet'!U11*'Output-Calculation-sheet'!U110</f>
        <v>2828872256.857163</v>
      </c>
      <c r="V133" s="2">
        <f>V12/'Output-Calculation-sheet'!V11*'Output-Calculation-sheet'!V110</f>
        <v>2344719310.8350916</v>
      </c>
      <c r="W133" s="2">
        <f>W12/'Output-Calculation-sheet'!W11*'Output-Calculation-sheet'!W110</f>
        <v>2059925277.2175057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1"/>
        <v>185028.2775338905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17314538931.084778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5443254904.6174765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3741612156.495306</v>
      </c>
      <c r="N140" s="2">
        <f>N8/'Output-Calculation-sheet'!N7*'Output-Calculation-sheet'!N115</f>
        <v>1412606892.7341683</v>
      </c>
      <c r="O140" s="2">
        <f>O8/'Output-Calculation-sheet'!O7*'Output-Calculation-sheet'!O115</f>
        <v>4155405036.8007331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406294157.40187448</v>
      </c>
      <c r="Y140" s="2">
        <f>Y8/'Output-Calculation-sheet'!Y7*'Output-Calculation-sheet'!Y115</f>
        <v>0</v>
      </c>
      <c r="AA140" s="2">
        <f t="shared" si="12"/>
        <v>32473.712079134337</v>
      </c>
    </row>
    <row r="141" spans="1:27" x14ac:dyDescent="0.25">
      <c r="A141" s="2">
        <v>2032</v>
      </c>
      <c r="B141" s="2">
        <f>B9/'Output-Calculation-sheet'!B8*'Output-Calculation-sheet'!B116</f>
        <v>7249810358.3428411</v>
      </c>
      <c r="C141" s="2">
        <f>C9/'Output-Calculation-sheet'!C8*'Output-Calculation-sheet'!C116</f>
        <v>31033475044.018654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8090292367.6951685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5554650444.9902763</v>
      </c>
      <c r="N141" s="2">
        <f>N9/'Output-Calculation-sheet'!N8*'Output-Calculation-sheet'!N116</f>
        <v>3856383173.4828768</v>
      </c>
      <c r="O141" s="2">
        <f>O9/'Output-Calculation-sheet'!O8*'Output-Calculation-sheet'!O116</f>
        <v>6023779897.8355446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1727312584.9977047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604604182.82636714</v>
      </c>
      <c r="Y141" s="2">
        <f>Y9/'Output-Calculation-sheet'!Y8*'Output-Calculation-sheet'!Y116</f>
        <v>0</v>
      </c>
      <c r="AA141" s="2">
        <f t="shared" si="12"/>
        <v>64140.308054189431</v>
      </c>
    </row>
    <row r="142" spans="1:27" x14ac:dyDescent="0.25">
      <c r="A142" s="2">
        <v>2033</v>
      </c>
      <c r="B142" s="2">
        <f>B10/'Output-Calculation-sheet'!B9*'Output-Calculation-sheet'!B117</f>
        <v>37147660486.120026</v>
      </c>
      <c r="C142" s="2">
        <f>C10/'Output-Calculation-sheet'!C9*'Output-Calculation-sheet'!C117</f>
        <v>39226394523.415901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12148704122.549467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8348432865.6112804</v>
      </c>
      <c r="N142" s="2">
        <f>N10/'Output-Calculation-sheet'!N9*'Output-Calculation-sheet'!N117</f>
        <v>6297655967.6694489</v>
      </c>
      <c r="O142" s="2">
        <f>O10/'Output-Calculation-sheet'!O9*'Output-Calculation-sheet'!O117</f>
        <v>7613345345.5176973</v>
      </c>
      <c r="P142" s="2">
        <f>P10/'Output-Calculation-sheet'!P9*'Output-Calculation-sheet'!P117</f>
        <v>0</v>
      </c>
      <c r="Q142" s="2">
        <f>Q10/'Output-Calculation-sheet'!Q9*'Output-Calculation-sheet'!Q117</f>
        <v>1202680344.8263359</v>
      </c>
      <c r="R142" s="2">
        <f>R10/'Output-Calculation-sheet'!R9*'Output-Calculation-sheet'!R117</f>
        <v>0</v>
      </c>
      <c r="S142" s="2">
        <f>S10/'Output-Calculation-sheet'!S9*'Output-Calculation-sheet'!S117</f>
        <v>3062208467.5574317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915221885.80191219</v>
      </c>
      <c r="Y142" s="2">
        <f>Y10/'Output-Calculation-sheet'!Y9*'Output-Calculation-sheet'!Y117</f>
        <v>0</v>
      </c>
      <c r="AA142" s="2">
        <f t="shared" si="12"/>
        <v>115962.3040090695</v>
      </c>
    </row>
    <row r="143" spans="1:27" x14ac:dyDescent="0.25">
      <c r="A143" s="2">
        <v>2034</v>
      </c>
      <c r="B143" s="2">
        <f>B11/'Output-Calculation-sheet'!B10*'Output-Calculation-sheet'!B118</f>
        <v>65186111314.636299</v>
      </c>
      <c r="C143" s="2">
        <f>C11/'Output-Calculation-sheet'!C10*'Output-Calculation-sheet'!C118</f>
        <v>50014368181.371902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13864231687.330696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9522108450.0231743</v>
      </c>
      <c r="N143" s="2">
        <f>N11/'Output-Calculation-sheet'!N10*'Output-Calculation-sheet'!N118</f>
        <v>8378691567.4561291</v>
      </c>
      <c r="O143" s="2">
        <f>O11/'Output-Calculation-sheet'!O10*'Output-Calculation-sheet'!O118</f>
        <v>9716402298.794939</v>
      </c>
      <c r="P143" s="2">
        <f>P11/'Output-Calculation-sheet'!P10*'Output-Calculation-sheet'!P118</f>
        <v>1754267746.8894539</v>
      </c>
      <c r="Q143" s="2">
        <f>Q11/'Output-Calculation-sheet'!Q10*'Output-Calculation-sheet'!Q118</f>
        <v>4130161751.1808715</v>
      </c>
      <c r="R143" s="2">
        <f>R11/'Output-Calculation-sheet'!R10*'Output-Calculation-sheet'!R118</f>
        <v>0</v>
      </c>
      <c r="S143" s="2">
        <f>S11/'Output-Calculation-sheet'!S10*'Output-Calculation-sheet'!S118</f>
        <v>4824441786.5371428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1045382629.9860998</v>
      </c>
      <c r="Y143" s="2">
        <f>Y11/'Output-Calculation-sheet'!Y10*'Output-Calculation-sheet'!Y118</f>
        <v>122503409.91388586</v>
      </c>
      <c r="AA143" s="2">
        <f t="shared" si="12"/>
        <v>168558.67082412061</v>
      </c>
    </row>
    <row r="144" spans="1:27" x14ac:dyDescent="0.25">
      <c r="A144" s="2">
        <v>2035</v>
      </c>
      <c r="B144" s="2">
        <f>B12/'Output-Calculation-sheet'!B11*'Output-Calculation-sheet'!B119</f>
        <v>111753574117.86757</v>
      </c>
      <c r="C144" s="2">
        <f>C12/'Output-Calculation-sheet'!C11*'Output-Calculation-sheet'!C119</f>
        <v>53476305069.515862</v>
      </c>
      <c r="D144" s="2">
        <f>D12/'Output-Calculation-sheet'!D11*'Output-Calculation-sheet'!D119</f>
        <v>0</v>
      </c>
      <c r="E144" s="2">
        <f>E12/'Output-Calculation-sheet'!E11*'Output-Calculation-sheet'!E119</f>
        <v>14088695804.647396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16247012903.978464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11131694228.321445</v>
      </c>
      <c r="N144" s="2">
        <f>N12/'Output-Calculation-sheet'!N11*'Output-Calculation-sheet'!N119</f>
        <v>11022011822.768965</v>
      </c>
      <c r="O144" s="2">
        <f>O12/'Output-Calculation-sheet'!O11*'Output-Calculation-sheet'!O119</f>
        <v>10397595227.330341</v>
      </c>
      <c r="P144" s="2">
        <f>P12/'Output-Calculation-sheet'!P11*'Output-Calculation-sheet'!P119</f>
        <v>7070000163.892498</v>
      </c>
      <c r="Q144" s="2">
        <f>Q12/'Output-Calculation-sheet'!Q11*'Output-Calculation-sheet'!Q119</f>
        <v>4845264655.0212879</v>
      </c>
      <c r="R144" s="2">
        <f>R12/'Output-Calculation-sheet'!R11*'Output-Calculation-sheet'!R119</f>
        <v>0</v>
      </c>
      <c r="S144" s="2">
        <f>S12/'Output-Calculation-sheet'!S11*'Output-Calculation-sheet'!S119</f>
        <v>6296377385.4719839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1238661368.5945914</v>
      </c>
      <c r="Y144" s="2">
        <f>Y12/'Output-Calculation-sheet'!Y11*'Output-Calculation-sheet'!Y119</f>
        <v>591064062.80845511</v>
      </c>
      <c r="AA144" s="2">
        <f t="shared" si="12"/>
        <v>248158.25681021885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57040544262.139488</v>
      </c>
      <c r="C151" s="2">
        <f>C8/'Output-Calculation-sheet'!C7*'Output-Calculation-sheet'!C124</f>
        <v>26880422459.725418</v>
      </c>
      <c r="D151" s="2">
        <f>D8/'Output-Calculation-sheet'!D7*'Output-Calculation-sheet'!D124</f>
        <v>23957610535.55735</v>
      </c>
      <c r="E151" s="2">
        <f>E8/'Output-Calculation-sheet'!E7*'Output-Calculation-sheet'!E124</f>
        <v>19007955068.642605</v>
      </c>
      <c r="F151" s="2">
        <f>F8/'Output-Calculation-sheet'!F7*'Output-Calculation-sheet'!F124</f>
        <v>12236098421.70237</v>
      </c>
      <c r="G151" s="2">
        <f>G8/'Output-Calculation-sheet'!G7*'Output-Calculation-sheet'!G124</f>
        <v>8597438434.0178585</v>
      </c>
      <c r="H151" s="2">
        <f>H8/'Output-Calculation-sheet'!H7*'Output-Calculation-sheet'!H124</f>
        <v>8386480881.1958551</v>
      </c>
      <c r="I151" s="2">
        <f>I8/'Output-Calculation-sheet'!I7*'Output-Calculation-sheet'!I124</f>
        <v>7832924974.0516224</v>
      </c>
      <c r="J151" s="2">
        <f>J8/'Output-Calculation-sheet'!J7*'Output-Calculation-sheet'!J124</f>
        <v>7624005553.0961075</v>
      </c>
      <c r="K151" s="2">
        <f>K8/'Output-Calculation-sheet'!K7*'Output-Calculation-sheet'!K124</f>
        <v>7550926085.0133362</v>
      </c>
      <c r="L151" s="2">
        <f>L8/'Output-Calculation-sheet'!L7*'Output-Calculation-sheet'!L124</f>
        <v>6057465422.8118391</v>
      </c>
      <c r="M151" s="2">
        <f>M8/'Output-Calculation-sheet'!M7*'Output-Calculation-sheet'!M124</f>
        <v>5785936224.7993498</v>
      </c>
      <c r="N151" s="2">
        <f>N8/'Output-Calculation-sheet'!N7*'Output-Calculation-sheet'!N124</f>
        <v>5678869800.4611559</v>
      </c>
      <c r="O151" s="2">
        <f>O8/'Output-Calculation-sheet'!O7*'Output-Calculation-sheet'!O124</f>
        <v>5222865809.1341991</v>
      </c>
      <c r="P151" s="2">
        <f>P8/'Output-Calculation-sheet'!P7*'Output-Calculation-sheet'!P124</f>
        <v>5169760822.0407314</v>
      </c>
      <c r="Q151" s="2">
        <f>Q8/'Output-Calculation-sheet'!Q7*'Output-Calculation-sheet'!Q124</f>
        <v>5086199662.9726162</v>
      </c>
      <c r="R151" s="2">
        <f>R8/'Output-Calculation-sheet'!R7*'Output-Calculation-sheet'!R124</f>
        <v>4893167951.955514</v>
      </c>
      <c r="S151" s="2">
        <f>S8/'Output-Calculation-sheet'!S7*'Output-Calculation-sheet'!S124</f>
        <v>3252242405.0678349</v>
      </c>
      <c r="T151" s="2">
        <f>T8/'Output-Calculation-sheet'!T7*'Output-Calculation-sheet'!T124</f>
        <v>1798674136.8739684</v>
      </c>
      <c r="U151" s="2">
        <f>U8/'Output-Calculation-sheet'!U7*'Output-Calculation-sheet'!U124</f>
        <v>1566586489.0302317</v>
      </c>
      <c r="V151" s="2">
        <f>V8/'Output-Calculation-sheet'!V7*'Output-Calculation-sheet'!V124</f>
        <v>1206297709.3627889</v>
      </c>
      <c r="W151" s="2">
        <f>W8/'Output-Calculation-sheet'!W7*'Output-Calculation-sheet'!W124</f>
        <v>1044394688.5774546</v>
      </c>
      <c r="X151" s="2">
        <f>X8/'Output-Calculation-sheet'!X7*'Output-Calculation-sheet'!X124</f>
        <v>626633490.93526518</v>
      </c>
      <c r="Y151" s="2">
        <f>Y8/'Output-Calculation-sheet'!Y7*'Output-Calculation-sheet'!Y124</f>
        <v>609395170.16777575</v>
      </c>
      <c r="AA151" s="2">
        <f t="shared" si="13"/>
        <v>227112.89645933273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21961972726.284473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4267210796.5656796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185556.87450163957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2905997335.3840652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126365.40596587289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2262562503.063036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1372190193.3338478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877412498.50956941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422644396.63727039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61272.086401858011</v>
      </c>
    </row>
    <row r="155" spans="1:27" x14ac:dyDescent="0.25">
      <c r="A155" s="2">
        <v>2035</v>
      </c>
      <c r="B155" s="2">
        <f>B12/'Output-Calculation-sheet'!B11*'Output-Calculation-sheet'!B128</f>
        <v>582980810.53019238</v>
      </c>
      <c r="C155" s="2">
        <f>C12/'Output-Calculation-sheet'!C11*'Output-Calculation-sheet'!C128</f>
        <v>74924237.467876226</v>
      </c>
      <c r="D155" s="2">
        <f>D12/'Output-Calculation-sheet'!D11*'Output-Calculation-sheet'!D128</f>
        <v>5842468651.0081739</v>
      </c>
      <c r="E155" s="2">
        <f>E12/'Output-Calculation-sheet'!E11*'Output-Calculation-sheet'!E128</f>
        <v>1088253050.2404537</v>
      </c>
      <c r="F155" s="2">
        <f>F12/'Output-Calculation-sheet'!F11*'Output-Calculation-sheet'!F128</f>
        <v>1684654975.5645947</v>
      </c>
      <c r="G155" s="2">
        <f>G12/'Output-Calculation-sheet'!G11*'Output-Calculation-sheet'!G128</f>
        <v>1504732132.2073019</v>
      </c>
      <c r="H155" s="2">
        <f>H12/'Output-Calculation-sheet'!H11*'Output-Calculation-sheet'!H128</f>
        <v>120606647.51664449</v>
      </c>
      <c r="I155" s="2">
        <f>I12/'Output-Calculation-sheet'!I11*'Output-Calculation-sheet'!I128</f>
        <v>1500493219.7163522</v>
      </c>
      <c r="J155" s="2">
        <f>J12/'Output-Calculation-sheet'!J11*'Output-Calculation-sheet'!J128</f>
        <v>1436726682.4958074</v>
      </c>
      <c r="K155" s="2">
        <f>K12/'Output-Calculation-sheet'!K11*'Output-Calculation-sheet'!K128</f>
        <v>1631481229.4781532</v>
      </c>
      <c r="L155" s="2">
        <f>L12/'Output-Calculation-sheet'!L11*'Output-Calculation-sheet'!L128</f>
        <v>1179802990.7955396</v>
      </c>
      <c r="M155" s="2">
        <f>M12/'Output-Calculation-sheet'!M11*'Output-Calculation-sheet'!M128</f>
        <v>100587407.50989637</v>
      </c>
      <c r="N155" s="2">
        <f>N12/'Output-Calculation-sheet'!N11*'Output-Calculation-sheet'!N128</f>
        <v>101804475.84232616</v>
      </c>
      <c r="O155" s="2">
        <f>O12/'Output-Calculation-sheet'!O11*'Output-Calculation-sheet'!O128</f>
        <v>33714322.537593827</v>
      </c>
      <c r="P155" s="2">
        <f>P12/'Output-Calculation-sheet'!P11*'Output-Calculation-sheet'!P128</f>
        <v>113796358.65242632</v>
      </c>
      <c r="Q155" s="2">
        <f>Q12/'Output-Calculation-sheet'!Q11*'Output-Calculation-sheet'!Q128</f>
        <v>678217626.81818926</v>
      </c>
      <c r="R155" s="2">
        <f>R12/'Output-Calculation-sheet'!R11*'Output-Calculation-sheet'!R128</f>
        <v>758344947.82568228</v>
      </c>
      <c r="S155" s="2">
        <f>S12/'Output-Calculation-sheet'!S11*'Output-Calculation-sheet'!S128</f>
        <v>53163485.777366981</v>
      </c>
      <c r="T155" s="2">
        <f>T12/'Output-Calculation-sheet'!T11*'Output-Calculation-sheet'!T128</f>
        <v>178345692.94471353</v>
      </c>
      <c r="U155" s="2">
        <f>U12/'Output-Calculation-sheet'!U11*'Output-Calculation-sheet'!U128</f>
        <v>350989632.38144374</v>
      </c>
      <c r="V155" s="2">
        <f>V12/'Output-Calculation-sheet'!V11*'Output-Calculation-sheet'!V128</f>
        <v>87583568.090425983</v>
      </c>
      <c r="W155" s="2">
        <f>W12/'Output-Calculation-sheet'!W11*'Output-Calculation-sheet'!W128</f>
        <v>81284331.509698138</v>
      </c>
      <c r="X155" s="2">
        <f>X12/'Output-Calculation-sheet'!X11*'Output-Calculation-sheet'!X128</f>
        <v>3093091.4846920422</v>
      </c>
      <c r="Y155" s="2">
        <f>Y12/'Output-Calculation-sheet'!Y11*'Output-Calculation-sheet'!Y128</f>
        <v>24052152.615934785</v>
      </c>
      <c r="AA155" s="2">
        <f t="shared" si="13"/>
        <v>19212.101721011481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7" sqref="B7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46.5" customHeight="1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46.5" customHeight="1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8.5" customHeight="1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8.5" customHeight="1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8.5" customHeight="1" x14ac:dyDescent="0.25">
      <c r="A16" s="4"/>
      <c r="B16" s="7">
        <v>1985.2339999999999</v>
      </c>
      <c r="C16" s="7">
        <v>0</v>
      </c>
      <c r="D16" s="7">
        <v>795.09400000000005</v>
      </c>
      <c r="E16" s="7">
        <v>1076.432</v>
      </c>
      <c r="F16" s="7">
        <v>863.48800000000006</v>
      </c>
      <c r="G16" s="7">
        <v>787.91499999999996</v>
      </c>
      <c r="H16" s="7">
        <v>0</v>
      </c>
      <c r="I16" s="7">
        <v>853.98699999999997</v>
      </c>
      <c r="J16" s="7">
        <v>768.13800000000003</v>
      </c>
      <c r="K16" s="7">
        <v>1032.7370000000001</v>
      </c>
      <c r="L16" s="7">
        <v>1097.0550000000001</v>
      </c>
      <c r="M16" s="7">
        <v>0</v>
      </c>
      <c r="N16" s="7">
        <v>1082.1500000000001</v>
      </c>
      <c r="O16" s="7">
        <v>0</v>
      </c>
      <c r="P16" s="7">
        <v>1626.5719999999999</v>
      </c>
      <c r="Q16" s="7">
        <v>1886.0229999999999</v>
      </c>
      <c r="R16" s="7">
        <v>1206.7180000000001</v>
      </c>
      <c r="S16" s="7">
        <v>1839.5039999999999</v>
      </c>
      <c r="T16" s="7">
        <v>979.11900000000003</v>
      </c>
      <c r="U16" s="7">
        <v>1123.8820000000001</v>
      </c>
      <c r="V16" s="7">
        <v>1134.3620000000001</v>
      </c>
      <c r="W16" s="7">
        <v>794.58500000000004</v>
      </c>
      <c r="X16" s="7">
        <v>0</v>
      </c>
      <c r="Y16" s="7">
        <v>1165.3920000000001</v>
      </c>
    </row>
    <row r="17" spans="1:25" ht="28.5" customHeight="1" x14ac:dyDescent="0.25">
      <c r="A17" s="4"/>
      <c r="B17" s="7">
        <v>2161.7919999999999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855.47900000000004</v>
      </c>
      <c r="O17" s="7">
        <v>0</v>
      </c>
      <c r="P17" s="7">
        <v>2314.4319999999998</v>
      </c>
      <c r="Q17" s="7">
        <v>2600.6390000000001</v>
      </c>
      <c r="R17" s="7">
        <v>1715.731</v>
      </c>
      <c r="S17" s="7">
        <v>1235.1880000000001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1645.5840000000001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1932.3230000000001</v>
      </c>
      <c r="L18" s="7">
        <v>2097.828</v>
      </c>
      <c r="M18" s="7">
        <v>0</v>
      </c>
      <c r="N18" s="7">
        <v>674.08699999999999</v>
      </c>
      <c r="O18" s="7">
        <v>0</v>
      </c>
      <c r="P18" s="7">
        <v>2904.8009999999999</v>
      </c>
      <c r="Q18" s="7">
        <v>2836.0990000000002</v>
      </c>
      <c r="R18" s="7">
        <v>2217.8240000000001</v>
      </c>
      <c r="S18" s="7">
        <v>1069.7539999999999</v>
      </c>
      <c r="T18" s="7">
        <v>1750.3</v>
      </c>
      <c r="U18" s="7">
        <v>2224.9409999999998</v>
      </c>
      <c r="V18" s="7">
        <v>2129.6729999999998</v>
      </c>
      <c r="W18" s="7">
        <v>1226.963</v>
      </c>
      <c r="X18" s="7">
        <v>0</v>
      </c>
      <c r="Y18" s="7">
        <v>2467.8470000000002</v>
      </c>
    </row>
    <row r="19" spans="1:25" ht="28.5" customHeight="1" x14ac:dyDescent="0.25">
      <c r="A19" s="4"/>
      <c r="B19" s="7">
        <v>1147.511</v>
      </c>
      <c r="C19" s="7">
        <v>0</v>
      </c>
      <c r="D19" s="7">
        <v>1815.672</v>
      </c>
      <c r="E19" s="7">
        <v>2826.971</v>
      </c>
      <c r="F19" s="7">
        <v>2061.7420000000002</v>
      </c>
      <c r="G19" s="7">
        <v>1722.8009999999999</v>
      </c>
      <c r="H19" s="7">
        <v>0</v>
      </c>
      <c r="I19" s="7">
        <v>2090.2249999999999</v>
      </c>
      <c r="J19" s="7">
        <v>1785.8209999999999</v>
      </c>
      <c r="K19" s="7">
        <v>2494.2049999999999</v>
      </c>
      <c r="L19" s="7">
        <v>2551.34</v>
      </c>
      <c r="M19" s="7">
        <v>0</v>
      </c>
      <c r="N19" s="7">
        <v>519.62699999999995</v>
      </c>
      <c r="O19" s="7">
        <v>0</v>
      </c>
      <c r="P19" s="7">
        <v>2784.337</v>
      </c>
      <c r="Q19" s="7">
        <v>1871.479</v>
      </c>
      <c r="R19" s="7">
        <v>2798.18</v>
      </c>
      <c r="S19" s="7">
        <v>576.25</v>
      </c>
      <c r="T19" s="7">
        <v>2219.0909999999999</v>
      </c>
      <c r="U19" s="7">
        <v>2935.0369999999998</v>
      </c>
      <c r="V19" s="7">
        <v>2595.7910000000002</v>
      </c>
      <c r="W19" s="7">
        <v>1866.223</v>
      </c>
      <c r="X19" s="7">
        <v>0</v>
      </c>
      <c r="Y19" s="7">
        <v>2648.0740000000001</v>
      </c>
    </row>
    <row r="20" spans="1:25" ht="28.5" customHeight="1" x14ac:dyDescent="0.25">
      <c r="A20" s="4"/>
      <c r="B20" s="7">
        <v>17.167000000000002</v>
      </c>
      <c r="C20" s="7">
        <v>0</v>
      </c>
      <c r="D20" s="7">
        <v>1818.625</v>
      </c>
      <c r="E20" s="7">
        <v>1350.6559999999999</v>
      </c>
      <c r="F20" s="7">
        <v>2485.0279999999998</v>
      </c>
      <c r="G20" s="7">
        <v>1867.2719999999999</v>
      </c>
      <c r="H20" s="7">
        <v>0</v>
      </c>
      <c r="I20" s="7">
        <v>2260.1770000000001</v>
      </c>
      <c r="J20" s="7">
        <v>1957.319</v>
      </c>
      <c r="K20" s="7">
        <v>2591.3119999999999</v>
      </c>
      <c r="L20" s="7">
        <v>2574.7190000000001</v>
      </c>
      <c r="M20" s="7">
        <v>0</v>
      </c>
      <c r="N20" s="7">
        <v>0.53300000000000003</v>
      </c>
      <c r="O20" s="7">
        <v>0</v>
      </c>
      <c r="P20" s="7">
        <v>942.08699999999999</v>
      </c>
      <c r="Q20" s="7">
        <v>1546.6669999999999</v>
      </c>
      <c r="R20" s="7">
        <v>3160.0990000000002</v>
      </c>
      <c r="S20" s="7">
        <v>9.8659999999999997</v>
      </c>
      <c r="T20" s="7">
        <v>2669.239</v>
      </c>
      <c r="U20" s="7">
        <v>2806.1390000000001</v>
      </c>
      <c r="V20" s="7">
        <v>3333.9780000000001</v>
      </c>
      <c r="W20" s="7">
        <v>2487.5390000000002</v>
      </c>
      <c r="X20" s="7">
        <v>0</v>
      </c>
      <c r="Y20" s="7">
        <v>1073.1949999999999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B25" s="7">
        <v>113.89100000000001</v>
      </c>
      <c r="C25" s="7">
        <v>1129.008</v>
      </c>
      <c r="D25" s="7">
        <v>0</v>
      </c>
      <c r="E25" s="7">
        <v>0</v>
      </c>
      <c r="F25" s="7">
        <v>0</v>
      </c>
      <c r="G25" s="7">
        <v>0</v>
      </c>
      <c r="H25" s="7">
        <v>1110.9670000000001</v>
      </c>
      <c r="I25" s="7">
        <v>0</v>
      </c>
      <c r="J25" s="7">
        <v>0</v>
      </c>
      <c r="K25" s="7">
        <v>0</v>
      </c>
      <c r="L25" s="7">
        <v>0</v>
      </c>
      <c r="M25" s="7">
        <v>1121.53</v>
      </c>
      <c r="N25" s="7">
        <v>949.27200000000005</v>
      </c>
      <c r="O25" s="7">
        <v>638.42899999999997</v>
      </c>
      <c r="P25" s="7">
        <v>0</v>
      </c>
      <c r="Q25" s="7">
        <v>0</v>
      </c>
      <c r="R25" s="7">
        <v>0</v>
      </c>
      <c r="S25" s="7">
        <v>765.84900000000005</v>
      </c>
      <c r="T25" s="7">
        <v>0</v>
      </c>
      <c r="U25" s="7">
        <v>0</v>
      </c>
      <c r="V25" s="7">
        <v>0</v>
      </c>
      <c r="W25" s="7">
        <v>0</v>
      </c>
      <c r="X25" s="7">
        <v>1106.4580000000001</v>
      </c>
      <c r="Y25" s="7">
        <v>0</v>
      </c>
    </row>
    <row r="26" spans="1:25" x14ac:dyDescent="0.25">
      <c r="B26" s="7">
        <v>514.17200000000003</v>
      </c>
      <c r="C26" s="7">
        <v>594.07000000000005</v>
      </c>
      <c r="D26" s="7">
        <v>0</v>
      </c>
      <c r="E26" s="7">
        <v>0</v>
      </c>
      <c r="F26" s="7">
        <v>0</v>
      </c>
      <c r="G26" s="7">
        <v>0</v>
      </c>
      <c r="H26" s="7">
        <v>1158.5029999999999</v>
      </c>
      <c r="I26" s="7">
        <v>0</v>
      </c>
      <c r="J26" s="7">
        <v>0</v>
      </c>
      <c r="K26" s="7">
        <v>0</v>
      </c>
      <c r="L26" s="7">
        <v>0</v>
      </c>
      <c r="M26" s="7">
        <v>1176.5340000000001</v>
      </c>
      <c r="N26" s="7">
        <v>829.60799999999995</v>
      </c>
      <c r="O26" s="7">
        <v>597.46199999999999</v>
      </c>
      <c r="P26" s="7">
        <v>0</v>
      </c>
      <c r="Q26" s="7">
        <v>0</v>
      </c>
      <c r="R26" s="7">
        <v>0</v>
      </c>
      <c r="S26" s="7">
        <v>686.50300000000004</v>
      </c>
      <c r="T26" s="7">
        <v>0</v>
      </c>
      <c r="U26" s="7">
        <v>0</v>
      </c>
      <c r="V26" s="7">
        <v>0</v>
      </c>
      <c r="W26" s="7">
        <v>0</v>
      </c>
      <c r="X26" s="7">
        <v>1167.0160000000001</v>
      </c>
      <c r="Y26" s="7">
        <v>0</v>
      </c>
    </row>
    <row r="27" spans="1:25" x14ac:dyDescent="0.25">
      <c r="B27" s="7">
        <v>454.92500000000001</v>
      </c>
      <c r="C27" s="7">
        <v>589.13300000000004</v>
      </c>
      <c r="D27" s="7">
        <v>0</v>
      </c>
      <c r="E27" s="7">
        <v>0</v>
      </c>
      <c r="F27" s="7">
        <v>0</v>
      </c>
      <c r="G27" s="7">
        <v>0</v>
      </c>
      <c r="H27" s="7">
        <v>627.49699999999996</v>
      </c>
      <c r="I27" s="7">
        <v>0</v>
      </c>
      <c r="J27" s="7">
        <v>0</v>
      </c>
      <c r="K27" s="7">
        <v>0</v>
      </c>
      <c r="L27" s="7">
        <v>0</v>
      </c>
      <c r="M27" s="7">
        <v>645.47199999999998</v>
      </c>
      <c r="N27" s="7">
        <v>665.08199999999999</v>
      </c>
      <c r="O27" s="7">
        <v>593.70100000000002</v>
      </c>
      <c r="P27" s="7">
        <v>0</v>
      </c>
      <c r="Q27" s="7">
        <v>8.68</v>
      </c>
      <c r="R27" s="7">
        <v>0</v>
      </c>
      <c r="S27" s="7">
        <v>552.45699999999999</v>
      </c>
      <c r="T27" s="7">
        <v>0</v>
      </c>
      <c r="U27" s="7">
        <v>0</v>
      </c>
      <c r="V27" s="7">
        <v>0</v>
      </c>
      <c r="W27" s="7">
        <v>0</v>
      </c>
      <c r="X27" s="7">
        <v>587.529</v>
      </c>
      <c r="Y27" s="7">
        <v>0</v>
      </c>
    </row>
    <row r="28" spans="1:25" x14ac:dyDescent="0.25">
      <c r="B28" s="7">
        <v>380.20499999999998</v>
      </c>
      <c r="C28" s="7">
        <v>80.700999999999993</v>
      </c>
      <c r="D28" s="7">
        <v>0</v>
      </c>
      <c r="E28" s="7">
        <v>387.98599999999999</v>
      </c>
      <c r="F28" s="7">
        <v>0</v>
      </c>
      <c r="G28" s="7">
        <v>0</v>
      </c>
      <c r="H28" s="7">
        <v>690.28800000000001</v>
      </c>
      <c r="I28" s="7">
        <v>0</v>
      </c>
      <c r="J28" s="7">
        <v>0</v>
      </c>
      <c r="K28" s="7">
        <v>0</v>
      </c>
      <c r="L28" s="7">
        <v>727.62199999999996</v>
      </c>
      <c r="M28" s="7">
        <v>713.96199999999999</v>
      </c>
      <c r="N28" s="7">
        <v>485.62200000000001</v>
      </c>
      <c r="O28" s="7">
        <v>81.481999999999999</v>
      </c>
      <c r="P28" s="7">
        <v>0</v>
      </c>
      <c r="Q28" s="7">
        <v>284.12099999999998</v>
      </c>
      <c r="R28" s="7">
        <v>0</v>
      </c>
      <c r="S28" s="7">
        <v>317.20400000000001</v>
      </c>
      <c r="T28" s="7">
        <v>0</v>
      </c>
      <c r="U28" s="7">
        <v>0</v>
      </c>
      <c r="V28" s="7">
        <v>0</v>
      </c>
      <c r="W28" s="7">
        <v>0</v>
      </c>
      <c r="X28" s="7">
        <v>639.47500000000002</v>
      </c>
      <c r="Y28" s="7">
        <v>270.11700000000002</v>
      </c>
    </row>
    <row r="29" spans="1:25" x14ac:dyDescent="0.25">
      <c r="B29" s="7">
        <v>83.989000000000004</v>
      </c>
      <c r="C29" s="7">
        <v>33.256999999999998</v>
      </c>
      <c r="D29" s="7">
        <v>0</v>
      </c>
      <c r="E29" s="7">
        <v>636.45299999999997</v>
      </c>
      <c r="F29" s="7">
        <v>0</v>
      </c>
      <c r="G29" s="7">
        <v>0</v>
      </c>
      <c r="H29" s="7">
        <v>175.24600000000001</v>
      </c>
      <c r="I29" s="7">
        <v>0</v>
      </c>
      <c r="J29" s="7">
        <v>0</v>
      </c>
      <c r="K29" s="7">
        <v>0</v>
      </c>
      <c r="L29" s="7">
        <v>1011.213</v>
      </c>
      <c r="M29" s="7">
        <v>213.54499999999999</v>
      </c>
      <c r="N29" s="7">
        <v>151.53100000000001</v>
      </c>
      <c r="O29" s="7">
        <v>18.760000000000002</v>
      </c>
      <c r="P29" s="7">
        <v>32.640999999999998</v>
      </c>
      <c r="Q29" s="7">
        <v>482.56700000000001</v>
      </c>
      <c r="R29" s="7">
        <v>0</v>
      </c>
      <c r="S29" s="7">
        <v>157.04400000000001</v>
      </c>
      <c r="T29" s="7">
        <v>0</v>
      </c>
      <c r="U29" s="7">
        <v>351.09800000000001</v>
      </c>
      <c r="V29" s="7">
        <v>0</v>
      </c>
      <c r="W29" s="7">
        <v>0</v>
      </c>
      <c r="X29" s="7">
        <v>70.557000000000002</v>
      </c>
      <c r="Y29" s="7">
        <v>619.21199999999999</v>
      </c>
    </row>
    <row r="31" spans="1:25" x14ac:dyDescent="0.25">
      <c r="A31" s="6" t="s">
        <v>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1</v>
      </c>
      <c r="D38" s="7">
        <v>4</v>
      </c>
      <c r="E38" s="7">
        <v>3</v>
      </c>
      <c r="F38" s="7">
        <v>3</v>
      </c>
      <c r="G38" s="7">
        <v>4</v>
      </c>
      <c r="H38" s="7">
        <v>1</v>
      </c>
      <c r="I38" s="7">
        <v>4</v>
      </c>
      <c r="J38" s="7">
        <v>3</v>
      </c>
      <c r="K38" s="7">
        <v>5</v>
      </c>
      <c r="L38" s="7">
        <v>4</v>
      </c>
      <c r="M38" s="7">
        <v>1</v>
      </c>
      <c r="N38" s="7">
        <v>1</v>
      </c>
      <c r="O38" s="7">
        <v>1</v>
      </c>
      <c r="P38" s="7">
        <v>1</v>
      </c>
      <c r="Q38" s="7">
        <v>8</v>
      </c>
      <c r="R38" s="7">
        <v>4</v>
      </c>
      <c r="S38" s="7">
        <v>1</v>
      </c>
      <c r="T38" s="7">
        <v>3</v>
      </c>
      <c r="U38" s="7">
        <v>5</v>
      </c>
      <c r="V38" s="7">
        <v>1</v>
      </c>
      <c r="W38" s="7">
        <v>3</v>
      </c>
      <c r="X38" s="7">
        <v>1</v>
      </c>
      <c r="Y38" s="7">
        <v>3</v>
      </c>
    </row>
    <row r="40" spans="1:25" ht="45" x14ac:dyDescent="0.25">
      <c r="A40" s="6" t="s">
        <v>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151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</row>
    <row r="45" spans="1:25" x14ac:dyDescent="0.25"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174</v>
      </c>
      <c r="L45" s="7">
        <v>0</v>
      </c>
      <c r="M45" s="7">
        <v>0</v>
      </c>
      <c r="N45" s="7">
        <v>0</v>
      </c>
      <c r="O45" s="7">
        <v>0</v>
      </c>
      <c r="P45" s="7">
        <v>2110</v>
      </c>
      <c r="Q45" s="7">
        <v>195</v>
      </c>
      <c r="R45" s="7">
        <v>1472</v>
      </c>
      <c r="S45" s="7">
        <v>0</v>
      </c>
      <c r="T45" s="7">
        <v>191</v>
      </c>
      <c r="U45" s="7">
        <v>1654</v>
      </c>
      <c r="V45" s="7">
        <v>162</v>
      </c>
      <c r="W45" s="7">
        <v>0</v>
      </c>
      <c r="X45" s="7">
        <v>0</v>
      </c>
      <c r="Y45" s="7">
        <v>148</v>
      </c>
    </row>
    <row r="46" spans="1:25" x14ac:dyDescent="0.25">
      <c r="B46" s="7">
        <v>150</v>
      </c>
      <c r="C46" s="7">
        <v>0</v>
      </c>
      <c r="D46" s="7">
        <v>1585</v>
      </c>
      <c r="E46" s="7">
        <v>2475</v>
      </c>
      <c r="F46" s="7">
        <v>118</v>
      </c>
      <c r="G46" s="7">
        <v>1967</v>
      </c>
      <c r="H46" s="7">
        <v>350</v>
      </c>
      <c r="I46" s="7">
        <v>1181</v>
      </c>
      <c r="J46" s="7">
        <v>865</v>
      </c>
      <c r="K46" s="7">
        <v>2363</v>
      </c>
      <c r="L46" s="7">
        <v>1099</v>
      </c>
      <c r="M46" s="7">
        <v>377</v>
      </c>
      <c r="N46" s="7">
        <v>131</v>
      </c>
      <c r="O46" s="7">
        <v>0</v>
      </c>
      <c r="P46" s="7">
        <v>3084</v>
      </c>
      <c r="Q46" s="7">
        <v>697</v>
      </c>
      <c r="R46" s="7">
        <v>4065</v>
      </c>
      <c r="S46" s="7">
        <v>0</v>
      </c>
      <c r="T46" s="7">
        <v>2488</v>
      </c>
      <c r="U46" s="7">
        <v>4797</v>
      </c>
      <c r="V46" s="7">
        <v>2505</v>
      </c>
      <c r="W46" s="7">
        <v>387</v>
      </c>
      <c r="X46" s="7">
        <v>328</v>
      </c>
      <c r="Y46" s="7">
        <v>2364</v>
      </c>
    </row>
    <row r="47" spans="1:25" x14ac:dyDescent="0.25">
      <c r="B47" s="7">
        <v>41</v>
      </c>
      <c r="C47" s="7">
        <v>68</v>
      </c>
      <c r="D47" s="7">
        <v>1774</v>
      </c>
      <c r="E47" s="7">
        <v>2719</v>
      </c>
      <c r="F47" s="7">
        <v>1127</v>
      </c>
      <c r="G47" s="7">
        <v>3876</v>
      </c>
      <c r="H47" s="7">
        <v>83</v>
      </c>
      <c r="I47" s="7">
        <v>2152</v>
      </c>
      <c r="J47" s="7">
        <v>1985</v>
      </c>
      <c r="K47" s="7">
        <v>2849</v>
      </c>
      <c r="L47" s="7">
        <v>1991</v>
      </c>
      <c r="M47" s="7">
        <v>84</v>
      </c>
      <c r="N47" s="7">
        <v>79</v>
      </c>
      <c r="O47" s="7">
        <v>12</v>
      </c>
      <c r="P47" s="7">
        <v>1225</v>
      </c>
      <c r="Q47" s="7">
        <v>1150</v>
      </c>
      <c r="R47" s="7">
        <v>5241</v>
      </c>
      <c r="S47" s="7">
        <v>63</v>
      </c>
      <c r="T47" s="7">
        <v>4993</v>
      </c>
      <c r="U47" s="7">
        <v>5479</v>
      </c>
      <c r="V47" s="7">
        <v>4960</v>
      </c>
      <c r="W47" s="7">
        <v>3331</v>
      </c>
      <c r="X47" s="7">
        <v>86</v>
      </c>
      <c r="Y47" s="7">
        <v>2308</v>
      </c>
    </row>
    <row r="49" spans="1:25" x14ac:dyDescent="0.25">
      <c r="A49" s="6" t="s">
        <v>20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B52" s="7">
        <v>7.3671175421209115E-2</v>
      </c>
      <c r="C52" s="7">
        <v>7.3660941155802573E-2</v>
      </c>
      <c r="D52" s="7">
        <v>4.1068922275927205E-2</v>
      </c>
      <c r="E52" s="7">
        <v>5.9219491835339387E-2</v>
      </c>
      <c r="F52" s="7">
        <v>4.3001033033779425E-2</v>
      </c>
      <c r="G52" s="7">
        <v>4.6681513098392649E-2</v>
      </c>
      <c r="H52" s="7">
        <v>6.5119365589618741E-2</v>
      </c>
      <c r="I52" s="7">
        <v>4.047432192172435E-2</v>
      </c>
      <c r="J52" s="7">
        <v>5.878498674035789E-2</v>
      </c>
      <c r="K52" s="7">
        <v>3.896297982096799E-2</v>
      </c>
      <c r="L52" s="7">
        <v>5.7504143548016876E-2</v>
      </c>
      <c r="M52" s="7">
        <v>6.9315474319481984E-2</v>
      </c>
      <c r="N52" s="7">
        <v>6.1070049259533216E-2</v>
      </c>
      <c r="O52" s="7">
        <v>6.7891948645066508E-2</v>
      </c>
      <c r="P52" s="7">
        <v>5.7878007490277814E-2</v>
      </c>
      <c r="Q52" s="7">
        <v>5.4874449610493578E-2</v>
      </c>
      <c r="R52" s="7">
        <v>5.1664304701448123E-2</v>
      </c>
      <c r="S52" s="7">
        <v>6.5952245553787744E-2</v>
      </c>
      <c r="T52" s="7">
        <v>5.7085140196618672E-2</v>
      </c>
      <c r="U52" s="7">
        <v>5.1113174598111766E-2</v>
      </c>
      <c r="V52" s="7">
        <v>0.10990385997412844</v>
      </c>
      <c r="W52" s="7">
        <v>5.3270738661321107E-2</v>
      </c>
      <c r="X52" s="7">
        <v>8.3220969012918575E-2</v>
      </c>
      <c r="Y52" s="7">
        <v>5.2720115950270922E-2</v>
      </c>
    </row>
    <row r="53" spans="1:25" x14ac:dyDescent="0.25">
      <c r="B53" s="7">
        <v>7.0609141724479685E-2</v>
      </c>
      <c r="C53" s="7">
        <v>7.20253056400674E-2</v>
      </c>
      <c r="D53" s="7">
        <v>3.5328809416097208E-2</v>
      </c>
      <c r="E53" s="7">
        <v>5.1992177189830346E-2</v>
      </c>
      <c r="F53" s="7">
        <v>3.7062300480787902E-2</v>
      </c>
      <c r="G53" s="7">
        <v>3.9495636513653745E-2</v>
      </c>
      <c r="H53" s="7">
        <v>6.5267804382253533E-2</v>
      </c>
      <c r="I53" s="7">
        <v>3.5154209450410021E-2</v>
      </c>
      <c r="J53" s="7">
        <v>4.8477291369685191E-2</v>
      </c>
      <c r="K53" s="7">
        <v>3.6133483458304388E-2</v>
      </c>
      <c r="L53" s="7">
        <v>5.0567638375507554E-2</v>
      </c>
      <c r="M53" s="7">
        <v>6.8442855346702705E-2</v>
      </c>
      <c r="N53" s="7">
        <v>6.2310641947718792E-2</v>
      </c>
      <c r="O53" s="7">
        <v>6.7719480063235554E-2</v>
      </c>
      <c r="P53" s="7">
        <v>5.6315901268875423E-2</v>
      </c>
      <c r="Q53" s="7">
        <v>5.4294508421344333E-2</v>
      </c>
      <c r="R53" s="7">
        <v>4.8011616742709783E-2</v>
      </c>
      <c r="S53" s="7">
        <v>6.5857303760180216E-2</v>
      </c>
      <c r="T53" s="7">
        <v>4.8825007786482667E-2</v>
      </c>
      <c r="U53" s="7">
        <v>4.7761514416943096E-2</v>
      </c>
      <c r="V53" s="7">
        <v>9.0401169011610272E-2</v>
      </c>
      <c r="W53" s="7">
        <v>4.4505602453419377E-2</v>
      </c>
      <c r="X53" s="7">
        <v>7.9339512707648469E-2</v>
      </c>
      <c r="Y53" s="7">
        <v>4.8514730739459423E-2</v>
      </c>
    </row>
    <row r="54" spans="1:25" x14ac:dyDescent="0.25">
      <c r="B54" s="7">
        <v>6.8842576808721509E-2</v>
      </c>
      <c r="C54" s="7">
        <v>7.055115827803464E-2</v>
      </c>
      <c r="D54" s="7">
        <v>3.0020532234894481E-2</v>
      </c>
      <c r="E54" s="7">
        <v>4.8187063743182865E-2</v>
      </c>
      <c r="F54" s="7">
        <v>3.2165945614266743E-2</v>
      </c>
      <c r="G54" s="7">
        <v>3.2592799454167529E-2</v>
      </c>
      <c r="H54" s="7">
        <v>6.622667643652351E-2</v>
      </c>
      <c r="I54" s="7">
        <v>3.1366205346303563E-2</v>
      </c>
      <c r="J54" s="7">
        <v>3.8127993374160819E-2</v>
      </c>
      <c r="K54" s="7">
        <v>3.6026192016226276E-2</v>
      </c>
      <c r="L54" s="7">
        <v>4.6312202689546542E-2</v>
      </c>
      <c r="M54" s="7">
        <v>6.8310397938014716E-2</v>
      </c>
      <c r="N54" s="7">
        <v>6.3846028548496248E-2</v>
      </c>
      <c r="O54" s="7">
        <v>6.7804225284639835E-2</v>
      </c>
      <c r="P54" s="7">
        <v>5.692406710905621E-2</v>
      </c>
      <c r="Q54" s="7">
        <v>5.6976637312559655E-2</v>
      </c>
      <c r="R54" s="7">
        <v>4.7047950803412023E-2</v>
      </c>
      <c r="S54" s="7">
        <v>6.6067374490004882E-2</v>
      </c>
      <c r="T54" s="7">
        <v>4.3343316003418064E-2</v>
      </c>
      <c r="U54" s="7">
        <v>4.7795220400612404E-2</v>
      </c>
      <c r="V54" s="7">
        <v>7.3134604021272184E-2</v>
      </c>
      <c r="W54" s="7">
        <v>3.6101259453890568E-2</v>
      </c>
      <c r="X54" s="7">
        <v>7.534748831915182E-2</v>
      </c>
      <c r="Y54" s="7">
        <v>4.8000387027471052E-2</v>
      </c>
    </row>
    <row r="55" spans="1:25" x14ac:dyDescent="0.25">
      <c r="B55" s="7">
        <v>6.7659829534192265E-2</v>
      </c>
      <c r="C55" s="7">
        <v>6.9729184134665292E-2</v>
      </c>
      <c r="D55" s="7">
        <v>3.1459764915037658E-2</v>
      </c>
      <c r="E55" s="7">
        <v>5.1357130364269477E-2</v>
      </c>
      <c r="F55" s="7">
        <v>3.1399512221643999E-2</v>
      </c>
      <c r="G55" s="7">
        <v>3.2598440251971506E-2</v>
      </c>
      <c r="H55" s="7">
        <v>6.7183499972423788E-2</v>
      </c>
      <c r="I55" s="7">
        <v>3.3261816928655902E-2</v>
      </c>
      <c r="J55" s="7">
        <v>3.4405776903535107E-2</v>
      </c>
      <c r="K55" s="7">
        <v>3.9555781807728244E-2</v>
      </c>
      <c r="L55" s="7">
        <v>4.7802795608709758E-2</v>
      </c>
      <c r="M55" s="7">
        <v>6.8275271892877354E-2</v>
      </c>
      <c r="N55" s="7">
        <v>6.5939000015737867E-2</v>
      </c>
      <c r="O55" s="7">
        <v>6.8202800887852702E-2</v>
      </c>
      <c r="P55" s="7">
        <v>5.9890895878750128E-2</v>
      </c>
      <c r="Q55" s="7">
        <v>6.1296301998337285E-2</v>
      </c>
      <c r="R55" s="7">
        <v>4.8590684388018252E-2</v>
      </c>
      <c r="S55" s="7">
        <v>6.6869772057781066E-2</v>
      </c>
      <c r="T55" s="7">
        <v>4.1418497488360205E-2</v>
      </c>
      <c r="U55" s="7">
        <v>5.1756195776983926E-2</v>
      </c>
      <c r="V55" s="7">
        <v>5.8362609195585863E-2</v>
      </c>
      <c r="W55" s="7">
        <v>3.3026706492137396E-2</v>
      </c>
      <c r="X55" s="7">
        <v>7.2115662286182769E-2</v>
      </c>
      <c r="Y55" s="7">
        <v>5.4099458161540527E-2</v>
      </c>
    </row>
    <row r="56" spans="1:25" x14ac:dyDescent="0.25">
      <c r="B56" s="7">
        <v>6.9060915758176411E-2</v>
      </c>
      <c r="C56" s="7">
        <v>6.8550735053382203E-2</v>
      </c>
      <c r="D56" s="7">
        <v>3.7732652364738842E-2</v>
      </c>
      <c r="E56" s="7">
        <v>6.3892229659898561E-2</v>
      </c>
      <c r="F56" s="7">
        <v>3.9666322322073524E-2</v>
      </c>
      <c r="G56" s="7">
        <v>4.1593584881709854E-2</v>
      </c>
      <c r="H56" s="7">
        <v>6.9176936834723965E-2</v>
      </c>
      <c r="I56" s="7">
        <v>4.1833744527205369E-2</v>
      </c>
      <c r="J56" s="7">
        <v>3.9355414154767496E-2</v>
      </c>
      <c r="K56" s="7">
        <v>4.7595461115236888E-2</v>
      </c>
      <c r="L56" s="7">
        <v>5.5295834289739672E-2</v>
      </c>
      <c r="M56" s="7">
        <v>6.9536454076821519E-2</v>
      </c>
      <c r="N56" s="7">
        <v>6.9089910451519493E-2</v>
      </c>
      <c r="O56" s="7">
        <v>6.8516415693914381E-2</v>
      </c>
      <c r="P56" s="7">
        <v>6.7201430978447482E-2</v>
      </c>
      <c r="Q56" s="7">
        <v>6.7670820888628871E-2</v>
      </c>
      <c r="R56" s="7">
        <v>5.6550438405078354E-2</v>
      </c>
      <c r="S56" s="7">
        <v>6.9237047305492988E-2</v>
      </c>
      <c r="T56" s="7">
        <v>4.7874577733055416E-2</v>
      </c>
      <c r="U56" s="7">
        <v>5.9422365399336569E-2</v>
      </c>
      <c r="V56" s="7">
        <v>5.5052924924541259E-2</v>
      </c>
      <c r="W56" s="7">
        <v>4.3163265795085178E-2</v>
      </c>
      <c r="X56" s="7">
        <v>6.8855436071732751E-2</v>
      </c>
      <c r="Y56" s="7">
        <v>6.5831840513087853E-2</v>
      </c>
    </row>
    <row r="58" spans="1:25" ht="45" x14ac:dyDescent="0.25">
      <c r="A58" s="5" t="s">
        <v>10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55.311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x14ac:dyDescent="0.25"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63.735999999999997</v>
      </c>
      <c r="L63" s="7">
        <v>0</v>
      </c>
      <c r="M63" s="7">
        <v>0</v>
      </c>
      <c r="N63" s="7">
        <v>0</v>
      </c>
      <c r="O63" s="7">
        <v>0</v>
      </c>
      <c r="P63" s="7">
        <v>492.90600000000001</v>
      </c>
      <c r="Q63" s="7">
        <v>61.643999999999998</v>
      </c>
      <c r="R63" s="7">
        <v>398.19799999999998</v>
      </c>
      <c r="S63" s="7">
        <v>0</v>
      </c>
      <c r="T63" s="7">
        <v>70.834999999999994</v>
      </c>
      <c r="U63" s="7">
        <v>440.39699999999999</v>
      </c>
      <c r="V63" s="7">
        <v>44.505000000000003</v>
      </c>
      <c r="W63" s="7">
        <v>0</v>
      </c>
      <c r="X63" s="7">
        <v>0</v>
      </c>
      <c r="Y63" s="7">
        <v>54.212000000000003</v>
      </c>
    </row>
    <row r="64" spans="1:25" x14ac:dyDescent="0.25">
      <c r="B64" s="7">
        <v>45.241</v>
      </c>
      <c r="C64" s="7">
        <v>0</v>
      </c>
      <c r="D64" s="7">
        <v>362.19799999999998</v>
      </c>
      <c r="E64" s="7">
        <v>570.59500000000003</v>
      </c>
      <c r="F64" s="7">
        <v>64.834999999999994</v>
      </c>
      <c r="G64" s="7">
        <v>533.16499999999996</v>
      </c>
      <c r="H64" s="7">
        <v>85.695999999999998</v>
      </c>
      <c r="I64" s="7">
        <v>350.69400000000002</v>
      </c>
      <c r="J64" s="7">
        <v>248.11699999999999</v>
      </c>
      <c r="K64" s="7">
        <v>545.02800000000002</v>
      </c>
      <c r="L64" s="7">
        <v>283.80500000000001</v>
      </c>
      <c r="M64" s="7">
        <v>89.695999999999998</v>
      </c>
      <c r="N64" s="7">
        <v>30.183</v>
      </c>
      <c r="O64" s="7">
        <v>0</v>
      </c>
      <c r="P64" s="7">
        <v>672.74</v>
      </c>
      <c r="Q64" s="7">
        <v>171.23500000000001</v>
      </c>
      <c r="R64" s="7">
        <v>889.21199999999999</v>
      </c>
      <c r="S64" s="7">
        <v>0</v>
      </c>
      <c r="T64" s="7">
        <v>666.56600000000003</v>
      </c>
      <c r="U64" s="7">
        <v>1016.082</v>
      </c>
      <c r="V64" s="7">
        <v>514.71400000000006</v>
      </c>
      <c r="W64" s="7">
        <v>131.22499999999999</v>
      </c>
      <c r="X64" s="7">
        <v>81.509</v>
      </c>
      <c r="Y64" s="7">
        <v>476.08100000000002</v>
      </c>
    </row>
    <row r="65" spans="1:25" x14ac:dyDescent="0.25">
      <c r="B65" s="7">
        <v>7.8860000000000001</v>
      </c>
      <c r="C65" s="7">
        <v>12.128</v>
      </c>
      <c r="D65" s="7">
        <v>394.64</v>
      </c>
      <c r="E65" s="7">
        <v>443.88499999999999</v>
      </c>
      <c r="F65" s="7">
        <v>317.75900000000001</v>
      </c>
      <c r="G65" s="7">
        <v>851.86800000000005</v>
      </c>
      <c r="H65" s="7">
        <v>15.45</v>
      </c>
      <c r="I65" s="7">
        <v>550.71500000000003</v>
      </c>
      <c r="J65" s="7">
        <v>500.005</v>
      </c>
      <c r="K65" s="7">
        <v>635.35400000000004</v>
      </c>
      <c r="L65" s="7">
        <v>473.62599999999998</v>
      </c>
      <c r="M65" s="7">
        <v>15.385</v>
      </c>
      <c r="N65" s="7">
        <v>13.398999999999999</v>
      </c>
      <c r="O65" s="7">
        <v>2.859</v>
      </c>
      <c r="P65" s="7">
        <v>244.01599999999999</v>
      </c>
      <c r="Q65" s="7">
        <v>244.99100000000001</v>
      </c>
      <c r="R65" s="7">
        <v>1131.7429999999999</v>
      </c>
      <c r="S65" s="7">
        <v>10.401999999999999</v>
      </c>
      <c r="T65" s="7">
        <v>1097.3630000000001</v>
      </c>
      <c r="U65" s="7">
        <v>1075.961</v>
      </c>
      <c r="V65" s="7">
        <v>880.86599999999999</v>
      </c>
      <c r="W65" s="7">
        <v>732.08799999999997</v>
      </c>
      <c r="X65" s="7">
        <v>17.905999999999999</v>
      </c>
      <c r="Y65" s="7">
        <v>371.47300000000001</v>
      </c>
    </row>
    <row r="67" spans="1:25" ht="30" x14ac:dyDescent="0.25">
      <c r="A67" s="5" t="s">
        <v>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</v>
      </c>
      <c r="C74" s="7">
        <v>1</v>
      </c>
      <c r="D74" s="7">
        <v>25</v>
      </c>
      <c r="E74" s="7">
        <v>22</v>
      </c>
      <c r="F74" s="7">
        <v>21</v>
      </c>
      <c r="G74" s="7">
        <v>26</v>
      </c>
      <c r="H74" s="7">
        <v>4</v>
      </c>
      <c r="I74" s="7">
        <v>27</v>
      </c>
      <c r="J74" s="7">
        <v>16</v>
      </c>
      <c r="K74" s="7">
        <v>32</v>
      </c>
      <c r="L74" s="7">
        <v>27</v>
      </c>
      <c r="M74" s="7">
        <v>5</v>
      </c>
      <c r="N74" s="7">
        <v>4</v>
      </c>
      <c r="O74" s="7">
        <v>2</v>
      </c>
      <c r="P74" s="7">
        <v>5</v>
      </c>
      <c r="Q74" s="7">
        <v>54</v>
      </c>
      <c r="R74" s="7">
        <v>25</v>
      </c>
      <c r="S74" s="7">
        <v>3</v>
      </c>
      <c r="T74" s="7">
        <v>16</v>
      </c>
      <c r="U74" s="7">
        <v>34</v>
      </c>
      <c r="V74" s="7">
        <v>6</v>
      </c>
      <c r="W74" s="7">
        <v>18</v>
      </c>
      <c r="X74" s="7">
        <v>2</v>
      </c>
      <c r="Y74" s="7">
        <v>22</v>
      </c>
    </row>
    <row r="76" spans="1:25" ht="45" x14ac:dyDescent="0.25">
      <c r="A76" s="5" t="s">
        <v>11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5">
      <c r="B79" s="7">
        <v>1252391000</v>
      </c>
      <c r="C79" s="7">
        <v>892688000</v>
      </c>
      <c r="D79" s="7">
        <v>1052014000</v>
      </c>
      <c r="E79" s="7">
        <v>2353484000</v>
      </c>
      <c r="F79" s="7">
        <v>1548792000</v>
      </c>
      <c r="G79" s="7">
        <v>1680939000</v>
      </c>
      <c r="H79" s="7">
        <v>1485228000</v>
      </c>
      <c r="I79" s="7">
        <v>1301868000</v>
      </c>
      <c r="J79" s="7">
        <v>889544400</v>
      </c>
      <c r="K79" s="7">
        <v>1281516000</v>
      </c>
      <c r="L79" s="7">
        <v>1137187000</v>
      </c>
      <c r="M79" s="7">
        <v>1611244000</v>
      </c>
      <c r="N79" s="7">
        <v>1219827000</v>
      </c>
      <c r="O79" s="7">
        <v>660817400</v>
      </c>
      <c r="P79" s="7">
        <v>2232700000</v>
      </c>
      <c r="Q79" s="7">
        <v>1097147000</v>
      </c>
      <c r="R79" s="7">
        <v>1380296000</v>
      </c>
      <c r="S79" s="7">
        <v>1219066000</v>
      </c>
      <c r="T79" s="7">
        <v>1660379000</v>
      </c>
      <c r="U79" s="7">
        <v>1199357000</v>
      </c>
      <c r="V79" s="7">
        <v>807024200</v>
      </c>
      <c r="W79" s="7">
        <v>2753925000</v>
      </c>
      <c r="X79" s="7">
        <v>1618627000</v>
      </c>
      <c r="Y79" s="7">
        <v>2623275000</v>
      </c>
    </row>
    <row r="80" spans="1:25" x14ac:dyDescent="0.25">
      <c r="B80" s="7">
        <v>1564611000</v>
      </c>
      <c r="C80" s="7">
        <v>1122819000</v>
      </c>
      <c r="D80" s="7">
        <v>1262971000</v>
      </c>
      <c r="E80" s="7">
        <v>2906366000</v>
      </c>
      <c r="F80" s="7">
        <v>1908984000</v>
      </c>
      <c r="G80" s="7">
        <v>2013418000</v>
      </c>
      <c r="H80" s="7">
        <v>1828575000</v>
      </c>
      <c r="I80" s="7">
        <v>1620054000</v>
      </c>
      <c r="J80" s="7">
        <v>1076151000</v>
      </c>
      <c r="K80" s="7">
        <v>1562278000</v>
      </c>
      <c r="L80" s="7">
        <v>1430016000</v>
      </c>
      <c r="M80" s="7">
        <v>1989599000</v>
      </c>
      <c r="N80" s="7">
        <v>1479049000</v>
      </c>
      <c r="O80" s="7">
        <v>819949000</v>
      </c>
      <c r="P80" s="7">
        <v>2709912000</v>
      </c>
      <c r="Q80" s="7">
        <v>1336560000</v>
      </c>
      <c r="R80" s="7">
        <v>1702897000</v>
      </c>
      <c r="S80" s="7">
        <v>1498082000</v>
      </c>
      <c r="T80" s="7">
        <v>2011724000</v>
      </c>
      <c r="U80" s="7">
        <v>1478867000</v>
      </c>
      <c r="V80" s="7">
        <v>1005627000</v>
      </c>
      <c r="W80" s="7">
        <v>3363244000</v>
      </c>
      <c r="X80" s="7">
        <v>2019640000</v>
      </c>
      <c r="Y80" s="7">
        <v>3203502000</v>
      </c>
    </row>
    <row r="81" spans="1:25" x14ac:dyDescent="0.25">
      <c r="B81" s="7">
        <v>1876703000</v>
      </c>
      <c r="C81" s="7">
        <v>1355661000</v>
      </c>
      <c r="D81" s="7">
        <v>1456458000</v>
      </c>
      <c r="E81" s="7">
        <v>3447306000</v>
      </c>
      <c r="F81" s="7">
        <v>2260585000</v>
      </c>
      <c r="G81" s="7">
        <v>2312705000</v>
      </c>
      <c r="H81" s="7">
        <v>2162961000</v>
      </c>
      <c r="I81" s="7">
        <v>1936580000</v>
      </c>
      <c r="J81" s="7">
        <v>1251221000</v>
      </c>
      <c r="K81" s="7">
        <v>1830077000</v>
      </c>
      <c r="L81" s="7">
        <v>1726192000</v>
      </c>
      <c r="M81" s="7">
        <v>2360554000</v>
      </c>
      <c r="N81" s="7">
        <v>1723082000</v>
      </c>
      <c r="O81" s="7">
        <v>977802200</v>
      </c>
      <c r="P81" s="7">
        <v>3156445000</v>
      </c>
      <c r="Q81" s="7">
        <v>1564826000</v>
      </c>
      <c r="R81" s="7">
        <v>2018431000</v>
      </c>
      <c r="S81" s="7">
        <v>1768875000</v>
      </c>
      <c r="T81" s="7">
        <v>2340684000</v>
      </c>
      <c r="U81" s="7">
        <v>1751302000</v>
      </c>
      <c r="V81" s="7">
        <v>1202867000</v>
      </c>
      <c r="W81" s="7">
        <v>3938612000</v>
      </c>
      <c r="X81" s="7">
        <v>2420299000</v>
      </c>
      <c r="Y81" s="7">
        <v>3752889000</v>
      </c>
    </row>
    <row r="82" spans="1:25" x14ac:dyDescent="0.25">
      <c r="B82" s="7">
        <v>2188744000</v>
      </c>
      <c r="C82" s="7">
        <v>1591174000</v>
      </c>
      <c r="D82" s="7">
        <v>1634081000</v>
      </c>
      <c r="E82" s="7">
        <v>3977418000</v>
      </c>
      <c r="F82" s="7">
        <v>2604569000</v>
      </c>
      <c r="G82" s="7">
        <v>2580055000</v>
      </c>
      <c r="H82" s="7">
        <v>2489366000</v>
      </c>
      <c r="I82" s="7">
        <v>2251976000</v>
      </c>
      <c r="J82" s="7">
        <v>1416029000</v>
      </c>
      <c r="K82" s="7">
        <v>2086232000</v>
      </c>
      <c r="L82" s="7">
        <v>2025679000</v>
      </c>
      <c r="M82" s="7">
        <v>2725184000</v>
      </c>
      <c r="N82" s="7">
        <v>1953416000</v>
      </c>
      <c r="O82" s="7">
        <v>1134873000</v>
      </c>
      <c r="P82" s="7">
        <v>3573514000</v>
      </c>
      <c r="Q82" s="7">
        <v>1783226000</v>
      </c>
      <c r="R82" s="7">
        <v>2327729000</v>
      </c>
      <c r="S82" s="7">
        <v>2032347000</v>
      </c>
      <c r="T82" s="7">
        <v>2648889000</v>
      </c>
      <c r="U82" s="7">
        <v>2017099000</v>
      </c>
      <c r="V82" s="7">
        <v>1398690000</v>
      </c>
      <c r="W82" s="7">
        <v>4479162000</v>
      </c>
      <c r="X82" s="7">
        <v>2821067000</v>
      </c>
      <c r="Y82" s="7">
        <v>4271482000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B88" s="7">
        <v>0</v>
      </c>
      <c r="C88" s="7">
        <v>385</v>
      </c>
      <c r="D88" s="7">
        <v>0</v>
      </c>
      <c r="E88" s="7">
        <v>0</v>
      </c>
      <c r="F88" s="7">
        <v>0</v>
      </c>
      <c r="G88" s="7">
        <v>0</v>
      </c>
      <c r="H88" s="7">
        <v>385</v>
      </c>
      <c r="I88" s="7">
        <v>0</v>
      </c>
      <c r="J88" s="7">
        <v>0</v>
      </c>
      <c r="K88" s="7">
        <v>0</v>
      </c>
      <c r="L88" s="7">
        <v>0</v>
      </c>
      <c r="M88" s="7">
        <v>385</v>
      </c>
      <c r="N88" s="7">
        <v>154</v>
      </c>
      <c r="O88" s="7">
        <v>462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385</v>
      </c>
      <c r="Y88" s="7">
        <v>0</v>
      </c>
    </row>
    <row r="89" spans="1:25" x14ac:dyDescent="0.25">
      <c r="B89" s="7">
        <v>77</v>
      </c>
      <c r="C89" s="7">
        <v>616</v>
      </c>
      <c r="D89" s="7">
        <v>0</v>
      </c>
      <c r="E89" s="7">
        <v>0</v>
      </c>
      <c r="F89" s="7">
        <v>0</v>
      </c>
      <c r="G89" s="7">
        <v>0</v>
      </c>
      <c r="H89" s="7">
        <v>539</v>
      </c>
      <c r="I89" s="7">
        <v>0</v>
      </c>
      <c r="J89" s="7">
        <v>0</v>
      </c>
      <c r="K89" s="7">
        <v>0</v>
      </c>
      <c r="L89" s="7">
        <v>0</v>
      </c>
      <c r="M89" s="7">
        <v>539</v>
      </c>
      <c r="N89" s="7">
        <v>385</v>
      </c>
      <c r="O89" s="7">
        <v>616</v>
      </c>
      <c r="P89" s="7">
        <v>0</v>
      </c>
      <c r="Q89" s="7">
        <v>0</v>
      </c>
      <c r="R89" s="7">
        <v>0</v>
      </c>
      <c r="S89" s="7">
        <v>308</v>
      </c>
      <c r="T89" s="7">
        <v>0</v>
      </c>
      <c r="U89" s="7">
        <v>0</v>
      </c>
      <c r="V89" s="7">
        <v>0</v>
      </c>
      <c r="W89" s="7">
        <v>0</v>
      </c>
      <c r="X89" s="7">
        <v>539</v>
      </c>
      <c r="Y89" s="7">
        <v>0</v>
      </c>
    </row>
    <row r="90" spans="1:25" x14ac:dyDescent="0.25">
      <c r="B90" s="7">
        <v>385</v>
      </c>
      <c r="C90" s="7">
        <v>770</v>
      </c>
      <c r="D90" s="7">
        <v>0</v>
      </c>
      <c r="E90" s="7">
        <v>0</v>
      </c>
      <c r="F90" s="7">
        <v>0</v>
      </c>
      <c r="G90" s="7">
        <v>0</v>
      </c>
      <c r="H90" s="7">
        <v>770</v>
      </c>
      <c r="I90" s="7">
        <v>0</v>
      </c>
      <c r="J90" s="7">
        <v>0</v>
      </c>
      <c r="K90" s="7">
        <v>0</v>
      </c>
      <c r="L90" s="7">
        <v>0</v>
      </c>
      <c r="M90" s="7">
        <v>770</v>
      </c>
      <c r="N90" s="7">
        <v>616</v>
      </c>
      <c r="O90" s="7">
        <v>770</v>
      </c>
      <c r="P90" s="7">
        <v>0</v>
      </c>
      <c r="Q90" s="7">
        <v>154</v>
      </c>
      <c r="R90" s="7">
        <v>0</v>
      </c>
      <c r="S90" s="7">
        <v>539</v>
      </c>
      <c r="T90" s="7">
        <v>0</v>
      </c>
      <c r="U90" s="7">
        <v>0</v>
      </c>
      <c r="V90" s="7">
        <v>0</v>
      </c>
      <c r="W90" s="7">
        <v>0</v>
      </c>
      <c r="X90" s="7">
        <v>770</v>
      </c>
      <c r="Y90" s="7">
        <v>0</v>
      </c>
    </row>
    <row r="91" spans="1:25" x14ac:dyDescent="0.25">
      <c r="B91" s="7">
        <v>693</v>
      </c>
      <c r="C91" s="7">
        <v>1001</v>
      </c>
      <c r="D91" s="7">
        <v>0</v>
      </c>
      <c r="E91" s="7">
        <v>0</v>
      </c>
      <c r="F91" s="7">
        <v>0</v>
      </c>
      <c r="G91" s="7">
        <v>0</v>
      </c>
      <c r="H91" s="7">
        <v>924</v>
      </c>
      <c r="I91" s="7">
        <v>0</v>
      </c>
      <c r="J91" s="7">
        <v>0</v>
      </c>
      <c r="K91" s="7">
        <v>0</v>
      </c>
      <c r="L91" s="7">
        <v>0</v>
      </c>
      <c r="M91" s="7">
        <v>924</v>
      </c>
      <c r="N91" s="7">
        <v>847</v>
      </c>
      <c r="O91" s="7">
        <v>1001</v>
      </c>
      <c r="P91" s="7">
        <v>231</v>
      </c>
      <c r="Q91" s="7">
        <v>539</v>
      </c>
      <c r="R91" s="7">
        <v>0</v>
      </c>
      <c r="S91" s="7">
        <v>847</v>
      </c>
      <c r="T91" s="7">
        <v>0</v>
      </c>
      <c r="U91" s="7">
        <v>0</v>
      </c>
      <c r="V91" s="7">
        <v>0</v>
      </c>
      <c r="W91" s="7">
        <v>0</v>
      </c>
      <c r="X91" s="7">
        <v>924</v>
      </c>
      <c r="Y91" s="7">
        <v>154</v>
      </c>
    </row>
    <row r="92" spans="1:25" x14ac:dyDescent="0.25">
      <c r="B92" s="7">
        <v>1155</v>
      </c>
      <c r="C92" s="7">
        <v>1155</v>
      </c>
      <c r="D92" s="7">
        <v>0</v>
      </c>
      <c r="E92" s="7">
        <v>616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0</v>
      </c>
      <c r="M92" s="7">
        <v>1155</v>
      </c>
      <c r="N92" s="7">
        <v>1155</v>
      </c>
      <c r="O92" s="7">
        <v>1155</v>
      </c>
      <c r="P92" s="7">
        <v>924</v>
      </c>
      <c r="Q92" s="7">
        <v>693</v>
      </c>
      <c r="R92" s="7">
        <v>0</v>
      </c>
      <c r="S92" s="7">
        <v>1155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770</v>
      </c>
    </row>
    <row r="94" spans="1:25" ht="45" x14ac:dyDescent="0.25">
      <c r="A94" s="6" t="s">
        <v>46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B97" s="7">
        <v>146535900</v>
      </c>
      <c r="C97" s="7">
        <v>1809878000</v>
      </c>
      <c r="D97" s="7">
        <v>0</v>
      </c>
      <c r="E97" s="7">
        <v>0</v>
      </c>
      <c r="F97" s="7">
        <v>0</v>
      </c>
      <c r="G97" s="7">
        <v>0</v>
      </c>
      <c r="H97" s="7">
        <v>1808987000</v>
      </c>
      <c r="I97" s="7">
        <v>0</v>
      </c>
      <c r="J97" s="7">
        <v>0</v>
      </c>
      <c r="K97" s="7">
        <v>0</v>
      </c>
      <c r="L97" s="7">
        <v>0</v>
      </c>
      <c r="M97" s="7">
        <v>1826046000</v>
      </c>
      <c r="N97" s="7">
        <v>1457947000</v>
      </c>
      <c r="O97" s="7">
        <v>1039598000</v>
      </c>
      <c r="P97" s="7">
        <v>0</v>
      </c>
      <c r="Q97" s="7">
        <v>0</v>
      </c>
      <c r="R97" s="7">
        <v>0</v>
      </c>
      <c r="S97" s="7">
        <v>920084500</v>
      </c>
      <c r="T97" s="7">
        <v>0</v>
      </c>
      <c r="U97" s="7">
        <v>0</v>
      </c>
      <c r="V97" s="7">
        <v>0</v>
      </c>
      <c r="W97" s="7">
        <v>0</v>
      </c>
      <c r="X97" s="7">
        <v>1794069000</v>
      </c>
      <c r="Y97" s="7">
        <v>0</v>
      </c>
    </row>
    <row r="98" spans="1:25" x14ac:dyDescent="0.25">
      <c r="B98" s="7">
        <v>577658000</v>
      </c>
      <c r="C98" s="7">
        <v>967365900</v>
      </c>
      <c r="D98" s="7">
        <v>0</v>
      </c>
      <c r="E98" s="7">
        <v>0</v>
      </c>
      <c r="F98" s="7">
        <v>0</v>
      </c>
      <c r="G98" s="7">
        <v>0</v>
      </c>
      <c r="H98" s="7">
        <v>1878607000</v>
      </c>
      <c r="I98" s="7">
        <v>0</v>
      </c>
      <c r="J98" s="7">
        <v>0</v>
      </c>
      <c r="K98" s="7">
        <v>0</v>
      </c>
      <c r="L98" s="7">
        <v>0</v>
      </c>
      <c r="M98" s="7">
        <v>1905653000</v>
      </c>
      <c r="N98" s="7">
        <v>1308704000</v>
      </c>
      <c r="O98" s="7">
        <v>972889600</v>
      </c>
      <c r="P98" s="7">
        <v>0</v>
      </c>
      <c r="Q98" s="7">
        <v>0</v>
      </c>
      <c r="R98" s="7">
        <v>0</v>
      </c>
      <c r="S98" s="7">
        <v>949286800</v>
      </c>
      <c r="T98" s="7">
        <v>0</v>
      </c>
      <c r="U98" s="7">
        <v>0</v>
      </c>
      <c r="V98" s="7">
        <v>0</v>
      </c>
      <c r="W98" s="7">
        <v>0</v>
      </c>
      <c r="X98" s="7">
        <v>1858777000</v>
      </c>
      <c r="Y98" s="7">
        <v>0</v>
      </c>
    </row>
    <row r="99" spans="1:25" x14ac:dyDescent="0.25">
      <c r="B99" s="7">
        <v>553873800</v>
      </c>
      <c r="C99" s="7">
        <v>959326700</v>
      </c>
      <c r="D99" s="7">
        <v>0</v>
      </c>
      <c r="E99" s="7">
        <v>0</v>
      </c>
      <c r="F99" s="7">
        <v>0</v>
      </c>
      <c r="G99" s="7">
        <v>0</v>
      </c>
      <c r="H99" s="7">
        <v>1021796000</v>
      </c>
      <c r="I99" s="7">
        <v>0</v>
      </c>
      <c r="J99" s="7">
        <v>0</v>
      </c>
      <c r="K99" s="7">
        <v>0</v>
      </c>
      <c r="L99" s="7">
        <v>0</v>
      </c>
      <c r="M99" s="7">
        <v>1051066000</v>
      </c>
      <c r="N99" s="7">
        <v>1066098000</v>
      </c>
      <c r="O99" s="7">
        <v>966764600</v>
      </c>
      <c r="P99" s="7">
        <v>0</v>
      </c>
      <c r="Q99" s="7">
        <v>7292857.9330000002</v>
      </c>
      <c r="R99" s="7">
        <v>0</v>
      </c>
      <c r="S99" s="7">
        <v>778869500</v>
      </c>
      <c r="T99" s="7">
        <v>0</v>
      </c>
      <c r="U99" s="7">
        <v>0</v>
      </c>
      <c r="V99" s="7">
        <v>0</v>
      </c>
      <c r="W99" s="7">
        <v>0</v>
      </c>
      <c r="X99" s="7">
        <v>956714800</v>
      </c>
      <c r="Y99" s="7">
        <v>0</v>
      </c>
    </row>
    <row r="100" spans="1:25" x14ac:dyDescent="0.25">
      <c r="B100" s="7">
        <v>520252200</v>
      </c>
      <c r="C100" s="7">
        <v>131410300</v>
      </c>
      <c r="D100" s="7">
        <v>0</v>
      </c>
      <c r="E100" s="7">
        <v>220292000</v>
      </c>
      <c r="F100" s="7">
        <v>0</v>
      </c>
      <c r="G100" s="7">
        <v>0</v>
      </c>
      <c r="H100" s="7">
        <v>1124044000</v>
      </c>
      <c r="I100" s="7">
        <v>0</v>
      </c>
      <c r="J100" s="7">
        <v>0</v>
      </c>
      <c r="K100" s="7">
        <v>0</v>
      </c>
      <c r="L100" s="7">
        <v>565916000</v>
      </c>
      <c r="M100" s="7">
        <v>1162594000</v>
      </c>
      <c r="N100" s="7">
        <v>788609700</v>
      </c>
      <c r="O100" s="7">
        <v>132682700</v>
      </c>
      <c r="P100" s="7">
        <v>0</v>
      </c>
      <c r="Q100" s="7">
        <v>304580000</v>
      </c>
      <c r="R100" s="7">
        <v>0</v>
      </c>
      <c r="S100" s="7">
        <v>514371200</v>
      </c>
      <c r="T100" s="7">
        <v>0</v>
      </c>
      <c r="U100" s="7">
        <v>0</v>
      </c>
      <c r="V100" s="7">
        <v>0</v>
      </c>
      <c r="W100" s="7">
        <v>0</v>
      </c>
      <c r="X100" s="7">
        <v>1041302000</v>
      </c>
      <c r="Y100" s="7">
        <v>156533500</v>
      </c>
    </row>
    <row r="101" spans="1:25" x14ac:dyDescent="0.25">
      <c r="B101" s="7">
        <v>136765300</v>
      </c>
      <c r="C101" s="7">
        <v>54155120</v>
      </c>
      <c r="D101" s="7">
        <v>0</v>
      </c>
      <c r="E101" s="7">
        <v>636279000</v>
      </c>
      <c r="F101" s="7">
        <v>0</v>
      </c>
      <c r="G101" s="7">
        <v>0</v>
      </c>
      <c r="H101" s="7">
        <v>285365700</v>
      </c>
      <c r="I101" s="7">
        <v>0</v>
      </c>
      <c r="J101" s="7">
        <v>0</v>
      </c>
      <c r="K101" s="7">
        <v>0</v>
      </c>
      <c r="L101" s="7">
        <v>862350300</v>
      </c>
      <c r="M101" s="7">
        <v>347729800</v>
      </c>
      <c r="N101" s="7">
        <v>246749000</v>
      </c>
      <c r="O101" s="7">
        <v>30547950</v>
      </c>
      <c r="P101" s="7">
        <v>41650640</v>
      </c>
      <c r="Q101" s="7">
        <v>616850100</v>
      </c>
      <c r="R101" s="7">
        <v>0</v>
      </c>
      <c r="S101" s="7">
        <v>255725800</v>
      </c>
      <c r="T101" s="7">
        <v>0</v>
      </c>
      <c r="U101" s="7">
        <v>181197400</v>
      </c>
      <c r="V101" s="7">
        <v>0</v>
      </c>
      <c r="W101" s="7">
        <v>0</v>
      </c>
      <c r="X101" s="7">
        <v>114893000</v>
      </c>
      <c r="Y101" s="7">
        <v>709930500</v>
      </c>
    </row>
    <row r="103" spans="1:25" ht="45" x14ac:dyDescent="0.25">
      <c r="A103" s="6" t="s">
        <v>47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5">
      <c r="B106" s="7">
        <v>4975667000</v>
      </c>
      <c r="C106" s="7">
        <v>0</v>
      </c>
      <c r="D106" s="7">
        <v>5117038000</v>
      </c>
      <c r="E106" s="7">
        <v>5108444000</v>
      </c>
      <c r="F106" s="7">
        <v>5228692000</v>
      </c>
      <c r="G106" s="7">
        <v>5119004000</v>
      </c>
      <c r="H106" s="7">
        <v>0</v>
      </c>
      <c r="I106" s="7">
        <v>5185242000</v>
      </c>
      <c r="J106" s="7">
        <v>5099627000</v>
      </c>
      <c r="K106" s="7">
        <v>5085833000</v>
      </c>
      <c r="L106" s="7">
        <v>5130995000</v>
      </c>
      <c r="M106" s="7">
        <v>0</v>
      </c>
      <c r="N106" s="7">
        <v>2419339000</v>
      </c>
      <c r="O106" s="7">
        <v>0</v>
      </c>
      <c r="P106" s="7">
        <v>5085822000</v>
      </c>
      <c r="Q106" s="7">
        <v>5275863000</v>
      </c>
      <c r="R106" s="7">
        <v>5118173000</v>
      </c>
      <c r="S106" s="7">
        <v>4236127000</v>
      </c>
      <c r="T106" s="7">
        <v>5085338000</v>
      </c>
      <c r="U106" s="7">
        <v>5093097000</v>
      </c>
      <c r="V106" s="7">
        <v>5086025000</v>
      </c>
      <c r="W106" s="7">
        <v>5085165000</v>
      </c>
      <c r="X106" s="7">
        <v>0</v>
      </c>
      <c r="Y106" s="7"/>
    </row>
    <row r="107" spans="1:25" x14ac:dyDescent="0.25">
      <c r="B107" s="7">
        <v>5227474000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0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1925407000</v>
      </c>
      <c r="O107" s="7">
        <v>0</v>
      </c>
      <c r="P107" s="7">
        <v>6357228000</v>
      </c>
      <c r="Q107" s="7">
        <v>6594829000</v>
      </c>
      <c r="R107" s="7">
        <v>6397716000</v>
      </c>
      <c r="S107" s="7">
        <v>2982096000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/>
    </row>
    <row r="108" spans="1:25" x14ac:dyDescent="0.25">
      <c r="B108" s="7">
        <v>4131730000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1532239000</v>
      </c>
      <c r="O108" s="7">
        <v>0</v>
      </c>
      <c r="P108" s="7">
        <v>7628285000</v>
      </c>
      <c r="Q108" s="7">
        <v>6785373000</v>
      </c>
      <c r="R108" s="7">
        <v>7676897000</v>
      </c>
      <c r="S108" s="7">
        <v>2592639000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/>
    </row>
    <row r="109" spans="1:25" x14ac:dyDescent="0.25">
      <c r="B109" s="7">
        <v>3019215000</v>
      </c>
      <c r="C109" s="7">
        <v>0</v>
      </c>
      <c r="D109" s="7">
        <v>8954817000</v>
      </c>
      <c r="E109" s="7">
        <v>8720960000</v>
      </c>
      <c r="F109" s="7">
        <v>9150270000</v>
      </c>
      <c r="G109" s="7">
        <v>8958545000</v>
      </c>
      <c r="H109" s="7">
        <v>0</v>
      </c>
      <c r="I109" s="7">
        <v>9073855000</v>
      </c>
      <c r="J109" s="7">
        <v>8924122000</v>
      </c>
      <c r="K109" s="7">
        <v>8900207000</v>
      </c>
      <c r="L109" s="7">
        <v>8413067000</v>
      </c>
      <c r="M109" s="7">
        <v>0</v>
      </c>
      <c r="N109" s="7">
        <v>1187008000</v>
      </c>
      <c r="O109" s="7">
        <v>0</v>
      </c>
      <c r="P109" s="7">
        <v>7300366000</v>
      </c>
      <c r="Q109" s="7">
        <v>4958063000</v>
      </c>
      <c r="R109" s="7">
        <v>8955993000</v>
      </c>
      <c r="S109" s="7">
        <v>1421156000</v>
      </c>
      <c r="T109" s="7">
        <v>8898734000</v>
      </c>
      <c r="U109" s="7">
        <v>8917717000</v>
      </c>
      <c r="V109" s="7">
        <v>8900544000</v>
      </c>
      <c r="W109" s="7">
        <v>8899306000</v>
      </c>
      <c r="X109" s="7">
        <v>0</v>
      </c>
      <c r="Y109" s="7"/>
    </row>
    <row r="110" spans="1:25" x14ac:dyDescent="0.25">
      <c r="B110" s="7">
        <v>46987330</v>
      </c>
      <c r="C110" s="7">
        <v>0</v>
      </c>
      <c r="D110" s="7">
        <v>9259118000</v>
      </c>
      <c r="E110" s="7">
        <v>5665423000</v>
      </c>
      <c r="F110" s="7">
        <v>9989206000</v>
      </c>
      <c r="G110" s="7">
        <v>9647702000</v>
      </c>
      <c r="H110" s="7">
        <v>0</v>
      </c>
      <c r="I110" s="7">
        <v>9682553000</v>
      </c>
      <c r="J110" s="7">
        <v>9422373000</v>
      </c>
      <c r="K110" s="7">
        <v>9386149000</v>
      </c>
      <c r="L110" s="7">
        <v>8681970000</v>
      </c>
      <c r="M110" s="7">
        <v>0</v>
      </c>
      <c r="N110" s="7">
        <v>1217487.615</v>
      </c>
      <c r="O110" s="7">
        <v>0</v>
      </c>
      <c r="P110" s="7">
        <v>3124531000</v>
      </c>
      <c r="Q110" s="7">
        <v>4376217000</v>
      </c>
      <c r="R110" s="7">
        <v>9695625000</v>
      </c>
      <c r="S110" s="7">
        <v>24331460</v>
      </c>
      <c r="T110" s="7">
        <v>9846465000</v>
      </c>
      <c r="U110" s="7">
        <v>9186627000</v>
      </c>
      <c r="V110" s="7">
        <v>9874839000</v>
      </c>
      <c r="W110" s="7">
        <v>10018600000</v>
      </c>
      <c r="X110" s="7">
        <v>0</v>
      </c>
      <c r="Y110" s="7"/>
    </row>
    <row r="112" spans="1:25" ht="45" x14ac:dyDescent="0.25">
      <c r="A112" s="6" t="s">
        <v>48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5">
      <c r="B115" s="7">
        <v>0</v>
      </c>
      <c r="C115" s="7">
        <v>3275934000</v>
      </c>
      <c r="D115" s="7">
        <v>0</v>
      </c>
      <c r="E115" s="7">
        <v>0</v>
      </c>
      <c r="F115" s="7">
        <v>0</v>
      </c>
      <c r="G115" s="7">
        <v>0</v>
      </c>
      <c r="H115" s="7">
        <v>3345573000</v>
      </c>
      <c r="I115" s="7">
        <v>0</v>
      </c>
      <c r="J115" s="7">
        <v>0</v>
      </c>
      <c r="K115" s="7">
        <v>0</v>
      </c>
      <c r="L115" s="7">
        <v>0</v>
      </c>
      <c r="M115" s="7">
        <v>3342110000</v>
      </c>
      <c r="N115" s="7">
        <v>1283812000</v>
      </c>
      <c r="O115" s="7">
        <v>4046941000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3308169000</v>
      </c>
      <c r="Y115" s="7">
        <v>0</v>
      </c>
    </row>
    <row r="116" spans="1:25" x14ac:dyDescent="0.25">
      <c r="B116" s="7">
        <v>597620900</v>
      </c>
      <c r="C116" s="7">
        <v>5389899000</v>
      </c>
      <c r="D116" s="7">
        <v>0</v>
      </c>
      <c r="E116" s="7">
        <v>0</v>
      </c>
      <c r="F116" s="7">
        <v>0</v>
      </c>
      <c r="G116" s="7">
        <v>0</v>
      </c>
      <c r="H116" s="7">
        <v>4564593000</v>
      </c>
      <c r="I116" s="7">
        <v>0</v>
      </c>
      <c r="J116" s="7">
        <v>0</v>
      </c>
      <c r="K116" s="7">
        <v>0</v>
      </c>
      <c r="L116" s="7">
        <v>0</v>
      </c>
      <c r="M116" s="7">
        <v>4554542000</v>
      </c>
      <c r="N116" s="7">
        <v>3217261000</v>
      </c>
      <c r="O116" s="7">
        <v>5385284000</v>
      </c>
      <c r="P116" s="7">
        <v>0</v>
      </c>
      <c r="Q116" s="7">
        <v>0</v>
      </c>
      <c r="R116" s="7">
        <v>0</v>
      </c>
      <c r="S116" s="7">
        <v>2513881000</v>
      </c>
      <c r="T116" s="7">
        <v>0</v>
      </c>
      <c r="U116" s="7">
        <v>0</v>
      </c>
      <c r="V116" s="7">
        <v>0</v>
      </c>
      <c r="W116" s="7">
        <v>0</v>
      </c>
      <c r="X116" s="7">
        <v>4519020000</v>
      </c>
      <c r="Y116" s="7">
        <v>0</v>
      </c>
    </row>
    <row r="117" spans="1:25" x14ac:dyDescent="0.25">
      <c r="B117" s="7">
        <v>2997700000</v>
      </c>
      <c r="C117" s="7">
        <v>6669391000</v>
      </c>
      <c r="D117" s="7">
        <v>0</v>
      </c>
      <c r="E117" s="7">
        <v>0</v>
      </c>
      <c r="F117" s="7">
        <v>0</v>
      </c>
      <c r="G117" s="7">
        <v>0</v>
      </c>
      <c r="H117" s="7">
        <v>6710044000</v>
      </c>
      <c r="I117" s="7">
        <v>0</v>
      </c>
      <c r="J117" s="7">
        <v>0</v>
      </c>
      <c r="K117" s="7">
        <v>0</v>
      </c>
      <c r="L117" s="7">
        <v>0</v>
      </c>
      <c r="M117" s="7">
        <v>6701168000</v>
      </c>
      <c r="N117" s="7">
        <v>5143309000</v>
      </c>
      <c r="O117" s="7">
        <v>6663043000</v>
      </c>
      <c r="P117" s="7">
        <v>0</v>
      </c>
      <c r="Q117" s="7">
        <v>1121073000</v>
      </c>
      <c r="R117" s="7">
        <v>0</v>
      </c>
      <c r="S117" s="7">
        <v>4362808000</v>
      </c>
      <c r="T117" s="7">
        <v>0</v>
      </c>
      <c r="U117" s="7">
        <v>0</v>
      </c>
      <c r="V117" s="7">
        <v>0</v>
      </c>
      <c r="W117" s="7">
        <v>0</v>
      </c>
      <c r="X117" s="7">
        <v>6696642000</v>
      </c>
      <c r="Y117" s="7">
        <v>0</v>
      </c>
    </row>
    <row r="118" spans="1:25" x14ac:dyDescent="0.25">
      <c r="B118" s="7">
        <v>5424346000</v>
      </c>
      <c r="C118" s="7">
        <v>8768760000</v>
      </c>
      <c r="D118" s="7">
        <v>0</v>
      </c>
      <c r="E118" s="7">
        <v>0</v>
      </c>
      <c r="F118" s="7">
        <v>0</v>
      </c>
      <c r="G118" s="7">
        <v>0</v>
      </c>
      <c r="H118" s="7">
        <v>7896358000</v>
      </c>
      <c r="I118" s="7">
        <v>0</v>
      </c>
      <c r="J118" s="7">
        <v>0</v>
      </c>
      <c r="K118" s="7">
        <v>0</v>
      </c>
      <c r="L118" s="7">
        <v>0</v>
      </c>
      <c r="M118" s="7">
        <v>7881598000</v>
      </c>
      <c r="N118" s="7">
        <v>7056275000</v>
      </c>
      <c r="O118" s="7">
        <v>8768760000</v>
      </c>
      <c r="P118" s="7">
        <v>1599211000</v>
      </c>
      <c r="Q118" s="7">
        <v>3969962000</v>
      </c>
      <c r="R118" s="7">
        <v>0</v>
      </c>
      <c r="S118" s="7">
        <v>7087842000</v>
      </c>
      <c r="T118" s="7">
        <v>0</v>
      </c>
      <c r="U118" s="7">
        <v>0</v>
      </c>
      <c r="V118" s="7">
        <v>0</v>
      </c>
      <c r="W118" s="7">
        <v>0</v>
      </c>
      <c r="X118" s="7">
        <v>7887540000</v>
      </c>
      <c r="Y118" s="7">
        <v>957808200</v>
      </c>
    </row>
    <row r="119" spans="1:25" x14ac:dyDescent="0.25">
      <c r="B119" s="7">
        <v>10024200000</v>
      </c>
      <c r="C119" s="7">
        <v>10106500000</v>
      </c>
      <c r="D119" s="7">
        <v>0</v>
      </c>
      <c r="E119" s="7">
        <v>3782154000</v>
      </c>
      <c r="F119" s="7">
        <v>0</v>
      </c>
      <c r="G119" s="7">
        <v>0</v>
      </c>
      <c r="H119" s="7">
        <v>9974716000</v>
      </c>
      <c r="I119" s="7">
        <v>0</v>
      </c>
      <c r="J119" s="7">
        <v>0</v>
      </c>
      <c r="K119" s="7">
        <v>0</v>
      </c>
      <c r="L119" s="7">
        <v>0</v>
      </c>
      <c r="M119" s="7">
        <v>9932039000</v>
      </c>
      <c r="N119" s="7">
        <v>10005900000</v>
      </c>
      <c r="O119" s="7">
        <v>10114900000</v>
      </c>
      <c r="P119" s="7">
        <v>6947448000</v>
      </c>
      <c r="Q119" s="7">
        <v>5020336000</v>
      </c>
      <c r="R119" s="7">
        <v>0</v>
      </c>
      <c r="S119" s="7">
        <v>9971344000</v>
      </c>
      <c r="T119" s="7">
        <v>0</v>
      </c>
      <c r="U119" s="7">
        <v>0</v>
      </c>
      <c r="V119" s="7">
        <v>0</v>
      </c>
      <c r="W119" s="7">
        <v>0</v>
      </c>
      <c r="X119" s="7">
        <v>10074300000</v>
      </c>
      <c r="Y119" s="7">
        <v>4981509000</v>
      </c>
    </row>
    <row r="121" spans="1:25" ht="45" x14ac:dyDescent="0.25">
      <c r="A121" s="6" t="s">
        <v>49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5">
      <c r="B124" s="7">
        <v>5122203000</v>
      </c>
      <c r="C124" s="7">
        <v>5085812000</v>
      </c>
      <c r="D124" s="7">
        <v>5117038000</v>
      </c>
      <c r="E124" s="7">
        <v>5108444000</v>
      </c>
      <c r="F124" s="7">
        <v>5228692000</v>
      </c>
      <c r="G124" s="7">
        <v>5119004000</v>
      </c>
      <c r="H124" s="7">
        <v>5154560000</v>
      </c>
      <c r="I124" s="7">
        <v>5185242000</v>
      </c>
      <c r="J124" s="7">
        <v>5099627000</v>
      </c>
      <c r="K124" s="7">
        <v>5085833000</v>
      </c>
      <c r="L124" s="7">
        <v>5130995000</v>
      </c>
      <c r="M124" s="7">
        <v>5168156000</v>
      </c>
      <c r="N124" s="7">
        <v>5161097000</v>
      </c>
      <c r="O124" s="7">
        <v>5086539000</v>
      </c>
      <c r="P124" s="7">
        <v>5085822000</v>
      </c>
      <c r="Q124" s="7">
        <v>5275863000</v>
      </c>
      <c r="R124" s="7">
        <v>5118173000</v>
      </c>
      <c r="S124" s="7">
        <v>5156211000</v>
      </c>
      <c r="T124" s="7">
        <v>5085338000</v>
      </c>
      <c r="U124" s="7">
        <v>5093097000</v>
      </c>
      <c r="V124" s="7">
        <v>5086025000</v>
      </c>
      <c r="W124" s="7">
        <v>5085165000</v>
      </c>
      <c r="X124" s="7">
        <v>5102238000</v>
      </c>
      <c r="Y124" s="7">
        <v>5141741000</v>
      </c>
    </row>
    <row r="125" spans="1:25" x14ac:dyDescent="0.25">
      <c r="B125" s="7">
        <v>3841652000</v>
      </c>
      <c r="C125" s="7">
        <v>3814359000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3814904000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2543269000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1279751000</v>
      </c>
      <c r="H127" s="7">
        <v>1288640000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1318966000</v>
      </c>
      <c r="R127" s="7">
        <v>1279543000</v>
      </c>
      <c r="S127" s="7">
        <v>1289053000</v>
      </c>
      <c r="T127" s="7">
        <v>1271334000</v>
      </c>
      <c r="U127" s="7">
        <v>1273274000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52292880</v>
      </c>
      <c r="C128" s="7">
        <v>14159950</v>
      </c>
      <c r="D128" s="7">
        <v>1246484000</v>
      </c>
      <c r="E128" s="7">
        <v>292144900</v>
      </c>
      <c r="F128" s="7">
        <v>719078400</v>
      </c>
      <c r="G128" s="7">
        <v>894933500</v>
      </c>
      <c r="H128" s="7">
        <v>74045430</v>
      </c>
      <c r="I128" s="7">
        <v>992188700</v>
      </c>
      <c r="J128" s="7">
        <v>959941000</v>
      </c>
      <c r="K128" s="7">
        <v>1097638000</v>
      </c>
      <c r="L128" s="7">
        <v>998240800</v>
      </c>
      <c r="M128" s="7">
        <v>89747170</v>
      </c>
      <c r="N128" s="7">
        <v>92419190</v>
      </c>
      <c r="O128" s="7">
        <v>32797680</v>
      </c>
      <c r="P128" s="7">
        <v>111823800</v>
      </c>
      <c r="Q128" s="7">
        <v>702723300</v>
      </c>
      <c r="R128" s="7">
        <v>792331300</v>
      </c>
      <c r="S128" s="7">
        <v>84193080</v>
      </c>
      <c r="T128" s="7">
        <v>503668900</v>
      </c>
      <c r="U128" s="7">
        <v>1139822000</v>
      </c>
      <c r="V128" s="7">
        <v>368860200</v>
      </c>
      <c r="W128" s="7">
        <v>395332400</v>
      </c>
      <c r="X128" s="7">
        <v>25156780</v>
      </c>
      <c r="Y128" s="7">
        <v>202712400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5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5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6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6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7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7"/>
        <v>#DIV/0!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8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8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9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9"/>
        <v>#DIV/0!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0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0"/>
        <v>#DIV/0!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1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1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2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2"/>
        <v>#DIV/0!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2026-03-02T20:50:34Z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