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LC\SSP5-60\NOAK\"/>
    </mc:Choice>
  </mc:AlternateContent>
  <xr:revisionPtr revIDLastSave="0" documentId="13_ncr:1_{DC7CEBD2-0357-4433-A519-AE2D43BEB4EC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<sst xmlns="http://schemas.openxmlformats.org/spreadsheetml/2006/main" count="1079" uniqueCount="55">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</sst>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3889.2453601553857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1178.0991866502491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818.35446895156792</v>
      </c>
      <c r="N19" s="2">
        <f>N8/'Output-Calculation-sheet'!N7*'Output-Calculation-sheet'!N25</f>
        <v>680.77421254423825</v>
      </c>
      <c r="O19" s="2">
        <f>O8/'Output-Calculation-sheet'!O7*'Output-Calculation-sheet'!O25</f>
        <v>427.25940405498068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88.568717886911315</v>
      </c>
      <c r="Y19" s="2">
        <f>Y8/'Output-Calculation-sheet'!Y7*'Output-Calculation-sheet'!Y25</f>
        <v>0</v>
      </c>
      <c r="AA19" s="2">
        <f t="shared" si="0"/>
        <v>8.2237654399564146</v>
      </c>
    </row>
    <row r="20" spans="1:27" x14ac:dyDescent="0.25">
      <c r="A20" s="2">
        <v>2032</v>
      </c>
      <c r="B20" s="2">
        <f>B9/'Output-Calculation-sheet'!B8*'Output-Calculation-sheet'!B26</f>
        <v>3743.0711409735013</v>
      </c>
      <c r="C20" s="2">
        <f>C9/'Output-Calculation-sheet'!C8*'Output-Calculation-sheet'!C26</f>
        <v>2052.6088317160475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1232.1912167934631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861.06372617706279</v>
      </c>
      <c r="N20" s="2">
        <f>N9/'Output-Calculation-sheet'!N8*'Output-Calculation-sheet'!N26</f>
        <v>596.74062609824898</v>
      </c>
      <c r="O20" s="2">
        <f>O9/'Output-Calculation-sheet'!O8*'Output-Calculation-sheet'!O26</f>
        <v>401.04172655159897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283.06583225245538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93.696309183930339</v>
      </c>
      <c r="Y20" s="2">
        <f>Y9/'Output-Calculation-sheet'!Y8*'Output-Calculation-sheet'!Y26</f>
        <v>0</v>
      </c>
      <c r="AA20" s="2">
        <f t="shared" si="0"/>
        <v>9.2634794097463082</v>
      </c>
    </row>
    <row r="21" spans="1:27" x14ac:dyDescent="0.25">
      <c r="A21" s="2">
        <v>2033</v>
      </c>
      <c r="B21" s="2">
        <f>B10/'Output-Calculation-sheet'!B9*'Output-Calculation-sheet'!B27</f>
        <v>3304.8246611419254</v>
      </c>
      <c r="C21" s="2">
        <f>C10/'Output-Calculation-sheet'!C9*'Output-Calculation-sheet'!C27</f>
        <v>2031.2850976054201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666.01124245075641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471.40825155034173</v>
      </c>
      <c r="N21" s="2">
        <f>N10/'Output-Calculation-sheet'!N9*'Output-Calculation-sheet'!N27</f>
        <v>477.39385970358813</v>
      </c>
      <c r="O21" s="2">
        <f>O10/'Output-Calculation-sheet'!O9*'Output-Calculation-sheet'!O27</f>
        <v>397.68207282920827</v>
      </c>
      <c r="P21" s="2">
        <f>P10/'Output-Calculation-sheet'!P9*'Output-Calculation-sheet'!P27</f>
        <v>0</v>
      </c>
      <c r="Q21" s="2">
        <f>Q10/'Output-Calculation-sheet'!Q9*'Output-Calculation-sheet'!Q27</f>
        <v>5.6362023825162142</v>
      </c>
      <c r="R21" s="2">
        <f>R10/'Output-Calculation-sheet'!R9*'Output-Calculation-sheet'!R27</f>
        <v>0</v>
      </c>
      <c r="S21" s="2">
        <f>S10/'Output-Calculation-sheet'!S9*'Output-Calculation-sheet'!S27</f>
        <v>227.31728078138784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47.072139900692072</v>
      </c>
      <c r="Y21" s="2">
        <f>Y10/'Output-Calculation-sheet'!Y9*'Output-Calculation-sheet'!Y27</f>
        <v>0</v>
      </c>
      <c r="AA21" s="2">
        <f t="shared" si="0"/>
        <v>7.6286308083458358</v>
      </c>
    </row>
    <row r="22" spans="1:27" x14ac:dyDescent="0.25">
      <c r="A22" s="2">
        <v>2034</v>
      </c>
      <c r="B22" s="2">
        <f>B11/'Output-Calculation-sheet'!B10*'Output-Calculation-sheet'!B28</f>
        <v>2754.1947685871651</v>
      </c>
      <c r="C22" s="2">
        <f>C11/'Output-Calculation-sheet'!C10*'Output-Calculation-sheet'!C28</f>
        <v>278.02506125673557</v>
      </c>
      <c r="D22" s="2">
        <f>D11/'Output-Calculation-sheet'!D10*'Output-Calculation-sheet'!D28</f>
        <v>0</v>
      </c>
      <c r="E22" s="2">
        <f>E11/'Output-Calculation-sheet'!E10*'Output-Calculation-sheet'!E28</f>
        <v>923.19343506968573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732.06176862722566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559.90028290036037</v>
      </c>
      <c r="M22" s="2">
        <f>M11/'Output-Calculation-sheet'!M10*'Output-Calculation-sheet'!M28</f>
        <v>521.00557034494841</v>
      </c>
      <c r="N22" s="2">
        <f>N11/'Output-Calculation-sheet'!N10*'Output-Calculation-sheet'!N28</f>
        <v>348.29519620706571</v>
      </c>
      <c r="O22" s="2">
        <f>O11/'Output-Calculation-sheet'!O10*'Output-Calculation-sheet'!O28</f>
        <v>54.535262812987703</v>
      </c>
      <c r="P22" s="2">
        <f>P11/'Output-Calculation-sheet'!P10*'Output-Calculation-sheet'!P28</f>
        <v>0</v>
      </c>
      <c r="Q22" s="2">
        <f>Q11/'Output-Calculation-sheet'!Q10*'Output-Calculation-sheet'!Q28</f>
        <v>165.11319383459488</v>
      </c>
      <c r="R22" s="2">
        <f>R11/'Output-Calculation-sheet'!R10*'Output-Calculation-sheet'!R28</f>
        <v>0</v>
      </c>
      <c r="S22" s="2">
        <f>S11/'Output-Calculation-sheet'!S10*'Output-Calculation-sheet'!S28</f>
        <v>130.41277117030009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51.192424816994581</v>
      </c>
      <c r="Y22" s="2">
        <f>Y11/'Output-Calculation-sheet'!Y10*'Output-Calculation-sheet'!Y28</f>
        <v>9.7369513746116994</v>
      </c>
      <c r="AA22" s="2">
        <f t="shared" si="0"/>
        <v>6.527666687002676</v>
      </c>
    </row>
    <row r="23" spans="1:27" x14ac:dyDescent="0.25">
      <c r="A23" s="2">
        <v>2035</v>
      </c>
      <c r="B23" s="2">
        <f>B12/'Output-Calculation-sheet'!B11*'Output-Calculation-sheet'!B29</f>
        <v>905.12107717154333</v>
      </c>
      <c r="C23" s="2">
        <f>C12/'Output-Calculation-sheet'!C11*'Output-Calculation-sheet'!C29</f>
        <v>155.66329040431796</v>
      </c>
      <c r="D23" s="2">
        <f>D12/'Output-Calculation-sheet'!D11*'Output-Calculation-sheet'!D29</f>
        <v>0</v>
      </c>
      <c r="E23" s="2">
        <f>E12/'Output-Calculation-sheet'!E11*'Output-Calculation-sheet'!E29</f>
        <v>1267.3722293115356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242.77846721758681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766.98642688497591</v>
      </c>
      <c r="M23" s="2">
        <f>M12/'Output-Calculation-sheet'!M11*'Output-Calculation-sheet'!M29</f>
        <v>218.99433343063589</v>
      </c>
      <c r="N23" s="2">
        <f>N12/'Output-Calculation-sheet'!N11*'Output-Calculation-sheet'!N29</f>
        <v>183.60474996482469</v>
      </c>
      <c r="O23" s="2">
        <f>O12/'Output-Calculation-sheet'!O11*'Output-Calculation-sheet'!O29</f>
        <v>26.531019745826288</v>
      </c>
      <c r="P23" s="2">
        <f>P12/'Output-Calculation-sheet'!P11*'Output-Calculation-sheet'!P29</f>
        <v>11.757157103433448</v>
      </c>
      <c r="Q23" s="2">
        <f>Q12/'Output-Calculation-sheet'!Q11*'Output-Calculation-sheet'!Q29</f>
        <v>236.71692059486605</v>
      </c>
      <c r="R23" s="2">
        <f>R12/'Output-Calculation-sheet'!R11*'Output-Calculation-sheet'!R29</f>
        <v>0</v>
      </c>
      <c r="S23" s="2">
        <f>S12/'Output-Calculation-sheet'!S11*'Output-Calculation-sheet'!S29</f>
        <v>89.898656353396987</v>
      </c>
      <c r="T23" s="2">
        <f>T12/'Output-Calculation-sheet'!T11*'Output-Calculation-sheet'!T29</f>
        <v>0</v>
      </c>
      <c r="U23" s="2">
        <f>U12/'Output-Calculation-sheet'!U11*'Output-Calculation-sheet'!U29</f>
        <v>64.454998700377516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7.7670898317583523</v>
      </c>
      <c r="Y23" s="2">
        <f>Y12/'Output-Calculation-sheet'!Y11*'Output-Calculation-sheet'!Y29</f>
        <v>41.624801713843333</v>
      </c>
      <c r="AA23" s="2">
        <f t="shared" si="0"/>
        <v>4.2192712184289221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776.06820184809783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30.42765828781345</v>
      </c>
    </row>
    <row r="31" spans="1:27" x14ac:dyDescent="0.25">
      <c r="A31" s="2">
        <v>2032</v>
      </c>
      <c r="B31" s="2">
        <f>B9/'Output-Calculation-sheet'!B8*'Output-Calculation-sheet'!B17</f>
        <v>15737.42103418192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615.34974840394977</v>
      </c>
      <c r="O31" s="2">
        <f>O9/'Output-Calculation-sheet'!O8*'Output-Calculation-sheet'!O17</f>
        <v>0</v>
      </c>
      <c r="P31" s="2">
        <f>P9/'Output-Calculation-sheet'!P8*'Output-Calculation-sheet'!P17</f>
        <v>1538.3785101898545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509.30515847453813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36.056710752297256</v>
      </c>
    </row>
    <row r="32" spans="1:27" x14ac:dyDescent="0.25">
      <c r="A32" s="2">
        <v>2033</v>
      </c>
      <c r="B32" s="2">
        <f>B10/'Output-Calculation-sheet'!B9*'Output-Calculation-sheet'!B18</f>
        <v>11954.424542903938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1871.6311642785008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483.85762162562304</v>
      </c>
      <c r="O32" s="2">
        <f>O10/'Output-Calculation-sheet'!O9*'Output-Calculation-sheet'!O18</f>
        <v>0</v>
      </c>
      <c r="P32" s="2">
        <f>P10/'Output-Calculation-sheet'!P9*'Output-Calculation-sheet'!P18</f>
        <v>1926.2825184245978</v>
      </c>
      <c r="Q32" s="2">
        <f>Q10/'Output-Calculation-sheet'!Q9*'Output-Calculation-sheet'!Q18</f>
        <v>1783.4712805264078</v>
      </c>
      <c r="R32" s="2">
        <f>R10/'Output-Calculation-sheet'!R9*'Output-Calculation-sheet'!R18</f>
        <v>1383.213043899586</v>
      </c>
      <c r="S32" s="2">
        <f>S10/'Output-Calculation-sheet'!S9*'Output-Calculation-sheet'!S18</f>
        <v>440.16741644148362</v>
      </c>
      <c r="T32" s="2">
        <f>T10/'Output-Calculation-sheet'!T9*'Output-Calculation-sheet'!T18</f>
        <v>403.85633834094079</v>
      </c>
      <c r="U32" s="2">
        <f>U10/'Output-Calculation-sheet'!U9*'Output-Calculation-sheet'!U18</f>
        <v>446.45907114187531</v>
      </c>
      <c r="V32" s="2">
        <f>V10/'Output-Calculation-sheet'!V9*'Output-Calculation-sheet'!V18</f>
        <v>329.54701205162218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190.78176805133546</v>
      </c>
      <c r="AA32" s="2">
        <f t="shared" si="1"/>
        <v>38.004221792843126</v>
      </c>
    </row>
    <row r="33" spans="1:27" x14ac:dyDescent="0.25">
      <c r="A33" s="2">
        <v>2034</v>
      </c>
      <c r="B33" s="2">
        <f>B11/'Output-Calculation-sheet'!B10*'Output-Calculation-sheet'!B19</f>
        <v>8333.2400471182118</v>
      </c>
      <c r="C33" s="2">
        <f>C11/'Output-Calculation-sheet'!C10*'Output-Calculation-sheet'!C19</f>
        <v>0</v>
      </c>
      <c r="D33" s="2">
        <f>D11/'Output-Calculation-sheet'!D10*'Output-Calculation-sheet'!D19</f>
        <v>5541.4485732882404</v>
      </c>
      <c r="E33" s="2">
        <f>E11/'Output-Calculation-sheet'!E10*'Output-Calculation-sheet'!E19</f>
        <v>6869.2176903474847</v>
      </c>
      <c r="F33" s="2">
        <f>F11/'Output-Calculation-sheet'!F10*'Output-Calculation-sheet'!F19</f>
        <v>3145.2957267910983</v>
      </c>
      <c r="G33" s="2">
        <f>G11/'Output-Calculation-sheet'!G10*'Output-Calculation-sheet'!G19</f>
        <v>1886.1148235383132</v>
      </c>
      <c r="H33" s="2">
        <f>H11/'Output-Calculation-sheet'!H10*'Output-Calculation-sheet'!H19</f>
        <v>0</v>
      </c>
      <c r="I33" s="2">
        <f>I11/'Output-Calculation-sheet'!I10*'Output-Calculation-sheet'!I19</f>
        <v>2058.2838390125407</v>
      </c>
      <c r="J33" s="2">
        <f>J11/'Output-Calculation-sheet'!J10*'Output-Calculation-sheet'!J19</f>
        <v>1740.2142376898605</v>
      </c>
      <c r="K33" s="2">
        <f>K11/'Output-Calculation-sheet'!K10*'Output-Calculation-sheet'!K19</f>
        <v>2414.0514420330669</v>
      </c>
      <c r="L33" s="2">
        <f>L11/'Output-Calculation-sheet'!L10*'Output-Calculation-sheet'!L19</f>
        <v>1963.3542939098672</v>
      </c>
      <c r="M33" s="2">
        <f>M11/'Output-Calculation-sheet'!M10*'Output-Calculation-sheet'!M19</f>
        <v>0</v>
      </c>
      <c r="N33" s="2">
        <f>N11/'Output-Calculation-sheet'!N10*'Output-Calculation-sheet'!N19</f>
        <v>372.6840792210586</v>
      </c>
      <c r="O33" s="2">
        <f>O11/'Output-Calculation-sheet'!O10*'Output-Calculation-sheet'!O19</f>
        <v>0</v>
      </c>
      <c r="P33" s="2">
        <f>P11/'Output-Calculation-sheet'!P10*'Output-Calculation-sheet'!P19</f>
        <v>1844.8469161144649</v>
      </c>
      <c r="Q33" s="2">
        <f>Q11/'Output-Calculation-sheet'!Q10*'Output-Calculation-sheet'!Q19</f>
        <v>1192.5839520324614</v>
      </c>
      <c r="R33" s="2">
        <f>R11/'Output-Calculation-sheet'!R10*'Output-Calculation-sheet'!R19</f>
        <v>1744.3265111745764</v>
      </c>
      <c r="S33" s="2">
        <f>S11/'Output-Calculation-sheet'!S10*'Output-Calculation-sheet'!S19</f>
        <v>236.9149171728144</v>
      </c>
      <c r="T33" s="2">
        <f>T11/'Output-Calculation-sheet'!T10*'Output-Calculation-sheet'!T19</f>
        <v>511.60164334081429</v>
      </c>
      <c r="U33" s="2">
        <f>U11/'Output-Calculation-sheet'!U10*'Output-Calculation-sheet'!U19</f>
        <v>588.49459184455361</v>
      </c>
      <c r="V33" s="2">
        <f>V11/'Output-Calculation-sheet'!V10*'Output-Calculation-sheet'!V19</f>
        <v>401.3086209776946</v>
      </c>
      <c r="W33" s="2">
        <f>W11/'Output-Calculation-sheet'!W10*'Output-Calculation-sheet'!W19</f>
        <v>249.84091054518456</v>
      </c>
      <c r="X33" s="2">
        <f>X11/'Output-Calculation-sheet'!X10*'Output-Calculation-sheet'!X19</f>
        <v>0</v>
      </c>
      <c r="Y33" s="2">
        <f>Y11/'Output-Calculation-sheet'!Y10*'Output-Calculation-sheet'!Y19</f>
        <v>190.76503122392495</v>
      </c>
      <c r="AA33" s="2">
        <f t="shared" si="1"/>
        <v>41.28458784737623</v>
      </c>
    </row>
    <row r="34" spans="1:27" x14ac:dyDescent="0.25">
      <c r="A34" s="2">
        <v>2035</v>
      </c>
      <c r="B34" s="2">
        <f>B12/'Output-Calculation-sheet'!B11*'Output-Calculation-sheet'!B20</f>
        <v>129.02618419856549</v>
      </c>
      <c r="C34" s="2">
        <f>C12/'Output-Calculation-sheet'!C11*'Output-Calculation-sheet'!C20</f>
        <v>0</v>
      </c>
      <c r="D34" s="2">
        <f>D12/'Output-Calculation-sheet'!D11*'Output-Calculation-sheet'!D20</f>
        <v>6392.6526742825281</v>
      </c>
      <c r="E34" s="2">
        <f>E12/'Output-Calculation-sheet'!E11*'Output-Calculation-sheet'!E20</f>
        <v>2576.1758787985468</v>
      </c>
      <c r="F34" s="2">
        <f>F12/'Output-Calculation-sheet'!F11*'Output-Calculation-sheet'!F20</f>
        <v>4223.3089643911972</v>
      </c>
      <c r="G34" s="2">
        <f>G12/'Output-Calculation-sheet'!G11*'Output-Calculation-sheet'!G20</f>
        <v>2113.1934733388607</v>
      </c>
      <c r="H34" s="2">
        <f>H12/'Output-Calculation-sheet'!H11*'Output-Calculation-sheet'!H20</f>
        <v>0</v>
      </c>
      <c r="I34" s="2">
        <f>I12/'Output-Calculation-sheet'!I11*'Output-Calculation-sheet'!I20</f>
        <v>2561.6627944844481</v>
      </c>
      <c r="J34" s="2">
        <f>J12/'Output-Calculation-sheet'!J11*'Output-Calculation-sheet'!J20</f>
        <v>2146.6384666143263</v>
      </c>
      <c r="K34" s="2">
        <f>K12/'Output-Calculation-sheet'!K11*'Output-Calculation-sheet'!K20</f>
        <v>3028.595284968254</v>
      </c>
      <c r="L34" s="2">
        <f>L12/'Output-Calculation-sheet'!L11*'Output-Calculation-sheet'!L20</f>
        <v>1156.9145949809201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487.86140223036688</v>
      </c>
      <c r="Q34" s="2">
        <f>Q12/'Output-Calculation-sheet'!Q11*'Output-Calculation-sheet'!Q20</f>
        <v>474.23555367464689</v>
      </c>
      <c r="R34" s="2">
        <f>R12/'Output-Calculation-sheet'!R11*'Output-Calculation-sheet'!R20</f>
        <v>1910.1632443369913</v>
      </c>
      <c r="S34" s="2">
        <f>S12/'Output-Calculation-sheet'!S11*'Output-Calculation-sheet'!S20</f>
        <v>0.596879853973316</v>
      </c>
      <c r="T34" s="2">
        <f>T12/'Output-Calculation-sheet'!T11*'Output-Calculation-sheet'!T20</f>
        <v>627.81998939458504</v>
      </c>
      <c r="U34" s="2">
        <f>U12/'Output-Calculation-sheet'!U11*'Output-Calculation-sheet'!U20</f>
        <v>264.33934630880645</v>
      </c>
      <c r="V34" s="2">
        <f>V12/'Output-Calculation-sheet'!V11*'Output-Calculation-sheet'!V20</f>
        <v>567.50570749326289</v>
      </c>
      <c r="W34" s="2">
        <f>W12/'Output-Calculation-sheet'!W11*'Output-Calculation-sheet'!W20</f>
        <v>336.09692310587388</v>
      </c>
      <c r="X34" s="2">
        <f>X12/'Output-Calculation-sheet'!X11*'Output-Calculation-sheet'!X20</f>
        <v>0</v>
      </c>
      <c r="Y34" s="2">
        <f>Y12/'Output-Calculation-sheet'!Y11*'Output-Calculation-sheet'!Y20</f>
        <v>71.477367603279163</v>
      </c>
      <c r="AA34" s="2">
        <f t="shared" si="1"/>
        <v>29.068264730059436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5.5290393912837937E-2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7.5523520019801262E-3</v>
      </c>
      <c r="Q45" s="2">
        <f>Q12/'Output-Calculation-sheet'!Q11*'Output-Calculation-sheet'!Q38*0.0114</f>
        <v>7.162635053314134E-3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6.8559337520228882E-3</v>
      </c>
      <c r="V45" s="2">
        <f>V12/'Output-Calculation-sheet'!V11*'Output-Calculation-sheet'!V38*0.0114</f>
        <v>3.524349233333432E-3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2.6416969489044804E-3</v>
      </c>
      <c r="AA45" s="2">
        <f t="shared" si="2"/>
        <v>0.62572155504829663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0.10034113892750149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122.63551267470004</v>
      </c>
      <c r="R54" s="2">
        <f>R10/'Output-Calculation-sheet'!R9*'Output-Calculation-sheet'!R45</f>
        <v>918.0465769191743</v>
      </c>
      <c r="S54" s="2">
        <f>S10/'Output-Calculation-sheet'!S9*'Output-Calculation-sheet'!S45</f>
        <v>0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11.442799046017123</v>
      </c>
      <c r="AA54" s="2">
        <f t="shared" si="3"/>
        <v>3.0208537824579595</v>
      </c>
    </row>
    <row r="55" spans="1:27" x14ac:dyDescent="0.25">
      <c r="A55" s="2">
        <v>2034</v>
      </c>
      <c r="B55" s="2">
        <f>B11/'Output-Calculation-sheet'!B10*'Output-Calculation-sheet'!B46</f>
        <v>1088.7981511719361</v>
      </c>
      <c r="C55" s="2">
        <f>C11/'Output-Calculation-sheet'!C10*'Output-Calculation-sheet'!C46</f>
        <v>0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371.18075212017158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275.1114205238452</v>
      </c>
      <c r="N55" s="2">
        <f>N11/'Output-Calculation-sheet'!N10*'Output-Calculation-sheet'!N46</f>
        <v>93.955114684107414</v>
      </c>
      <c r="O55" s="2">
        <f>O11/'Output-Calculation-sheet'!O10*'Output-Calculation-sheet'!O46</f>
        <v>0</v>
      </c>
      <c r="P55" s="2">
        <f>P11/'Output-Calculation-sheet'!P10*'Output-Calculation-sheet'!P46</f>
        <v>2043.3977242327383</v>
      </c>
      <c r="Q55" s="2">
        <f>Q11/'Output-Calculation-sheet'!Q10*'Output-Calculation-sheet'!Q46</f>
        <v>394.62880287462741</v>
      </c>
      <c r="R55" s="2">
        <f>R11/'Output-Calculation-sheet'!R10*'Output-Calculation-sheet'!R46</f>
        <v>2530.6809260442001</v>
      </c>
      <c r="S55" s="2">
        <f>S11/'Output-Calculation-sheet'!S10*'Output-Calculation-sheet'!S46</f>
        <v>0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961.56986560346866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26.257657203134166</v>
      </c>
      <c r="Y55" s="2">
        <f>Y11/'Output-Calculation-sheet'!Y10*'Output-Calculation-sheet'!Y46</f>
        <v>136.35239232451582</v>
      </c>
      <c r="AA55" s="2">
        <f t="shared" si="3"/>
        <v>27.24516936470145</v>
      </c>
    </row>
    <row r="56" spans="1:27" x14ac:dyDescent="0.25">
      <c r="A56" s="2">
        <v>2035</v>
      </c>
      <c r="B56" s="2">
        <f>B12/'Output-Calculation-sheet'!B11*'Output-Calculation-sheet'!B47</f>
        <v>355.62397489760991</v>
      </c>
      <c r="C56" s="2">
        <f>C12/'Output-Calculation-sheet'!C11*'Output-Calculation-sheet'!C47</f>
        <v>268.68193519665414</v>
      </c>
      <c r="D56" s="2">
        <f>D12/'Output-Calculation-sheet'!D11*'Output-Calculation-sheet'!D47</f>
        <v>12693.642602464568</v>
      </c>
      <c r="E56" s="2">
        <f>E12/'Output-Calculation-sheet'!E11*'Output-Calculation-sheet'!E47</f>
        <v>5824.8914990630137</v>
      </c>
      <c r="F56" s="2">
        <f>F12/'Output-Calculation-sheet'!F11*'Output-Calculation-sheet'!F47</f>
        <v>2986.280966025477</v>
      </c>
      <c r="G56" s="2">
        <f>G12/'Output-Calculation-sheet'!G11*'Output-Calculation-sheet'!G47</f>
        <v>4795.4010722677231</v>
      </c>
      <c r="H56" s="2">
        <f>H12/'Output-Calculation-sheet'!H11*'Output-Calculation-sheet'!H47</f>
        <v>103.91597455995453</v>
      </c>
      <c r="I56" s="2">
        <f>I12/'Output-Calculation-sheet'!I11*'Output-Calculation-sheet'!I47</f>
        <v>4368.2998593852672</v>
      </c>
      <c r="J56" s="2">
        <f>J12/'Output-Calculation-sheet'!J11*'Output-Calculation-sheet'!J47</f>
        <v>3768.7674017612039</v>
      </c>
      <c r="K56" s="2">
        <f>K12/'Output-Calculation-sheet'!K11*'Output-Calculation-sheet'!K47</f>
        <v>5082.9238299791841</v>
      </c>
      <c r="L56" s="2">
        <f>L12/'Output-Calculation-sheet'!L11*'Output-Calculation-sheet'!L47</f>
        <v>2265.9103789595979</v>
      </c>
      <c r="M56" s="2">
        <f>M12/'Output-Calculation-sheet'!M11*'Output-Calculation-sheet'!M47</f>
        <v>96.311919067787713</v>
      </c>
      <c r="N56" s="2">
        <f>N12/'Output-Calculation-sheet'!N11*'Output-Calculation-sheet'!N47</f>
        <v>65.25733888521809</v>
      </c>
      <c r="O56" s="2">
        <f>O12/'Output-Calculation-sheet'!O11*'Output-Calculation-sheet'!O47</f>
        <v>48.851446336208419</v>
      </c>
      <c r="P56" s="2">
        <f>P12/'Output-Calculation-sheet'!P11*'Output-Calculation-sheet'!P47</f>
        <v>510.11500364251731</v>
      </c>
      <c r="Q56" s="2">
        <f>Q12/'Output-Calculation-sheet'!Q11*'Output-Calculation-sheet'!Q47</f>
        <v>485.67692072033554</v>
      </c>
      <c r="R56" s="2">
        <f>R12/'Output-Calculation-sheet'!R11*'Output-Calculation-sheet'!R47</f>
        <v>3583.3283539694212</v>
      </c>
      <c r="S56" s="2">
        <f>S12/'Output-Calculation-sheet'!S11*'Output-Calculation-sheet'!S47</f>
        <v>34.119165206463656</v>
      </c>
      <c r="T56" s="2">
        <f>T12/'Output-Calculation-sheet'!T11*'Output-Calculation-sheet'!T47</f>
        <v>1568.8906982297865</v>
      </c>
      <c r="U56" s="2">
        <f>U12/'Output-Calculation-sheet'!U11*'Output-Calculation-sheet'!U47</f>
        <v>631.06665062479681</v>
      </c>
      <c r="V56" s="2">
        <f>V12/'Output-Calculation-sheet'!V11*'Output-Calculation-sheet'!V47</f>
        <v>851.56315466815238</v>
      </c>
      <c r="W56" s="2">
        <f>W12/'Output-Calculation-sheet'!W11*'Output-Calculation-sheet'!W47</f>
        <v>456.03672286535868</v>
      </c>
      <c r="X56" s="2">
        <f>X12/'Output-Calculation-sheet'!X11*'Output-Calculation-sheet'!X47</f>
        <v>7.3639154603065666</v>
      </c>
      <c r="Y56" s="2">
        <f>Y12/'Output-Calculation-sheet'!Y11*'Output-Calculation-sheet'!Y47</f>
        <v>149.46443263538507</v>
      </c>
      <c r="AA56" s="2">
        <f t="shared" si="3"/>
        <v>51.002385216872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5.6116038644282495</v>
      </c>
      <c r="C63" s="2">
        <f>C8*'Output-Calculation-sheet'!C52/10^9</f>
        <v>2.9980073917848906</v>
      </c>
      <c r="D63" s="2">
        <f>D8*'Output-Calculation-sheet'!D52/10^9</f>
        <v>1.9243392230108394</v>
      </c>
      <c r="E63" s="2">
        <f>E8*'Output-Calculation-sheet'!E52/10^9</f>
        <v>1.9133093691004135</v>
      </c>
      <c r="F63" s="2">
        <f>F8*'Output-Calculation-sheet'!F52/10^9</f>
        <v>0.81028635964155082</v>
      </c>
      <c r="G63" s="2">
        <f>G8*'Output-Calculation-sheet'!G52/10^9</f>
        <v>0.58255928697040749</v>
      </c>
      <c r="H63" s="2">
        <f>H8*'Output-Calculation-sheet'!H52/10^9</f>
        <v>0.94747671526102983</v>
      </c>
      <c r="I63" s="2">
        <f>I8*'Output-Calculation-sheet'!I52/10^9</f>
        <v>0.54191538528642691</v>
      </c>
      <c r="J63" s="2">
        <f>J8*'Output-Calculation-sheet'!J52/10^9</f>
        <v>0.7457123022257055</v>
      </c>
      <c r="K63" s="2">
        <f>K8*'Output-Calculation-sheet'!K52/10^9</f>
        <v>0.6551745826890556</v>
      </c>
      <c r="L63" s="2">
        <f>L8*'Output-Calculation-sheet'!L52/10^9</f>
        <v>0.88124133691699424</v>
      </c>
      <c r="M63" s="2">
        <f>M8*'Output-Calculation-sheet'!M52/10^9</f>
        <v>0.77620415714348534</v>
      </c>
      <c r="N63" s="2">
        <f>N8*'Output-Calculation-sheet'!N52/10^9</f>
        <v>0.68488765024270037</v>
      </c>
      <c r="O63" s="2">
        <f>O8*'Output-Calculation-sheet'!O52/10^9</f>
        <v>0.61336643161907056</v>
      </c>
      <c r="P63" s="2">
        <f>P8*'Output-Calculation-sheet'!P52/10^9</f>
        <v>0.45270796330726731</v>
      </c>
      <c r="Q63" s="2">
        <f>Q8*'Output-Calculation-sheet'!Q52/10^9</f>
        <v>0.51233275024873171</v>
      </c>
      <c r="R63" s="2">
        <f>R8*'Output-Calculation-sheet'!R52/10^9</f>
        <v>0.45997311154048232</v>
      </c>
      <c r="S63" s="2">
        <f>S8*'Output-Calculation-sheet'!S52/10^9</f>
        <v>0.34085637330813484</v>
      </c>
      <c r="T63" s="2">
        <f>T8*'Output-Calculation-sheet'!T52/10^9</f>
        <v>0.1748752063107154</v>
      </c>
      <c r="U63" s="2">
        <f>U8*'Output-Calculation-sheet'!U52/10^9</f>
        <v>0.12010241779043568</v>
      </c>
      <c r="V63" s="2">
        <f>V8*'Output-Calculation-sheet'!V52/10^9</f>
        <v>0.21315340915134098</v>
      </c>
      <c r="W63" s="2">
        <f>W8*'Output-Calculation-sheet'!W52/10^9</f>
        <v>7.7151547774583801E-2</v>
      </c>
      <c r="X63" s="2">
        <f>X8*'Output-Calculation-sheet'!X52/10^9</f>
        <v>7.9495524767183121E-2</v>
      </c>
      <c r="Y63" s="2">
        <f>Y8*'Output-Calculation-sheet'!Y52/10^9</f>
        <v>5.0339238755217168E-2</v>
      </c>
      <c r="AA63" s="2">
        <f t="shared" si="4"/>
        <v>22.167071599274912</v>
      </c>
    </row>
    <row r="64" spans="1:27" x14ac:dyDescent="0.25">
      <c r="A64" s="2">
        <v>2032</v>
      </c>
      <c r="B64" s="2">
        <f>B9*'Output-Calculation-sheet'!B53/10^9</f>
        <v>5.3665122488082</v>
      </c>
      <c r="C64" s="2">
        <f>C9*'Output-Calculation-sheet'!C53/10^9</f>
        <v>2.8449538863859747</v>
      </c>
      <c r="D64" s="2">
        <f>D9*'Output-Calculation-sheet'!D53/10^9</f>
        <v>1.5893860347804516</v>
      </c>
      <c r="E64" s="2">
        <f>E9*'Output-Calculation-sheet'!E53/10^9</f>
        <v>1.6276012292636879</v>
      </c>
      <c r="F64" s="2">
        <f>F9*'Output-Calculation-sheet'!F53/10^9</f>
        <v>0.68651199260575502</v>
      </c>
      <c r="G64" s="2">
        <f>G9*'Output-Calculation-sheet'!G53/10^9</f>
        <v>0.48863823517908089</v>
      </c>
      <c r="H64" s="2">
        <f>H9*'Output-Calculation-sheet'!H53/10^9</f>
        <v>0.89286767122173571</v>
      </c>
      <c r="I64" s="2">
        <f>I9*'Output-Calculation-sheet'!I53/10^9</f>
        <v>0.45679688864056084</v>
      </c>
      <c r="J64" s="2">
        <f>J9*'Output-Calculation-sheet'!J53/10^9</f>
        <v>0.60470626626943702</v>
      </c>
      <c r="K64" s="2">
        <f>K9*'Output-Calculation-sheet'!K53/10^9</f>
        <v>0.56108514268735565</v>
      </c>
      <c r="L64" s="2">
        <f>L9*'Output-Calculation-sheet'!L53/10^9</f>
        <v>0.72183435902377358</v>
      </c>
      <c r="M64" s="2">
        <f>M9*'Output-Calculation-sheet'!M53/10^9</f>
        <v>0.70838606854373598</v>
      </c>
      <c r="N64" s="2">
        <f>N9*'Output-Calculation-sheet'!N53/10^9</f>
        <v>0.63777634639967939</v>
      </c>
      <c r="O64" s="2">
        <f>O9*'Output-Calculation-sheet'!O53/10^9</f>
        <v>0.57612446707563547</v>
      </c>
      <c r="P64" s="2">
        <f>P9*'Output-Calculation-sheet'!P53/10^9</f>
        <v>0.42778084030955071</v>
      </c>
      <c r="Q64" s="2">
        <f>Q9*'Output-Calculation-sheet'!Q53/10^9</f>
        <v>0.47277155562732137</v>
      </c>
      <c r="R64" s="2">
        <f>R9*'Output-Calculation-sheet'!R53/10^9</f>
        <v>0.40527686902422283</v>
      </c>
      <c r="S64" s="2">
        <f>S9*'Output-Calculation-sheet'!S53/10^9</f>
        <v>0.32611495591436751</v>
      </c>
      <c r="T64" s="2">
        <f>T9*'Output-Calculation-sheet'!T53/10^9</f>
        <v>0.14568590656576547</v>
      </c>
      <c r="U64" s="2">
        <f>U9*'Output-Calculation-sheet'!U53/10^9</f>
        <v>0.10965474438459225</v>
      </c>
      <c r="V64" s="2">
        <f>V9*'Output-Calculation-sheet'!V53/10^9</f>
        <v>0.17291931951029449</v>
      </c>
      <c r="W64" s="2">
        <f>W9*'Output-Calculation-sheet'!W53/10^9</f>
        <v>6.425359128216096E-2</v>
      </c>
      <c r="X64" s="2">
        <f>X9*'Output-Calculation-sheet'!X53/10^9</f>
        <v>7.3665823143765963E-2</v>
      </c>
      <c r="Y64" s="2">
        <f>Y9*'Output-Calculation-sheet'!Y53/10^9</f>
        <v>4.5018186377112836E-2</v>
      </c>
      <c r="AA64" s="2">
        <f t="shared" si="4"/>
        <v>20.006322629024226</v>
      </c>
    </row>
    <row r="65" spans="1:27" x14ac:dyDescent="0.25">
      <c r="A65" s="2">
        <v>2033</v>
      </c>
      <c r="B65" s="2">
        <f>B10*'Output-Calculation-sheet'!B54/10^9</f>
        <v>5.1903077722380448</v>
      </c>
      <c r="C65" s="2">
        <f>C10*'Output-Calculation-sheet'!C54/10^9</f>
        <v>2.6829631044341888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0.84254096736173589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0.49088574513276489</v>
      </c>
      <c r="L65" s="2">
        <f>L10*'Output-Calculation-sheet'!L54/10^9</f>
        <v>0.57979646202074064</v>
      </c>
      <c r="M65" s="2">
        <f>M10*'Output-Calculation-sheet'!M54/10^9</f>
        <v>0.64249114496564286</v>
      </c>
      <c r="N65" s="2">
        <f>N10*'Output-Calculation-sheet'!N54/10^9</f>
        <v>0.58956435591379164</v>
      </c>
      <c r="O65" s="2">
        <f>O10*'Output-Calculation-sheet'!O54/10^9</f>
        <v>0.53767766999504241</v>
      </c>
      <c r="P65" s="2">
        <f>P10*'Output-Calculation-sheet'!P54/10^9</f>
        <v>0.41531438980369673</v>
      </c>
      <c r="Q65" s="2">
        <f>Q10*'Output-Calculation-sheet'!Q54/10^9</f>
        <v>0.45241691850696431</v>
      </c>
      <c r="R65" s="2">
        <f>R10*'Output-Calculation-sheet'!R54/10^9</f>
        <v>0.36563848409897337</v>
      </c>
      <c r="S65" s="2">
        <f>S10*'Output-Calculation-sheet'!S54/10^9</f>
        <v>0.31099434546402033</v>
      </c>
      <c r="T65" s="2">
        <f>T10*'Output-Calculation-sheet'!T54/10^9</f>
        <v>0.12224953286614673</v>
      </c>
      <c r="U65" s="2">
        <f>U10*'Output-Calculation-sheet'!U54/10^9</f>
        <v>0.10555936993675669</v>
      </c>
      <c r="V65" s="2">
        <f>V10*'Output-Calculation-sheet'!V54/10^9</f>
        <v>0.13529330213409255</v>
      </c>
      <c r="W65" s="2">
        <f>W10*'Output-Calculation-sheet'!W54/10^9</f>
        <v>5.1508793106956323E-2</v>
      </c>
      <c r="X65" s="2">
        <f>X10*'Output-Calculation-sheet'!X54/10^9</f>
        <v>6.7365650241867664E-2</v>
      </c>
      <c r="Y65" s="2">
        <f>Y10*'Output-Calculation-sheet'!Y54/10^9</f>
        <v>4.239533377948599E-2</v>
      </c>
      <c r="AA65" s="2">
        <f t="shared" si="4"/>
        <v>18.118849522619126</v>
      </c>
    </row>
    <row r="66" spans="1:27" x14ac:dyDescent="0.25">
      <c r="A66" s="2">
        <v>2034</v>
      </c>
      <c r="B66" s="2">
        <f>B11*'Output-Calculation-sheet'!B55/10^9</f>
        <v>5.0646718475953447</v>
      </c>
      <c r="C66" s="2">
        <f>C11*'Output-Calculation-sheet'!C55/10^9</f>
        <v>2.5477314396682864</v>
      </c>
      <c r="D66" s="2">
        <f>D11*'Output-Calculation-sheet'!D55/10^9</f>
        <v>1.1430160539409315</v>
      </c>
      <c r="E66" s="2">
        <f>E11*'Output-Calculation-sheet'!E55/10^9</f>
        <v>1.3841125769295499</v>
      </c>
      <c r="F66" s="2">
        <f>F11*'Output-Calculation-sheet'!F55/10^9</f>
        <v>0.53193702267496423</v>
      </c>
      <c r="G66" s="2">
        <f>G11*'Output-Calculation-sheet'!G55/10^9</f>
        <v>0.38021361333058801</v>
      </c>
      <c r="H66" s="2">
        <f>H11*'Output-Calculation-sheet'!H55/10^9</f>
        <v>0.79341674581448851</v>
      </c>
      <c r="I66" s="2">
        <f>I11*'Output-Calculation-sheet'!I55/10^9</f>
        <v>0.3718381253871671</v>
      </c>
      <c r="J66" s="2">
        <f>J11*'Output-Calculation-sheet'!J55/10^9</f>
        <v>0.38233770359454478</v>
      </c>
      <c r="K66" s="2">
        <f>K11*'Output-Calculation-sheet'!K55/10^9</f>
        <v>0.45730816917499212</v>
      </c>
      <c r="L66" s="2">
        <f>L11*'Output-Calculation-sheet'!L55/10^9</f>
        <v>0.48429273803544692</v>
      </c>
      <c r="M66" s="2">
        <f>M11*'Output-Calculation-sheet'!M55/10^9</f>
        <v>0.57834598677221472</v>
      </c>
      <c r="N66" s="2">
        <f>N11*'Output-Calculation-sheet'!N55/10^9</f>
        <v>0.54636978224454069</v>
      </c>
      <c r="O66" s="2">
        <f>O11*'Output-Calculation-sheet'!O55/10^9</f>
        <v>0.50216644386030895</v>
      </c>
      <c r="P66" s="2">
        <f>P11*'Output-Calculation-sheet'!P55/10^9</f>
        <v>0.41930413433185132</v>
      </c>
      <c r="Q66" s="2">
        <f>Q11*'Output-Calculation-sheet'!Q55/10^9</f>
        <v>0.44353858139568975</v>
      </c>
      <c r="R66" s="2">
        <f>R11*'Output-Calculation-sheet'!R55/10^9</f>
        <v>0.34259231505883131</v>
      </c>
      <c r="S66" s="2">
        <f>S11*'Output-Calculation-sheet'!S55/10^9</f>
        <v>0.29882787257599014</v>
      </c>
      <c r="T66" s="2">
        <f>T11*'Output-Calculation-sheet'!T55/10^9</f>
        <v>0.10737839691972394</v>
      </c>
      <c r="U66" s="2">
        <f>U11*'Output-Calculation-sheet'!U55/10^9</f>
        <v>0.10963797108334535</v>
      </c>
      <c r="V66" s="2">
        <f>V11*'Output-Calculation-sheet'!V55/10^9</f>
        <v>0.10186513841578378</v>
      </c>
      <c r="W66" s="2">
        <f>W11*'Output-Calculation-sheet'!W55/10^9</f>
        <v>4.6123564728732316E-2</v>
      </c>
      <c r="X66" s="2">
        <f>X11*'Output-Calculation-sheet'!X55/10^9</f>
        <v>6.1791561255902412E-2</v>
      </c>
      <c r="Y66" s="2">
        <f>Y11*'Output-Calculation-sheet'!Y55/10^9</f>
        <v>4.5097639645493293E-2</v>
      </c>
      <c r="AA66" s="2">
        <f t="shared" si="4"/>
        <v>17.143915424434709</v>
      </c>
    </row>
    <row r="67" spans="1:27" x14ac:dyDescent="0.25">
      <c r="A67" s="2">
        <v>2035</v>
      </c>
      <c r="B67" s="2">
        <f>B12*'Output-Calculation-sheet'!B56/10^9</f>
        <v>5.1544060480423344</v>
      </c>
      <c r="C67" s="2">
        <f>C12*'Output-Calculation-sheet'!C56/10^9</f>
        <v>2.404655876392475</v>
      </c>
      <c r="D67" s="2">
        <f>D12*'Output-Calculation-sheet'!D56/10^9</f>
        <v>1.4102973239747112</v>
      </c>
      <c r="E67" s="2">
        <f>E12*'Output-Calculation-sheet'!E56/10^9</f>
        <v>1.6068889084566691</v>
      </c>
      <c r="F67" s="2">
        <f>F12*'Output-Calculation-sheet'!F56/10^9</f>
        <v>0.68781970017194993</v>
      </c>
      <c r="G67" s="2">
        <f>G12*'Output-Calculation-sheet'!G56/10^9</f>
        <v>0.48273614215674071</v>
      </c>
      <c r="H67" s="2">
        <f>H12*'Output-Calculation-sheet'!H56/10^9</f>
        <v>0.76255444912255388</v>
      </c>
      <c r="I67" s="2">
        <f>I12*'Output-Calculation-sheet'!I56/10^9</f>
        <v>0.4840110918516945</v>
      </c>
      <c r="J67" s="2">
        <f>J12*'Output-Calculation-sheet'!J56/10^9</f>
        <v>0.43783560486119716</v>
      </c>
      <c r="K67" s="2">
        <f>K12*'Output-Calculation-sheet'!K56/10^9</f>
        <v>0.54361777009520618</v>
      </c>
      <c r="L67" s="2">
        <f>L12*'Output-Calculation-sheet'!L56/10^9</f>
        <v>0.49893741803089287</v>
      </c>
      <c r="M67" s="2">
        <f>M12*'Output-Calculation-sheet'!M56/10^9</f>
        <v>0.53042707391948662</v>
      </c>
      <c r="N67" s="2">
        <f>N12*'Output-Calculation-sheet'!N56/10^9</f>
        <v>0.51649104737173479</v>
      </c>
      <c r="O67" s="2">
        <f>O12*'Output-Calculation-sheet'!O56/10^9</f>
        <v>0.46742062624835518</v>
      </c>
      <c r="P67" s="2">
        <f>P12*'Output-Calculation-sheet'!P56/10^9</f>
        <v>0.45623364968497776</v>
      </c>
      <c r="Q67" s="2">
        <f>Q12*'Output-Calculation-sheet'!Q56/10^9</f>
        <v>0.46541793076547361</v>
      </c>
      <c r="R67" s="2">
        <f>R12*'Output-Calculation-sheet'!R56/10^9</f>
        <v>0.39372657821603507</v>
      </c>
      <c r="S67" s="2">
        <f>S12*'Output-Calculation-sheet'!S56/10^9</f>
        <v>0.2961945527750165</v>
      </c>
      <c r="T67" s="2">
        <f>T12*'Output-Calculation-sheet'!T56/10^9</f>
        <v>0.1198525226303437</v>
      </c>
      <c r="U67" s="2">
        <f>U12*'Output-Calculation-sheet'!U56/10^9</f>
        <v>0.1316774036945246</v>
      </c>
      <c r="V67" s="2">
        <f>V12*'Output-Calculation-sheet'!V56/10^9</f>
        <v>9.1844911659687903E-2</v>
      </c>
      <c r="W67" s="2">
        <f>W12*'Output-Calculation-sheet'!W56/10^9</f>
        <v>5.9527619756111233E-2</v>
      </c>
      <c r="X67" s="2">
        <f>X12*'Output-Calculation-sheet'!X56/10^9</f>
        <v>5.635188896330362E-2</v>
      </c>
      <c r="Y67" s="2">
        <f>Y12*'Output-Calculation-sheet'!Y56/10^9</f>
        <v>5.2573952031411214E-2</v>
      </c>
      <c r="AA67" s="2">
        <f t="shared" si="4"/>
        <v>18.111500090872887</v>
      </c>
    </row>
    <row r="68" spans="1:27" x14ac:dyDescent="0.25">
      <c r="B68" s="2">
        <f>SUM(B60:B67)</f>
        <v>26.387501781112178</v>
      </c>
      <c r="C68" s="2">
        <f t="shared" ref="C68:Y68" si="5">SUM(C60:C67)</f>
        <v>13.478311698665815</v>
      </c>
      <c r="D68" s="2">
        <f t="shared" si="5"/>
        <v>7.3265832877956401</v>
      </c>
      <c r="E68" s="2">
        <f t="shared" si="5"/>
        <v>7.9501378941381784</v>
      </c>
      <c r="F68" s="2">
        <f t="shared" si="5"/>
        <v>3.2923298862369887</v>
      </c>
      <c r="G68" s="2">
        <f t="shared" si="5"/>
        <v>2.3294690973849432</v>
      </c>
      <c r="H68" s="2">
        <f t="shared" si="5"/>
        <v>4.2388565487815439</v>
      </c>
      <c r="I68" s="2">
        <f t="shared" si="5"/>
        <v>2.2394971527454324</v>
      </c>
      <c r="J68" s="2">
        <f t="shared" si="5"/>
        <v>2.6306753026220564</v>
      </c>
      <c r="K68" s="2">
        <f t="shared" si="5"/>
        <v>2.7080714097793743</v>
      </c>
      <c r="L68" s="2">
        <f t="shared" si="5"/>
        <v>3.1661023140278481</v>
      </c>
      <c r="M68" s="2">
        <f t="shared" si="5"/>
        <v>3.2358544313445652</v>
      </c>
      <c r="N68" s="2">
        <f t="shared" si="5"/>
        <v>2.9750891821724466</v>
      </c>
      <c r="O68" s="2">
        <f t="shared" si="5"/>
        <v>2.6967556387984124</v>
      </c>
      <c r="P68" s="2">
        <f t="shared" si="5"/>
        <v>2.1713409774373438</v>
      </c>
      <c r="Q68" s="2">
        <f t="shared" si="5"/>
        <v>2.3464777365441809</v>
      </c>
      <c r="R68" s="2">
        <f t="shared" si="5"/>
        <v>1.9672073579385447</v>
      </c>
      <c r="S68" s="2">
        <f t="shared" si="5"/>
        <v>1.5729881000375292</v>
      </c>
      <c r="T68" s="2">
        <f t="shared" si="5"/>
        <v>0.67004156529269532</v>
      </c>
      <c r="U68" s="2">
        <f t="shared" si="5"/>
        <v>0.57663190688965449</v>
      </c>
      <c r="V68" s="2">
        <f t="shared" si="5"/>
        <v>0.71507608087119967</v>
      </c>
      <c r="W68" s="2">
        <f t="shared" si="5"/>
        <v>0.29856511664854468</v>
      </c>
      <c r="X68" s="2">
        <f t="shared" si="5"/>
        <v>0.33867044837202281</v>
      </c>
      <c r="Y68" s="2">
        <f t="shared" si="5"/>
        <v>0.23542435058872049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30.172779828755843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3.0172779828755842E-2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325.99096518625953</v>
      </c>
      <c r="Q76" s="2">
        <f>Q10/'Output-Calculation-sheet'!Q9*'Output-Calculation-sheet'!Q63</f>
        <v>39.010042131789582</v>
      </c>
      <c r="R76" s="2">
        <f>R10/'Output-Calculation-sheet'!R9*'Output-Calculation-sheet'!R63</f>
        <v>248.34344884261589</v>
      </c>
      <c r="S76" s="2">
        <f>S10/'Output-Calculation-sheet'!S9*'Output-Calculation-sheet'!S63</f>
        <v>0</v>
      </c>
      <c r="T76" s="2">
        <f>T10/'Output-Calculation-sheet'!T9*'Output-Calculation-sheet'!T63</f>
        <v>16.344148846700872</v>
      </c>
      <c r="U76" s="2">
        <f>U10/'Output-Calculation-sheet'!U9*'Output-Calculation-sheet'!U63</f>
        <v>88.254738927130745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4.1914663640721646</v>
      </c>
      <c r="AA76" s="2">
        <f t="shared" si="6"/>
        <v>0.7907519963604539</v>
      </c>
    </row>
    <row r="77" spans="1:27" x14ac:dyDescent="0.25">
      <c r="A77" s="2">
        <v>2034</v>
      </c>
      <c r="B77" s="2">
        <f>B11/'Output-Calculation-sheet'!B10*'Output-Calculation-sheet'!B64</f>
        <v>323.6633970717109</v>
      </c>
      <c r="C77" s="2">
        <f>C11/'Output-Calculation-sheet'!C10*'Output-Calculation-sheet'!C64</f>
        <v>0</v>
      </c>
      <c r="D77" s="2">
        <f>D11/'Output-Calculation-sheet'!D10*'Output-Calculation-sheet'!D64</f>
        <v>1099.6928330371254</v>
      </c>
      <c r="E77" s="2">
        <f>E11/'Output-Calculation-sheet'!E10*'Output-Calculation-sheet'!E64</f>
        <v>1374.4751015083507</v>
      </c>
      <c r="F77" s="2">
        <f>F11/'Output-Calculation-sheet'!F10*'Output-Calculation-sheet'!F64</f>
        <v>89.428678678439425</v>
      </c>
      <c r="G77" s="2">
        <f>G11/'Output-Calculation-sheet'!G10*'Output-Calculation-sheet'!G64</f>
        <v>582.44358505087109</v>
      </c>
      <c r="H77" s="2">
        <f>H11/'Output-Calculation-sheet'!H10*'Output-Calculation-sheet'!H64</f>
        <v>90.882016381972065</v>
      </c>
      <c r="I77" s="2">
        <f>I11/'Output-Calculation-sheet'!I10*'Output-Calculation-sheet'!I64</f>
        <v>346.30224836720544</v>
      </c>
      <c r="J77" s="2">
        <f>J11/'Output-Calculation-sheet'!J10*'Output-Calculation-sheet'!J64</f>
        <v>242.30116948399279</v>
      </c>
      <c r="K77" s="2">
        <f>K11/'Output-Calculation-sheet'!K10*'Output-Calculation-sheet'!K64</f>
        <v>526.82688578200896</v>
      </c>
      <c r="L77" s="2">
        <f>L11/'Output-Calculation-sheet'!L10*'Output-Calculation-sheet'!L64</f>
        <v>217.8296737371185</v>
      </c>
      <c r="M77" s="2">
        <f>M11/'Output-Calculation-sheet'!M10*'Output-Calculation-sheet'!M64</f>
        <v>65.454625929195814</v>
      </c>
      <c r="N77" s="2">
        <f>N11/'Output-Calculation-sheet'!N10*'Output-Calculation-sheet'!N64</f>
        <v>21.647688751987893</v>
      </c>
      <c r="O77" s="2">
        <f>O11/'Output-Calculation-sheet'!O10*'Output-Calculation-sheet'!O64</f>
        <v>0</v>
      </c>
      <c r="P77" s="2">
        <f>P11/'Output-Calculation-sheet'!P10*'Output-Calculation-sheet'!P64</f>
        <v>445.74428826210521</v>
      </c>
      <c r="Q77" s="2">
        <f>Q11/'Output-Calculation-sheet'!Q10*'Output-Calculation-sheet'!Q64</f>
        <v>100.27341931896504</v>
      </c>
      <c r="R77" s="2">
        <f>R11/'Output-Calculation-sheet'!R10*'Output-Calculation-sheet'!R64</f>
        <v>553.8016009567333</v>
      </c>
      <c r="S77" s="2">
        <f>S11/'Output-Calculation-sheet'!S10*'Output-Calculation-sheet'!S64</f>
        <v>0</v>
      </c>
      <c r="T77" s="2">
        <f>T11/'Output-Calculation-sheet'!T10*'Output-Calculation-sheet'!T64</f>
        <v>153.77225186448933</v>
      </c>
      <c r="U77" s="2">
        <f>U11/'Output-Calculation-sheet'!U10*'Output-Calculation-sheet'!U64</f>
        <v>204.36427204320526</v>
      </c>
      <c r="V77" s="2">
        <f>V11/'Output-Calculation-sheet'!V10*'Output-Calculation-sheet'!V64</f>
        <v>79.574626657245204</v>
      </c>
      <c r="W77" s="2">
        <f>W11/'Output-Calculation-sheet'!W10*'Output-Calculation-sheet'!W64</f>
        <v>17.469054739612673</v>
      </c>
      <c r="X77" s="2">
        <f>X11/'Output-Calculation-sheet'!X10*'Output-Calculation-sheet'!X64</f>
        <v>6.5251078688117765</v>
      </c>
      <c r="Y77" s="2">
        <f>Y11/'Output-Calculation-sheet'!Y10*'Output-Calculation-sheet'!Y64</f>
        <v>29.758658551015351</v>
      </c>
      <c r="AA77" s="2">
        <f t="shared" si="6"/>
        <v>6.5722311840421623</v>
      </c>
    </row>
    <row r="78" spans="1:27" x14ac:dyDescent="0.25">
      <c r="A78" s="2">
        <v>2035</v>
      </c>
      <c r="B78" s="2">
        <f>B12/'Output-Calculation-sheet'!B11*'Output-Calculation-sheet'!B65</f>
        <v>65.129990831247994</v>
      </c>
      <c r="C78" s="2">
        <f>C12/'Output-Calculation-sheet'!C11*'Output-Calculation-sheet'!C65</f>
        <v>54.287529470503451</v>
      </c>
      <c r="D78" s="2">
        <f>D12/'Output-Calculation-sheet'!D11*'Output-Calculation-sheet'!D65</f>
        <v>2789.8124327973364</v>
      </c>
      <c r="E78" s="2">
        <f>E12/'Output-Calculation-sheet'!E11*'Output-Calculation-sheet'!E65</f>
        <v>896.19180986062713</v>
      </c>
      <c r="F78" s="2">
        <f>F12/'Output-Calculation-sheet'!F11*'Output-Calculation-sheet'!F65</f>
        <v>712.22496005901087</v>
      </c>
      <c r="G78" s="2">
        <f>G12/'Output-Calculation-sheet'!G11*'Output-Calculation-sheet'!G65</f>
        <v>1053.9341452272274</v>
      </c>
      <c r="H78" s="2">
        <f>H12/'Output-Calculation-sheet'!H11*'Output-Calculation-sheet'!H65</f>
        <v>23.953692503156866</v>
      </c>
      <c r="I78" s="2">
        <f>I12/'Output-Calculation-sheet'!I11*'Output-Calculation-sheet'!I65</f>
        <v>876.24925036030413</v>
      </c>
      <c r="J78" s="2">
        <f>J12/'Output-Calculation-sheet'!J11*'Output-Calculation-sheet'!J65</f>
        <v>831.14377435097117</v>
      </c>
      <c r="K78" s="2">
        <f>K12/'Output-Calculation-sheet'!K11*'Output-Calculation-sheet'!K65</f>
        <v>1117.1256379840318</v>
      </c>
      <c r="L78" s="2">
        <f>L12/'Output-Calculation-sheet'!L11*'Output-Calculation-sheet'!L65</f>
        <v>387.4629807091236</v>
      </c>
      <c r="M78" s="2">
        <f>M12/'Output-Calculation-sheet'!M11*'Output-Calculation-sheet'!M65</f>
        <v>21.412620370320955</v>
      </c>
      <c r="N78" s="2">
        <f>N12/'Output-Calculation-sheet'!N11*'Output-Calculation-sheet'!N65</f>
        <v>14.42402323447557</v>
      </c>
      <c r="O78" s="2">
        <f>O12/'Output-Calculation-sheet'!O11*'Output-Calculation-sheet'!O65</f>
        <v>9.4089224039327455</v>
      </c>
      <c r="P78" s="2">
        <f>P12/'Output-Calculation-sheet'!P11*'Output-Calculation-sheet'!P65</f>
        <v>108.5200109112595</v>
      </c>
      <c r="Q78" s="2">
        <f>Q12/'Output-Calculation-sheet'!Q11*'Output-Calculation-sheet'!Q65</f>
        <v>87.447606083799513</v>
      </c>
      <c r="R78" s="2">
        <f>R12/'Output-Calculation-sheet'!R11*'Output-Calculation-sheet'!R65</f>
        <v>724.39559107893808</v>
      </c>
      <c r="S78" s="2">
        <f>S12/'Output-Calculation-sheet'!S11*'Output-Calculation-sheet'!S65</f>
        <v>6.9307123539876772</v>
      </c>
      <c r="T78" s="2">
        <f>T12/'Output-Calculation-sheet'!T11*'Output-Calculation-sheet'!T65</f>
        <v>288.07239804701567</v>
      </c>
      <c r="U78" s="2">
        <f>U12/'Output-Calculation-sheet'!U11*'Output-Calculation-sheet'!U65</f>
        <v>106.27018061074168</v>
      </c>
      <c r="V78" s="2">
        <f>V12/'Output-Calculation-sheet'!V11*'Output-Calculation-sheet'!V65</f>
        <v>150.77057816495889</v>
      </c>
      <c r="W78" s="2">
        <f>W12/'Output-Calculation-sheet'!W11*'Output-Calculation-sheet'!W65</f>
        <v>101.63823090692898</v>
      </c>
      <c r="X78" s="2">
        <f>X12/'Output-Calculation-sheet'!X11*'Output-Calculation-sheet'!X65</f>
        <v>1.4182741091431748</v>
      </c>
      <c r="Y78" s="2">
        <f>Y12/'Output-Calculation-sheet'!Y11*'Output-Calculation-sheet'!Y65</f>
        <v>24.394371985914283</v>
      </c>
      <c r="AA78" s="2">
        <f t="shared" si="6"/>
        <v>10.452619724414957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70.181197080933913</v>
      </c>
      <c r="E89" s="2">
        <f>E12/'Output-Calculation-sheet'!E11*'Output-Calculation-sheet'!E74</f>
        <v>33.950241876303991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26.270172502722062</v>
      </c>
      <c r="H89" s="2">
        <f>H12/'Output-Calculation-sheet'!H11*'Output-Calculation-sheet'!H74</f>
        <v>4.2414683493858991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14.615178652124628</v>
      </c>
      <c r="K89" s="2">
        <f>K12/'Output-Calculation-sheet'!K11*'Output-Calculation-sheet'!K74</f>
        <v>18.384837763107654</v>
      </c>
      <c r="L89" s="2">
        <f>L12/'Output-Calculation-sheet'!L11*'Output-Calculation-sheet'!L74</f>
        <v>7.694092967604746</v>
      </c>
      <c r="M89" s="2">
        <f>M12/'Output-Calculation-sheet'!M11*'Output-Calculation-sheet'!M74</f>
        <v>2.1889072515406296</v>
      </c>
      <c r="N89" s="2">
        <f>N12/'Output-Calculation-sheet'!N11*'Output-Calculation-sheet'!N74</f>
        <v>2.1513408423698275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1.9874610531526646</v>
      </c>
      <c r="Q89" s="2">
        <f>Q12/'Output-Calculation-sheet'!Q11*'Output-Calculation-sheet'!Q74</f>
        <v>3.7698079227969123</v>
      </c>
      <c r="R89" s="2">
        <f>R12/'Output-Calculation-sheet'!R11*'Output-Calculation-sheet'!R74</f>
        <v>11.215425208042006</v>
      </c>
      <c r="S89" s="2">
        <f>S12/'Output-Calculation-sheet'!S11*'Output-Calculation-sheet'!S74</f>
        <v>2.0553713979797381</v>
      </c>
      <c r="T89" s="2">
        <f>T12/'Output-Calculation-sheet'!T11*'Output-Calculation-sheet'!T74</f>
        <v>3.4577373601890682</v>
      </c>
      <c r="U89" s="2">
        <f>U12/'Output-Calculation-sheet'!U11*'Output-Calculation-sheet'!U74</f>
        <v>4.0093179836391162</v>
      </c>
      <c r="V89" s="2">
        <f>V12/'Output-Calculation-sheet'!V11*'Output-Calculation-sheet'!V74</f>
        <v>1.2366137660819059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1.3903668152128843</v>
      </c>
      <c r="AA89" s="2">
        <f t="shared" si="7"/>
        <v>0.28055561071582402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14655886138.885775</v>
      </c>
      <c r="C96" s="2">
        <f>C8/'Output-Calculation-sheet'!C7*'Output-Calculation-sheet'!C79</f>
        <v>6067355456.8554335</v>
      </c>
      <c r="D96" s="2">
        <f>D8/'Output-Calculation-sheet'!D7*'Output-Calculation-sheet'!D79</f>
        <v>4836611232.7014856</v>
      </c>
      <c r="E96" s="2">
        <f>E8/'Output-Calculation-sheet'!E7*'Output-Calculation-sheet'!E79</f>
        <v>5844317633.1958504</v>
      </c>
      <c r="F96" s="2">
        <f>F8/'Output-Calculation-sheet'!F7*'Output-Calculation-sheet'!F79</f>
        <v>3449868877.9601784</v>
      </c>
      <c r="G96" s="2">
        <f>G8/'Output-Calculation-sheet'!G7*'Output-Calculation-sheet'!G79</f>
        <v>1754785439.2163186</v>
      </c>
      <c r="H96" s="2">
        <f>H8/'Output-Calculation-sheet'!H7*'Output-Calculation-sheet'!H79</f>
        <v>2191147182.7562561</v>
      </c>
      <c r="I96" s="2">
        <f>I8/'Output-Calculation-sheet'!I7*'Output-Calculation-sheet'!I79</f>
        <v>2097226928.4138601</v>
      </c>
      <c r="J96" s="2">
        <f>J8/'Output-Calculation-sheet'!J7*'Output-Calculation-sheet'!J79</f>
        <v>1183747058.782279</v>
      </c>
      <c r="K96" s="2">
        <f>K8/'Output-Calculation-sheet'!K7*'Output-Calculation-sheet'!K79</f>
        <v>2016328390.7290704</v>
      </c>
      <c r="L96" s="2">
        <f>L8/'Output-Calculation-sheet'!L7*'Output-Calculation-sheet'!L79</f>
        <v>1450186599.535383</v>
      </c>
      <c r="M96" s="2">
        <f>M8/'Output-Calculation-sheet'!M7*'Output-Calculation-sheet'!M79</f>
        <v>1466012715.4750991</v>
      </c>
      <c r="N96" s="2">
        <f>N8/'Output-Calculation-sheet'!N7*'Output-Calculation-sheet'!N79</f>
        <v>1043400981.5317955</v>
      </c>
      <c r="O96" s="2">
        <f>O8/'Output-Calculation-sheet'!O7*'Output-Calculation-sheet'!O79</f>
        <v>820021721.5101639</v>
      </c>
      <c r="P96" s="2">
        <f>P8/'Output-Calculation-sheet'!P7*'Output-Calculation-sheet'!P79</f>
        <v>1743171071.5290399</v>
      </c>
      <c r="Q96" s="2">
        <f>Q8/'Output-Calculation-sheet'!Q7*'Output-Calculation-sheet'!Q79</f>
        <v>949440010.14097846</v>
      </c>
      <c r="R96" s="2">
        <f>R8/'Output-Calculation-sheet'!R7*'Output-Calculation-sheet'!R79</f>
        <v>1266645500.0156512</v>
      </c>
      <c r="S96" s="2">
        <f>S8/'Output-Calculation-sheet'!S7*'Output-Calculation-sheet'!S79</f>
        <v>797283179.04417336</v>
      </c>
      <c r="T96" s="2">
        <f>T8/'Output-Calculation-sheet'!T7*'Output-Calculation-sheet'!T79</f>
        <v>511965519.32485694</v>
      </c>
      <c r="U96" s="2">
        <f>U8/'Output-Calculation-sheet'!U7*'Output-Calculation-sheet'!U79</f>
        <v>474739807.09096587</v>
      </c>
      <c r="V96" s="2">
        <f>V8/'Output-Calculation-sheet'!V7*'Output-Calculation-sheet'!V79</f>
        <v>305652179.0222472</v>
      </c>
      <c r="W96" s="2">
        <f>W8/'Output-Calculation-sheet'!W7*'Output-Calculation-sheet'!W79</f>
        <v>365632071.19346529</v>
      </c>
      <c r="X96" s="2">
        <f>X8/'Output-Calculation-sheet'!X7*'Output-Calculation-sheet'!X79</f>
        <v>167350961.38425168</v>
      </c>
      <c r="Y96" s="2">
        <f>Y8/'Output-Calculation-sheet'!Y7*'Output-Calculation-sheet'!Y79</f>
        <v>187311573.93783894</v>
      </c>
      <c r="AA96" s="2">
        <f t="shared" si="8"/>
        <v>55.646088230232415</v>
      </c>
    </row>
    <row r="97" spans="1:27" x14ac:dyDescent="0.25">
      <c r="A97" s="2">
        <v>2032</v>
      </c>
      <c r="B97" s="2">
        <f>B9/'Output-Calculation-sheet'!B8*'Output-Calculation-sheet'!B80</f>
        <v>18556648708.095291</v>
      </c>
      <c r="C97" s="2">
        <f>C9/'Output-Calculation-sheet'!C8*'Output-Calculation-sheet'!C80</f>
        <v>7688916441.1261635</v>
      </c>
      <c r="D97" s="2">
        <f>D9/'Output-Calculation-sheet'!D8*'Output-Calculation-sheet'!D80</f>
        <v>6077441400.547657</v>
      </c>
      <c r="E97" s="2">
        <f>E9/'Output-Calculation-sheet'!E8*'Output-Calculation-sheet'!E80</f>
        <v>7333371197.7502403</v>
      </c>
      <c r="F97" s="2">
        <f>F9/'Output-Calculation-sheet'!F8*'Output-Calculation-sheet'!F80</f>
        <v>4345229402.7692261</v>
      </c>
      <c r="G97" s="2">
        <f>G9/'Output-Calculation-sheet'!G8*'Output-Calculation-sheet'!G80</f>
        <v>2175151861.9218597</v>
      </c>
      <c r="H97" s="2">
        <f>H9/'Output-Calculation-sheet'!H8*'Output-Calculation-sheet'!H80</f>
        <v>2768618538.313488</v>
      </c>
      <c r="I97" s="2">
        <f>I9/'Output-Calculation-sheet'!I8*'Output-Calculation-sheet'!I80</f>
        <v>2642748901.4566731</v>
      </c>
      <c r="J97" s="2">
        <f>J9/'Output-Calculation-sheet'!J8*'Output-Calculation-sheet'!J80</f>
        <v>1507986978.7738159</v>
      </c>
      <c r="K97" s="2">
        <f>K9/'Output-Calculation-sheet'!K8*'Output-Calculation-sheet'!K80</f>
        <v>2540234400.1086102</v>
      </c>
      <c r="L97" s="2">
        <f>L9/'Output-Calculation-sheet'!L8*'Output-Calculation-sheet'!L80</f>
        <v>1837949752.1651273</v>
      </c>
      <c r="M97" s="2">
        <f>M9/'Output-Calculation-sheet'!M8*'Output-Calculation-sheet'!M80</f>
        <v>1852345946.3436797</v>
      </c>
      <c r="N97" s="2">
        <f>N9/'Output-Calculation-sheet'!N8*'Output-Calculation-sheet'!N80</f>
        <v>1324009093.0252903</v>
      </c>
      <c r="O97" s="2">
        <f>O9/'Output-Calculation-sheet'!O8*'Output-Calculation-sheet'!O80</f>
        <v>1044560312.1044289</v>
      </c>
      <c r="P97" s="2">
        <f>P9/'Output-Calculation-sheet'!P8*'Output-Calculation-sheet'!P80</f>
        <v>2182901542.0421801</v>
      </c>
      <c r="Q97" s="2">
        <f>Q9/'Output-Calculation-sheet'!Q8*'Output-Calculation-sheet'!Q80</f>
        <v>1208692760.944926</v>
      </c>
      <c r="R97" s="2">
        <f>R9/'Output-Calculation-sheet'!R8*'Output-Calculation-sheet'!R80</f>
        <v>1602550453.1257234</v>
      </c>
      <c r="S97" s="2">
        <f>S9/'Output-Calculation-sheet'!S8*'Output-Calculation-sheet'!S80</f>
        <v>1010973963.9931307</v>
      </c>
      <c r="T97" s="2">
        <f>T9/'Output-Calculation-sheet'!T8*'Output-Calculation-sheet'!T80</f>
        <v>642600459.91884446</v>
      </c>
      <c r="U97" s="2">
        <f>U9/'Output-Calculation-sheet'!U8*'Output-Calculation-sheet'!U80</f>
        <v>599250745.96018434</v>
      </c>
      <c r="V97" s="2">
        <f>V9/'Output-Calculation-sheet'!V8*'Output-Calculation-sheet'!V80</f>
        <v>388078964.71891671</v>
      </c>
      <c r="W97" s="2">
        <f>W9/'Output-Calculation-sheet'!W8*'Output-Calculation-sheet'!W80</f>
        <v>453971289.19627094</v>
      </c>
      <c r="X97" s="2">
        <f>X9/'Output-Calculation-sheet'!X8*'Output-Calculation-sheet'!X80</f>
        <v>211386171.9358409</v>
      </c>
      <c r="Y97" s="2">
        <f>Y9/'Output-Calculation-sheet'!Y8*'Output-Calculation-sheet'!Y80</f>
        <v>233591689.64057317</v>
      </c>
      <c r="AA97" s="2">
        <f t="shared" si="8"/>
        <v>70.229210975978162</v>
      </c>
    </row>
    <row r="98" spans="1:27" x14ac:dyDescent="0.25">
      <c r="A98" s="2">
        <v>2033</v>
      </c>
      <c r="B98" s="2">
        <f>B10/'Output-Calculation-sheet'!B9*'Output-Calculation-sheet'!B81</f>
        <v>22428610183.563328</v>
      </c>
      <c r="C98" s="2">
        <f>C10/'Output-Calculation-sheet'!C9*'Output-Calculation-sheet'!C81</f>
        <v>9302892201.1254635</v>
      </c>
      <c r="D98" s="2">
        <f>D10/'Output-Calculation-sheet'!D9*'Output-Calculation-sheet'!D81</f>
        <v>7297464898.888402</v>
      </c>
      <c r="E98" s="2">
        <f>E10/'Output-Calculation-sheet'!E9*'Output-Calculation-sheet'!E81</f>
        <v>8788976805.4011211</v>
      </c>
      <c r="F98" s="2">
        <f>F10/'Output-Calculation-sheet'!F9*'Output-Calculation-sheet'!F81</f>
        <v>5226129392.7345104</v>
      </c>
      <c r="G98" s="2">
        <f>G10/'Output-Calculation-sheet'!G9*'Output-Calculation-sheet'!G81</f>
        <v>2576106356.1748061</v>
      </c>
      <c r="H98" s="2">
        <f>H10/'Output-Calculation-sheet'!H9*'Output-Calculation-sheet'!H81</f>
        <v>3339974785.6664081</v>
      </c>
      <c r="I98" s="2">
        <f>I10/'Output-Calculation-sheet'!I9*'Output-Calculation-sheet'!I81</f>
        <v>3180414240.703599</v>
      </c>
      <c r="J98" s="2">
        <f>J10/'Output-Calculation-sheet'!J9*'Output-Calculation-sheet'!J81</f>
        <v>1835162868.6613455</v>
      </c>
      <c r="K98" s="2">
        <f>K10/'Output-Calculation-sheet'!K9*'Output-Calculation-sheet'!K81</f>
        <v>3056034995.8726907</v>
      </c>
      <c r="L98" s="2">
        <f>L10/'Output-Calculation-sheet'!L9*'Output-Calculation-sheet'!L81</f>
        <v>2223912034.3607121</v>
      </c>
      <c r="M98" s="2">
        <f>M10/'Output-Calculation-sheet'!M9*'Output-Calculation-sheet'!M81</f>
        <v>2235016813.5042701</v>
      </c>
      <c r="N98" s="2">
        <f>N10/'Output-Calculation-sheet'!N9*'Output-Calculation-sheet'!N81</f>
        <v>1604945983.9668236</v>
      </c>
      <c r="O98" s="2">
        <f>O10/'Output-Calculation-sheet'!O9*'Output-Calculation-sheet'!O81</f>
        <v>1270692222.9885707</v>
      </c>
      <c r="P98" s="2">
        <f>P10/'Output-Calculation-sheet'!P9*'Output-Calculation-sheet'!P81</f>
        <v>2610017207.3786936</v>
      </c>
      <c r="Q98" s="2">
        <f>Q10/'Output-Calculation-sheet'!Q9*'Output-Calculation-sheet'!Q81</f>
        <v>1469456446.8721557</v>
      </c>
      <c r="R98" s="2">
        <f>R10/'Output-Calculation-sheet'!R9*'Output-Calculation-sheet'!R81</f>
        <v>1935690604.9939923</v>
      </c>
      <c r="S98" s="2">
        <f>S10/'Output-Calculation-sheet'!S9*'Output-Calculation-sheet'!S81</f>
        <v>1223706103.4669831</v>
      </c>
      <c r="T98" s="2">
        <f>T10/'Output-Calculation-sheet'!T9*'Output-Calculation-sheet'!T81</f>
        <v>770338833.27477956</v>
      </c>
      <c r="U98" s="2">
        <f>U10/'Output-Calculation-sheet'!U9*'Output-Calculation-sheet'!U81</f>
        <v>721770017.0674324</v>
      </c>
      <c r="V98" s="2">
        <f>V10/'Output-Calculation-sheet'!V9*'Output-Calculation-sheet'!V81</f>
        <v>470093675.38980961</v>
      </c>
      <c r="W98" s="2">
        <f>W10/'Output-Calculation-sheet'!W9*'Output-Calculation-sheet'!W81</f>
        <v>538331202.2665751</v>
      </c>
      <c r="X98" s="2">
        <f>X10/'Output-Calculation-sheet'!X9*'Output-Calculation-sheet'!X81</f>
        <v>254957125.96511602</v>
      </c>
      <c r="Y98" s="2">
        <f>Y10/'Output-Calculation-sheet'!Y9*'Output-Calculation-sheet'!Y81</f>
        <v>278307583.3219009</v>
      </c>
      <c r="AA98" s="2">
        <f t="shared" si="8"/>
        <v>84.639002583609496</v>
      </c>
    </row>
    <row r="99" spans="1:27" x14ac:dyDescent="0.25">
      <c r="A99" s="2">
        <v>2034</v>
      </c>
      <c r="B99" s="2">
        <f>B11/'Output-Calculation-sheet'!B10*'Output-Calculation-sheet'!B82</f>
        <v>26375598071.71891</v>
      </c>
      <c r="C99" s="2">
        <f>C11/'Output-Calculation-sheet'!C10*'Output-Calculation-sheet'!C82</f>
        <v>10952990576.967129</v>
      </c>
      <c r="D99" s="2">
        <f>D11/'Output-Calculation-sheet'!D10*'Output-Calculation-sheet'!D82</f>
        <v>8533959893.4185753</v>
      </c>
      <c r="E99" s="2">
        <f>E11/'Output-Calculation-sheet'!E10*'Output-Calculation-sheet'!E82</f>
        <v>10254189141.74404</v>
      </c>
      <c r="F99" s="2">
        <f>F11/'Output-Calculation-sheet'!F10*'Output-Calculation-sheet'!F82</f>
        <v>6117577841.7353582</v>
      </c>
      <c r="G99" s="2">
        <f>G11/'Output-Calculation-sheet'!G10*'Output-Calculation-sheet'!G82</f>
        <v>2971148031.8322725</v>
      </c>
      <c r="H99" s="2">
        <f>H11/'Output-Calculation-sheet'!H10*'Output-Calculation-sheet'!H82</f>
        <v>3920916970.2325702</v>
      </c>
      <c r="I99" s="2">
        <f>I11/'Output-Calculation-sheet'!I10*'Output-Calculation-sheet'!I82</f>
        <v>3725563068.3386145</v>
      </c>
      <c r="J99" s="2">
        <f>J11/'Output-Calculation-sheet'!J10*'Output-Calculation-sheet'!J82</f>
        <v>2174391980.9879012</v>
      </c>
      <c r="K99" s="2">
        <f>K11/'Output-Calculation-sheet'!K10*'Output-Calculation-sheet'!K82</f>
        <v>3578422686.9240313</v>
      </c>
      <c r="L99" s="2">
        <f>L11/'Output-Calculation-sheet'!L10*'Output-Calculation-sheet'!L82</f>
        <v>2618473153.5338411</v>
      </c>
      <c r="M99" s="2">
        <f>M11/'Output-Calculation-sheet'!M10*'Output-Calculation-sheet'!M82</f>
        <v>2624681899.1755877</v>
      </c>
      <c r="N99" s="2">
        <f>N11/'Output-Calculation-sheet'!N10*'Output-Calculation-sheet'!N82</f>
        <v>1894134394.8169894</v>
      </c>
      <c r="O99" s="2">
        <f>O11/'Output-Calculation-sheet'!O10*'Output-Calculation-sheet'!O82</f>
        <v>1504541307.9922071</v>
      </c>
      <c r="P99" s="2">
        <f>P11/'Output-Calculation-sheet'!P10*'Output-Calculation-sheet'!P82</f>
        <v>3037123107.5814738</v>
      </c>
      <c r="Q99" s="2">
        <f>Q11/'Output-Calculation-sheet'!Q10*'Output-Calculation-sheet'!Q82</f>
        <v>1738786661.8201284</v>
      </c>
      <c r="R99" s="2">
        <f>R11/'Output-Calculation-sheet'!R10*'Output-Calculation-sheet'!R82</f>
        <v>2275127020.5331092</v>
      </c>
      <c r="S99" s="2">
        <f>S11/'Output-Calculation-sheet'!S10*'Output-Calculation-sheet'!S82</f>
        <v>1441141621.1121325</v>
      </c>
      <c r="T99" s="2">
        <f>T11/'Output-Calculation-sheet'!T10*'Output-Calculation-sheet'!T82</f>
        <v>898957123.89565408</v>
      </c>
      <c r="U99" s="2">
        <f>U11/'Output-Calculation-sheet'!U10*'Output-Calculation-sheet'!U82</f>
        <v>845571578.57609713</v>
      </c>
      <c r="V99" s="2">
        <f>V11/'Output-Calculation-sheet'!V10*'Output-Calculation-sheet'!V82</f>
        <v>553783548.19120038</v>
      </c>
      <c r="W99" s="2">
        <f>W11/'Output-Calculation-sheet'!W10*'Output-Calculation-sheet'!W82</f>
        <v>621415660.85312271</v>
      </c>
      <c r="X99" s="2">
        <f>X11/'Output-Calculation-sheet'!X10*'Output-Calculation-sheet'!X82</f>
        <v>299272288.40338516</v>
      </c>
      <c r="Y99" s="2">
        <f>Y11/'Output-Calculation-sheet'!Y10*'Output-Calculation-sheet'!Y82</f>
        <v>322876516.50648803</v>
      </c>
      <c r="AA99" s="2">
        <f t="shared" si="8"/>
        <v>99.280644146890808</v>
      </c>
    </row>
    <row r="100" spans="1:27" x14ac:dyDescent="0.25">
      <c r="A100" s="2">
        <v>2035</v>
      </c>
      <c r="B100" s="2">
        <f>B12/'Output-Calculation-sheet'!B11*'Output-Calculation-sheet'!B83</f>
        <v>30389752425.657429</v>
      </c>
      <c r="C100" s="2">
        <f>C12/'Output-Calculation-sheet'!C11*'Output-Calculation-sheet'!C83</f>
        <v>12636628108.327869</v>
      </c>
      <c r="D100" s="2">
        <f>D12/'Output-Calculation-sheet'!D11*'Output-Calculation-sheet'!D83</f>
        <v>9787222585.0390625</v>
      </c>
      <c r="E100" s="2">
        <f>E12/'Output-Calculation-sheet'!E11*'Output-Calculation-sheet'!E83</f>
        <v>11727470851.608118</v>
      </c>
      <c r="F100" s="2">
        <f>F12/'Output-Calculation-sheet'!F11*'Output-Calculation-sheet'!F83</f>
        <v>7018298654.828414</v>
      </c>
      <c r="G100" s="2">
        <f>G12/'Output-Calculation-sheet'!G11*'Output-Calculation-sheet'!G83</f>
        <v>3360447628.8325777</v>
      </c>
      <c r="H100" s="2">
        <f>H12/'Output-Calculation-sheet'!H11*'Output-Calculation-sheet'!H83</f>
        <v>4510442125.1292934</v>
      </c>
      <c r="I100" s="2">
        <f>I12/'Output-Calculation-sheet'!I11*'Output-Calculation-sheet'!I83</f>
        <v>4277522512.408793</v>
      </c>
      <c r="J100" s="2">
        <f>J12/'Output-Calculation-sheet'!J11*'Output-Calculation-sheet'!J83</f>
        <v>2525717227.0407004</v>
      </c>
      <c r="K100" s="2">
        <f>K12/'Output-Calculation-sheet'!K11*'Output-Calculation-sheet'!K83</f>
        <v>4106728617.3028145</v>
      </c>
      <c r="L100" s="2">
        <f>L12/'Output-Calculation-sheet'!L11*'Output-Calculation-sheet'!L83</f>
        <v>3020963267.6518188</v>
      </c>
      <c r="M100" s="2">
        <f>M12/'Output-Calculation-sheet'!M11*'Output-Calculation-sheet'!M83</f>
        <v>3020794885.7668915</v>
      </c>
      <c r="N100" s="2">
        <f>N12/'Output-Calculation-sheet'!N11*'Output-Calculation-sheet'!N83</f>
        <v>2191498487.6471167</v>
      </c>
      <c r="O100" s="2">
        <f>O12/'Output-Calculation-sheet'!O11*'Output-Calculation-sheet'!O83</f>
        <v>1745949353.6602988</v>
      </c>
      <c r="P100" s="2">
        <f>P12/'Output-Calculation-sheet'!P11*'Output-Calculation-sheet'!P83</f>
        <v>3463620588.4140801</v>
      </c>
      <c r="Q100" s="2">
        <f>Q12/'Output-Calculation-sheet'!Q11*'Output-Calculation-sheet'!Q83</f>
        <v>2016459576.7816205</v>
      </c>
      <c r="R100" s="2">
        <f>R12/'Output-Calculation-sheet'!R11*'Output-Calculation-sheet'!R83</f>
        <v>2620267891.384171</v>
      </c>
      <c r="S100" s="2">
        <f>S12/'Output-Calculation-sheet'!S11*'Output-Calculation-sheet'!S83</f>
        <v>1662866165.7416987</v>
      </c>
      <c r="T100" s="2">
        <f>T12/'Output-Calculation-sheet'!T11*'Output-Calculation-sheet'!T83</f>
        <v>1028333626.594293</v>
      </c>
      <c r="U100" s="2">
        <f>U12/'Output-Calculation-sheet'!U11*'Output-Calculation-sheet'!U83</f>
        <v>970348369.14968479</v>
      </c>
      <c r="V100" s="2">
        <f>V12/'Output-Calculation-sheet'!V11*'Output-Calculation-sheet'!V83</f>
        <v>638922471.13530433</v>
      </c>
      <c r="W100" s="2">
        <f>W12/'Output-Calculation-sheet'!W11*'Output-Calculation-sheet'!W83</f>
        <v>703152006.89502168</v>
      </c>
      <c r="X100" s="2">
        <f>X12/'Output-Calculation-sheet'!X11*'Output-Calculation-sheet'!X83</f>
        <v>344262567.51397592</v>
      </c>
      <c r="Y100" s="2">
        <f>Y12/'Output-Calculation-sheet'!Y11*'Output-Calculation-sheet'!Y83</f>
        <v>367289107.71694285</v>
      </c>
      <c r="AA100" s="2">
        <f t="shared" si="8"/>
        <v>114.13495910222798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1326.2611634814132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408.26432005662258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280.92558428785111</v>
      </c>
      <c r="N107" s="2">
        <f>N8/'Output-Calculation-sheet'!N7*'Output-Calculation-sheet'!N88</f>
        <v>110.44171610646126</v>
      </c>
      <c r="O107" s="2">
        <f>O8/'Output-Calculation-sheet'!O7*'Output-Calculation-sheet'!O88</f>
        <v>309.18683937196005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30.818120874412635</v>
      </c>
      <c r="Y107" s="2">
        <f>Y8/'Output-Calculation-sheet'!Y7*'Output-Calculation-sheet'!Y88</f>
        <v>0</v>
      </c>
      <c r="AA107" s="2">
        <f t="shared" si="9"/>
        <v>2.4658977441787209</v>
      </c>
    </row>
    <row r="108" spans="1:27" x14ac:dyDescent="0.25">
      <c r="A108" s="2">
        <v>2032</v>
      </c>
      <c r="B108" s="2">
        <f>B9/'Output-Calculation-sheet'!B8*'Output-Calculation-sheet'!B89</f>
        <v>560.54487186186645</v>
      </c>
      <c r="C108" s="2">
        <f>C9/'Output-Calculation-sheet'!C8*'Output-Calculation-sheet'!C89</f>
        <v>2128.3805617807416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573.28385498499074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394.47508394099685</v>
      </c>
      <c r="N108" s="2">
        <f>N9/'Output-Calculation-sheet'!N8*'Output-Calculation-sheet'!N89</f>
        <v>276.93216681592492</v>
      </c>
      <c r="O108" s="2">
        <f>O9/'Output-Calculation-sheet'!O8*'Output-Calculation-sheet'!O89</f>
        <v>413.48521505264767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126.997662550282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43.274737150251966</v>
      </c>
      <c r="Y108" s="2">
        <f>Y9/'Output-Calculation-sheet'!Y8*'Output-Calculation-sheet'!Y89</f>
        <v>0</v>
      </c>
      <c r="AA108" s="2">
        <f t="shared" si="9"/>
        <v>4.5173741541377019</v>
      </c>
    </row>
    <row r="109" spans="1:27" x14ac:dyDescent="0.25">
      <c r="A109" s="2">
        <v>2033</v>
      </c>
      <c r="B109" s="2">
        <f>B10/'Output-Calculation-sheet'!B9*'Output-Calculation-sheet'!B90</f>
        <v>2796.8511173042616</v>
      </c>
      <c r="C109" s="2">
        <f>C10/'Output-Calculation-sheet'!C9*'Output-Calculation-sheet'!C90</f>
        <v>2654.9005490376085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817.26073062832575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562.3549180967774</v>
      </c>
      <c r="N109" s="2">
        <f>N10/'Output-Calculation-sheet'!N9*'Output-Calculation-sheet'!N90</f>
        <v>442.16294769278119</v>
      </c>
      <c r="O109" s="2">
        <f>O10/'Output-Calculation-sheet'!O9*'Output-Calculation-sheet'!O90</f>
        <v>515.77342143349995</v>
      </c>
      <c r="P109" s="2">
        <f>P10/'Output-Calculation-sheet'!P9*'Output-Calculation-sheet'!P90</f>
        <v>0</v>
      </c>
      <c r="Q109" s="2">
        <f>Q10/'Output-Calculation-sheet'!Q9*'Output-Calculation-sheet'!Q90</f>
        <v>96.850610009763102</v>
      </c>
      <c r="R109" s="2">
        <f>R10/'Output-Calculation-sheet'!R9*'Output-Calculation-sheet'!R90</f>
        <v>0</v>
      </c>
      <c r="S109" s="2">
        <f>S10/'Output-Calculation-sheet'!S9*'Output-Calculation-sheet'!S90</f>
        <v>221.78018260456113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61.691504119001614</v>
      </c>
      <c r="Y109" s="2">
        <f>Y10/'Output-Calculation-sheet'!Y9*'Output-Calculation-sheet'!Y90</f>
        <v>0</v>
      </c>
      <c r="AA109" s="2">
        <f t="shared" si="9"/>
        <v>8.1696259809265808</v>
      </c>
    </row>
    <row r="110" spans="1:27" x14ac:dyDescent="0.25">
      <c r="A110" s="2">
        <v>2034</v>
      </c>
      <c r="B110" s="2">
        <f>B11/'Output-Calculation-sheet'!B10*'Output-Calculation-sheet'!B91</f>
        <v>5030.2474584143447</v>
      </c>
      <c r="C110" s="2">
        <f>C11/'Output-Calculation-sheet'!C10*'Output-Calculation-sheet'!C91</f>
        <v>3448.5704801426541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979.91718559725291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674.27838876401324</v>
      </c>
      <c r="N110" s="2">
        <f>N11/'Output-Calculation-sheet'!N10*'Output-Calculation-sheet'!N91</f>
        <v>607.48077967510665</v>
      </c>
      <c r="O110" s="2">
        <f>O11/'Output-Calculation-sheet'!O10*'Output-Calculation-sheet'!O91</f>
        <v>669.96144026657043</v>
      </c>
      <c r="P110" s="2">
        <f>P11/'Output-Calculation-sheet'!P10*'Output-Calculation-sheet'!P91</f>
        <v>153.05605521976736</v>
      </c>
      <c r="Q110" s="2">
        <f>Q11/'Output-Calculation-sheet'!Q10*'Output-Calculation-sheet'!Q91</f>
        <v>338.70210947360539</v>
      </c>
      <c r="R110" s="2">
        <f>R11/'Output-Calculation-sheet'!R10*'Output-Calculation-sheet'!R91</f>
        <v>0</v>
      </c>
      <c r="S110" s="2">
        <f>S11/'Output-Calculation-sheet'!S10*'Output-Calculation-sheet'!S91</f>
        <v>348.22895417852288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73.969741633219428</v>
      </c>
      <c r="Y110" s="2">
        <f>Y11/'Output-Calculation-sheet'!Y10*'Output-Calculation-sheet'!Y91</f>
        <v>17.845553896296405</v>
      </c>
      <c r="AA110" s="2">
        <f t="shared" si="9"/>
        <v>12.342258147261353</v>
      </c>
    </row>
    <row r="111" spans="1:27" x14ac:dyDescent="0.25">
      <c r="A111" s="2">
        <v>2035</v>
      </c>
      <c r="B111" s="2">
        <f>B12/'Output-Calculation-sheet'!B11*'Output-Calculation-sheet'!B92</f>
        <v>8382.5651225865204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1867.2633031967196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414.71161095389584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663.14950473527244</v>
      </c>
      <c r="Q111" s="2">
        <f>Q12/'Output-Calculation-sheet'!Q11*'Output-Calculation-sheet'!Q92</f>
        <v>628.92962178661821</v>
      </c>
      <c r="R111" s="2">
        <f>R12/'Output-Calculation-sheet'!R11*'Output-Calculation-sheet'!R92</f>
        <v>95.954193446581613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138.92286813309536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65.424482915850732</v>
      </c>
      <c r="AA111" s="2">
        <f t="shared" si="9"/>
        <v>20.471363152550669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6234729615.6867876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1918298305.3149858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1332423479.1856971</v>
      </c>
      <c r="N118" s="2">
        <f>N8/'Output-Calculation-sheet'!N7*'Output-Calculation-sheet'!N97</f>
        <v>1045572523.8458887</v>
      </c>
      <c r="O118" s="2">
        <f>O8/'Output-Calculation-sheet'!O7*'Output-Calculation-sheet'!O97</f>
        <v>695735973.67404962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378647002.68166405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143609961.81567949</v>
      </c>
      <c r="Y118" s="2">
        <f>Y8/'Output-Calculation-sheet'!Y7*'Output-Calculation-sheet'!Y97</f>
        <v>0</v>
      </c>
      <c r="AA118" s="2">
        <f t="shared" si="10"/>
        <v>12812.580414462533</v>
      </c>
    </row>
    <row r="119" spans="1:27" x14ac:dyDescent="0.25">
      <c r="A119" s="2">
        <v>2032</v>
      </c>
      <c r="B119" s="2">
        <f>B9/'Output-Calculation-sheet'!B8*'Output-Calculation-sheet'!B98</f>
        <v>4205236747.9218445</v>
      </c>
      <c r="C119" s="2">
        <f>C9/'Output-Calculation-sheet'!C8*'Output-Calculation-sheet'!C98</f>
        <v>3342407106.6388516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1998098447.0534108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1394680198.7707095</v>
      </c>
      <c r="N119" s="2">
        <f>N9/'Output-Calculation-sheet'!N8*'Output-Calculation-sheet'!N98</f>
        <v>941863562.64486611</v>
      </c>
      <c r="O119" s="2">
        <f>O9/'Output-Calculation-sheet'!O8*'Output-Calculation-sheet'!O98</f>
        <v>653044586.81572139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391419495.74622416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149235781.25405174</v>
      </c>
      <c r="Y119" s="2">
        <f>Y9/'Output-Calculation-sheet'!Y8*'Output-Calculation-sheet'!Y98</f>
        <v>0</v>
      </c>
      <c r="AA119" s="2">
        <f t="shared" si="10"/>
        <v>13075.98592684568</v>
      </c>
    </row>
    <row r="120" spans="1:27" x14ac:dyDescent="0.25">
      <c r="A120" s="2">
        <v>2033</v>
      </c>
      <c r="B120" s="2">
        <f>B10/'Output-Calculation-sheet'!B9*'Output-Calculation-sheet'!B99</f>
        <v>4023643003.572876</v>
      </c>
      <c r="C120" s="2">
        <f>C10/'Output-Calculation-sheet'!C9*'Output-Calculation-sheet'!C99</f>
        <v>3307684392.9044638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1084511357.8092217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767626148.49910069</v>
      </c>
      <c r="N120" s="2">
        <f>N10/'Output-Calculation-sheet'!N9*'Output-Calculation-sheet'!N99</f>
        <v>765241938.65158868</v>
      </c>
      <c r="O120" s="2">
        <f>O10/'Output-Calculation-sheet'!O9*'Output-Calculation-sheet'!O99</f>
        <v>647573357.74388182</v>
      </c>
      <c r="P120" s="2">
        <f>P10/'Output-Calculation-sheet'!P9*'Output-Calculation-sheet'!P99</f>
        <v>0</v>
      </c>
      <c r="Q120" s="2">
        <f>Q10/'Output-Calculation-sheet'!Q9*'Output-Calculation-sheet'!Q99</f>
        <v>4739738.6023853449</v>
      </c>
      <c r="R120" s="2">
        <f>R10/'Output-Calculation-sheet'!R9*'Output-Calculation-sheet'!R99</f>
        <v>0</v>
      </c>
      <c r="S120" s="2">
        <f>S10/'Output-Calculation-sheet'!S9*'Output-Calculation-sheet'!S99</f>
        <v>320478330.12082231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76650876.655727014</v>
      </c>
      <c r="Y120" s="2">
        <f>Y10/'Output-Calculation-sheet'!Y9*'Output-Calculation-sheet'!Y99</f>
        <v>0</v>
      </c>
      <c r="AA120" s="2">
        <f t="shared" si="10"/>
        <v>10998.149144560068</v>
      </c>
    </row>
    <row r="121" spans="1:27" x14ac:dyDescent="0.25">
      <c r="A121" s="2">
        <v>2034</v>
      </c>
      <c r="B121" s="2">
        <f>B11/'Output-Calculation-sheet'!B10*'Output-Calculation-sheet'!B100</f>
        <v>3767760596.840291</v>
      </c>
      <c r="C121" s="2">
        <f>C11/'Output-Calculation-sheet'!C10*'Output-Calculation-sheet'!C100</f>
        <v>452724956.41027993</v>
      </c>
      <c r="D121" s="2">
        <f>D11/'Output-Calculation-sheet'!D10*'Output-Calculation-sheet'!D100</f>
        <v>0</v>
      </c>
      <c r="E121" s="2">
        <f>E11/'Output-Calculation-sheet'!E10*'Output-Calculation-sheet'!E100</f>
        <v>522480257.66234016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1192067135.2461889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434589948.77640122</v>
      </c>
      <c r="M121" s="2">
        <f>M11/'Output-Calculation-sheet'!M10*'Output-Calculation-sheet'!M100</f>
        <v>848389620.2453562</v>
      </c>
      <c r="N121" s="2">
        <f>N11/'Output-Calculation-sheet'!N10*'Output-Calculation-sheet'!N100</f>
        <v>565602403.08778274</v>
      </c>
      <c r="O121" s="2">
        <f>O11/'Output-Calculation-sheet'!O10*'Output-Calculation-sheet'!O100</f>
        <v>88803489.301156119</v>
      </c>
      <c r="P121" s="2">
        <f>P11/'Output-Calculation-sheet'!P10*'Output-Calculation-sheet'!P100</f>
        <v>0</v>
      </c>
      <c r="Q121" s="2">
        <f>Q11/'Output-Calculation-sheet'!Q10*'Output-Calculation-sheet'!Q100</f>
        <v>174719954.46431944</v>
      </c>
      <c r="R121" s="2">
        <f>R11/'Output-Calculation-sheet'!R10*'Output-Calculation-sheet'!R100</f>
        <v>0</v>
      </c>
      <c r="S121" s="2">
        <f>S11/'Output-Calculation-sheet'!S10*'Output-Calculation-sheet'!S100</f>
        <v>211474551.39970699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83360216.344323218</v>
      </c>
      <c r="Y121" s="2">
        <f>Y11/'Output-Calculation-sheet'!Y10*'Output-Calculation-sheet'!Y100</f>
        <v>5957239.1107972991</v>
      </c>
      <c r="AA121" s="2">
        <f t="shared" si="10"/>
        <v>8347.9303688889431</v>
      </c>
    </row>
    <row r="122" spans="1:27" x14ac:dyDescent="0.25">
      <c r="A122" s="2">
        <v>2035</v>
      </c>
      <c r="B122" s="2">
        <f>B12/'Output-Calculation-sheet'!B11*'Output-Calculation-sheet'!B101</f>
        <v>1473877032.0942178</v>
      </c>
      <c r="C122" s="2">
        <f>C12/'Output-Calculation-sheet'!C11*'Output-Calculation-sheet'!C101</f>
        <v>253477362.2694833</v>
      </c>
      <c r="D122" s="2">
        <f>D12/'Output-Calculation-sheet'!D11*'Output-Calculation-sheet'!D101</f>
        <v>0</v>
      </c>
      <c r="E122" s="2">
        <f>E12/'Output-Calculation-sheet'!E11*'Output-Calculation-sheet'!E101</f>
        <v>1473154102.8911939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395332631.78045428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864663706.51801491</v>
      </c>
      <c r="M122" s="2">
        <f>M12/'Output-Calculation-sheet'!M11*'Output-Calculation-sheet'!M101</f>
        <v>356603271.15961492</v>
      </c>
      <c r="N122" s="2">
        <f>N12/'Output-Calculation-sheet'!N11*'Output-Calculation-sheet'!N101</f>
        <v>298975852.70037401</v>
      </c>
      <c r="O122" s="2">
        <f>O12/'Output-Calculation-sheet'!O11*'Output-Calculation-sheet'!O101</f>
        <v>43202365.461573534</v>
      </c>
      <c r="P122" s="2">
        <f>P12/'Output-Calculation-sheet'!P11*'Output-Calculation-sheet'!P101</f>
        <v>18370473.50702</v>
      </c>
      <c r="Q122" s="2">
        <f>Q12/'Output-Calculation-sheet'!Q11*'Output-Calculation-sheet'!Q101</f>
        <v>362112041.53085977</v>
      </c>
      <c r="R122" s="2">
        <f>R12/'Output-Calculation-sheet'!R11*'Output-Calculation-sheet'!R101</f>
        <v>0</v>
      </c>
      <c r="S122" s="2">
        <f>S12/'Output-Calculation-sheet'!S11*'Output-Calculation-sheet'!S101</f>
        <v>146387990.5663366</v>
      </c>
      <c r="T122" s="2">
        <f>T12/'Output-Calculation-sheet'!T11*'Output-Calculation-sheet'!T101</f>
        <v>0</v>
      </c>
      <c r="U122" s="2">
        <f>U12/'Output-Calculation-sheet'!U11*'Output-Calculation-sheet'!U101</f>
        <v>53825073.883765213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12647652.871171491</v>
      </c>
      <c r="Y122" s="2">
        <f>Y12/'Output-Calculation-sheet'!Y11*'Output-Calculation-sheet'!Y101</f>
        <v>52260829.776858851</v>
      </c>
      <c r="AA122" s="2">
        <f t="shared" si="10"/>
        <v>5804.8903870109389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1735038642.8785057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1741058049.790293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114046.86577459164</v>
      </c>
    </row>
    <row r="130" spans="1:27" x14ac:dyDescent="0.25">
      <c r="A130" s="2">
        <v>2032</v>
      </c>
      <c r="B130" s="2">
        <f>B9/'Output-Calculation-sheet'!B8*'Output-Calculation-sheet'!B107</f>
        <v>38054983681.704391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1384446481.3894658</v>
      </c>
      <c r="O130" s="2">
        <f>O9/'Output-Calculation-sheet'!O8*'Output-Calculation-sheet'!O107</f>
        <v>0</v>
      </c>
      <c r="P130" s="2">
        <f>P9/'Output-Calculation-sheet'!P8*'Output-Calculation-sheet'!P107</f>
        <v>4224452986.8347864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1229607862.0147591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134019.54982874449</v>
      </c>
    </row>
    <row r="131" spans="1:27" x14ac:dyDescent="0.25">
      <c r="A131" s="2">
        <v>2033</v>
      </c>
      <c r="B131" s="2">
        <f>B10/'Output-Calculation-sheet'!B9*'Output-Calculation-sheet'!B108</f>
        <v>30015152381.55724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1099836546.7692196</v>
      </c>
      <c r="O131" s="2">
        <f>O10/'Output-Calculation-sheet'!O9*'Output-Calculation-sheet'!O108</f>
        <v>0</v>
      </c>
      <c r="P131" s="2">
        <f>P10/'Output-Calculation-sheet'!P9*'Output-Calculation-sheet'!P108</f>
        <v>5058456347.6155167</v>
      </c>
      <c r="Q131" s="2">
        <f>Q10/'Output-Calculation-sheet'!Q9*'Output-Calculation-sheet'!Q108</f>
        <v>4267119643.8179426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1066782840.1627214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143257.595907051</v>
      </c>
    </row>
    <row r="132" spans="1:27" x14ac:dyDescent="0.25">
      <c r="A132" s="2">
        <v>2034</v>
      </c>
      <c r="B132" s="2">
        <f>B11/'Output-Calculation-sheet'!B10*'Output-Calculation-sheet'!B109</f>
        <v>21924054089.306789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21163276099.627529</v>
      </c>
      <c r="F132" s="2">
        <f>F11/'Output-Calculation-sheet'!F10*'Output-Calculation-sheet'!F109</f>
        <v>13957683187.32045</v>
      </c>
      <c r="G132" s="2">
        <f>G11/'Output-Calculation-sheet'!G10*'Output-Calculation-sheet'!G109</f>
        <v>9807322839.0002022</v>
      </c>
      <c r="H132" s="2">
        <f>H11/'Output-Calculation-sheet'!H10*'Output-Calculation-sheet'!H109</f>
        <v>0</v>
      </c>
      <c r="I132" s="2">
        <f>I11/'Output-Calculation-sheet'!I10*'Output-Calculation-sheet'!I109</f>
        <v>8934617504.046814</v>
      </c>
      <c r="J132" s="2">
        <f>J11/'Output-Calculation-sheet'!J10*'Output-Calculation-sheet'!J109</f>
        <v>8696399519.4640541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6474896306.4653053</v>
      </c>
      <c r="M132" s="2">
        <f>M11/'Output-Calculation-sheet'!M10*'Output-Calculation-sheet'!M109</f>
        <v>0</v>
      </c>
      <c r="N132" s="2">
        <f>N11/'Output-Calculation-sheet'!N10*'Output-Calculation-sheet'!N109</f>
        <v>851339486.80116773</v>
      </c>
      <c r="O132" s="2">
        <f>O11/'Output-Calculation-sheet'!O10*'Output-Calculation-sheet'!O109</f>
        <v>0</v>
      </c>
      <c r="P132" s="2">
        <f>P11/'Output-Calculation-sheet'!P10*'Output-Calculation-sheet'!P109</f>
        <v>4837078881.4740791</v>
      </c>
      <c r="Q132" s="2">
        <f>Q11/'Output-Calculation-sheet'!Q10*'Output-Calculation-sheet'!Q109</f>
        <v>3139953301.4254894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584282960.57205772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1787949744.7059846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576473270.88791037</v>
      </c>
      <c r="AA132" s="2">
        <f t="shared" si="11"/>
        <v>148876.81484063243</v>
      </c>
    </row>
    <row r="133" spans="1:27" x14ac:dyDescent="0.25">
      <c r="A133" s="2">
        <v>2035</v>
      </c>
      <c r="B133" s="2">
        <f>B12/'Output-Calculation-sheet'!B11*'Output-Calculation-sheet'!B110</f>
        <v>353162911.83867568</v>
      </c>
      <c r="C133" s="2">
        <f>C12/'Output-Calculation-sheet'!C11*'Output-Calculation-sheet'!C110</f>
        <v>0</v>
      </c>
      <c r="D133" s="2">
        <f>D12/'Output-Calculation-sheet'!D11*'Output-Calculation-sheet'!D110</f>
        <v>29856841870.869099</v>
      </c>
      <c r="E133" s="2">
        <f>E12/'Output-Calculation-sheet'!E11*'Output-Calculation-sheet'!E110</f>
        <v>11460903252.464487</v>
      </c>
      <c r="F133" s="2">
        <f>F12/'Output-Calculation-sheet'!F11*'Output-Calculation-sheet'!F110</f>
        <v>15634660271.105091</v>
      </c>
      <c r="G133" s="2">
        <f>G12/'Output-Calculation-sheet'!G11*'Output-Calculation-sheet'!G110</f>
        <v>10658105618.385517</v>
      </c>
      <c r="H133" s="2">
        <f>H12/'Output-Calculation-sheet'!H11*'Output-Calculation-sheet'!H110</f>
        <v>0</v>
      </c>
      <c r="I133" s="2">
        <f>I12/'Output-Calculation-sheet'!I11*'Output-Calculation-sheet'!I110</f>
        <v>9957400220.3792191</v>
      </c>
      <c r="J133" s="2">
        <f>J12/'Output-Calculation-sheet'!J11*'Output-Calculation-sheet'!J110</f>
        <v>9533109809.2431316</v>
      </c>
      <c r="K133" s="2">
        <f>K12/'Output-Calculation-sheet'!K11*'Output-Calculation-sheet'!K110</f>
        <v>9629098450.9722805</v>
      </c>
      <c r="L133" s="2">
        <f>L12/'Output-Calculation-sheet'!L11*'Output-Calculation-sheet'!L110</f>
        <v>4545527784.5409832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1658507099.4271193</v>
      </c>
      <c r="Q133" s="2">
        <f>Q12/'Output-Calculation-sheet'!Q11*'Output-Calculation-sheet'!Q110</f>
        <v>1422725510.0635548</v>
      </c>
      <c r="R133" s="2">
        <f>R12/'Output-Calculation-sheet'!R11*'Output-Calculation-sheet'!R110</f>
        <v>5720420150.4116869</v>
      </c>
      <c r="S133" s="2">
        <f>S12/'Output-Calculation-sheet'!S11*'Output-Calculation-sheet'!S110</f>
        <v>1472004.6720544845</v>
      </c>
      <c r="T133" s="2">
        <f>T12/'Output-Calculation-sheet'!T11*'Output-Calculation-sheet'!T110</f>
        <v>2309399731.2878771</v>
      </c>
      <c r="U133" s="2">
        <f>U12/'Output-Calculation-sheet'!U11*'Output-Calculation-sheet'!U110</f>
        <v>1084161881.0807443</v>
      </c>
      <c r="V133" s="2">
        <f>V12/'Output-Calculation-sheet'!V11*'Output-Calculation-sheet'!V110</f>
        <v>1557669615.1009207</v>
      </c>
      <c r="W133" s="2">
        <f>W12/'Output-Calculation-sheet'!W11*'Output-Calculation-sheet'!W110</f>
        <v>1343588323.0930135</v>
      </c>
      <c r="X133" s="2">
        <f>X12/'Output-Calculation-sheet'!X11*'Output-Calculation-sheet'!X110</f>
        <v>0</v>
      </c>
      <c r="Y133" s="2">
        <f>Y12/'Output-Calculation-sheet'!Y11*'Output-Calculation-sheet'!Y110</f>
        <v>307576328.92058754</v>
      </c>
      <c r="AA133" s="2">
        <f t="shared" si="11"/>
        <v>117034.33083385605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11285049450.203428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3547735288.4280391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2438660271.4396625</v>
      </c>
      <c r="N140" s="2">
        <f>N8/'Output-Calculation-sheet'!N7*'Output-Calculation-sheet'!N115</f>
        <v>920690911.93550801</v>
      </c>
      <c r="O140" s="2">
        <f>O8/'Output-Calculation-sheet'!O7*'Output-Calculation-sheet'!O115</f>
        <v>2708356919.729003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264809226.27268773</v>
      </c>
      <c r="Y140" s="2">
        <f>Y8/'Output-Calculation-sheet'!Y7*'Output-Calculation-sheet'!Y115</f>
        <v>0</v>
      </c>
      <c r="AA140" s="2">
        <f t="shared" si="12"/>
        <v>21165.302068008328</v>
      </c>
    </row>
    <row r="141" spans="1:27" x14ac:dyDescent="0.25">
      <c r="A141" s="2">
        <v>2032</v>
      </c>
      <c r="B141" s="2">
        <f>B9/'Output-Calculation-sheet'!B8*'Output-Calculation-sheet'!B116</f>
        <v>4350562737.8243284</v>
      </c>
      <c r="C141" s="2">
        <f>C9/'Output-Calculation-sheet'!C8*'Output-Calculation-sheet'!C116</f>
        <v>18622980944.093273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4854930373.798708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3333308604.3836656</v>
      </c>
      <c r="N141" s="2">
        <f>N9/'Output-Calculation-sheet'!N8*'Output-Calculation-sheet'!N116</f>
        <v>2314189766.0840764</v>
      </c>
      <c r="O141" s="2">
        <f>O9/'Output-Calculation-sheet'!O8*'Output-Calculation-sheet'!O116</f>
        <v>3614830053.3434782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1036548736.7843035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362818928.89931655</v>
      </c>
      <c r="Y141" s="2">
        <f>Y9/'Output-Calculation-sheet'!Y8*'Output-Calculation-sheet'!Y116</f>
        <v>0</v>
      </c>
      <c r="AA141" s="2">
        <f t="shared" si="12"/>
        <v>38490.170145211145</v>
      </c>
    </row>
    <row r="142" spans="1:27" x14ac:dyDescent="0.25">
      <c r="A142" s="2">
        <v>2033</v>
      </c>
      <c r="B142" s="2">
        <f>B10/'Output-Calculation-sheet'!B9*'Output-Calculation-sheet'!B117</f>
        <v>21776936608.683079</v>
      </c>
      <c r="C142" s="2">
        <f>C10/'Output-Calculation-sheet'!C9*'Output-Calculation-sheet'!C117</f>
        <v>22995545230.709721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7121890210.3743029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4894071145.1853848</v>
      </c>
      <c r="N142" s="2">
        <f>N10/'Output-Calculation-sheet'!N9*'Output-Calculation-sheet'!N117</f>
        <v>3691851734.3097577</v>
      </c>
      <c r="O142" s="2">
        <f>O10/'Output-Calculation-sheet'!O9*'Output-Calculation-sheet'!O117</f>
        <v>4463143487.3617296</v>
      </c>
      <c r="P142" s="2">
        <f>P10/'Output-Calculation-sheet'!P9*'Output-Calculation-sheet'!P117</f>
        <v>0</v>
      </c>
      <c r="Q142" s="2">
        <f>Q10/'Output-Calculation-sheet'!Q9*'Output-Calculation-sheet'!Q117</f>
        <v>705091307.87302542</v>
      </c>
      <c r="R142" s="2">
        <f>R10/'Output-Calculation-sheet'!R9*'Output-Calculation-sheet'!R117</f>
        <v>0</v>
      </c>
      <c r="S142" s="2">
        <f>S10/'Output-Calculation-sheet'!S9*'Output-Calculation-sheet'!S117</f>
        <v>1795147226.1755848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536527165.61880416</v>
      </c>
      <c r="Y142" s="2">
        <f>Y10/'Output-Calculation-sheet'!Y9*'Output-Calculation-sheet'!Y117</f>
        <v>0</v>
      </c>
      <c r="AA142" s="2">
        <f t="shared" si="12"/>
        <v>67980.204116291396</v>
      </c>
    </row>
    <row r="143" spans="1:27" x14ac:dyDescent="0.25">
      <c r="A143" s="2">
        <v>2034</v>
      </c>
      <c r="B143" s="2">
        <f>B11/'Output-Calculation-sheet'!B10*'Output-Calculation-sheet'!B118</f>
        <v>39373409088.853203</v>
      </c>
      <c r="C143" s="2">
        <f>C11/'Output-Calculation-sheet'!C10*'Output-Calculation-sheet'!C118</f>
        <v>30209477406.049648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8374217432.7146683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5751505628.0580835</v>
      </c>
      <c r="N143" s="2">
        <f>N11/'Output-Calculation-sheet'!N10*'Output-Calculation-sheet'!N118</f>
        <v>5060863563.8748093</v>
      </c>
      <c r="O143" s="2">
        <f>O11/'Output-Calculation-sheet'!O10*'Output-Calculation-sheet'!O118</f>
        <v>5868862216.735157</v>
      </c>
      <c r="P143" s="2">
        <f>P11/'Output-Calculation-sheet'!P10*'Output-Calculation-sheet'!P118</f>
        <v>1059605745.1257982</v>
      </c>
      <c r="Q143" s="2">
        <f>Q11/'Output-Calculation-sheet'!Q10*'Output-Calculation-sheet'!Q118</f>
        <v>2487007899.18893</v>
      </c>
      <c r="R143" s="2">
        <f>R11/'Output-Calculation-sheet'!R10*'Output-Calculation-sheet'!R118</f>
        <v>0</v>
      </c>
      <c r="S143" s="2">
        <f>S11/'Output-Calculation-sheet'!S10*'Output-Calculation-sheet'!S118</f>
        <v>2914039913.8637662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631427809.43905139</v>
      </c>
      <c r="Y143" s="2">
        <f>Y11/'Output-Calculation-sheet'!Y10*'Output-Calculation-sheet'!Y118</f>
        <v>112685247.93054318</v>
      </c>
      <c r="AA143" s="2">
        <f t="shared" si="12"/>
        <v>101843.10195183367</v>
      </c>
    </row>
    <row r="144" spans="1:27" x14ac:dyDescent="0.25">
      <c r="A144" s="2">
        <v>2035</v>
      </c>
      <c r="B144" s="2">
        <f>B12/'Output-Calculation-sheet'!B11*'Output-Calculation-sheet'!B119</f>
        <v>72368513626.588898</v>
      </c>
      <c r="C144" s="2">
        <f>C12/'Output-Calculation-sheet'!C11*'Output-Calculation-sheet'!C119</f>
        <v>34767442414.447044</v>
      </c>
      <c r="D144" s="2">
        <f>D12/'Output-Calculation-sheet'!D11*'Output-Calculation-sheet'!D119</f>
        <v>0</v>
      </c>
      <c r="E144" s="2">
        <f>E12/'Output-Calculation-sheet'!E11*'Output-Calculation-sheet'!E119</f>
        <v>11703186728.597454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10503852157.330299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2411437222.7581706</v>
      </c>
      <c r="M144" s="2">
        <f>M12/'Output-Calculation-sheet'!M11*'Output-Calculation-sheet'!M119</f>
        <v>7158699316.9932938</v>
      </c>
      <c r="N144" s="2">
        <f>N12/'Output-Calculation-sheet'!N11*'Output-Calculation-sheet'!N119</f>
        <v>7072829904.327055</v>
      </c>
      <c r="O144" s="2">
        <f>O12/'Output-Calculation-sheet'!O11*'Output-Calculation-sheet'!O119</f>
        <v>6758831819.8776903</v>
      </c>
      <c r="P144" s="2">
        <f>P12/'Output-Calculation-sheet'!P11*'Output-Calculation-sheet'!P119</f>
        <v>5048653902.6542158</v>
      </c>
      <c r="Q144" s="2">
        <f>Q12/'Output-Calculation-sheet'!Q11*'Output-Calculation-sheet'!Q119</f>
        <v>4769469880.2311859</v>
      </c>
      <c r="R144" s="2">
        <f>R12/'Output-Calculation-sheet'!R11*'Output-Calculation-sheet'!R119</f>
        <v>536923590.24265146</v>
      </c>
      <c r="S144" s="2">
        <f>S12/'Output-Calculation-sheet'!S11*'Output-Calculation-sheet'!S119</f>
        <v>4076195291.3536739</v>
      </c>
      <c r="T144" s="2">
        <f>T12/'Output-Calculation-sheet'!T11*'Output-Calculation-sheet'!T119</f>
        <v>0</v>
      </c>
      <c r="U144" s="2">
        <f>U12/'Output-Calculation-sheet'!U11*'Output-Calculation-sheet'!U119</f>
        <v>886726424.89672208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803387168.20757627</v>
      </c>
      <c r="Y144" s="2">
        <f>Y12/'Output-Calculation-sheet'!Y11*'Output-Calculation-sheet'!Y119</f>
        <v>429938881.92523372</v>
      </c>
      <c r="AA144" s="2">
        <f t="shared" si="12"/>
        <v>169296.08833043114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313388039.50177038</v>
      </c>
      <c r="C155" s="2">
        <f>C12/'Output-Calculation-sheet'!C11*'Output-Calculation-sheet'!C128</f>
        <v>29939714.811403021</v>
      </c>
      <c r="D155" s="2">
        <f>D12/'Output-Calculation-sheet'!D11*'Output-Calculation-sheet'!D128</f>
        <v>2242828421.4108038</v>
      </c>
      <c r="E155" s="2">
        <f>E12/'Output-Calculation-sheet'!E11*'Output-Calculation-sheet'!E128</f>
        <v>334378842.2604503</v>
      </c>
      <c r="F155" s="2">
        <f>F12/'Output-Calculation-sheet'!F11*'Output-Calculation-sheet'!F128</f>
        <v>692693492.90935874</v>
      </c>
      <c r="G155" s="2">
        <f>G12/'Output-Calculation-sheet'!G11*'Output-Calculation-sheet'!G128</f>
        <v>871497757.96956325</v>
      </c>
      <c r="H155" s="2">
        <f>H12/'Output-Calculation-sheet'!H11*'Output-Calculation-sheet'!H128</f>
        <v>66044264.193097532</v>
      </c>
      <c r="I155" s="2">
        <f>I12/'Output-Calculation-sheet'!I11*'Output-Calculation-sheet'!I128</f>
        <v>523985493.49135798</v>
      </c>
      <c r="J155" s="2">
        <f>J12/'Output-Calculation-sheet'!J11*'Output-Calculation-sheet'!J128</f>
        <v>589587414.36248314</v>
      </c>
      <c r="K155" s="2">
        <f>K12/'Output-Calculation-sheet'!K11*'Output-Calculation-sheet'!K128</f>
        <v>441966951.9968192</v>
      </c>
      <c r="L155" s="2">
        <f>L12/'Output-Calculation-sheet'!L11*'Output-Calculation-sheet'!L128</f>
        <v>140241309.69354719</v>
      </c>
      <c r="M155" s="2">
        <f>M12/'Output-Calculation-sheet'!M11*'Output-Calculation-sheet'!M128</f>
        <v>52505653.875150323</v>
      </c>
      <c r="N155" s="2">
        <f>N12/'Output-Calculation-sheet'!N11*'Output-Calculation-sheet'!N128</f>
        <v>47989895.630518466</v>
      </c>
      <c r="O155" s="2">
        <f>O12/'Output-Calculation-sheet'!O11*'Output-Calculation-sheet'!O128</f>
        <v>8477746.9169751108</v>
      </c>
      <c r="P155" s="2">
        <f>P12/'Output-Calculation-sheet'!P11*'Output-Calculation-sheet'!P128</f>
        <v>35731277.049817391</v>
      </c>
      <c r="Q155" s="2">
        <f>Q12/'Output-Calculation-sheet'!Q11*'Output-Calculation-sheet'!Q128</f>
        <v>120876754.81999341</v>
      </c>
      <c r="R155" s="2">
        <f>R12/'Output-Calculation-sheet'!R11*'Output-Calculation-sheet'!R128</f>
        <v>244777215.9367772</v>
      </c>
      <c r="S155" s="2">
        <f>S12/'Output-Calculation-sheet'!S11*'Output-Calculation-sheet'!S128</f>
        <v>29426908.513102159</v>
      </c>
      <c r="T155" s="2">
        <f>T12/'Output-Calculation-sheet'!T11*'Output-Calculation-sheet'!T128</f>
        <v>76418277.766836122</v>
      </c>
      <c r="U155" s="2">
        <f>U12/'Output-Calculation-sheet'!U11*'Output-Calculation-sheet'!U128</f>
        <v>42062356.364055507</v>
      </c>
      <c r="V155" s="2">
        <f>V12/'Output-Calculation-sheet'!V11*'Output-Calculation-sheet'!V128</f>
        <v>31334757.168486401</v>
      </c>
      <c r="W155" s="2">
        <f>W12/'Output-Calculation-sheet'!W11*'Output-Calculation-sheet'!W128</f>
        <v>50648667.210759252</v>
      </c>
      <c r="X155" s="2">
        <f>X12/'Output-Calculation-sheet'!X11*'Output-Calculation-sheet'!X128</f>
        <v>1581868.293647446</v>
      </c>
      <c r="Y155" s="2">
        <f>Y12/'Output-Calculation-sheet'!Y11*'Output-Calculation-sheet'!Y128</f>
        <v>10609317.571643267</v>
      </c>
      <c r="AA155" s="2">
        <f t="shared" si="13"/>
        <v>6998.9923997184169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4927.6882959322702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1492.6560388753207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1036.8581473130296</v>
      </c>
      <c r="N19" s="2">
        <f>N8/'Output-Calculation-sheet'!N7*'Output-Calculation-sheet'!N25</f>
        <v>862.54345218084245</v>
      </c>
      <c r="O19" s="2">
        <f>O8/'Output-Calculation-sheet'!O7*'Output-Calculation-sheet'!O25</f>
        <v>541.33924957735462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112.21689405052682</v>
      </c>
      <c r="Y19" s="2">
        <f>Y8/'Output-Calculation-sheet'!Y7*'Output-Calculation-sheet'!Y25</f>
        <v>0</v>
      </c>
      <c r="AA19" s="2">
        <f t="shared" si="0"/>
        <v>10.419541313111308</v>
      </c>
    </row>
    <row r="20" spans="1:27" x14ac:dyDescent="0.25">
      <c r="A20" s="2">
        <v>2032</v>
      </c>
      <c r="B20" s="2">
        <f>B9/'Output-Calculation-sheet'!B8*'Output-Calculation-sheet'!B26</f>
        <v>4987.9685146047777</v>
      </c>
      <c r="C20" s="2">
        <f>C9/'Output-Calculation-sheet'!C8*'Output-Calculation-sheet'!C26</f>
        <v>2735.2801589382943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1642.0021853337932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1147.4424592748785</v>
      </c>
      <c r="N20" s="2">
        <f>N9/'Output-Calculation-sheet'!N8*'Output-Calculation-sheet'!N26</f>
        <v>795.2088919126104</v>
      </c>
      <c r="O20" s="2">
        <f>O9/'Output-Calculation-sheet'!O8*'Output-Calculation-sheet'!O26</f>
        <v>534.42305255300414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377.20989146587016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124.85849788646262</v>
      </c>
      <c r="Y20" s="2">
        <f>Y9/'Output-Calculation-sheet'!Y8*'Output-Calculation-sheet'!Y26</f>
        <v>0</v>
      </c>
      <c r="AA20" s="2">
        <f t="shared" si="0"/>
        <v>12.344393651969691</v>
      </c>
    </row>
    <row r="21" spans="1:27" x14ac:dyDescent="0.25">
      <c r="A21" s="2">
        <v>2033</v>
      </c>
      <c r="B21" s="2">
        <f>B10/'Output-Calculation-sheet'!B9*'Output-Calculation-sheet'!B27</f>
        <v>4443.3678774504497</v>
      </c>
      <c r="C21" s="2">
        <f>C10/'Output-Calculation-sheet'!C9*'Output-Calculation-sheet'!C27</f>
        <v>2731.0819417345515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895.45838710366183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633.81283331990812</v>
      </c>
      <c r="N21" s="2">
        <f>N10/'Output-Calculation-sheet'!N9*'Output-Calculation-sheet'!N27</f>
        <v>641.86053984662931</v>
      </c>
      <c r="O21" s="2">
        <f>O10/'Output-Calculation-sheet'!O9*'Output-Calculation-sheet'!O27</f>
        <v>534.68729177197599</v>
      </c>
      <c r="P21" s="2">
        <f>P10/'Output-Calculation-sheet'!P9*'Output-Calculation-sheet'!P27</f>
        <v>0</v>
      </c>
      <c r="Q21" s="2">
        <f>Q10/'Output-Calculation-sheet'!Q9*'Output-Calculation-sheet'!Q27</f>
        <v>7.5779271777247059</v>
      </c>
      <c r="R21" s="2">
        <f>R10/'Output-Calculation-sheet'!R9*'Output-Calculation-sheet'!R27</f>
        <v>0</v>
      </c>
      <c r="S21" s="2">
        <f>S10/'Output-Calculation-sheet'!S9*'Output-Calculation-sheet'!S27</f>
        <v>305.63022458940253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63.288935360739387</v>
      </c>
      <c r="Y21" s="2">
        <f>Y10/'Output-Calculation-sheet'!Y9*'Output-Calculation-sheet'!Y27</f>
        <v>0</v>
      </c>
      <c r="AA21" s="2">
        <f t="shared" si="0"/>
        <v>10.256765958355043</v>
      </c>
    </row>
    <row r="22" spans="1:27" x14ac:dyDescent="0.25">
      <c r="A22" s="2">
        <v>2034</v>
      </c>
      <c r="B22" s="2">
        <f>B11/'Output-Calculation-sheet'!B10*'Output-Calculation-sheet'!B28</f>
        <v>3564.4373486926952</v>
      </c>
      <c r="C22" s="2">
        <f>C11/'Output-Calculation-sheet'!C10*'Output-Calculation-sheet'!C28</f>
        <v>359.81584291674591</v>
      </c>
      <c r="D22" s="2">
        <f>D11/'Output-Calculation-sheet'!D10*'Output-Calculation-sheet'!D28</f>
        <v>0</v>
      </c>
      <c r="E22" s="2">
        <f>E11/'Output-Calculation-sheet'!E10*'Output-Calculation-sheet'!E28</f>
        <v>1194.7830260814574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947.42330477356404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724.61450536318148</v>
      </c>
      <c r="M22" s="2">
        <f>M11/'Output-Calculation-sheet'!M10*'Output-Calculation-sheet'!M28</f>
        <v>674.27755473049444</v>
      </c>
      <c r="N22" s="2">
        <f>N11/'Output-Calculation-sheet'!N10*'Output-Calculation-sheet'!N28</f>
        <v>450.75839221333024</v>
      </c>
      <c r="O22" s="2">
        <f>O11/'Output-Calculation-sheet'!O10*'Output-Calculation-sheet'!O28</f>
        <v>70.578714987212507</v>
      </c>
      <c r="P22" s="2">
        <f>P11/'Output-Calculation-sheet'!P10*'Output-Calculation-sheet'!P28</f>
        <v>0</v>
      </c>
      <c r="Q22" s="2">
        <f>Q11/'Output-Calculation-sheet'!Q10*'Output-Calculation-sheet'!Q28</f>
        <v>213.68700629980174</v>
      </c>
      <c r="R22" s="2">
        <f>R11/'Output-Calculation-sheet'!R10*'Output-Calculation-sheet'!R28</f>
        <v>0</v>
      </c>
      <c r="S22" s="2">
        <f>S11/'Output-Calculation-sheet'!S10*'Output-Calculation-sheet'!S28</f>
        <v>168.77824241325797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66.25246444769121</v>
      </c>
      <c r="Y22" s="2">
        <f>Y11/'Output-Calculation-sheet'!Y10*'Output-Calculation-sheet'!Y28</f>
        <v>12.601415679790263</v>
      </c>
      <c r="AA22" s="2">
        <f t="shared" si="0"/>
        <v>8.4480078185992227</v>
      </c>
    </row>
    <row r="23" spans="1:27" x14ac:dyDescent="0.25">
      <c r="A23" s="2">
        <v>2035</v>
      </c>
      <c r="B23" s="2">
        <f>B12/'Output-Calculation-sheet'!B11*'Output-Calculation-sheet'!B29</f>
        <v>1072.1454292150056</v>
      </c>
      <c r="C23" s="2">
        <f>C12/'Output-Calculation-sheet'!C11*'Output-Calculation-sheet'!C29</f>
        <v>184.38824320066848</v>
      </c>
      <c r="D23" s="2">
        <f>D12/'Output-Calculation-sheet'!D11*'Output-Calculation-sheet'!D29</f>
        <v>0</v>
      </c>
      <c r="E23" s="2">
        <f>E12/'Output-Calculation-sheet'!E11*'Output-Calculation-sheet'!E29</f>
        <v>1501.2437308570891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287.5790107027068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908.52043179061377</v>
      </c>
      <c r="M23" s="2">
        <f>M12/'Output-Calculation-sheet'!M11*'Output-Calculation-sheet'!M29</f>
        <v>259.40592870222582</v>
      </c>
      <c r="N23" s="2">
        <f>N12/'Output-Calculation-sheet'!N11*'Output-Calculation-sheet'!N29</f>
        <v>217.48581313795046</v>
      </c>
      <c r="O23" s="2">
        <f>O12/'Output-Calculation-sheet'!O11*'Output-Calculation-sheet'!O29</f>
        <v>31.426857986547187</v>
      </c>
      <c r="P23" s="2">
        <f>P12/'Output-Calculation-sheet'!P11*'Output-Calculation-sheet'!P29</f>
        <v>13.926735954928896</v>
      </c>
      <c r="Q23" s="2">
        <f>Q12/'Output-Calculation-sheet'!Q11*'Output-Calculation-sheet'!Q29</f>
        <v>280.39891107909369</v>
      </c>
      <c r="R23" s="2">
        <f>R12/'Output-Calculation-sheet'!R11*'Output-Calculation-sheet'!R29</f>
        <v>0</v>
      </c>
      <c r="S23" s="2">
        <f>S12/'Output-Calculation-sheet'!S11*'Output-Calculation-sheet'!S29</f>
        <v>106.48788977830623</v>
      </c>
      <c r="T23" s="2">
        <f>T12/'Output-Calculation-sheet'!T11*'Output-Calculation-sheet'!T29</f>
        <v>0</v>
      </c>
      <c r="U23" s="2">
        <f>U12/'Output-Calculation-sheet'!U11*'Output-Calculation-sheet'!U29</f>
        <v>76.349047646331329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9.2003711674076953</v>
      </c>
      <c r="Y23" s="2">
        <f>Y12/'Output-Calculation-sheet'!Y11*'Output-Calculation-sheet'!Y29</f>
        <v>49.305934890984709</v>
      </c>
      <c r="AA23" s="2">
        <f t="shared" si="0"/>
        <v>4.9978643361098589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983.28129005964433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38.551955902184169</v>
      </c>
    </row>
    <row r="31" spans="1:27" x14ac:dyDescent="0.25">
      <c r="A31" s="2">
        <v>2032</v>
      </c>
      <c r="B31" s="2">
        <f>B9/'Output-Calculation-sheet'!B8*'Output-Calculation-sheet'!B17</f>
        <v>20971.485088889498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820.00716922270283</v>
      </c>
      <c r="O31" s="2">
        <f>O9/'Output-Calculation-sheet'!O8*'Output-Calculation-sheet'!O17</f>
        <v>0</v>
      </c>
      <c r="P31" s="2">
        <f>P9/'Output-Calculation-sheet'!P8*'Output-Calculation-sheet'!P17</f>
        <v>2050.0234388748217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678.69351105522514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48.048709521960831</v>
      </c>
    </row>
    <row r="32" spans="1:27" x14ac:dyDescent="0.25">
      <c r="A32" s="2">
        <v>2033</v>
      </c>
      <c r="B32" s="2">
        <f>B10/'Output-Calculation-sheet'!B9*'Output-Calculation-sheet'!B18</f>
        <v>16072.836369173865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2516.4257249631828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650.55112861811745</v>
      </c>
      <c r="O32" s="2">
        <f>O10/'Output-Calculation-sheet'!O9*'Output-Calculation-sheet'!O18</f>
        <v>0</v>
      </c>
      <c r="P32" s="2">
        <f>P10/'Output-Calculation-sheet'!P9*'Output-Calculation-sheet'!P18</f>
        <v>2589.9049852480621</v>
      </c>
      <c r="Q32" s="2">
        <f>Q10/'Output-Calculation-sheet'!Q9*'Output-Calculation-sheet'!Q18</f>
        <v>2397.8939310832438</v>
      </c>
      <c r="R32" s="2">
        <f>R10/'Output-Calculation-sheet'!R9*'Output-Calculation-sheet'!R18</f>
        <v>1859.7429628264122</v>
      </c>
      <c r="S32" s="2">
        <f>S10/'Output-Calculation-sheet'!S9*'Output-Calculation-sheet'!S18</f>
        <v>591.80923633045052</v>
      </c>
      <c r="T32" s="2">
        <f>T10/'Output-Calculation-sheet'!T9*'Output-Calculation-sheet'!T18</f>
        <v>542.98864989371123</v>
      </c>
      <c r="U32" s="2">
        <f>U10/'Output-Calculation-sheet'!U9*'Output-Calculation-sheet'!U18</f>
        <v>600.26842532175726</v>
      </c>
      <c r="V32" s="2">
        <f>V10/'Output-Calculation-sheet'!V9*'Output-Calculation-sheet'!V18</f>
        <v>443.07906094902808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256.5078836798541</v>
      </c>
      <c r="AA32" s="2">
        <f t="shared" si="1"/>
        <v>51.097034074864489</v>
      </c>
    </row>
    <row r="33" spans="1:27" x14ac:dyDescent="0.25">
      <c r="A33" s="2">
        <v>2034</v>
      </c>
      <c r="B33" s="2">
        <f>B11/'Output-Calculation-sheet'!B10*'Output-Calculation-sheet'!B19</f>
        <v>10784.753641372614</v>
      </c>
      <c r="C33" s="2">
        <f>C11/'Output-Calculation-sheet'!C10*'Output-Calculation-sheet'!C19</f>
        <v>0</v>
      </c>
      <c r="D33" s="2">
        <f>D11/'Output-Calculation-sheet'!D10*'Output-Calculation-sheet'!D19</f>
        <v>7171.6592035431195</v>
      </c>
      <c r="E33" s="2">
        <f>E11/'Output-Calculation-sheet'!E10*'Output-Calculation-sheet'!E19</f>
        <v>8890.037978082175</v>
      </c>
      <c r="F33" s="2">
        <f>F11/'Output-Calculation-sheet'!F10*'Output-Calculation-sheet'!F19</f>
        <v>4070.5943127648898</v>
      </c>
      <c r="G33" s="2">
        <f>G11/'Output-Calculation-sheet'!G10*'Output-Calculation-sheet'!G19</f>
        <v>2440.9813705337911</v>
      </c>
      <c r="H33" s="2">
        <f>H11/'Output-Calculation-sheet'!H10*'Output-Calculation-sheet'!H19</f>
        <v>0</v>
      </c>
      <c r="I33" s="2">
        <f>I11/'Output-Calculation-sheet'!I10*'Output-Calculation-sheet'!I19</f>
        <v>2663.7999148296954</v>
      </c>
      <c r="J33" s="2">
        <f>J11/'Output-Calculation-sheet'!J10*'Output-Calculation-sheet'!J19</f>
        <v>2252.1590318503345</v>
      </c>
      <c r="K33" s="2">
        <f>K11/'Output-Calculation-sheet'!K10*'Output-Calculation-sheet'!K19</f>
        <v>3124.2289832908732</v>
      </c>
      <c r="L33" s="2">
        <f>L11/'Output-Calculation-sheet'!L10*'Output-Calculation-sheet'!L19</f>
        <v>2540.9435286664352</v>
      </c>
      <c r="M33" s="2">
        <f>M11/'Output-Calculation-sheet'!M10*'Output-Calculation-sheet'!M19</f>
        <v>0</v>
      </c>
      <c r="N33" s="2">
        <f>N11/'Output-Calculation-sheet'!N10*'Output-Calculation-sheet'!N19</f>
        <v>482.32211693588039</v>
      </c>
      <c r="O33" s="2">
        <f>O11/'Output-Calculation-sheet'!O10*'Output-Calculation-sheet'!O19</f>
        <v>0</v>
      </c>
      <c r="P33" s="2">
        <f>P11/'Output-Calculation-sheet'!P10*'Output-Calculation-sheet'!P19</f>
        <v>2387.5730668794295</v>
      </c>
      <c r="Q33" s="2">
        <f>Q11/'Output-Calculation-sheet'!Q10*'Output-Calculation-sheet'!Q19</f>
        <v>1543.4241719428749</v>
      </c>
      <c r="R33" s="2">
        <f>R11/'Output-Calculation-sheet'!R10*'Output-Calculation-sheet'!R19</f>
        <v>2257.4810741997499</v>
      </c>
      <c r="S33" s="2">
        <f>S11/'Output-Calculation-sheet'!S10*'Output-Calculation-sheet'!S19</f>
        <v>306.61171419855958</v>
      </c>
      <c r="T33" s="2">
        <f>T11/'Output-Calculation-sheet'!T10*'Output-Calculation-sheet'!T19</f>
        <v>662.10713417047327</v>
      </c>
      <c r="U33" s="2">
        <f>U11/'Output-Calculation-sheet'!U10*'Output-Calculation-sheet'!U19</f>
        <v>761.62082892577541</v>
      </c>
      <c r="V33" s="2">
        <f>V11/'Output-Calculation-sheet'!V10*'Output-Calculation-sheet'!V19</f>
        <v>519.3675673485634</v>
      </c>
      <c r="W33" s="2">
        <f>W11/'Output-Calculation-sheet'!W10*'Output-Calculation-sheet'!W19</f>
        <v>323.34033995550465</v>
      </c>
      <c r="X33" s="2">
        <f>X11/'Output-Calculation-sheet'!X10*'Output-Calculation-sheet'!X19</f>
        <v>0</v>
      </c>
      <c r="Y33" s="2">
        <f>Y11/'Output-Calculation-sheet'!Y10*'Output-Calculation-sheet'!Y19</f>
        <v>246.88522753526772</v>
      </c>
      <c r="AA33" s="2">
        <f t="shared" si="1"/>
        <v>53.42989120702601</v>
      </c>
    </row>
    <row r="34" spans="1:27" x14ac:dyDescent="0.25">
      <c r="A34" s="2">
        <v>2035</v>
      </c>
      <c r="B34" s="2">
        <f>B12/'Output-Calculation-sheet'!B11*'Output-Calculation-sheet'!B20</f>
        <v>152.83572234317487</v>
      </c>
      <c r="C34" s="2">
        <f>C12/'Output-Calculation-sheet'!C11*'Output-Calculation-sheet'!C20</f>
        <v>0</v>
      </c>
      <c r="D34" s="2">
        <f>D12/'Output-Calculation-sheet'!D11*'Output-Calculation-sheet'!D20</f>
        <v>7572.3055380712522</v>
      </c>
      <c r="E34" s="2">
        <f>E12/'Output-Calculation-sheet'!E11*'Output-Calculation-sheet'!E20</f>
        <v>3051.5643298673695</v>
      </c>
      <c r="F34" s="2">
        <f>F12/'Output-Calculation-sheet'!F11*'Output-Calculation-sheet'!F20</f>
        <v>5002.6471778610567</v>
      </c>
      <c r="G34" s="2">
        <f>G12/'Output-Calculation-sheet'!G11*'Output-Calculation-sheet'!G20</f>
        <v>2503.1465741216443</v>
      </c>
      <c r="H34" s="2">
        <f>H12/'Output-Calculation-sheet'!H11*'Output-Calculation-sheet'!H20</f>
        <v>0</v>
      </c>
      <c r="I34" s="2">
        <f>I12/'Output-Calculation-sheet'!I11*'Output-Calculation-sheet'!I20</f>
        <v>3034.3731082688209</v>
      </c>
      <c r="J34" s="2">
        <f>J12/'Output-Calculation-sheet'!J11*'Output-Calculation-sheet'!J20</f>
        <v>2542.7632591981551</v>
      </c>
      <c r="K34" s="2">
        <f>K12/'Output-Calculation-sheet'!K11*'Output-Calculation-sheet'!K20</f>
        <v>3587.4698685261351</v>
      </c>
      <c r="L34" s="2">
        <f>L12/'Output-Calculation-sheet'!L11*'Output-Calculation-sheet'!L20</f>
        <v>1370.4030612976651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577.88773865065832</v>
      </c>
      <c r="Q34" s="2">
        <f>Q12/'Output-Calculation-sheet'!Q11*'Output-Calculation-sheet'!Q20</f>
        <v>561.74747673802779</v>
      </c>
      <c r="R34" s="2">
        <f>R12/'Output-Calculation-sheet'!R11*'Output-Calculation-sheet'!R20</f>
        <v>2262.6506476572404</v>
      </c>
      <c r="S34" s="2">
        <f>S12/'Output-Calculation-sheet'!S11*'Output-Calculation-sheet'!S20</f>
        <v>0.70702364950752949</v>
      </c>
      <c r="T34" s="2">
        <f>T12/'Output-Calculation-sheet'!T11*'Output-Calculation-sheet'!T20</f>
        <v>743.67324877978217</v>
      </c>
      <c r="U34" s="2">
        <f>U12/'Output-Calculation-sheet'!U11*'Output-Calculation-sheet'!U20</f>
        <v>313.11857502237342</v>
      </c>
      <c r="V34" s="2">
        <f>V12/'Output-Calculation-sheet'!V11*'Output-Calculation-sheet'!V20</f>
        <v>672.22901519838717</v>
      </c>
      <c r="W34" s="2">
        <f>W12/'Output-Calculation-sheet'!W11*'Output-Calculation-sheet'!W20</f>
        <v>398.11776453957827</v>
      </c>
      <c r="X34" s="2">
        <f>X12/'Output-Calculation-sheet'!X11*'Output-Calculation-sheet'!X20</f>
        <v>0</v>
      </c>
      <c r="Y34" s="2">
        <f>Y12/'Output-Calculation-sheet'!Y11*'Output-Calculation-sheet'!Y20</f>
        <v>84.667272590374537</v>
      </c>
      <c r="AA34" s="2">
        <f t="shared" si="1"/>
        <v>34.432307402381213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6.5493274444996072E-2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8.9460072060736709E-3</v>
      </c>
      <c r="Q45" s="2">
        <f>Q12/'Output-Calculation-sheet'!Q11*'Output-Calculation-sheet'!Q38*0.0114</f>
        <v>8.4843747728686348E-3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8.1210770808722507E-3</v>
      </c>
      <c r="V45" s="2">
        <f>V12/'Output-Calculation-sheet'!V11*'Output-Calculation-sheet'!V38*0.0114</f>
        <v>4.174706585425925E-3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3.1291761738549985E-3</v>
      </c>
      <c r="AA45" s="2">
        <f t="shared" si="2"/>
        <v>0.74118758487290293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0.13371331263551436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164.88460161306824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0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15.3849510707853</v>
      </c>
      <c r="AA54" s="2">
        <f t="shared" si="3"/>
        <v>4.0615663569910474</v>
      </c>
    </row>
    <row r="55" spans="1:27" x14ac:dyDescent="0.25">
      <c r="A55" s="2">
        <v>2034</v>
      </c>
      <c r="B55" s="2">
        <f>B11/'Output-Calculation-sheet'!B10*'Output-Calculation-sheet'!B46</f>
        <v>1409.1061530901241</v>
      </c>
      <c r="C55" s="2">
        <f>C11/'Output-Calculation-sheet'!C10*'Output-Calculation-sheet'!C46</f>
        <v>0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480.37653366529247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356.04505300477672</v>
      </c>
      <c r="N55" s="2">
        <f>N11/'Output-Calculation-sheet'!N10*'Output-Calculation-sheet'!N46</f>
        <v>121.59529300556041</v>
      </c>
      <c r="O55" s="2">
        <f>O11/'Output-Calculation-sheet'!O10*'Output-Calculation-sheet'!O46</f>
        <v>0</v>
      </c>
      <c r="P55" s="2">
        <f>P11/'Output-Calculation-sheet'!P10*'Output-Calculation-sheet'!P46</f>
        <v>2644.5345294970257</v>
      </c>
      <c r="Q55" s="2">
        <f>Q11/'Output-Calculation-sheet'!Q10*'Output-Calculation-sheet'!Q46</f>
        <v>510.72264746104941</v>
      </c>
      <c r="R55" s="2">
        <f>R11/'Output-Calculation-sheet'!R10*'Output-Calculation-sheet'!R46</f>
        <v>3275.1691032524313</v>
      </c>
      <c r="S55" s="2">
        <f>S11/'Output-Calculation-sheet'!S10*'Output-Calculation-sheet'!S46</f>
        <v>0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1244.4492239351036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33.982264105465759</v>
      </c>
      <c r="Y55" s="2">
        <f>Y11/'Output-Calculation-sheet'!Y10*'Output-Calculation-sheet'!Y46</f>
        <v>176.46521056839401</v>
      </c>
      <c r="AA55" s="2">
        <f t="shared" si="3"/>
        <v>35.260287457744624</v>
      </c>
    </row>
    <row r="56" spans="1:27" x14ac:dyDescent="0.25">
      <c r="A56" s="2">
        <v>2035</v>
      </c>
      <c r="B56" s="2">
        <f>B12/'Output-Calculation-sheet'!B11*'Output-Calculation-sheet'!B47</f>
        <v>421.24819410594944</v>
      </c>
      <c r="C56" s="2">
        <f>C12/'Output-Calculation-sheet'!C11*'Output-Calculation-sheet'!C47</f>
        <v>318.26251315893217</v>
      </c>
      <c r="D56" s="2">
        <f>D12/'Output-Calculation-sheet'!D11*'Output-Calculation-sheet'!D47</f>
        <v>15036.033564537051</v>
      </c>
      <c r="E56" s="2">
        <f>E12/'Output-Calculation-sheet'!E11*'Output-Calculation-sheet'!E47</f>
        <v>6899.7739130210775</v>
      </c>
      <c r="F56" s="2">
        <f>F12/'Output-Calculation-sheet'!F11*'Output-Calculation-sheet'!F47</f>
        <v>3537.3471779943739</v>
      </c>
      <c r="G56" s="2">
        <f>G12/'Output-Calculation-sheet'!G11*'Output-Calculation-sheet'!G47</f>
        <v>5680.3089338622895</v>
      </c>
      <c r="H56" s="2">
        <f>H12/'Output-Calculation-sheet'!H11*'Output-Calculation-sheet'!H47</f>
        <v>123.0918602570145</v>
      </c>
      <c r="I56" s="2">
        <f>I12/'Output-Calculation-sheet'!I11*'Output-Calculation-sheet'!I47</f>
        <v>5174.3936207032266</v>
      </c>
      <c r="J56" s="2">
        <f>J12/'Output-Calculation-sheet'!J11*'Output-Calculation-sheet'!J47</f>
        <v>4464.2278756778742</v>
      </c>
      <c r="K56" s="2">
        <f>K12/'Output-Calculation-sheet'!K11*'Output-Calculation-sheet'!K47</f>
        <v>6020.8890156331745</v>
      </c>
      <c r="L56" s="2">
        <f>L12/'Output-Calculation-sheet'!L11*'Output-Calculation-sheet'!L47</f>
        <v>2684.04472847332</v>
      </c>
      <c r="M56" s="2">
        <f>M12/'Output-Calculation-sheet'!M11*'Output-Calculation-sheet'!M47</f>
        <v>114.08460858091773</v>
      </c>
      <c r="N56" s="2">
        <f>N12/'Output-Calculation-sheet'!N11*'Output-Calculation-sheet'!N47</f>
        <v>77.299445757201184</v>
      </c>
      <c r="O56" s="2">
        <f>O12/'Output-Calculation-sheet'!O11*'Output-Calculation-sheet'!O47</f>
        <v>57.866131085555779</v>
      </c>
      <c r="P56" s="2">
        <f>P12/'Output-Calculation-sheet'!P11*'Output-Calculation-sheet'!P47</f>
        <v>604.24785514708117</v>
      </c>
      <c r="Q56" s="2">
        <f>Q12/'Output-Calculation-sheet'!Q11*'Output-Calculation-sheet'!Q47</f>
        <v>575.30014907258374</v>
      </c>
      <c r="R56" s="2">
        <f>R12/'Output-Calculation-sheet'!R11*'Output-Calculation-sheet'!R47</f>
        <v>4244.5692769528978</v>
      </c>
      <c r="S56" s="2">
        <f>S12/'Output-Calculation-sheet'!S11*'Output-Calculation-sheet'!S47</f>
        <v>40.415263711518556</v>
      </c>
      <c r="T56" s="2">
        <f>T12/'Output-Calculation-sheet'!T11*'Output-Calculation-sheet'!T47</f>
        <v>1858.4021889109181</v>
      </c>
      <c r="U56" s="2">
        <f>U12/'Output-Calculation-sheet'!U11*'Output-Calculation-sheet'!U47</f>
        <v>747.51902487093116</v>
      </c>
      <c r="V56" s="2">
        <f>V12/'Output-Calculation-sheet'!V11*'Output-Calculation-sheet'!V47</f>
        <v>1008.7043236452378</v>
      </c>
      <c r="W56" s="2">
        <f>W12/'Output-Calculation-sheet'!W11*'Output-Calculation-sheet'!W47</f>
        <v>540.19036823470026</v>
      </c>
      <c r="X56" s="2">
        <f>X12/'Output-Calculation-sheet'!X11*'Output-Calculation-sheet'!X47</f>
        <v>8.7227979781063709</v>
      </c>
      <c r="Y56" s="2">
        <f>Y12/'Output-Calculation-sheet'!Y11*'Output-Calculation-sheet'!Y47</f>
        <v>177.04549404705912</v>
      </c>
      <c r="AA56" s="2">
        <f t="shared" si="3"/>
        <v>60.413988325418998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7.1099229088098976</v>
      </c>
      <c r="C63" s="2">
        <f>C8*'Output-Calculation-sheet'!C52/10^9</f>
        <v>3.7984864845417228</v>
      </c>
      <c r="D63" s="2">
        <f>D8*'Output-Calculation-sheet'!D52/10^9</f>
        <v>2.4381449326341955</v>
      </c>
      <c r="E63" s="2">
        <f>E8*'Output-Calculation-sheet'!E52/10^9</f>
        <v>2.424170066821647</v>
      </c>
      <c r="F63" s="2">
        <f>F8*'Output-Calculation-sheet'!F52/10^9</f>
        <v>1.0266358228938559</v>
      </c>
      <c r="G63" s="2">
        <f>G8*'Output-Calculation-sheet'!G52/10^9</f>
        <v>0.7381047772146816</v>
      </c>
      <c r="H63" s="2">
        <f>H8*'Output-Calculation-sheet'!H52/10^9</f>
        <v>1.2004565122817541</v>
      </c>
      <c r="I63" s="2">
        <f>I8*'Output-Calculation-sheet'!I52/10^9</f>
        <v>0.68660880303907179</v>
      </c>
      <c r="J63" s="2">
        <f>J8*'Output-Calculation-sheet'!J52/10^9</f>
        <v>0.94482025265269076</v>
      </c>
      <c r="K63" s="2">
        <f>K8*'Output-Calculation-sheet'!K52/10^9</f>
        <v>0.83010862620921932</v>
      </c>
      <c r="L63" s="2">
        <f>L8*'Output-Calculation-sheet'!L52/10^9</f>
        <v>1.1165360422629866</v>
      </c>
      <c r="M63" s="2">
        <f>M8*'Output-Calculation-sheet'!M52/10^9</f>
        <v>0.98345354592313783</v>
      </c>
      <c r="N63" s="2">
        <f>N8*'Output-Calculation-sheet'!N52/10^9</f>
        <v>0.86775519300090431</v>
      </c>
      <c r="O63" s="2">
        <f>O8*'Output-Calculation-sheet'!O52/10^9</f>
        <v>0.77713754374351907</v>
      </c>
      <c r="P63" s="2">
        <f>P8*'Output-Calculation-sheet'!P52/10^9</f>
        <v>0.57358266853481055</v>
      </c>
      <c r="Q63" s="2">
        <f>Q8*'Output-Calculation-sheet'!Q52/10^9</f>
        <v>0.6491274947288489</v>
      </c>
      <c r="R63" s="2">
        <f>R8*'Output-Calculation-sheet'!R52/10^9</f>
        <v>0.58278763829161606</v>
      </c>
      <c r="S63" s="2">
        <f>S8*'Output-Calculation-sheet'!S52/10^9</f>
        <v>0.43186628916549269</v>
      </c>
      <c r="T63" s="2">
        <f>T8*'Output-Calculation-sheet'!T52/10^9</f>
        <v>0.22156753498103413</v>
      </c>
      <c r="U63" s="2">
        <f>U8*'Output-Calculation-sheet'!U52/10^9</f>
        <v>0.1521702087819557</v>
      </c>
      <c r="V63" s="2">
        <f>V8*'Output-Calculation-sheet'!V52/10^9</f>
        <v>0.27006615994809879</v>
      </c>
      <c r="W63" s="2">
        <f>W8*'Output-Calculation-sheet'!W52/10^9</f>
        <v>9.775129717367248E-2</v>
      </c>
      <c r="X63" s="2">
        <f>X8*'Output-Calculation-sheet'!X52/10^9</f>
        <v>0.1007211247167475</v>
      </c>
      <c r="Y63" s="2">
        <f>Y8*'Output-Calculation-sheet'!Y52/10^9</f>
        <v>6.3780002203387143E-2</v>
      </c>
      <c r="AA63" s="2">
        <f t="shared" si="4"/>
        <v>28.085761930554941</v>
      </c>
    </row>
    <row r="64" spans="1:27" x14ac:dyDescent="0.25">
      <c r="A64" s="2">
        <v>2032</v>
      </c>
      <c r="B64" s="2">
        <f>B9*'Output-Calculation-sheet'!B53/10^9</f>
        <v>7.1513452782878018</v>
      </c>
      <c r="C64" s="2">
        <f>C9*'Output-Calculation-sheet'!C53/10^9</f>
        <v>3.7911489994029477</v>
      </c>
      <c r="D64" s="2">
        <f>D9*'Output-Calculation-sheet'!D53/10^9</f>
        <v>2.1179954108421128</v>
      </c>
      <c r="E64" s="2">
        <f>E9*'Output-Calculation-sheet'!E53/10^9</f>
        <v>2.1689204880535242</v>
      </c>
      <c r="F64" s="2">
        <f>F9*'Output-Calculation-sheet'!F53/10^9</f>
        <v>0.91483706161286016</v>
      </c>
      <c r="G64" s="2">
        <f>G9*'Output-Calculation-sheet'!G53/10^9</f>
        <v>0.65115303458309426</v>
      </c>
      <c r="H64" s="2">
        <f>H9*'Output-Calculation-sheet'!H53/10^9</f>
        <v>1.1898239878508463</v>
      </c>
      <c r="I64" s="2">
        <f>I9*'Output-Calculation-sheet'!I53/10^9</f>
        <v>0.60872166525692895</v>
      </c>
      <c r="J64" s="2">
        <f>J9*'Output-Calculation-sheet'!J53/10^9</f>
        <v>0.80582380166883361</v>
      </c>
      <c r="K64" s="2">
        <f>K9*'Output-Calculation-sheet'!K53/10^9</f>
        <v>0.74769485279117009</v>
      </c>
      <c r="L64" s="2">
        <f>L9*'Output-Calculation-sheet'!L53/10^9</f>
        <v>0.96190719330920471</v>
      </c>
      <c r="M64" s="2">
        <f>M9*'Output-Calculation-sheet'!M53/10^9</f>
        <v>0.94398617418792785</v>
      </c>
      <c r="N64" s="2">
        <f>N9*'Output-Calculation-sheet'!N53/10^9</f>
        <v>0.84989256559358362</v>
      </c>
      <c r="O64" s="2">
        <f>O9*'Output-Calculation-sheet'!O53/10^9</f>
        <v>0.76773606325829413</v>
      </c>
      <c r="P64" s="2">
        <f>P9*'Output-Calculation-sheet'!P53/10^9</f>
        <v>0.57005525202501606</v>
      </c>
      <c r="Q64" s="2">
        <f>Q9*'Output-Calculation-sheet'!Q53/10^9</f>
        <v>0.63000930125428645</v>
      </c>
      <c r="R64" s="2">
        <f>R9*'Output-Calculation-sheet'!R53/10^9</f>
        <v>0.540066749002444</v>
      </c>
      <c r="S64" s="2">
        <f>S9*'Output-Calculation-sheet'!S53/10^9</f>
        <v>0.43457660059849401</v>
      </c>
      <c r="T64" s="2">
        <f>T9*'Output-Calculation-sheet'!T53/10^9</f>
        <v>0.19413916743850529</v>
      </c>
      <c r="U64" s="2">
        <f>U9*'Output-Calculation-sheet'!U53/10^9</f>
        <v>0.14612450361419765</v>
      </c>
      <c r="V64" s="2">
        <f>V9*'Output-Calculation-sheet'!V53/10^9</f>
        <v>0.23043006365620627</v>
      </c>
      <c r="W64" s="2">
        <f>W9*'Output-Calculation-sheet'!W53/10^9</f>
        <v>8.5623510266050765E-2</v>
      </c>
      <c r="X64" s="2">
        <f>X9*'Output-Calculation-sheet'!X53/10^9</f>
        <v>9.8166129524319884E-2</v>
      </c>
      <c r="Y64" s="2">
        <f>Y9*'Output-Calculation-sheet'!Y53/10^9</f>
        <v>5.9990656810024613E-2</v>
      </c>
      <c r="AA64" s="2">
        <f t="shared" si="4"/>
        <v>26.660168510888674</v>
      </c>
    </row>
    <row r="65" spans="1:27" x14ac:dyDescent="0.25">
      <c r="A65" s="2">
        <v>2033</v>
      </c>
      <c r="B65" s="2">
        <f>B10*'Output-Calculation-sheet'!B54/10^9</f>
        <v>6.9784176753495588</v>
      </c>
      <c r="C65" s="2">
        <f>C10*'Output-Calculation-sheet'!C54/10^9</f>
        <v>3.6072691585726586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1.1328042645740808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0.66000050685520617</v>
      </c>
      <c r="L65" s="2">
        <f>L10*'Output-Calculation-sheet'!L54/10^9</f>
        <v>0.77954180295671094</v>
      </c>
      <c r="M65" s="2">
        <f>M10*'Output-Calculation-sheet'!M54/10^9</f>
        <v>0.8638353945532049</v>
      </c>
      <c r="N65" s="2">
        <f>N10*'Output-Calculation-sheet'!N54/10^9</f>
        <v>0.79267482827725266</v>
      </c>
      <c r="O65" s="2">
        <f>O10*'Output-Calculation-sheet'!O54/10^9</f>
        <v>0.72291269045809603</v>
      </c>
      <c r="P65" s="2">
        <f>P10*'Output-Calculation-sheet'!P54/10^9</f>
        <v>0.5583941079824295</v>
      </c>
      <c r="Q65" s="2">
        <f>Q10*'Output-Calculation-sheet'!Q54/10^9</f>
        <v>0.60827880720738581</v>
      </c>
      <c r="R65" s="2">
        <f>R10*'Output-Calculation-sheet'!R54/10^9</f>
        <v>0.49160438497928649</v>
      </c>
      <c r="S65" s="2">
        <f>S10*'Output-Calculation-sheet'!S54/10^9</f>
        <v>0.41813482601708635</v>
      </c>
      <c r="T65" s="2">
        <f>T10*'Output-Calculation-sheet'!T54/10^9</f>
        <v>0.16436564812581186</v>
      </c>
      <c r="U65" s="2">
        <f>U10*'Output-Calculation-sheet'!U54/10^9</f>
        <v>0.14192556690097588</v>
      </c>
      <c r="V65" s="2">
        <f>V10*'Output-Calculation-sheet'!V54/10^9</f>
        <v>0.18190311873583795</v>
      </c>
      <c r="W65" s="2">
        <f>W10*'Output-Calculation-sheet'!W54/10^9</f>
        <v>6.9254057375197575E-2</v>
      </c>
      <c r="X65" s="2">
        <f>X10*'Output-Calculation-sheet'!X54/10^9</f>
        <v>9.0573751112365639E-2</v>
      </c>
      <c r="Y65" s="2">
        <f>Y10*'Output-Calculation-sheet'!Y54/10^9</f>
        <v>5.7000925490693716E-2</v>
      </c>
      <c r="AA65" s="2">
        <f t="shared" si="4"/>
        <v>24.360963802946763</v>
      </c>
    </row>
    <row r="66" spans="1:27" x14ac:dyDescent="0.25">
      <c r="A66" s="2">
        <v>2034</v>
      </c>
      <c r="B66" s="2">
        <f>B11*'Output-Calculation-sheet'!B55/10^9</f>
        <v>6.5546219527901739</v>
      </c>
      <c r="C66" s="2">
        <f>C11*'Output-Calculation-sheet'!C55/10^9</f>
        <v>3.2972356209400182</v>
      </c>
      <c r="D66" s="2">
        <f>D11*'Output-Calculation-sheet'!D55/10^9</f>
        <v>1.4792741454927574</v>
      </c>
      <c r="E66" s="2">
        <f>E11*'Output-Calculation-sheet'!E55/10^9</f>
        <v>1.7912976308984081</v>
      </c>
      <c r="F66" s="2">
        <f>F11*'Output-Calculation-sheet'!F55/10^9</f>
        <v>0.68842487553909126</v>
      </c>
      <c r="G66" s="2">
        <f>G11*'Output-Calculation-sheet'!G55/10^9</f>
        <v>0.49206672646907967</v>
      </c>
      <c r="H66" s="2">
        <f>H11*'Output-Calculation-sheet'!H55/10^9</f>
        <v>1.0268279912934841</v>
      </c>
      <c r="I66" s="2">
        <f>I11*'Output-Calculation-sheet'!I55/10^9</f>
        <v>0.48122729623721944</v>
      </c>
      <c r="J66" s="2">
        <f>J11*'Output-Calculation-sheet'!J55/10^9</f>
        <v>0.49481569206700854</v>
      </c>
      <c r="K66" s="2">
        <f>K11*'Output-Calculation-sheet'!K55/10^9</f>
        <v>0.59184133840534214</v>
      </c>
      <c r="L66" s="2">
        <f>L11*'Output-Calculation-sheet'!L55/10^9</f>
        <v>0.62676436061916896</v>
      </c>
      <c r="M66" s="2">
        <f>M11*'Output-Calculation-sheet'!M55/10^9</f>
        <v>0.7484866572362644</v>
      </c>
      <c r="N66" s="2">
        <f>N11*'Output-Calculation-sheet'!N55/10^9</f>
        <v>0.70710353539323456</v>
      </c>
      <c r="O66" s="2">
        <f>O11*'Output-Calculation-sheet'!O55/10^9</f>
        <v>0.64989624124298051</v>
      </c>
      <c r="P66" s="2">
        <f>P11*'Output-Calculation-sheet'!P55/10^9</f>
        <v>0.54265708944048086</v>
      </c>
      <c r="Q66" s="2">
        <f>Q11*'Output-Calculation-sheet'!Q55/10^9</f>
        <v>0.57402094548453753</v>
      </c>
      <c r="R66" s="2">
        <f>R11*'Output-Calculation-sheet'!R55/10^9</f>
        <v>0.44337780940496557</v>
      </c>
      <c r="S66" s="2">
        <f>S11*'Output-Calculation-sheet'!S55/10^9</f>
        <v>0.38673852771372391</v>
      </c>
      <c r="T66" s="2">
        <f>T11*'Output-Calculation-sheet'!T55/10^9</f>
        <v>0.13896750251244969</v>
      </c>
      <c r="U66" s="2">
        <f>U11*'Output-Calculation-sheet'!U55/10^9</f>
        <v>0.14189180933083961</v>
      </c>
      <c r="V66" s="2">
        <f>V11*'Output-Calculation-sheet'!V55/10^9</f>
        <v>0.13183232647167797</v>
      </c>
      <c r="W66" s="2">
        <f>W11*'Output-Calculation-sheet'!W55/10^9</f>
        <v>5.9692422136969653E-2</v>
      </c>
      <c r="X66" s="2">
        <f>X11*'Output-Calculation-sheet'!X55/10^9</f>
        <v>7.996970703983837E-2</v>
      </c>
      <c r="Y66" s="2">
        <f>Y11*'Output-Calculation-sheet'!Y55/10^9</f>
        <v>5.8364685360556529E-2</v>
      </c>
      <c r="AA66" s="2">
        <f t="shared" si="4"/>
        <v>22.187396889520269</v>
      </c>
    </row>
    <row r="67" spans="1:27" x14ac:dyDescent="0.25">
      <c r="A67" s="2">
        <v>2035</v>
      </c>
      <c r="B67" s="2">
        <f>B12*'Output-Calculation-sheet'!B56/10^9</f>
        <v>6.1055620337514247</v>
      </c>
      <c r="C67" s="2">
        <f>C12*'Output-Calculation-sheet'!C56/10^9</f>
        <v>2.8483932942604242</v>
      </c>
      <c r="D67" s="2">
        <f>D12*'Output-Calculation-sheet'!D56/10^9</f>
        <v>1.670543165847711</v>
      </c>
      <c r="E67" s="2">
        <f>E12*'Output-Calculation-sheet'!E56/10^9</f>
        <v>1.9034123079332395</v>
      </c>
      <c r="F67" s="2">
        <f>F12*'Output-Calculation-sheet'!F56/10^9</f>
        <v>0.8147448626076218</v>
      </c>
      <c r="G67" s="2">
        <f>G12*'Output-Calculation-sheet'!G56/10^9</f>
        <v>0.57181670097396631</v>
      </c>
      <c r="H67" s="2">
        <f>H12*'Output-Calculation-sheet'!H56/10^9</f>
        <v>0.90327060961741634</v>
      </c>
      <c r="I67" s="2">
        <f>I12*'Output-Calculation-sheet'!I56/10^9</f>
        <v>0.57332692045995537</v>
      </c>
      <c r="J67" s="2">
        <f>J12*'Output-Calculation-sheet'!J56/10^9</f>
        <v>0.51863055047446671</v>
      </c>
      <c r="K67" s="2">
        <f>K12*'Output-Calculation-sheet'!K56/10^9</f>
        <v>0.64393297443582409</v>
      </c>
      <c r="L67" s="2">
        <f>L12*'Output-Calculation-sheet'!L56/10^9</f>
        <v>0.59100764052230204</v>
      </c>
      <c r="M67" s="2">
        <f>M12*'Output-Calculation-sheet'!M56/10^9</f>
        <v>0.62830816470632855</v>
      </c>
      <c r="N67" s="2">
        <f>N12*'Output-Calculation-sheet'!N56/10^9</f>
        <v>0.61180048684815458</v>
      </c>
      <c r="O67" s="2">
        <f>O12*'Output-Calculation-sheet'!O56/10^9</f>
        <v>0.55367497298707824</v>
      </c>
      <c r="P67" s="2">
        <f>P12*'Output-Calculation-sheet'!P56/10^9</f>
        <v>0.54042363447373665</v>
      </c>
      <c r="Q67" s="2">
        <f>Q12*'Output-Calculation-sheet'!Q56/10^9</f>
        <v>0.55130271488566396</v>
      </c>
      <c r="R67" s="2">
        <f>R12*'Output-Calculation-sheet'!R56/10^9</f>
        <v>0.46638197014915139</v>
      </c>
      <c r="S67" s="2">
        <f>S12*'Output-Calculation-sheet'!S56/10^9</f>
        <v>0.35085210578510301</v>
      </c>
      <c r="T67" s="2">
        <f>T12*'Output-Calculation-sheet'!T56/10^9</f>
        <v>0.14196922108980689</v>
      </c>
      <c r="U67" s="2">
        <f>U12*'Output-Calculation-sheet'!U56/10^9</f>
        <v>0.15597617828451804</v>
      </c>
      <c r="V67" s="2">
        <f>V12*'Output-Calculation-sheet'!V56/10^9</f>
        <v>0.10879329265020264</v>
      </c>
      <c r="W67" s="2">
        <f>W12*'Output-Calculation-sheet'!W56/10^9</f>
        <v>7.0512406619681001E-2</v>
      </c>
      <c r="X67" s="2">
        <f>X12*'Output-Calculation-sheet'!X56/10^9</f>
        <v>6.6750649944467999E-2</v>
      </c>
      <c r="Y67" s="2">
        <f>Y12*'Output-Calculation-sheet'!Y56/10^9</f>
        <v>6.2275560461358619E-2</v>
      </c>
      <c r="AA67" s="2">
        <f t="shared" si="4"/>
        <v>21.4536624197696</v>
      </c>
    </row>
    <row r="68" spans="1:27" x14ac:dyDescent="0.25">
      <c r="B68" s="2">
        <f>SUM(B60:B67)</f>
        <v>33.899869848988857</v>
      </c>
      <c r="C68" s="2">
        <f t="shared" ref="C68:Y68" si="5">SUM(C60:C67)</f>
        <v>17.342533557717772</v>
      </c>
      <c r="D68" s="2">
        <f t="shared" si="5"/>
        <v>9.3994273003052147</v>
      </c>
      <c r="E68" s="2">
        <f t="shared" si="5"/>
        <v>10.19461845078146</v>
      </c>
      <c r="F68" s="2">
        <f t="shared" si="5"/>
        <v>4.2187772781340236</v>
      </c>
      <c r="G68" s="2">
        <f t="shared" si="5"/>
        <v>2.9846551485194857</v>
      </c>
      <c r="H68" s="2">
        <f t="shared" si="5"/>
        <v>5.4531833656175808</v>
      </c>
      <c r="I68" s="2">
        <f t="shared" si="5"/>
        <v>2.867434306810889</v>
      </c>
      <c r="J68" s="2">
        <f t="shared" si="5"/>
        <v>3.3826767951458669</v>
      </c>
      <c r="K68" s="2">
        <f t="shared" si="5"/>
        <v>3.4735782986967618</v>
      </c>
      <c r="L68" s="2">
        <f t="shared" si="5"/>
        <v>4.0757570396703731</v>
      </c>
      <c r="M68" s="2">
        <f t="shared" si="5"/>
        <v>4.1680699366068632</v>
      </c>
      <c r="N68" s="2">
        <f t="shared" si="5"/>
        <v>3.82922660911313</v>
      </c>
      <c r="O68" s="2">
        <f t="shared" si="5"/>
        <v>3.471357511689968</v>
      </c>
      <c r="P68" s="2">
        <f t="shared" si="5"/>
        <v>2.7851127524564738</v>
      </c>
      <c r="Q68" s="2">
        <f t="shared" si="5"/>
        <v>3.0127392635607224</v>
      </c>
      <c r="R68" s="2">
        <f t="shared" si="5"/>
        <v>2.5242185518274636</v>
      </c>
      <c r="S68" s="2">
        <f t="shared" si="5"/>
        <v>2.0221683492798999</v>
      </c>
      <c r="T68" s="2">
        <f t="shared" si="5"/>
        <v>0.86100907414760797</v>
      </c>
      <c r="U68" s="2">
        <f t="shared" si="5"/>
        <v>0.73808826691248697</v>
      </c>
      <c r="V68" s="2">
        <f t="shared" si="5"/>
        <v>0.92302496146202373</v>
      </c>
      <c r="W68" s="2">
        <f t="shared" si="5"/>
        <v>0.38283369357157143</v>
      </c>
      <c r="X68" s="2">
        <f t="shared" si="5"/>
        <v>0.43618136233773941</v>
      </c>
      <c r="Y68" s="2">
        <f t="shared" si="5"/>
        <v>0.30141183032602059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40.207858765087188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4.0207858765087187E-2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438.29792245231846</v>
      </c>
      <c r="Q76" s="2">
        <f>Q10/'Output-Calculation-sheet'!Q9*'Output-Calculation-sheet'!Q63</f>
        <v>52.449368992087237</v>
      </c>
      <c r="R76" s="2">
        <f>R10/'Output-Calculation-sheet'!R9*'Output-Calculation-sheet'!R63</f>
        <v>333.90010554485798</v>
      </c>
      <c r="S76" s="2">
        <f>S10/'Output-Calculation-sheet'!S9*'Output-Calculation-sheet'!S63</f>
        <v>0</v>
      </c>
      <c r="T76" s="2">
        <f>T10/'Output-Calculation-sheet'!T9*'Output-Calculation-sheet'!T63</f>
        <v>21.974862032349332</v>
      </c>
      <c r="U76" s="2">
        <f>U10/'Output-Calculation-sheet'!U9*'Output-Calculation-sheet'!U63</f>
        <v>118.65932755600063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5.6354659962798159</v>
      </c>
      <c r="AA76" s="2">
        <f t="shared" si="6"/>
        <v>1.0631735053816107</v>
      </c>
    </row>
    <row r="77" spans="1:27" x14ac:dyDescent="0.25">
      <c r="A77" s="2">
        <v>2034</v>
      </c>
      <c r="B77" s="2">
        <f>B11/'Output-Calculation-sheet'!B10*'Output-Calculation-sheet'!B64</f>
        <v>418.88028910859094</v>
      </c>
      <c r="C77" s="2">
        <f>C11/'Output-Calculation-sheet'!C10*'Output-Calculation-sheet'!C64</f>
        <v>0</v>
      </c>
      <c r="D77" s="2">
        <f>D11/'Output-Calculation-sheet'!D10*'Output-Calculation-sheet'!D64</f>
        <v>1423.2058861174751</v>
      </c>
      <c r="E77" s="2">
        <f>E11/'Output-Calculation-sheet'!E10*'Output-Calculation-sheet'!E64</f>
        <v>1778.8249554978765</v>
      </c>
      <c r="F77" s="2">
        <f>F11/'Output-Calculation-sheet'!F10*'Output-Calculation-sheet'!F64</f>
        <v>115.73724776522802</v>
      </c>
      <c r="G77" s="2">
        <f>G11/'Output-Calculation-sheet'!G10*'Output-Calculation-sheet'!G64</f>
        <v>753.78970715523349</v>
      </c>
      <c r="H77" s="2">
        <f>H11/'Output-Calculation-sheet'!H10*'Output-Calculation-sheet'!H64</f>
        <v>117.61813551137401</v>
      </c>
      <c r="I77" s="2">
        <f>I11/'Output-Calculation-sheet'!I10*'Output-Calculation-sheet'!I64</f>
        <v>448.17914916363162</v>
      </c>
      <c r="J77" s="2">
        <f>J11/'Output-Calculation-sheet'!J10*'Output-Calculation-sheet'!J64</f>
        <v>313.58252073933858</v>
      </c>
      <c r="K77" s="2">
        <f>K11/'Output-Calculation-sheet'!K10*'Output-Calculation-sheet'!K64</f>
        <v>681.81141341000375</v>
      </c>
      <c r="L77" s="2">
        <f>L11/'Output-Calculation-sheet'!L10*'Output-Calculation-sheet'!L64</f>
        <v>281.91187986332011</v>
      </c>
      <c r="M77" s="2">
        <f>M11/'Output-Calculation-sheet'!M10*'Output-Calculation-sheet'!M64</f>
        <v>84.710390117550276</v>
      </c>
      <c r="N77" s="2">
        <f>N11/'Output-Calculation-sheet'!N10*'Output-Calculation-sheet'!N64</f>
        <v>28.016112433487251</v>
      </c>
      <c r="O77" s="2">
        <f>O11/'Output-Calculation-sheet'!O10*'Output-Calculation-sheet'!O64</f>
        <v>0</v>
      </c>
      <c r="P77" s="2">
        <f>P11/'Output-Calculation-sheet'!P10*'Output-Calculation-sheet'!P64</f>
        <v>576.87553805895891</v>
      </c>
      <c r="Q77" s="2">
        <f>Q11/'Output-Calculation-sheet'!Q10*'Output-Calculation-sheet'!Q64</f>
        <v>129.7723476125073</v>
      </c>
      <c r="R77" s="2">
        <f>R11/'Output-Calculation-sheet'!R10*'Output-Calculation-sheet'!R64</f>
        <v>716.72168313230725</v>
      </c>
      <c r="S77" s="2">
        <f>S11/'Output-Calculation-sheet'!S10*'Output-Calculation-sheet'!S64</f>
        <v>0</v>
      </c>
      <c r="T77" s="2">
        <f>T11/'Output-Calculation-sheet'!T10*'Output-Calculation-sheet'!T64</f>
        <v>199.00973017225411</v>
      </c>
      <c r="U77" s="2">
        <f>U11/'Output-Calculation-sheet'!U10*'Output-Calculation-sheet'!U64</f>
        <v>264.48515998847432</v>
      </c>
      <c r="V77" s="2">
        <f>V11/'Output-Calculation-sheet'!V10*'Output-Calculation-sheet'!V64</f>
        <v>102.98428219397931</v>
      </c>
      <c r="W77" s="2">
        <f>W11/'Output-Calculation-sheet'!W10*'Output-Calculation-sheet'!W64</f>
        <v>22.608187289591793</v>
      </c>
      <c r="X77" s="2">
        <f>X11/'Output-Calculation-sheet'!X10*'Output-Calculation-sheet'!X64</f>
        <v>8.4446962346719783</v>
      </c>
      <c r="Y77" s="2">
        <f>Y11/'Output-Calculation-sheet'!Y10*'Output-Calculation-sheet'!Y64</f>
        <v>38.513207270611858</v>
      </c>
      <c r="AA77" s="2">
        <f t="shared" si="6"/>
        <v>8.5056825188364673</v>
      </c>
    </row>
    <row r="78" spans="1:27" x14ac:dyDescent="0.25">
      <c r="A78" s="2">
        <v>2035</v>
      </c>
      <c r="B78" s="2">
        <f>B12/'Output-Calculation-sheet'!B11*'Output-Calculation-sheet'!B65</f>
        <v>77.148597834832458</v>
      </c>
      <c r="C78" s="2">
        <f>C12/'Output-Calculation-sheet'!C11*'Output-Calculation-sheet'!C65</f>
        <v>64.305348812625255</v>
      </c>
      <c r="D78" s="2">
        <f>D12/'Output-Calculation-sheet'!D11*'Output-Calculation-sheet'!D65</f>
        <v>3304.623794131327</v>
      </c>
      <c r="E78" s="2">
        <f>E12/'Output-Calculation-sheet'!E11*'Output-Calculation-sheet'!E65</f>
        <v>1061.5684209283856</v>
      </c>
      <c r="F78" s="2">
        <f>F12/'Output-Calculation-sheet'!F11*'Output-Calculation-sheet'!F65</f>
        <v>843.65368872675731</v>
      </c>
      <c r="G78" s="2">
        <f>G12/'Output-Calculation-sheet'!G11*'Output-Calculation-sheet'!G65</f>
        <v>1248.4193606783479</v>
      </c>
      <c r="H78" s="2">
        <f>H12/'Output-Calculation-sheet'!H11*'Output-Calculation-sheet'!H65</f>
        <v>28.373929828632221</v>
      </c>
      <c r="I78" s="2">
        <f>I12/'Output-Calculation-sheet'!I11*'Output-Calculation-sheet'!I65</f>
        <v>1037.9458089327231</v>
      </c>
      <c r="J78" s="2">
        <f>J12/'Output-Calculation-sheet'!J11*'Output-Calculation-sheet'!J65</f>
        <v>984.51690184429822</v>
      </c>
      <c r="K78" s="2">
        <f>K12/'Output-Calculation-sheet'!K11*'Output-Calculation-sheet'!K65</f>
        <v>1323.2717443353472</v>
      </c>
      <c r="L78" s="2">
        <f>L12/'Output-Calculation-sheet'!L11*'Output-Calculation-sheet'!L65</f>
        <v>458.96253466493613</v>
      </c>
      <c r="M78" s="2">
        <f>M12/'Output-Calculation-sheet'!M11*'Output-Calculation-sheet'!M65</f>
        <v>25.363947030486308</v>
      </c>
      <c r="N78" s="2">
        <f>N12/'Output-Calculation-sheet'!N11*'Output-Calculation-sheet'!N65</f>
        <v>17.085725845718073</v>
      </c>
      <c r="O78" s="2">
        <f>O12/'Output-Calculation-sheet'!O11*'Output-Calculation-sheet'!O65</f>
        <v>11.145175384423483</v>
      </c>
      <c r="P78" s="2">
        <f>P12/'Output-Calculation-sheet'!P11*'Output-Calculation-sheet'!P65</f>
        <v>128.54549143906223</v>
      </c>
      <c r="Q78" s="2">
        <f>Q12/'Output-Calculation-sheet'!Q11*'Output-Calculation-sheet'!Q65</f>
        <v>103.58454081251136</v>
      </c>
      <c r="R78" s="2">
        <f>R12/'Output-Calculation-sheet'!R11*'Output-Calculation-sheet'!R65</f>
        <v>858.0701980179274</v>
      </c>
      <c r="S78" s="2">
        <f>S12/'Output-Calculation-sheet'!S11*'Output-Calculation-sheet'!S65</f>
        <v>8.209654773207264</v>
      </c>
      <c r="T78" s="2">
        <f>T12/'Output-Calculation-sheet'!T11*'Output-Calculation-sheet'!T65</f>
        <v>341.23114867048628</v>
      </c>
      <c r="U78" s="2">
        <f>U12/'Output-Calculation-sheet'!U11*'Output-Calculation-sheet'!U65</f>
        <v>125.88049408782672</v>
      </c>
      <c r="V78" s="2">
        <f>V12/'Output-Calculation-sheet'!V11*'Output-Calculation-sheet'!V65</f>
        <v>178.59266601635886</v>
      </c>
      <c r="W78" s="2">
        <f>W12/'Output-Calculation-sheet'!W11*'Output-Calculation-sheet'!W65</f>
        <v>120.39379862956223</v>
      </c>
      <c r="X78" s="2">
        <f>X12/'Output-Calculation-sheet'!X11*'Output-Calculation-sheet'!X65</f>
        <v>1.679991927978987</v>
      </c>
      <c r="Y78" s="2">
        <f>Y12/'Output-Calculation-sheet'!Y11*'Output-Calculation-sheet'!Y65</f>
        <v>28.895929045205158</v>
      </c>
      <c r="AA78" s="2">
        <f t="shared" si="6"/>
        <v>12.381468892398964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83.131916342392344</v>
      </c>
      <c r="E89" s="2">
        <f>E12/'Output-Calculation-sheet'!E11*'Output-Calculation-sheet'!E74</f>
        <v>40.21516851885724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31.11787592163774</v>
      </c>
      <c r="H89" s="2">
        <f>H12/'Output-Calculation-sheet'!H11*'Output-Calculation-sheet'!H74</f>
        <v>5.0241575615107958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17.31215567093281</v>
      </c>
      <c r="K89" s="2">
        <f>K12/'Output-Calculation-sheet'!K11*'Output-Calculation-sheet'!K74</f>
        <v>21.777439805259913</v>
      </c>
      <c r="L89" s="2">
        <f>L12/'Output-Calculation-sheet'!L11*'Output-Calculation-sheet'!L74</f>
        <v>9.1139040016071995</v>
      </c>
      <c r="M89" s="2">
        <f>M12/'Output-Calculation-sheet'!M11*'Output-Calculation-sheet'!M74</f>
        <v>2.5928320132026759</v>
      </c>
      <c r="N89" s="2">
        <f>N12/'Output-Calculation-sheet'!N11*'Output-Calculation-sheet'!N74</f>
        <v>2.5483333766110281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2.3542124226509658</v>
      </c>
      <c r="Q89" s="2">
        <f>Q12/'Output-Calculation-sheet'!Q11*'Output-Calculation-sheet'!Q74</f>
        <v>4.4654604067729657</v>
      </c>
      <c r="R89" s="2">
        <f>R12/'Output-Calculation-sheet'!R11*'Output-Calculation-sheet'!R74</f>
        <v>13.285036860572449</v>
      </c>
      <c r="S89" s="2">
        <f>S12/'Output-Calculation-sheet'!S11*'Output-Calculation-sheet'!S74</f>
        <v>2.4346544404529253</v>
      </c>
      <c r="T89" s="2">
        <f>T12/'Output-Calculation-sheet'!T11*'Output-Calculation-sheet'!T74</f>
        <v>4.095802649671433</v>
      </c>
      <c r="U89" s="2">
        <f>U12/'Output-Calculation-sheet'!U11*'Output-Calculation-sheet'!U74</f>
        <v>4.7491678835510234</v>
      </c>
      <c r="V89" s="2">
        <f>V12/'Output-Calculation-sheet'!V11*'Output-Calculation-sheet'!V74</f>
        <v>1.4648093282196228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1.646934828344736</v>
      </c>
      <c r="AA89" s="2">
        <f t="shared" si="7"/>
        <v>0.33232726897661968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18569062094.405392</v>
      </c>
      <c r="C96" s="2">
        <f>C8/'Output-Calculation-sheet'!C7*'Output-Calculation-sheet'!C79</f>
        <v>7687361866.7279978</v>
      </c>
      <c r="D96" s="2">
        <f>D8/'Output-Calculation-sheet'!D7*'Output-Calculation-sheet'!D79</f>
        <v>6128004370.0831079</v>
      </c>
      <c r="E96" s="2">
        <f>E8/'Output-Calculation-sheet'!E7*'Output-Calculation-sheet'!E79</f>
        <v>7404772116.9381762</v>
      </c>
      <c r="F96" s="2">
        <f>F8/'Output-Calculation-sheet'!F7*'Output-Calculation-sheet'!F79</f>
        <v>4370996663.4108601</v>
      </c>
      <c r="G96" s="2">
        <f>G8/'Output-Calculation-sheet'!G7*'Output-Calculation-sheet'!G79</f>
        <v>2223319659.7175212</v>
      </c>
      <c r="H96" s="2">
        <f>H8/'Output-Calculation-sheet'!H7*'Output-Calculation-sheet'!H79</f>
        <v>2776191607.181499</v>
      </c>
      <c r="I96" s="2">
        <f>I8/'Output-Calculation-sheet'!I7*'Output-Calculation-sheet'!I79</f>
        <v>2657194296.5938449</v>
      </c>
      <c r="J96" s="2">
        <f>J8/'Output-Calculation-sheet'!J7*'Output-Calculation-sheet'!J79</f>
        <v>1499811913.8136959</v>
      </c>
      <c r="K96" s="2">
        <f>K8/'Output-Calculation-sheet'!K7*'Output-Calculation-sheet'!K79</f>
        <v>2554695549.3069286</v>
      </c>
      <c r="L96" s="2">
        <f>L8/'Output-Calculation-sheet'!L7*'Output-Calculation-sheet'!L79</f>
        <v>1837391800.1313295</v>
      </c>
      <c r="M96" s="2">
        <f>M8/'Output-Calculation-sheet'!M7*'Output-Calculation-sheet'!M79</f>
        <v>1857443547.7235899</v>
      </c>
      <c r="N96" s="2">
        <f>N8/'Output-Calculation-sheet'!N7*'Output-Calculation-sheet'!N79</f>
        <v>1321992913.4152267</v>
      </c>
      <c r="O96" s="2">
        <f>O8/'Output-Calculation-sheet'!O7*'Output-Calculation-sheet'!O79</f>
        <v>1038970562.4883549</v>
      </c>
      <c r="P96" s="2">
        <f>P8/'Output-Calculation-sheet'!P7*'Output-Calculation-sheet'!P79</f>
        <v>2208604212.7818279</v>
      </c>
      <c r="Q96" s="2">
        <f>Q8/'Output-Calculation-sheet'!Q7*'Output-Calculation-sheet'!Q79</f>
        <v>1202944014.1762087</v>
      </c>
      <c r="R96" s="2">
        <f>R8/'Output-Calculation-sheet'!R7*'Output-Calculation-sheet'!R79</f>
        <v>1604844546.3140006</v>
      </c>
      <c r="S96" s="2">
        <f>S8/'Output-Calculation-sheet'!S7*'Output-Calculation-sheet'!S79</f>
        <v>1010160744.8501732</v>
      </c>
      <c r="T96" s="2">
        <f>T8/'Output-Calculation-sheet'!T7*'Output-Calculation-sheet'!T79</f>
        <v>648662211.78629649</v>
      </c>
      <c r="U96" s="2">
        <f>U8/'Output-Calculation-sheet'!U7*'Output-Calculation-sheet'!U79</f>
        <v>601497096.32149112</v>
      </c>
      <c r="V96" s="2">
        <f>V8/'Output-Calculation-sheet'!V7*'Output-Calculation-sheet'!V79</f>
        <v>387262444.43830794</v>
      </c>
      <c r="W96" s="2">
        <f>W8/'Output-Calculation-sheet'!W7*'Output-Calculation-sheet'!W79</f>
        <v>463257190.27547532</v>
      </c>
      <c r="X96" s="2">
        <f>X8/'Output-Calculation-sheet'!X7*'Output-Calculation-sheet'!X79</f>
        <v>212034288.75293255</v>
      </c>
      <c r="Y96" s="2">
        <f>Y8/'Output-Calculation-sheet'!Y7*'Output-Calculation-sheet'!Y79</f>
        <v>237324458.88918257</v>
      </c>
      <c r="AA96" s="2">
        <f t="shared" si="8"/>
        <v>70.503800170523419</v>
      </c>
    </row>
    <row r="97" spans="1:27" x14ac:dyDescent="0.25">
      <c r="A97" s="2">
        <v>2032</v>
      </c>
      <c r="B97" s="2">
        <f>B9/'Output-Calculation-sheet'!B8*'Output-Calculation-sheet'!B80</f>
        <v>24728351668.060375</v>
      </c>
      <c r="C97" s="2">
        <f>C9/'Output-Calculation-sheet'!C8*'Output-Calculation-sheet'!C80</f>
        <v>10246151268.658411</v>
      </c>
      <c r="D97" s="2">
        <f>D9/'Output-Calculation-sheet'!D8*'Output-Calculation-sheet'!D80</f>
        <v>8098720332.4709368</v>
      </c>
      <c r="E97" s="2">
        <f>E9/'Output-Calculation-sheet'!E8*'Output-Calculation-sheet'!E80</f>
        <v>9772356245.0844383</v>
      </c>
      <c r="F97" s="2">
        <f>F9/'Output-Calculation-sheet'!F8*'Output-Calculation-sheet'!F80</f>
        <v>5790396878.2465792</v>
      </c>
      <c r="G97" s="2">
        <f>G9/'Output-Calculation-sheet'!G8*'Output-Calculation-sheet'!G80</f>
        <v>2898579426.6599016</v>
      </c>
      <c r="H97" s="2">
        <f>H9/'Output-Calculation-sheet'!H8*'Output-Calculation-sheet'!H80</f>
        <v>3689425495.2544451</v>
      </c>
      <c r="I97" s="2">
        <f>I9/'Output-Calculation-sheet'!I8*'Output-Calculation-sheet'!I80</f>
        <v>3521693234.2471795</v>
      </c>
      <c r="J97" s="2">
        <f>J9/'Output-Calculation-sheet'!J8*'Output-Calculation-sheet'!J80</f>
        <v>2009524074.5548594</v>
      </c>
      <c r="K97" s="2">
        <f>K9/'Output-Calculation-sheet'!K8*'Output-Calculation-sheet'!K80</f>
        <v>3385083726.7715735</v>
      </c>
      <c r="L97" s="2">
        <f>L9/'Output-Calculation-sheet'!L8*'Output-Calculation-sheet'!L80</f>
        <v>2449228227.2895784</v>
      </c>
      <c r="M97" s="2">
        <f>M9/'Output-Calculation-sheet'!M8*'Output-Calculation-sheet'!M80</f>
        <v>2468412410.7016211</v>
      </c>
      <c r="N97" s="2">
        <f>N9/'Output-Calculation-sheet'!N8*'Output-Calculation-sheet'!N80</f>
        <v>1764357507.6008232</v>
      </c>
      <c r="O97" s="2">
        <f>O9/'Output-Calculation-sheet'!O8*'Output-Calculation-sheet'!O80</f>
        <v>1391967652.2705762</v>
      </c>
      <c r="P97" s="2">
        <f>P9/'Output-Calculation-sheet'!P8*'Output-Calculation-sheet'!P80</f>
        <v>2908906550.8268132</v>
      </c>
      <c r="Q97" s="2">
        <f>Q9/'Output-Calculation-sheet'!Q8*'Output-Calculation-sheet'!Q80</f>
        <v>1610688444.9585969</v>
      </c>
      <c r="R97" s="2">
        <f>R9/'Output-Calculation-sheet'!R8*'Output-Calculation-sheet'!R80</f>
        <v>2135538145.6035533</v>
      </c>
      <c r="S97" s="2">
        <f>S9/'Output-Calculation-sheet'!S8*'Output-Calculation-sheet'!S80</f>
        <v>1347210916.2668517</v>
      </c>
      <c r="T97" s="2">
        <f>T9/'Output-Calculation-sheet'!T8*'Output-Calculation-sheet'!T80</f>
        <v>856321117.29303551</v>
      </c>
      <c r="U97" s="2">
        <f>U9/'Output-Calculation-sheet'!U8*'Output-Calculation-sheet'!U80</f>
        <v>798553845.392699</v>
      </c>
      <c r="V97" s="2">
        <f>V9/'Output-Calculation-sheet'!V8*'Output-Calculation-sheet'!V80</f>
        <v>517149042.6695255</v>
      </c>
      <c r="W97" s="2">
        <f>W9/'Output-Calculation-sheet'!W8*'Output-Calculation-sheet'!W80</f>
        <v>604956307.73841357</v>
      </c>
      <c r="X97" s="2">
        <f>X9/'Output-Calculation-sheet'!X8*'Output-Calculation-sheet'!X80</f>
        <v>281690497.00844872</v>
      </c>
      <c r="Y97" s="2">
        <f>Y9/'Output-Calculation-sheet'!Y8*'Output-Calculation-sheet'!Y80</f>
        <v>311281284.62380153</v>
      </c>
      <c r="AA97" s="2">
        <f t="shared" si="8"/>
        <v>93.586544300253038</v>
      </c>
    </row>
    <row r="98" spans="1:27" x14ac:dyDescent="0.25">
      <c r="A98" s="2">
        <v>2033</v>
      </c>
      <c r="B98" s="2">
        <f>B10/'Output-Calculation-sheet'!B9*'Output-Calculation-sheet'!B81</f>
        <v>30155477595.313034</v>
      </c>
      <c r="C98" s="2">
        <f>C10/'Output-Calculation-sheet'!C9*'Output-Calculation-sheet'!C81</f>
        <v>12507826166.965897</v>
      </c>
      <c r="D98" s="2">
        <f>D10/'Output-Calculation-sheet'!D9*'Output-Calculation-sheet'!D81</f>
        <v>9811510274.5992279</v>
      </c>
      <c r="E98" s="2">
        <f>E10/'Output-Calculation-sheet'!E9*'Output-Calculation-sheet'!E81</f>
        <v>11816862078.026989</v>
      </c>
      <c r="F98" s="2">
        <f>F10/'Output-Calculation-sheet'!F9*'Output-Calculation-sheet'!F81</f>
        <v>7026580181.4285412</v>
      </c>
      <c r="G98" s="2">
        <f>G10/'Output-Calculation-sheet'!G9*'Output-Calculation-sheet'!G81</f>
        <v>3463599254.2998896</v>
      </c>
      <c r="H98" s="2">
        <f>H10/'Output-Calculation-sheet'!H9*'Output-Calculation-sheet'!H81</f>
        <v>4490627550.8718233</v>
      </c>
      <c r="I98" s="2">
        <f>I10/'Output-Calculation-sheet'!I9*'Output-Calculation-sheet'!I81</f>
        <v>4276096895.6354103</v>
      </c>
      <c r="J98" s="2">
        <f>J10/'Output-Calculation-sheet'!J9*'Output-Calculation-sheet'!J81</f>
        <v>2467393758.0948882</v>
      </c>
      <c r="K98" s="2">
        <f>K10/'Output-Calculation-sheet'!K9*'Output-Calculation-sheet'!K81</f>
        <v>4108867829.7181153</v>
      </c>
      <c r="L98" s="2">
        <f>L10/'Output-Calculation-sheet'!L9*'Output-Calculation-sheet'!L81</f>
        <v>2990070672.1122775</v>
      </c>
      <c r="M98" s="2">
        <f>M10/'Output-Calculation-sheet'!M9*'Output-Calculation-sheet'!M81</f>
        <v>3005001152.2411742</v>
      </c>
      <c r="N98" s="2">
        <f>N10/'Output-Calculation-sheet'!N9*'Output-Calculation-sheet'!N81</f>
        <v>2157864988.739574</v>
      </c>
      <c r="O98" s="2">
        <f>O10/'Output-Calculation-sheet'!O9*'Output-Calculation-sheet'!O81</f>
        <v>1708457659.5366449</v>
      </c>
      <c r="P98" s="2">
        <f>P10/'Output-Calculation-sheet'!P9*'Output-Calculation-sheet'!P81</f>
        <v>3509192713.071857</v>
      </c>
      <c r="Q98" s="2">
        <f>Q10/'Output-Calculation-sheet'!Q9*'Output-Calculation-sheet'!Q81</f>
        <v>1975698030.2513571</v>
      </c>
      <c r="R98" s="2">
        <f>R10/'Output-Calculation-sheet'!R9*'Output-Calculation-sheet'!R81</f>
        <v>2602554246.2337499</v>
      </c>
      <c r="S98" s="2">
        <f>S10/'Output-Calculation-sheet'!S9*'Output-Calculation-sheet'!S81</f>
        <v>1645284379.3856392</v>
      </c>
      <c r="T98" s="2">
        <f>T10/'Output-Calculation-sheet'!T9*'Output-Calculation-sheet'!T81</f>
        <v>1035727815.3882718</v>
      </c>
      <c r="U98" s="2">
        <f>U10/'Output-Calculation-sheet'!U9*'Output-Calculation-sheet'!U81</f>
        <v>970426584.63948202</v>
      </c>
      <c r="V98" s="2">
        <f>V10/'Output-Calculation-sheet'!V9*'Output-Calculation-sheet'!V81</f>
        <v>632045373.29310238</v>
      </c>
      <c r="W98" s="2">
        <f>W10/'Output-Calculation-sheet'!W9*'Output-Calculation-sheet'!W81</f>
        <v>723791370.75128949</v>
      </c>
      <c r="X98" s="2">
        <f>X10/'Output-Calculation-sheet'!X9*'Output-Calculation-sheet'!X81</f>
        <v>342792256.71507829</v>
      </c>
      <c r="Y98" s="2">
        <f>Y10/'Output-Calculation-sheet'!Y9*'Output-Calculation-sheet'!Y81</f>
        <v>374187166.51554668</v>
      </c>
      <c r="AA98" s="2">
        <f t="shared" si="8"/>
        <v>113.79793599382889</v>
      </c>
    </row>
    <row r="99" spans="1:27" x14ac:dyDescent="0.25">
      <c r="A99" s="2">
        <v>2034</v>
      </c>
      <c r="B99" s="2">
        <f>B11/'Output-Calculation-sheet'!B10*'Output-Calculation-sheet'!B82</f>
        <v>34134901399.572731</v>
      </c>
      <c r="C99" s="2">
        <f>C11/'Output-Calculation-sheet'!C10*'Output-Calculation-sheet'!C82</f>
        <v>14175195283.101927</v>
      </c>
      <c r="D99" s="2">
        <f>D11/'Output-Calculation-sheet'!D10*'Output-Calculation-sheet'!D82</f>
        <v>11044522240.506176</v>
      </c>
      <c r="E99" s="2">
        <f>E11/'Output-Calculation-sheet'!E10*'Output-Calculation-sheet'!E82</f>
        <v>13270817000.404448</v>
      </c>
      <c r="F99" s="2">
        <f>F11/'Output-Calculation-sheet'!F10*'Output-Calculation-sheet'!F82</f>
        <v>7917277017.3411388</v>
      </c>
      <c r="G99" s="2">
        <f>G11/'Output-Calculation-sheet'!G10*'Output-Calculation-sheet'!G82</f>
        <v>3845214991.3095641</v>
      </c>
      <c r="H99" s="2">
        <f>H11/'Output-Calculation-sheet'!H10*'Output-Calculation-sheet'!H82</f>
        <v>5074391633.1629858</v>
      </c>
      <c r="I99" s="2">
        <f>I11/'Output-Calculation-sheet'!I10*'Output-Calculation-sheet'!I82</f>
        <v>4821567558.3860006</v>
      </c>
      <c r="J99" s="2">
        <f>J11/'Output-Calculation-sheet'!J10*'Output-Calculation-sheet'!J82</f>
        <v>2814065321.7880373</v>
      </c>
      <c r="K99" s="2">
        <f>K11/'Output-Calculation-sheet'!K10*'Output-Calculation-sheet'!K82</f>
        <v>4631140694.9713726</v>
      </c>
      <c r="L99" s="2">
        <f>L11/'Output-Calculation-sheet'!L10*'Output-Calculation-sheet'!L82</f>
        <v>3388788480.5594072</v>
      </c>
      <c r="M99" s="2">
        <f>M11/'Output-Calculation-sheet'!M10*'Output-Calculation-sheet'!M82</f>
        <v>3396823745.5691237</v>
      </c>
      <c r="N99" s="2">
        <f>N11/'Output-Calculation-sheet'!N10*'Output-Calculation-sheet'!N82</f>
        <v>2451360178.7837543</v>
      </c>
      <c r="O99" s="2">
        <f>O11/'Output-Calculation-sheet'!O10*'Output-Calculation-sheet'!O82</f>
        <v>1947154679.1185691</v>
      </c>
      <c r="P99" s="2">
        <f>P11/'Output-Calculation-sheet'!P10*'Output-Calculation-sheet'!P82</f>
        <v>3930598939.7381344</v>
      </c>
      <c r="Q99" s="2">
        <f>Q11/'Output-Calculation-sheet'!Q10*'Output-Calculation-sheet'!Q82</f>
        <v>2250311484.6811213</v>
      </c>
      <c r="R99" s="2">
        <f>R11/'Output-Calculation-sheet'!R10*'Output-Calculation-sheet'!R82</f>
        <v>2944435091.3382015</v>
      </c>
      <c r="S99" s="2">
        <f>S11/'Output-Calculation-sheet'!S10*'Output-Calculation-sheet'!S82</f>
        <v>1865103760.1391947</v>
      </c>
      <c r="T99" s="2">
        <f>T11/'Output-Calculation-sheet'!T10*'Output-Calculation-sheet'!T82</f>
        <v>1163416757.534091</v>
      </c>
      <c r="U99" s="2">
        <f>U11/'Output-Calculation-sheet'!U10*'Output-Calculation-sheet'!U82</f>
        <v>1094325989.5943317</v>
      </c>
      <c r="V99" s="2">
        <f>V11/'Output-Calculation-sheet'!V10*'Output-Calculation-sheet'!V82</f>
        <v>716698319.51530874</v>
      </c>
      <c r="W99" s="2">
        <f>W11/'Output-Calculation-sheet'!W10*'Output-Calculation-sheet'!W82</f>
        <v>804226780.13569212</v>
      </c>
      <c r="X99" s="2">
        <f>X11/'Output-Calculation-sheet'!X10*'Output-Calculation-sheet'!X82</f>
        <v>387313683.9777559</v>
      </c>
      <c r="Y99" s="2">
        <f>Y11/'Output-Calculation-sheet'!Y10*'Output-Calculation-sheet'!Y82</f>
        <v>417861920.14368296</v>
      </c>
      <c r="AA99" s="2">
        <f t="shared" si="8"/>
        <v>128.48751295137274</v>
      </c>
    </row>
    <row r="100" spans="1:27" x14ac:dyDescent="0.25">
      <c r="A100" s="2">
        <v>2035</v>
      </c>
      <c r="B100" s="2">
        <f>B12/'Output-Calculation-sheet'!B11*'Output-Calculation-sheet'!B83</f>
        <v>35997652667.598946</v>
      </c>
      <c r="C100" s="2">
        <f>C12/'Output-Calculation-sheet'!C11*'Output-Calculation-sheet'!C83</f>
        <v>14968498037.159115</v>
      </c>
      <c r="D100" s="2">
        <f>D12/'Output-Calculation-sheet'!D11*'Output-Calculation-sheet'!D83</f>
        <v>11593284284.187265</v>
      </c>
      <c r="E100" s="2">
        <f>E12/'Output-Calculation-sheet'!E11*'Output-Calculation-sheet'!E83</f>
        <v>13891571621.661449</v>
      </c>
      <c r="F100" s="2">
        <f>F12/'Output-Calculation-sheet'!F11*'Output-Calculation-sheet'!F83</f>
        <v>8313403602.4817896</v>
      </c>
      <c r="G100" s="2">
        <f>G12/'Output-Calculation-sheet'!G11*'Output-Calculation-sheet'!G83</f>
        <v>3980559790.5509977</v>
      </c>
      <c r="H100" s="2">
        <f>H12/'Output-Calculation-sheet'!H11*'Output-Calculation-sheet'!H83</f>
        <v>5342765769.3133936</v>
      </c>
      <c r="I100" s="2">
        <f>I12/'Output-Calculation-sheet'!I11*'Output-Calculation-sheet'!I83</f>
        <v>5066864893.2303982</v>
      </c>
      <c r="J100" s="2">
        <f>J12/'Output-Calculation-sheet'!J11*'Output-Calculation-sheet'!J83</f>
        <v>2991794411.5536966</v>
      </c>
      <c r="K100" s="2">
        <f>K12/'Output-Calculation-sheet'!K11*'Output-Calculation-sheet'!K83</f>
        <v>4864553955.3966112</v>
      </c>
      <c r="L100" s="2">
        <f>L12/'Output-Calculation-sheet'!L11*'Output-Calculation-sheet'!L83</f>
        <v>3578429495.1574411</v>
      </c>
      <c r="M100" s="2">
        <f>M12/'Output-Calculation-sheet'!M11*'Output-Calculation-sheet'!M83</f>
        <v>3578230041.3243127</v>
      </c>
      <c r="N100" s="2">
        <f>N12/'Output-Calculation-sheet'!N11*'Output-Calculation-sheet'!N83</f>
        <v>2595901416.8633084</v>
      </c>
      <c r="O100" s="2">
        <f>O12/'Output-Calculation-sheet'!O11*'Output-Calculation-sheet'!O83</f>
        <v>2068133939.6243093</v>
      </c>
      <c r="P100" s="2">
        <f>P12/'Output-Calculation-sheet'!P11*'Output-Calculation-sheet'!P83</f>
        <v>4102771525.3385277</v>
      </c>
      <c r="Q100" s="2">
        <f>Q12/'Output-Calculation-sheet'!Q11*'Output-Calculation-sheet'!Q83</f>
        <v>2388562119.4450402</v>
      </c>
      <c r="R100" s="2">
        <f>R12/'Output-Calculation-sheet'!R11*'Output-Calculation-sheet'!R83</f>
        <v>3103792756.484385</v>
      </c>
      <c r="S100" s="2">
        <f>S12/'Output-Calculation-sheet'!S11*'Output-Calculation-sheet'!S83</f>
        <v>1969719194.439168</v>
      </c>
      <c r="T100" s="2">
        <f>T12/'Output-Calculation-sheet'!T11*'Output-Calculation-sheet'!T83</f>
        <v>1218094711.600894</v>
      </c>
      <c r="U100" s="2">
        <f>U12/'Output-Calculation-sheet'!U11*'Output-Calculation-sheet'!U83</f>
        <v>1149409283.4310346</v>
      </c>
      <c r="V100" s="2">
        <f>V12/'Output-Calculation-sheet'!V11*'Output-Calculation-sheet'!V83</f>
        <v>756824500.42056072</v>
      </c>
      <c r="W100" s="2">
        <f>W12/'Output-Calculation-sheet'!W11*'Output-Calculation-sheet'!W83</f>
        <v>832906479.86200428</v>
      </c>
      <c r="X100" s="2">
        <f>X12/'Output-Calculation-sheet'!X11*'Output-Calculation-sheet'!X83</f>
        <v>407790236.59834385</v>
      </c>
      <c r="Y100" s="2">
        <f>Y12/'Output-Calculation-sheet'!Y11*'Output-Calculation-sheet'!Y83</f>
        <v>435065924.29572326</v>
      </c>
      <c r="AA100" s="2">
        <f t="shared" si="8"/>
        <v>135.19658065801872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1680.3778130304868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517.27240770157755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355.93375720267528</v>
      </c>
      <c r="N107" s="2">
        <f>N8/'Output-Calculation-sheet'!N7*'Output-Calculation-sheet'!N88</f>
        <v>139.93006391829709</v>
      </c>
      <c r="O107" s="2">
        <f>O8/'Output-Calculation-sheet'!O7*'Output-Calculation-sheet'!O88</f>
        <v>391.74087221090809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39.04667344757128</v>
      </c>
      <c r="Y107" s="2">
        <f>Y8/'Output-Calculation-sheet'!Y7*'Output-Calculation-sheet'!Y88</f>
        <v>0</v>
      </c>
      <c r="AA107" s="2">
        <f t="shared" si="9"/>
        <v>3.1243015875115163</v>
      </c>
    </row>
    <row r="108" spans="1:27" x14ac:dyDescent="0.25">
      <c r="A108" s="2">
        <v>2032</v>
      </c>
      <c r="B108" s="2">
        <f>B9/'Output-Calculation-sheet'!B8*'Output-Calculation-sheet'!B89</f>
        <v>746.97489483007212</v>
      </c>
      <c r="C108" s="2">
        <f>C9/'Output-Calculation-sheet'!C8*'Output-Calculation-sheet'!C89</f>
        <v>2836.2525929705071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763.95070008011601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525.67242897286394</v>
      </c>
      <c r="N108" s="2">
        <f>N9/'Output-Calculation-sheet'!N8*'Output-Calculation-sheet'!N89</f>
        <v>369.03624770536811</v>
      </c>
      <c r="O108" s="2">
        <f>O9/'Output-Calculation-sheet'!O8*'Output-Calculation-sheet'!O89</f>
        <v>551.00508546593858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169.23545355444625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57.667358768691557</v>
      </c>
      <c r="Y108" s="2">
        <f>Y9/'Output-Calculation-sheet'!Y8*'Output-Calculation-sheet'!Y89</f>
        <v>0</v>
      </c>
      <c r="AA108" s="2">
        <f t="shared" si="9"/>
        <v>6.0197947623480035</v>
      </c>
    </row>
    <row r="109" spans="1:27" x14ac:dyDescent="0.25">
      <c r="A109" s="2">
        <v>2033</v>
      </c>
      <c r="B109" s="2">
        <f>B10/'Output-Calculation-sheet'!B9*'Output-Calculation-sheet'!B90</f>
        <v>3760.3926643258183</v>
      </c>
      <c r="C109" s="2">
        <f>C10/'Output-Calculation-sheet'!C9*'Output-Calculation-sheet'!C90</f>
        <v>3569.5387885852679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1098.8147482295847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756.09148290914129</v>
      </c>
      <c r="N109" s="2">
        <f>N10/'Output-Calculation-sheet'!N9*'Output-Calculation-sheet'!N90</f>
        <v>594.49224688914092</v>
      </c>
      <c r="O109" s="2">
        <f>O10/'Output-Calculation-sheet'!O9*'Output-Calculation-sheet'!O90</f>
        <v>693.46222200134662</v>
      </c>
      <c r="P109" s="2">
        <f>P10/'Output-Calculation-sheet'!P9*'Output-Calculation-sheet'!P90</f>
        <v>0</v>
      </c>
      <c r="Q109" s="2">
        <f>Q10/'Output-Calculation-sheet'!Q9*'Output-Calculation-sheet'!Q90</f>
        <v>130.21655717134621</v>
      </c>
      <c r="R109" s="2">
        <f>R10/'Output-Calculation-sheet'!R9*'Output-Calculation-sheet'!R90</f>
        <v>0</v>
      </c>
      <c r="S109" s="2">
        <f>S10/'Output-Calculation-sheet'!S9*'Output-Calculation-sheet'!S90</f>
        <v>298.1855439494621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82.944808218435725</v>
      </c>
      <c r="Y109" s="2">
        <f>Y10/'Output-Calculation-sheet'!Y9*'Output-Calculation-sheet'!Y90</f>
        <v>0</v>
      </c>
      <c r="AA109" s="2">
        <f t="shared" si="9"/>
        <v>10.984139062279546</v>
      </c>
    </row>
    <row r="110" spans="1:27" x14ac:dyDescent="0.25">
      <c r="A110" s="2">
        <v>2034</v>
      </c>
      <c r="B110" s="2">
        <f>B11/'Output-Calculation-sheet'!B10*'Output-Calculation-sheet'!B91</f>
        <v>6510.0704272763733</v>
      </c>
      <c r="C110" s="2">
        <f>C11/'Output-Calculation-sheet'!C10*'Output-Calculation-sheet'!C91</f>
        <v>4463.0879265394815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1268.1940488763721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872.64092566687987</v>
      </c>
      <c r="N110" s="2">
        <f>N11/'Output-Calculation-sheet'!N10*'Output-Calculation-sheet'!N91</f>
        <v>786.19246699015014</v>
      </c>
      <c r="O110" s="2">
        <f>O11/'Output-Calculation-sheet'!O10*'Output-Calculation-sheet'!O91</f>
        <v>867.0539960015675</v>
      </c>
      <c r="P110" s="2">
        <f>P11/'Output-Calculation-sheet'!P10*'Output-Calculation-sheet'!P91</f>
        <v>198.0828392716644</v>
      </c>
      <c r="Q110" s="2">
        <f>Q11/'Output-Calculation-sheet'!Q10*'Output-Calculation-sheet'!Q91</f>
        <v>438.34316398328923</v>
      </c>
      <c r="R110" s="2">
        <f>R11/'Output-Calculation-sheet'!R10*'Output-Calculation-sheet'!R91</f>
        <v>0</v>
      </c>
      <c r="S110" s="2">
        <f>S11/'Output-Calculation-sheet'!S10*'Output-Calculation-sheet'!S91</f>
        <v>450.67266277862035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95.730524492226721</v>
      </c>
      <c r="Y110" s="2">
        <f>Y11/'Output-Calculation-sheet'!Y10*'Output-Calculation-sheet'!Y91</f>
        <v>23.095446822265732</v>
      </c>
      <c r="AA110" s="2">
        <f t="shared" si="9"/>
        <v>15.973164428698892</v>
      </c>
    </row>
    <row r="111" spans="1:27" x14ac:dyDescent="0.25">
      <c r="A111" s="2">
        <v>2035</v>
      </c>
      <c r="B111" s="2">
        <f>B12/'Output-Calculation-sheet'!B11*'Output-Calculation-sheet'!B92</f>
        <v>9929.4217182116663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2211.8342685371481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491.23942568662807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785.5222116912056</v>
      </c>
      <c r="Q111" s="2">
        <f>Q12/'Output-Calculation-sheet'!Q11*'Output-Calculation-sheet'!Q92</f>
        <v>744.98764452995647</v>
      </c>
      <c r="R111" s="2">
        <f>R12/'Output-Calculation-sheet'!R11*'Output-Calculation-sheet'!R92</f>
        <v>113.66087091823096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164.55866716504298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77.497433311555085</v>
      </c>
      <c r="AA111" s="2">
        <f t="shared" si="9"/>
        <v>24.248997164440052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7899425546.7324457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2430491067.5087109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1688185489.8828995</v>
      </c>
      <c r="N118" s="2">
        <f>N8/'Output-Calculation-sheet'!N7*'Output-Calculation-sheet'!N97</f>
        <v>1324744265.5811007</v>
      </c>
      <c r="O118" s="2">
        <f>O8/'Output-Calculation-sheet'!O7*'Output-Calculation-sheet'!O97</f>
        <v>881500059.02319396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479747156.74141073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181954354.24782017</v>
      </c>
      <c r="Y118" s="2">
        <f>Y8/'Output-Calculation-sheet'!Y7*'Output-Calculation-sheet'!Y97</f>
        <v>0</v>
      </c>
      <c r="AA118" s="2">
        <f t="shared" si="10"/>
        <v>16233.586905022519</v>
      </c>
    </row>
    <row r="119" spans="1:27" x14ac:dyDescent="0.25">
      <c r="A119" s="2">
        <v>2032</v>
      </c>
      <c r="B119" s="2">
        <f>B9/'Output-Calculation-sheet'!B8*'Output-Calculation-sheet'!B98</f>
        <v>5603844464.9058418</v>
      </c>
      <c r="C119" s="2">
        <f>C9/'Output-Calculation-sheet'!C8*'Output-Calculation-sheet'!C98</f>
        <v>4454048769.847806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2662640320.6408286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1858532915.1937385</v>
      </c>
      <c r="N119" s="2">
        <f>N9/'Output-Calculation-sheet'!N8*'Output-Calculation-sheet'!N98</f>
        <v>1255115283.3029566</v>
      </c>
      <c r="O119" s="2">
        <f>O9/'Output-Calculation-sheet'!O8*'Output-Calculation-sheet'!O98</f>
        <v>870238826.61838102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521600591.40015876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198869684.84228605</v>
      </c>
      <c r="Y119" s="2">
        <f>Y9/'Output-Calculation-sheet'!Y8*'Output-Calculation-sheet'!Y98</f>
        <v>0</v>
      </c>
      <c r="AA119" s="2">
        <f t="shared" si="10"/>
        <v>17424.890856751994</v>
      </c>
    </row>
    <row r="120" spans="1:27" x14ac:dyDescent="0.25">
      <c r="A120" s="2">
        <v>2033</v>
      </c>
      <c r="B120" s="2">
        <f>B10/'Output-Calculation-sheet'!B9*'Output-Calculation-sheet'!B99</f>
        <v>5409825907.7461443</v>
      </c>
      <c r="C120" s="2">
        <f>C10/'Output-Calculation-sheet'!C9*'Output-Calculation-sheet'!C99</f>
        <v>4447212813.7344189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1458135733.093502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1032080585.1628306</v>
      </c>
      <c r="N120" s="2">
        <f>N10/'Output-Calculation-sheet'!N9*'Output-Calculation-sheet'!N99</f>
        <v>1028874992.57146</v>
      </c>
      <c r="O120" s="2">
        <f>O10/'Output-Calculation-sheet'!O9*'Output-Calculation-sheet'!O99</f>
        <v>870668477.49122477</v>
      </c>
      <c r="P120" s="2">
        <f>P10/'Output-Calculation-sheet'!P9*'Output-Calculation-sheet'!P99</f>
        <v>0</v>
      </c>
      <c r="Q120" s="2">
        <f>Q10/'Output-Calculation-sheet'!Q9*'Output-Calculation-sheet'!Q99</f>
        <v>6372623.1836075289</v>
      </c>
      <c r="R120" s="2">
        <f>R10/'Output-Calculation-sheet'!R9*'Output-Calculation-sheet'!R99</f>
        <v>0</v>
      </c>
      <c r="S120" s="2">
        <f>S10/'Output-Calculation-sheet'!S9*'Output-Calculation-sheet'!S99</f>
        <v>430886132.6960029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103057825.46199882</v>
      </c>
      <c r="Y120" s="2">
        <f>Y10/'Output-Calculation-sheet'!Y9*'Output-Calculation-sheet'!Y99</f>
        <v>0</v>
      </c>
      <c r="AA120" s="2">
        <f t="shared" si="10"/>
        <v>14787.11509114119</v>
      </c>
    </row>
    <row r="121" spans="1:27" x14ac:dyDescent="0.25">
      <c r="A121" s="2">
        <v>2034</v>
      </c>
      <c r="B121" s="2">
        <f>B11/'Output-Calculation-sheet'!B10*'Output-Calculation-sheet'!B100</f>
        <v>4876178963.6248026</v>
      </c>
      <c r="C121" s="2">
        <f>C11/'Output-Calculation-sheet'!C10*'Output-Calculation-sheet'!C100</f>
        <v>585909813.53939176</v>
      </c>
      <c r="D121" s="2">
        <f>D11/'Output-Calculation-sheet'!D10*'Output-Calculation-sheet'!D100</f>
        <v>0</v>
      </c>
      <c r="E121" s="2">
        <f>E11/'Output-Calculation-sheet'!E10*'Output-Calculation-sheet'!E100</f>
        <v>676186072.82504106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1542755315.4493427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562439760.05360162</v>
      </c>
      <c r="M121" s="2">
        <f>M11/'Output-Calculation-sheet'!M10*'Output-Calculation-sheet'!M100</f>
        <v>1097973056.6393511</v>
      </c>
      <c r="N121" s="2">
        <f>N11/'Output-Calculation-sheet'!N10*'Output-Calculation-sheet'!N100</f>
        <v>731994103.34753501</v>
      </c>
      <c r="O121" s="2">
        <f>O11/'Output-Calculation-sheet'!O10*'Output-Calculation-sheet'!O100</f>
        <v>114928137.098179</v>
      </c>
      <c r="P121" s="2">
        <f>P11/'Output-Calculation-sheet'!P10*'Output-Calculation-sheet'!P100</f>
        <v>0</v>
      </c>
      <c r="Q121" s="2">
        <f>Q11/'Output-Calculation-sheet'!Q10*'Output-Calculation-sheet'!Q100</f>
        <v>226119931.08024725</v>
      </c>
      <c r="R121" s="2">
        <f>R11/'Output-Calculation-sheet'!R10*'Output-Calculation-sheet'!R100</f>
        <v>0</v>
      </c>
      <c r="S121" s="2">
        <f>S11/'Output-Calculation-sheet'!S10*'Output-Calculation-sheet'!S100</f>
        <v>273687176.34077245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107883535.29740764</v>
      </c>
      <c r="Y121" s="2">
        <f>Y11/'Output-Calculation-sheet'!Y10*'Output-Calculation-sheet'!Y100</f>
        <v>7709769.0489447052</v>
      </c>
      <c r="AA121" s="2">
        <f t="shared" si="10"/>
        <v>10803.765634344616</v>
      </c>
    </row>
    <row r="122" spans="1:27" x14ac:dyDescent="0.25">
      <c r="A122" s="2">
        <v>2035</v>
      </c>
      <c r="B122" s="2">
        <f>B12/'Output-Calculation-sheet'!B11*'Output-Calculation-sheet'!B101</f>
        <v>1745855403.2603791</v>
      </c>
      <c r="C122" s="2">
        <f>C12/'Output-Calculation-sheet'!C11*'Output-Calculation-sheet'!C101</f>
        <v>300252200.75081336</v>
      </c>
      <c r="D122" s="2">
        <f>D12/'Output-Calculation-sheet'!D11*'Output-Calculation-sheet'!D101</f>
        <v>0</v>
      </c>
      <c r="E122" s="2">
        <f>E12/'Output-Calculation-sheet'!E11*'Output-Calculation-sheet'!E101</f>
        <v>1744999070.0468273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468284392.96483409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1024222354.4814174</v>
      </c>
      <c r="M122" s="2">
        <f>M12/'Output-Calculation-sheet'!M11*'Output-Calculation-sheet'!M101</f>
        <v>422408202.46023184</v>
      </c>
      <c r="N122" s="2">
        <f>N12/'Output-Calculation-sheet'!N11*'Output-Calculation-sheet'!N101</f>
        <v>354146646.23660427</v>
      </c>
      <c r="O122" s="2">
        <f>O12/'Output-Calculation-sheet'!O11*'Output-Calculation-sheet'!O101</f>
        <v>51174610.589831188</v>
      </c>
      <c r="P122" s="2">
        <f>P12/'Output-Calculation-sheet'!P11*'Output-Calculation-sheet'!P101</f>
        <v>21760424.875548437</v>
      </c>
      <c r="Q122" s="2">
        <f>Q12/'Output-Calculation-sheet'!Q11*'Output-Calculation-sheet'!Q101</f>
        <v>428933520.58958286</v>
      </c>
      <c r="R122" s="2">
        <f>R12/'Output-Calculation-sheet'!R11*'Output-Calculation-sheet'!R101</f>
        <v>0</v>
      </c>
      <c r="S122" s="2">
        <f>S12/'Output-Calculation-sheet'!S11*'Output-Calculation-sheet'!S101</f>
        <v>173401348.10264871</v>
      </c>
      <c r="T122" s="2">
        <f>T12/'Output-Calculation-sheet'!T11*'Output-Calculation-sheet'!T101</f>
        <v>0</v>
      </c>
      <c r="U122" s="2">
        <f>U12/'Output-Calculation-sheet'!U11*'Output-Calculation-sheet'!U101</f>
        <v>63757555.090833075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14981557.228232095</v>
      </c>
      <c r="Y122" s="2">
        <f>Y12/'Output-Calculation-sheet'!Y11*'Output-Calculation-sheet'!Y101</f>
        <v>61904656.94085627</v>
      </c>
      <c r="AA122" s="2">
        <f t="shared" si="10"/>
        <v>6876.0819436186403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2198300395.5196691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2205927006.4019613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144497.80191876632</v>
      </c>
    </row>
    <row r="130" spans="1:27" x14ac:dyDescent="0.25">
      <c r="A130" s="2">
        <v>2032</v>
      </c>
      <c r="B130" s="2">
        <f>B9/'Output-Calculation-sheet'!B8*'Output-Calculation-sheet'!B107</f>
        <v>50711582355.544632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1844895594.8857594</v>
      </c>
      <c r="O130" s="2">
        <f>O9/'Output-Calculation-sheet'!O8*'Output-Calculation-sheet'!O107</f>
        <v>0</v>
      </c>
      <c r="P130" s="2">
        <f>P9/'Output-Calculation-sheet'!P8*'Output-Calculation-sheet'!P107</f>
        <v>5629451778.0070162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1638559639.9444802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178592.73033037354</v>
      </c>
    </row>
    <row r="131" spans="1:27" x14ac:dyDescent="0.25">
      <c r="A131" s="2">
        <v>2033</v>
      </c>
      <c r="B131" s="2">
        <f>B10/'Output-Calculation-sheet'!B9*'Output-Calculation-sheet'!B108</f>
        <v>40355655020.714066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1478740593.962939</v>
      </c>
      <c r="O131" s="2">
        <f>O10/'Output-Calculation-sheet'!O9*'Output-Calculation-sheet'!O108</f>
        <v>0</v>
      </c>
      <c r="P131" s="2">
        <f>P10/'Output-Calculation-sheet'!P9*'Output-Calculation-sheet'!P108</f>
        <v>6801142193.3391504</v>
      </c>
      <c r="Q131" s="2">
        <f>Q10/'Output-Calculation-sheet'!Q9*'Output-Calculation-sheet'!Q108</f>
        <v>5737182543.3023176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1434299574.1736352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192611.1867109524</v>
      </c>
    </row>
    <row r="132" spans="1:27" x14ac:dyDescent="0.25">
      <c r="A132" s="2">
        <v>2034</v>
      </c>
      <c r="B132" s="2">
        <f>B11/'Output-Calculation-sheet'!B10*'Output-Calculation-sheet'!B109</f>
        <v>28373780286.704781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27389192881.55653</v>
      </c>
      <c r="F132" s="2">
        <f>F11/'Output-Calculation-sheet'!F10*'Output-Calculation-sheet'!F109</f>
        <v>18063823162.23275</v>
      </c>
      <c r="G132" s="2">
        <f>G11/'Output-Calculation-sheet'!G10*'Output-Calculation-sheet'!G109</f>
        <v>12692489368.118141</v>
      </c>
      <c r="H132" s="2">
        <f>H11/'Output-Calculation-sheet'!H10*'Output-Calculation-sheet'!H109</f>
        <v>0</v>
      </c>
      <c r="I132" s="2">
        <f>I11/'Output-Calculation-sheet'!I10*'Output-Calculation-sheet'!I109</f>
        <v>11563047280.074766</v>
      </c>
      <c r="J132" s="2">
        <f>J11/'Output-Calculation-sheet'!J10*'Output-Calculation-sheet'!J109</f>
        <v>11254749155.678623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8379713187.6466656</v>
      </c>
      <c r="M132" s="2">
        <f>M11/'Output-Calculation-sheet'!M10*'Output-Calculation-sheet'!M109</f>
        <v>0</v>
      </c>
      <c r="N132" s="2">
        <f>N11/'Output-Calculation-sheet'!N10*'Output-Calculation-sheet'!N109</f>
        <v>1101790729.4652233</v>
      </c>
      <c r="O132" s="2">
        <f>O11/'Output-Calculation-sheet'!O10*'Output-Calculation-sheet'!O109</f>
        <v>0</v>
      </c>
      <c r="P132" s="2">
        <f>P11/'Output-Calculation-sheet'!P10*'Output-Calculation-sheet'!P109</f>
        <v>6260074567.1096258</v>
      </c>
      <c r="Q132" s="2">
        <f>Q11/'Output-Calculation-sheet'!Q10*'Output-Calculation-sheet'!Q109</f>
        <v>4063680226.3963547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756170199.225281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2313937605.3948407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746063016.5708915</v>
      </c>
      <c r="AA132" s="2">
        <f t="shared" si="11"/>
        <v>192674.12937704977</v>
      </c>
    </row>
    <row r="133" spans="1:27" x14ac:dyDescent="0.25">
      <c r="A133" s="2">
        <v>2035</v>
      </c>
      <c r="B133" s="2">
        <f>B12/'Output-Calculation-sheet'!B11*'Output-Calculation-sheet'!B110</f>
        <v>418332984.66469789</v>
      </c>
      <c r="C133" s="2">
        <f>C12/'Output-Calculation-sheet'!C11*'Output-Calculation-sheet'!C110</f>
        <v>0</v>
      </c>
      <c r="D133" s="2">
        <f>D12/'Output-Calculation-sheet'!D11*'Output-Calculation-sheet'!D110</f>
        <v>35366402738.824554</v>
      </c>
      <c r="E133" s="2">
        <f>E12/'Output-Calculation-sheet'!E11*'Output-Calculation-sheet'!E110</f>
        <v>13575813608.499531</v>
      </c>
      <c r="F133" s="2">
        <f>F12/'Output-Calculation-sheet'!F11*'Output-Calculation-sheet'!F110</f>
        <v>18519764890.877491</v>
      </c>
      <c r="G133" s="2">
        <f>G12/'Output-Calculation-sheet'!G11*'Output-Calculation-sheet'!G110</f>
        <v>12624873634.090714</v>
      </c>
      <c r="H133" s="2">
        <f>H12/'Output-Calculation-sheet'!H11*'Output-Calculation-sheet'!H110</f>
        <v>0</v>
      </c>
      <c r="I133" s="2">
        <f>I12/'Output-Calculation-sheet'!I11*'Output-Calculation-sheet'!I110</f>
        <v>11794865242.234039</v>
      </c>
      <c r="J133" s="2">
        <f>J12/'Output-Calculation-sheet'!J11*'Output-Calculation-sheet'!J110</f>
        <v>11292279415.39543</v>
      </c>
      <c r="K133" s="2">
        <f>K12/'Output-Calculation-sheet'!K11*'Output-Calculation-sheet'!K110</f>
        <v>11405981091.427616</v>
      </c>
      <c r="L133" s="2">
        <f>L12/'Output-Calculation-sheet'!L11*'Output-Calculation-sheet'!L110</f>
        <v>5384325876.9255037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1964555738.2533653</v>
      </c>
      <c r="Q133" s="2">
        <f>Q12/'Output-Calculation-sheet'!Q11*'Output-Calculation-sheet'!Q110</f>
        <v>1685264757.5161171</v>
      </c>
      <c r="R133" s="2">
        <f>R12/'Output-Calculation-sheet'!R11*'Output-Calculation-sheet'!R110</f>
        <v>6776024194.0437374</v>
      </c>
      <c r="S133" s="2">
        <f>S12/'Output-Calculation-sheet'!S11*'Output-Calculation-sheet'!S110</f>
        <v>1743637.5317412254</v>
      </c>
      <c r="T133" s="2">
        <f>T12/'Output-Calculation-sheet'!T11*'Output-Calculation-sheet'!T110</f>
        <v>2735559284.364552</v>
      </c>
      <c r="U133" s="2">
        <f>U12/'Output-Calculation-sheet'!U11*'Output-Calculation-sheet'!U110</f>
        <v>1284225099.4333682</v>
      </c>
      <c r="V133" s="2">
        <f>V12/'Output-Calculation-sheet'!V11*'Output-Calculation-sheet'!V110</f>
        <v>1845110450.0586424</v>
      </c>
      <c r="W133" s="2">
        <f>W12/'Output-Calculation-sheet'!W11*'Output-Calculation-sheet'!W110</f>
        <v>1591524179.1213017</v>
      </c>
      <c r="X133" s="2">
        <f>X12/'Output-Calculation-sheet'!X11*'Output-Calculation-sheet'!X110</f>
        <v>0</v>
      </c>
      <c r="Y133" s="2">
        <f>Y12/'Output-Calculation-sheet'!Y11*'Output-Calculation-sheet'!Y110</f>
        <v>364334190.75538766</v>
      </c>
      <c r="AA133" s="2">
        <f t="shared" si="11"/>
        <v>138630.9810140178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14298199507.927832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4494993768.4451685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3089791608.5315142</v>
      </c>
      <c r="N140" s="2">
        <f>N8/'Output-Calculation-sheet'!N7*'Output-Calculation-sheet'!N115</f>
        <v>1166518800.1238756</v>
      </c>
      <c r="O140" s="2">
        <f>O8/'Output-Calculation-sheet'!O7*'Output-Calculation-sheet'!O115</f>
        <v>3431498262.1776724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335514271.8243596</v>
      </c>
      <c r="Y140" s="2">
        <f>Y8/'Output-Calculation-sheet'!Y7*'Output-Calculation-sheet'!Y115</f>
        <v>0</v>
      </c>
      <c r="AA140" s="2">
        <f t="shared" si="12"/>
        <v>26816.516219030422</v>
      </c>
    </row>
    <row r="141" spans="1:27" x14ac:dyDescent="0.25">
      <c r="A141" s="2">
        <v>2032</v>
      </c>
      <c r="B141" s="2">
        <f>B9/'Output-Calculation-sheet'!B8*'Output-Calculation-sheet'!B116</f>
        <v>5797504012.0227671</v>
      </c>
      <c r="C141" s="2">
        <f>C9/'Output-Calculation-sheet'!C8*'Output-Calculation-sheet'!C116</f>
        <v>24816745153.570038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6469617844.0274525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4441924222.632515</v>
      </c>
      <c r="N141" s="2">
        <f>N9/'Output-Calculation-sheet'!N8*'Output-Calculation-sheet'!N116</f>
        <v>3083859551.5034294</v>
      </c>
      <c r="O141" s="2">
        <f>O9/'Output-Calculation-sheet'!O8*'Output-Calculation-sheet'!O116</f>
        <v>4817076088.7635574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1381291529.9250159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483487843.45620131</v>
      </c>
      <c r="Y141" s="2">
        <f>Y9/'Output-Calculation-sheet'!Y8*'Output-Calculation-sheet'!Y116</f>
        <v>0</v>
      </c>
      <c r="AA141" s="2">
        <f t="shared" si="12"/>
        <v>51291.506245900971</v>
      </c>
    </row>
    <row r="142" spans="1:27" x14ac:dyDescent="0.25">
      <c r="A142" s="2">
        <v>2033</v>
      </c>
      <c r="B142" s="2">
        <f>B10/'Output-Calculation-sheet'!B9*'Output-Calculation-sheet'!B117</f>
        <v>29279296337.271442</v>
      </c>
      <c r="C142" s="2">
        <f>C10/'Output-Calculation-sheet'!C9*'Output-Calculation-sheet'!C117</f>
        <v>30917727104.859074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9575448452.5577068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6580124740.7055645</v>
      </c>
      <c r="N142" s="2">
        <f>N10/'Output-Calculation-sheet'!N9*'Output-Calculation-sheet'!N117</f>
        <v>4963729421.842761</v>
      </c>
      <c r="O142" s="2">
        <f>O10/'Output-Calculation-sheet'!O9*'Output-Calculation-sheet'!O117</f>
        <v>6000738446.8448296</v>
      </c>
      <c r="P142" s="2">
        <f>P10/'Output-Calculation-sheet'!P9*'Output-Calculation-sheet'!P117</f>
        <v>0</v>
      </c>
      <c r="Q142" s="2">
        <f>Q10/'Output-Calculation-sheet'!Q9*'Output-Calculation-sheet'!Q117</f>
        <v>948001903.06918705</v>
      </c>
      <c r="R142" s="2">
        <f>R10/'Output-Calculation-sheet'!R9*'Output-Calculation-sheet'!R117</f>
        <v>0</v>
      </c>
      <c r="S142" s="2">
        <f>S10/'Output-Calculation-sheet'!S9*'Output-Calculation-sheet'!S117</f>
        <v>2413592349.9574485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721365826.49028814</v>
      </c>
      <c r="Y142" s="2">
        <f>Y10/'Output-Calculation-sheet'!Y9*'Output-Calculation-sheet'!Y117</f>
        <v>0</v>
      </c>
      <c r="AA142" s="2">
        <f t="shared" si="12"/>
        <v>91400.024583598293</v>
      </c>
    </row>
    <row r="143" spans="1:27" x14ac:dyDescent="0.25">
      <c r="A143" s="2">
        <v>2034</v>
      </c>
      <c r="B143" s="2">
        <f>B11/'Output-Calculation-sheet'!B10*'Output-Calculation-sheet'!B118</f>
        <v>50956472469.68589</v>
      </c>
      <c r="C143" s="2">
        <f>C11/'Output-Calculation-sheet'!C10*'Output-Calculation-sheet'!C118</f>
        <v>39096650236.485855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10837785956.057718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7443511877.1149664</v>
      </c>
      <c r="N143" s="2">
        <f>N11/'Output-Calculation-sheet'!N10*'Output-Calculation-sheet'!N118</f>
        <v>6549693329.4107695</v>
      </c>
      <c r="O143" s="2">
        <f>O11/'Output-Calculation-sheet'!O10*'Output-Calculation-sheet'!O118</f>
        <v>7595393004.973732</v>
      </c>
      <c r="P143" s="2">
        <f>P11/'Output-Calculation-sheet'!P10*'Output-Calculation-sheet'!P118</f>
        <v>1371325781.2747951</v>
      </c>
      <c r="Q143" s="2">
        <f>Q11/'Output-Calculation-sheet'!Q10*'Output-Calculation-sheet'!Q118</f>
        <v>3218648130.2882581</v>
      </c>
      <c r="R143" s="2">
        <f>R11/'Output-Calculation-sheet'!R10*'Output-Calculation-sheet'!R118</f>
        <v>0</v>
      </c>
      <c r="S143" s="2">
        <f>S11/'Output-Calculation-sheet'!S10*'Output-Calculation-sheet'!S118</f>
        <v>3771306525.9671097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817184351.89763844</v>
      </c>
      <c r="Y143" s="2">
        <f>Y11/'Output-Calculation-sheet'!Y10*'Output-Calculation-sheet'!Y118</f>
        <v>145835549.08731669</v>
      </c>
      <c r="AA143" s="2">
        <f t="shared" si="12"/>
        <v>131803.80721224405</v>
      </c>
    </row>
    <row r="144" spans="1:27" x14ac:dyDescent="0.25">
      <c r="A144" s="2">
        <v>2035</v>
      </c>
      <c r="B144" s="2">
        <f>B12/'Output-Calculation-sheet'!B11*'Output-Calculation-sheet'!B119</f>
        <v>85722864112.605286</v>
      </c>
      <c r="C144" s="2">
        <f>C12/'Output-Calculation-sheet'!C11*'Output-Calculation-sheet'!C119</f>
        <v>41183169202.765816</v>
      </c>
      <c r="D144" s="2">
        <f>D12/'Output-Calculation-sheet'!D11*'Output-Calculation-sheet'!D119</f>
        <v>0</v>
      </c>
      <c r="E144" s="2">
        <f>E12/'Output-Calculation-sheet'!E11*'Output-Calculation-sheet'!E119</f>
        <v>13862806286.122318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12442155379.724394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2856426020.1501188</v>
      </c>
      <c r="M144" s="2">
        <f>M12/'Output-Calculation-sheet'!M11*'Output-Calculation-sheet'!M119</f>
        <v>8479712764.8639488</v>
      </c>
      <c r="N144" s="2">
        <f>N12/'Output-Calculation-sheet'!N11*'Output-Calculation-sheet'!N119</f>
        <v>8377997645.614727</v>
      </c>
      <c r="O144" s="2">
        <f>O12/'Output-Calculation-sheet'!O11*'Output-Calculation-sheet'!O119</f>
        <v>8006056676.0411625</v>
      </c>
      <c r="P144" s="2">
        <f>P12/'Output-Calculation-sheet'!P11*'Output-Calculation-sheet'!P119</f>
        <v>5980295169.2763834</v>
      </c>
      <c r="Q144" s="2">
        <f>Q12/'Output-Calculation-sheet'!Q11*'Output-Calculation-sheet'!Q119</f>
        <v>5649592591.3559923</v>
      </c>
      <c r="R144" s="2">
        <f>R12/'Output-Calculation-sheet'!R11*'Output-Calculation-sheet'!R119</f>
        <v>636003500.12318552</v>
      </c>
      <c r="S144" s="2">
        <f>S12/'Output-Calculation-sheet'!S11*'Output-Calculation-sheet'!S119</f>
        <v>4828386235.2089415</v>
      </c>
      <c r="T144" s="2">
        <f>T12/'Output-Calculation-sheet'!T11*'Output-Calculation-sheet'!T119</f>
        <v>0</v>
      </c>
      <c r="U144" s="2">
        <f>U12/'Output-Calculation-sheet'!U11*'Output-Calculation-sheet'!U119</f>
        <v>1050356363.8005991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951638296.80710495</v>
      </c>
      <c r="Y144" s="2">
        <f>Y12/'Output-Calculation-sheet'!Y11*'Output-Calculation-sheet'!Y119</f>
        <v>509276624.66817832</v>
      </c>
      <c r="AA144" s="2">
        <f t="shared" si="12"/>
        <v>200536.73686912819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371218351.44138914</v>
      </c>
      <c r="C155" s="2">
        <f>C12/'Output-Calculation-sheet'!C11*'Output-Calculation-sheet'!C128</f>
        <v>35464568.439127013</v>
      </c>
      <c r="D155" s="2">
        <f>D12/'Output-Calculation-sheet'!D11*'Output-Calculation-sheet'!D128</f>
        <v>2656703397.1228137</v>
      </c>
      <c r="E155" s="2">
        <f>E12/'Output-Calculation-sheet'!E11*'Output-Calculation-sheet'!E128</f>
        <v>396082641.7566694</v>
      </c>
      <c r="F155" s="2">
        <f>F12/'Output-Calculation-sheet'!F11*'Output-Calculation-sheet'!F128</f>
        <v>820518029.02496266</v>
      </c>
      <c r="G155" s="2">
        <f>G12/'Output-Calculation-sheet'!G11*'Output-Calculation-sheet'!G128</f>
        <v>1032317511.2638607</v>
      </c>
      <c r="H155" s="2">
        <f>H12/'Output-Calculation-sheet'!H11*'Output-Calculation-sheet'!H128</f>
        <v>78231584.443677336</v>
      </c>
      <c r="I155" s="2">
        <f>I12/'Output-Calculation-sheet'!I11*'Output-Calculation-sheet'!I128</f>
        <v>620677902.6484381</v>
      </c>
      <c r="J155" s="2">
        <f>J12/'Output-Calculation-sheet'!J11*'Output-Calculation-sheet'!J128</f>
        <v>698385517.00373948</v>
      </c>
      <c r="K155" s="2">
        <f>K12/'Output-Calculation-sheet'!K11*'Output-Calculation-sheet'!K128</f>
        <v>523524265.86754906</v>
      </c>
      <c r="L155" s="2">
        <f>L12/'Output-Calculation-sheet'!L11*'Output-Calculation-sheet'!L128</f>
        <v>166120404.18385464</v>
      </c>
      <c r="M155" s="2">
        <f>M12/'Output-Calculation-sheet'!M11*'Output-Calculation-sheet'!M128</f>
        <v>62194659.068267941</v>
      </c>
      <c r="N155" s="2">
        <f>N12/'Output-Calculation-sheet'!N11*'Output-Calculation-sheet'!N128</f>
        <v>56845596.182060905</v>
      </c>
      <c r="O155" s="2">
        <f>O12/'Output-Calculation-sheet'!O11*'Output-Calculation-sheet'!O128</f>
        <v>10042167.65726007</v>
      </c>
      <c r="P155" s="2">
        <f>P12/'Output-Calculation-sheet'!P11*'Output-Calculation-sheet'!P128</f>
        <v>42324862.75614173</v>
      </c>
      <c r="Q155" s="2">
        <f>Q12/'Output-Calculation-sheet'!Q11*'Output-Calculation-sheet'!Q128</f>
        <v>143182457.51561129</v>
      </c>
      <c r="R155" s="2">
        <f>R12/'Output-Calculation-sheet'!R11*'Output-Calculation-sheet'!R128</f>
        <v>289946593.73383671</v>
      </c>
      <c r="S155" s="2">
        <f>S12/'Output-Calculation-sheet'!S11*'Output-Calculation-sheet'!S128</f>
        <v>34857132.657702006</v>
      </c>
      <c r="T155" s="2">
        <f>T12/'Output-Calculation-sheet'!T11*'Output-Calculation-sheet'!T128</f>
        <v>90519941.787487447</v>
      </c>
      <c r="U155" s="2">
        <f>U12/'Output-Calculation-sheet'!U11*'Output-Calculation-sheet'!U128</f>
        <v>49824232.64151632</v>
      </c>
      <c r="V155" s="2">
        <f>V12/'Output-Calculation-sheet'!V11*'Output-Calculation-sheet'!V128</f>
        <v>37117041.599272862</v>
      </c>
      <c r="W155" s="2">
        <f>W12/'Output-Calculation-sheet'!W11*'Output-Calculation-sheet'!W128</f>
        <v>59994997.813486703</v>
      </c>
      <c r="X155" s="2">
        <f>X12/'Output-Calculation-sheet'!X11*'Output-Calculation-sheet'!X128</f>
        <v>1873774.5738439101</v>
      </c>
      <c r="Y155" s="2">
        <f>Y12/'Output-Calculation-sheet'!Y11*'Output-Calculation-sheet'!Y128</f>
        <v>12567082.601891473</v>
      </c>
      <c r="AA155" s="2">
        <f t="shared" si="13"/>
        <v>8290.5347137844619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5006.6781210898826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1516.5830067455383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1053.4787691646818</v>
      </c>
      <c r="N19" s="2">
        <f>N8/'Output-Calculation-sheet'!N7*'Output-Calculation-sheet'!N25</f>
        <v>876.36984548880605</v>
      </c>
      <c r="O19" s="2">
        <f>O8/'Output-Calculation-sheet'!O7*'Output-Calculation-sheet'!O25</f>
        <v>550.01680588917873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114.01570767437123</v>
      </c>
      <c r="Y19" s="2">
        <f>Y8/'Output-Calculation-sheet'!Y7*'Output-Calculation-sheet'!Y25</f>
        <v>0</v>
      </c>
      <c r="AA19" s="2">
        <f t="shared" si="0"/>
        <v>10.586564407332709</v>
      </c>
    </row>
    <row r="20" spans="1:27" x14ac:dyDescent="0.25">
      <c r="A20" s="2">
        <v>2032</v>
      </c>
      <c r="B20" s="2">
        <f>B9/'Output-Calculation-sheet'!B8*'Output-Calculation-sheet'!B26</f>
        <v>5272.5976585277222</v>
      </c>
      <c r="C20" s="2">
        <f>C9/'Output-Calculation-sheet'!C8*'Output-Calculation-sheet'!C26</f>
        <v>2891.3638326319947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1735.6999853424995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1212.9191285697975</v>
      </c>
      <c r="N20" s="2">
        <f>N9/'Output-Calculation-sheet'!N8*'Output-Calculation-sheet'!N26</f>
        <v>840.58600796341864</v>
      </c>
      <c r="O20" s="2">
        <f>O9/'Output-Calculation-sheet'!O8*'Output-Calculation-sheet'!O26</f>
        <v>564.91890983347082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398.7346721802698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131.98331578795342</v>
      </c>
      <c r="Y20" s="2">
        <f>Y9/'Output-Calculation-sheet'!Y8*'Output-Calculation-sheet'!Y26</f>
        <v>0</v>
      </c>
      <c r="AA20" s="2">
        <f t="shared" si="0"/>
        <v>13.048803510837127</v>
      </c>
    </row>
    <row r="21" spans="1:27" x14ac:dyDescent="0.25">
      <c r="A21" s="2">
        <v>2033</v>
      </c>
      <c r="B21" s="2">
        <f>B10/'Output-Calculation-sheet'!B9*'Output-Calculation-sheet'!B27</f>
        <v>5011.1095167515477</v>
      </c>
      <c r="C21" s="2">
        <f>C10/'Output-Calculation-sheet'!C9*'Output-Calculation-sheet'!C27</f>
        <v>3080.0399801933636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1009.8736294697424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714.79688571522581</v>
      </c>
      <c r="N21" s="2">
        <f>N10/'Output-Calculation-sheet'!N9*'Output-Calculation-sheet'!N27</f>
        <v>723.87287039088937</v>
      </c>
      <c r="O21" s="2">
        <f>O10/'Output-Calculation-sheet'!O9*'Output-Calculation-sheet'!O27</f>
        <v>603.0057942944967</v>
      </c>
      <c r="P21" s="2">
        <f>P10/'Output-Calculation-sheet'!P9*'Output-Calculation-sheet'!P27</f>
        <v>0</v>
      </c>
      <c r="Q21" s="2">
        <f>Q10/'Output-Calculation-sheet'!Q9*'Output-Calculation-sheet'!Q27</f>
        <v>8.5461802949647705</v>
      </c>
      <c r="R21" s="2">
        <f>R10/'Output-Calculation-sheet'!R9*'Output-Calculation-sheet'!R27</f>
        <v>0</v>
      </c>
      <c r="S21" s="2">
        <f>S10/'Output-Calculation-sheet'!S9*'Output-Calculation-sheet'!S27</f>
        <v>344.68145993926811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71.375541039660718</v>
      </c>
      <c r="Y21" s="2">
        <f>Y10/'Output-Calculation-sheet'!Y9*'Output-Calculation-sheet'!Y27</f>
        <v>0</v>
      </c>
      <c r="AA21" s="2">
        <f t="shared" si="0"/>
        <v>11.567301858089159</v>
      </c>
    </row>
    <row r="22" spans="1:27" x14ac:dyDescent="0.25">
      <c r="A22" s="2">
        <v>2034</v>
      </c>
      <c r="B22" s="2">
        <f>B11/'Output-Calculation-sheet'!B10*'Output-Calculation-sheet'!B28</f>
        <v>4430.6997767091643</v>
      </c>
      <c r="C22" s="2">
        <f>C11/'Output-Calculation-sheet'!C10*'Output-Calculation-sheet'!C28</f>
        <v>447.26160650638269</v>
      </c>
      <c r="D22" s="2">
        <f>D11/'Output-Calculation-sheet'!D10*'Output-Calculation-sheet'!D28</f>
        <v>0</v>
      </c>
      <c r="E22" s="2">
        <f>E11/'Output-Calculation-sheet'!E10*'Output-Calculation-sheet'!E28</f>
        <v>1485.1502127864746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1177.6748513896225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900.71700328535189</v>
      </c>
      <c r="M22" s="2">
        <f>M11/'Output-Calculation-sheet'!M10*'Output-Calculation-sheet'!M28</f>
        <v>838.14670281134738</v>
      </c>
      <c r="N22" s="2">
        <f>N11/'Output-Calculation-sheet'!N10*'Output-Calculation-sheet'!N28</f>
        <v>560.30585260865212</v>
      </c>
      <c r="O22" s="2">
        <f>O11/'Output-Calculation-sheet'!O10*'Output-Calculation-sheet'!O28</f>
        <v>87.731405027767977</v>
      </c>
      <c r="P22" s="2">
        <f>P11/'Output-Calculation-sheet'!P10*'Output-Calculation-sheet'!P28</f>
        <v>0</v>
      </c>
      <c r="Q22" s="2">
        <f>Q11/'Output-Calculation-sheet'!Q10*'Output-Calculation-sheet'!Q28</f>
        <v>265.61919273049546</v>
      </c>
      <c r="R22" s="2">
        <f>R11/'Output-Calculation-sheet'!R10*'Output-Calculation-sheet'!R28</f>
        <v>0</v>
      </c>
      <c r="S22" s="2">
        <f>S11/'Output-Calculation-sheet'!S10*'Output-Calculation-sheet'!S28</f>
        <v>209.7962869926877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82.353749194800329</v>
      </c>
      <c r="Y22" s="2">
        <f>Y11/'Output-Calculation-sheet'!Y10*'Output-Calculation-sheet'!Y28</f>
        <v>15.663927901312002</v>
      </c>
      <c r="AA22" s="2">
        <f t="shared" si="0"/>
        <v>10.501120567944056</v>
      </c>
    </row>
    <row r="23" spans="1:27" x14ac:dyDescent="0.25">
      <c r="A23" s="2">
        <v>2035</v>
      </c>
      <c r="B23" s="2">
        <f>B12/'Output-Calculation-sheet'!B11*'Output-Calculation-sheet'!B29</f>
        <v>1528.3612204966259</v>
      </c>
      <c r="C23" s="2">
        <f>C12/'Output-Calculation-sheet'!C11*'Output-Calculation-sheet'!C29</f>
        <v>262.84852105347034</v>
      </c>
      <c r="D23" s="2">
        <f>D12/'Output-Calculation-sheet'!D11*'Output-Calculation-sheet'!D29</f>
        <v>0</v>
      </c>
      <c r="E23" s="2">
        <f>E12/'Output-Calculation-sheet'!E11*'Output-Calculation-sheet'!E29</f>
        <v>2140.0480179592564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409.94868402191366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1295.111053165874</v>
      </c>
      <c r="M23" s="2">
        <f>M12/'Output-Calculation-sheet'!M11*'Output-Calculation-sheet'!M29</f>
        <v>369.78748497363432</v>
      </c>
      <c r="N23" s="2">
        <f>N12/'Output-Calculation-sheet'!N11*'Output-Calculation-sheet'!N29</f>
        <v>310.02965992364545</v>
      </c>
      <c r="O23" s="2">
        <f>O12/'Output-Calculation-sheet'!O11*'Output-Calculation-sheet'!O29</f>
        <v>44.799511073661677</v>
      </c>
      <c r="P23" s="2">
        <f>P12/'Output-Calculation-sheet'!P11*'Output-Calculation-sheet'!P29</f>
        <v>19.852794762361395</v>
      </c>
      <c r="Q23" s="2">
        <f>Q12/'Output-Calculation-sheet'!Q11*'Output-Calculation-sheet'!Q29</f>
        <v>399.7133320584515</v>
      </c>
      <c r="R23" s="2">
        <f>R12/'Output-Calculation-sheet'!R11*'Output-Calculation-sheet'!R29</f>
        <v>0</v>
      </c>
      <c r="S23" s="2">
        <f>S12/'Output-Calculation-sheet'!S11*'Output-Calculation-sheet'!S29</f>
        <v>151.80026585464682</v>
      </c>
      <c r="T23" s="2">
        <f>T12/'Output-Calculation-sheet'!T11*'Output-Calculation-sheet'!T29</f>
        <v>0</v>
      </c>
      <c r="U23" s="2">
        <f>U12/'Output-Calculation-sheet'!U11*'Output-Calculation-sheet'!U29</f>
        <v>108.83684289913758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13.115282799588687</v>
      </c>
      <c r="Y23" s="2">
        <f>Y12/'Output-Calculation-sheet'!Y11*'Output-Calculation-sheet'!Y29</f>
        <v>70.286433886946668</v>
      </c>
      <c r="AA23" s="2">
        <f t="shared" si="0"/>
        <v>7.124539104929215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999.0430859603058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39.169935789165116</v>
      </c>
    </row>
    <row r="31" spans="1:27" x14ac:dyDescent="0.25">
      <c r="A31" s="2">
        <v>2032</v>
      </c>
      <c r="B31" s="2">
        <f>B9/'Output-Calculation-sheet'!B8*'Output-Calculation-sheet'!B17</f>
        <v>22168.183871202556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866.79935283475754</v>
      </c>
      <c r="O31" s="2">
        <f>O9/'Output-Calculation-sheet'!O8*'Output-Calculation-sheet'!O17</f>
        <v>0</v>
      </c>
      <c r="P31" s="2">
        <f>P9/'Output-Calculation-sheet'!P8*'Output-Calculation-sheet'!P17</f>
        <v>2167.0042126548551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717.4218936566964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50.790519743455704</v>
      </c>
    </row>
    <row r="32" spans="1:27" x14ac:dyDescent="0.25">
      <c r="A32" s="2">
        <v>2033</v>
      </c>
      <c r="B32" s="2">
        <f>B10/'Output-Calculation-sheet'!B9*'Output-Calculation-sheet'!B18</f>
        <v>18126.507980467286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2837.9565335015504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733.67388018798204</v>
      </c>
      <c r="O32" s="2">
        <f>O10/'Output-Calculation-sheet'!O9*'Output-Calculation-sheet'!O18</f>
        <v>0</v>
      </c>
      <c r="P32" s="2">
        <f>P10/'Output-Calculation-sheet'!P9*'Output-Calculation-sheet'!P18</f>
        <v>2920.8244460068499</v>
      </c>
      <c r="Q32" s="2">
        <f>Q10/'Output-Calculation-sheet'!Q9*'Output-Calculation-sheet'!Q18</f>
        <v>2704.279598183241</v>
      </c>
      <c r="R32" s="2">
        <f>R10/'Output-Calculation-sheet'!R9*'Output-Calculation-sheet'!R18</f>
        <v>2097.3675636955136</v>
      </c>
      <c r="S32" s="2">
        <f>S10/'Output-Calculation-sheet'!S9*'Output-Calculation-sheet'!S18</f>
        <v>667.42637073269384</v>
      </c>
      <c r="T32" s="2">
        <f>T10/'Output-Calculation-sheet'!T9*'Output-Calculation-sheet'!T18</f>
        <v>612.36784034449863</v>
      </c>
      <c r="U32" s="2">
        <f>U10/'Output-Calculation-sheet'!U9*'Output-Calculation-sheet'!U18</f>
        <v>676.96641414738849</v>
      </c>
      <c r="V32" s="2">
        <f>V10/'Output-Calculation-sheet'!V9*'Output-Calculation-sheet'!V18</f>
        <v>499.69252158095105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289.28261905864451</v>
      </c>
      <c r="AA32" s="2">
        <f t="shared" si="1"/>
        <v>57.625846158218963</v>
      </c>
    </row>
    <row r="33" spans="1:27" x14ac:dyDescent="0.25">
      <c r="A33" s="2">
        <v>2034</v>
      </c>
      <c r="B33" s="2">
        <f>B11/'Output-Calculation-sheet'!B10*'Output-Calculation-sheet'!B19</f>
        <v>13405.76390498725</v>
      </c>
      <c r="C33" s="2">
        <f>C11/'Output-Calculation-sheet'!C10*'Output-Calculation-sheet'!C19</f>
        <v>0</v>
      </c>
      <c r="D33" s="2">
        <f>D11/'Output-Calculation-sheet'!D10*'Output-Calculation-sheet'!D19</f>
        <v>8914.5819447287522</v>
      </c>
      <c r="E33" s="2">
        <f>E11/'Output-Calculation-sheet'!E10*'Output-Calculation-sheet'!E19</f>
        <v>11050.576972231302</v>
      </c>
      <c r="F33" s="2">
        <f>F11/'Output-Calculation-sheet'!F10*'Output-Calculation-sheet'!F19</f>
        <v>5059.8676728757155</v>
      </c>
      <c r="G33" s="2">
        <f>G11/'Output-Calculation-sheet'!G10*'Output-Calculation-sheet'!G19</f>
        <v>3034.2111686552544</v>
      </c>
      <c r="H33" s="2">
        <f>H11/'Output-Calculation-sheet'!H10*'Output-Calculation-sheet'!H19</f>
        <v>0</v>
      </c>
      <c r="I33" s="2">
        <f>I11/'Output-Calculation-sheet'!I10*'Output-Calculation-sheet'!I19</f>
        <v>3311.181129936972</v>
      </c>
      <c r="J33" s="2">
        <f>J11/'Output-Calculation-sheet'!J10*'Output-Calculation-sheet'!J19</f>
        <v>2799.4994843134514</v>
      </c>
      <c r="K33" s="2">
        <f>K11/'Output-Calculation-sheet'!K10*'Output-Calculation-sheet'!K19</f>
        <v>3883.5079156972988</v>
      </c>
      <c r="L33" s="2">
        <f>L11/'Output-Calculation-sheet'!L10*'Output-Calculation-sheet'!L19</f>
        <v>3158.46705209226</v>
      </c>
      <c r="M33" s="2">
        <f>M11/'Output-Calculation-sheet'!M10*'Output-Calculation-sheet'!M19</f>
        <v>0</v>
      </c>
      <c r="N33" s="2">
        <f>N11/'Output-Calculation-sheet'!N10*'Output-Calculation-sheet'!N19</f>
        <v>599.54048472572504</v>
      </c>
      <c r="O33" s="2">
        <f>O11/'Output-Calculation-sheet'!O10*'Output-Calculation-sheet'!O19</f>
        <v>0</v>
      </c>
      <c r="P33" s="2">
        <f>P11/'Output-Calculation-sheet'!P10*'Output-Calculation-sheet'!P19</f>
        <v>2967.8230866308691</v>
      </c>
      <c r="Q33" s="2">
        <f>Q11/'Output-Calculation-sheet'!Q10*'Output-Calculation-sheet'!Q19</f>
        <v>1918.5213443302391</v>
      </c>
      <c r="R33" s="2">
        <f>R11/'Output-Calculation-sheet'!R10*'Output-Calculation-sheet'!R19</f>
        <v>2806.114938462993</v>
      </c>
      <c r="S33" s="2">
        <f>S11/'Output-Calculation-sheet'!S10*'Output-Calculation-sheet'!S19</f>
        <v>381.1273198936214</v>
      </c>
      <c r="T33" s="2">
        <f>T11/'Output-Calculation-sheet'!T10*'Output-Calculation-sheet'!T19</f>
        <v>823.01851443751627</v>
      </c>
      <c r="U33" s="2">
        <f>U11/'Output-Calculation-sheet'!U10*'Output-Calculation-sheet'!U19</f>
        <v>946.71694479245923</v>
      </c>
      <c r="V33" s="2">
        <f>V11/'Output-Calculation-sheet'!V10*'Output-Calculation-sheet'!V19</f>
        <v>645.58906205077324</v>
      </c>
      <c r="W33" s="2">
        <f>W11/'Output-Calculation-sheet'!W10*'Output-Calculation-sheet'!W19</f>
        <v>401.92149051724914</v>
      </c>
      <c r="X33" s="2">
        <f>X11/'Output-Calculation-sheet'!X10*'Output-Calculation-sheet'!X19</f>
        <v>0</v>
      </c>
      <c r="Y33" s="2">
        <f>Y11/'Output-Calculation-sheet'!Y10*'Output-Calculation-sheet'!Y19</f>
        <v>306.88555177284712</v>
      </c>
      <c r="AA33" s="2">
        <f t="shared" si="1"/>
        <v>66.414915983132545</v>
      </c>
    </row>
    <row r="34" spans="1:27" x14ac:dyDescent="0.25">
      <c r="A34" s="2">
        <v>2035</v>
      </c>
      <c r="B34" s="2">
        <f>B12/'Output-Calculation-sheet'!B11*'Output-Calculation-sheet'!B20</f>
        <v>217.86987545796362</v>
      </c>
      <c r="C34" s="2">
        <f>C12/'Output-Calculation-sheet'!C11*'Output-Calculation-sheet'!C20</f>
        <v>0</v>
      </c>
      <c r="D34" s="2">
        <f>D12/'Output-Calculation-sheet'!D11*'Output-Calculation-sheet'!D20</f>
        <v>10794.448046673593</v>
      </c>
      <c r="E34" s="2">
        <f>E12/'Output-Calculation-sheet'!E11*'Output-Calculation-sheet'!E20</f>
        <v>4350.0559313439699</v>
      </c>
      <c r="F34" s="2">
        <f>F12/'Output-Calculation-sheet'!F11*'Output-Calculation-sheet'!F20</f>
        <v>7131.3571257472049</v>
      </c>
      <c r="G34" s="2">
        <f>G12/'Output-Calculation-sheet'!G11*'Output-Calculation-sheet'!G20</f>
        <v>3568.2772587181398</v>
      </c>
      <c r="H34" s="2">
        <f>H12/'Output-Calculation-sheet'!H11*'Output-Calculation-sheet'!H20</f>
        <v>0</v>
      </c>
      <c r="I34" s="2">
        <f>I12/'Output-Calculation-sheet'!I11*'Output-Calculation-sheet'!I20</f>
        <v>4325.5495577604688</v>
      </c>
      <c r="J34" s="2">
        <f>J12/'Output-Calculation-sheet'!J11*'Output-Calculation-sheet'!J20</f>
        <v>3624.7515051269497</v>
      </c>
      <c r="K34" s="2">
        <f>K12/'Output-Calculation-sheet'!K11*'Output-Calculation-sheet'!K20</f>
        <v>5113.9982294845349</v>
      </c>
      <c r="L34" s="2">
        <f>L12/'Output-Calculation-sheet'!L11*'Output-Calculation-sheet'!L20</f>
        <v>1953.5324576916057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823.78862557929745</v>
      </c>
      <c r="Q34" s="2">
        <f>Q12/'Output-Calculation-sheet'!Q11*'Output-Calculation-sheet'!Q20</f>
        <v>800.78041258529663</v>
      </c>
      <c r="R34" s="2">
        <f>R12/'Output-Calculation-sheet'!R11*'Output-Calculation-sheet'!R20</f>
        <v>3225.4462978430624</v>
      </c>
      <c r="S34" s="2">
        <f>S12/'Output-Calculation-sheet'!S11*'Output-Calculation-sheet'!S20</f>
        <v>1.0078740238369359</v>
      </c>
      <c r="T34" s="2">
        <f>T12/'Output-Calculation-sheet'!T11*'Output-Calculation-sheet'!T20</f>
        <v>1060.1186398639463</v>
      </c>
      <c r="U34" s="2">
        <f>U12/'Output-Calculation-sheet'!U11*'Output-Calculation-sheet'!U20</f>
        <v>446.35575962091804</v>
      </c>
      <c r="V34" s="2">
        <f>V12/'Output-Calculation-sheet'!V11*'Output-Calculation-sheet'!V20</f>
        <v>958.27369135369179</v>
      </c>
      <c r="W34" s="2">
        <f>W12/'Output-Calculation-sheet'!W11*'Output-Calculation-sheet'!W20</f>
        <v>567.52352426536106</v>
      </c>
      <c r="X34" s="2">
        <f>X12/'Output-Calculation-sheet'!X11*'Output-Calculation-sheet'!X20</f>
        <v>0</v>
      </c>
      <c r="Y34" s="2">
        <f>Y12/'Output-Calculation-sheet'!Y11*'Output-Calculation-sheet'!Y20</f>
        <v>120.69461152027661</v>
      </c>
      <c r="AA34" s="2">
        <f t="shared" si="1"/>
        <v>49.083829424660117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9.3361756845210031E-2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1.2752682723329009E-2</v>
      </c>
      <c r="Q45" s="2">
        <f>Q12/'Output-Calculation-sheet'!Q11*'Output-Calculation-sheet'!Q38*0.0114</f>
        <v>1.2094617977811554E-2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1.1576731048657043E-2</v>
      </c>
      <c r="V45" s="2">
        <f>V12/'Output-Calculation-sheet'!V11*'Output-Calculation-sheet'!V38*0.0114</f>
        <v>5.9511139797410306E-3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4.4606929115237719E-3</v>
      </c>
      <c r="AA45" s="2">
        <f t="shared" si="2"/>
        <v>1.0565752844394458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0.14134341406761275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185.9523719614071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0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17.350729638394402</v>
      </c>
      <c r="AA54" s="2">
        <f t="shared" si="3"/>
        <v>4.580524139746454</v>
      </c>
    </row>
    <row r="55" spans="1:27" x14ac:dyDescent="0.25">
      <c r="A55" s="2">
        <v>2034</v>
      </c>
      <c r="B55" s="2">
        <f>B11/'Output-Calculation-sheet'!B10*'Output-Calculation-sheet'!B46</f>
        <v>1751.5601221454335</v>
      </c>
      <c r="C55" s="2">
        <f>C11/'Output-Calculation-sheet'!C10*'Output-Calculation-sheet'!C46</f>
        <v>0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597.12206787075513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442.57440446393224</v>
      </c>
      <c r="N55" s="2">
        <f>N11/'Output-Calculation-sheet'!N10*'Output-Calculation-sheet'!N46</f>
        <v>151.14650220075168</v>
      </c>
      <c r="O55" s="2">
        <f>O11/'Output-Calculation-sheet'!O10*'Output-Calculation-sheet'!O46</f>
        <v>0</v>
      </c>
      <c r="P55" s="2">
        <f>P11/'Output-Calculation-sheet'!P10*'Output-Calculation-sheet'!P46</f>
        <v>3287.2336930370138</v>
      </c>
      <c r="Q55" s="2">
        <f>Q11/'Output-Calculation-sheet'!Q10*'Output-Calculation-sheet'!Q46</f>
        <v>634.8431740274292</v>
      </c>
      <c r="R55" s="2">
        <f>R11/'Output-Calculation-sheet'!R10*'Output-Calculation-sheet'!R46</f>
        <v>4071.1308952554632</v>
      </c>
      <c r="S55" s="2">
        <f>S11/'Output-Calculation-sheet'!S10*'Output-Calculation-sheet'!S46</f>
        <v>0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1546.8867479568435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42.240947239367465</v>
      </c>
      <c r="Y55" s="2">
        <f>Y11/'Output-Calculation-sheet'!Y10*'Output-Calculation-sheet'!Y46</f>
        <v>219.35141302149083</v>
      </c>
      <c r="AA55" s="2">
        <f t="shared" si="3"/>
        <v>43.829567609886226</v>
      </c>
    </row>
    <row r="56" spans="1:27" x14ac:dyDescent="0.25">
      <c r="A56" s="2">
        <v>2035</v>
      </c>
      <c r="B56" s="2">
        <f>B12/'Output-Calculation-sheet'!B11*'Output-Calculation-sheet'!B47</f>
        <v>600.49633802678693</v>
      </c>
      <c r="C56" s="2">
        <f>C12/'Output-Calculation-sheet'!C11*'Output-Calculation-sheet'!C47</f>
        <v>453.6885293686808</v>
      </c>
      <c r="D56" s="2">
        <f>D12/'Output-Calculation-sheet'!D11*'Output-Calculation-sheet'!D47</f>
        <v>21434.117036668933</v>
      </c>
      <c r="E56" s="2">
        <f>E12/'Output-Calculation-sheet'!E11*'Output-Calculation-sheet'!E47</f>
        <v>9835.7429799208094</v>
      </c>
      <c r="F56" s="2">
        <f>F12/'Output-Calculation-sheet'!F11*'Output-Calculation-sheet'!F47</f>
        <v>5042.547496787025</v>
      </c>
      <c r="G56" s="2">
        <f>G12/'Output-Calculation-sheet'!G11*'Output-Calculation-sheet'!G47</f>
        <v>8097.375279874158</v>
      </c>
      <c r="H56" s="2">
        <f>H12/'Output-Calculation-sheet'!H11*'Output-Calculation-sheet'!H47</f>
        <v>175.46950315625875</v>
      </c>
      <c r="I56" s="2">
        <f>I12/'Output-Calculation-sheet'!I11*'Output-Calculation-sheet'!I47</f>
        <v>7376.1845491970262</v>
      </c>
      <c r="J56" s="2">
        <f>J12/'Output-Calculation-sheet'!J11*'Output-Calculation-sheet'!J47</f>
        <v>6363.8314157079121</v>
      </c>
      <c r="K56" s="2">
        <f>K12/'Output-Calculation-sheet'!K11*'Output-Calculation-sheet'!K47</f>
        <v>8582.8778761341728</v>
      </c>
      <c r="L56" s="2">
        <f>L12/'Output-Calculation-sheet'!L11*'Output-Calculation-sheet'!L47</f>
        <v>3826.150599812308</v>
      </c>
      <c r="M56" s="2">
        <f>M12/'Output-Calculation-sheet'!M11*'Output-Calculation-sheet'!M47</f>
        <v>162.62951541776803</v>
      </c>
      <c r="N56" s="2">
        <f>N12/'Output-Calculation-sheet'!N11*'Output-Calculation-sheet'!N47</f>
        <v>110.19165128343509</v>
      </c>
      <c r="O56" s="2">
        <f>O12/'Output-Calculation-sheet'!O11*'Output-Calculation-sheet'!O47</f>
        <v>82.489136568059877</v>
      </c>
      <c r="P56" s="2">
        <f>P12/'Output-Calculation-sheet'!P11*'Output-Calculation-sheet'!P47</f>
        <v>861.36541201432772</v>
      </c>
      <c r="Q56" s="2">
        <f>Q12/'Output-Calculation-sheet'!Q11*'Output-Calculation-sheet'!Q47</f>
        <v>820.09997340774828</v>
      </c>
      <c r="R56" s="2">
        <f>R12/'Output-Calculation-sheet'!R11*'Output-Calculation-sheet'!R47</f>
        <v>6050.7044136316281</v>
      </c>
      <c r="S56" s="2">
        <f>S12/'Output-Calculation-sheet'!S11*'Output-Calculation-sheet'!S47</f>
        <v>57.612633593984633</v>
      </c>
      <c r="T56" s="2">
        <f>T12/'Output-Calculation-sheet'!T11*'Output-Calculation-sheet'!T47</f>
        <v>2649.1833665672443</v>
      </c>
      <c r="U56" s="2">
        <f>U12/'Output-Calculation-sheet'!U11*'Output-Calculation-sheet'!U47</f>
        <v>1065.6008579290169</v>
      </c>
      <c r="V56" s="2">
        <f>V12/'Output-Calculation-sheet'!V11*'Output-Calculation-sheet'!V47</f>
        <v>1437.9248646663743</v>
      </c>
      <c r="W56" s="2">
        <f>W12/'Output-Calculation-sheet'!W11*'Output-Calculation-sheet'!W47</f>
        <v>770.05039428297846</v>
      </c>
      <c r="X56" s="2">
        <f>X12/'Output-Calculation-sheet'!X11*'Output-Calculation-sheet'!X47</f>
        <v>12.43449423995135</v>
      </c>
      <c r="Y56" s="2">
        <f>Y12/'Output-Calculation-sheet'!Y11*'Output-Calculation-sheet'!Y47</f>
        <v>252.38130946779233</v>
      </c>
      <c r="AA56" s="2">
        <f t="shared" si="3"/>
        <v>86.121149627724392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7.2238935038888537</v>
      </c>
      <c r="C63" s="2">
        <f>C8*'Output-Calculation-sheet'!C52/10^9</f>
        <v>3.8593754379938288</v>
      </c>
      <c r="D63" s="2">
        <f>D8*'Output-Calculation-sheet'!D52/10^9</f>
        <v>2.477227892101554</v>
      </c>
      <c r="E63" s="2">
        <f>E8*'Output-Calculation-sheet'!E52/10^9</f>
        <v>2.4630290120777079</v>
      </c>
      <c r="F63" s="2">
        <f>F8*'Output-Calculation-sheet'!F52/10^9</f>
        <v>1.0430925829973448</v>
      </c>
      <c r="G63" s="2">
        <f>G8*'Output-Calculation-sheet'!G52/10^9</f>
        <v>0.74993644427615436</v>
      </c>
      <c r="H63" s="2">
        <f>H8*'Output-Calculation-sheet'!H52/10^9</f>
        <v>1.2196995821189289</v>
      </c>
      <c r="I63" s="2">
        <f>I8*'Output-Calculation-sheet'!I52/10^9</f>
        <v>0.69761500027531032</v>
      </c>
      <c r="J63" s="2">
        <f>J8*'Output-Calculation-sheet'!J52/10^9</f>
        <v>0.95996552607106311</v>
      </c>
      <c r="K63" s="2">
        <f>K8*'Output-Calculation-sheet'!K52/10^9</f>
        <v>0.84341509595898412</v>
      </c>
      <c r="L63" s="2">
        <f>L8*'Output-Calculation-sheet'!L52/10^9</f>
        <v>1.1344338843065531</v>
      </c>
      <c r="M63" s="2">
        <f>M8*'Output-Calculation-sheet'!M52/10^9</f>
        <v>0.99921810304969749</v>
      </c>
      <c r="N63" s="2">
        <f>N8*'Output-Calculation-sheet'!N52/10^9</f>
        <v>0.88166512943729258</v>
      </c>
      <c r="O63" s="2">
        <f>O8*'Output-Calculation-sheet'!O52/10^9</f>
        <v>0.78959489798696636</v>
      </c>
      <c r="P63" s="2">
        <f>P8*'Output-Calculation-sheet'!P52/10^9</f>
        <v>0.58277708018994745</v>
      </c>
      <c r="Q63" s="2">
        <f>Q8*'Output-Calculation-sheet'!Q52/10^9</f>
        <v>0.65953287433777397</v>
      </c>
      <c r="R63" s="2">
        <f>R8*'Output-Calculation-sheet'!R52/10^9</f>
        <v>0.5921296037098982</v>
      </c>
      <c r="S63" s="2">
        <f>S8*'Output-Calculation-sheet'!S52/10^9</f>
        <v>0.43878901654271119</v>
      </c>
      <c r="T63" s="2">
        <f>T8*'Output-Calculation-sheet'!T52/10^9</f>
        <v>0.22511921678347335</v>
      </c>
      <c r="U63" s="2">
        <f>U8*'Output-Calculation-sheet'!U52/10^9</f>
        <v>0.15460946578524593</v>
      </c>
      <c r="V63" s="2">
        <f>V8*'Output-Calculation-sheet'!V52/10^9</f>
        <v>0.27439526468731246</v>
      </c>
      <c r="W63" s="2">
        <f>W8*'Output-Calculation-sheet'!W52/10^9</f>
        <v>9.9318230268659879E-2</v>
      </c>
      <c r="X63" s="2">
        <f>X8*'Output-Calculation-sheet'!X52/10^9</f>
        <v>0.1023356635335841</v>
      </c>
      <c r="Y63" s="2">
        <f>Y8*'Output-Calculation-sheet'!Y52/10^9</f>
        <v>6.480238245961327E-2</v>
      </c>
      <c r="AA63" s="2">
        <f t="shared" si="4"/>
        <v>28.53597089083846</v>
      </c>
    </row>
    <row r="64" spans="1:27" x14ac:dyDescent="0.25">
      <c r="A64" s="2">
        <v>2032</v>
      </c>
      <c r="B64" s="2">
        <f>B9*'Output-Calculation-sheet'!B53/10^9</f>
        <v>7.5594234925941972</v>
      </c>
      <c r="C64" s="2">
        <f>C9*'Output-Calculation-sheet'!C53/10^9</f>
        <v>4.0074838641930661</v>
      </c>
      <c r="D64" s="2">
        <f>D9*'Output-Calculation-sheet'!D53/10^9</f>
        <v>2.2388548787508595</v>
      </c>
      <c r="E64" s="2">
        <f>E9*'Output-Calculation-sheet'!E53/10^9</f>
        <v>2.2926859007549161</v>
      </c>
      <c r="F64" s="2">
        <f>F9*'Output-Calculation-sheet'!F53/10^9</f>
        <v>0.96704053661744971</v>
      </c>
      <c r="G64" s="2">
        <f>G9*'Output-Calculation-sheet'!G53/10^9</f>
        <v>0.68830987112958542</v>
      </c>
      <c r="H64" s="2">
        <f>H9*'Output-Calculation-sheet'!H53/10^9</f>
        <v>1.2577190802295126</v>
      </c>
      <c r="I64" s="2">
        <f>I9*'Output-Calculation-sheet'!I53/10^9</f>
        <v>0.64345723464998417</v>
      </c>
      <c r="J64" s="2">
        <f>J9*'Output-Calculation-sheet'!J53/10^9</f>
        <v>0.8518066377974427</v>
      </c>
      <c r="K64" s="2">
        <f>K9*'Output-Calculation-sheet'!K53/10^9</f>
        <v>0.79036066859221576</v>
      </c>
      <c r="L64" s="2">
        <f>L9*'Output-Calculation-sheet'!L53/10^9</f>
        <v>1.0167966378121669</v>
      </c>
      <c r="M64" s="2">
        <f>M9*'Output-Calculation-sheet'!M53/10^9</f>
        <v>0.99785298907408682</v>
      </c>
      <c r="N64" s="2">
        <f>N9*'Output-Calculation-sheet'!N53/10^9</f>
        <v>0.89839010375227091</v>
      </c>
      <c r="O64" s="2">
        <f>O9*'Output-Calculation-sheet'!O53/10^9</f>
        <v>0.81154549345099736</v>
      </c>
      <c r="P64" s="2">
        <f>P9*'Output-Calculation-sheet'!P53/10^9</f>
        <v>0.60258439448002099</v>
      </c>
      <c r="Q64" s="2">
        <f>Q9*'Output-Calculation-sheet'!Q53/10^9</f>
        <v>0.66595960999309556</v>
      </c>
      <c r="R64" s="2">
        <f>R9*'Output-Calculation-sheet'!R53/10^9</f>
        <v>0.57088465332155203</v>
      </c>
      <c r="S64" s="2">
        <f>S9*'Output-Calculation-sheet'!S53/10^9</f>
        <v>0.45937490584743829</v>
      </c>
      <c r="T64" s="2">
        <f>T9*'Output-Calculation-sheet'!T53/10^9</f>
        <v>0.20521735786174886</v>
      </c>
      <c r="U64" s="2">
        <f>U9*'Output-Calculation-sheet'!U53/10^9</f>
        <v>0.15446282657034602</v>
      </c>
      <c r="V64" s="2">
        <f>V9*'Output-Calculation-sheet'!V53/10^9</f>
        <v>0.24357912655837513</v>
      </c>
      <c r="W64" s="2">
        <f>W9*'Output-Calculation-sheet'!W53/10^9</f>
        <v>9.0509456589758577E-2</v>
      </c>
      <c r="X64" s="2">
        <f>X9*'Output-Calculation-sheet'!X53/10^9</f>
        <v>0.10376779708234976</v>
      </c>
      <c r="Y64" s="2">
        <f>Y9*'Output-Calculation-sheet'!Y53/10^9</f>
        <v>6.3413912037321371E-2</v>
      </c>
      <c r="AA64" s="2">
        <f t="shared" si="4"/>
        <v>28.181481429740749</v>
      </c>
    </row>
    <row r="65" spans="1:27" x14ac:dyDescent="0.25">
      <c r="A65" s="2">
        <v>2033</v>
      </c>
      <c r="B65" s="2">
        <f>B10*'Output-Calculation-sheet'!B54/10^9</f>
        <v>7.8700697734882423</v>
      </c>
      <c r="C65" s="2">
        <f>C10*'Output-Calculation-sheet'!C54/10^9</f>
        <v>4.0681801076483977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1.2775458587689754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0.74433063211967887</v>
      </c>
      <c r="L65" s="2">
        <f>L10*'Output-Calculation-sheet'!L54/10^9</f>
        <v>0.87914605660413192</v>
      </c>
      <c r="M65" s="2">
        <f>M10*'Output-Calculation-sheet'!M54/10^9</f>
        <v>0.97421007801771098</v>
      </c>
      <c r="N65" s="2">
        <f>N10*'Output-Calculation-sheet'!N54/10^9</f>
        <v>0.8939571255911245</v>
      </c>
      <c r="O65" s="2">
        <f>O10*'Output-Calculation-sheet'!O54/10^9</f>
        <v>0.8152812827673479</v>
      </c>
      <c r="P65" s="2">
        <f>P10*'Output-Calculation-sheet'!P54/10^9</f>
        <v>0.62974169724031548</v>
      </c>
      <c r="Q65" s="2">
        <f>Q10*'Output-Calculation-sheet'!Q54/10^9</f>
        <v>0.68600030510735077</v>
      </c>
      <c r="R65" s="2">
        <f>R10*'Output-Calculation-sheet'!R54/10^9</f>
        <v>0.5544180630526615</v>
      </c>
      <c r="S65" s="2">
        <f>S10*'Output-Calculation-sheet'!S54/10^9</f>
        <v>0.47156109143538727</v>
      </c>
      <c r="T65" s="2">
        <f>T10*'Output-Calculation-sheet'!T54/10^9</f>
        <v>0.18536711032418385</v>
      </c>
      <c r="U65" s="2">
        <f>U10*'Output-Calculation-sheet'!U54/10^9</f>
        <v>0.16005979666394834</v>
      </c>
      <c r="V65" s="2">
        <f>V10*'Output-Calculation-sheet'!V54/10^9</f>
        <v>0.20514539299117693</v>
      </c>
      <c r="W65" s="2">
        <f>W10*'Output-Calculation-sheet'!W54/10^9</f>
        <v>7.8102843509243139E-2</v>
      </c>
      <c r="X65" s="2">
        <f>X10*'Output-Calculation-sheet'!X54/10^9</f>
        <v>0.1021466146142033</v>
      </c>
      <c r="Y65" s="2">
        <f>Y10*'Output-Calculation-sheet'!Y54/10^9</f>
        <v>6.4284094422980068E-2</v>
      </c>
      <c r="AA65" s="2">
        <f t="shared" si="4"/>
        <v>27.473632820209314</v>
      </c>
    </row>
    <row r="66" spans="1:27" x14ac:dyDescent="0.25">
      <c r="A66" s="2">
        <v>2034</v>
      </c>
      <c r="B66" s="2">
        <f>B11*'Output-Calculation-sheet'!B55/10^9</f>
        <v>8.1475866123139422</v>
      </c>
      <c r="C66" s="2">
        <f>C11*'Output-Calculation-sheet'!C55/10^9</f>
        <v>4.09856022152122</v>
      </c>
      <c r="D66" s="2">
        <f>D11*'Output-Calculation-sheet'!D55/10^9</f>
        <v>1.8387809869993219</v>
      </c>
      <c r="E66" s="2">
        <f>E11*'Output-Calculation-sheet'!E55/10^9</f>
        <v>2.2266352966344396</v>
      </c>
      <c r="F66" s="2">
        <f>F11*'Output-Calculation-sheet'!F55/10^9</f>
        <v>0.85573223595886438</v>
      </c>
      <c r="G66" s="2">
        <f>G11*'Output-Calculation-sheet'!G55/10^9</f>
        <v>0.61165331911140985</v>
      </c>
      <c r="H66" s="2">
        <f>H11*'Output-Calculation-sheet'!H55/10^9</f>
        <v>1.2763771969260098</v>
      </c>
      <c r="I66" s="2">
        <f>I11*'Output-Calculation-sheet'!I55/10^9</f>
        <v>0.59817959060680548</v>
      </c>
      <c r="J66" s="2">
        <f>J11*'Output-Calculation-sheet'!J55/10^9</f>
        <v>0.61507036367396661</v>
      </c>
      <c r="K66" s="2">
        <f>K11*'Output-Calculation-sheet'!K55/10^9</f>
        <v>0.73567607714624461</v>
      </c>
      <c r="L66" s="2">
        <f>L11*'Output-Calculation-sheet'!L55/10^9</f>
        <v>0.77908641420310487</v>
      </c>
      <c r="M66" s="2">
        <f>M11*'Output-Calculation-sheet'!M55/10^9</f>
        <v>0.93039078560401967</v>
      </c>
      <c r="N66" s="2">
        <f>N11*'Output-Calculation-sheet'!N55/10^9</f>
        <v>0.87895035594499116</v>
      </c>
      <c r="O66" s="2">
        <f>O11*'Output-Calculation-sheet'!O55/10^9</f>
        <v>0.80784001772832181</v>
      </c>
      <c r="P66" s="2">
        <f>P11*'Output-Calculation-sheet'!P55/10^9</f>
        <v>0.67453861852710406</v>
      </c>
      <c r="Q66" s="2">
        <f>Q11*'Output-Calculation-sheet'!Q55/10^9</f>
        <v>0.71352480803667884</v>
      </c>
      <c r="R66" s="2">
        <f>R11*'Output-Calculation-sheet'!R55/10^9</f>
        <v>0.55113157251841616</v>
      </c>
      <c r="S66" s="2">
        <f>S11*'Output-Calculation-sheet'!S55/10^9</f>
        <v>0.48072729038553158</v>
      </c>
      <c r="T66" s="2">
        <f>T11*'Output-Calculation-sheet'!T55/10^9</f>
        <v>0.17274066623097353</v>
      </c>
      <c r="U66" s="2">
        <f>U11*'Output-Calculation-sheet'!U55/10^9</f>
        <v>0.17637566505400556</v>
      </c>
      <c r="V66" s="2">
        <f>V11*'Output-Calculation-sheet'!V55/10^9</f>
        <v>0.16387143392360182</v>
      </c>
      <c r="W66" s="2">
        <f>W11*'Output-Calculation-sheet'!W55/10^9</f>
        <v>7.4199424919195706E-2</v>
      </c>
      <c r="X66" s="2">
        <f>X11*'Output-Calculation-sheet'!X55/10^9</f>
        <v>9.9404682552454299E-2</v>
      </c>
      <c r="Y66" s="2">
        <f>Y11*'Output-Calculation-sheet'!Y55/10^9</f>
        <v>7.2549009309859844E-2</v>
      </c>
      <c r="AA66" s="2">
        <f t="shared" si="4"/>
        <v>27.579582645830474</v>
      </c>
    </row>
    <row r="67" spans="1:27" x14ac:dyDescent="0.25">
      <c r="A67" s="2">
        <v>2035</v>
      </c>
      <c r="B67" s="2">
        <f>B12*'Output-Calculation-sheet'!B56/10^9</f>
        <v>8.7035806780004208</v>
      </c>
      <c r="C67" s="2">
        <f>C12*'Output-Calculation-sheet'!C56/10^9</f>
        <v>4.0604322259319643</v>
      </c>
      <c r="D67" s="2">
        <f>D12*'Output-Calculation-sheet'!D56/10^9</f>
        <v>2.3813871908372364</v>
      </c>
      <c r="E67" s="2">
        <f>E12*'Output-Calculation-sheet'!E56/10^9</f>
        <v>2.7133460431679564</v>
      </c>
      <c r="F67" s="2">
        <f>F12*'Output-Calculation-sheet'!F56/10^9</f>
        <v>1.1614324126905606</v>
      </c>
      <c r="G67" s="2">
        <f>G12*'Output-Calculation-sheet'!G56/10^9</f>
        <v>0.81513425994904554</v>
      </c>
      <c r="H67" s="2">
        <f>H12*'Output-Calculation-sheet'!H56/10^9</f>
        <v>1.2876273439549955</v>
      </c>
      <c r="I67" s="2">
        <f>I12*'Output-Calculation-sheet'!I56/10^9</f>
        <v>0.81728710305589347</v>
      </c>
      <c r="J67" s="2">
        <f>J12*'Output-Calculation-sheet'!J56/10^9</f>
        <v>0.73931651388968034</v>
      </c>
      <c r="K67" s="2">
        <f>K12*'Output-Calculation-sheet'!K56/10^9</f>
        <v>0.9179372125359283</v>
      </c>
      <c r="L67" s="2">
        <f>L12*'Output-Calculation-sheet'!L56/10^9</f>
        <v>0.84249126487704884</v>
      </c>
      <c r="M67" s="2">
        <f>M12*'Output-Calculation-sheet'!M56/10^9</f>
        <v>0.89566378524007728</v>
      </c>
      <c r="N67" s="2">
        <f>N12*'Output-Calculation-sheet'!N56/10^9</f>
        <v>0.87213181467769163</v>
      </c>
      <c r="O67" s="2">
        <f>O12*'Output-Calculation-sheet'!O56/10^9</f>
        <v>0.78927292362990531</v>
      </c>
      <c r="P67" s="2">
        <f>P12*'Output-Calculation-sheet'!P56/10^9</f>
        <v>0.77038291920364654</v>
      </c>
      <c r="Q67" s="2">
        <f>Q12*'Output-Calculation-sheet'!Q56/10^9</f>
        <v>0.78589123007564099</v>
      </c>
      <c r="R67" s="2">
        <f>R12*'Output-Calculation-sheet'!R56/10^9</f>
        <v>0.66483528977656492</v>
      </c>
      <c r="S67" s="2">
        <f>S12*'Output-Calculation-sheet'!S56/10^9</f>
        <v>0.50014553809565077</v>
      </c>
      <c r="T67" s="2">
        <f>T12*'Output-Calculation-sheet'!T56/10^9</f>
        <v>0.20237949638664163</v>
      </c>
      <c r="U67" s="2">
        <f>U12*'Output-Calculation-sheet'!U56/10^9</f>
        <v>0.22234664786648037</v>
      </c>
      <c r="V67" s="2">
        <f>V12*'Output-Calculation-sheet'!V56/10^9</f>
        <v>0.15508665616235706</v>
      </c>
      <c r="W67" s="2">
        <f>W12*'Output-Calculation-sheet'!W56/10^9</f>
        <v>0.1005166136093263</v>
      </c>
      <c r="X67" s="2">
        <f>X12*'Output-Calculation-sheet'!X56/10^9</f>
        <v>9.5154166625292275E-2</v>
      </c>
      <c r="Y67" s="2">
        <f>Y12*'Output-Calculation-sheet'!Y56/10^9</f>
        <v>8.8774851806737845E-2</v>
      </c>
      <c r="AA67" s="2">
        <f t="shared" si="4"/>
        <v>30.582554182046742</v>
      </c>
    </row>
    <row r="68" spans="1:27" x14ac:dyDescent="0.25">
      <c r="B68" s="2">
        <f>SUM(B60:B67)</f>
        <v>39.504554060285656</v>
      </c>
      <c r="C68" s="2">
        <f t="shared" ref="C68:Y68" si="5">SUM(C60:C67)</f>
        <v>20.094031857288478</v>
      </c>
      <c r="D68" s="2">
        <f t="shared" si="5"/>
        <v>10.846099984575289</v>
      </c>
      <c r="E68" s="2">
        <f t="shared" si="5"/>
        <v>11.846153715295568</v>
      </c>
      <c r="F68" s="2">
        <f t="shared" si="5"/>
        <v>4.9003457909167727</v>
      </c>
      <c r="G68" s="2">
        <f t="shared" si="5"/>
        <v>3.4644608342406258</v>
      </c>
      <c r="H68" s="2">
        <f t="shared" si="5"/>
        <v>6.3189690619984225</v>
      </c>
      <c r="I68" s="2">
        <f t="shared" si="5"/>
        <v>3.3402173245280626</v>
      </c>
      <c r="J68" s="2">
        <f t="shared" si="5"/>
        <v>3.8637840803604893</v>
      </c>
      <c r="K68" s="2">
        <f t="shared" si="5"/>
        <v>4.0317196863530516</v>
      </c>
      <c r="L68" s="2">
        <f t="shared" si="5"/>
        <v>4.6519542578030055</v>
      </c>
      <c r="M68" s="2">
        <f t="shared" si="5"/>
        <v>4.7973357409855915</v>
      </c>
      <c r="N68" s="2">
        <f t="shared" si="5"/>
        <v>4.4250945294033714</v>
      </c>
      <c r="O68" s="2">
        <f t="shared" si="5"/>
        <v>4.0135346155635387</v>
      </c>
      <c r="P68" s="2">
        <f t="shared" si="5"/>
        <v>3.2600247096410349</v>
      </c>
      <c r="Q68" s="2">
        <f t="shared" si="5"/>
        <v>3.5109088275505402</v>
      </c>
      <c r="R68" s="2">
        <f t="shared" si="5"/>
        <v>2.9333991823790928</v>
      </c>
      <c r="S68" s="2">
        <f t="shared" si="5"/>
        <v>2.3505978423067191</v>
      </c>
      <c r="T68" s="2">
        <f t="shared" si="5"/>
        <v>0.99082384758702124</v>
      </c>
      <c r="U68" s="2">
        <f t="shared" si="5"/>
        <v>0.86785440194002628</v>
      </c>
      <c r="V68" s="2">
        <f t="shared" si="5"/>
        <v>1.0420778743228234</v>
      </c>
      <c r="W68" s="2">
        <f t="shared" si="5"/>
        <v>0.44264656889618359</v>
      </c>
      <c r="X68" s="2">
        <f t="shared" si="5"/>
        <v>0.50280892440788372</v>
      </c>
      <c r="Y68" s="2">
        <f t="shared" si="5"/>
        <v>0.35382425003651241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42.50224542486108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4.2502245424861078E-2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494.30048354076166</v>
      </c>
      <c r="Q76" s="2">
        <f>Q10/'Output-Calculation-sheet'!Q9*'Output-Calculation-sheet'!Q63</f>
        <v>59.15097271996985</v>
      </c>
      <c r="R76" s="2">
        <f>R10/'Output-Calculation-sheet'!R9*'Output-Calculation-sheet'!R63</f>
        <v>376.56346327557543</v>
      </c>
      <c r="S76" s="2">
        <f>S10/'Output-Calculation-sheet'!S9*'Output-Calculation-sheet'!S63</f>
        <v>0</v>
      </c>
      <c r="T76" s="2">
        <f>T10/'Output-Calculation-sheet'!T9*'Output-Calculation-sheet'!T63</f>
        <v>24.782652100098591</v>
      </c>
      <c r="U76" s="2">
        <f>U10/'Output-Calculation-sheet'!U9*'Output-Calculation-sheet'!U63</f>
        <v>133.82076433167103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6.3555253726799821</v>
      </c>
      <c r="AA76" s="2">
        <f t="shared" si="6"/>
        <v>1.1990181811893663</v>
      </c>
    </row>
    <row r="77" spans="1:27" x14ac:dyDescent="0.25">
      <c r="A77" s="2">
        <v>2034</v>
      </c>
      <c r="B77" s="2">
        <f>B11/'Output-Calculation-sheet'!B10*'Output-Calculation-sheet'!B64</f>
        <v>520.68043897643258</v>
      </c>
      <c r="C77" s="2">
        <f>C11/'Output-Calculation-sheet'!C10*'Output-Calculation-sheet'!C64</f>
        <v>0</v>
      </c>
      <c r="D77" s="2">
        <f>D11/'Output-Calculation-sheet'!D10*'Output-Calculation-sheet'!D64</f>
        <v>1769.0865022903547</v>
      </c>
      <c r="E77" s="2">
        <f>E11/'Output-Calculation-sheet'!E10*'Output-Calculation-sheet'!E64</f>
        <v>2211.131396662016</v>
      </c>
      <c r="F77" s="2">
        <f>F11/'Output-Calculation-sheet'!F10*'Output-Calculation-sheet'!F64</f>
        <v>143.8647807958819</v>
      </c>
      <c r="G77" s="2">
        <f>G11/'Output-Calculation-sheet'!G10*'Output-Calculation-sheet'!G64</f>
        <v>936.98263160756119</v>
      </c>
      <c r="H77" s="2">
        <f>H11/'Output-Calculation-sheet'!H10*'Output-Calculation-sheet'!H64</f>
        <v>146.20277922357781</v>
      </c>
      <c r="I77" s="2">
        <f>I11/'Output-Calculation-sheet'!I10*'Output-Calculation-sheet'!I64</f>
        <v>557.09977813281114</v>
      </c>
      <c r="J77" s="2">
        <f>J11/'Output-Calculation-sheet'!J10*'Output-Calculation-sheet'!J64</f>
        <v>389.79223610965187</v>
      </c>
      <c r="K77" s="2">
        <f>K11/'Output-Calculation-sheet'!K10*'Output-Calculation-sheet'!K64</f>
        <v>847.51150928811251</v>
      </c>
      <c r="L77" s="2">
        <f>L11/'Output-Calculation-sheet'!L10*'Output-Calculation-sheet'!L64</f>
        <v>350.42470408974498</v>
      </c>
      <c r="M77" s="2">
        <f>M11/'Output-Calculation-sheet'!M10*'Output-Calculation-sheet'!M64</f>
        <v>105.29749014004473</v>
      </c>
      <c r="N77" s="2">
        <f>N11/'Output-Calculation-sheet'!N10*'Output-Calculation-sheet'!N64</f>
        <v>34.824846381109069</v>
      </c>
      <c r="O77" s="2">
        <f>O11/'Output-Calculation-sheet'!O10*'Output-Calculation-sheet'!O64</f>
        <v>0</v>
      </c>
      <c r="P77" s="2">
        <f>P11/'Output-Calculation-sheet'!P10*'Output-Calculation-sheet'!P64</f>
        <v>717.07315001741915</v>
      </c>
      <c r="Q77" s="2">
        <f>Q11/'Output-Calculation-sheet'!Q10*'Output-Calculation-sheet'!Q64</f>
        <v>161.31082000940276</v>
      </c>
      <c r="R77" s="2">
        <f>R11/'Output-Calculation-sheet'!R10*'Output-Calculation-sheet'!R64</f>
        <v>890.90599462538341</v>
      </c>
      <c r="S77" s="2">
        <f>S11/'Output-Calculation-sheet'!S10*'Output-Calculation-sheet'!S64</f>
        <v>0</v>
      </c>
      <c r="T77" s="2">
        <f>T11/'Output-Calculation-sheet'!T10*'Output-Calculation-sheet'!T64</f>
        <v>247.37490963631384</v>
      </c>
      <c r="U77" s="2">
        <f>U11/'Output-Calculation-sheet'!U10*'Output-Calculation-sheet'!U64</f>
        <v>328.76278207936917</v>
      </c>
      <c r="V77" s="2">
        <f>V11/'Output-Calculation-sheet'!V10*'Output-Calculation-sheet'!V64</f>
        <v>128.01247195122369</v>
      </c>
      <c r="W77" s="2">
        <f>W11/'Output-Calculation-sheet'!W10*'Output-Calculation-sheet'!W64</f>
        <v>28.102637408546972</v>
      </c>
      <c r="X77" s="2">
        <f>X11/'Output-Calculation-sheet'!X10*'Output-Calculation-sheet'!X64</f>
        <v>10.497004172358544</v>
      </c>
      <c r="Y77" s="2">
        <f>Y11/'Output-Calculation-sheet'!Y10*'Output-Calculation-sheet'!Y64</f>
        <v>47.873041987072206</v>
      </c>
      <c r="AA77" s="2">
        <f t="shared" si="6"/>
        <v>10.572811905584391</v>
      </c>
    </row>
    <row r="78" spans="1:27" x14ac:dyDescent="0.25">
      <c r="A78" s="2">
        <v>2035</v>
      </c>
      <c r="B78" s="2">
        <f>B12/'Output-Calculation-sheet'!B11*'Output-Calculation-sheet'!B65</f>
        <v>109.97661505004869</v>
      </c>
      <c r="C78" s="2">
        <f>C12/'Output-Calculation-sheet'!C11*'Output-Calculation-sheet'!C65</f>
        <v>91.668349010902688</v>
      </c>
      <c r="D78" s="2">
        <f>D12/'Output-Calculation-sheet'!D11*'Output-Calculation-sheet'!D65</f>
        <v>4710.7964252374741</v>
      </c>
      <c r="E78" s="2">
        <f>E12/'Output-Calculation-sheet'!E11*'Output-Calculation-sheet'!E65</f>
        <v>1513.2835184856428</v>
      </c>
      <c r="F78" s="2">
        <f>F12/'Output-Calculation-sheet'!F11*'Output-Calculation-sheet'!F65</f>
        <v>1202.642427271247</v>
      </c>
      <c r="G78" s="2">
        <f>G12/'Output-Calculation-sheet'!G11*'Output-Calculation-sheet'!G65</f>
        <v>1779.642654611685</v>
      </c>
      <c r="H78" s="2">
        <f>H12/'Output-Calculation-sheet'!H11*'Output-Calculation-sheet'!H65</f>
        <v>40.447510982651892</v>
      </c>
      <c r="I78" s="2">
        <f>I12/'Output-Calculation-sheet'!I11*'Output-Calculation-sheet'!I65</f>
        <v>1479.6090904489133</v>
      </c>
      <c r="J78" s="2">
        <f>J12/'Output-Calculation-sheet'!J11*'Output-Calculation-sheet'!J65</f>
        <v>1403.445290816569</v>
      </c>
      <c r="K78" s="2">
        <f>K12/'Output-Calculation-sheet'!K11*'Output-Calculation-sheet'!K65</f>
        <v>1886.3459779909165</v>
      </c>
      <c r="L78" s="2">
        <f>L12/'Output-Calculation-sheet'!L11*'Output-Calculation-sheet'!L65</f>
        <v>654.2587605454944</v>
      </c>
      <c r="M78" s="2">
        <f>M12/'Output-Calculation-sheet'!M11*'Output-Calculation-sheet'!M65</f>
        <v>36.156730219433626</v>
      </c>
      <c r="N78" s="2">
        <f>N12/'Output-Calculation-sheet'!N11*'Output-Calculation-sheet'!N65</f>
        <v>24.35598762543971</v>
      </c>
      <c r="O78" s="2">
        <f>O12/'Output-Calculation-sheet'!O11*'Output-Calculation-sheet'!O65</f>
        <v>15.887633700642766</v>
      </c>
      <c r="P78" s="2">
        <f>P12/'Output-Calculation-sheet'!P11*'Output-Calculation-sheet'!P65</f>
        <v>183.24374551406621</v>
      </c>
      <c r="Q78" s="2">
        <f>Q12/'Output-Calculation-sheet'!Q11*'Output-Calculation-sheet'!Q65</f>
        <v>147.66149340085877</v>
      </c>
      <c r="R78" s="2">
        <f>R12/'Output-Calculation-sheet'!R11*'Output-Calculation-sheet'!R65</f>
        <v>1223.1934021065229</v>
      </c>
      <c r="S78" s="2">
        <f>S12/'Output-Calculation-sheet'!S11*'Output-Calculation-sheet'!S65</f>
        <v>11.703000028850372</v>
      </c>
      <c r="T78" s="2">
        <f>T12/'Output-Calculation-sheet'!T11*'Output-Calculation-sheet'!T65</f>
        <v>486.43070300205017</v>
      </c>
      <c r="U78" s="2">
        <f>U12/'Output-Calculation-sheet'!U11*'Output-Calculation-sheet'!U65</f>
        <v>179.44474726870988</v>
      </c>
      <c r="V78" s="2">
        <f>V12/'Output-Calculation-sheet'!V11*'Output-Calculation-sheet'!V65</f>
        <v>254.58682895692399</v>
      </c>
      <c r="W78" s="2">
        <f>W12/'Output-Calculation-sheet'!W11*'Output-Calculation-sheet'!W65</f>
        <v>171.62337123278704</v>
      </c>
      <c r="X78" s="2">
        <f>X12/'Output-Calculation-sheet'!X11*'Output-Calculation-sheet'!X65</f>
        <v>2.394856559105413</v>
      </c>
      <c r="Y78" s="2">
        <f>Y12/'Output-Calculation-sheet'!Y11*'Output-Calculation-sheet'!Y65</f>
        <v>41.19162958634152</v>
      </c>
      <c r="AA78" s="2">
        <f t="shared" si="6"/>
        <v>17.649990749653284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118.50593553927536</v>
      </c>
      <c r="E89" s="2">
        <f>E12/'Output-Calculation-sheet'!E11*'Output-Calculation-sheet'!E74</f>
        <v>57.327394554076328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44.359051978310838</v>
      </c>
      <c r="H89" s="2">
        <f>H12/'Output-Calculation-sheet'!H11*'Output-Calculation-sheet'!H74</f>
        <v>7.1620205369901537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24.678767123996554</v>
      </c>
      <c r="K89" s="2">
        <f>K12/'Output-Calculation-sheet'!K11*'Output-Calculation-sheet'!K74</f>
        <v>31.044104254054691</v>
      </c>
      <c r="L89" s="2">
        <f>L12/'Output-Calculation-sheet'!L11*'Output-Calculation-sheet'!L74</f>
        <v>12.99202241022855</v>
      </c>
      <c r="M89" s="2">
        <f>M12/'Output-Calculation-sheet'!M11*'Output-Calculation-sheet'!M74</f>
        <v>3.6961253504038187</v>
      </c>
      <c r="N89" s="2">
        <f>N12/'Output-Calculation-sheet'!N11*'Output-Calculation-sheet'!N74</f>
        <v>3.6326918005528048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3.35596913771816</v>
      </c>
      <c r="Q89" s="2">
        <f>Q12/'Output-Calculation-sheet'!Q11*'Output-Calculation-sheet'!Q74</f>
        <v>6.3655884093745012</v>
      </c>
      <c r="R89" s="2">
        <f>R12/'Output-Calculation-sheet'!R11*'Output-Calculation-sheet'!R74</f>
        <v>18.938041983197586</v>
      </c>
      <c r="S89" s="2">
        <f>S12/'Output-Calculation-sheet'!S11*'Output-Calculation-sheet'!S74</f>
        <v>3.4706405779508813</v>
      </c>
      <c r="T89" s="2">
        <f>T12/'Output-Calculation-sheet'!T11*'Output-Calculation-sheet'!T74</f>
        <v>5.8386351011620139</v>
      </c>
      <c r="U89" s="2">
        <f>U12/'Output-Calculation-sheet'!U11*'Output-Calculation-sheet'!U74</f>
        <v>6.7700181571093836</v>
      </c>
      <c r="V89" s="2">
        <f>V12/'Output-Calculation-sheet'!V11*'Output-Calculation-sheet'!V74</f>
        <v>2.0881101683301861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2.3477331113283006</v>
      </c>
      <c r="AA89" s="2">
        <f t="shared" si="7"/>
        <v>0.47373807375115007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18866720322.785774</v>
      </c>
      <c r="C96" s="2">
        <f>C8/'Output-Calculation-sheet'!C7*'Output-Calculation-sheet'!C79</f>
        <v>7810588688.9840641</v>
      </c>
      <c r="D96" s="2">
        <f>D8/'Output-Calculation-sheet'!D7*'Output-Calculation-sheet'!D79</f>
        <v>6226235013.8836775</v>
      </c>
      <c r="E96" s="2">
        <f>E8/'Output-Calculation-sheet'!E7*'Output-Calculation-sheet'!E79</f>
        <v>7523469083.8976622</v>
      </c>
      <c r="F96" s="2">
        <f>F8/'Output-Calculation-sheet'!F7*'Output-Calculation-sheet'!F79</f>
        <v>4441062836.7303753</v>
      </c>
      <c r="G96" s="2">
        <f>G8/'Output-Calculation-sheet'!G7*'Output-Calculation-sheet'!G79</f>
        <v>2258959014.4501534</v>
      </c>
      <c r="H96" s="2">
        <f>H8/'Output-Calculation-sheet'!H7*'Output-Calculation-sheet'!H79</f>
        <v>2820693384.9900355</v>
      </c>
      <c r="I96" s="2">
        <f>I8/'Output-Calculation-sheet'!I7*'Output-Calculation-sheet'!I79</f>
        <v>2699788572.1025081</v>
      </c>
      <c r="J96" s="2">
        <f>J8/'Output-Calculation-sheet'!J7*'Output-Calculation-sheet'!J79</f>
        <v>1523853588.8805308</v>
      </c>
      <c r="K96" s="2">
        <f>K8/'Output-Calculation-sheet'!K7*'Output-Calculation-sheet'!K79</f>
        <v>2595646791.0762725</v>
      </c>
      <c r="L96" s="2">
        <f>L8/'Output-Calculation-sheet'!L7*'Output-Calculation-sheet'!L79</f>
        <v>1866844811.0204747</v>
      </c>
      <c r="M96" s="2">
        <f>M8/'Output-Calculation-sheet'!M7*'Output-Calculation-sheet'!M79</f>
        <v>1887217983.9832735</v>
      </c>
      <c r="N96" s="2">
        <f>N8/'Output-Calculation-sheet'!N7*'Output-Calculation-sheet'!N79</f>
        <v>1343184186.6490617</v>
      </c>
      <c r="O96" s="2">
        <f>O8/'Output-Calculation-sheet'!O7*'Output-Calculation-sheet'!O79</f>
        <v>1055625045.9187716</v>
      </c>
      <c r="P96" s="2">
        <f>P8/'Output-Calculation-sheet'!P7*'Output-Calculation-sheet'!P79</f>
        <v>2244007681.9407873</v>
      </c>
      <c r="Q96" s="2">
        <f>Q8/'Output-Calculation-sheet'!Q7*'Output-Calculation-sheet'!Q79</f>
        <v>1222226958.1547503</v>
      </c>
      <c r="R96" s="2">
        <f>R8/'Output-Calculation-sheet'!R7*'Output-Calculation-sheet'!R79</f>
        <v>1630569872.77654</v>
      </c>
      <c r="S96" s="2">
        <f>S8/'Output-Calculation-sheet'!S7*'Output-Calculation-sheet'!S79</f>
        <v>1026353412.8569274</v>
      </c>
      <c r="T96" s="2">
        <f>T8/'Output-Calculation-sheet'!T7*'Output-Calculation-sheet'!T79</f>
        <v>659060133.00579524</v>
      </c>
      <c r="U96" s="2">
        <f>U8/'Output-Calculation-sheet'!U7*'Output-Calculation-sheet'!U79</f>
        <v>611138970.48598862</v>
      </c>
      <c r="V96" s="2">
        <f>V8/'Output-Calculation-sheet'!V7*'Output-Calculation-sheet'!V79</f>
        <v>393470181.40120459</v>
      </c>
      <c r="W96" s="2">
        <f>W8/'Output-Calculation-sheet'!W7*'Output-Calculation-sheet'!W79</f>
        <v>470683107.31107062</v>
      </c>
      <c r="X96" s="2">
        <f>X8/'Output-Calculation-sheet'!X7*'Output-Calculation-sheet'!X79</f>
        <v>215433154.58822468</v>
      </c>
      <c r="Y96" s="2">
        <f>Y8/'Output-Calculation-sheet'!Y7*'Output-Calculation-sheet'!Y79</f>
        <v>241128720.92595881</v>
      </c>
      <c r="AA96" s="2">
        <f t="shared" si="8"/>
        <v>71.633961518799893</v>
      </c>
    </row>
    <row r="97" spans="1:27" x14ac:dyDescent="0.25">
      <c r="A97" s="2">
        <v>2032</v>
      </c>
      <c r="B97" s="2">
        <f>B9/'Output-Calculation-sheet'!B8*'Output-Calculation-sheet'!B80</f>
        <v>26139429052.63028</v>
      </c>
      <c r="C97" s="2">
        <f>C9/'Output-Calculation-sheet'!C8*'Output-Calculation-sheet'!C80</f>
        <v>10830828829.385618</v>
      </c>
      <c r="D97" s="2">
        <f>D9/'Output-Calculation-sheet'!D8*'Output-Calculation-sheet'!D80</f>
        <v>8560858741.7959185</v>
      </c>
      <c r="E97" s="2">
        <f>E9/'Output-Calculation-sheet'!E8*'Output-Calculation-sheet'!E80</f>
        <v>10329997574.215567</v>
      </c>
      <c r="F97" s="2">
        <f>F9/'Output-Calculation-sheet'!F8*'Output-Calculation-sheet'!F80</f>
        <v>6120815103.94382</v>
      </c>
      <c r="G97" s="2">
        <f>G9/'Output-Calculation-sheet'!G8*'Output-Calculation-sheet'!G80</f>
        <v>3063981469.2724819</v>
      </c>
      <c r="H97" s="2">
        <f>H9/'Output-Calculation-sheet'!H8*'Output-Calculation-sheet'!H80</f>
        <v>3899955697.5215631</v>
      </c>
      <c r="I97" s="2">
        <f>I9/'Output-Calculation-sheet'!I8*'Output-Calculation-sheet'!I80</f>
        <v>3722652107.0804868</v>
      </c>
      <c r="J97" s="2">
        <f>J9/'Output-Calculation-sheet'!J8*'Output-Calculation-sheet'!J80</f>
        <v>2124193827.4529324</v>
      </c>
      <c r="K97" s="2">
        <f>K9/'Output-Calculation-sheet'!K8*'Output-Calculation-sheet'!K80</f>
        <v>3578247232.2021661</v>
      </c>
      <c r="L97" s="2">
        <f>L9/'Output-Calculation-sheet'!L8*'Output-Calculation-sheet'!L80</f>
        <v>2588988879.660212</v>
      </c>
      <c r="M97" s="2">
        <f>M9/'Output-Calculation-sheet'!M8*'Output-Calculation-sheet'!M80</f>
        <v>2609267772.8093829</v>
      </c>
      <c r="N97" s="2">
        <f>N9/'Output-Calculation-sheet'!N8*'Output-Calculation-sheet'!N80</f>
        <v>1865037286.4510777</v>
      </c>
      <c r="O97" s="2">
        <f>O9/'Output-Calculation-sheet'!O8*'Output-Calculation-sheet'!O80</f>
        <v>1471397696.8015604</v>
      </c>
      <c r="P97" s="2">
        <f>P9/'Output-Calculation-sheet'!P8*'Output-Calculation-sheet'!P80</f>
        <v>3074897891.5679212</v>
      </c>
      <c r="Q97" s="2">
        <f>Q9/'Output-Calculation-sheet'!Q8*'Output-Calculation-sheet'!Q80</f>
        <v>1702599384.6272829</v>
      </c>
      <c r="R97" s="2">
        <f>R9/'Output-Calculation-sheet'!R8*'Output-Calculation-sheet'!R80</f>
        <v>2257398657.03585</v>
      </c>
      <c r="S97" s="2">
        <f>S9/'Output-Calculation-sheet'!S8*'Output-Calculation-sheet'!S80</f>
        <v>1424087000.9209392</v>
      </c>
      <c r="T97" s="2">
        <f>T9/'Output-Calculation-sheet'!T8*'Output-Calculation-sheet'!T80</f>
        <v>905185488.79510152</v>
      </c>
      <c r="U97" s="2">
        <f>U9/'Output-Calculation-sheet'!U8*'Output-Calculation-sheet'!U80</f>
        <v>844121834.99106729</v>
      </c>
      <c r="V97" s="2">
        <f>V9/'Output-Calculation-sheet'!V8*'Output-Calculation-sheet'!V80</f>
        <v>546659190.71168113</v>
      </c>
      <c r="W97" s="2">
        <f>W9/'Output-Calculation-sheet'!W8*'Output-Calculation-sheet'!W80</f>
        <v>639477014.00955427</v>
      </c>
      <c r="X97" s="2">
        <f>X9/'Output-Calculation-sheet'!X8*'Output-Calculation-sheet'!X80</f>
        <v>297764641.17755961</v>
      </c>
      <c r="Y97" s="2">
        <f>Y9/'Output-Calculation-sheet'!Y8*'Output-Calculation-sheet'!Y80</f>
        <v>329043972.03898603</v>
      </c>
      <c r="AA97" s="2">
        <f t="shared" si="8"/>
        <v>98.926886347099042</v>
      </c>
    </row>
    <row r="98" spans="1:27" x14ac:dyDescent="0.25">
      <c r="A98" s="2">
        <v>2033</v>
      </c>
      <c r="B98" s="2">
        <f>B10/'Output-Calculation-sheet'!B9*'Output-Calculation-sheet'!B81</f>
        <v>34008527974.228344</v>
      </c>
      <c r="C98" s="2">
        <f>C10/'Output-Calculation-sheet'!C9*'Output-Calculation-sheet'!C81</f>
        <v>14105986375.16387</v>
      </c>
      <c r="D98" s="2">
        <f>D10/'Output-Calculation-sheet'!D9*'Output-Calculation-sheet'!D81</f>
        <v>11065154600.469624</v>
      </c>
      <c r="E98" s="2">
        <f>E10/'Output-Calculation-sheet'!E9*'Output-Calculation-sheet'!E81</f>
        <v>13326735856.793089</v>
      </c>
      <c r="F98" s="2">
        <f>F10/'Output-Calculation-sheet'!F9*'Output-Calculation-sheet'!F81</f>
        <v>7924386138.7362795</v>
      </c>
      <c r="G98" s="2">
        <f>G10/'Output-Calculation-sheet'!G9*'Output-Calculation-sheet'!G81</f>
        <v>3906153094.7094741</v>
      </c>
      <c r="H98" s="2">
        <f>H10/'Output-Calculation-sheet'!H9*'Output-Calculation-sheet'!H81</f>
        <v>5064407691.8682795</v>
      </c>
      <c r="I98" s="2">
        <f>I10/'Output-Calculation-sheet'!I9*'Output-Calculation-sheet'!I81</f>
        <v>4822465850.0626945</v>
      </c>
      <c r="J98" s="2">
        <f>J10/'Output-Calculation-sheet'!J9*'Output-Calculation-sheet'!J81</f>
        <v>2782659614.0081906</v>
      </c>
      <c r="K98" s="2">
        <f>K10/'Output-Calculation-sheet'!K9*'Output-Calculation-sheet'!K81</f>
        <v>4633869454.9840002</v>
      </c>
      <c r="L98" s="2">
        <f>L10/'Output-Calculation-sheet'!L9*'Output-Calculation-sheet'!L81</f>
        <v>3372120430.725831</v>
      </c>
      <c r="M98" s="2">
        <f>M10/'Output-Calculation-sheet'!M9*'Output-Calculation-sheet'!M81</f>
        <v>3388958620.3889642</v>
      </c>
      <c r="N98" s="2">
        <f>N10/'Output-Calculation-sheet'!N9*'Output-Calculation-sheet'!N81</f>
        <v>2433581481.2484965</v>
      </c>
      <c r="O98" s="2">
        <f>O10/'Output-Calculation-sheet'!O9*'Output-Calculation-sheet'!O81</f>
        <v>1926752110.7398174</v>
      </c>
      <c r="P98" s="2">
        <f>P10/'Output-Calculation-sheet'!P9*'Output-Calculation-sheet'!P81</f>
        <v>3957572158.2340817</v>
      </c>
      <c r="Q98" s="2">
        <f>Q10/'Output-Calculation-sheet'!Q9*'Output-Calculation-sheet'!Q81</f>
        <v>2228138536.9560294</v>
      </c>
      <c r="R98" s="2">
        <f>R10/'Output-Calculation-sheet'!R9*'Output-Calculation-sheet'!R81</f>
        <v>2935089938.7262197</v>
      </c>
      <c r="S98" s="2">
        <f>S10/'Output-Calculation-sheet'!S9*'Output-Calculation-sheet'!S81</f>
        <v>1855507002.5020635</v>
      </c>
      <c r="T98" s="2">
        <f>T10/'Output-Calculation-sheet'!T9*'Output-Calculation-sheet'!T81</f>
        <v>1168065678.0177519</v>
      </c>
      <c r="U98" s="2">
        <f>U10/'Output-Calculation-sheet'!U9*'Output-Calculation-sheet'!U81</f>
        <v>1094420724.9357643</v>
      </c>
      <c r="V98" s="2">
        <f>V10/'Output-Calculation-sheet'!V9*'Output-Calculation-sheet'!V81</f>
        <v>712803592.33842647</v>
      </c>
      <c r="W98" s="2">
        <f>W10/'Output-Calculation-sheet'!W9*'Output-Calculation-sheet'!W81</f>
        <v>816272234.5185523</v>
      </c>
      <c r="X98" s="2">
        <f>X10/'Output-Calculation-sheet'!X9*'Output-Calculation-sheet'!X81</f>
        <v>386591789.66727906</v>
      </c>
      <c r="Y98" s="2">
        <f>Y10/'Output-Calculation-sheet'!Y9*'Output-Calculation-sheet'!Y81</f>
        <v>421998115.59340382</v>
      </c>
      <c r="AA98" s="2">
        <f t="shared" si="8"/>
        <v>128.33821906561653</v>
      </c>
    </row>
    <row r="99" spans="1:27" x14ac:dyDescent="0.25">
      <c r="A99" s="2">
        <v>2034</v>
      </c>
      <c r="B99" s="2">
        <f>B11/'Output-Calculation-sheet'!B10*'Output-Calculation-sheet'!B82</f>
        <v>42430679855.979538</v>
      </c>
      <c r="C99" s="2">
        <f>C11/'Output-Calculation-sheet'!C10*'Output-Calculation-sheet'!C82</f>
        <v>17620181933.814457</v>
      </c>
      <c r="D99" s="2">
        <f>D11/'Output-Calculation-sheet'!D10*'Output-Calculation-sheet'!D82</f>
        <v>13728663864.106817</v>
      </c>
      <c r="E99" s="2">
        <f>E11/'Output-Calculation-sheet'!E10*'Output-Calculation-sheet'!E82</f>
        <v>16496013302.634005</v>
      </c>
      <c r="F99" s="2">
        <f>F11/'Output-Calculation-sheet'!F10*'Output-Calculation-sheet'!F82</f>
        <v>9841406674.1118908</v>
      </c>
      <c r="G99" s="2">
        <f>G11/'Output-Calculation-sheet'!G10*'Output-Calculation-sheet'!G82</f>
        <v>4779714590.7593422</v>
      </c>
      <c r="H99" s="2">
        <f>H11/'Output-Calculation-sheet'!H10*'Output-Calculation-sheet'!H82</f>
        <v>6307617072.9262714</v>
      </c>
      <c r="I99" s="2">
        <f>I11/'Output-Calculation-sheet'!I10*'Output-Calculation-sheet'!I82</f>
        <v>5993349360.4998112</v>
      </c>
      <c r="J99" s="2">
        <f>J11/'Output-Calculation-sheet'!J10*'Output-Calculation-sheet'!J82</f>
        <v>3497965421.5171351</v>
      </c>
      <c r="K99" s="2">
        <f>K11/'Output-Calculation-sheet'!K10*'Output-Calculation-sheet'!K82</f>
        <v>5756643205.0332088</v>
      </c>
      <c r="L99" s="2">
        <f>L11/'Output-Calculation-sheet'!L10*'Output-Calculation-sheet'!L82</f>
        <v>4212363101.1879039</v>
      </c>
      <c r="M99" s="2">
        <f>M11/'Output-Calculation-sheet'!M10*'Output-Calculation-sheet'!M82</f>
        <v>4222351170.38413</v>
      </c>
      <c r="N99" s="2">
        <f>N11/'Output-Calculation-sheet'!N10*'Output-Calculation-sheet'!N82</f>
        <v>3047112330.5770607</v>
      </c>
      <c r="O99" s="2">
        <f>O11/'Output-Calculation-sheet'!O10*'Output-Calculation-sheet'!O82</f>
        <v>2420370161.689898</v>
      </c>
      <c r="P99" s="2">
        <f>P11/'Output-Calculation-sheet'!P10*'Output-Calculation-sheet'!P82</f>
        <v>4885849333.5612507</v>
      </c>
      <c r="Q99" s="2">
        <f>Q11/'Output-Calculation-sheet'!Q10*'Output-Calculation-sheet'!Q82</f>
        <v>2797202929.1970892</v>
      </c>
      <c r="R99" s="2">
        <f>R11/'Output-Calculation-sheet'!R10*'Output-Calculation-sheet'!R82</f>
        <v>3660018854.4516172</v>
      </c>
      <c r="S99" s="2">
        <f>S11/'Output-Calculation-sheet'!S10*'Output-Calculation-sheet'!S82</f>
        <v>2318378471.8839235</v>
      </c>
      <c r="T99" s="2">
        <f>T11/'Output-Calculation-sheet'!T10*'Output-Calculation-sheet'!T82</f>
        <v>1446161024.4647927</v>
      </c>
      <c r="U99" s="2">
        <f>U11/'Output-Calculation-sheet'!U10*'Output-Calculation-sheet'!U82</f>
        <v>1360279181.0945818</v>
      </c>
      <c r="V99" s="2">
        <f>V11/'Output-Calculation-sheet'!V10*'Output-Calculation-sheet'!V82</f>
        <v>890876952.96677327</v>
      </c>
      <c r="W99" s="2">
        <f>W11/'Output-Calculation-sheet'!W10*'Output-Calculation-sheet'!W82</f>
        <v>999677387.08540475</v>
      </c>
      <c r="X99" s="2">
        <f>X11/'Output-Calculation-sheet'!X10*'Output-Calculation-sheet'!X82</f>
        <v>481442226.42769653</v>
      </c>
      <c r="Y99" s="2">
        <f>Y11/'Output-Calculation-sheet'!Y10*'Output-Calculation-sheet'!Y82</f>
        <v>519414576.59647518</v>
      </c>
      <c r="AA99" s="2">
        <f t="shared" si="8"/>
        <v>159.71373298295106</v>
      </c>
    </row>
    <row r="100" spans="1:27" x14ac:dyDescent="0.25">
      <c r="A100" s="2">
        <v>2035</v>
      </c>
      <c r="B100" s="2">
        <f>B12/'Output-Calculation-sheet'!B11*'Output-Calculation-sheet'!B83</f>
        <v>51315255250.724091</v>
      </c>
      <c r="C100" s="2">
        <f>C12/'Output-Calculation-sheet'!C11*'Output-Calculation-sheet'!C83</f>
        <v>21337844014.150154</v>
      </c>
      <c r="D100" s="2">
        <f>D12/'Output-Calculation-sheet'!D11*'Output-Calculation-sheet'!D83</f>
        <v>16526420423.316965</v>
      </c>
      <c r="E100" s="2">
        <f>E12/'Output-Calculation-sheet'!E11*'Output-Calculation-sheet'!E83</f>
        <v>19802667417.836933</v>
      </c>
      <c r="F100" s="2">
        <f>F12/'Output-Calculation-sheet'!F11*'Output-Calculation-sheet'!F83</f>
        <v>11850895718.198418</v>
      </c>
      <c r="G100" s="2">
        <f>G12/'Output-Calculation-sheet'!G11*'Output-Calculation-sheet'!G83</f>
        <v>5674354480.2505493</v>
      </c>
      <c r="H100" s="2">
        <f>H12/'Output-Calculation-sheet'!H11*'Output-Calculation-sheet'!H83</f>
        <v>7616201859.8485184</v>
      </c>
      <c r="I100" s="2">
        <f>I12/'Output-Calculation-sheet'!I11*'Output-Calculation-sheet'!I83</f>
        <v>7222900551.8207102</v>
      </c>
      <c r="J100" s="2">
        <f>J12/'Output-Calculation-sheet'!J11*'Output-Calculation-sheet'!J83</f>
        <v>4264852914.2777567</v>
      </c>
      <c r="K100" s="2">
        <f>K12/'Output-Calculation-sheet'!K11*'Output-Calculation-sheet'!K83</f>
        <v>6934502930.1530485</v>
      </c>
      <c r="L100" s="2">
        <f>L12/'Output-Calculation-sheet'!L11*'Output-Calculation-sheet'!L83</f>
        <v>5101111026.2199173</v>
      </c>
      <c r="M100" s="2">
        <f>M12/'Output-Calculation-sheet'!M11*'Output-Calculation-sheet'!M83</f>
        <v>5100826701.4487391</v>
      </c>
      <c r="N100" s="2">
        <f>N12/'Output-Calculation-sheet'!N11*'Output-Calculation-sheet'!N83</f>
        <v>3700500836.5991907</v>
      </c>
      <c r="O100" s="2">
        <f>O12/'Output-Calculation-sheet'!O11*'Output-Calculation-sheet'!O83</f>
        <v>2948159480.966116</v>
      </c>
      <c r="P100" s="2">
        <f>P12/'Output-Calculation-sheet'!P11*'Output-Calculation-sheet'!P83</f>
        <v>5848569349.8467741</v>
      </c>
      <c r="Q100" s="2">
        <f>Q12/'Output-Calculation-sheet'!Q11*'Output-Calculation-sheet'!Q83</f>
        <v>3404935204.3405943</v>
      </c>
      <c r="R100" s="2">
        <f>R12/'Output-Calculation-sheet'!R11*'Output-Calculation-sheet'!R83</f>
        <v>4424508426.0092173</v>
      </c>
      <c r="S100" s="2">
        <f>S12/'Output-Calculation-sheet'!S11*'Output-Calculation-sheet'!S83</f>
        <v>2807867617.5981445</v>
      </c>
      <c r="T100" s="2">
        <f>T12/'Output-Calculation-sheet'!T11*'Output-Calculation-sheet'!T83</f>
        <v>1736414360.7513239</v>
      </c>
      <c r="U100" s="2">
        <f>U12/'Output-Calculation-sheet'!U11*'Output-Calculation-sheet'!U83</f>
        <v>1638502135.4435313</v>
      </c>
      <c r="V100" s="2">
        <f>V12/'Output-Calculation-sheet'!V11*'Output-Calculation-sheet'!V83</f>
        <v>1078865968.7813256</v>
      </c>
      <c r="W100" s="2">
        <f>W12/'Output-Calculation-sheet'!W11*'Output-Calculation-sheet'!W83</f>
        <v>1187322101.4927821</v>
      </c>
      <c r="X100" s="2">
        <f>X12/'Output-Calculation-sheet'!X11*'Output-Calculation-sheet'!X83</f>
        <v>581311794.77244914</v>
      </c>
      <c r="Y100" s="2">
        <f>Y12/'Output-Calculation-sheet'!Y11*'Output-Calculation-sheet'!Y83</f>
        <v>620193743.24988055</v>
      </c>
      <c r="AA100" s="2">
        <f t="shared" si="8"/>
        <v>192.72498430809711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1707.3139221507772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525.56417751115225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361.63930178274546</v>
      </c>
      <c r="N107" s="2">
        <f>N8/'Output-Calculation-sheet'!N7*'Output-Calculation-sheet'!N88</f>
        <v>142.1731139286486</v>
      </c>
      <c r="O107" s="2">
        <f>O8/'Output-Calculation-sheet'!O7*'Output-Calculation-sheet'!O88</f>
        <v>398.02039744560562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39.672583554579496</v>
      </c>
      <c r="Y107" s="2">
        <f>Y8/'Output-Calculation-sheet'!Y7*'Output-Calculation-sheet'!Y88</f>
        <v>0</v>
      </c>
      <c r="AA107" s="2">
        <f t="shared" si="9"/>
        <v>3.1743834963735087</v>
      </c>
    </row>
    <row r="108" spans="1:27" x14ac:dyDescent="0.25">
      <c r="A108" s="2">
        <v>2032</v>
      </c>
      <c r="B108" s="2">
        <f>B9/'Output-Calculation-sheet'!B8*'Output-Calculation-sheet'!B89</f>
        <v>789.59962756944094</v>
      </c>
      <c r="C108" s="2">
        <f>C9/'Output-Calculation-sheet'!C8*'Output-Calculation-sheet'!C89</f>
        <v>2998.0980707682738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807.54412556515376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555.66894819794481</v>
      </c>
      <c r="N108" s="2">
        <f>N9/'Output-Calculation-sheet'!N8*'Output-Calculation-sheet'!N89</f>
        <v>390.09461464440579</v>
      </c>
      <c r="O108" s="2">
        <f>O9/'Output-Calculation-sheet'!O8*'Output-Calculation-sheet'!O89</f>
        <v>582.447165606211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178.89255987449886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60.958039315405166</v>
      </c>
      <c r="Y108" s="2">
        <f>Y9/'Output-Calculation-sheet'!Y8*'Output-Calculation-sheet'!Y89</f>
        <v>0</v>
      </c>
      <c r="AA108" s="2">
        <f t="shared" si="9"/>
        <v>6.3633031515413343</v>
      </c>
    </row>
    <row r="109" spans="1:27" x14ac:dyDescent="0.25">
      <c r="A109" s="2">
        <v>2033</v>
      </c>
      <c r="B109" s="2">
        <f>B10/'Output-Calculation-sheet'!B9*'Output-Calculation-sheet'!B90</f>
        <v>4240.8686353780204</v>
      </c>
      <c r="C109" s="2">
        <f>C10/'Output-Calculation-sheet'!C9*'Output-Calculation-sheet'!C90</f>
        <v>4025.6288219279681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1239.2134061066454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852.69942305897678</v>
      </c>
      <c r="N109" s="2">
        <f>N10/'Output-Calculation-sheet'!N9*'Output-Calculation-sheet'!N90</f>
        <v>670.45219711372113</v>
      </c>
      <c r="O109" s="2">
        <f>O10/'Output-Calculation-sheet'!O9*'Output-Calculation-sheet'!O90</f>
        <v>782.06784493669784</v>
      </c>
      <c r="P109" s="2">
        <f>P10/'Output-Calculation-sheet'!P9*'Output-Calculation-sheet'!P90</f>
        <v>0</v>
      </c>
      <c r="Q109" s="2">
        <f>Q10/'Output-Calculation-sheet'!Q9*'Output-Calculation-sheet'!Q90</f>
        <v>146.85469375413689</v>
      </c>
      <c r="R109" s="2">
        <f>R10/'Output-Calculation-sheet'!R9*'Output-Calculation-sheet'!R90</f>
        <v>0</v>
      </c>
      <c r="S109" s="2">
        <f>S10/'Output-Calculation-sheet'!S9*'Output-Calculation-sheet'!S90</f>
        <v>336.28555146783464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93.542900181163404</v>
      </c>
      <c r="Y109" s="2">
        <f>Y10/'Output-Calculation-sheet'!Y9*'Output-Calculation-sheet'!Y90</f>
        <v>0</v>
      </c>
      <c r="AA109" s="2">
        <f t="shared" si="9"/>
        <v>12.387613473925164</v>
      </c>
    </row>
    <row r="110" spans="1:27" x14ac:dyDescent="0.25">
      <c r="A110" s="2">
        <v>2034</v>
      </c>
      <c r="B110" s="2">
        <f>B11/'Output-Calculation-sheet'!B10*'Output-Calculation-sheet'!B91</f>
        <v>8092.2077643119028</v>
      </c>
      <c r="C110" s="2">
        <f>C11/'Output-Calculation-sheet'!C10*'Output-Calculation-sheet'!C91</f>
        <v>5547.7487033975922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1576.4022591787937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1084.7181690309637</v>
      </c>
      <c r="N110" s="2">
        <f>N11/'Output-Calculation-sheet'!N10*'Output-Calculation-sheet'!N91</f>
        <v>977.26020888577614</v>
      </c>
      <c r="O110" s="2">
        <f>O11/'Output-Calculation-sheet'!O10*'Output-Calculation-sheet'!O91</f>
        <v>1077.7734522077974</v>
      </c>
      <c r="P110" s="2">
        <f>P11/'Output-Calculation-sheet'!P10*'Output-Calculation-sheet'!P91</f>
        <v>246.22275716327826</v>
      </c>
      <c r="Q110" s="2">
        <f>Q11/'Output-Calculation-sheet'!Q10*'Output-Calculation-sheet'!Q91</f>
        <v>544.87336114774575</v>
      </c>
      <c r="R110" s="2">
        <f>R11/'Output-Calculation-sheet'!R10*'Output-Calculation-sheet'!R91</f>
        <v>0</v>
      </c>
      <c r="S110" s="2">
        <f>S11/'Output-Calculation-sheet'!S10*'Output-Calculation-sheet'!S91</f>
        <v>560.1992884163077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118.99583917431566</v>
      </c>
      <c r="Y110" s="2">
        <f>Y11/'Output-Calculation-sheet'!Y10*'Output-Calculation-sheet'!Y91</f>
        <v>28.708315245305599</v>
      </c>
      <c r="AA110" s="2">
        <f t="shared" si="9"/>
        <v>19.855110118159786</v>
      </c>
    </row>
    <row r="111" spans="1:27" x14ac:dyDescent="0.25">
      <c r="A111" s="2">
        <v>2035</v>
      </c>
      <c r="B111" s="2">
        <f>B12/'Output-Calculation-sheet'!B11*'Output-Calculation-sheet'!B92</f>
        <v>14154.556539202835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3153.0067004741982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700.27000791131888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1119.7750356186261</v>
      </c>
      <c r="Q111" s="2">
        <f>Q12/'Output-Calculation-sheet'!Q11*'Output-Calculation-sheet'!Q92</f>
        <v>1061.9923329639794</v>
      </c>
      <c r="R111" s="2">
        <f>R12/'Output-Calculation-sheet'!R11*'Output-Calculation-sheet'!R92</f>
        <v>162.02547030069044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234.58112914384012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110.47388584972616</v>
      </c>
      <c r="AA111" s="2">
        <f t="shared" si="9"/>
        <v>34.567350559147563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8026051705.9594927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2469451337.0996537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1715246754.4498057</v>
      </c>
      <c r="N118" s="2">
        <f>N8/'Output-Calculation-sheet'!N7*'Output-Calculation-sheet'!N97</f>
        <v>1345979642.4216328</v>
      </c>
      <c r="O118" s="2">
        <f>O8/'Output-Calculation-sheet'!O7*'Output-Calculation-sheet'!O97</f>
        <v>895630322.82176781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487437404.53207314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184871044.94852176</v>
      </c>
      <c r="Y118" s="2">
        <f>Y8/'Output-Calculation-sheet'!Y7*'Output-Calculation-sheet'!Y97</f>
        <v>0</v>
      </c>
      <c r="AA118" s="2">
        <f t="shared" si="10"/>
        <v>16493.807948704842</v>
      </c>
    </row>
    <row r="119" spans="1:27" x14ac:dyDescent="0.25">
      <c r="A119" s="2">
        <v>2032</v>
      </c>
      <c r="B119" s="2">
        <f>B9/'Output-Calculation-sheet'!B8*'Output-Calculation-sheet'!B98</f>
        <v>5923617424.1884174</v>
      </c>
      <c r="C119" s="2">
        <f>C9/'Output-Calculation-sheet'!C8*'Output-Calculation-sheet'!C98</f>
        <v>4708210776.8133364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2814578937.0975451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1964586638.4791431</v>
      </c>
      <c r="N119" s="2">
        <f>N9/'Output-Calculation-sheet'!N8*'Output-Calculation-sheet'!N98</f>
        <v>1326736101.9919915</v>
      </c>
      <c r="O119" s="2">
        <f>O9/'Output-Calculation-sheet'!O8*'Output-Calculation-sheet'!O98</f>
        <v>919897386.3112992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551364758.78919291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210217813.44076228</v>
      </c>
      <c r="Y119" s="2">
        <f>Y9/'Output-Calculation-sheet'!Y8*'Output-Calculation-sheet'!Y98</f>
        <v>0</v>
      </c>
      <c r="AA119" s="2">
        <f t="shared" si="10"/>
        <v>18419.209837111688</v>
      </c>
    </row>
    <row r="120" spans="1:27" x14ac:dyDescent="0.25">
      <c r="A120" s="2">
        <v>2033</v>
      </c>
      <c r="B120" s="2">
        <f>B10/'Output-Calculation-sheet'!B9*'Output-Calculation-sheet'!B99</f>
        <v>6101054613.9678926</v>
      </c>
      <c r="C120" s="2">
        <f>C10/'Output-Calculation-sheet'!C9*'Output-Calculation-sheet'!C99</f>
        <v>5015445731.3831758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1644445846.1118777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1163952430.9050734</v>
      </c>
      <c r="N120" s="2">
        <f>N10/'Output-Calculation-sheet'!N9*'Output-Calculation-sheet'!N99</f>
        <v>1160337250.7119219</v>
      </c>
      <c r="O120" s="2">
        <f>O10/'Output-Calculation-sheet'!O9*'Output-Calculation-sheet'!O99</f>
        <v>981916243.22479045</v>
      </c>
      <c r="P120" s="2">
        <f>P10/'Output-Calculation-sheet'!P9*'Output-Calculation-sheet'!P99</f>
        <v>0</v>
      </c>
      <c r="Q120" s="2">
        <f>Q10/'Output-Calculation-sheet'!Q9*'Output-Calculation-sheet'!Q99</f>
        <v>7186871.2118363976</v>
      </c>
      <c r="R120" s="2">
        <f>R10/'Output-Calculation-sheet'!R9*'Output-Calculation-sheet'!R99</f>
        <v>0</v>
      </c>
      <c r="S120" s="2">
        <f>S10/'Output-Calculation-sheet'!S9*'Output-Calculation-sheet'!S99</f>
        <v>485941668.51387131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116225814.33537884</v>
      </c>
      <c r="Y120" s="2">
        <f>Y10/'Output-Calculation-sheet'!Y9*'Output-Calculation-sheet'!Y99</f>
        <v>0</v>
      </c>
      <c r="AA120" s="2">
        <f t="shared" si="10"/>
        <v>16676.506470365817</v>
      </c>
    </row>
    <row r="121" spans="1:27" x14ac:dyDescent="0.25">
      <c r="A121" s="2">
        <v>2034</v>
      </c>
      <c r="B121" s="2">
        <f>B11/'Output-Calculation-sheet'!B10*'Output-Calculation-sheet'!B100</f>
        <v>6061232932.9480896</v>
      </c>
      <c r="C121" s="2">
        <f>C11/'Output-Calculation-sheet'!C10*'Output-Calculation-sheet'!C100</f>
        <v>728303018.41966891</v>
      </c>
      <c r="D121" s="2">
        <f>D11/'Output-Calculation-sheet'!D10*'Output-Calculation-sheet'!D100</f>
        <v>0</v>
      </c>
      <c r="E121" s="2">
        <f>E11/'Output-Calculation-sheet'!E10*'Output-Calculation-sheet'!E100</f>
        <v>840519046.56945956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1917689936.1649003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699129056.14565599</v>
      </c>
      <c r="M121" s="2">
        <f>M11/'Output-Calculation-sheet'!M10*'Output-Calculation-sheet'!M100</f>
        <v>1364812591.9982514</v>
      </c>
      <c r="N121" s="2">
        <f>N11/'Output-Calculation-sheet'!N10*'Output-Calculation-sheet'!N100</f>
        <v>909890059.21056581</v>
      </c>
      <c r="O121" s="2">
        <f>O11/'Output-Calculation-sheet'!O10*'Output-Calculation-sheet'!O100</f>
        <v>142859032.59465685</v>
      </c>
      <c r="P121" s="2">
        <f>P11/'Output-Calculation-sheet'!P10*'Output-Calculation-sheet'!P100</f>
        <v>0</v>
      </c>
      <c r="Q121" s="2">
        <f>Q11/'Output-Calculation-sheet'!Q10*'Output-Calculation-sheet'!Q100</f>
        <v>281073681.52064508</v>
      </c>
      <c r="R121" s="2">
        <f>R11/'Output-Calculation-sheet'!R10*'Output-Calculation-sheet'!R100</f>
        <v>0</v>
      </c>
      <c r="S121" s="2">
        <f>S11/'Output-Calculation-sheet'!S10*'Output-Calculation-sheet'!S100</f>
        <v>340201157.28670871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134102386.71417017</v>
      </c>
      <c r="Y121" s="2">
        <f>Y11/'Output-Calculation-sheet'!Y10*'Output-Calculation-sheet'!Y100</f>
        <v>9583468.2060457729</v>
      </c>
      <c r="AA121" s="2">
        <f t="shared" si="10"/>
        <v>13429.396367778818</v>
      </c>
    </row>
    <row r="122" spans="1:27" x14ac:dyDescent="0.25">
      <c r="A122" s="2">
        <v>2035</v>
      </c>
      <c r="B122" s="2">
        <f>B12/'Output-Calculation-sheet'!B11*'Output-Calculation-sheet'!B101</f>
        <v>2488746043.4274421</v>
      </c>
      <c r="C122" s="2">
        <f>C12/'Output-Calculation-sheet'!C11*'Output-Calculation-sheet'!C101</f>
        <v>428014528.15249145</v>
      </c>
      <c r="D122" s="2">
        <f>D12/'Output-Calculation-sheet'!D11*'Output-Calculation-sheet'!D101</f>
        <v>0</v>
      </c>
      <c r="E122" s="2">
        <f>E12/'Output-Calculation-sheet'!E11*'Output-Calculation-sheet'!E101</f>
        <v>2487525326.12571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667547225.28199959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1460046076.8659666</v>
      </c>
      <c r="M122" s="2">
        <f>M12/'Output-Calculation-sheet'!M11*'Output-Calculation-sheet'!M101</f>
        <v>602149949.31479597</v>
      </c>
      <c r="N122" s="2">
        <f>N12/'Output-Calculation-sheet'!N11*'Output-Calculation-sheet'!N101</f>
        <v>504841960.54751766</v>
      </c>
      <c r="O122" s="2">
        <f>O12/'Output-Calculation-sheet'!O11*'Output-Calculation-sheet'!O101</f>
        <v>72950262.313555256</v>
      </c>
      <c r="P122" s="2">
        <f>P12/'Output-Calculation-sheet'!P11*'Output-Calculation-sheet'!P101</f>
        <v>31019849.187501326</v>
      </c>
      <c r="Q122" s="2">
        <f>Q12/'Output-Calculation-sheet'!Q11*'Output-Calculation-sheet'!Q101</f>
        <v>611451899.31947553</v>
      </c>
      <c r="R122" s="2">
        <f>R12/'Output-Calculation-sheet'!R11*'Output-Calculation-sheet'!R101</f>
        <v>0</v>
      </c>
      <c r="S122" s="2">
        <f>S12/'Output-Calculation-sheet'!S11*'Output-Calculation-sheet'!S101</f>
        <v>247186518.54531014</v>
      </c>
      <c r="T122" s="2">
        <f>T12/'Output-Calculation-sheet'!T11*'Output-Calculation-sheet'!T101</f>
        <v>0</v>
      </c>
      <c r="U122" s="2">
        <f>U12/'Output-Calculation-sheet'!U11*'Output-Calculation-sheet'!U101</f>
        <v>90887459.909102678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21356460.109190181</v>
      </c>
      <c r="Y122" s="2">
        <f>Y12/'Output-Calculation-sheet'!Y11*'Output-Calculation-sheet'!Y101</f>
        <v>88246122.641985908</v>
      </c>
      <c r="AA122" s="2">
        <f t="shared" si="10"/>
        <v>9801.9696817420463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2233538696.6170311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2241287560.4958525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146814.07182541705</v>
      </c>
    </row>
    <row r="130" spans="1:27" x14ac:dyDescent="0.25">
      <c r="A130" s="2">
        <v>2032</v>
      </c>
      <c r="B130" s="2">
        <f>B9/'Output-Calculation-sheet'!B8*'Output-Calculation-sheet'!B107</f>
        <v>53605344461.414749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1950171129.8579667</v>
      </c>
      <c r="O130" s="2">
        <f>O9/'Output-Calculation-sheet'!O8*'Output-Calculation-sheet'!O107</f>
        <v>0</v>
      </c>
      <c r="P130" s="2">
        <f>P9/'Output-Calculation-sheet'!P8*'Output-Calculation-sheet'!P107</f>
        <v>5950685970.9731665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1732060997.5048816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188783.79224184246</v>
      </c>
    </row>
    <row r="131" spans="1:27" x14ac:dyDescent="0.25">
      <c r="A131" s="2">
        <v>2033</v>
      </c>
      <c r="B131" s="2">
        <f>B10/'Output-Calculation-sheet'!B9*'Output-Calculation-sheet'!B108</f>
        <v>45512010822.988121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1667683448.1385243</v>
      </c>
      <c r="O131" s="2">
        <f>O10/'Output-Calculation-sheet'!O9*'Output-Calculation-sheet'!O108</f>
        <v>0</v>
      </c>
      <c r="P131" s="2">
        <f>P10/'Output-Calculation-sheet'!P9*'Output-Calculation-sheet'!P108</f>
        <v>7670143303.4119453</v>
      </c>
      <c r="Q131" s="2">
        <f>Q10/'Output-Calculation-sheet'!Q9*'Output-Calculation-sheet'!Q108</f>
        <v>6470238529.6486616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1617564073.9740546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217221.66099690137</v>
      </c>
    </row>
    <row r="132" spans="1:27" x14ac:dyDescent="0.25">
      <c r="A132" s="2">
        <v>2034</v>
      </c>
      <c r="B132" s="2">
        <f>B11/'Output-Calculation-sheet'!B10*'Output-Calculation-sheet'!B109</f>
        <v>35269437973.655411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34045567059.571045</v>
      </c>
      <c r="F132" s="2">
        <f>F11/'Output-Calculation-sheet'!F10*'Output-Calculation-sheet'!F109</f>
        <v>22453860012.653198</v>
      </c>
      <c r="G132" s="2">
        <f>G11/'Output-Calculation-sheet'!G10*'Output-Calculation-sheet'!G109</f>
        <v>15777135157.062031</v>
      </c>
      <c r="H132" s="2">
        <f>H11/'Output-Calculation-sheet'!H10*'Output-Calculation-sheet'!H109</f>
        <v>0</v>
      </c>
      <c r="I132" s="2">
        <f>I11/'Output-Calculation-sheet'!I10*'Output-Calculation-sheet'!I109</f>
        <v>14373205639.508558</v>
      </c>
      <c r="J132" s="2">
        <f>J11/'Output-Calculation-sheet'!J10*'Output-Calculation-sheet'!J109</f>
        <v>13989982062.462709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10416228346.111933</v>
      </c>
      <c r="M132" s="2">
        <f>M11/'Output-Calculation-sheet'!M10*'Output-Calculation-sheet'!M109</f>
        <v>0</v>
      </c>
      <c r="N132" s="2">
        <f>N11/'Output-Calculation-sheet'!N10*'Output-Calculation-sheet'!N109</f>
        <v>1369558070.8725941</v>
      </c>
      <c r="O132" s="2">
        <f>O11/'Output-Calculation-sheet'!O10*'Output-Calculation-sheet'!O109</f>
        <v>0</v>
      </c>
      <c r="P132" s="2">
        <f>P11/'Output-Calculation-sheet'!P10*'Output-Calculation-sheet'!P109</f>
        <v>7781455605.285944</v>
      </c>
      <c r="Q132" s="2">
        <f>Q11/'Output-Calculation-sheet'!Q10*'Output-Calculation-sheet'!Q109</f>
        <v>5051273261.4911385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939941652.80822456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2876292056.3892226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927378129.43857205</v>
      </c>
      <c r="AA132" s="2">
        <f t="shared" si="11"/>
        <v>239499.57272264195</v>
      </c>
    </row>
    <row r="133" spans="1:27" x14ac:dyDescent="0.25">
      <c r="A133" s="2">
        <v>2035</v>
      </c>
      <c r="B133" s="2">
        <f>B12/'Output-Calculation-sheet'!B11*'Output-Calculation-sheet'!B110</f>
        <v>596340658.26709545</v>
      </c>
      <c r="C133" s="2">
        <f>C12/'Output-Calculation-sheet'!C11*'Output-Calculation-sheet'!C110</f>
        <v>0</v>
      </c>
      <c r="D133" s="2">
        <f>D12/'Output-Calculation-sheet'!D11*'Output-Calculation-sheet'!D110</f>
        <v>50415397931.660179</v>
      </c>
      <c r="E133" s="2">
        <f>E12/'Output-Calculation-sheet'!E11*'Output-Calculation-sheet'!E110</f>
        <v>19352549095.053913</v>
      </c>
      <c r="F133" s="2">
        <f>F12/'Output-Calculation-sheet'!F11*'Output-Calculation-sheet'!F110</f>
        <v>26400234241.222404</v>
      </c>
      <c r="G133" s="2">
        <f>G12/'Output-Calculation-sheet'!G11*'Output-Calculation-sheet'!G110</f>
        <v>17996968275.229298</v>
      </c>
      <c r="H133" s="2">
        <f>H12/'Output-Calculation-sheet'!H11*'Output-Calculation-sheet'!H110</f>
        <v>0</v>
      </c>
      <c r="I133" s="2">
        <f>I12/'Output-Calculation-sheet'!I11*'Output-Calculation-sheet'!I110</f>
        <v>16813777446.603273</v>
      </c>
      <c r="J133" s="2">
        <f>J12/'Output-Calculation-sheet'!J11*'Output-Calculation-sheet'!J110</f>
        <v>16097332954.298004</v>
      </c>
      <c r="K133" s="2">
        <f>K12/'Output-Calculation-sheet'!K11*'Output-Calculation-sheet'!K110</f>
        <v>16259416592.970324</v>
      </c>
      <c r="L133" s="2">
        <f>L12/'Output-Calculation-sheet'!L11*'Output-Calculation-sheet'!L110</f>
        <v>7675446487.5484381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2800507024.5451179</v>
      </c>
      <c r="Q133" s="2">
        <f>Q12/'Output-Calculation-sheet'!Q11*'Output-Calculation-sheet'!Q110</f>
        <v>2402373065.697937</v>
      </c>
      <c r="R133" s="2">
        <f>R12/'Output-Calculation-sheet'!R11*'Output-Calculation-sheet'!R110</f>
        <v>9659335688.1686058</v>
      </c>
      <c r="S133" s="2">
        <f>S12/'Output-Calculation-sheet'!S11*'Output-Calculation-sheet'!S110</f>
        <v>2485584.4305253564</v>
      </c>
      <c r="T133" s="2">
        <f>T12/'Output-Calculation-sheet'!T11*'Output-Calculation-sheet'!T110</f>
        <v>3899585459.8321013</v>
      </c>
      <c r="U133" s="2">
        <f>U12/'Output-Calculation-sheet'!U11*'Output-Calculation-sheet'!U110</f>
        <v>1830684333.3739347</v>
      </c>
      <c r="V133" s="2">
        <f>V12/'Output-Calculation-sheet'!V11*'Output-Calculation-sheet'!V110</f>
        <v>2630235770.7829108</v>
      </c>
      <c r="W133" s="2">
        <f>W12/'Output-Calculation-sheet'!W11*'Output-Calculation-sheet'!W110</f>
        <v>2268744305.1757212</v>
      </c>
      <c r="X133" s="2">
        <f>X12/'Output-Calculation-sheet'!X11*'Output-Calculation-sheet'!X110</f>
        <v>0</v>
      </c>
      <c r="Y133" s="2">
        <f>Y12/'Output-Calculation-sheet'!Y11*'Output-Calculation-sheet'!Y110</f>
        <v>519364475.45110834</v>
      </c>
      <c r="AA133" s="2">
        <f t="shared" si="11"/>
        <v>197620.77939031084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14527396691.550869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4567047589.7364101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3139320329.5613804</v>
      </c>
      <c r="N140" s="2">
        <f>N8/'Output-Calculation-sheet'!N7*'Output-Calculation-sheet'!N115</f>
        <v>1185217855.4478326</v>
      </c>
      <c r="O140" s="2">
        <f>O8/'Output-Calculation-sheet'!O7*'Output-Calculation-sheet'!O115</f>
        <v>3486504470.2573957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340892496.27316803</v>
      </c>
      <c r="Y140" s="2">
        <f>Y8/'Output-Calculation-sheet'!Y7*'Output-Calculation-sheet'!Y115</f>
        <v>0</v>
      </c>
      <c r="AA140" s="2">
        <f t="shared" si="12"/>
        <v>27246.379432827052</v>
      </c>
    </row>
    <row r="141" spans="1:27" x14ac:dyDescent="0.25">
      <c r="A141" s="2">
        <v>2032</v>
      </c>
      <c r="B141" s="2">
        <f>B9/'Output-Calculation-sheet'!B8*'Output-Calculation-sheet'!B116</f>
        <v>6128327793.0871964</v>
      </c>
      <c r="C141" s="2">
        <f>C9/'Output-Calculation-sheet'!C8*'Output-Calculation-sheet'!C116</f>
        <v>26232866547.947807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6838794550.5488348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4695394364.867095</v>
      </c>
      <c r="N141" s="2">
        <f>N9/'Output-Calculation-sheet'!N8*'Output-Calculation-sheet'!N116</f>
        <v>3259834259.7544823</v>
      </c>
      <c r="O141" s="2">
        <f>O9/'Output-Calculation-sheet'!O8*'Output-Calculation-sheet'!O116</f>
        <v>5091953574.3254519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1460112361.3956656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511077177.78683168</v>
      </c>
      <c r="Y141" s="2">
        <f>Y9/'Output-Calculation-sheet'!Y8*'Output-Calculation-sheet'!Y116</f>
        <v>0</v>
      </c>
      <c r="AA141" s="2">
        <f t="shared" si="12"/>
        <v>54218.360629713374</v>
      </c>
    </row>
    <row r="142" spans="1:27" x14ac:dyDescent="0.25">
      <c r="A142" s="2">
        <v>2033</v>
      </c>
      <c r="B142" s="2">
        <f>B10/'Output-Calculation-sheet'!B9*'Output-Calculation-sheet'!B117</f>
        <v>33020394566.942055</v>
      </c>
      <c r="C142" s="2">
        <f>C10/'Output-Calculation-sheet'!C9*'Output-Calculation-sheet'!C117</f>
        <v>34868172252.346748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10798930493.981117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7420885827.8198404</v>
      </c>
      <c r="N142" s="2">
        <f>N10/'Output-Calculation-sheet'!N9*'Output-Calculation-sheet'!N117</f>
        <v>5597959122.5402212</v>
      </c>
      <c r="O142" s="2">
        <f>O10/'Output-Calculation-sheet'!O9*'Output-Calculation-sheet'!O117</f>
        <v>6767469713.9357786</v>
      </c>
      <c r="P142" s="2">
        <f>P10/'Output-Calculation-sheet'!P9*'Output-Calculation-sheet'!P117</f>
        <v>0</v>
      </c>
      <c r="Q142" s="2">
        <f>Q10/'Output-Calculation-sheet'!Q9*'Output-Calculation-sheet'!Q117</f>
        <v>1069130778.5873413</v>
      </c>
      <c r="R142" s="2">
        <f>R10/'Output-Calculation-sheet'!R9*'Output-Calculation-sheet'!R117</f>
        <v>0</v>
      </c>
      <c r="S142" s="2">
        <f>S10/'Output-Calculation-sheet'!S9*'Output-Calculation-sheet'!S117</f>
        <v>2721983848.2899456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813536771.62985253</v>
      </c>
      <c r="Y142" s="2">
        <f>Y10/'Output-Calculation-sheet'!Y9*'Output-Calculation-sheet'!Y117</f>
        <v>0</v>
      </c>
      <c r="AA142" s="2">
        <f t="shared" si="12"/>
        <v>103078.4633760729</v>
      </c>
    </row>
    <row r="143" spans="1:27" x14ac:dyDescent="0.25">
      <c r="A143" s="2">
        <v>2034</v>
      </c>
      <c r="B143" s="2">
        <f>B11/'Output-Calculation-sheet'!B10*'Output-Calculation-sheet'!B118</f>
        <v>63340384219.722404</v>
      </c>
      <c r="C143" s="2">
        <f>C11/'Output-Calculation-sheet'!C10*'Output-Calculation-sheet'!C118</f>
        <v>48598278641.762909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13471684621.736515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9252502761.4698124</v>
      </c>
      <c r="N143" s="2">
        <f>N11/'Output-Calculation-sheet'!N10*'Output-Calculation-sheet'!N118</f>
        <v>8141460189.4397631</v>
      </c>
      <c r="O143" s="2">
        <f>O11/'Output-Calculation-sheet'!O10*'Output-Calculation-sheet'!O118</f>
        <v>9441295441.3403053</v>
      </c>
      <c r="P143" s="2">
        <f>P11/'Output-Calculation-sheet'!P10*'Output-Calculation-sheet'!P118</f>
        <v>1704598016.0426121</v>
      </c>
      <c r="Q143" s="2">
        <f>Q11/'Output-Calculation-sheet'!Q10*'Output-Calculation-sheet'!Q118</f>
        <v>4000873674.3272862</v>
      </c>
      <c r="R143" s="2">
        <f>R11/'Output-Calculation-sheet'!R10*'Output-Calculation-sheet'!R118</f>
        <v>0</v>
      </c>
      <c r="S143" s="2">
        <f>S11/'Output-Calculation-sheet'!S10*'Output-Calculation-sheet'!S118</f>
        <v>4687844208.7452412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1015784027.4036599</v>
      </c>
      <c r="Y143" s="2">
        <f>Y11/'Output-Calculation-sheet'!Y10*'Output-Calculation-sheet'!Y118</f>
        <v>181277848.80674586</v>
      </c>
      <c r="AA143" s="2">
        <f t="shared" si="12"/>
        <v>163835.98365079725</v>
      </c>
    </row>
    <row r="144" spans="1:27" x14ac:dyDescent="0.25">
      <c r="A144" s="2">
        <v>2035</v>
      </c>
      <c r="B144" s="2">
        <f>B12/'Output-Calculation-sheet'!B11*'Output-Calculation-sheet'!B119</f>
        <v>122199374869.81935</v>
      </c>
      <c r="C144" s="2">
        <f>C12/'Output-Calculation-sheet'!C11*'Output-Calculation-sheet'!C119</f>
        <v>58707295700.307297</v>
      </c>
      <c r="D144" s="2">
        <f>D12/'Output-Calculation-sheet'!D11*'Output-Calculation-sheet'!D119</f>
        <v>0</v>
      </c>
      <c r="E144" s="2">
        <f>E12/'Output-Calculation-sheet'!E11*'Output-Calculation-sheet'!E119</f>
        <v>19761661951.475182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17736500351.15786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4071883010.8816118</v>
      </c>
      <c r="M144" s="2">
        <f>M12/'Output-Calculation-sheet'!M11*'Output-Calculation-sheet'!M119</f>
        <v>12087972207.517851</v>
      </c>
      <c r="N144" s="2">
        <f>N12/'Output-Calculation-sheet'!N11*'Output-Calculation-sheet'!N119</f>
        <v>11942975605.785824</v>
      </c>
      <c r="O144" s="2">
        <f>O12/'Output-Calculation-sheet'!O11*'Output-Calculation-sheet'!O119</f>
        <v>11412767540.051342</v>
      </c>
      <c r="P144" s="2">
        <f>P12/'Output-Calculation-sheet'!P11*'Output-Calculation-sheet'!P119</f>
        <v>8525010669.9959688</v>
      </c>
      <c r="Q144" s="2">
        <f>Q12/'Output-Calculation-sheet'!Q11*'Output-Calculation-sheet'!Q119</f>
        <v>8053588620.4873934</v>
      </c>
      <c r="R144" s="2">
        <f>R12/'Output-Calculation-sheet'!R11*'Output-Calculation-sheet'!R119</f>
        <v>906633614.43428445</v>
      </c>
      <c r="S144" s="2">
        <f>S12/'Output-Calculation-sheet'!S11*'Output-Calculation-sheet'!S119</f>
        <v>6882945240.8113337</v>
      </c>
      <c r="T144" s="2">
        <f>T12/'Output-Calculation-sheet'!T11*'Output-Calculation-sheet'!T119</f>
        <v>0</v>
      </c>
      <c r="U144" s="2">
        <f>U12/'Output-Calculation-sheet'!U11*'Output-Calculation-sheet'!U119</f>
        <v>1497300543.7425168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1356576290.0694749</v>
      </c>
      <c r="Y144" s="2">
        <f>Y12/'Output-Calculation-sheet'!Y11*'Output-Calculation-sheet'!Y119</f>
        <v>725982336.38709915</v>
      </c>
      <c r="AA144" s="2">
        <f t="shared" si="12"/>
        <v>285868.4685529244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529177961.5150798</v>
      </c>
      <c r="C155" s="2">
        <f>C12/'Output-Calculation-sheet'!C11*'Output-Calculation-sheet'!C128</f>
        <v>50555334.777387366</v>
      </c>
      <c r="D155" s="2">
        <f>D12/'Output-Calculation-sheet'!D11*'Output-Calculation-sheet'!D128</f>
        <v>3787175075.2107081</v>
      </c>
      <c r="E155" s="2">
        <f>E12/'Output-Calculation-sheet'!E11*'Output-Calculation-sheet'!E128</f>
        <v>564622422.73977387</v>
      </c>
      <c r="F155" s="2">
        <f>F12/'Output-Calculation-sheet'!F11*'Output-Calculation-sheet'!F128</f>
        <v>1169662157.8644011</v>
      </c>
      <c r="G155" s="2">
        <f>G12/'Output-Calculation-sheet'!G11*'Output-Calculation-sheet'!G128</f>
        <v>1471585858.0961914</v>
      </c>
      <c r="H155" s="2">
        <f>H12/'Output-Calculation-sheet'!H11*'Output-Calculation-sheet'!H128</f>
        <v>111520430.55321933</v>
      </c>
      <c r="I155" s="2">
        <f>I12/'Output-Calculation-sheet'!I11*'Output-Calculation-sheet'!I128</f>
        <v>884786719.2061857</v>
      </c>
      <c r="J155" s="2">
        <f>J12/'Output-Calculation-sheet'!J11*'Output-Calculation-sheet'!J128</f>
        <v>995560221.64503527</v>
      </c>
      <c r="K155" s="2">
        <f>K12/'Output-Calculation-sheet'!K11*'Output-Calculation-sheet'!K128</f>
        <v>746292586.93642247</v>
      </c>
      <c r="L155" s="2">
        <f>L12/'Output-Calculation-sheet'!L11*'Output-Calculation-sheet'!L128</f>
        <v>236807411.35437322</v>
      </c>
      <c r="M155" s="2">
        <f>M12/'Output-Calculation-sheet'!M11*'Output-Calculation-sheet'!M128</f>
        <v>88659525.519356802</v>
      </c>
      <c r="N155" s="2">
        <f>N12/'Output-Calculation-sheet'!N11*'Output-Calculation-sheet'!N128</f>
        <v>81034347.014177412</v>
      </c>
      <c r="O155" s="2">
        <f>O12/'Output-Calculation-sheet'!O11*'Output-Calculation-sheet'!O128</f>
        <v>14315277.758838328</v>
      </c>
      <c r="P155" s="2">
        <f>P12/'Output-Calculation-sheet'!P11*'Output-Calculation-sheet'!P128</f>
        <v>60334798.933659077</v>
      </c>
      <c r="Q155" s="2">
        <f>Q12/'Output-Calculation-sheet'!Q11*'Output-Calculation-sheet'!Q128</f>
        <v>204108985.17982808</v>
      </c>
      <c r="R155" s="2">
        <f>R12/'Output-Calculation-sheet'!R11*'Output-Calculation-sheet'!R128</f>
        <v>413323713.18538642</v>
      </c>
      <c r="S155" s="2">
        <f>S12/'Output-Calculation-sheet'!S11*'Output-Calculation-sheet'!S128</f>
        <v>49689424.923206694</v>
      </c>
      <c r="T155" s="2">
        <f>T12/'Output-Calculation-sheet'!T11*'Output-Calculation-sheet'!T128</f>
        <v>129037689.23484728</v>
      </c>
      <c r="U155" s="2">
        <f>U12/'Output-Calculation-sheet'!U11*'Output-Calculation-sheet'!U128</f>
        <v>71025275.988958105</v>
      </c>
      <c r="V155" s="2">
        <f>V12/'Output-Calculation-sheet'!V11*'Output-Calculation-sheet'!V128</f>
        <v>52910962.873220943</v>
      </c>
      <c r="W155" s="2">
        <f>W12/'Output-Calculation-sheet'!W11*'Output-Calculation-sheet'!W128</f>
        <v>85523871.653352737</v>
      </c>
      <c r="X155" s="2">
        <f>X12/'Output-Calculation-sheet'!X11*'Output-Calculation-sheet'!X128</f>
        <v>2671096.958098697</v>
      </c>
      <c r="Y155" s="2">
        <f>Y12/'Output-Calculation-sheet'!Y11*'Output-Calculation-sheet'!Y128</f>
        <v>17914586.193378273</v>
      </c>
      <c r="AA155" s="2">
        <f t="shared" si="13"/>
        <v>11818.29573531509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5015.7430159368232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1519.3288723974354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1055.3861564652025</v>
      </c>
      <c r="N19" s="2">
        <f>N8/'Output-Calculation-sheet'!N7*'Output-Calculation-sheet'!N25</f>
        <v>877.95656632530677</v>
      </c>
      <c r="O19" s="2">
        <f>O8/'Output-Calculation-sheet'!O7*'Output-Calculation-sheet'!O25</f>
        <v>551.01264472460014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114.22214003849984</v>
      </c>
      <c r="Y19" s="2">
        <f>Y8/'Output-Calculation-sheet'!Y7*'Output-Calculation-sheet'!Y25</f>
        <v>0</v>
      </c>
      <c r="AA19" s="2">
        <f t="shared" si="0"/>
        <v>10.605732025226619</v>
      </c>
    </row>
    <row r="20" spans="1:27" x14ac:dyDescent="0.25">
      <c r="A20" s="2">
        <v>2032</v>
      </c>
      <c r="B20" s="2">
        <f>B9/'Output-Calculation-sheet'!B8*'Output-Calculation-sheet'!B26</f>
        <v>5292.5863631096654</v>
      </c>
      <c r="C20" s="2">
        <f>C9/'Output-Calculation-sheet'!C8*'Output-Calculation-sheet'!C26</f>
        <v>2902.3251502276817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1742.2801184186087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1217.5173709757123</v>
      </c>
      <c r="N20" s="2">
        <f>N9/'Output-Calculation-sheet'!N8*'Output-Calculation-sheet'!N26</f>
        <v>843.7727152521345</v>
      </c>
      <c r="O20" s="2">
        <f>O9/'Output-Calculation-sheet'!O8*'Output-Calculation-sheet'!O26</f>
        <v>567.06054815536163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400.24629701587594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132.48367171872763</v>
      </c>
      <c r="Y20" s="2">
        <f>Y9/'Output-Calculation-sheet'!Y8*'Output-Calculation-sheet'!Y26</f>
        <v>0</v>
      </c>
      <c r="AA20" s="2">
        <f t="shared" si="0"/>
        <v>13.098272234873768</v>
      </c>
    </row>
    <row r="21" spans="1:27" x14ac:dyDescent="0.25">
      <c r="A21" s="2">
        <v>2033</v>
      </c>
      <c r="B21" s="2">
        <f>B10/'Output-Calculation-sheet'!B9*'Output-Calculation-sheet'!B27</f>
        <v>5038.1587228611425</v>
      </c>
      <c r="C21" s="2">
        <f>C10/'Output-Calculation-sheet'!C9*'Output-Calculation-sheet'!C27</f>
        <v>3096.6655669963534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1015.3247735440949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718.65525045931565</v>
      </c>
      <c r="N21" s="2">
        <f>N10/'Output-Calculation-sheet'!N9*'Output-Calculation-sheet'!N27</f>
        <v>727.78022591822162</v>
      </c>
      <c r="O21" s="2">
        <f>O10/'Output-Calculation-sheet'!O9*'Output-Calculation-sheet'!O27</f>
        <v>606.26072774997726</v>
      </c>
      <c r="P21" s="2">
        <f>P10/'Output-Calculation-sheet'!P9*'Output-Calculation-sheet'!P27</f>
        <v>0</v>
      </c>
      <c r="Q21" s="2">
        <f>Q10/'Output-Calculation-sheet'!Q9*'Output-Calculation-sheet'!Q27</f>
        <v>8.5923112748356942</v>
      </c>
      <c r="R21" s="2">
        <f>R10/'Output-Calculation-sheet'!R9*'Output-Calculation-sheet'!R27</f>
        <v>0</v>
      </c>
      <c r="S21" s="2">
        <f>S10/'Output-Calculation-sheet'!S9*'Output-Calculation-sheet'!S27</f>
        <v>346.5419979739861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71.760815341551663</v>
      </c>
      <c r="Y21" s="2">
        <f>Y10/'Output-Calculation-sheet'!Y9*'Output-Calculation-sheet'!Y27</f>
        <v>0</v>
      </c>
      <c r="AA21" s="2">
        <f t="shared" si="0"/>
        <v>11.629740392119476</v>
      </c>
    </row>
    <row r="22" spans="1:27" x14ac:dyDescent="0.25">
      <c r="A22" s="2">
        <v>2034</v>
      </c>
      <c r="B22" s="2">
        <f>B11/'Output-Calculation-sheet'!B10*'Output-Calculation-sheet'!B28</f>
        <v>4465.1583141316814</v>
      </c>
      <c r="C22" s="2">
        <f>C11/'Output-Calculation-sheet'!C10*'Output-Calculation-sheet'!C28</f>
        <v>450.74005947818443</v>
      </c>
      <c r="D22" s="2">
        <f>D11/'Output-Calculation-sheet'!D10*'Output-Calculation-sheet'!D28</f>
        <v>0</v>
      </c>
      <c r="E22" s="2">
        <f>E11/'Output-Calculation-sheet'!E10*'Output-Calculation-sheet'!E28</f>
        <v>1496.7005562456227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1186.8338905895898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907.7220797132245</v>
      </c>
      <c r="M22" s="2">
        <f>M11/'Output-Calculation-sheet'!M10*'Output-Calculation-sheet'!M28</f>
        <v>844.6651560986146</v>
      </c>
      <c r="N22" s="2">
        <f>N11/'Output-Calculation-sheet'!N10*'Output-Calculation-sheet'!N28</f>
        <v>564.66347582015089</v>
      </c>
      <c r="O22" s="2">
        <f>O11/'Output-Calculation-sheet'!O10*'Output-Calculation-sheet'!O28</f>
        <v>88.413711673587414</v>
      </c>
      <c r="P22" s="2">
        <f>P11/'Output-Calculation-sheet'!P10*'Output-Calculation-sheet'!P28</f>
        <v>0</v>
      </c>
      <c r="Q22" s="2">
        <f>Q11/'Output-Calculation-sheet'!Q10*'Output-Calculation-sheet'!Q28</f>
        <v>267.68497225836063</v>
      </c>
      <c r="R22" s="2">
        <f>R11/'Output-Calculation-sheet'!R10*'Output-Calculation-sheet'!R28</f>
        <v>0</v>
      </c>
      <c r="S22" s="2">
        <f>S11/'Output-Calculation-sheet'!S10*'Output-Calculation-sheet'!S28</f>
        <v>211.42791936923567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82.994232615372198</v>
      </c>
      <c r="Y22" s="2">
        <f>Y11/'Output-Calculation-sheet'!Y10*'Output-Calculation-sheet'!Y28</f>
        <v>15.7857497518035</v>
      </c>
      <c r="AA22" s="2">
        <f t="shared" si="0"/>
        <v>10.582790117745429</v>
      </c>
    </row>
    <row r="23" spans="1:27" x14ac:dyDescent="0.25">
      <c r="A23" s="2">
        <v>2035</v>
      </c>
      <c r="B23" s="2">
        <f>B12/'Output-Calculation-sheet'!B11*'Output-Calculation-sheet'!B29</f>
        <v>1546.8858764550787</v>
      </c>
      <c r="C23" s="2">
        <f>C12/'Output-Calculation-sheet'!C11*'Output-Calculation-sheet'!C29</f>
        <v>266.03440300101244</v>
      </c>
      <c r="D23" s="2">
        <f>D12/'Output-Calculation-sheet'!D11*'Output-Calculation-sheet'!D29</f>
        <v>0</v>
      </c>
      <c r="E23" s="2">
        <f>E12/'Output-Calculation-sheet'!E11*'Output-Calculation-sheet'!E29</f>
        <v>2165.9866852949676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414.91750829609839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1310.8085770013004</v>
      </c>
      <c r="M23" s="2">
        <f>M12/'Output-Calculation-sheet'!M11*'Output-Calculation-sheet'!M29</f>
        <v>374.26953139368942</v>
      </c>
      <c r="N23" s="2">
        <f>N12/'Output-Calculation-sheet'!N11*'Output-Calculation-sheet'!N29</f>
        <v>313.78740561228273</v>
      </c>
      <c r="O23" s="2">
        <f>O12/'Output-Calculation-sheet'!O11*'Output-Calculation-sheet'!O29</f>
        <v>45.342508055407137</v>
      </c>
      <c r="P23" s="2">
        <f>P12/'Output-Calculation-sheet'!P11*'Output-Calculation-sheet'!P29</f>
        <v>20.093422558889113</v>
      </c>
      <c r="Q23" s="2">
        <f>Q12/'Output-Calculation-sheet'!Q11*'Output-Calculation-sheet'!Q29</f>
        <v>404.55809771927051</v>
      </c>
      <c r="R23" s="2">
        <f>R12/'Output-Calculation-sheet'!R11*'Output-Calculation-sheet'!R29</f>
        <v>0</v>
      </c>
      <c r="S23" s="2">
        <f>S12/'Output-Calculation-sheet'!S11*'Output-Calculation-sheet'!S29</f>
        <v>153.64017625125138</v>
      </c>
      <c r="T23" s="2">
        <f>T12/'Output-Calculation-sheet'!T11*'Output-Calculation-sheet'!T29</f>
        <v>0</v>
      </c>
      <c r="U23" s="2">
        <f>U12/'Output-Calculation-sheet'!U11*'Output-Calculation-sheet'!U29</f>
        <v>110.15601080478199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13.274247904435594</v>
      </c>
      <c r="Y23" s="2">
        <f>Y12/'Output-Calculation-sheet'!Y11*'Output-Calculation-sheet'!Y29</f>
        <v>71.138347681173371</v>
      </c>
      <c r="AA23" s="2">
        <f t="shared" si="0"/>
        <v>7.2108927980296373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1000.8519141499282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39.240855337117381</v>
      </c>
    </row>
    <row r="31" spans="1:27" x14ac:dyDescent="0.25">
      <c r="A31" s="2">
        <v>2032</v>
      </c>
      <c r="B31" s="2">
        <f>B9/'Output-Calculation-sheet'!B8*'Output-Calculation-sheet'!B17</f>
        <v>22252.224662330056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870.08543634003149</v>
      </c>
      <c r="O31" s="2">
        <f>O9/'Output-Calculation-sheet'!O8*'Output-Calculation-sheet'!O17</f>
        <v>0</v>
      </c>
      <c r="P31" s="2">
        <f>P9/'Output-Calculation-sheet'!P8*'Output-Calculation-sheet'!P17</f>
        <v>2175.2194435220408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720.14167908726654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50.983069367088241</v>
      </c>
    </row>
    <row r="32" spans="1:27" x14ac:dyDescent="0.25">
      <c r="A32" s="2">
        <v>2033</v>
      </c>
      <c r="B32" s="2">
        <f>B10/'Output-Calculation-sheet'!B9*'Output-Calculation-sheet'!B18</f>
        <v>18224.352110349464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2853.2753907223196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737.63414007375968</v>
      </c>
      <c r="O32" s="2">
        <f>O10/'Output-Calculation-sheet'!O9*'Output-Calculation-sheet'!O18</f>
        <v>0</v>
      </c>
      <c r="P32" s="2">
        <f>P10/'Output-Calculation-sheet'!P9*'Output-Calculation-sheet'!P18</f>
        <v>2936.5906116006918</v>
      </c>
      <c r="Q32" s="2">
        <f>Q10/'Output-Calculation-sheet'!Q9*'Output-Calculation-sheet'!Q18</f>
        <v>2718.8768876626873</v>
      </c>
      <c r="R32" s="2">
        <f>R10/'Output-Calculation-sheet'!R9*'Output-Calculation-sheet'!R18</f>
        <v>2108.6888344297354</v>
      </c>
      <c r="S32" s="2">
        <f>S10/'Output-Calculation-sheet'!S9*'Output-Calculation-sheet'!S18</f>
        <v>671.02903665020722</v>
      </c>
      <c r="T32" s="2">
        <f>T10/'Output-Calculation-sheet'!T9*'Output-Calculation-sheet'!T18</f>
        <v>615.6733086989608</v>
      </c>
      <c r="U32" s="2">
        <f>U10/'Output-Calculation-sheet'!U9*'Output-Calculation-sheet'!U18</f>
        <v>680.62057576655354</v>
      </c>
      <c r="V32" s="2">
        <f>V10/'Output-Calculation-sheet'!V9*'Output-Calculation-sheet'!V18</f>
        <v>502.38978572225204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290.84412258609348</v>
      </c>
      <c r="AA32" s="2">
        <f t="shared" si="1"/>
        <v>57.936901700861313</v>
      </c>
    </row>
    <row r="33" spans="1:27" x14ac:dyDescent="0.25">
      <c r="A33" s="2">
        <v>2034</v>
      </c>
      <c r="B33" s="2">
        <f>B11/'Output-Calculation-sheet'!B10*'Output-Calculation-sheet'!B19</f>
        <v>13510.02351192919</v>
      </c>
      <c r="C33" s="2">
        <f>C11/'Output-Calculation-sheet'!C10*'Output-Calculation-sheet'!C19</f>
        <v>0</v>
      </c>
      <c r="D33" s="2">
        <f>D11/'Output-Calculation-sheet'!D10*'Output-Calculation-sheet'!D19</f>
        <v>8983.9126308572268</v>
      </c>
      <c r="E33" s="2">
        <f>E11/'Output-Calculation-sheet'!E10*'Output-Calculation-sheet'!E19</f>
        <v>11136.519766671971</v>
      </c>
      <c r="F33" s="2">
        <f>F11/'Output-Calculation-sheet'!F10*'Output-Calculation-sheet'!F19</f>
        <v>5099.2193889354012</v>
      </c>
      <c r="G33" s="2">
        <f>G11/'Output-Calculation-sheet'!G10*'Output-Calculation-sheet'!G19</f>
        <v>3057.8089036343958</v>
      </c>
      <c r="H33" s="2">
        <f>H11/'Output-Calculation-sheet'!H10*'Output-Calculation-sheet'!H19</f>
        <v>0</v>
      </c>
      <c r="I33" s="2">
        <f>I11/'Output-Calculation-sheet'!I10*'Output-Calculation-sheet'!I19</f>
        <v>3336.9329218950834</v>
      </c>
      <c r="J33" s="2">
        <f>J11/'Output-Calculation-sheet'!J10*'Output-Calculation-sheet'!J19</f>
        <v>2821.2718143304</v>
      </c>
      <c r="K33" s="2">
        <f>K11/'Output-Calculation-sheet'!K10*'Output-Calculation-sheet'!K19</f>
        <v>3913.7108203371363</v>
      </c>
      <c r="L33" s="2">
        <f>L11/'Output-Calculation-sheet'!L10*'Output-Calculation-sheet'!L19</f>
        <v>3183.0311527077943</v>
      </c>
      <c r="M33" s="2">
        <f>M11/'Output-Calculation-sheet'!M10*'Output-Calculation-sheet'!M19</f>
        <v>0</v>
      </c>
      <c r="N33" s="2">
        <f>N11/'Output-Calculation-sheet'!N10*'Output-Calculation-sheet'!N19</f>
        <v>604.20324439584192</v>
      </c>
      <c r="O33" s="2">
        <f>O11/'Output-Calculation-sheet'!O10*'Output-Calculation-sheet'!O19</f>
        <v>0</v>
      </c>
      <c r="P33" s="2">
        <f>P11/'Output-Calculation-sheet'!P10*'Output-Calculation-sheet'!P19</f>
        <v>2990.9045067333241</v>
      </c>
      <c r="Q33" s="2">
        <f>Q11/'Output-Calculation-sheet'!Q10*'Output-Calculation-sheet'!Q19</f>
        <v>1933.442111448566</v>
      </c>
      <c r="R33" s="2">
        <f>R11/'Output-Calculation-sheet'!R10*'Output-Calculation-sheet'!R19</f>
        <v>2827.9387183379476</v>
      </c>
      <c r="S33" s="2">
        <f>S11/'Output-Calculation-sheet'!S10*'Output-Calculation-sheet'!S19</f>
        <v>384.09143181208958</v>
      </c>
      <c r="T33" s="2">
        <f>T11/'Output-Calculation-sheet'!T10*'Output-Calculation-sheet'!T19</f>
        <v>829.41931243973011</v>
      </c>
      <c r="U33" s="2">
        <f>U11/'Output-Calculation-sheet'!U10*'Output-Calculation-sheet'!U19</f>
        <v>954.07977299448476</v>
      </c>
      <c r="V33" s="2">
        <f>V11/'Output-Calculation-sheet'!V10*'Output-Calculation-sheet'!V19</f>
        <v>650.60995174661423</v>
      </c>
      <c r="W33" s="2">
        <f>W11/'Output-Calculation-sheet'!W10*'Output-Calculation-sheet'!W19</f>
        <v>405.04732332467739</v>
      </c>
      <c r="X33" s="2">
        <f>X11/'Output-Calculation-sheet'!X10*'Output-Calculation-sheet'!X19</f>
        <v>0</v>
      </c>
      <c r="Y33" s="2">
        <f>Y11/'Output-Calculation-sheet'!Y10*'Output-Calculation-sheet'!Y19</f>
        <v>309.27226895142536</v>
      </c>
      <c r="AA33" s="2">
        <f t="shared" si="1"/>
        <v>66.931439553483301</v>
      </c>
    </row>
    <row r="34" spans="1:27" x14ac:dyDescent="0.25">
      <c r="A34" s="2">
        <v>2035</v>
      </c>
      <c r="B34" s="2">
        <f>B12/'Output-Calculation-sheet'!B11*'Output-Calculation-sheet'!B20</f>
        <v>220.51058920576352</v>
      </c>
      <c r="C34" s="2">
        <f>C12/'Output-Calculation-sheet'!C11*'Output-Calculation-sheet'!C20</f>
        <v>0</v>
      </c>
      <c r="D34" s="2">
        <f>D12/'Output-Calculation-sheet'!D11*'Output-Calculation-sheet'!D20</f>
        <v>10925.283240372793</v>
      </c>
      <c r="E34" s="2">
        <f>E12/'Output-Calculation-sheet'!E11*'Output-Calculation-sheet'!E20</f>
        <v>4402.7812219673397</v>
      </c>
      <c r="F34" s="2">
        <f>F12/'Output-Calculation-sheet'!F11*'Output-Calculation-sheet'!F20</f>
        <v>7217.793457354991</v>
      </c>
      <c r="G34" s="2">
        <f>G12/'Output-Calculation-sheet'!G11*'Output-Calculation-sheet'!G20</f>
        <v>3611.5269222765005</v>
      </c>
      <c r="H34" s="2">
        <f>H12/'Output-Calculation-sheet'!H11*'Output-Calculation-sheet'!H20</f>
        <v>0</v>
      </c>
      <c r="I34" s="2">
        <f>I12/'Output-Calculation-sheet'!I11*'Output-Calculation-sheet'!I20</f>
        <v>4377.9778164169611</v>
      </c>
      <c r="J34" s="2">
        <f>J12/'Output-Calculation-sheet'!J11*'Output-Calculation-sheet'!J20</f>
        <v>3668.6856704714105</v>
      </c>
      <c r="K34" s="2">
        <f>K12/'Output-Calculation-sheet'!K11*'Output-Calculation-sheet'!K20</f>
        <v>5175.9829596012496</v>
      </c>
      <c r="L34" s="2">
        <f>L12/'Output-Calculation-sheet'!L11*'Output-Calculation-sheet'!L20</f>
        <v>1977.2104444116881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833.77343850616853</v>
      </c>
      <c r="Q34" s="2">
        <f>Q12/'Output-Calculation-sheet'!Q11*'Output-Calculation-sheet'!Q20</f>
        <v>810.48635215146146</v>
      </c>
      <c r="R34" s="2">
        <f>R12/'Output-Calculation-sheet'!R11*'Output-Calculation-sheet'!R20</f>
        <v>3264.540644244099</v>
      </c>
      <c r="S34" s="2">
        <f>S12/'Output-Calculation-sheet'!S11*'Output-Calculation-sheet'!S20</f>
        <v>1.0200900623562681</v>
      </c>
      <c r="T34" s="2">
        <f>T12/'Output-Calculation-sheet'!T11*'Output-Calculation-sheet'!T20</f>
        <v>1072.9679145087462</v>
      </c>
      <c r="U34" s="2">
        <f>U12/'Output-Calculation-sheet'!U11*'Output-Calculation-sheet'!U20</f>
        <v>451.76585951822136</v>
      </c>
      <c r="V34" s="2">
        <f>V12/'Output-Calculation-sheet'!V11*'Output-Calculation-sheet'!V20</f>
        <v>969.88854405231996</v>
      </c>
      <c r="W34" s="2">
        <f>W12/'Output-Calculation-sheet'!W11*'Output-Calculation-sheet'!W20</f>
        <v>574.402250246074</v>
      </c>
      <c r="X34" s="2">
        <f>X12/'Output-Calculation-sheet'!X11*'Output-Calculation-sheet'!X20</f>
        <v>0</v>
      </c>
      <c r="Y34" s="2">
        <f>Y12/'Output-Calculation-sheet'!Y11*'Output-Calculation-sheet'!Y20</f>
        <v>122.15750270363556</v>
      </c>
      <c r="AA34" s="2">
        <f t="shared" si="1"/>
        <v>49.678754918071782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9.449335741321728E-2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1.2907252897466383E-2</v>
      </c>
      <c r="Q45" s="2">
        <f>Q12/'Output-Calculation-sheet'!Q11*'Output-Calculation-sheet'!Q38*0.0114</f>
        <v>1.2241212011985667E-2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1.1717047982195979E-2</v>
      </c>
      <c r="V45" s="2">
        <f>V12/'Output-Calculation-sheet'!V11*'Output-Calculation-sheet'!V38*0.0114</f>
        <v>6.0232450555402581E-3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4.5147591887978291E-3</v>
      </c>
      <c r="AA45" s="2">
        <f t="shared" si="2"/>
        <v>1.0693816114882864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0.14187925464020629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186.95611454953809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0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17.444386234916966</v>
      </c>
      <c r="AA54" s="2">
        <f t="shared" si="3"/>
        <v>4.6052491115579457</v>
      </c>
    </row>
    <row r="55" spans="1:27" x14ac:dyDescent="0.25">
      <c r="A55" s="2">
        <v>2034</v>
      </c>
      <c r="B55" s="2">
        <f>B11/'Output-Calculation-sheet'!B10*'Output-Calculation-sheet'!B46</f>
        <v>1765.182394711499</v>
      </c>
      <c r="C55" s="2">
        <f>C11/'Output-Calculation-sheet'!C10*'Output-Calculation-sheet'!C46</f>
        <v>0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601.76601897520516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446.01640402315212</v>
      </c>
      <c r="N55" s="2">
        <f>N11/'Output-Calculation-sheet'!N10*'Output-Calculation-sheet'!N46</f>
        <v>152.32200215896268</v>
      </c>
      <c r="O55" s="2">
        <f>O11/'Output-Calculation-sheet'!O10*'Output-Calculation-sheet'!O46</f>
        <v>0</v>
      </c>
      <c r="P55" s="2">
        <f>P11/'Output-Calculation-sheet'!P10*'Output-Calculation-sheet'!P46</f>
        <v>3312.7992404531387</v>
      </c>
      <c r="Q55" s="2">
        <f>Q11/'Output-Calculation-sheet'!Q10*'Output-Calculation-sheet'!Q46</f>
        <v>639.78049056253894</v>
      </c>
      <c r="R55" s="2">
        <f>R11/'Output-Calculation-sheet'!R10*'Output-Calculation-sheet'!R46</f>
        <v>4102.7929855292305</v>
      </c>
      <c r="S55" s="2">
        <f>S11/'Output-Calculation-sheet'!S10*'Output-Calculation-sheet'!S46</f>
        <v>0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1558.9172301784256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42.569464479208854</v>
      </c>
      <c r="Y55" s="2">
        <f>Y11/'Output-Calculation-sheet'!Y10*'Output-Calculation-sheet'!Y46</f>
        <v>221.0573577379476</v>
      </c>
      <c r="AA55" s="2">
        <f t="shared" si="3"/>
        <v>44.170439903612198</v>
      </c>
    </row>
    <row r="56" spans="1:27" x14ac:dyDescent="0.25">
      <c r="A56" s="2">
        <v>2035</v>
      </c>
      <c r="B56" s="2">
        <f>B12/'Output-Calculation-sheet'!B11*'Output-Calculation-sheet'!B47</f>
        <v>607.7747143144569</v>
      </c>
      <c r="C56" s="2">
        <f>C12/'Output-Calculation-sheet'!C11*'Output-Calculation-sheet'!C47</f>
        <v>459.18750683954352</v>
      </c>
      <c r="D56" s="2">
        <f>D12/'Output-Calculation-sheet'!D11*'Output-Calculation-sheet'!D47</f>
        <v>21693.911408936819</v>
      </c>
      <c r="E56" s="2">
        <f>E12/'Output-Calculation-sheet'!E11*'Output-Calculation-sheet'!E47</f>
        <v>9954.9580923924514</v>
      </c>
      <c r="F56" s="2">
        <f>F12/'Output-Calculation-sheet'!F11*'Output-Calculation-sheet'!F47</f>
        <v>5103.6662011086273</v>
      </c>
      <c r="G56" s="2">
        <f>G12/'Output-Calculation-sheet'!G11*'Output-Calculation-sheet'!G47</f>
        <v>8195.5203317208725</v>
      </c>
      <c r="H56" s="2">
        <f>H12/'Output-Calculation-sheet'!H11*'Output-Calculation-sheet'!H47</f>
        <v>177.59629892520275</v>
      </c>
      <c r="I56" s="2">
        <f>I12/'Output-Calculation-sheet'!I11*'Output-Calculation-sheet'!I47</f>
        <v>7465.5883362255445</v>
      </c>
      <c r="J56" s="2">
        <f>J12/'Output-Calculation-sheet'!J11*'Output-Calculation-sheet'!J47</f>
        <v>6440.9648747178671</v>
      </c>
      <c r="K56" s="2">
        <f>K12/'Output-Calculation-sheet'!K11*'Output-Calculation-sheet'!K47</f>
        <v>8686.907511050671</v>
      </c>
      <c r="L56" s="2">
        <f>L12/'Output-Calculation-sheet'!L11*'Output-Calculation-sheet'!L47</f>
        <v>3872.5258431489056</v>
      </c>
      <c r="M56" s="2">
        <f>M12/'Output-Calculation-sheet'!M11*'Output-Calculation-sheet'!M47</f>
        <v>164.60068282335362</v>
      </c>
      <c r="N56" s="2">
        <f>N12/'Output-Calculation-sheet'!N11*'Output-Calculation-sheet'!N47</f>
        <v>111.52724028042373</v>
      </c>
      <c r="O56" s="2">
        <f>O12/'Output-Calculation-sheet'!O11*'Output-Calculation-sheet'!O47</f>
        <v>83.488954447982664</v>
      </c>
      <c r="P56" s="2">
        <f>P12/'Output-Calculation-sheet'!P11*'Output-Calculation-sheet'!P47</f>
        <v>871.80567816220309</v>
      </c>
      <c r="Q56" s="2">
        <f>Q12/'Output-Calculation-sheet'!Q11*'Output-Calculation-sheet'!Q47</f>
        <v>830.04007765481754</v>
      </c>
      <c r="R56" s="2">
        <f>R12/'Output-Calculation-sheet'!R11*'Output-Calculation-sheet'!R47</f>
        <v>6124.0425853057259</v>
      </c>
      <c r="S56" s="2">
        <f>S12/'Output-Calculation-sheet'!S11*'Output-Calculation-sheet'!S47</f>
        <v>58.310933316508439</v>
      </c>
      <c r="T56" s="2">
        <f>T12/'Output-Calculation-sheet'!T11*'Output-Calculation-sheet'!T47</f>
        <v>2681.2930601255298</v>
      </c>
      <c r="U56" s="2">
        <f>U12/'Output-Calculation-sheet'!U11*'Output-Calculation-sheet'!U47</f>
        <v>1078.5165803495011</v>
      </c>
      <c r="V56" s="2">
        <f>V12/'Output-Calculation-sheet'!V11*'Output-Calculation-sheet'!V47</f>
        <v>1455.353377674179</v>
      </c>
      <c r="W56" s="2">
        <f>W12/'Output-Calculation-sheet'!W11*'Output-Calculation-sheet'!W47</f>
        <v>779.38386757022124</v>
      </c>
      <c r="X56" s="2">
        <f>X12/'Output-Calculation-sheet'!X11*'Output-Calculation-sheet'!X47</f>
        <v>12.585207778559463</v>
      </c>
      <c r="Y56" s="2">
        <f>Y12/'Output-Calculation-sheet'!Y11*'Output-Calculation-sheet'!Y47</f>
        <v>255.44032252408769</v>
      </c>
      <c r="AA56" s="2">
        <f t="shared" si="3"/>
        <v>87.164989687394055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7.2369728018613779</v>
      </c>
      <c r="C63" s="2">
        <f>C8*'Output-Calculation-sheet'!C52/10^9</f>
        <v>3.8663630716451531</v>
      </c>
      <c r="D63" s="2">
        <f>D8*'Output-Calculation-sheet'!D52/10^9</f>
        <v>2.4817130636685492</v>
      </c>
      <c r="E63" s="2">
        <f>E8*'Output-Calculation-sheet'!E52/10^9</f>
        <v>2.4674884757099709</v>
      </c>
      <c r="F63" s="2">
        <f>F8*'Output-Calculation-sheet'!F52/10^9</f>
        <v>1.0449811654769465</v>
      </c>
      <c r="G63" s="2">
        <f>G8*'Output-Calculation-sheet'!G52/10^9</f>
        <v>0.75129424976011716</v>
      </c>
      <c r="H63" s="2">
        <f>H8*'Output-Calculation-sheet'!H52/10^9</f>
        <v>1.2219079222976579</v>
      </c>
      <c r="I63" s="2">
        <f>I8*'Output-Calculation-sheet'!I52/10^9</f>
        <v>0.69887807460687268</v>
      </c>
      <c r="J63" s="2">
        <f>J8*'Output-Calculation-sheet'!J52/10^9</f>
        <v>0.96170360196491111</v>
      </c>
      <c r="K63" s="2">
        <f>K8*'Output-Calculation-sheet'!K52/10^9</f>
        <v>0.84494215021976937</v>
      </c>
      <c r="L63" s="2">
        <f>L8*'Output-Calculation-sheet'!L52/10^9</f>
        <v>1.1364878457603016</v>
      </c>
      <c r="M63" s="2">
        <f>M8*'Output-Calculation-sheet'!M52/10^9</f>
        <v>1.0010272481183908</v>
      </c>
      <c r="N63" s="2">
        <f>N8*'Output-Calculation-sheet'!N52/10^9</f>
        <v>0.88326143770702081</v>
      </c>
      <c r="O63" s="2">
        <f>O8*'Output-Calculation-sheet'!O52/10^9</f>
        <v>0.79102450751025144</v>
      </c>
      <c r="P63" s="2">
        <f>P8*'Output-Calculation-sheet'!P52/10^9</f>
        <v>0.58383223349186952</v>
      </c>
      <c r="Q63" s="2">
        <f>Q8*'Output-Calculation-sheet'!Q52/10^9</f>
        <v>0.66072699866719464</v>
      </c>
      <c r="R63" s="2">
        <f>R8*'Output-Calculation-sheet'!R52/10^9</f>
        <v>0.59320169032373127</v>
      </c>
      <c r="S63" s="2">
        <f>S8*'Output-Calculation-sheet'!S52/10^9</f>
        <v>0.4395834707094764</v>
      </c>
      <c r="T63" s="2">
        <f>T8*'Output-Calculation-sheet'!T52/10^9</f>
        <v>0.22552680879933945</v>
      </c>
      <c r="U63" s="2">
        <f>U8*'Output-Calculation-sheet'!U52/10^9</f>
        <v>0.15488939561412415</v>
      </c>
      <c r="V63" s="2">
        <f>V8*'Output-Calculation-sheet'!V52/10^9</f>
        <v>0.27489207398096599</v>
      </c>
      <c r="W63" s="2">
        <f>W8*'Output-Calculation-sheet'!W52/10^9</f>
        <v>9.9498051957211633E-2</v>
      </c>
      <c r="X63" s="2">
        <f>X8*'Output-Calculation-sheet'!X52/10^9</f>
        <v>0.10252094846834278</v>
      </c>
      <c r="Y63" s="2">
        <f>Y8*'Output-Calculation-sheet'!Y52/10^9</f>
        <v>6.4919711109192965E-2</v>
      </c>
      <c r="AA63" s="2">
        <f t="shared" si="4"/>
        <v>28.587636999428735</v>
      </c>
    </row>
    <row r="64" spans="1:27" x14ac:dyDescent="0.25">
      <c r="A64" s="2">
        <v>2032</v>
      </c>
      <c r="B64" s="2">
        <f>B9*'Output-Calculation-sheet'!B53/10^9</f>
        <v>7.5880816783290568</v>
      </c>
      <c r="C64" s="2">
        <f>C9*'Output-Calculation-sheet'!C53/10^9</f>
        <v>4.0226764535515018</v>
      </c>
      <c r="D64" s="2">
        <f>D9*'Output-Calculation-sheet'!D53/10^9</f>
        <v>2.2473424994022886</v>
      </c>
      <c r="E64" s="2">
        <f>E9*'Output-Calculation-sheet'!E53/10^9</f>
        <v>2.3013775977394673</v>
      </c>
      <c r="F64" s="2">
        <f>F9*'Output-Calculation-sheet'!F53/10^9</f>
        <v>0.97070663990411854</v>
      </c>
      <c r="G64" s="2">
        <f>G9*'Output-Calculation-sheet'!G53/10^9</f>
        <v>0.69091929129890028</v>
      </c>
      <c r="H64" s="2">
        <f>H9*'Output-Calculation-sheet'!H53/10^9</f>
        <v>1.2624871616895343</v>
      </c>
      <c r="I64" s="2">
        <f>I9*'Output-Calculation-sheet'!I53/10^9</f>
        <v>0.64589661603417348</v>
      </c>
      <c r="J64" s="2">
        <f>J9*'Output-Calculation-sheet'!J53/10^9</f>
        <v>0.85503588310432355</v>
      </c>
      <c r="K64" s="2">
        <f>K9*'Output-Calculation-sheet'!K53/10^9</f>
        <v>0.79335696888683904</v>
      </c>
      <c r="L64" s="2">
        <f>L9*'Output-Calculation-sheet'!L53/10^9</f>
        <v>1.0206513691854717</v>
      </c>
      <c r="M64" s="2">
        <f>M9*'Output-Calculation-sheet'!M53/10^9</f>
        <v>1.0016359040443863</v>
      </c>
      <c r="N64" s="2">
        <f>N9*'Output-Calculation-sheet'!N53/10^9</f>
        <v>0.90179594951298481</v>
      </c>
      <c r="O64" s="2">
        <f>O9*'Output-Calculation-sheet'!O53/10^9</f>
        <v>0.81462210656923195</v>
      </c>
      <c r="P64" s="2">
        <f>P9*'Output-Calculation-sheet'!P53/10^9</f>
        <v>0.60486882470341763</v>
      </c>
      <c r="Q64" s="2">
        <f>Q9*'Output-Calculation-sheet'!Q53/10^9</f>
        <v>0.66848429910646412</v>
      </c>
      <c r="R64" s="2">
        <f>R9*'Output-Calculation-sheet'!R53/10^9</f>
        <v>0.5730489081015756</v>
      </c>
      <c r="S64" s="2">
        <f>S9*'Output-Calculation-sheet'!S53/10^9</f>
        <v>0.46111642110804069</v>
      </c>
      <c r="T64" s="2">
        <f>T9*'Output-Calculation-sheet'!T53/10^9</f>
        <v>0.20599534803036162</v>
      </c>
      <c r="U64" s="2">
        <f>U9*'Output-Calculation-sheet'!U53/10^9</f>
        <v>0.155048403549506</v>
      </c>
      <c r="V64" s="2">
        <f>V9*'Output-Calculation-sheet'!V53/10^9</f>
        <v>0.24450254827920917</v>
      </c>
      <c r="W64" s="2">
        <f>W9*'Output-Calculation-sheet'!W53/10^9</f>
        <v>9.0852582863905226E-2</v>
      </c>
      <c r="X64" s="2">
        <f>X9*'Output-Calculation-sheet'!X53/10^9</f>
        <v>0.10416118644663083</v>
      </c>
      <c r="Y64" s="2">
        <f>Y9*'Output-Calculation-sheet'!Y53/10^9</f>
        <v>6.3654317627922299E-2</v>
      </c>
      <c r="AA64" s="2">
        <f t="shared" si="4"/>
        <v>28.288318959069315</v>
      </c>
    </row>
    <row r="65" spans="1:27" x14ac:dyDescent="0.25">
      <c r="A65" s="2">
        <v>2033</v>
      </c>
      <c r="B65" s="2">
        <f>B10*'Output-Calculation-sheet'!B54/10^9</f>
        <v>7.9125512117183074</v>
      </c>
      <c r="C65" s="2">
        <f>C10*'Output-Calculation-sheet'!C54/10^9</f>
        <v>4.0901395243913123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1.2844418567775566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0.74834841552963738</v>
      </c>
      <c r="L65" s="2">
        <f>L10*'Output-Calculation-sheet'!L54/10^9</f>
        <v>0.88389155314656986</v>
      </c>
      <c r="M65" s="2">
        <f>M10*'Output-Calculation-sheet'!M54/10^9</f>
        <v>0.97946871567195781</v>
      </c>
      <c r="N65" s="2">
        <f>N10*'Output-Calculation-sheet'!N54/10^9</f>
        <v>0.89878257002861295</v>
      </c>
      <c r="O65" s="2">
        <f>O10*'Output-Calculation-sheet'!O54/10^9</f>
        <v>0.81968204698556124</v>
      </c>
      <c r="P65" s="2">
        <f>P10*'Output-Calculation-sheet'!P54/10^9</f>
        <v>0.63314094702871393</v>
      </c>
      <c r="Q65" s="2">
        <f>Q10*'Output-Calculation-sheet'!Q54/10^9</f>
        <v>0.6897032302942907</v>
      </c>
      <c r="R65" s="2">
        <f>R10*'Output-Calculation-sheet'!R54/10^9</f>
        <v>0.55741072733354824</v>
      </c>
      <c r="S65" s="2">
        <f>S10*'Output-Calculation-sheet'!S54/10^9</f>
        <v>0.47410650640044882</v>
      </c>
      <c r="T65" s="2">
        <f>T10*'Output-Calculation-sheet'!T54/10^9</f>
        <v>0.18636769375911727</v>
      </c>
      <c r="U65" s="2">
        <f>U10*'Output-Calculation-sheet'!U54/10^9</f>
        <v>0.16092377507339042</v>
      </c>
      <c r="V65" s="2">
        <f>V10*'Output-Calculation-sheet'!V54/10^9</f>
        <v>0.20625273658422805</v>
      </c>
      <c r="W65" s="2">
        <f>W10*'Output-Calculation-sheet'!W54/10^9</f>
        <v>7.8524430765471456E-2</v>
      </c>
      <c r="X65" s="2">
        <f>X10*'Output-Calculation-sheet'!X54/10^9</f>
        <v>0.1026979864856143</v>
      </c>
      <c r="Y65" s="2">
        <f>Y10*'Output-Calculation-sheet'!Y54/10^9</f>
        <v>6.4631090175877329E-2</v>
      </c>
      <c r="AA65" s="2">
        <f t="shared" si="4"/>
        <v>27.621931306652076</v>
      </c>
    </row>
    <row r="66" spans="1:27" x14ac:dyDescent="0.25">
      <c r="A66" s="2">
        <v>2034</v>
      </c>
      <c r="B66" s="2">
        <f>B11*'Output-Calculation-sheet'!B55/10^9</f>
        <v>8.2109522051847268</v>
      </c>
      <c r="C66" s="2">
        <f>C11*'Output-Calculation-sheet'!C55/10^9</f>
        <v>4.130435635764842</v>
      </c>
      <c r="D66" s="2">
        <f>D11*'Output-Calculation-sheet'!D55/10^9</f>
        <v>1.853081595626745</v>
      </c>
      <c r="E66" s="2">
        <f>E11*'Output-Calculation-sheet'!E55/10^9</f>
        <v>2.2439523344754377</v>
      </c>
      <c r="F66" s="2">
        <f>F11*'Output-Calculation-sheet'!F55/10^9</f>
        <v>0.86238745584793208</v>
      </c>
      <c r="G66" s="2">
        <f>G11*'Output-Calculation-sheet'!G55/10^9</f>
        <v>0.61641028298808709</v>
      </c>
      <c r="H66" s="2">
        <f>H11*'Output-Calculation-sheet'!H55/10^9</f>
        <v>1.2863038662157509</v>
      </c>
      <c r="I66" s="2">
        <f>I11*'Output-Calculation-sheet'!I55/10^9</f>
        <v>0.60283176630073609</v>
      </c>
      <c r="J66" s="2">
        <f>J11*'Output-Calculation-sheet'!J55/10^9</f>
        <v>0.61985390266605855</v>
      </c>
      <c r="K66" s="2">
        <f>K11*'Output-Calculation-sheet'!K55/10^9</f>
        <v>0.74139759359122093</v>
      </c>
      <c r="L66" s="2">
        <f>L11*'Output-Calculation-sheet'!L55/10^9</f>
        <v>0.78514554249257174</v>
      </c>
      <c r="M66" s="2">
        <f>M11*'Output-Calculation-sheet'!M55/10^9</f>
        <v>0.93762664163557252</v>
      </c>
      <c r="N66" s="2">
        <f>N11*'Output-Calculation-sheet'!N55/10^9</f>
        <v>0.88578614831622704</v>
      </c>
      <c r="O66" s="2">
        <f>O11*'Output-Calculation-sheet'!O55/10^9</f>
        <v>0.81412276918637116</v>
      </c>
      <c r="P66" s="2">
        <f>P11*'Output-Calculation-sheet'!P55/10^9</f>
        <v>0.67978465536120269</v>
      </c>
      <c r="Q66" s="2">
        <f>Q11*'Output-Calculation-sheet'!Q55/10^9</f>
        <v>0.7190740491359906</v>
      </c>
      <c r="R66" s="2">
        <f>R11*'Output-Calculation-sheet'!R55/10^9</f>
        <v>0.55541784531355964</v>
      </c>
      <c r="S66" s="2">
        <f>S11*'Output-Calculation-sheet'!S55/10^9</f>
        <v>0.48446601342265844</v>
      </c>
      <c r="T66" s="2">
        <f>T11*'Output-Calculation-sheet'!T55/10^9</f>
        <v>0.17408410880476302</v>
      </c>
      <c r="U66" s="2">
        <f>U11*'Output-Calculation-sheet'!U55/10^9</f>
        <v>0.17774737782195998</v>
      </c>
      <c r="V66" s="2">
        <f>V11*'Output-Calculation-sheet'!V55/10^9</f>
        <v>0.16514589850547695</v>
      </c>
      <c r="W66" s="2">
        <f>W11*'Output-Calculation-sheet'!W55/10^9</f>
        <v>7.4776490346591118E-2</v>
      </c>
      <c r="X66" s="2">
        <f>X11*'Output-Calculation-sheet'!X55/10^9</f>
        <v>0.10017777487338139</v>
      </c>
      <c r="Y66" s="2">
        <f>Y11*'Output-Calculation-sheet'!Y55/10^9</f>
        <v>7.3113239088056892E-2</v>
      </c>
      <c r="AA66" s="2">
        <f t="shared" si="4"/>
        <v>27.794075192965913</v>
      </c>
    </row>
    <row r="67" spans="1:27" x14ac:dyDescent="0.25">
      <c r="A67" s="2">
        <v>2035</v>
      </c>
      <c r="B67" s="2">
        <f>B12*'Output-Calculation-sheet'!B56/10^9</f>
        <v>8.8090733033721929</v>
      </c>
      <c r="C67" s="2">
        <f>C12*'Output-Calculation-sheet'!C56/10^9</f>
        <v>4.1096471032916257</v>
      </c>
      <c r="D67" s="2">
        <f>D12*'Output-Calculation-sheet'!D56/10^9</f>
        <v>2.4102510339016336</v>
      </c>
      <c r="E67" s="2">
        <f>E12*'Output-Calculation-sheet'!E56/10^9</f>
        <v>2.7462334269041015</v>
      </c>
      <c r="F67" s="2">
        <f>F12*'Output-Calculation-sheet'!F56/10^9</f>
        <v>1.1755096711132109</v>
      </c>
      <c r="G67" s="2">
        <f>G12*'Output-Calculation-sheet'!G56/10^9</f>
        <v>0.82501417676648314</v>
      </c>
      <c r="H67" s="2">
        <f>H12*'Output-Calculation-sheet'!H56/10^9</f>
        <v>1.3032341607399118</v>
      </c>
      <c r="I67" s="2">
        <f>I12*'Output-Calculation-sheet'!I56/10^9</f>
        <v>0.82719311362482884</v>
      </c>
      <c r="J67" s="2">
        <f>J12*'Output-Calculation-sheet'!J56/10^9</f>
        <v>0.74827747408713863</v>
      </c>
      <c r="K67" s="2">
        <f>K12*'Output-Calculation-sheet'!K56/10^9</f>
        <v>0.92906316288434365</v>
      </c>
      <c r="L67" s="2">
        <f>L12*'Output-Calculation-sheet'!L56/10^9</f>
        <v>0.85270276502540887</v>
      </c>
      <c r="M67" s="2">
        <f>M12*'Output-Calculation-sheet'!M56/10^9</f>
        <v>0.90651976827177594</v>
      </c>
      <c r="N67" s="2">
        <f>N12*'Output-Calculation-sheet'!N56/10^9</f>
        <v>0.88270257609237568</v>
      </c>
      <c r="O67" s="2">
        <f>O12*'Output-Calculation-sheet'!O56/10^9</f>
        <v>0.79883938551829003</v>
      </c>
      <c r="P67" s="2">
        <f>P12*'Output-Calculation-sheet'!P56/10^9</f>
        <v>0.77972042289264942</v>
      </c>
      <c r="Q67" s="2">
        <f>Q12*'Output-Calculation-sheet'!Q56/10^9</f>
        <v>0.79541670380703144</v>
      </c>
      <c r="R67" s="2">
        <f>R12*'Output-Calculation-sheet'!R56/10^9</f>
        <v>0.67289349280277566</v>
      </c>
      <c r="S67" s="2">
        <f>S12*'Output-Calculation-sheet'!S56/10^9</f>
        <v>0.5062076024153449</v>
      </c>
      <c r="T67" s="2">
        <f>T12*'Output-Calculation-sheet'!T56/10^9</f>
        <v>0.20483245743624826</v>
      </c>
      <c r="U67" s="2">
        <f>U12*'Output-Calculation-sheet'!U56/10^9</f>
        <v>0.22504162278471559</v>
      </c>
      <c r="V67" s="2">
        <f>V12*'Output-Calculation-sheet'!V56/10^9</f>
        <v>0.1569663995833665</v>
      </c>
      <c r="W67" s="2">
        <f>W12*'Output-Calculation-sheet'!W56/10^9</f>
        <v>0.10173493533867274</v>
      </c>
      <c r="X67" s="2">
        <f>X12*'Output-Calculation-sheet'!X56/10^9</f>
        <v>9.6307492276393292E-2</v>
      </c>
      <c r="Y67" s="2">
        <f>Y12*'Output-Calculation-sheet'!Y56/10^9</f>
        <v>8.9850856330686762E-2</v>
      </c>
      <c r="AA67" s="2">
        <f t="shared" si="4"/>
        <v>30.953233107261202</v>
      </c>
    </row>
    <row r="68" spans="1:27" x14ac:dyDescent="0.25">
      <c r="B68" s="2">
        <f>SUM(B60:B67)</f>
        <v>39.75763120046566</v>
      </c>
      <c r="C68" s="2">
        <f t="shared" ref="C68:Y68" si="5">SUM(C60:C67)</f>
        <v>20.219261788644435</v>
      </c>
      <c r="D68" s="2">
        <f t="shared" si="5"/>
        <v>10.912546302760846</v>
      </c>
      <c r="E68" s="2">
        <f t="shared" si="5"/>
        <v>11.921117139414147</v>
      </c>
      <c r="F68" s="2">
        <f t="shared" si="5"/>
        <v>4.9313455352785009</v>
      </c>
      <c r="G68" s="2">
        <f t="shared" si="5"/>
        <v>3.4863005559317668</v>
      </c>
      <c r="H68" s="2">
        <f t="shared" si="5"/>
        <v>6.3583749677204118</v>
      </c>
      <c r="I68" s="2">
        <f t="shared" si="5"/>
        <v>3.3616285736089049</v>
      </c>
      <c r="J68" s="2">
        <f t="shared" si="5"/>
        <v>3.8862615744807294</v>
      </c>
      <c r="K68" s="2">
        <f t="shared" si="5"/>
        <v>4.0571082911118106</v>
      </c>
      <c r="L68" s="2">
        <f t="shared" si="5"/>
        <v>4.6788790756103236</v>
      </c>
      <c r="M68" s="2">
        <f t="shared" si="5"/>
        <v>4.8262782777420838</v>
      </c>
      <c r="N68" s="2">
        <f t="shared" si="5"/>
        <v>4.452328681657221</v>
      </c>
      <c r="O68" s="2">
        <f t="shared" si="5"/>
        <v>4.0382908157697059</v>
      </c>
      <c r="P68" s="2">
        <f t="shared" si="5"/>
        <v>3.2813470834778533</v>
      </c>
      <c r="Q68" s="2">
        <f t="shared" si="5"/>
        <v>3.533405281010972</v>
      </c>
      <c r="R68" s="2">
        <f t="shared" si="5"/>
        <v>2.9519726638751904</v>
      </c>
      <c r="S68" s="2">
        <f t="shared" si="5"/>
        <v>2.3654800140559691</v>
      </c>
      <c r="T68" s="2">
        <f t="shared" si="5"/>
        <v>0.99680641682982962</v>
      </c>
      <c r="U68" s="2">
        <f t="shared" si="5"/>
        <v>0.87365057484369624</v>
      </c>
      <c r="V68" s="2">
        <f t="shared" si="5"/>
        <v>1.0477596569332468</v>
      </c>
      <c r="W68" s="2">
        <f t="shared" si="5"/>
        <v>0.44538649127185215</v>
      </c>
      <c r="X68" s="2">
        <f t="shared" si="5"/>
        <v>0.50586538855036256</v>
      </c>
      <c r="Y68" s="2">
        <f t="shared" si="5"/>
        <v>0.35616921433173621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42.663373749623887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4.2663373749623888E-2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496.96864228178902</v>
      </c>
      <c r="Q76" s="2">
        <f>Q10/'Output-Calculation-sheet'!Q9*'Output-Calculation-sheet'!Q63</f>
        <v>59.470260663555372</v>
      </c>
      <c r="R76" s="2">
        <f>R10/'Output-Calculation-sheet'!R9*'Output-Calculation-sheet'!R63</f>
        <v>378.59609550950177</v>
      </c>
      <c r="S76" s="2">
        <f>S10/'Output-Calculation-sheet'!S9*'Output-Calculation-sheet'!S63</f>
        <v>0</v>
      </c>
      <c r="T76" s="2">
        <f>T10/'Output-Calculation-sheet'!T9*'Output-Calculation-sheet'!T63</f>
        <v>24.91642508238067</v>
      </c>
      <c r="U76" s="2">
        <f>U10/'Output-Calculation-sheet'!U9*'Output-Calculation-sheet'!U63</f>
        <v>134.54310844010661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6.3898315308602616</v>
      </c>
      <c r="AA76" s="2">
        <f t="shared" si="6"/>
        <v>1.2054902987520983</v>
      </c>
    </row>
    <row r="77" spans="1:27" x14ac:dyDescent="0.25">
      <c r="A77" s="2">
        <v>2034</v>
      </c>
      <c r="B77" s="2">
        <f>B11/'Output-Calculation-sheet'!B10*'Output-Calculation-sheet'!B64</f>
        <v>524.72988653457162</v>
      </c>
      <c r="C77" s="2">
        <f>C11/'Output-Calculation-sheet'!C10*'Output-Calculation-sheet'!C64</f>
        <v>0</v>
      </c>
      <c r="D77" s="2">
        <f>D11/'Output-Calculation-sheet'!D10*'Output-Calculation-sheet'!D64</f>
        <v>1782.8450814121652</v>
      </c>
      <c r="E77" s="2">
        <f>E11/'Output-Calculation-sheet'!E10*'Output-Calculation-sheet'!E64</f>
        <v>2228.3278572253112</v>
      </c>
      <c r="F77" s="2">
        <f>F11/'Output-Calculation-sheet'!F10*'Output-Calculation-sheet'!F64</f>
        <v>144.98364918748373</v>
      </c>
      <c r="G77" s="2">
        <f>G11/'Output-Calculation-sheet'!G10*'Output-Calculation-sheet'!G64</f>
        <v>944.26975389131883</v>
      </c>
      <c r="H77" s="2">
        <f>H11/'Output-Calculation-sheet'!H10*'Output-Calculation-sheet'!H64</f>
        <v>147.33983074885481</v>
      </c>
      <c r="I77" s="2">
        <f>I11/'Output-Calculation-sheet'!I10*'Output-Calculation-sheet'!I64</f>
        <v>561.43246699017345</v>
      </c>
      <c r="J77" s="2">
        <f>J11/'Output-Calculation-sheet'!J10*'Output-Calculation-sheet'!J64</f>
        <v>392.82373700835802</v>
      </c>
      <c r="K77" s="2">
        <f>K11/'Output-Calculation-sheet'!K10*'Output-Calculation-sheet'!K64</f>
        <v>854.10279475781067</v>
      </c>
      <c r="L77" s="2">
        <f>L11/'Output-Calculation-sheet'!L10*'Output-Calculation-sheet'!L64</f>
        <v>353.15003493773571</v>
      </c>
      <c r="M77" s="2">
        <f>M11/'Output-Calculation-sheet'!M10*'Output-Calculation-sheet'!M64</f>
        <v>106.1164121359699</v>
      </c>
      <c r="N77" s="2">
        <f>N11/'Output-Calculation-sheet'!N10*'Output-Calculation-sheet'!N64</f>
        <v>35.095686955450155</v>
      </c>
      <c r="O77" s="2">
        <f>O11/'Output-Calculation-sheet'!O10*'Output-Calculation-sheet'!O64</f>
        <v>0</v>
      </c>
      <c r="P77" s="2">
        <f>P11/'Output-Calculation-sheet'!P10*'Output-Calculation-sheet'!P64</f>
        <v>722.6499873613634</v>
      </c>
      <c r="Q77" s="2">
        <f>Q11/'Output-Calculation-sheet'!Q10*'Output-Calculation-sheet'!Q64</f>
        <v>162.56537012746094</v>
      </c>
      <c r="R77" s="2">
        <f>R11/'Output-Calculation-sheet'!R10*'Output-Calculation-sheet'!R64</f>
        <v>897.83476865722378</v>
      </c>
      <c r="S77" s="2">
        <f>S11/'Output-Calculation-sheet'!S10*'Output-Calculation-sheet'!S64</f>
        <v>0</v>
      </c>
      <c r="T77" s="2">
        <f>T11/'Output-Calculation-sheet'!T10*'Output-Calculation-sheet'!T64</f>
        <v>249.29879931755642</v>
      </c>
      <c r="U77" s="2">
        <f>U11/'Output-Calculation-sheet'!U10*'Output-Calculation-sheet'!U64</f>
        <v>331.3196433429024</v>
      </c>
      <c r="V77" s="2">
        <f>V11/'Output-Calculation-sheet'!V10*'Output-Calculation-sheet'!V64</f>
        <v>129.00805341184716</v>
      </c>
      <c r="W77" s="2">
        <f>W11/'Output-Calculation-sheet'!W10*'Output-Calculation-sheet'!W64</f>
        <v>28.321197868884255</v>
      </c>
      <c r="X77" s="2">
        <f>X11/'Output-Calculation-sheet'!X10*'Output-Calculation-sheet'!X64</f>
        <v>10.578641708036081</v>
      </c>
      <c r="Y77" s="2">
        <f>Y11/'Output-Calculation-sheet'!Y10*'Output-Calculation-sheet'!Y64</f>
        <v>48.245361280180923</v>
      </c>
      <c r="AA77" s="2">
        <f t="shared" si="6"/>
        <v>10.655039014860659</v>
      </c>
    </row>
    <row r="78" spans="1:27" x14ac:dyDescent="0.25">
      <c r="A78" s="2">
        <v>2035</v>
      </c>
      <c r="B78" s="2">
        <f>B12/'Output-Calculation-sheet'!B11*'Output-Calculation-sheet'!B65</f>
        <v>111.30959767873338</v>
      </c>
      <c r="C78" s="2">
        <f>C12/'Output-Calculation-sheet'!C11*'Output-Calculation-sheet'!C65</f>
        <v>92.779424458861612</v>
      </c>
      <c r="D78" s="2">
        <f>D12/'Output-Calculation-sheet'!D11*'Output-Calculation-sheet'!D65</f>
        <v>4767.8941073151946</v>
      </c>
      <c r="E78" s="2">
        <f>E12/'Output-Calculation-sheet'!E11*'Output-Calculation-sheet'!E65</f>
        <v>1531.6254236397363</v>
      </c>
      <c r="F78" s="2">
        <f>F12/'Output-Calculation-sheet'!F11*'Output-Calculation-sheet'!F65</f>
        <v>1217.2191758222204</v>
      </c>
      <c r="G78" s="2">
        <f>G12/'Output-Calculation-sheet'!G11*'Output-Calculation-sheet'!G65</f>
        <v>1801.2129924765495</v>
      </c>
      <c r="H78" s="2">
        <f>H12/'Output-Calculation-sheet'!H11*'Output-Calculation-sheet'!H65</f>
        <v>40.937759109391124</v>
      </c>
      <c r="I78" s="2">
        <f>I12/'Output-Calculation-sheet'!I11*'Output-Calculation-sheet'!I65</f>
        <v>1497.5428413096283</v>
      </c>
      <c r="J78" s="2">
        <f>J12/'Output-Calculation-sheet'!J11*'Output-Calculation-sheet'!J65</f>
        <v>1420.4558906801533</v>
      </c>
      <c r="K78" s="2">
        <f>K12/'Output-Calculation-sheet'!K11*'Output-Calculation-sheet'!K65</f>
        <v>1909.209624223407</v>
      </c>
      <c r="L78" s="2">
        <f>L12/'Output-Calculation-sheet'!L11*'Output-Calculation-sheet'!L65</f>
        <v>662.18876968493771</v>
      </c>
      <c r="M78" s="2">
        <f>M12/'Output-Calculation-sheet'!M11*'Output-Calculation-sheet'!M65</f>
        <v>36.594971506189083</v>
      </c>
      <c r="N78" s="2">
        <f>N12/'Output-Calculation-sheet'!N11*'Output-Calculation-sheet'!N65</f>
        <v>24.65119682418069</v>
      </c>
      <c r="O78" s="2">
        <f>O12/'Output-Calculation-sheet'!O11*'Output-Calculation-sheet'!O65</f>
        <v>16.080201363542965</v>
      </c>
      <c r="P78" s="2">
        <f>P12/'Output-Calculation-sheet'!P11*'Output-Calculation-sheet'!P65</f>
        <v>185.46476976976103</v>
      </c>
      <c r="Q78" s="2">
        <f>Q12/'Output-Calculation-sheet'!Q11*'Output-Calculation-sheet'!Q65</f>
        <v>149.45123938948922</v>
      </c>
      <c r="R78" s="2">
        <f>R12/'Output-Calculation-sheet'!R11*'Output-Calculation-sheet'!R65</f>
        <v>1238.0192408158491</v>
      </c>
      <c r="S78" s="2">
        <f>S12/'Output-Calculation-sheet'!S11*'Output-Calculation-sheet'!S65</f>
        <v>11.844847418269064</v>
      </c>
      <c r="T78" s="2">
        <f>T12/'Output-Calculation-sheet'!T11*'Output-Calculation-sheet'!T65</f>
        <v>492.32653528299045</v>
      </c>
      <c r="U78" s="2">
        <f>U12/'Output-Calculation-sheet'!U11*'Output-Calculation-sheet'!U65</f>
        <v>181.61972538391237</v>
      </c>
      <c r="V78" s="2">
        <f>V12/'Output-Calculation-sheet'!V11*'Output-Calculation-sheet'!V65</f>
        <v>257.67257423410922</v>
      </c>
      <c r="W78" s="2">
        <f>W12/'Output-Calculation-sheet'!W11*'Output-Calculation-sheet'!W65</f>
        <v>173.70354957275049</v>
      </c>
      <c r="X78" s="2">
        <f>X12/'Output-Calculation-sheet'!X11*'Output-Calculation-sheet'!X65</f>
        <v>2.423883659003208</v>
      </c>
      <c r="Y78" s="2">
        <f>Y12/'Output-Calculation-sheet'!Y11*'Output-Calculation-sheet'!Y65</f>
        <v>41.690896877490829</v>
      </c>
      <c r="AA78" s="2">
        <f t="shared" si="6"/>
        <v>17.863919238496354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119.94229865517954</v>
      </c>
      <c r="E89" s="2">
        <f>E12/'Output-Calculation-sheet'!E11*'Output-Calculation-sheet'!E74</f>
        <v>58.022237008115866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44.896710331271613</v>
      </c>
      <c r="H89" s="2">
        <f>H12/'Output-Calculation-sheet'!H11*'Output-Calculation-sheet'!H74</f>
        <v>7.2488285275592954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24.977888604128232</v>
      </c>
      <c r="K89" s="2">
        <f>K12/'Output-Calculation-sheet'!K11*'Output-Calculation-sheet'!K74</f>
        <v>31.420377443358607</v>
      </c>
      <c r="L89" s="2">
        <f>L12/'Output-Calculation-sheet'!L11*'Output-Calculation-sheet'!L74</f>
        <v>13.149493525123619</v>
      </c>
      <c r="M89" s="2">
        <f>M12/'Output-Calculation-sheet'!M11*'Output-Calculation-sheet'!M74</f>
        <v>3.7409246096216737</v>
      </c>
      <c r="N89" s="2">
        <f>N12/'Output-Calculation-sheet'!N11*'Output-Calculation-sheet'!N74</f>
        <v>3.6767222070469359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3.3966454993332587</v>
      </c>
      <c r="Q89" s="2">
        <f>Q12/'Output-Calculation-sheet'!Q11*'Output-Calculation-sheet'!Q74</f>
        <v>6.442743164202982</v>
      </c>
      <c r="R89" s="2">
        <f>R12/'Output-Calculation-sheet'!R11*'Output-Calculation-sheet'!R74</f>
        <v>19.167582426621991</v>
      </c>
      <c r="S89" s="2">
        <f>S12/'Output-Calculation-sheet'!S11*'Output-Calculation-sheet'!S74</f>
        <v>3.5127068262956889</v>
      </c>
      <c r="T89" s="2">
        <f>T12/'Output-Calculation-sheet'!T11*'Output-Calculation-sheet'!T74</f>
        <v>5.9094028653956725</v>
      </c>
      <c r="U89" s="2">
        <f>U12/'Output-Calculation-sheet'!U11*'Output-Calculation-sheet'!U74</f>
        <v>6.8520748433894605</v>
      </c>
      <c r="V89" s="2">
        <f>V12/'Output-Calculation-sheet'!V11*'Output-Calculation-sheet'!V74</f>
        <v>2.113419317733424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2.3761890467356994</v>
      </c>
      <c r="AA89" s="2">
        <f t="shared" si="7"/>
        <v>0.47948006374210822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18900879665.906372</v>
      </c>
      <c r="C96" s="2">
        <f>C8/'Output-Calculation-sheet'!C7*'Output-Calculation-sheet'!C79</f>
        <v>7824730234.2254286</v>
      </c>
      <c r="D96" s="2">
        <f>D8/'Output-Calculation-sheet'!D7*'Output-Calculation-sheet'!D79</f>
        <v>6237507990.561656</v>
      </c>
      <c r="E96" s="2">
        <f>E8/'Output-Calculation-sheet'!E7*'Output-Calculation-sheet'!E79</f>
        <v>7537090781.6541967</v>
      </c>
      <c r="F96" s="2">
        <f>F8/'Output-Calculation-sheet'!F7*'Output-Calculation-sheet'!F79</f>
        <v>4449103650.7491636</v>
      </c>
      <c r="G96" s="2">
        <f>G8/'Output-Calculation-sheet'!G7*'Output-Calculation-sheet'!G79</f>
        <v>2263048996.9563751</v>
      </c>
      <c r="H96" s="2">
        <f>H8/'Output-Calculation-sheet'!H7*'Output-Calculation-sheet'!H79</f>
        <v>2825800421.6942105</v>
      </c>
      <c r="I96" s="2">
        <f>I8/'Output-Calculation-sheet'!I7*'Output-Calculation-sheet'!I79</f>
        <v>2704676703.2991176</v>
      </c>
      <c r="J96" s="2">
        <f>J8/'Output-Calculation-sheet'!J7*'Output-Calculation-sheet'!J79</f>
        <v>1526612618.3630028</v>
      </c>
      <c r="K96" s="2">
        <f>K8/'Output-Calculation-sheet'!K7*'Output-Calculation-sheet'!K79</f>
        <v>2600346367.2526979</v>
      </c>
      <c r="L96" s="2">
        <f>L8/'Output-Calculation-sheet'!L7*'Output-Calculation-sheet'!L79</f>
        <v>1870224846.9441285</v>
      </c>
      <c r="M96" s="2">
        <f>M8/'Output-Calculation-sheet'!M7*'Output-Calculation-sheet'!M79</f>
        <v>1890634906.7740557</v>
      </c>
      <c r="N96" s="2">
        <f>N8/'Output-Calculation-sheet'!N7*'Output-Calculation-sheet'!N79</f>
        <v>1345616103.2048233</v>
      </c>
      <c r="O96" s="2">
        <f>O8/'Output-Calculation-sheet'!O7*'Output-Calculation-sheet'!O79</f>
        <v>1057536319.183722</v>
      </c>
      <c r="P96" s="2">
        <f>P8/'Output-Calculation-sheet'!P7*'Output-Calculation-sheet'!P79</f>
        <v>2248070594.1513476</v>
      </c>
      <c r="Q96" s="2">
        <f>Q8/'Output-Calculation-sheet'!Q7*'Output-Calculation-sheet'!Q79</f>
        <v>1224439874.3013065</v>
      </c>
      <c r="R96" s="2">
        <f>R8/'Output-Calculation-sheet'!R7*'Output-Calculation-sheet'!R79</f>
        <v>1633522118.5730188</v>
      </c>
      <c r="S96" s="2">
        <f>S8/'Output-Calculation-sheet'!S7*'Output-Calculation-sheet'!S79</f>
        <v>1028211688.0522423</v>
      </c>
      <c r="T96" s="2">
        <f>T8/'Output-Calculation-sheet'!T7*'Output-Calculation-sheet'!T79</f>
        <v>660253401.40831995</v>
      </c>
      <c r="U96" s="2">
        <f>U8/'Output-Calculation-sheet'!U7*'Output-Calculation-sheet'!U79</f>
        <v>612245474.71301031</v>
      </c>
      <c r="V96" s="2">
        <f>V8/'Output-Calculation-sheet'!V7*'Output-Calculation-sheet'!V79</f>
        <v>394182583.06425226</v>
      </c>
      <c r="W96" s="2">
        <f>W8/'Output-Calculation-sheet'!W7*'Output-Calculation-sheet'!W79</f>
        <v>471535307.66643864</v>
      </c>
      <c r="X96" s="2">
        <f>X8/'Output-Calculation-sheet'!X7*'Output-Calculation-sheet'!X79</f>
        <v>215823209.4001489</v>
      </c>
      <c r="Y96" s="2">
        <f>Y8/'Output-Calculation-sheet'!Y7*'Output-Calculation-sheet'!Y79</f>
        <v>241565299.12150204</v>
      </c>
      <c r="AA96" s="2">
        <f t="shared" si="8"/>
        <v>71.763659157220559</v>
      </c>
    </row>
    <row r="97" spans="1:27" x14ac:dyDescent="0.25">
      <c r="A97" s="2">
        <v>2032</v>
      </c>
      <c r="B97" s="2">
        <f>B9/'Output-Calculation-sheet'!B8*'Output-Calculation-sheet'!B80</f>
        <v>26238525050.298267</v>
      </c>
      <c r="C97" s="2">
        <f>C9/'Output-Calculation-sheet'!C8*'Output-Calculation-sheet'!C80</f>
        <v>10871889090.734793</v>
      </c>
      <c r="D97" s="2">
        <f>D9/'Output-Calculation-sheet'!D8*'Output-Calculation-sheet'!D80</f>
        <v>8593313423.0441132</v>
      </c>
      <c r="E97" s="2">
        <f>E9/'Output-Calculation-sheet'!E8*'Output-Calculation-sheet'!E80</f>
        <v>10369159157.0284</v>
      </c>
      <c r="F97" s="2">
        <f>F9/'Output-Calculation-sheet'!F8*'Output-Calculation-sheet'!F80</f>
        <v>6144019447.0090542</v>
      </c>
      <c r="G97" s="2">
        <f>G9/'Output-Calculation-sheet'!G8*'Output-Calculation-sheet'!G80</f>
        <v>3075597189.7200265</v>
      </c>
      <c r="H97" s="2">
        <f>H9/'Output-Calculation-sheet'!H8*'Output-Calculation-sheet'!H80</f>
        <v>3914740641.7500196</v>
      </c>
      <c r="I97" s="2">
        <f>I9/'Output-Calculation-sheet'!I8*'Output-Calculation-sheet'!I80</f>
        <v>3736764883.751286</v>
      </c>
      <c r="J97" s="2">
        <f>J9/'Output-Calculation-sheet'!J8*'Output-Calculation-sheet'!J80</f>
        <v>2132246761.8206952</v>
      </c>
      <c r="K97" s="2">
        <f>K9/'Output-Calculation-sheet'!K8*'Output-Calculation-sheet'!K80</f>
        <v>3591812562.1358776</v>
      </c>
      <c r="L97" s="2">
        <f>L9/'Output-Calculation-sheet'!L8*'Output-Calculation-sheet'!L80</f>
        <v>2598803877.3583136</v>
      </c>
      <c r="M97" s="2">
        <f>M9/'Output-Calculation-sheet'!M8*'Output-Calculation-sheet'!M80</f>
        <v>2619159648.8946962</v>
      </c>
      <c r="N97" s="2">
        <f>N9/'Output-Calculation-sheet'!N8*'Output-Calculation-sheet'!N80</f>
        <v>1872107744.2723539</v>
      </c>
      <c r="O97" s="2">
        <f>O9/'Output-Calculation-sheet'!O8*'Output-Calculation-sheet'!O80</f>
        <v>1476975845.5223053</v>
      </c>
      <c r="P97" s="2">
        <f>P9/'Output-Calculation-sheet'!P8*'Output-Calculation-sheet'!P80</f>
        <v>3086554996.7663021</v>
      </c>
      <c r="Q97" s="2">
        <f>Q9/'Output-Calculation-sheet'!Q8*'Output-Calculation-sheet'!Q80</f>
        <v>1709054031.5252252</v>
      </c>
      <c r="R97" s="2">
        <f>R9/'Output-Calculation-sheet'!R8*'Output-Calculation-sheet'!R80</f>
        <v>2265956578.1596413</v>
      </c>
      <c r="S97" s="2">
        <f>S9/'Output-Calculation-sheet'!S8*'Output-Calculation-sheet'!S80</f>
        <v>1429485792.2196369</v>
      </c>
      <c r="T97" s="2">
        <f>T9/'Output-Calculation-sheet'!T8*'Output-Calculation-sheet'!T80</f>
        <v>908617096.23021901</v>
      </c>
      <c r="U97" s="2">
        <f>U9/'Output-Calculation-sheet'!U8*'Output-Calculation-sheet'!U80</f>
        <v>847321946.79241347</v>
      </c>
      <c r="V97" s="2">
        <f>V9/'Output-Calculation-sheet'!V8*'Output-Calculation-sheet'!V80</f>
        <v>548731605.44495165</v>
      </c>
      <c r="W97" s="2">
        <f>W9/'Output-Calculation-sheet'!W8*'Output-Calculation-sheet'!W80</f>
        <v>641901306.16074979</v>
      </c>
      <c r="X97" s="2">
        <f>X9/'Output-Calculation-sheet'!X8*'Output-Calculation-sheet'!X80</f>
        <v>298893483.13230658</v>
      </c>
      <c r="Y97" s="2">
        <f>Y9/'Output-Calculation-sheet'!Y8*'Output-Calculation-sheet'!Y80</f>
        <v>330291395.63879728</v>
      </c>
      <c r="AA97" s="2">
        <f t="shared" si="8"/>
        <v>99.301923555410426</v>
      </c>
    </row>
    <row r="98" spans="1:27" x14ac:dyDescent="0.25">
      <c r="A98" s="2">
        <v>2033</v>
      </c>
      <c r="B98" s="2">
        <f>B10/'Output-Calculation-sheet'!B9*'Output-Calculation-sheet'!B81</f>
        <v>34192100829.617687</v>
      </c>
      <c r="C98" s="2">
        <f>C10/'Output-Calculation-sheet'!C9*'Output-Calculation-sheet'!C81</f>
        <v>14182128341.641642</v>
      </c>
      <c r="D98" s="2">
        <f>D10/'Output-Calculation-sheet'!D9*'Output-Calculation-sheet'!D81</f>
        <v>11124882620.067299</v>
      </c>
      <c r="E98" s="2">
        <f>E10/'Output-Calculation-sheet'!E9*'Output-Calculation-sheet'!E81</f>
        <v>13398671547.632313</v>
      </c>
      <c r="F98" s="2">
        <f>F10/'Output-Calculation-sheet'!F9*'Output-Calculation-sheet'!F81</f>
        <v>7967160768.4349794</v>
      </c>
      <c r="G98" s="2">
        <f>G10/'Output-Calculation-sheet'!G9*'Output-Calculation-sheet'!G81</f>
        <v>3927237914.3090515</v>
      </c>
      <c r="H98" s="2">
        <f>H10/'Output-Calculation-sheet'!H9*'Output-Calculation-sheet'!H81</f>
        <v>5091744593.4112263</v>
      </c>
      <c r="I98" s="2">
        <f>I10/'Output-Calculation-sheet'!I9*'Output-Calculation-sheet'!I81</f>
        <v>4848496786.3850336</v>
      </c>
      <c r="J98" s="2">
        <f>J10/'Output-Calculation-sheet'!J9*'Output-Calculation-sheet'!J81</f>
        <v>2797679986.8778191</v>
      </c>
      <c r="K98" s="2">
        <f>K10/'Output-Calculation-sheet'!K9*'Output-Calculation-sheet'!K81</f>
        <v>4658882376.6840372</v>
      </c>
      <c r="L98" s="2">
        <f>L10/'Output-Calculation-sheet'!L9*'Output-Calculation-sheet'!L81</f>
        <v>3390322623.3245292</v>
      </c>
      <c r="M98" s="2">
        <f>M10/'Output-Calculation-sheet'!M9*'Output-Calculation-sheet'!M81</f>
        <v>3407251702.9714441</v>
      </c>
      <c r="N98" s="2">
        <f>N10/'Output-Calculation-sheet'!N9*'Output-Calculation-sheet'!N81</f>
        <v>2446717583.513021</v>
      </c>
      <c r="O98" s="2">
        <f>O10/'Output-Calculation-sheet'!O9*'Output-Calculation-sheet'!O81</f>
        <v>1937152425.2392864</v>
      </c>
      <c r="P98" s="2">
        <f>P10/'Output-Calculation-sheet'!P9*'Output-Calculation-sheet'!P81</f>
        <v>3978934530.1087761</v>
      </c>
      <c r="Q98" s="2">
        <f>Q10/'Output-Calculation-sheet'!Q9*'Output-Calculation-sheet'!Q81</f>
        <v>2240165689.4908881</v>
      </c>
      <c r="R98" s="2">
        <f>R10/'Output-Calculation-sheet'!R9*'Output-Calculation-sheet'!R81</f>
        <v>2950933107.2774973</v>
      </c>
      <c r="S98" s="2">
        <f>S10/'Output-Calculation-sheet'!S9*'Output-Calculation-sheet'!S81</f>
        <v>1865522746.7560451</v>
      </c>
      <c r="T98" s="2">
        <f>T10/'Output-Calculation-sheet'!T9*'Output-Calculation-sheet'!T81</f>
        <v>1174370718.6816263</v>
      </c>
      <c r="U98" s="2">
        <f>U10/'Output-Calculation-sheet'!U9*'Output-Calculation-sheet'!U81</f>
        <v>1100328241.3571157</v>
      </c>
      <c r="V98" s="2">
        <f>V10/'Output-Calculation-sheet'!V9*'Output-Calculation-sheet'!V81</f>
        <v>716651197.58839524</v>
      </c>
      <c r="W98" s="2">
        <f>W10/'Output-Calculation-sheet'!W9*'Output-Calculation-sheet'!W81</f>
        <v>820678347.74342227</v>
      </c>
      <c r="X98" s="2">
        <f>X10/'Output-Calculation-sheet'!X9*'Output-Calculation-sheet'!X81</f>
        <v>388678553.28001398</v>
      </c>
      <c r="Y98" s="2">
        <f>Y10/'Output-Calculation-sheet'!Y9*'Output-Calculation-sheet'!Y81</f>
        <v>424275997.1620242</v>
      </c>
      <c r="AA98" s="2">
        <f t="shared" si="8"/>
        <v>129.03096922955518</v>
      </c>
    </row>
    <row r="99" spans="1:27" x14ac:dyDescent="0.25">
      <c r="A99" s="2">
        <v>2034</v>
      </c>
      <c r="B99" s="2">
        <f>B11/'Output-Calculation-sheet'!B10*'Output-Calculation-sheet'!B82</f>
        <v>42760672688.571335</v>
      </c>
      <c r="C99" s="2">
        <f>C11/'Output-Calculation-sheet'!C10*'Output-Calculation-sheet'!C82</f>
        <v>17757218006.930851</v>
      </c>
      <c r="D99" s="2">
        <f>D11/'Output-Calculation-sheet'!D10*'Output-Calculation-sheet'!D82</f>
        <v>13835434735.834406</v>
      </c>
      <c r="E99" s="2">
        <f>E11/'Output-Calculation-sheet'!E10*'Output-Calculation-sheet'!E82</f>
        <v>16624306466.323227</v>
      </c>
      <c r="F99" s="2">
        <f>F11/'Output-Calculation-sheet'!F10*'Output-Calculation-sheet'!F82</f>
        <v>9917945482.2597046</v>
      </c>
      <c r="G99" s="2">
        <f>G11/'Output-Calculation-sheet'!G10*'Output-Calculation-sheet'!G82</f>
        <v>4816887494.0014935</v>
      </c>
      <c r="H99" s="2">
        <f>H11/'Output-Calculation-sheet'!H10*'Output-Calculation-sheet'!H82</f>
        <v>6356672813.5334063</v>
      </c>
      <c r="I99" s="2">
        <f>I11/'Output-Calculation-sheet'!I10*'Output-Calculation-sheet'!I82</f>
        <v>6039960971.2233868</v>
      </c>
      <c r="J99" s="2">
        <f>J11/'Output-Calculation-sheet'!J10*'Output-Calculation-sheet'!J82</f>
        <v>3525169876.4462714</v>
      </c>
      <c r="K99" s="2">
        <f>K11/'Output-Calculation-sheet'!K10*'Output-Calculation-sheet'!K82</f>
        <v>5801413899.3491411</v>
      </c>
      <c r="L99" s="2">
        <f>L11/'Output-Calculation-sheet'!L10*'Output-Calculation-sheet'!L82</f>
        <v>4245123585.7331524</v>
      </c>
      <c r="M99" s="2">
        <f>M11/'Output-Calculation-sheet'!M10*'Output-Calculation-sheet'!M82</f>
        <v>4255189334.3645735</v>
      </c>
      <c r="N99" s="2">
        <f>N11/'Output-Calculation-sheet'!N10*'Output-Calculation-sheet'!N82</f>
        <v>3070810400.761312</v>
      </c>
      <c r="O99" s="2">
        <f>O11/'Output-Calculation-sheet'!O10*'Output-Calculation-sheet'!O82</f>
        <v>2439193918.6574445</v>
      </c>
      <c r="P99" s="2">
        <f>P11/'Output-Calculation-sheet'!P10*'Output-Calculation-sheet'!P82</f>
        <v>4923847670.2994585</v>
      </c>
      <c r="Q99" s="2">
        <f>Q11/'Output-Calculation-sheet'!Q10*'Output-Calculation-sheet'!Q82</f>
        <v>2818957398.3942103</v>
      </c>
      <c r="R99" s="2">
        <f>R11/'Output-Calculation-sheet'!R10*'Output-Calculation-sheet'!R82</f>
        <v>3688483634.9646659</v>
      </c>
      <c r="S99" s="2">
        <f>S11/'Output-Calculation-sheet'!S10*'Output-Calculation-sheet'!S82</f>
        <v>2336409016.7998567</v>
      </c>
      <c r="T99" s="2">
        <f>T11/'Output-Calculation-sheet'!T10*'Output-Calculation-sheet'!T82</f>
        <v>1457408140.3362992</v>
      </c>
      <c r="U99" s="2">
        <f>U11/'Output-Calculation-sheet'!U10*'Output-Calculation-sheet'!U82</f>
        <v>1370858374.7725687</v>
      </c>
      <c r="V99" s="2">
        <f>V11/'Output-Calculation-sheet'!V10*'Output-Calculation-sheet'!V82</f>
        <v>897805501.13517654</v>
      </c>
      <c r="W99" s="2">
        <f>W11/'Output-Calculation-sheet'!W10*'Output-Calculation-sheet'!W82</f>
        <v>1007452100.4240079</v>
      </c>
      <c r="X99" s="2">
        <f>X11/'Output-Calculation-sheet'!X10*'Output-Calculation-sheet'!X82</f>
        <v>485186509.68140435</v>
      </c>
      <c r="Y99" s="2">
        <f>Y11/'Output-Calculation-sheet'!Y10*'Output-Calculation-sheet'!Y82</f>
        <v>523454179.26139432</v>
      </c>
      <c r="AA99" s="2">
        <f t="shared" si="8"/>
        <v>160.95586220005876</v>
      </c>
    </row>
    <row r="100" spans="1:27" x14ac:dyDescent="0.25">
      <c r="A100" s="2">
        <v>2035</v>
      </c>
      <c r="B100" s="2">
        <f>B12/'Output-Calculation-sheet'!B11*'Output-Calculation-sheet'!B83</f>
        <v>51937226965.389137</v>
      </c>
      <c r="C100" s="2">
        <f>C12/'Output-Calculation-sheet'!C11*'Output-Calculation-sheet'!C83</f>
        <v>21596471499.561501</v>
      </c>
      <c r="D100" s="2">
        <f>D12/'Output-Calculation-sheet'!D11*'Output-Calculation-sheet'!D83</f>
        <v>16726730564.964769</v>
      </c>
      <c r="E100" s="2">
        <f>E12/'Output-Calculation-sheet'!E11*'Output-Calculation-sheet'!E83</f>
        <v>20042687640.841473</v>
      </c>
      <c r="F100" s="2">
        <f>F12/'Output-Calculation-sheet'!F11*'Output-Calculation-sheet'!F83</f>
        <v>11994535692.201284</v>
      </c>
      <c r="G100" s="2">
        <f>G12/'Output-Calculation-sheet'!G11*'Output-Calculation-sheet'!G83</f>
        <v>5743131064.6883507</v>
      </c>
      <c r="H100" s="2">
        <f>H12/'Output-Calculation-sheet'!H11*'Output-Calculation-sheet'!H83</f>
        <v>7708514800.8416004</v>
      </c>
      <c r="I100" s="2">
        <f>I12/'Output-Calculation-sheet'!I11*'Output-Calculation-sheet'!I83</f>
        <v>7310446444.7354212</v>
      </c>
      <c r="J100" s="2">
        <f>J12/'Output-Calculation-sheet'!J11*'Output-Calculation-sheet'!J83</f>
        <v>4316545493.1595526</v>
      </c>
      <c r="K100" s="2">
        <f>K12/'Output-Calculation-sheet'!K11*'Output-Calculation-sheet'!K83</f>
        <v>7018553270.6754446</v>
      </c>
      <c r="L100" s="2">
        <f>L12/'Output-Calculation-sheet'!L11*'Output-Calculation-sheet'!L83</f>
        <v>5162939555.6927395</v>
      </c>
      <c r="M100" s="2">
        <f>M12/'Output-Calculation-sheet'!M11*'Output-Calculation-sheet'!M83</f>
        <v>5162651784.7345619</v>
      </c>
      <c r="N100" s="2">
        <f>N12/'Output-Calculation-sheet'!N11*'Output-Calculation-sheet'!N83</f>
        <v>3745353129.3377433</v>
      </c>
      <c r="O100" s="2">
        <f>O12/'Output-Calculation-sheet'!O11*'Output-Calculation-sheet'!O83</f>
        <v>2983892944.6022854</v>
      </c>
      <c r="P100" s="2">
        <f>P12/'Output-Calculation-sheet'!P11*'Output-Calculation-sheet'!P83</f>
        <v>5919457523.1412125</v>
      </c>
      <c r="Q100" s="2">
        <f>Q12/'Output-Calculation-sheet'!Q11*'Output-Calculation-sheet'!Q83</f>
        <v>3446205064.0932102</v>
      </c>
      <c r="R100" s="2">
        <f>R12/'Output-Calculation-sheet'!R11*'Output-Calculation-sheet'!R83</f>
        <v>4478136125.5856705</v>
      </c>
      <c r="S100" s="2">
        <f>S12/'Output-Calculation-sheet'!S11*'Output-Calculation-sheet'!S83</f>
        <v>2841900659.588037</v>
      </c>
      <c r="T100" s="2">
        <f>T12/'Output-Calculation-sheet'!T11*'Output-Calculation-sheet'!T83</f>
        <v>1757460745.7307744</v>
      </c>
      <c r="U100" s="2">
        <f>U12/'Output-Calculation-sheet'!U11*'Output-Calculation-sheet'!U83</f>
        <v>1658361765.4441004</v>
      </c>
      <c r="V100" s="2">
        <f>V12/'Output-Calculation-sheet'!V11*'Output-Calculation-sheet'!V83</f>
        <v>1091942472.3126459</v>
      </c>
      <c r="W100" s="2">
        <f>W12/'Output-Calculation-sheet'!W11*'Output-Calculation-sheet'!W83</f>
        <v>1201713158.4936092</v>
      </c>
      <c r="X100" s="2">
        <f>X12/'Output-Calculation-sheet'!X11*'Output-Calculation-sheet'!X83</f>
        <v>588357642.87323451</v>
      </c>
      <c r="Y100" s="2">
        <f>Y12/'Output-Calculation-sheet'!Y11*'Output-Calculation-sheet'!Y83</f>
        <v>627710863.91953206</v>
      </c>
      <c r="AA100" s="2">
        <f t="shared" si="8"/>
        <v>195.06092687260789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1710.4051177101285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526.51574337762747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362.29407170481664</v>
      </c>
      <c r="N107" s="2">
        <f>N8/'Output-Calculation-sheet'!N7*'Output-Calculation-sheet'!N88</f>
        <v>142.43052698709877</v>
      </c>
      <c r="O107" s="2">
        <f>O8/'Output-Calculation-sheet'!O7*'Output-Calculation-sheet'!O88</f>
        <v>398.7410375511846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39.744413176842173</v>
      </c>
      <c r="Y107" s="2">
        <f>Y8/'Output-Calculation-sheet'!Y7*'Output-Calculation-sheet'!Y88</f>
        <v>0</v>
      </c>
      <c r="AA107" s="2">
        <f t="shared" si="9"/>
        <v>3.1801309105076978</v>
      </c>
    </row>
    <row r="108" spans="1:27" x14ac:dyDescent="0.25">
      <c r="A108" s="2">
        <v>2032</v>
      </c>
      <c r="B108" s="2">
        <f>B9/'Output-Calculation-sheet'!B8*'Output-Calculation-sheet'!B89</f>
        <v>792.59304271614212</v>
      </c>
      <c r="C108" s="2">
        <f>C9/'Output-Calculation-sheet'!C8*'Output-Calculation-sheet'!C89</f>
        <v>3009.4640236676682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810.60556928003655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557.77551941202626</v>
      </c>
      <c r="N108" s="2">
        <f>N9/'Output-Calculation-sheet'!N8*'Output-Calculation-sheet'!N89</f>
        <v>391.57348455182665</v>
      </c>
      <c r="O108" s="2">
        <f>O9/'Output-Calculation-sheet'!O8*'Output-Calculation-sheet'!O89</f>
        <v>584.65525449937024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179.57075130172743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61.189134558904243</v>
      </c>
      <c r="Y108" s="2">
        <f>Y9/'Output-Calculation-sheet'!Y8*'Output-Calculation-sheet'!Y89</f>
        <v>0</v>
      </c>
      <c r="AA108" s="2">
        <f t="shared" si="9"/>
        <v>6.3874267799877016</v>
      </c>
    </row>
    <row r="109" spans="1:27" x14ac:dyDescent="0.25">
      <c r="A109" s="2">
        <v>2033</v>
      </c>
      <c r="B109" s="2">
        <f>B10/'Output-Calculation-sheet'!B9*'Output-Calculation-sheet'!B90</f>
        <v>4263.7601984976418</v>
      </c>
      <c r="C109" s="2">
        <f>C10/'Output-Calculation-sheet'!C9*'Output-Calculation-sheet'!C90</f>
        <v>4047.3585533100199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1245.9024913727924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857.3021647006733</v>
      </c>
      <c r="N109" s="2">
        <f>N10/'Output-Calculation-sheet'!N9*'Output-Calculation-sheet'!N90</f>
        <v>674.07119598128429</v>
      </c>
      <c r="O109" s="2">
        <f>O10/'Output-Calculation-sheet'!O9*'Output-Calculation-sheet'!O90</f>
        <v>786.28932807504532</v>
      </c>
      <c r="P109" s="2">
        <f>P10/'Output-Calculation-sheet'!P9*'Output-Calculation-sheet'!P90</f>
        <v>0</v>
      </c>
      <c r="Q109" s="2">
        <f>Q10/'Output-Calculation-sheet'!Q9*'Output-Calculation-sheet'!Q90</f>
        <v>147.64739302886596</v>
      </c>
      <c r="R109" s="2">
        <f>R10/'Output-Calculation-sheet'!R9*'Output-Calculation-sheet'!R90</f>
        <v>0</v>
      </c>
      <c r="S109" s="2">
        <f>S10/'Output-Calculation-sheet'!S9*'Output-Calculation-sheet'!S90</f>
        <v>338.10076966710267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94.047830512187119</v>
      </c>
      <c r="Y109" s="2">
        <f>Y10/'Output-Calculation-sheet'!Y9*'Output-Calculation-sheet'!Y90</f>
        <v>0</v>
      </c>
      <c r="AA109" s="2">
        <f t="shared" si="9"/>
        <v>12.454479925145613</v>
      </c>
    </row>
    <row r="110" spans="1:27" x14ac:dyDescent="0.25">
      <c r="A110" s="2">
        <v>2034</v>
      </c>
      <c r="B110" s="2">
        <f>B11/'Output-Calculation-sheet'!B10*'Output-Calculation-sheet'!B91</f>
        <v>8155.1426635671251</v>
      </c>
      <c r="C110" s="2">
        <f>C11/'Output-Calculation-sheet'!C10*'Output-Calculation-sheet'!C91</f>
        <v>5590.8947787222296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1588.6622900945415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1093.1542634413595</v>
      </c>
      <c r="N110" s="2">
        <f>N11/'Output-Calculation-sheet'!N10*'Output-Calculation-sheet'!N91</f>
        <v>984.86057884459069</v>
      </c>
      <c r="O110" s="2">
        <f>O11/'Output-Calculation-sheet'!O10*'Output-Calculation-sheet'!O91</f>
        <v>1086.1555360111558</v>
      </c>
      <c r="P110" s="2">
        <f>P11/'Output-Calculation-sheet'!P10*'Output-Calculation-sheet'!P91</f>
        <v>248.13768629853277</v>
      </c>
      <c r="Q110" s="2">
        <f>Q11/'Output-Calculation-sheet'!Q10*'Output-Calculation-sheet'!Q91</f>
        <v>549.11096244141481</v>
      </c>
      <c r="R110" s="2">
        <f>R11/'Output-Calculation-sheet'!R10*'Output-Calculation-sheet'!R91</f>
        <v>0</v>
      </c>
      <c r="S110" s="2">
        <f>S11/'Output-Calculation-sheet'!S10*'Output-Calculation-sheet'!S91</f>
        <v>564.55608285438586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119.92129627679567</v>
      </c>
      <c r="Y110" s="2">
        <f>Y11/'Output-Calculation-sheet'!Y10*'Output-Calculation-sheet'!Y91</f>
        <v>28.931586196864529</v>
      </c>
      <c r="AA110" s="2">
        <f t="shared" si="9"/>
        <v>20.009527724748995</v>
      </c>
    </row>
    <row r="111" spans="1:27" x14ac:dyDescent="0.25">
      <c r="A111" s="2">
        <v>2035</v>
      </c>
      <c r="B111" s="2">
        <f>B12/'Output-Calculation-sheet'!B11*'Output-Calculation-sheet'!B92</f>
        <v>14326.118265983627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3191.2230354463727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708.7577010041631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1133.347381610864</v>
      </c>
      <c r="Q111" s="2">
        <f>Q12/'Output-Calculation-sheet'!Q11*'Output-Calculation-sheet'!Q92</f>
        <v>1074.8643178945308</v>
      </c>
      <c r="R111" s="2">
        <f>R12/'Output-Calculation-sheet'!R11*'Output-Calculation-sheet'!R92</f>
        <v>163.98931631665482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237.4243933234448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111.81289569917429</v>
      </c>
      <c r="AA111" s="2">
        <f t="shared" si="9"/>
        <v>34.986327609805365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8040583360.0804472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2473922428.7414651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1718352312.8838794</v>
      </c>
      <c r="N118" s="2">
        <f>N8/'Output-Calculation-sheet'!N7*'Output-Calculation-sheet'!N97</f>
        <v>1348416620.3198681</v>
      </c>
      <c r="O118" s="2">
        <f>O8/'Output-Calculation-sheet'!O7*'Output-Calculation-sheet'!O97</f>
        <v>897251915.92237318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488319939.56022614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185205765.20458198</v>
      </c>
      <c r="Y118" s="2">
        <f>Y8/'Output-Calculation-sheet'!Y7*'Output-Calculation-sheet'!Y97</f>
        <v>0</v>
      </c>
      <c r="AA118" s="2">
        <f t="shared" si="10"/>
        <v>16523.670989840004</v>
      </c>
    </row>
    <row r="119" spans="1:27" x14ac:dyDescent="0.25">
      <c r="A119" s="2">
        <v>2032</v>
      </c>
      <c r="B119" s="2">
        <f>B9/'Output-Calculation-sheet'!B8*'Output-Calculation-sheet'!B98</f>
        <v>5946074180.1210546</v>
      </c>
      <c r="C119" s="2">
        <f>C9/'Output-Calculation-sheet'!C8*'Output-Calculation-sheet'!C98</f>
        <v>4726059860.0209341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2825249158.9767375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1972034493.3099928</v>
      </c>
      <c r="N119" s="2">
        <f>N9/'Output-Calculation-sheet'!N8*'Output-Calculation-sheet'!N98</f>
        <v>1331765830.7364228</v>
      </c>
      <c r="O119" s="2">
        <f>O9/'Output-Calculation-sheet'!O8*'Output-Calculation-sheet'!O98</f>
        <v>923384767.35030937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553455012.58705413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211014760.60852754</v>
      </c>
      <c r="Y119" s="2">
        <f>Y9/'Output-Calculation-sheet'!Y8*'Output-Calculation-sheet'!Y98</f>
        <v>0</v>
      </c>
      <c r="AA119" s="2">
        <f t="shared" si="10"/>
        <v>18489.038063711032</v>
      </c>
    </row>
    <row r="120" spans="1:27" x14ac:dyDescent="0.25">
      <c r="A120" s="2">
        <v>2033</v>
      </c>
      <c r="B120" s="2">
        <f>B10/'Output-Calculation-sheet'!B9*'Output-Calculation-sheet'!B99</f>
        <v>6133987177.74193</v>
      </c>
      <c r="C120" s="2">
        <f>C10/'Output-Calculation-sheet'!C9*'Output-Calculation-sheet'!C99</f>
        <v>5042518343.719059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1653322314.382797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1170235268.8873739</v>
      </c>
      <c r="N120" s="2">
        <f>N10/'Output-Calculation-sheet'!N9*'Output-Calculation-sheet'!N99</f>
        <v>1166600574.5020375</v>
      </c>
      <c r="O120" s="2">
        <f>O10/'Output-Calculation-sheet'!O9*'Output-Calculation-sheet'!O99</f>
        <v>987216477.5853765</v>
      </c>
      <c r="P120" s="2">
        <f>P10/'Output-Calculation-sheet'!P9*'Output-Calculation-sheet'!P99</f>
        <v>0</v>
      </c>
      <c r="Q120" s="2">
        <f>Q10/'Output-Calculation-sheet'!Q9*'Output-Calculation-sheet'!Q99</f>
        <v>7225664.8482640628</v>
      </c>
      <c r="R120" s="2">
        <f>R10/'Output-Calculation-sheet'!R9*'Output-Calculation-sheet'!R99</f>
        <v>0</v>
      </c>
      <c r="S120" s="2">
        <f>S10/'Output-Calculation-sheet'!S9*'Output-Calculation-sheet'!S99</f>
        <v>488564707.64421409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116853183.58298829</v>
      </c>
      <c r="Y120" s="2">
        <f>Y10/'Output-Calculation-sheet'!Y9*'Output-Calculation-sheet'!Y99</f>
        <v>0</v>
      </c>
      <c r="AA120" s="2">
        <f t="shared" si="10"/>
        <v>16766.523712894043</v>
      </c>
    </row>
    <row r="121" spans="1:27" x14ac:dyDescent="0.25">
      <c r="A121" s="2">
        <v>2034</v>
      </c>
      <c r="B121" s="2">
        <f>B11/'Output-Calculation-sheet'!B10*'Output-Calculation-sheet'!B100</f>
        <v>6108372489.3099318</v>
      </c>
      <c r="C121" s="2">
        <f>C11/'Output-Calculation-sheet'!C10*'Output-Calculation-sheet'!C100</f>
        <v>733967192.94737446</v>
      </c>
      <c r="D121" s="2">
        <f>D11/'Output-Calculation-sheet'!D10*'Output-Calculation-sheet'!D100</f>
        <v>0</v>
      </c>
      <c r="E121" s="2">
        <f>E11/'Output-Calculation-sheet'!E10*'Output-Calculation-sheet'!E100</f>
        <v>847055950.10167408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1932604237.2370443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704566338.2813139</v>
      </c>
      <c r="M121" s="2">
        <f>M11/'Output-Calculation-sheet'!M10*'Output-Calculation-sheet'!M100</f>
        <v>1375427043.0209351</v>
      </c>
      <c r="N121" s="2">
        <f>N11/'Output-Calculation-sheet'!N10*'Output-Calculation-sheet'!N100</f>
        <v>916966476.53419006</v>
      </c>
      <c r="O121" s="2">
        <f>O11/'Output-Calculation-sheet'!O10*'Output-Calculation-sheet'!O100</f>
        <v>143970079.05884853</v>
      </c>
      <c r="P121" s="2">
        <f>P11/'Output-Calculation-sheet'!P10*'Output-Calculation-sheet'!P100</f>
        <v>0</v>
      </c>
      <c r="Q121" s="2">
        <f>Q11/'Output-Calculation-sheet'!Q10*'Output-Calculation-sheet'!Q100</f>
        <v>283259654.04446101</v>
      </c>
      <c r="R121" s="2">
        <f>R11/'Output-Calculation-sheet'!R10*'Output-Calculation-sheet'!R100</f>
        <v>0</v>
      </c>
      <c r="S121" s="2">
        <f>S11/'Output-Calculation-sheet'!S10*'Output-Calculation-sheet'!S100</f>
        <v>342846977.3377921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135145330.79612541</v>
      </c>
      <c r="Y121" s="2">
        <f>Y11/'Output-Calculation-sheet'!Y10*'Output-Calculation-sheet'!Y100</f>
        <v>9658000.9693694059</v>
      </c>
      <c r="AA121" s="2">
        <f t="shared" si="10"/>
        <v>13533.839769639058</v>
      </c>
    </row>
    <row r="122" spans="1:27" x14ac:dyDescent="0.25">
      <c r="A122" s="2">
        <v>2035</v>
      </c>
      <c r="B122" s="2">
        <f>B12/'Output-Calculation-sheet'!B11*'Output-Calculation-sheet'!B101</f>
        <v>2518911140.2672281</v>
      </c>
      <c r="C122" s="2">
        <f>C12/'Output-Calculation-sheet'!C11*'Output-Calculation-sheet'!C101</f>
        <v>433202321.30826652</v>
      </c>
      <c r="D122" s="2">
        <f>D12/'Output-Calculation-sheet'!D11*'Output-Calculation-sheet'!D101</f>
        <v>0</v>
      </c>
      <c r="E122" s="2">
        <f>E12/'Output-Calculation-sheet'!E11*'Output-Calculation-sheet'!E101</f>
        <v>2517675627.1386104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675638298.59538186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1477742712.2520974</v>
      </c>
      <c r="M122" s="2">
        <f>M12/'Output-Calculation-sheet'!M11*'Output-Calculation-sheet'!M101</f>
        <v>609448368.36447036</v>
      </c>
      <c r="N122" s="2">
        <f>N12/'Output-Calculation-sheet'!N11*'Output-Calculation-sheet'!N101</f>
        <v>510960948.32809919</v>
      </c>
      <c r="O122" s="2">
        <f>O12/'Output-Calculation-sheet'!O11*'Output-Calculation-sheet'!O101</f>
        <v>73834463.308264077</v>
      </c>
      <c r="P122" s="2">
        <f>P12/'Output-Calculation-sheet'!P11*'Output-Calculation-sheet'!P101</f>
        <v>31395828.390830517</v>
      </c>
      <c r="Q122" s="2">
        <f>Q12/'Output-Calculation-sheet'!Q11*'Output-Calculation-sheet'!Q101</f>
        <v>618863063.59015429</v>
      </c>
      <c r="R122" s="2">
        <f>R12/'Output-Calculation-sheet'!R11*'Output-Calculation-sheet'!R101</f>
        <v>0</v>
      </c>
      <c r="S122" s="2">
        <f>S12/'Output-Calculation-sheet'!S11*'Output-Calculation-sheet'!S101</f>
        <v>250182567.61552376</v>
      </c>
      <c r="T122" s="2">
        <f>T12/'Output-Calculation-sheet'!T11*'Output-Calculation-sheet'!T101</f>
        <v>0</v>
      </c>
      <c r="U122" s="2">
        <f>U12/'Output-Calculation-sheet'!U11*'Output-Calculation-sheet'!U101</f>
        <v>91989070.512129292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21615313.232854635</v>
      </c>
      <c r="Y122" s="2">
        <f>Y12/'Output-Calculation-sheet'!Y11*'Output-Calculation-sheet'!Y101</f>
        <v>89315718.650892124</v>
      </c>
      <c r="AA122" s="2">
        <f t="shared" si="10"/>
        <v>9920.7754415548043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2237582654.09377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2245345547.7613149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147079.88762003393</v>
      </c>
    </row>
    <row r="130" spans="1:27" x14ac:dyDescent="0.25">
      <c r="A130" s="2">
        <v>2032</v>
      </c>
      <c r="B130" s="2">
        <f>B9/'Output-Calculation-sheet'!B8*'Output-Calculation-sheet'!B107</f>
        <v>53808565238.695099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1957564334.7113502</v>
      </c>
      <c r="O130" s="2">
        <f>O9/'Output-Calculation-sheet'!O8*'Output-Calculation-sheet'!O107</f>
        <v>0</v>
      </c>
      <c r="P130" s="2">
        <f>P9/'Output-Calculation-sheet'!P8*'Output-Calculation-sheet'!P107</f>
        <v>5973245345.2393446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1738627334.9801173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189499.4818691134</v>
      </c>
    </row>
    <row r="131" spans="1:27" x14ac:dyDescent="0.25">
      <c r="A131" s="2">
        <v>2033</v>
      </c>
      <c r="B131" s="2">
        <f>B10/'Output-Calculation-sheet'!B9*'Output-Calculation-sheet'!B108</f>
        <v>45757677727.113403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1676685349.4466996</v>
      </c>
      <c r="O131" s="2">
        <f>O10/'Output-Calculation-sheet'!O9*'Output-Calculation-sheet'!O108</f>
        <v>0</v>
      </c>
      <c r="P131" s="2">
        <f>P10/'Output-Calculation-sheet'!P9*'Output-Calculation-sheet'!P108</f>
        <v>7711545569.0001469</v>
      </c>
      <c r="Q131" s="2">
        <f>Q10/'Output-Calculation-sheet'!Q9*'Output-Calculation-sheet'!Q108</f>
        <v>6505163891.9824228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1626295438.5323699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218394.19044574536</v>
      </c>
    </row>
    <row r="132" spans="1:27" x14ac:dyDescent="0.25">
      <c r="A132" s="2">
        <v>2034</v>
      </c>
      <c r="B132" s="2">
        <f>B11/'Output-Calculation-sheet'!B10*'Output-Calculation-sheet'!B109</f>
        <v>35543736235.676003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34310347005.339428</v>
      </c>
      <c r="F132" s="2">
        <f>F11/'Output-Calculation-sheet'!F10*'Output-Calculation-sheet'!F109</f>
        <v>22628488675.058453</v>
      </c>
      <c r="G132" s="2">
        <f>G11/'Output-Calculation-sheet'!G10*'Output-Calculation-sheet'!G109</f>
        <v>15899837445.555502</v>
      </c>
      <c r="H132" s="2">
        <f>H11/'Output-Calculation-sheet'!H10*'Output-Calculation-sheet'!H109</f>
        <v>0</v>
      </c>
      <c r="I132" s="2">
        <f>I11/'Output-Calculation-sheet'!I10*'Output-Calculation-sheet'!I109</f>
        <v>14484989255.950834</v>
      </c>
      <c r="J132" s="2">
        <f>J11/'Output-Calculation-sheet'!J10*'Output-Calculation-sheet'!J109</f>
        <v>14098785263.928497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10497237670.226547</v>
      </c>
      <c r="M132" s="2">
        <f>M11/'Output-Calculation-sheet'!M10*'Output-Calculation-sheet'!M109</f>
        <v>0</v>
      </c>
      <c r="N132" s="2">
        <f>N11/'Output-Calculation-sheet'!N10*'Output-Calculation-sheet'!N109</f>
        <v>1380209428.5397401</v>
      </c>
      <c r="O132" s="2">
        <f>O11/'Output-Calculation-sheet'!O10*'Output-Calculation-sheet'!O109</f>
        <v>0</v>
      </c>
      <c r="P132" s="2">
        <f>P11/'Output-Calculation-sheet'!P10*'Output-Calculation-sheet'!P109</f>
        <v>7841973715.8981581</v>
      </c>
      <c r="Q132" s="2">
        <f>Q11/'Output-Calculation-sheet'!Q10*'Output-Calculation-sheet'!Q109</f>
        <v>5090558136.902338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947251788.05786026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2898661619.3156443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934590555.37319922</v>
      </c>
      <c r="AA132" s="2">
        <f t="shared" si="11"/>
        <v>241362.21415746066</v>
      </c>
    </row>
    <row r="133" spans="1:27" x14ac:dyDescent="0.25">
      <c r="A133" s="2">
        <v>2035</v>
      </c>
      <c r="B133" s="2">
        <f>B12/'Output-Calculation-sheet'!B11*'Output-Calculation-sheet'!B110</f>
        <v>603568665.22008884</v>
      </c>
      <c r="C133" s="2">
        <f>C12/'Output-Calculation-sheet'!C11*'Output-Calculation-sheet'!C110</f>
        <v>0</v>
      </c>
      <c r="D133" s="2">
        <f>D12/'Output-Calculation-sheet'!D11*'Output-Calculation-sheet'!D110</f>
        <v>51026462835.144852</v>
      </c>
      <c r="E133" s="2">
        <f>E12/'Output-Calculation-sheet'!E11*'Output-Calculation-sheet'!E110</f>
        <v>19587113613.63575</v>
      </c>
      <c r="F133" s="2">
        <f>F12/'Output-Calculation-sheet'!F11*'Output-Calculation-sheet'!F110</f>
        <v>26720220936.764374</v>
      </c>
      <c r="G133" s="2">
        <f>G12/'Output-Calculation-sheet'!G11*'Output-Calculation-sheet'!G110</f>
        <v>18215102340.084385</v>
      </c>
      <c r="H133" s="2">
        <f>H12/'Output-Calculation-sheet'!H11*'Output-Calculation-sheet'!H110</f>
        <v>0</v>
      </c>
      <c r="I133" s="2">
        <f>I12/'Output-Calculation-sheet'!I11*'Output-Calculation-sheet'!I110</f>
        <v>17017570527.966003</v>
      </c>
      <c r="J133" s="2">
        <f>J12/'Output-Calculation-sheet'!J11*'Output-Calculation-sheet'!J110</f>
        <v>16292442298.102303</v>
      </c>
      <c r="K133" s="2">
        <f>K12/'Output-Calculation-sheet'!K11*'Output-Calculation-sheet'!K110</f>
        <v>16456490487.826185</v>
      </c>
      <c r="L133" s="2">
        <f>L12/'Output-Calculation-sheet'!L11*'Output-Calculation-sheet'!L110</f>
        <v>7768477509.0128193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2834450851.7262807</v>
      </c>
      <c r="Q133" s="2">
        <f>Q12/'Output-Calculation-sheet'!Q11*'Output-Calculation-sheet'!Q110</f>
        <v>2431491270.1702056</v>
      </c>
      <c r="R133" s="2">
        <f>R12/'Output-Calculation-sheet'!R11*'Output-Calculation-sheet'!R110</f>
        <v>9776412638.3102627</v>
      </c>
      <c r="S133" s="2">
        <f>S12/'Output-Calculation-sheet'!S11*'Output-Calculation-sheet'!S110</f>
        <v>2515711.2067178367</v>
      </c>
      <c r="T133" s="2">
        <f>T12/'Output-Calculation-sheet'!T11*'Output-Calculation-sheet'!T110</f>
        <v>3946850777.7786674</v>
      </c>
      <c r="U133" s="2">
        <f>U12/'Output-Calculation-sheet'!U11*'Output-Calculation-sheet'!U110</f>
        <v>1852873327.0421078</v>
      </c>
      <c r="V133" s="2">
        <f>V12/'Output-Calculation-sheet'!V11*'Output-Calculation-sheet'!V110</f>
        <v>2662115808.0999641</v>
      </c>
      <c r="W133" s="2">
        <f>W12/'Output-Calculation-sheet'!W11*'Output-Calculation-sheet'!W110</f>
        <v>2296242848.8102045</v>
      </c>
      <c r="X133" s="2">
        <f>X12/'Output-Calculation-sheet'!X11*'Output-Calculation-sheet'!X110</f>
        <v>0</v>
      </c>
      <c r="Y133" s="2">
        <f>Y12/'Output-Calculation-sheet'!Y11*'Output-Calculation-sheet'!Y110</f>
        <v>525659484.83485067</v>
      </c>
      <c r="AA133" s="2">
        <f t="shared" si="11"/>
        <v>200016.06193173601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14553699425.663927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4575316506.802907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3145004259.7022982</v>
      </c>
      <c r="N140" s="2">
        <f>N8/'Output-Calculation-sheet'!N7*'Output-Calculation-sheet'!N115</f>
        <v>1187363764.3659823</v>
      </c>
      <c r="O140" s="2">
        <f>O8/'Output-Calculation-sheet'!O7*'Output-Calculation-sheet'!O115</f>
        <v>3492816998.3732224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341509702.8436904</v>
      </c>
      <c r="Y140" s="2">
        <f>Y8/'Output-Calculation-sheet'!Y7*'Output-Calculation-sheet'!Y115</f>
        <v>0</v>
      </c>
      <c r="AA140" s="2">
        <f t="shared" si="12"/>
        <v>27295.710657752024</v>
      </c>
    </row>
    <row r="141" spans="1:27" x14ac:dyDescent="0.25">
      <c r="A141" s="2">
        <v>2032</v>
      </c>
      <c r="B141" s="2">
        <f>B9/'Output-Calculation-sheet'!B8*'Output-Calculation-sheet'!B116</f>
        <v>6151560617.1657057</v>
      </c>
      <c r="C141" s="2">
        <f>C9/'Output-Calculation-sheet'!C8*'Output-Calculation-sheet'!C116</f>
        <v>26332316772.244061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6864720792.7581997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4713194860.3597193</v>
      </c>
      <c r="N141" s="2">
        <f>N9/'Output-Calculation-sheet'!N8*'Output-Calculation-sheet'!N116</f>
        <v>3272192468.7862191</v>
      </c>
      <c r="O141" s="2">
        <f>O9/'Output-Calculation-sheet'!O8*'Output-Calculation-sheet'!O116</f>
        <v>5111257447.3561478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1465647726.795902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513014699.17324573</v>
      </c>
      <c r="Y141" s="2">
        <f>Y9/'Output-Calculation-sheet'!Y8*'Output-Calculation-sheet'!Y116</f>
        <v>0</v>
      </c>
      <c r="AA141" s="2">
        <f t="shared" si="12"/>
        <v>54423.905384639198</v>
      </c>
    </row>
    <row r="142" spans="1:27" x14ac:dyDescent="0.25">
      <c r="A142" s="2">
        <v>2033</v>
      </c>
      <c r="B142" s="2">
        <f>B10/'Output-Calculation-sheet'!B9*'Output-Calculation-sheet'!B117</f>
        <v>33198633628.665924</v>
      </c>
      <c r="C142" s="2">
        <f>C10/'Output-Calculation-sheet'!C9*'Output-Calculation-sheet'!C117</f>
        <v>35056385336.647881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10857221476.390984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7460942639.5102358</v>
      </c>
      <c r="N142" s="2">
        <f>N10/'Output-Calculation-sheet'!N9*'Output-Calculation-sheet'!N117</f>
        <v>5628176053.4599075</v>
      </c>
      <c r="O142" s="2">
        <f>O10/'Output-Calculation-sheet'!O9*'Output-Calculation-sheet'!O117</f>
        <v>6803999484.9417324</v>
      </c>
      <c r="P142" s="2">
        <f>P10/'Output-Calculation-sheet'!P9*'Output-Calculation-sheet'!P117</f>
        <v>0</v>
      </c>
      <c r="Q142" s="2">
        <f>Q10/'Output-Calculation-sheet'!Q9*'Output-Calculation-sheet'!Q117</f>
        <v>1074901783.7293057</v>
      </c>
      <c r="R142" s="2">
        <f>R10/'Output-Calculation-sheet'!R9*'Output-Calculation-sheet'!R117</f>
        <v>0</v>
      </c>
      <c r="S142" s="2">
        <f>S10/'Output-Calculation-sheet'!S9*'Output-Calculation-sheet'!S117</f>
        <v>2736676702.615571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817928119.24258924</v>
      </c>
      <c r="Y142" s="2">
        <f>Y10/'Output-Calculation-sheet'!Y9*'Output-Calculation-sheet'!Y117</f>
        <v>0</v>
      </c>
      <c r="AA142" s="2">
        <f t="shared" si="12"/>
        <v>103634.86522520412</v>
      </c>
    </row>
    <row r="143" spans="1:27" x14ac:dyDescent="0.25">
      <c r="A143" s="2">
        <v>2034</v>
      </c>
      <c r="B143" s="2">
        <f>B11/'Output-Calculation-sheet'!B10*'Output-Calculation-sheet'!B118</f>
        <v>63832996472.86248</v>
      </c>
      <c r="C143" s="2">
        <f>C11/'Output-Calculation-sheet'!C10*'Output-Calculation-sheet'!C118</f>
        <v>48976238261.606728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13576456908.751465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9324461532.9338665</v>
      </c>
      <c r="N143" s="2">
        <f>N11/'Output-Calculation-sheet'!N10*'Output-Calculation-sheet'!N118</f>
        <v>8204778135.757514</v>
      </c>
      <c r="O143" s="2">
        <f>O11/'Output-Calculation-sheet'!O10*'Output-Calculation-sheet'!O118</f>
        <v>9514722495.4577255</v>
      </c>
      <c r="P143" s="2">
        <f>P11/'Output-Calculation-sheet'!P10*'Output-Calculation-sheet'!P118</f>
        <v>1717855053.8665061</v>
      </c>
      <c r="Q143" s="2">
        <f>Q11/'Output-Calculation-sheet'!Q10*'Output-Calculation-sheet'!Q118</f>
        <v>4031989358.5707278</v>
      </c>
      <c r="R143" s="2">
        <f>R11/'Output-Calculation-sheet'!R10*'Output-Calculation-sheet'!R118</f>
        <v>0</v>
      </c>
      <c r="S143" s="2">
        <f>S11/'Output-Calculation-sheet'!S10*'Output-Calculation-sheet'!S118</f>
        <v>4724302615.5971622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1023684005.6656677</v>
      </c>
      <c r="Y143" s="2">
        <f>Y11/'Output-Calculation-sheet'!Y10*'Output-Calculation-sheet'!Y118</f>
        <v>182687686.9478488</v>
      </c>
      <c r="AA143" s="2">
        <f t="shared" si="12"/>
        <v>165110.17252801772</v>
      </c>
    </row>
    <row r="144" spans="1:27" x14ac:dyDescent="0.25">
      <c r="A144" s="2">
        <v>2035</v>
      </c>
      <c r="B144" s="2">
        <f>B12/'Output-Calculation-sheet'!B11*'Output-Calculation-sheet'!B119</f>
        <v>123680504688.76741</v>
      </c>
      <c r="C144" s="2">
        <f>C12/'Output-Calculation-sheet'!C11*'Output-Calculation-sheet'!C119</f>
        <v>59418863385.036934</v>
      </c>
      <c r="D144" s="2">
        <f>D12/'Output-Calculation-sheet'!D11*'Output-Calculation-sheet'!D119</f>
        <v>0</v>
      </c>
      <c r="E144" s="2">
        <f>E12/'Output-Calculation-sheet'!E11*'Output-Calculation-sheet'!E119</f>
        <v>20001185163.598667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17951477388.330658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4121236678.6324463</v>
      </c>
      <c r="M144" s="2">
        <f>M12/'Output-Calculation-sheet'!M11*'Output-Calculation-sheet'!M119</f>
        <v>12234485690.964415</v>
      </c>
      <c r="N144" s="2">
        <f>N12/'Output-Calculation-sheet'!N11*'Output-Calculation-sheet'!N119</f>
        <v>12087731643.331375</v>
      </c>
      <c r="O144" s="2">
        <f>O12/'Output-Calculation-sheet'!O11*'Output-Calculation-sheet'!O119</f>
        <v>11551097137.38603</v>
      </c>
      <c r="P144" s="2">
        <f>P12/'Output-Calculation-sheet'!P11*'Output-Calculation-sheet'!P119</f>
        <v>8628338919.6178074</v>
      </c>
      <c r="Q144" s="2">
        <f>Q12/'Output-Calculation-sheet'!Q11*'Output-Calculation-sheet'!Q119</f>
        <v>8151202951.7231455</v>
      </c>
      <c r="R144" s="2">
        <f>R12/'Output-Calculation-sheet'!R11*'Output-Calculation-sheet'!R119</f>
        <v>917622558.38452804</v>
      </c>
      <c r="S144" s="2">
        <f>S12/'Output-Calculation-sheet'!S11*'Output-Calculation-sheet'!S119</f>
        <v>6966370671.1722698</v>
      </c>
      <c r="T144" s="2">
        <f>T12/'Output-Calculation-sheet'!T11*'Output-Calculation-sheet'!T119</f>
        <v>0</v>
      </c>
      <c r="U144" s="2">
        <f>U12/'Output-Calculation-sheet'!U11*'Output-Calculation-sheet'!U119</f>
        <v>1515448725.6430109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1373018809.4934926</v>
      </c>
      <c r="Y144" s="2">
        <f>Y12/'Output-Calculation-sheet'!Y11*'Output-Calculation-sheet'!Y119</f>
        <v>734781678.34443748</v>
      </c>
      <c r="AA144" s="2">
        <f t="shared" si="12"/>
        <v>289333.36609042657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535591916.24410444</v>
      </c>
      <c r="C155" s="2">
        <f>C12/'Output-Calculation-sheet'!C11*'Output-Calculation-sheet'!C128</f>
        <v>51168095.799491279</v>
      </c>
      <c r="D155" s="2">
        <f>D12/'Output-Calculation-sheet'!D11*'Output-Calculation-sheet'!D128</f>
        <v>3833077911.7796111</v>
      </c>
      <c r="E155" s="2">
        <f>E12/'Output-Calculation-sheet'!E11*'Output-Calculation-sheet'!E128</f>
        <v>571465985.62753391</v>
      </c>
      <c r="F155" s="2">
        <f>F12/'Output-Calculation-sheet'!F11*'Output-Calculation-sheet'!F128</f>
        <v>1183839165.7415171</v>
      </c>
      <c r="G155" s="2">
        <f>G12/'Output-Calculation-sheet'!G11*'Output-Calculation-sheet'!G128</f>
        <v>1489422362.5618689</v>
      </c>
      <c r="H155" s="2">
        <f>H12/'Output-Calculation-sheet'!H11*'Output-Calculation-sheet'!H128</f>
        <v>112872125.15305063</v>
      </c>
      <c r="I155" s="2">
        <f>I12/'Output-Calculation-sheet'!I11*'Output-Calculation-sheet'!I128</f>
        <v>895510865.66455805</v>
      </c>
      <c r="J155" s="2">
        <f>J12/'Output-Calculation-sheet'!J11*'Output-Calculation-sheet'!J128</f>
        <v>1007627009.485872</v>
      </c>
      <c r="K155" s="2">
        <f>K12/'Output-Calculation-sheet'!K11*'Output-Calculation-sheet'!K128</f>
        <v>755338101.32918382</v>
      </c>
      <c r="L155" s="2">
        <f>L12/'Output-Calculation-sheet'!L11*'Output-Calculation-sheet'!L128</f>
        <v>239677659.41152173</v>
      </c>
      <c r="M155" s="2">
        <f>M12/'Output-Calculation-sheet'!M11*'Output-Calculation-sheet'!M128</f>
        <v>89734132.21943523</v>
      </c>
      <c r="N155" s="2">
        <f>N12/'Output-Calculation-sheet'!N11*'Output-Calculation-sheet'!N128</f>
        <v>82016531.970929787</v>
      </c>
      <c r="O155" s="2">
        <f>O12/'Output-Calculation-sheet'!O11*'Output-Calculation-sheet'!O128</f>
        <v>14488787.523333663</v>
      </c>
      <c r="P155" s="2">
        <f>P12/'Output-Calculation-sheet'!P11*'Output-Calculation-sheet'!P128</f>
        <v>61066092.935089752</v>
      </c>
      <c r="Q155" s="2">
        <f>Q12/'Output-Calculation-sheet'!Q11*'Output-Calculation-sheet'!Q128</f>
        <v>206582908.67237559</v>
      </c>
      <c r="R155" s="2">
        <f>R12/'Output-Calculation-sheet'!R11*'Output-Calculation-sheet'!R128</f>
        <v>418333444.8401463</v>
      </c>
      <c r="S155" s="2">
        <f>S12/'Output-Calculation-sheet'!S11*'Output-Calculation-sheet'!S128</f>
        <v>50291690.597794175</v>
      </c>
      <c r="T155" s="2">
        <f>T12/'Output-Calculation-sheet'!T11*'Output-Calculation-sheet'!T128</f>
        <v>130601703.53113553</v>
      </c>
      <c r="U155" s="2">
        <f>U12/'Output-Calculation-sheet'!U11*'Output-Calculation-sheet'!U128</f>
        <v>71886144.993225336</v>
      </c>
      <c r="V155" s="2">
        <f>V12/'Output-Calculation-sheet'!V11*'Output-Calculation-sheet'!V128</f>
        <v>53552275.522686362</v>
      </c>
      <c r="W155" s="2">
        <f>W12/'Output-Calculation-sheet'!W11*'Output-Calculation-sheet'!W128</f>
        <v>86560472.345235273</v>
      </c>
      <c r="X155" s="2">
        <f>X12/'Output-Calculation-sheet'!X11*'Output-Calculation-sheet'!X128</f>
        <v>2703472.2575481096</v>
      </c>
      <c r="Y155" s="2">
        <f>Y12/'Output-Calculation-sheet'!Y11*'Output-Calculation-sheet'!Y128</f>
        <v>18131721.73792091</v>
      </c>
      <c r="AA155" s="2">
        <f t="shared" si="13"/>
        <v>11961.540577945167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4881.608264343773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1478.6978432080109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1027.1622304222606</v>
      </c>
      <c r="N19" s="2">
        <f>N8/'Output-Calculation-sheet'!N7*'Output-Calculation-sheet'!N25</f>
        <v>854.47759510222943</v>
      </c>
      <c r="O19" s="2">
        <f>O8/'Output-Calculation-sheet'!O7*'Output-Calculation-sheet'!O25</f>
        <v>536.27705241256865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111.16752612949178</v>
      </c>
      <c r="Y19" s="2">
        <f>Y8/'Output-Calculation-sheet'!Y7*'Output-Calculation-sheet'!Y25</f>
        <v>0</v>
      </c>
      <c r="AA19" s="2">
        <f t="shared" si="0"/>
        <v>10.322105606140521</v>
      </c>
    </row>
    <row r="20" spans="1:27" x14ac:dyDescent="0.25">
      <c r="A20" s="2">
        <v>2032</v>
      </c>
      <c r="B20" s="2">
        <f>B9/'Output-Calculation-sheet'!B8*'Output-Calculation-sheet'!B26</f>
        <v>4796.0779082769204</v>
      </c>
      <c r="C20" s="2">
        <f>C9/'Output-Calculation-sheet'!C8*'Output-Calculation-sheet'!C26</f>
        <v>2630.052035176408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1578.8332230573078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1103.2995524798803</v>
      </c>
      <c r="N20" s="2">
        <f>N9/'Output-Calculation-sheet'!N8*'Output-Calculation-sheet'!N26</f>
        <v>764.61665461607947</v>
      </c>
      <c r="O20" s="2">
        <f>O9/'Output-Calculation-sheet'!O8*'Output-Calculation-sheet'!O26</f>
        <v>513.86342726874045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362.69836546599396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120.05510492308157</v>
      </c>
      <c r="Y20" s="2">
        <f>Y9/'Output-Calculation-sheet'!Y8*'Output-Calculation-sheet'!Y26</f>
        <v>0</v>
      </c>
      <c r="AA20" s="2">
        <f t="shared" si="0"/>
        <v>11.869496271264413</v>
      </c>
    </row>
    <row r="21" spans="1:27" x14ac:dyDescent="0.25">
      <c r="A21" s="2">
        <v>2033</v>
      </c>
      <c r="B21" s="2">
        <f>B10/'Output-Calculation-sheet'!B9*'Output-Calculation-sheet'!B27</f>
        <v>4052.9865366598092</v>
      </c>
      <c r="C21" s="2">
        <f>C10/'Output-Calculation-sheet'!C9*'Output-Calculation-sheet'!C27</f>
        <v>2491.1370486650203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816.78602518787761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578.12788656197449</v>
      </c>
      <c r="N21" s="2">
        <f>N10/'Output-Calculation-sheet'!N9*'Output-Calculation-sheet'!N27</f>
        <v>585.46854506772615</v>
      </c>
      <c r="O21" s="2">
        <f>O10/'Output-Calculation-sheet'!O9*'Output-Calculation-sheet'!O27</f>
        <v>487.71122595375959</v>
      </c>
      <c r="P21" s="2">
        <f>P10/'Output-Calculation-sheet'!P9*'Output-Calculation-sheet'!P27</f>
        <v>0</v>
      </c>
      <c r="Q21" s="2">
        <f>Q10/'Output-Calculation-sheet'!Q9*'Output-Calculation-sheet'!Q27</f>
        <v>6.912152600052007</v>
      </c>
      <c r="R21" s="2">
        <f>R10/'Output-Calculation-sheet'!R9*'Output-Calculation-sheet'!R27</f>
        <v>0</v>
      </c>
      <c r="S21" s="2">
        <f>S10/'Output-Calculation-sheet'!S9*'Output-Calculation-sheet'!S27</f>
        <v>278.77844455407143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57.728554108329078</v>
      </c>
      <c r="Y21" s="2">
        <f>Y10/'Output-Calculation-sheet'!Y9*'Output-Calculation-sheet'!Y27</f>
        <v>0</v>
      </c>
      <c r="AA21" s="2">
        <f t="shared" si="0"/>
        <v>9.3556364193586177</v>
      </c>
    </row>
    <row r="22" spans="1:27" x14ac:dyDescent="0.25">
      <c r="A22" s="2">
        <v>2034</v>
      </c>
      <c r="B22" s="2">
        <f>B11/'Output-Calculation-sheet'!B10*'Output-Calculation-sheet'!B28</f>
        <v>3009.2180033907416</v>
      </c>
      <c r="C22" s="2">
        <f>C11/'Output-Calculation-sheet'!C10*'Output-Calculation-sheet'!C28</f>
        <v>303.76864747178263</v>
      </c>
      <c r="D22" s="2">
        <f>D11/'Output-Calculation-sheet'!D10*'Output-Calculation-sheet'!D28</f>
        <v>0</v>
      </c>
      <c r="E22" s="2">
        <f>E11/'Output-Calculation-sheet'!E10*'Output-Calculation-sheet'!E28</f>
        <v>1008.6760519296655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799.84664805574607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611.74395893273265</v>
      </c>
      <c r="M22" s="2">
        <f>M11/'Output-Calculation-sheet'!M10*'Output-Calculation-sheet'!M28</f>
        <v>569.2478106597863</v>
      </c>
      <c r="N22" s="2">
        <f>N11/'Output-Calculation-sheet'!N10*'Output-Calculation-sheet'!N28</f>
        <v>380.54540908828346</v>
      </c>
      <c r="O22" s="2">
        <f>O11/'Output-Calculation-sheet'!O10*'Output-Calculation-sheet'!O28</f>
        <v>59.584927162094608</v>
      </c>
      <c r="P22" s="2">
        <f>P11/'Output-Calculation-sheet'!P10*'Output-Calculation-sheet'!P28</f>
        <v>0</v>
      </c>
      <c r="Q22" s="2">
        <f>Q11/'Output-Calculation-sheet'!Q10*'Output-Calculation-sheet'!Q28</f>
        <v>180.40176430197999</v>
      </c>
      <c r="R22" s="2">
        <f>R11/'Output-Calculation-sheet'!R10*'Output-Calculation-sheet'!R28</f>
        <v>0</v>
      </c>
      <c r="S22" s="2">
        <f>S11/'Output-Calculation-sheet'!S10*'Output-Calculation-sheet'!S28</f>
        <v>142.48827401522388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55.932560817240443</v>
      </c>
      <c r="Y22" s="2">
        <f>Y11/'Output-Calculation-sheet'!Y10*'Output-Calculation-sheet'!Y28</f>
        <v>10.63853933236982</v>
      </c>
      <c r="AA22" s="2">
        <f t="shared" si="0"/>
        <v>7.1320925951576468</v>
      </c>
    </row>
    <row r="23" spans="1:27" x14ac:dyDescent="0.25">
      <c r="A23" s="2">
        <v>2035</v>
      </c>
      <c r="B23" s="2">
        <f>B12/'Output-Calculation-sheet'!B11*'Output-Calculation-sheet'!B29</f>
        <v>814.80240254982436</v>
      </c>
      <c r="C23" s="2">
        <f>C12/'Output-Calculation-sheet'!C11*'Output-Calculation-sheet'!C29</f>
        <v>140.13022810893054</v>
      </c>
      <c r="D23" s="2">
        <f>D12/'Output-Calculation-sheet'!D11*'Output-Calculation-sheet'!D29</f>
        <v>0</v>
      </c>
      <c r="E23" s="2">
        <f>E12/'Output-Calculation-sheet'!E11*'Output-Calculation-sheet'!E29</f>
        <v>1140.9058560374806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218.55250459355094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690.45169658615862</v>
      </c>
      <c r="M23" s="2">
        <f>M12/'Output-Calculation-sheet'!M11*'Output-Calculation-sheet'!M29</f>
        <v>197.14170128673416</v>
      </c>
      <c r="N23" s="2">
        <f>N12/'Output-Calculation-sheet'!N11*'Output-Calculation-sheet'!N29</f>
        <v>165.28351307252302</v>
      </c>
      <c r="O23" s="2">
        <f>O12/'Output-Calculation-sheet'!O11*'Output-Calculation-sheet'!O29</f>
        <v>23.883587705801503</v>
      </c>
      <c r="P23" s="2">
        <f>P12/'Output-Calculation-sheet'!P11*'Output-Calculation-sheet'!P29</f>
        <v>10.583954010848538</v>
      </c>
      <c r="Q23" s="2">
        <f>Q12/'Output-Calculation-sheet'!Q11*'Output-Calculation-sheet'!Q29</f>
        <v>213.09581722218329</v>
      </c>
      <c r="R23" s="2">
        <f>R12/'Output-Calculation-sheet'!R11*'Output-Calculation-sheet'!R29</f>
        <v>0</v>
      </c>
      <c r="S23" s="2">
        <f>S12/'Output-Calculation-sheet'!S11*'Output-Calculation-sheet'!S29</f>
        <v>80.92800292713352</v>
      </c>
      <c r="T23" s="2">
        <f>T12/'Output-Calculation-sheet'!T11*'Output-Calculation-sheet'!T29</f>
        <v>0</v>
      </c>
      <c r="U23" s="2">
        <f>U12/'Output-Calculation-sheet'!U11*'Output-Calculation-sheet'!U29</f>
        <v>58.023273484614599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6.9920407505189255</v>
      </c>
      <c r="Y23" s="2">
        <f>Y12/'Output-Calculation-sheet'!Y11*'Output-Calculation-sheet'!Y29</f>
        <v>37.471217163658707</v>
      </c>
      <c r="AA23" s="2">
        <f t="shared" si="0"/>
        <v>3.7982457954999607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974.08638360751979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38.191447030866669</v>
      </c>
    </row>
    <row r="31" spans="1:27" x14ac:dyDescent="0.25">
      <c r="A31" s="2">
        <v>2032</v>
      </c>
      <c r="B31" s="2">
        <f>B9/'Output-Calculation-sheet'!B8*'Output-Calculation-sheet'!B17</f>
        <v>20164.697520459653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788.46092500832822</v>
      </c>
      <c r="O31" s="2">
        <f>O9/'Output-Calculation-sheet'!O8*'Output-Calculation-sheet'!O17</f>
        <v>0</v>
      </c>
      <c r="P31" s="2">
        <f>P9/'Output-Calculation-sheet'!P8*'Output-Calculation-sheet'!P17</f>
        <v>1971.1576161415405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652.58370122666634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46.200242360140614</v>
      </c>
    </row>
    <row r="32" spans="1:27" x14ac:dyDescent="0.25">
      <c r="A32" s="2">
        <v>2033</v>
      </c>
      <c r="B32" s="2">
        <f>B10/'Output-Calculation-sheet'!B9*'Output-Calculation-sheet'!B18</f>
        <v>14660.723848860351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2295.3399009654504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593.39560405945178</v>
      </c>
      <c r="O32" s="2">
        <f>O10/'Output-Calculation-sheet'!O9*'Output-Calculation-sheet'!O18</f>
        <v>0</v>
      </c>
      <c r="P32" s="2">
        <f>P10/'Output-Calculation-sheet'!P9*'Output-Calculation-sheet'!P18</f>
        <v>2362.3634877743866</v>
      </c>
      <c r="Q32" s="2">
        <f>Q10/'Output-Calculation-sheet'!Q9*'Output-Calculation-sheet'!Q18</f>
        <v>2187.2219647487486</v>
      </c>
      <c r="R32" s="2">
        <f>R10/'Output-Calculation-sheet'!R9*'Output-Calculation-sheet'!R18</f>
        <v>1696.3513708228465</v>
      </c>
      <c r="S32" s="2">
        <f>S10/'Output-Calculation-sheet'!S9*'Output-Calculation-sheet'!S18</f>
        <v>539.81460308312876</v>
      </c>
      <c r="T32" s="2">
        <f>T10/'Output-Calculation-sheet'!T9*'Output-Calculation-sheet'!T18</f>
        <v>495.28325096526731</v>
      </c>
      <c r="U32" s="2">
        <f>U10/'Output-Calculation-sheet'!U9*'Output-Calculation-sheet'!U18</f>
        <v>547.53059240438643</v>
      </c>
      <c r="V32" s="2">
        <f>V10/'Output-Calculation-sheet'!V9*'Output-Calculation-sheet'!V18</f>
        <v>404.1514270775811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233.97184923118996</v>
      </c>
      <c r="AA32" s="2">
        <f t="shared" si="1"/>
        <v>46.607797706703082</v>
      </c>
    </row>
    <row r="33" spans="1:27" x14ac:dyDescent="0.25">
      <c r="A33" s="2">
        <v>2034</v>
      </c>
      <c r="B33" s="2">
        <f>B11/'Output-Calculation-sheet'!B10*'Output-Calculation-sheet'!B19</f>
        <v>9104.852083220132</v>
      </c>
      <c r="C33" s="2">
        <f>C11/'Output-Calculation-sheet'!C10*'Output-Calculation-sheet'!C19</f>
        <v>0</v>
      </c>
      <c r="D33" s="2">
        <f>D11/'Output-Calculation-sheet'!D10*'Output-Calculation-sheet'!D19</f>
        <v>6054.5561271823208</v>
      </c>
      <c r="E33" s="2">
        <f>E11/'Output-Calculation-sheet'!E10*'Output-Calculation-sheet'!E19</f>
        <v>7505.2693363467279</v>
      </c>
      <c r="F33" s="2">
        <f>F11/'Output-Calculation-sheet'!F10*'Output-Calculation-sheet'!F19</f>
        <v>3436.5327517861028</v>
      </c>
      <c r="G33" s="2">
        <f>G11/'Output-Calculation-sheet'!G10*'Output-Calculation-sheet'!G19</f>
        <v>2060.7586464791502</v>
      </c>
      <c r="H33" s="2">
        <f>H11/'Output-Calculation-sheet'!H10*'Output-Calculation-sheet'!H19</f>
        <v>0</v>
      </c>
      <c r="I33" s="2">
        <f>I11/'Output-Calculation-sheet'!I10*'Output-Calculation-sheet'!I19</f>
        <v>2248.8695625625742</v>
      </c>
      <c r="J33" s="2">
        <f>J11/'Output-Calculation-sheet'!J10*'Output-Calculation-sheet'!J19</f>
        <v>1901.3484716258884</v>
      </c>
      <c r="K33" s="2">
        <f>K11/'Output-Calculation-sheet'!K10*'Output-Calculation-sheet'!K19</f>
        <v>2637.5792820940364</v>
      </c>
      <c r="L33" s="2">
        <f>L11/'Output-Calculation-sheet'!L10*'Output-Calculation-sheet'!L19</f>
        <v>2145.1500655121908</v>
      </c>
      <c r="M33" s="2">
        <f>M11/'Output-Calculation-sheet'!M10*'Output-Calculation-sheet'!M19</f>
        <v>0</v>
      </c>
      <c r="N33" s="2">
        <f>N11/'Output-Calculation-sheet'!N10*'Output-Calculation-sheet'!N19</f>
        <v>407.19256806387983</v>
      </c>
      <c r="O33" s="2">
        <f>O11/'Output-Calculation-sheet'!O10*'Output-Calculation-sheet'!O19</f>
        <v>0</v>
      </c>
      <c r="P33" s="2">
        <f>P11/'Output-Calculation-sheet'!P10*'Output-Calculation-sheet'!P19</f>
        <v>2015.6695585909292</v>
      </c>
      <c r="Q33" s="2">
        <f>Q11/'Output-Calculation-sheet'!Q10*'Output-Calculation-sheet'!Q19</f>
        <v>1303.0106439610665</v>
      </c>
      <c r="R33" s="2">
        <f>R11/'Output-Calculation-sheet'!R10*'Output-Calculation-sheet'!R19</f>
        <v>1905.8415189391037</v>
      </c>
      <c r="S33" s="2">
        <f>S11/'Output-Calculation-sheet'!S10*'Output-Calculation-sheet'!S19</f>
        <v>258.85193093804855</v>
      </c>
      <c r="T33" s="2">
        <f>T11/'Output-Calculation-sheet'!T10*'Output-Calculation-sheet'!T19</f>
        <v>558.9731319165943</v>
      </c>
      <c r="U33" s="2">
        <f>U11/'Output-Calculation-sheet'!U10*'Output-Calculation-sheet'!U19</f>
        <v>642.98594306936047</v>
      </c>
      <c r="V33" s="2">
        <f>V11/'Output-Calculation-sheet'!V10*'Output-Calculation-sheet'!V19</f>
        <v>438.46758440452351</v>
      </c>
      <c r="W33" s="2">
        <f>W11/'Output-Calculation-sheet'!W10*'Output-Calculation-sheet'!W19</f>
        <v>272.97479995642192</v>
      </c>
      <c r="X33" s="2">
        <f>X11/'Output-Calculation-sheet'!X10*'Output-Calculation-sheet'!X19</f>
        <v>0</v>
      </c>
      <c r="Y33" s="2">
        <f>Y11/'Output-Calculation-sheet'!Y10*'Output-Calculation-sheet'!Y19</f>
        <v>208.42882025765644</v>
      </c>
      <c r="AA33" s="2">
        <f t="shared" si="1"/>
        <v>45.107312826906714</v>
      </c>
    </row>
    <row r="34" spans="1:27" x14ac:dyDescent="0.25">
      <c r="A34" s="2">
        <v>2035</v>
      </c>
      <c r="B34" s="2">
        <f>B12/'Output-Calculation-sheet'!B11*'Output-Calculation-sheet'!B20</f>
        <v>116.15113991749678</v>
      </c>
      <c r="C34" s="2">
        <f>C12/'Output-Calculation-sheet'!C11*'Output-Calculation-sheet'!C20</f>
        <v>0</v>
      </c>
      <c r="D34" s="2">
        <f>D12/'Output-Calculation-sheet'!D11*'Output-Calculation-sheet'!D20</f>
        <v>5754.7535783268186</v>
      </c>
      <c r="E34" s="2">
        <f>E12/'Output-Calculation-sheet'!E11*'Output-Calculation-sheet'!E20</f>
        <v>2319.1088445265909</v>
      </c>
      <c r="F34" s="2">
        <f>F12/'Output-Calculation-sheet'!F11*'Output-Calculation-sheet'!F20</f>
        <v>3801.8806297712263</v>
      </c>
      <c r="G34" s="2">
        <f>G12/'Output-Calculation-sheet'!G11*'Output-Calculation-sheet'!G20</f>
        <v>1902.3257358117851</v>
      </c>
      <c r="H34" s="2">
        <f>H12/'Output-Calculation-sheet'!H11*'Output-Calculation-sheet'!H20</f>
        <v>0</v>
      </c>
      <c r="I34" s="2">
        <f>I12/'Output-Calculation-sheet'!I11*'Output-Calculation-sheet'!I20</f>
        <v>2306.043967057944</v>
      </c>
      <c r="J34" s="2">
        <f>J12/'Output-Calculation-sheet'!J11*'Output-Calculation-sheet'!J20</f>
        <v>1932.4333772770246</v>
      </c>
      <c r="K34" s="2">
        <f>K12/'Output-Calculation-sheet'!K11*'Output-Calculation-sheet'!K20</f>
        <v>2726.3829964656879</v>
      </c>
      <c r="L34" s="2">
        <f>L12/'Output-Calculation-sheet'!L11*'Output-Calculation-sheet'!L20</f>
        <v>1041.4703792791615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439.17952268974818</v>
      </c>
      <c r="Q34" s="2">
        <f>Q12/'Output-Calculation-sheet'!Q11*'Output-Calculation-sheet'!Q20</f>
        <v>426.91334701447278</v>
      </c>
      <c r="R34" s="2">
        <f>R12/'Output-Calculation-sheet'!R11*'Output-Calculation-sheet'!R20</f>
        <v>1719.555140193879</v>
      </c>
      <c r="S34" s="2">
        <f>S12/'Output-Calculation-sheet'!S11*'Output-Calculation-sheet'!S20</f>
        <v>0.53731942755198114</v>
      </c>
      <c r="T34" s="2">
        <f>T12/'Output-Calculation-sheet'!T11*'Output-Calculation-sheet'!T20</f>
        <v>565.17216163618457</v>
      </c>
      <c r="U34" s="2">
        <f>U12/'Output-Calculation-sheet'!U11*'Output-Calculation-sheet'!U20</f>
        <v>237.9619035432591</v>
      </c>
      <c r="V34" s="2">
        <f>V12/'Output-Calculation-sheet'!V11*'Output-Calculation-sheet'!V20</f>
        <v>510.87641818179776</v>
      </c>
      <c r="W34" s="2">
        <f>W12/'Output-Calculation-sheet'!W11*'Output-Calculation-sheet'!W20</f>
        <v>302.55905794619741</v>
      </c>
      <c r="X34" s="2">
        <f>X12/'Output-Calculation-sheet'!X11*'Output-Calculation-sheet'!X20</f>
        <v>0</v>
      </c>
      <c r="Y34" s="2">
        <f>Y12/'Output-Calculation-sheet'!Y11*'Output-Calculation-sheet'!Y20</f>
        <v>64.344906245124264</v>
      </c>
      <c r="AA34" s="2">
        <f t="shared" si="1"/>
        <v>26.167650425311948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4.977317061148083E-2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6.7987308121752041E-3</v>
      </c>
      <c r="Q45" s="2">
        <f>Q12/'Output-Calculation-sheet'!Q11*'Output-Calculation-sheet'!Q38*0.0114</f>
        <v>6.4479022721087853E-3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6.1718055559233757E-3</v>
      </c>
      <c r="V45" s="2">
        <f>V12/'Output-Calculation-sheet'!V11*'Output-Calculation-sheet'!V38*0.0114</f>
        <v>3.1726674973899236E-3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2.3780918101059369E-3</v>
      </c>
      <c r="AA45" s="2">
        <f t="shared" si="2"/>
        <v>0.56328312226888566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0.1285692688107373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150.39832146955382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0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14.033274146285919</v>
      </c>
      <c r="AA54" s="2">
        <f t="shared" si="3"/>
        <v>3.7047289841057531</v>
      </c>
    </row>
    <row r="55" spans="1:27" x14ac:dyDescent="0.25">
      <c r="A55" s="2">
        <v>2034</v>
      </c>
      <c r="B55" s="2">
        <f>B11/'Output-Calculation-sheet'!B10*'Output-Calculation-sheet'!B46</f>
        <v>1189.6148507485091</v>
      </c>
      <c r="C55" s="2">
        <f>C11/'Output-Calculation-sheet'!C10*'Output-Calculation-sheet'!C46</f>
        <v>0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405.55004117051305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300.58521968779769</v>
      </c>
      <c r="N55" s="2">
        <f>N11/'Output-Calculation-sheet'!N10*'Output-Calculation-sheet'!N46</f>
        <v>102.65483975306952</v>
      </c>
      <c r="O55" s="2">
        <f>O11/'Output-Calculation-sheet'!O10*'Output-Calculation-sheet'!O46</f>
        <v>0</v>
      </c>
      <c r="P55" s="2">
        <f>P11/'Output-Calculation-sheet'!P10*'Output-Calculation-sheet'!P46</f>
        <v>2232.6050757126113</v>
      </c>
      <c r="Q55" s="2">
        <f>Q11/'Output-Calculation-sheet'!Q10*'Output-Calculation-sheet'!Q46</f>
        <v>431.16925201191771</v>
      </c>
      <c r="R55" s="2">
        <f>R11/'Output-Calculation-sheet'!R10*'Output-Calculation-sheet'!R46</f>
        <v>2765.0080126309513</v>
      </c>
      <c r="S55" s="2">
        <f>S11/'Output-Calculation-sheet'!S10*'Output-Calculation-sheet'!S46</f>
        <v>0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1050.6059281262476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28.688971340638595</v>
      </c>
      <c r="Y55" s="2">
        <f>Y11/'Output-Calculation-sheet'!Y10*'Output-Calculation-sheet'!Y46</f>
        <v>148.97787130676008</v>
      </c>
      <c r="AA55" s="2">
        <f t="shared" si="3"/>
        <v>29.767921678155911</v>
      </c>
    </row>
    <row r="56" spans="1:27" x14ac:dyDescent="0.25">
      <c r="A56" s="2">
        <v>2035</v>
      </c>
      <c r="B56" s="2">
        <f>B12/'Output-Calculation-sheet'!B11*'Output-Calculation-sheet'!B47</f>
        <v>320.13757767787956</v>
      </c>
      <c r="C56" s="2">
        <f>C12/'Output-Calculation-sheet'!C11*'Output-Calculation-sheet'!C47</f>
        <v>241.87116159541011</v>
      </c>
      <c r="D56" s="2">
        <f>D12/'Output-Calculation-sheet'!D11*'Output-Calculation-sheet'!D47</f>
        <v>11426.991095951144</v>
      </c>
      <c r="E56" s="2">
        <f>E12/'Output-Calculation-sheet'!E11*'Output-Calculation-sheet'!E47</f>
        <v>5243.6471845954802</v>
      </c>
      <c r="F56" s="2">
        <f>F12/'Output-Calculation-sheet'!F11*'Output-Calculation-sheet'!F47</f>
        <v>2688.2910664395131</v>
      </c>
      <c r="G56" s="2">
        <f>G12/'Output-Calculation-sheet'!G11*'Output-Calculation-sheet'!G47</f>
        <v>4316.8857884559147</v>
      </c>
      <c r="H56" s="2">
        <f>H12/'Output-Calculation-sheet'!H11*'Output-Calculation-sheet'!H47</f>
        <v>93.546584948999126</v>
      </c>
      <c r="I56" s="2">
        <f>I12/'Output-Calculation-sheet'!I11*'Output-Calculation-sheet'!I47</f>
        <v>3932.4034212172019</v>
      </c>
      <c r="J56" s="2">
        <f>J12/'Output-Calculation-sheet'!J11*'Output-Calculation-sheet'!J47</f>
        <v>3392.6960834925885</v>
      </c>
      <c r="K56" s="2">
        <f>K12/'Output-Calculation-sheet'!K11*'Output-Calculation-sheet'!K47</f>
        <v>4575.7177167799628</v>
      </c>
      <c r="L56" s="2">
        <f>L12/'Output-Calculation-sheet'!L11*'Output-Calculation-sheet'!L47</f>
        <v>2039.8035879446747</v>
      </c>
      <c r="M56" s="2">
        <f>M12/'Output-Calculation-sheet'!M11*'Output-Calculation-sheet'!M47</f>
        <v>86.701309946121867</v>
      </c>
      <c r="N56" s="2">
        <f>N12/'Output-Calculation-sheet'!N11*'Output-Calculation-sheet'!N47</f>
        <v>58.745551118799511</v>
      </c>
      <c r="O56" s="2">
        <f>O12/'Output-Calculation-sheet'!O11*'Output-Calculation-sheet'!O47</f>
        <v>43.976741727375007</v>
      </c>
      <c r="P56" s="2">
        <f>P12/'Output-Calculation-sheet'!P11*'Output-Calculation-sheet'!P47</f>
        <v>459.21251976972866</v>
      </c>
      <c r="Q56" s="2">
        <f>Q12/'Output-Calculation-sheet'!Q11*'Output-Calculation-sheet'!Q47</f>
        <v>437.21302248597289</v>
      </c>
      <c r="R56" s="2">
        <f>R12/'Output-Calculation-sheet'!R11*'Output-Calculation-sheet'!R47</f>
        <v>3225.761310368684</v>
      </c>
      <c r="S56" s="2">
        <f>S12/'Output-Calculation-sheet'!S11*'Output-Calculation-sheet'!S47</f>
        <v>30.714540280175228</v>
      </c>
      <c r="T56" s="2">
        <f>T12/'Output-Calculation-sheet'!T11*'Output-Calculation-sheet'!T47</f>
        <v>1412.3369154659783</v>
      </c>
      <c r="U56" s="2">
        <f>U12/'Output-Calculation-sheet'!U11*'Output-Calculation-sheet'!U47</f>
        <v>568.09485058616337</v>
      </c>
      <c r="V56" s="2">
        <f>V12/'Output-Calculation-sheet'!V11*'Output-Calculation-sheet'!V47</f>
        <v>766.58882645267943</v>
      </c>
      <c r="W56" s="2">
        <f>W12/'Output-Calculation-sheet'!W11*'Output-Calculation-sheet'!W47</f>
        <v>410.53051002061557</v>
      </c>
      <c r="X56" s="2">
        <f>X12/'Output-Calculation-sheet'!X11*'Output-Calculation-sheet'!X47</f>
        <v>6.6290976539643749</v>
      </c>
      <c r="Y56" s="2">
        <f>Y12/'Output-Calculation-sheet'!Y11*'Output-Calculation-sheet'!Y47</f>
        <v>134.54993136125694</v>
      </c>
      <c r="AA56" s="2">
        <f t="shared" si="3"/>
        <v>45.913046396336291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7.043436261815569</v>
      </c>
      <c r="C63" s="2">
        <f>C8*'Output-Calculation-sheet'!C52/10^9</f>
        <v>3.7629658982780478</v>
      </c>
      <c r="D63" s="2">
        <f>D8*'Output-Calculation-sheet'!D52/10^9</f>
        <v>2.4153452365564503</v>
      </c>
      <c r="E63" s="2">
        <f>E8*'Output-Calculation-sheet'!E52/10^9</f>
        <v>2.4015010531692944</v>
      </c>
      <c r="F63" s="2">
        <f>F8*'Output-Calculation-sheet'!F52/10^9</f>
        <v>1.0170354974861222</v>
      </c>
      <c r="G63" s="2">
        <f>G8*'Output-Calculation-sheet'!G52/10^9</f>
        <v>0.73120257695218749</v>
      </c>
      <c r="H63" s="2">
        <f>H8*'Output-Calculation-sheet'!H52/10^9</f>
        <v>1.1892307466317182</v>
      </c>
      <c r="I63" s="2">
        <f>I8*'Output-Calculation-sheet'!I52/10^9</f>
        <v>0.68018815436307944</v>
      </c>
      <c r="J63" s="2">
        <f>J8*'Output-Calculation-sheet'!J52/10^9</f>
        <v>0.93598500487055603</v>
      </c>
      <c r="K63" s="2">
        <f>K8*'Output-Calculation-sheet'!K52/10^9</f>
        <v>0.82234607520752956</v>
      </c>
      <c r="L63" s="2">
        <f>L8*'Output-Calculation-sheet'!L52/10^9</f>
        <v>1.1060950376767906</v>
      </c>
      <c r="M63" s="2">
        <f>M8*'Output-Calculation-sheet'!M52/10^9</f>
        <v>0.97425702866384478</v>
      </c>
      <c r="N63" s="2">
        <f>N8*'Output-Calculation-sheet'!N52/10^9</f>
        <v>0.8596405996453198</v>
      </c>
      <c r="O63" s="2">
        <f>O8*'Output-Calculation-sheet'!O52/10^9</f>
        <v>0.76987033843066099</v>
      </c>
      <c r="P63" s="2">
        <f>P8*'Output-Calculation-sheet'!P52/10^9</f>
        <v>0.56821895518741461</v>
      </c>
      <c r="Q63" s="2">
        <f>Q8*'Output-Calculation-sheet'!Q52/10^9</f>
        <v>0.64305734303383233</v>
      </c>
      <c r="R63" s="2">
        <f>R8*'Output-Calculation-sheet'!R52/10^9</f>
        <v>0.57733784699616597</v>
      </c>
      <c r="S63" s="2">
        <f>S8*'Output-Calculation-sheet'!S52/10^9</f>
        <v>0.42782780071987003</v>
      </c>
      <c r="T63" s="2">
        <f>T8*'Output-Calculation-sheet'!T52/10^9</f>
        <v>0.21949560218054848</v>
      </c>
      <c r="U63" s="2">
        <f>U8*'Output-Calculation-sheet'!U52/10^9</f>
        <v>0.1507472275367156</v>
      </c>
      <c r="V63" s="2">
        <f>V8*'Output-Calculation-sheet'!V52/10^9</f>
        <v>0.26754070451463208</v>
      </c>
      <c r="W63" s="2">
        <f>W8*'Output-Calculation-sheet'!W52/10^9</f>
        <v>9.6837200625541034E-2</v>
      </c>
      <c r="X63" s="2">
        <f>X8*'Output-Calculation-sheet'!X52/10^9</f>
        <v>9.9779256576993644E-2</v>
      </c>
      <c r="Y63" s="2">
        <f>Y8*'Output-Calculation-sheet'!Y52/10^9</f>
        <v>6.3183579633665651E-2</v>
      </c>
      <c r="AA63" s="2">
        <f t="shared" si="4"/>
        <v>27.823125026752557</v>
      </c>
    </row>
    <row r="64" spans="1:27" x14ac:dyDescent="0.25">
      <c r="A64" s="2">
        <v>2032</v>
      </c>
      <c r="B64" s="2">
        <f>B9*'Output-Calculation-sheet'!B53/10^9</f>
        <v>6.8762280682467853</v>
      </c>
      <c r="C64" s="2">
        <f>C9*'Output-Calculation-sheet'!C53/10^9</f>
        <v>3.6453008694388962</v>
      </c>
      <c r="D64" s="2">
        <f>D9*'Output-Calculation-sheet'!D53/10^9</f>
        <v>2.036514659230289</v>
      </c>
      <c r="E64" s="2">
        <f>E9*'Output-Calculation-sheet'!E53/10^9</f>
        <v>2.0854806134210198</v>
      </c>
      <c r="F64" s="2">
        <f>F9*'Output-Calculation-sheet'!F53/10^9</f>
        <v>0.87964264570384243</v>
      </c>
      <c r="G64" s="2">
        <f>G9*'Output-Calculation-sheet'!G53/10^9</f>
        <v>0.62610272597498662</v>
      </c>
      <c r="H64" s="2">
        <f>H9*'Output-Calculation-sheet'!H53/10^9</f>
        <v>1.1440506342734094</v>
      </c>
      <c r="I64" s="2">
        <f>I9*'Output-Calculation-sheet'!I53/10^9</f>
        <v>0.58530372083946891</v>
      </c>
      <c r="J64" s="2">
        <f>J9*'Output-Calculation-sheet'!J53/10^9</f>
        <v>0.77482320143591443</v>
      </c>
      <c r="K64" s="2">
        <f>K9*'Output-Calculation-sheet'!K53/10^9</f>
        <v>0.7189305135155275</v>
      </c>
      <c r="L64" s="2">
        <f>L9*'Output-Calculation-sheet'!L53/10^9</f>
        <v>0.92490195680565079</v>
      </c>
      <c r="M64" s="2">
        <f>M9*'Output-Calculation-sheet'!M53/10^9</f>
        <v>0.90767037171250098</v>
      </c>
      <c r="N64" s="2">
        <f>N9*'Output-Calculation-sheet'!N53/10^9</f>
        <v>0.81719660946479622</v>
      </c>
      <c r="O64" s="2">
        <f>O9*'Output-Calculation-sheet'!O53/10^9</f>
        <v>0.73820072472377063</v>
      </c>
      <c r="P64" s="2">
        <f>P9*'Output-Calculation-sheet'!P53/10^9</f>
        <v>0.54812483132745726</v>
      </c>
      <c r="Q64" s="2">
        <f>Q9*'Output-Calculation-sheet'!Q53/10^9</f>
        <v>0.60577240672379784</v>
      </c>
      <c r="R64" s="2">
        <f>R9*'Output-Calculation-sheet'!R53/10^9</f>
        <v>0.51929000680366044</v>
      </c>
      <c r="S64" s="2">
        <f>S9*'Output-Calculation-sheet'!S53/10^9</f>
        <v>0.41785813753270384</v>
      </c>
      <c r="T64" s="2">
        <f>T9*'Output-Calculation-sheet'!T53/10^9</f>
        <v>0.18667049909332992</v>
      </c>
      <c r="U64" s="2">
        <f>U9*'Output-Calculation-sheet'!U53/10^9</f>
        <v>0.1405029926692539</v>
      </c>
      <c r="V64" s="2">
        <f>V9*'Output-Calculation-sheet'!V53/10^9</f>
        <v>0.22156525937733257</v>
      </c>
      <c r="W64" s="2">
        <f>W9*'Output-Calculation-sheet'!W53/10^9</f>
        <v>8.2329514473422197E-2</v>
      </c>
      <c r="X64" s="2">
        <f>X9*'Output-Calculation-sheet'!X53/10^9</f>
        <v>9.4389610474505226E-2</v>
      </c>
      <c r="Y64" s="2">
        <f>Y9*'Output-Calculation-sheet'!Y53/10^9</f>
        <v>5.7682774658087223E-2</v>
      </c>
      <c r="AA64" s="2">
        <f t="shared" si="4"/>
        <v>25.634533347920414</v>
      </c>
    </row>
    <row r="65" spans="1:27" x14ac:dyDescent="0.25">
      <c r="A65" s="2">
        <v>2033</v>
      </c>
      <c r="B65" s="2">
        <f>B10*'Output-Calculation-sheet'!B54/10^9</f>
        <v>6.3653142538378562</v>
      </c>
      <c r="C65" s="2">
        <f>C10*'Output-Calculation-sheet'!C54/10^9</f>
        <v>3.2903450123945275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1.0332793861812684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0.6020147874876538</v>
      </c>
      <c r="L65" s="2">
        <f>L10*'Output-Calculation-sheet'!L54/10^9</f>
        <v>0.71105353400536586</v>
      </c>
      <c r="M65" s="2">
        <f>M10*'Output-Calculation-sheet'!M54/10^9</f>
        <v>0.78794133652135256</v>
      </c>
      <c r="N65" s="2">
        <f>N10*'Output-Calculation-sheet'!N54/10^9</f>
        <v>0.72303273002915058</v>
      </c>
      <c r="O65" s="2">
        <f>O10*'Output-Calculation-sheet'!O54/10^9</f>
        <v>0.65939969014862565</v>
      </c>
      <c r="P65" s="2">
        <f>P10*'Output-Calculation-sheet'!P54/10^9</f>
        <v>0.50933523044270779</v>
      </c>
      <c r="Q65" s="2">
        <f>Q10*'Output-Calculation-sheet'!Q54/10^9</f>
        <v>0.55483720550313897</v>
      </c>
      <c r="R65" s="2">
        <f>R10*'Output-Calculation-sheet'!R54/10^9</f>
        <v>0.44841345768274005</v>
      </c>
      <c r="S65" s="2">
        <f>S10*'Output-Calculation-sheet'!S54/10^9</f>
        <v>0.38139871986657065</v>
      </c>
      <c r="T65" s="2">
        <f>T10*'Output-Calculation-sheet'!T54/10^9</f>
        <v>0.14992496172194511</v>
      </c>
      <c r="U65" s="2">
        <f>U10*'Output-Calculation-sheet'!U54/10^9</f>
        <v>0.12945640057773516</v>
      </c>
      <c r="V65" s="2">
        <f>V10*'Output-Calculation-sheet'!V54/10^9</f>
        <v>0.16592164131946857</v>
      </c>
      <c r="W65" s="2">
        <f>W10*'Output-Calculation-sheet'!W54/10^9</f>
        <v>6.3169597902345151E-2</v>
      </c>
      <c r="X65" s="2">
        <f>X10*'Output-Calculation-sheet'!X54/10^9</f>
        <v>8.2616205535479645E-2</v>
      </c>
      <c r="Y65" s="2">
        <f>Y10*'Output-Calculation-sheet'!Y54/10^9</f>
        <v>5.1992990443881337E-2</v>
      </c>
      <c r="AA65" s="2">
        <f t="shared" si="4"/>
        <v>22.220680582057248</v>
      </c>
    </row>
    <row r="66" spans="1:27" x14ac:dyDescent="0.25">
      <c r="A66" s="2">
        <v>2034</v>
      </c>
      <c r="B66" s="2">
        <f>B11*'Output-Calculation-sheet'!B55/10^9</f>
        <v>5.5336325080844837</v>
      </c>
      <c r="C66" s="2">
        <f>C11*'Output-Calculation-sheet'!C55/10^9</f>
        <v>2.7836373097125739</v>
      </c>
      <c r="D66" s="2">
        <f>D11*'Output-Calculation-sheet'!D55/10^9</f>
        <v>1.24885303207809</v>
      </c>
      <c r="E66" s="2">
        <f>E11*'Output-Calculation-sheet'!E55/10^9</f>
        <v>1.5122737624516469</v>
      </c>
      <c r="F66" s="2">
        <f>F11*'Output-Calculation-sheet'!F55/10^9</f>
        <v>0.58119145514342074</v>
      </c>
      <c r="G66" s="2">
        <f>G11*'Output-Calculation-sheet'!G55/10^9</f>
        <v>0.41541929547545048</v>
      </c>
      <c r="H66" s="2">
        <f>H11*'Output-Calculation-sheet'!H55/10^9</f>
        <v>0.86688275750426214</v>
      </c>
      <c r="I66" s="2">
        <f>I11*'Output-Calculation-sheet'!I55/10^9</f>
        <v>0.40626828357390177</v>
      </c>
      <c r="J66" s="2">
        <f>J11*'Output-Calculation-sheet'!J55/10^9</f>
        <v>0.4177400647747127</v>
      </c>
      <c r="K66" s="2">
        <f>K11*'Output-Calculation-sheet'!K55/10^9</f>
        <v>0.49965238169592907</v>
      </c>
      <c r="L66" s="2">
        <f>L11*'Output-Calculation-sheet'!L55/10^9</f>
        <v>0.52913557270143396</v>
      </c>
      <c r="M66" s="2">
        <f>M11*'Output-Calculation-sheet'!M55/10^9</f>
        <v>0.63189763317882541</v>
      </c>
      <c r="N66" s="2">
        <f>N11*'Output-Calculation-sheet'!N55/10^9</f>
        <v>0.59696060859281852</v>
      </c>
      <c r="O66" s="2">
        <f>O11*'Output-Calculation-sheet'!O55/10^9</f>
        <v>0.54866428503831632</v>
      </c>
      <c r="P66" s="2">
        <f>P11*'Output-Calculation-sheet'!P55/10^9</f>
        <v>0.45812938297564126</v>
      </c>
      <c r="Q66" s="2">
        <f>Q11*'Output-Calculation-sheet'!Q55/10^9</f>
        <v>0.48460780608445131</v>
      </c>
      <c r="R66" s="2">
        <f>R11*'Output-Calculation-sheet'!R55/10^9</f>
        <v>0.3743144726206829</v>
      </c>
      <c r="S66" s="2">
        <f>S11*'Output-Calculation-sheet'!S55/10^9</f>
        <v>0.32649768430571502</v>
      </c>
      <c r="T66" s="2">
        <f>T11*'Output-Calculation-sheet'!T55/10^9</f>
        <v>0.11732104383882244</v>
      </c>
      <c r="U66" s="2">
        <f>U11*'Output-Calculation-sheet'!U55/10^9</f>
        <v>0.11978984209910458</v>
      </c>
      <c r="V66" s="2">
        <f>V11*'Output-Calculation-sheet'!V55/10^9</f>
        <v>0.11129728802582509</v>
      </c>
      <c r="W66" s="2">
        <f>W11*'Output-Calculation-sheet'!W55/10^9</f>
        <v>5.0394352260518742E-2</v>
      </c>
      <c r="X66" s="2">
        <f>X11*'Output-Calculation-sheet'!X55/10^9</f>
        <v>6.7513118792346061E-2</v>
      </c>
      <c r="Y66" s="2">
        <f>Y11*'Output-Calculation-sheet'!Y55/10^9</f>
        <v>4.9273432176788895E-2</v>
      </c>
      <c r="AA66" s="2">
        <f t="shared" si="4"/>
        <v>18.731347373185759</v>
      </c>
    </row>
    <row r="67" spans="1:27" x14ac:dyDescent="0.25">
      <c r="A67" s="2">
        <v>2035</v>
      </c>
      <c r="B67" s="2">
        <f>B12*'Output-Calculation-sheet'!B56/10^9</f>
        <v>4.6400669894755602</v>
      </c>
      <c r="C67" s="2">
        <f>C12*'Output-Calculation-sheet'!C56/10^9</f>
        <v>2.1647041868839407</v>
      </c>
      <c r="D67" s="2">
        <f>D12*'Output-Calculation-sheet'!D56/10^9</f>
        <v>1.2695689857042145</v>
      </c>
      <c r="E67" s="2">
        <f>E12*'Output-Calculation-sheet'!E56/10^9</f>
        <v>1.4465434252538281</v>
      </c>
      <c r="F67" s="2">
        <f>F12*'Output-Calculation-sheet'!F56/10^9</f>
        <v>0.61918472385213019</v>
      </c>
      <c r="G67" s="2">
        <f>G12*'Output-Calculation-sheet'!G56/10^9</f>
        <v>0.43456569330602285</v>
      </c>
      <c r="H67" s="2">
        <f>H12*'Output-Calculation-sheet'!H56/10^9</f>
        <v>0.68646196944362692</v>
      </c>
      <c r="I67" s="2">
        <f>I12*'Output-Calculation-sheet'!I56/10^9</f>
        <v>0.4357134205005157</v>
      </c>
      <c r="J67" s="2">
        <f>J12*'Output-Calculation-sheet'!J56/10^9</f>
        <v>0.39414561406257687</v>
      </c>
      <c r="K67" s="2">
        <f>K12*'Output-Calculation-sheet'!K56/10^9</f>
        <v>0.48937216944115358</v>
      </c>
      <c r="L67" s="2">
        <f>L12*'Output-Calculation-sheet'!L56/10^9</f>
        <v>0.44915030396152039</v>
      </c>
      <c r="M67" s="2">
        <f>M12*'Output-Calculation-sheet'!M56/10^9</f>
        <v>0.47749772390413509</v>
      </c>
      <c r="N67" s="2">
        <f>N12*'Output-Calculation-sheet'!N56/10^9</f>
        <v>0.46495232174800527</v>
      </c>
      <c r="O67" s="2">
        <f>O12*'Output-Calculation-sheet'!O56/10^9</f>
        <v>0.42077845591515428</v>
      </c>
      <c r="P67" s="2">
        <f>P12*'Output-Calculation-sheet'!P56/10^9</f>
        <v>0.41070778624343157</v>
      </c>
      <c r="Q67" s="2">
        <f>Q12*'Output-Calculation-sheet'!Q56/10^9</f>
        <v>0.41897560198523931</v>
      </c>
      <c r="R67" s="2">
        <f>R12*'Output-Calculation-sheet'!R56/10^9</f>
        <v>0.35443806355792695</v>
      </c>
      <c r="S67" s="2">
        <f>S12*'Output-Calculation-sheet'!S56/10^9</f>
        <v>0.26663839712740905</v>
      </c>
      <c r="T67" s="2">
        <f>T12*'Output-Calculation-sheet'!T56/10^9</f>
        <v>0.10789288400622774</v>
      </c>
      <c r="U67" s="2">
        <f>U12*'Output-Calculation-sheet'!U56/10^9</f>
        <v>0.11853780405501198</v>
      </c>
      <c r="V67" s="2">
        <f>V12*'Output-Calculation-sheet'!V56/10^9</f>
        <v>8.2680048636307332E-2</v>
      </c>
      <c r="W67" s="2">
        <f>W12*'Output-Calculation-sheet'!W56/10^9</f>
        <v>5.3587579406417056E-2</v>
      </c>
      <c r="X67" s="2">
        <f>X12*'Output-Calculation-sheet'!X56/10^9</f>
        <v>5.0728743008620208E-2</v>
      </c>
      <c r="Y67" s="2">
        <f>Y12*'Output-Calculation-sheet'!Y56/10^9</f>
        <v>4.7327792388392582E-2</v>
      </c>
      <c r="AA67" s="2">
        <f t="shared" si="4"/>
        <v>16.304220683867374</v>
      </c>
    </row>
    <row r="68" spans="1:27" x14ac:dyDescent="0.25">
      <c r="B68" s="2">
        <f>SUM(B60:B67)</f>
        <v>30.458678081460253</v>
      </c>
      <c r="C68" s="2">
        <f t="shared" ref="C68:Y68" si="5">SUM(C60:C67)</f>
        <v>15.646953276707986</v>
      </c>
      <c r="D68" s="2">
        <f t="shared" si="5"/>
        <v>8.5149682557102562</v>
      </c>
      <c r="E68" s="2">
        <f t="shared" si="5"/>
        <v>9.1850893476859277</v>
      </c>
      <c r="F68" s="2">
        <f t="shared" si="5"/>
        <v>3.8031757649198319</v>
      </c>
      <c r="G68" s="2">
        <f t="shared" si="5"/>
        <v>2.6921069392984736</v>
      </c>
      <c r="H68" s="2">
        <f t="shared" si="5"/>
        <v>4.9199054940342855</v>
      </c>
      <c r="I68" s="2">
        <f t="shared" si="5"/>
        <v>2.5795528009695343</v>
      </c>
      <c r="J68" s="2">
        <f t="shared" si="5"/>
        <v>3.0869331780511375</v>
      </c>
      <c r="K68" s="2">
        <f t="shared" si="5"/>
        <v>3.1323159273477938</v>
      </c>
      <c r="L68" s="2">
        <f t="shared" si="5"/>
        <v>3.7203364051507615</v>
      </c>
      <c r="M68" s="2">
        <f t="shared" si="5"/>
        <v>3.7792640939806588</v>
      </c>
      <c r="N68" s="2">
        <f t="shared" si="5"/>
        <v>3.4617828694800905</v>
      </c>
      <c r="O68" s="2">
        <f t="shared" si="5"/>
        <v>3.1369134942565275</v>
      </c>
      <c r="P68" s="2">
        <f t="shared" si="5"/>
        <v>2.4945161861766527</v>
      </c>
      <c r="Q68" s="2">
        <f t="shared" si="5"/>
        <v>2.7072503633304601</v>
      </c>
      <c r="R68" s="2">
        <f t="shared" si="5"/>
        <v>2.2737938476611763</v>
      </c>
      <c r="S68" s="2">
        <f t="shared" si="5"/>
        <v>1.8202207395522687</v>
      </c>
      <c r="T68" s="2">
        <f t="shared" si="5"/>
        <v>0.78130499084087379</v>
      </c>
      <c r="U68" s="2">
        <f t="shared" si="5"/>
        <v>0.65903426693782119</v>
      </c>
      <c r="V68" s="2">
        <f t="shared" si="5"/>
        <v>0.84900494187356557</v>
      </c>
      <c r="W68" s="2">
        <f t="shared" si="5"/>
        <v>0.34631824466824418</v>
      </c>
      <c r="X68" s="2">
        <f t="shared" si="5"/>
        <v>0.39502693438794478</v>
      </c>
      <c r="Y68" s="2">
        <f t="shared" si="5"/>
        <v>0.26946056930081569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38.661034567022099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3.86610345670221E-2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399.79034546302233</v>
      </c>
      <c r="Q76" s="2">
        <f>Q10/'Output-Calculation-sheet'!Q9*'Output-Calculation-sheet'!Q63</f>
        <v>47.841320422743358</v>
      </c>
      <c r="R76" s="2">
        <f>R10/'Output-Calculation-sheet'!R9*'Output-Calculation-sheet'!R63</f>
        <v>304.56461622959324</v>
      </c>
      <c r="S76" s="2">
        <f>S10/'Output-Calculation-sheet'!S9*'Output-Calculation-sheet'!S63</f>
        <v>0</v>
      </c>
      <c r="T76" s="2">
        <f>T10/'Output-Calculation-sheet'!T9*'Output-Calculation-sheet'!T63</f>
        <v>20.044214752970753</v>
      </c>
      <c r="U76" s="2">
        <f>U10/'Output-Calculation-sheet'!U9*'Output-Calculation-sheet'!U63</f>
        <v>108.23426515598918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5.1403503920165692</v>
      </c>
      <c r="AA76" s="2">
        <f t="shared" si="6"/>
        <v>0.9697661823845094</v>
      </c>
    </row>
    <row r="77" spans="1:27" x14ac:dyDescent="0.25">
      <c r="A77" s="2">
        <v>2034</v>
      </c>
      <c r="B77" s="2">
        <f>B11/'Output-Calculation-sheet'!B10*'Output-Calculation-sheet'!B64</f>
        <v>353.63284129917349</v>
      </c>
      <c r="C77" s="2">
        <f>C11/'Output-Calculation-sheet'!C10*'Output-Calculation-sheet'!C64</f>
        <v>0</v>
      </c>
      <c r="D77" s="2">
        <f>D11/'Output-Calculation-sheet'!D10*'Output-Calculation-sheet'!D64</f>
        <v>1201.5183200252152</v>
      </c>
      <c r="E77" s="2">
        <f>E11/'Output-Calculation-sheet'!E10*'Output-Calculation-sheet'!E64</f>
        <v>1501.7439099969545</v>
      </c>
      <c r="F77" s="2">
        <f>F11/'Output-Calculation-sheet'!F10*'Output-Calculation-sheet'!F64</f>
        <v>97.709280755279593</v>
      </c>
      <c r="G77" s="2">
        <f>G11/'Output-Calculation-sheet'!G10*'Output-Calculation-sheet'!G64</f>
        <v>636.3746464428948</v>
      </c>
      <c r="H77" s="2">
        <f>H11/'Output-Calculation-sheet'!H10*'Output-Calculation-sheet'!H64</f>
        <v>99.297189508995103</v>
      </c>
      <c r="I77" s="2">
        <f>I11/'Output-Calculation-sheet'!I10*'Output-Calculation-sheet'!I64</f>
        <v>378.36792527779647</v>
      </c>
      <c r="J77" s="2">
        <f>J11/'Output-Calculation-sheet'!J10*'Output-Calculation-sheet'!J64</f>
        <v>264.73692048579846</v>
      </c>
      <c r="K77" s="2">
        <f>K11/'Output-Calculation-sheet'!K10*'Output-Calculation-sheet'!K64</f>
        <v>575.60814777770372</v>
      </c>
      <c r="L77" s="2">
        <f>L11/'Output-Calculation-sheet'!L10*'Output-Calculation-sheet'!L64</f>
        <v>237.99949929420657</v>
      </c>
      <c r="M77" s="2">
        <f>M11/'Output-Calculation-sheet'!M10*'Output-Calculation-sheet'!M64</f>
        <v>71.515363037444843</v>
      </c>
      <c r="N77" s="2">
        <f>N11/'Output-Calculation-sheet'!N10*'Output-Calculation-sheet'!N64</f>
        <v>23.652145253945783</v>
      </c>
      <c r="O77" s="2">
        <f>O11/'Output-Calculation-sheet'!O10*'Output-Calculation-sheet'!O64</f>
        <v>0</v>
      </c>
      <c r="P77" s="2">
        <f>P11/'Output-Calculation-sheet'!P10*'Output-Calculation-sheet'!P64</f>
        <v>487.01774923310711</v>
      </c>
      <c r="Q77" s="2">
        <f>Q11/'Output-Calculation-sheet'!Q10*'Output-Calculation-sheet'!Q64</f>
        <v>109.55818452555053</v>
      </c>
      <c r="R77" s="2">
        <f>R11/'Output-Calculation-sheet'!R10*'Output-Calculation-sheet'!R64</f>
        <v>605.08057270056327</v>
      </c>
      <c r="S77" s="2">
        <f>S11/'Output-Calculation-sheet'!S10*'Output-Calculation-sheet'!S64</f>
        <v>0</v>
      </c>
      <c r="T77" s="2">
        <f>T11/'Output-Calculation-sheet'!T10*'Output-Calculation-sheet'!T64</f>
        <v>168.01071369761124</v>
      </c>
      <c r="U77" s="2">
        <f>U11/'Output-Calculation-sheet'!U10*'Output-Calculation-sheet'!U64</f>
        <v>223.28727572078159</v>
      </c>
      <c r="V77" s="2">
        <f>V11/'Output-Calculation-sheet'!V10*'Output-Calculation-sheet'!V64</f>
        <v>86.942797902747785</v>
      </c>
      <c r="W77" s="2">
        <f>W11/'Output-Calculation-sheet'!W10*'Output-Calculation-sheet'!W64</f>
        <v>19.086592794462035</v>
      </c>
      <c r="X77" s="2">
        <f>X11/'Output-Calculation-sheet'!X10*'Output-Calculation-sheet'!X64</f>
        <v>7.1292968445247293</v>
      </c>
      <c r="Y77" s="2">
        <f>Y11/'Output-Calculation-sheet'!Y10*'Output-Calculation-sheet'!Y64</f>
        <v>32.514146090841045</v>
      </c>
      <c r="AA77" s="2">
        <f t="shared" si="6"/>
        <v>7.1807835186655975</v>
      </c>
    </row>
    <row r="78" spans="1:27" x14ac:dyDescent="0.25">
      <c r="A78" s="2">
        <v>2035</v>
      </c>
      <c r="B78" s="2">
        <f>B12/'Output-Calculation-sheet'!B11*'Output-Calculation-sheet'!B65</f>
        <v>58.630910654720232</v>
      </c>
      <c r="C78" s="2">
        <f>C12/'Output-Calculation-sheet'!C11*'Output-Calculation-sheet'!C65</f>
        <v>48.870378291585432</v>
      </c>
      <c r="D78" s="2">
        <f>D12/'Output-Calculation-sheet'!D11*'Output-Calculation-sheet'!D65</f>
        <v>2511.4273993155739</v>
      </c>
      <c r="E78" s="2">
        <f>E12/'Output-Calculation-sheet'!E11*'Output-Calculation-sheet'!E65</f>
        <v>806.76415369953804</v>
      </c>
      <c r="F78" s="2">
        <f>F12/'Output-Calculation-sheet'!F11*'Output-Calculation-sheet'!F65</f>
        <v>641.15467338967835</v>
      </c>
      <c r="G78" s="2">
        <f>G12/'Output-Calculation-sheet'!G11*'Output-Calculation-sheet'!G65</f>
        <v>948.76596658646338</v>
      </c>
      <c r="H78" s="2">
        <f>H12/'Output-Calculation-sheet'!H11*'Output-Calculation-sheet'!H65</f>
        <v>21.563442387733573</v>
      </c>
      <c r="I78" s="2">
        <f>I12/'Output-Calculation-sheet'!I11*'Output-Calculation-sheet'!I65</f>
        <v>788.81158823212661</v>
      </c>
      <c r="J78" s="2">
        <f>J12/'Output-Calculation-sheet'!J11*'Output-Calculation-sheet'!J65</f>
        <v>748.20702034889246</v>
      </c>
      <c r="K78" s="2">
        <f>K12/'Output-Calculation-sheet'!K11*'Output-Calculation-sheet'!K65</f>
        <v>1005.6518146984678</v>
      </c>
      <c r="L78" s="2">
        <f>L12/'Output-Calculation-sheet'!L11*'Output-Calculation-sheet'!L65</f>
        <v>348.79948721056672</v>
      </c>
      <c r="M78" s="2">
        <f>M12/'Output-Calculation-sheet'!M11*'Output-Calculation-sheet'!M65</f>
        <v>19.27593441658211</v>
      </c>
      <c r="N78" s="2">
        <f>N12/'Output-Calculation-sheet'!N11*'Output-Calculation-sheet'!N65</f>
        <v>12.984703463775093</v>
      </c>
      <c r="O78" s="2">
        <f>O12/'Output-Calculation-sheet'!O11*'Output-Calculation-sheet'!O65</f>
        <v>8.4700409409163377</v>
      </c>
      <c r="P78" s="2">
        <f>P12/'Output-Calculation-sheet'!P11*'Output-Calculation-sheet'!P65</f>
        <v>97.691201592103809</v>
      </c>
      <c r="Q78" s="2">
        <f>Q12/'Output-Calculation-sheet'!Q11*'Output-Calculation-sheet'!Q65</f>
        <v>78.721533871436222</v>
      </c>
      <c r="R78" s="2">
        <f>R12/'Output-Calculation-sheet'!R11*'Output-Calculation-sheet'!R65</f>
        <v>652.11084228873142</v>
      </c>
      <c r="S78" s="2">
        <f>S12/'Output-Calculation-sheet'!S11*'Output-Calculation-sheet'!S65</f>
        <v>6.2391222785994502</v>
      </c>
      <c r="T78" s="2">
        <f>T12/'Output-Calculation-sheet'!T11*'Output-Calculation-sheet'!T65</f>
        <v>259.3267220894823</v>
      </c>
      <c r="U78" s="2">
        <f>U12/'Output-Calculation-sheet'!U11*'Output-Calculation-sheet'!U65</f>
        <v>95.665873511224447</v>
      </c>
      <c r="V78" s="2">
        <f>V12/'Output-Calculation-sheet'!V11*'Output-Calculation-sheet'!V65</f>
        <v>135.7257414737584</v>
      </c>
      <c r="W78" s="2">
        <f>W12/'Output-Calculation-sheet'!W11*'Output-Calculation-sheet'!W65</f>
        <v>91.496128885510416</v>
      </c>
      <c r="X78" s="2">
        <f>X12/'Output-Calculation-sheet'!X11*'Output-Calculation-sheet'!X65</f>
        <v>1.2767497970716823</v>
      </c>
      <c r="Y78" s="2">
        <f>Y12/'Output-Calculation-sheet'!Y11*'Output-Calculation-sheet'!Y65</f>
        <v>21.960148099666856</v>
      </c>
      <c r="AA78" s="2">
        <f t="shared" si="6"/>
        <v>9.4095915775242034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63.17807577088373</v>
      </c>
      <c r="E89" s="2">
        <f>E12/'Output-Calculation-sheet'!E11*'Output-Calculation-sheet'!E74</f>
        <v>30.56247318248823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23.648769441438471</v>
      </c>
      <c r="H89" s="2">
        <f>H12/'Output-Calculation-sheet'!H11*'Output-Calculation-sheet'!H74</f>
        <v>3.818227957102005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13.156784191413864</v>
      </c>
      <c r="K89" s="2">
        <f>K12/'Output-Calculation-sheet'!K11*'Output-Calculation-sheet'!K74</f>
        <v>16.550283003772947</v>
      </c>
      <c r="L89" s="2">
        <f>L12/'Output-Calculation-sheet'!L11*'Output-Calculation-sheet'!L74</f>
        <v>6.9263279726474529</v>
      </c>
      <c r="M89" s="2">
        <f>M12/'Output-Calculation-sheet'!M11*'Output-Calculation-sheet'!M74</f>
        <v>1.9704843169573154</v>
      </c>
      <c r="N89" s="2">
        <f>N12/'Output-Calculation-sheet'!N11*'Output-Calculation-sheet'!N74</f>
        <v>1.9366665203999838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1.7891396874145271</v>
      </c>
      <c r="Q89" s="2">
        <f>Q12/'Output-Calculation-sheet'!Q11*'Output-Calculation-sheet'!Q74</f>
        <v>3.3936327747940975</v>
      </c>
      <c r="R89" s="2">
        <f>R12/'Output-Calculation-sheet'!R11*'Output-Calculation-sheet'!R74</f>
        <v>10.096279531670373</v>
      </c>
      <c r="S89" s="2">
        <f>S12/'Output-Calculation-sheet'!S11*'Output-Calculation-sheet'!S74</f>
        <v>1.8502735108539294</v>
      </c>
      <c r="T89" s="2">
        <f>T12/'Output-Calculation-sheet'!T11*'Output-Calculation-sheet'!T74</f>
        <v>3.1127025759608693</v>
      </c>
      <c r="U89" s="2">
        <f>U12/'Output-Calculation-sheet'!U11*'Output-Calculation-sheet'!U74</f>
        <v>3.6092430151598687</v>
      </c>
      <c r="V89" s="2">
        <f>V12/'Output-Calculation-sheet'!V11*'Output-Calculation-sheet'!V74</f>
        <v>1.1132166657508504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1.2516272684768088</v>
      </c>
      <c r="AA89" s="2">
        <f t="shared" si="7"/>
        <v>0.25256000708152954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18395418203.702057</v>
      </c>
      <c r="C96" s="2">
        <f>C8/'Output-Calculation-sheet'!C7*'Output-Calculation-sheet'!C79</f>
        <v>7615475445.2708111</v>
      </c>
      <c r="D96" s="2">
        <f>D8/'Output-Calculation-sheet'!D7*'Output-Calculation-sheet'!D79</f>
        <v>6070699886.1162596</v>
      </c>
      <c r="E96" s="2">
        <f>E8/'Output-Calculation-sheet'!E7*'Output-Calculation-sheet'!E79</f>
        <v>7335528262.0994291</v>
      </c>
      <c r="F96" s="2">
        <f>F8/'Output-Calculation-sheet'!F7*'Output-Calculation-sheet'!F79</f>
        <v>4330122392.9158192</v>
      </c>
      <c r="G96" s="2">
        <f>G8/'Output-Calculation-sheet'!G7*'Output-Calculation-sheet'!G79</f>
        <v>2202528847.8807254</v>
      </c>
      <c r="H96" s="2">
        <f>H8/'Output-Calculation-sheet'!H7*'Output-Calculation-sheet'!H79</f>
        <v>2750230753.0706081</v>
      </c>
      <c r="I96" s="2">
        <f>I8/'Output-Calculation-sheet'!I7*'Output-Calculation-sheet'!I79</f>
        <v>2632346215.7554336</v>
      </c>
      <c r="J96" s="2">
        <f>J8/'Output-Calculation-sheet'!J7*'Output-Calculation-sheet'!J79</f>
        <v>1485786801.790602</v>
      </c>
      <c r="K96" s="2">
        <f>K8/'Output-Calculation-sheet'!K7*'Output-Calculation-sheet'!K79</f>
        <v>2530805959.5964289</v>
      </c>
      <c r="L96" s="2">
        <f>L8/'Output-Calculation-sheet'!L7*'Output-Calculation-sheet'!L79</f>
        <v>1820209895.1272354</v>
      </c>
      <c r="M96" s="2">
        <f>M8/'Output-Calculation-sheet'!M7*'Output-Calculation-sheet'!M79</f>
        <v>1840074133.8701191</v>
      </c>
      <c r="N96" s="2">
        <f>N8/'Output-Calculation-sheet'!N7*'Output-Calculation-sheet'!N79</f>
        <v>1309630630.8292465</v>
      </c>
      <c r="O96" s="2">
        <f>O8/'Output-Calculation-sheet'!O7*'Output-Calculation-sheet'!O79</f>
        <v>1029254891.881003</v>
      </c>
      <c r="P96" s="2">
        <f>P8/'Output-Calculation-sheet'!P7*'Output-Calculation-sheet'!P79</f>
        <v>2187951008.7276092</v>
      </c>
      <c r="Q96" s="2">
        <f>Q8/'Output-Calculation-sheet'!Q7*'Output-Calculation-sheet'!Q79</f>
        <v>1191694987.2809422</v>
      </c>
      <c r="R96" s="2">
        <f>R8/'Output-Calculation-sheet'!R7*'Output-Calculation-sheet'!R79</f>
        <v>1589837248.1758814</v>
      </c>
      <c r="S96" s="2">
        <f>S8/'Output-Calculation-sheet'!S7*'Output-Calculation-sheet'!S79</f>
        <v>1000714481.9705632</v>
      </c>
      <c r="T96" s="2">
        <f>T8/'Output-Calculation-sheet'!T7*'Output-Calculation-sheet'!T79</f>
        <v>642596411.06711328</v>
      </c>
      <c r="U96" s="2">
        <f>U8/'Output-Calculation-sheet'!U7*'Output-Calculation-sheet'!U79</f>
        <v>595872348.25823319</v>
      </c>
      <c r="V96" s="2">
        <f>V8/'Output-Calculation-sheet'!V7*'Output-Calculation-sheet'!V79</f>
        <v>383641057.57268864</v>
      </c>
      <c r="W96" s="2">
        <f>W8/'Output-Calculation-sheet'!W7*'Output-Calculation-sheet'!W79</f>
        <v>458925157.75241303</v>
      </c>
      <c r="X96" s="2">
        <f>X8/'Output-Calculation-sheet'!X7*'Output-Calculation-sheet'!X79</f>
        <v>210051503.69494808</v>
      </c>
      <c r="Y96" s="2">
        <f>Y8/'Output-Calculation-sheet'!Y7*'Output-Calculation-sheet'!Y79</f>
        <v>235105179.19745293</v>
      </c>
      <c r="AA96" s="2">
        <f t="shared" si="8"/>
        <v>69.844501703603626</v>
      </c>
    </row>
    <row r="97" spans="1:27" x14ac:dyDescent="0.25">
      <c r="A97" s="2">
        <v>2032</v>
      </c>
      <c r="B97" s="2">
        <f>B9/'Output-Calculation-sheet'!B8*'Output-Calculation-sheet'!B80</f>
        <v>23777034838.136768</v>
      </c>
      <c r="C97" s="2">
        <f>C9/'Output-Calculation-sheet'!C8*'Output-Calculation-sheet'!C80</f>
        <v>9851974726.9034004</v>
      </c>
      <c r="D97" s="2">
        <f>D9/'Output-Calculation-sheet'!D8*'Output-Calculation-sheet'!D80</f>
        <v>7787156947.3919649</v>
      </c>
      <c r="E97" s="2">
        <f>E9/'Output-Calculation-sheet'!E8*'Output-Calculation-sheet'!E80</f>
        <v>9396406926.3125954</v>
      </c>
      <c r="F97" s="2">
        <f>F9/'Output-Calculation-sheet'!F8*'Output-Calculation-sheet'!F80</f>
        <v>5567636296.5403605</v>
      </c>
      <c r="G97" s="2">
        <f>G9/'Output-Calculation-sheet'!G8*'Output-Calculation-sheet'!G80</f>
        <v>2787069066.8726187</v>
      </c>
      <c r="H97" s="2">
        <f>H9/'Output-Calculation-sheet'!H8*'Output-Calculation-sheet'!H80</f>
        <v>3547490739.0079083</v>
      </c>
      <c r="I97" s="2">
        <f>I9/'Output-Calculation-sheet'!I8*'Output-Calculation-sheet'!I80</f>
        <v>3386211254.3506112</v>
      </c>
      <c r="J97" s="2">
        <f>J9/'Output-Calculation-sheet'!J8*'Output-Calculation-sheet'!J80</f>
        <v>1932216290.4404061</v>
      </c>
      <c r="K97" s="2">
        <f>K9/'Output-Calculation-sheet'!K8*'Output-Calculation-sheet'!K80</f>
        <v>3254857209.3228707</v>
      </c>
      <c r="L97" s="2">
        <f>L9/'Output-Calculation-sheet'!L8*'Output-Calculation-sheet'!L80</f>
        <v>2355004719.6243267</v>
      </c>
      <c r="M97" s="2">
        <f>M9/'Output-Calculation-sheet'!M8*'Output-Calculation-sheet'!M80</f>
        <v>2373450874.202373</v>
      </c>
      <c r="N97" s="2">
        <f>N9/'Output-Calculation-sheet'!N8*'Output-Calculation-sheet'!N80</f>
        <v>1696481451.2621927</v>
      </c>
      <c r="O97" s="2">
        <f>O9/'Output-Calculation-sheet'!O8*'Output-Calculation-sheet'!O80</f>
        <v>1338417691.8005214</v>
      </c>
      <c r="P97" s="2">
        <f>P9/'Output-Calculation-sheet'!P8*'Output-Calculation-sheet'!P80</f>
        <v>2796998899.4142499</v>
      </c>
      <c r="Q97" s="2">
        <f>Q9/'Output-Calculation-sheet'!Q8*'Output-Calculation-sheet'!Q80</f>
        <v>1548724143.9804728</v>
      </c>
      <c r="R97" s="2">
        <f>R9/'Output-Calculation-sheet'!R8*'Output-Calculation-sheet'!R80</f>
        <v>2053382512.8251452</v>
      </c>
      <c r="S97" s="2">
        <f>S9/'Output-Calculation-sheet'!S8*'Output-Calculation-sheet'!S80</f>
        <v>1295382778.4554329</v>
      </c>
      <c r="T97" s="2">
        <f>T9/'Output-Calculation-sheet'!T8*'Output-Calculation-sheet'!T80</f>
        <v>823377850.32421243</v>
      </c>
      <c r="U97" s="2">
        <f>U9/'Output-Calculation-sheet'!U8*'Output-Calculation-sheet'!U80</f>
        <v>767832925.41712677</v>
      </c>
      <c r="V97" s="2">
        <f>V9/'Output-Calculation-sheet'!V8*'Output-Calculation-sheet'!V80</f>
        <v>497253960.51951551</v>
      </c>
      <c r="W97" s="2">
        <f>W9/'Output-Calculation-sheet'!W8*'Output-Calculation-sheet'!W80</f>
        <v>581683219.2347697</v>
      </c>
      <c r="X97" s="2">
        <f>X9/'Output-Calculation-sheet'!X8*'Output-Calculation-sheet'!X80</f>
        <v>270853668.32569396</v>
      </c>
      <c r="Y97" s="2">
        <f>Y9/'Output-Calculation-sheet'!Y8*'Output-Calculation-sheet'!Y80</f>
        <v>299306077.82967681</v>
      </c>
      <c r="AA97" s="2">
        <f t="shared" si="8"/>
        <v>89.986205068495238</v>
      </c>
    </row>
    <row r="98" spans="1:27" x14ac:dyDescent="0.25">
      <c r="A98" s="2">
        <v>2033</v>
      </c>
      <c r="B98" s="2">
        <f>B10/'Output-Calculation-sheet'!B9*'Output-Calculation-sheet'!B81</f>
        <v>27506105294.724876</v>
      </c>
      <c r="C98" s="2">
        <f>C10/'Output-Calculation-sheet'!C9*'Output-Calculation-sheet'!C81</f>
        <v>11408925044.190056</v>
      </c>
      <c r="D98" s="2">
        <f>D10/'Output-Calculation-sheet'!D9*'Output-Calculation-sheet'!D81</f>
        <v>8949499601.2050343</v>
      </c>
      <c r="E98" s="2">
        <f>E10/'Output-Calculation-sheet'!E9*'Output-Calculation-sheet'!E81</f>
        <v>10778667044.622465</v>
      </c>
      <c r="F98" s="2">
        <f>F10/'Output-Calculation-sheet'!F9*'Output-Calculation-sheet'!F81</f>
        <v>6409245342.6186275</v>
      </c>
      <c r="G98" s="2">
        <f>G10/'Output-Calculation-sheet'!G9*'Output-Calculation-sheet'!G81</f>
        <v>3159297526.8384023</v>
      </c>
      <c r="H98" s="2">
        <f>H10/'Output-Calculation-sheet'!H9*'Output-Calculation-sheet'!H81</f>
        <v>4096094113.0267859</v>
      </c>
      <c r="I98" s="2">
        <f>I10/'Output-Calculation-sheet'!I9*'Output-Calculation-sheet'!I81</f>
        <v>3900411495.3919635</v>
      </c>
      <c r="J98" s="2">
        <f>J10/'Output-Calculation-sheet'!J9*'Output-Calculation-sheet'!J81</f>
        <v>2250615739.6841717</v>
      </c>
      <c r="K98" s="2">
        <f>K10/'Output-Calculation-sheet'!K9*'Output-Calculation-sheet'!K81</f>
        <v>3747874687.4133506</v>
      </c>
      <c r="L98" s="2">
        <f>L10/'Output-Calculation-sheet'!L9*'Output-Calculation-sheet'!L81</f>
        <v>2727371784.6396232</v>
      </c>
      <c r="M98" s="2">
        <f>M10/'Output-Calculation-sheet'!M9*'Output-Calculation-sheet'!M81</f>
        <v>2740990516.3353214</v>
      </c>
      <c r="N98" s="2">
        <f>N10/'Output-Calculation-sheet'!N9*'Output-Calculation-sheet'!N81</f>
        <v>1968281265.1356015</v>
      </c>
      <c r="O98" s="2">
        <f>O10/'Output-Calculation-sheet'!O9*'Output-Calculation-sheet'!O81</f>
        <v>1558357552.9938924</v>
      </c>
      <c r="P98" s="2">
        <f>P10/'Output-Calculation-sheet'!P9*'Output-Calculation-sheet'!P81</f>
        <v>3200885277.3148646</v>
      </c>
      <c r="Q98" s="2">
        <f>Q10/'Output-Calculation-sheet'!Q9*'Output-Calculation-sheet'!Q81</f>
        <v>1802118964.2548001</v>
      </c>
      <c r="R98" s="2">
        <f>R10/'Output-Calculation-sheet'!R9*'Output-Calculation-sheet'!R81</f>
        <v>2373901421.5866785</v>
      </c>
      <c r="S98" s="2">
        <f>S10/'Output-Calculation-sheet'!S9*'Output-Calculation-sheet'!S81</f>
        <v>1500734492.9659262</v>
      </c>
      <c r="T98" s="2">
        <f>T10/'Output-Calculation-sheet'!T9*'Output-Calculation-sheet'!T81</f>
        <v>944731790.65726662</v>
      </c>
      <c r="U98" s="2">
        <f>U10/'Output-Calculation-sheet'!U9*'Output-Calculation-sheet'!U81</f>
        <v>885167735.56398857</v>
      </c>
      <c r="V98" s="2">
        <f>V10/'Output-Calculation-sheet'!V9*'Output-Calculation-sheet'!V81</f>
        <v>576515710.41759503</v>
      </c>
      <c r="W98" s="2">
        <f>W10/'Output-Calculation-sheet'!W9*'Output-Calculation-sheet'!W81</f>
        <v>660201172.15429413</v>
      </c>
      <c r="X98" s="2">
        <f>X10/'Output-Calculation-sheet'!X9*'Output-Calculation-sheet'!X81</f>
        <v>312675528.93563861</v>
      </c>
      <c r="Y98" s="2">
        <f>Y10/'Output-Calculation-sheet'!Y9*'Output-Calculation-sheet'!Y81</f>
        <v>341312173.53729111</v>
      </c>
      <c r="AA98" s="2">
        <f t="shared" si="8"/>
        <v>103.79998127620856</v>
      </c>
    </row>
    <row r="99" spans="1:27" x14ac:dyDescent="0.25">
      <c r="A99" s="2">
        <v>2034</v>
      </c>
      <c r="B99" s="2">
        <f>B11/'Output-Calculation-sheet'!B10*'Output-Calculation-sheet'!B82</f>
        <v>28817832882.722927</v>
      </c>
      <c r="C99" s="2">
        <f>C11/'Output-Calculation-sheet'!C10*'Output-Calculation-sheet'!C82</f>
        <v>11967177053.381117</v>
      </c>
      <c r="D99" s="2">
        <f>D11/'Output-Calculation-sheet'!D10*'Output-Calculation-sheet'!D82</f>
        <v>9324157479.4883537</v>
      </c>
      <c r="E99" s="2">
        <f>E11/'Output-Calculation-sheet'!E10*'Output-Calculation-sheet'!E82</f>
        <v>11203670462.034521</v>
      </c>
      <c r="F99" s="2">
        <f>F11/'Output-Calculation-sheet'!F10*'Output-Calculation-sheet'!F82</f>
        <v>6684031786.1535072</v>
      </c>
      <c r="G99" s="2">
        <f>G11/'Output-Calculation-sheet'!G10*'Output-Calculation-sheet'!G82</f>
        <v>3246259941.4184022</v>
      </c>
      <c r="H99" s="2">
        <f>H11/'Output-Calculation-sheet'!H10*'Output-Calculation-sheet'!H82</f>
        <v>4283972241.6133542</v>
      </c>
      <c r="I99" s="2">
        <f>I11/'Output-Calculation-sheet'!I10*'Output-Calculation-sheet'!I82</f>
        <v>4070529646.5882101</v>
      </c>
      <c r="J99" s="2">
        <f>J11/'Output-Calculation-sheet'!J10*'Output-Calculation-sheet'!J82</f>
        <v>2375728677.6685596</v>
      </c>
      <c r="K99" s="2">
        <f>K11/'Output-Calculation-sheet'!K10*'Output-Calculation-sheet'!K82</f>
        <v>3909764877.9419904</v>
      </c>
      <c r="L99" s="2">
        <f>L11/'Output-Calculation-sheet'!L10*'Output-Calculation-sheet'!L82</f>
        <v>2860929315.8491426</v>
      </c>
      <c r="M99" s="2">
        <f>M11/'Output-Calculation-sheet'!M10*'Output-Calculation-sheet'!M82</f>
        <v>2867712957.0704207</v>
      </c>
      <c r="N99" s="2">
        <f>N11/'Output-Calculation-sheet'!N10*'Output-Calculation-sheet'!N82</f>
        <v>2069520785.7971509</v>
      </c>
      <c r="O99" s="2">
        <f>O11/'Output-Calculation-sheet'!O10*'Output-Calculation-sheet'!O82</f>
        <v>1643853529.3485069</v>
      </c>
      <c r="P99" s="2">
        <f>P11/'Output-Calculation-sheet'!P10*'Output-Calculation-sheet'!P82</f>
        <v>3318343945.0567541</v>
      </c>
      <c r="Q99" s="2">
        <f>Q11/'Output-Calculation-sheet'!Q10*'Output-Calculation-sheet'!Q82</f>
        <v>1899788710.1096001</v>
      </c>
      <c r="R99" s="2">
        <f>R11/'Output-Calculation-sheet'!R10*'Output-Calculation-sheet'!R82</f>
        <v>2485791225.90556</v>
      </c>
      <c r="S99" s="2">
        <f>S11/'Output-Calculation-sheet'!S10*'Output-Calculation-sheet'!S82</f>
        <v>1574583381.3746493</v>
      </c>
      <c r="T99" s="2">
        <f>T11/'Output-Calculation-sheet'!T10*'Output-Calculation-sheet'!T82</f>
        <v>982195592.10434639</v>
      </c>
      <c r="U99" s="2">
        <f>U11/'Output-Calculation-sheet'!U10*'Output-Calculation-sheet'!U82</f>
        <v>923866839.93013036</v>
      </c>
      <c r="V99" s="2">
        <f>V11/'Output-Calculation-sheet'!V10*'Output-Calculation-sheet'!V82</f>
        <v>605060848.34857762</v>
      </c>
      <c r="W99" s="2">
        <f>W11/'Output-Calculation-sheet'!W10*'Output-Calculation-sheet'!W82</f>
        <v>678955321.37236023</v>
      </c>
      <c r="X99" s="2">
        <f>X11/'Output-Calculation-sheet'!X10*'Output-Calculation-sheet'!X82</f>
        <v>326983250.58593667</v>
      </c>
      <c r="Y99" s="2">
        <f>Y11/'Output-Calculation-sheet'!Y10*'Output-Calculation-sheet'!Y82</f>
        <v>352773099.93650949</v>
      </c>
      <c r="AA99" s="2">
        <f t="shared" si="8"/>
        <v>108.47348385180057</v>
      </c>
    </row>
    <row r="100" spans="1:27" x14ac:dyDescent="0.25">
      <c r="A100" s="2">
        <v>2035</v>
      </c>
      <c r="B100" s="2">
        <f>B12/'Output-Calculation-sheet'!B11*'Output-Calculation-sheet'!B83</f>
        <v>27357271766.003815</v>
      </c>
      <c r="C100" s="2">
        <f>C12/'Output-Calculation-sheet'!C11*'Output-Calculation-sheet'!C83</f>
        <v>11375665866.68136</v>
      </c>
      <c r="D100" s="2">
        <f>D12/'Output-Calculation-sheet'!D11*'Output-Calculation-sheet'!D83</f>
        <v>8810591950.3058167</v>
      </c>
      <c r="E100" s="2">
        <f>E12/'Output-Calculation-sheet'!E11*'Output-Calculation-sheet'!E83</f>
        <v>10557230039.96769</v>
      </c>
      <c r="F100" s="2">
        <f>F12/'Output-Calculation-sheet'!F11*'Output-Calculation-sheet'!F83</f>
        <v>6317968667.3925352</v>
      </c>
      <c r="G100" s="2">
        <f>G12/'Output-Calculation-sheet'!G11*'Output-Calculation-sheet'!G83</f>
        <v>3025121025.9870076</v>
      </c>
      <c r="H100" s="2">
        <f>H12/'Output-Calculation-sheet'!H11*'Output-Calculation-sheet'!H83</f>
        <v>4060361837.5586181</v>
      </c>
      <c r="I100" s="2">
        <f>I12/'Output-Calculation-sheet'!I11*'Output-Calculation-sheet'!I83</f>
        <v>3850684408.9446454</v>
      </c>
      <c r="J100" s="2">
        <f>J12/'Output-Calculation-sheet'!J11*'Output-Calculation-sheet'!J83</f>
        <v>2273685274.4444566</v>
      </c>
      <c r="K100" s="2">
        <f>K12/'Output-Calculation-sheet'!K11*'Output-Calculation-sheet'!K83</f>
        <v>3696933403.0482059</v>
      </c>
      <c r="L100" s="2">
        <f>L12/'Output-Calculation-sheet'!L11*'Output-Calculation-sheet'!L83</f>
        <v>2719512549.8452573</v>
      </c>
      <c r="M100" s="2">
        <f>M12/'Output-Calculation-sheet'!M11*'Output-Calculation-sheet'!M83</f>
        <v>2719360970.1639919</v>
      </c>
      <c r="N100" s="2">
        <f>N12/'Output-Calculation-sheet'!N11*'Output-Calculation-sheet'!N83</f>
        <v>1972816983.2252767</v>
      </c>
      <c r="O100" s="2">
        <f>O12/'Output-Calculation-sheet'!O11*'Output-Calculation-sheet'!O83</f>
        <v>1571727544.4941437</v>
      </c>
      <c r="P100" s="2">
        <f>P12/'Output-Calculation-sheet'!P11*'Output-Calculation-sheet'!P83</f>
        <v>3117998738.6659393</v>
      </c>
      <c r="Q100" s="2">
        <f>Q12/'Output-Calculation-sheet'!Q11*'Output-Calculation-sheet'!Q83</f>
        <v>1815244555.9445007</v>
      </c>
      <c r="R100" s="2">
        <f>R12/'Output-Calculation-sheet'!R11*'Output-Calculation-sheet'!R83</f>
        <v>2358801078.7415886</v>
      </c>
      <c r="S100" s="2">
        <f>S12/'Output-Calculation-sheet'!S11*'Output-Calculation-sheet'!S83</f>
        <v>1496934919.6896024</v>
      </c>
      <c r="T100" s="2">
        <f>T12/'Output-Calculation-sheet'!T11*'Output-Calculation-sheet'!T83</f>
        <v>925720028.73931813</v>
      </c>
      <c r="U100" s="2">
        <f>U12/'Output-Calculation-sheet'!U11*'Output-Calculation-sheet'!U83</f>
        <v>873520905.03094149</v>
      </c>
      <c r="V100" s="2">
        <f>V12/'Output-Calculation-sheet'!V11*'Output-Calculation-sheet'!V83</f>
        <v>575166767.91015768</v>
      </c>
      <c r="W100" s="2">
        <f>W12/'Output-Calculation-sheet'!W11*'Output-Calculation-sheet'!W83</f>
        <v>632987076.56457508</v>
      </c>
      <c r="X100" s="2">
        <f>X12/'Output-Calculation-sheet'!X11*'Output-Calculation-sheet'!X83</f>
        <v>309909882.99037886</v>
      </c>
      <c r="Y100" s="2">
        <f>Y12/'Output-Calculation-sheet'!Y11*'Output-Calculation-sheet'!Y83</f>
        <v>330638690.16656142</v>
      </c>
      <c r="AA100" s="2">
        <f t="shared" si="8"/>
        <v>102.74585493250638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1664.6641846402795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512.43526552551441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352.60533263717451</v>
      </c>
      <c r="N107" s="2">
        <f>N8/'Output-Calculation-sheet'!N7*'Output-Calculation-sheet'!N88</f>
        <v>138.62154329395929</v>
      </c>
      <c r="O107" s="2">
        <f>O8/'Output-Calculation-sheet'!O7*'Output-Calculation-sheet'!O88</f>
        <v>388.07760645993011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38.681538350171749</v>
      </c>
      <c r="Y107" s="2">
        <f>Y8/'Output-Calculation-sheet'!Y7*'Output-Calculation-sheet'!Y88</f>
        <v>0</v>
      </c>
      <c r="AA107" s="2">
        <f t="shared" si="9"/>
        <v>3.095085470907029</v>
      </c>
    </row>
    <row r="108" spans="1:27" x14ac:dyDescent="0.25">
      <c r="A108" s="2">
        <v>2032</v>
      </c>
      <c r="B108" s="2">
        <f>B9/'Output-Calculation-sheet'!B8*'Output-Calculation-sheet'!B89</f>
        <v>718.23825283625501</v>
      </c>
      <c r="C108" s="2">
        <f>C9/'Output-Calculation-sheet'!C8*'Output-Calculation-sheet'!C89</f>
        <v>2727.1399896791072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734.56098709100354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505.44944624350461</v>
      </c>
      <c r="N108" s="2">
        <f>N9/'Output-Calculation-sheet'!N8*'Output-Calculation-sheet'!N89</f>
        <v>354.83916744678282</v>
      </c>
      <c r="O108" s="2">
        <f>O9/'Output-Calculation-sheet'!O8*'Output-Calculation-sheet'!O89</f>
        <v>529.80753788114407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162.72484834520188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55.448855502873108</v>
      </c>
      <c r="Y108" s="2">
        <f>Y9/'Output-Calculation-sheet'!Y8*'Output-Calculation-sheet'!Y89</f>
        <v>0</v>
      </c>
      <c r="AA108" s="2">
        <f t="shared" si="9"/>
        <v>5.7882090850258736</v>
      </c>
    </row>
    <row r="109" spans="1:27" x14ac:dyDescent="0.25">
      <c r="A109" s="2">
        <v>2033</v>
      </c>
      <c r="B109" s="2">
        <f>B10/'Output-Calculation-sheet'!B9*'Output-Calculation-sheet'!B90</f>
        <v>3430.0155335803188</v>
      </c>
      <c r="C109" s="2">
        <f>C10/'Output-Calculation-sheet'!C9*'Output-Calculation-sheet'!C90</f>
        <v>3255.9295226579829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1002.2760895983022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689.6634906746076</v>
      </c>
      <c r="N109" s="2">
        <f>N10/'Output-Calculation-sheet'!N9*'Output-Calculation-sheet'!N90</f>
        <v>542.26189216024386</v>
      </c>
      <c r="O109" s="2">
        <f>O10/'Output-Calculation-sheet'!O9*'Output-Calculation-sheet'!O90</f>
        <v>632.53665394600125</v>
      </c>
      <c r="P109" s="2">
        <f>P10/'Output-Calculation-sheet'!P9*'Output-Calculation-sheet'!P90</f>
        <v>0</v>
      </c>
      <c r="Q109" s="2">
        <f>Q10/'Output-Calculation-sheet'!Q9*'Output-Calculation-sheet'!Q90</f>
        <v>118.77611028877584</v>
      </c>
      <c r="R109" s="2">
        <f>R10/'Output-Calculation-sheet'!R9*'Output-Calculation-sheet'!R90</f>
        <v>0</v>
      </c>
      <c r="S109" s="2">
        <f>S10/'Output-Calculation-sheet'!S9*'Output-Calculation-sheet'!S90</f>
        <v>271.98783183966265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75.657519311239767</v>
      </c>
      <c r="Y109" s="2">
        <f>Y10/'Output-Calculation-sheet'!Y9*'Output-Calculation-sheet'!Y90</f>
        <v>0</v>
      </c>
      <c r="AA109" s="2">
        <f t="shared" si="9"/>
        <v>10.019104644057135</v>
      </c>
    </row>
    <row r="110" spans="1:27" x14ac:dyDescent="0.25">
      <c r="A110" s="2">
        <v>2034</v>
      </c>
      <c r="B110" s="2">
        <f>B11/'Output-Calculation-sheet'!B10*'Output-Calculation-sheet'!B91</f>
        <v>5496.0206104581121</v>
      </c>
      <c r="C110" s="2">
        <f>C11/'Output-Calculation-sheet'!C10*'Output-Calculation-sheet'!C91</f>
        <v>3767.8890734842748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1070.6521086901546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736.71284613136629</v>
      </c>
      <c r="N110" s="2">
        <f>N11/'Output-Calculation-sheet'!N10*'Output-Calculation-sheet'!N91</f>
        <v>663.73014710572431</v>
      </c>
      <c r="O110" s="2">
        <f>O11/'Output-Calculation-sheet'!O10*'Output-Calculation-sheet'!O91</f>
        <v>731.99617202887396</v>
      </c>
      <c r="P110" s="2">
        <f>P11/'Output-Calculation-sheet'!P10*'Output-Calculation-sheet'!P91</f>
        <v>167.22820119637265</v>
      </c>
      <c r="Q110" s="2">
        <f>Q11/'Output-Calculation-sheet'!Q10*'Output-Calculation-sheet'!Q91</f>
        <v>370.06405546882746</v>
      </c>
      <c r="R110" s="2">
        <f>R11/'Output-Calculation-sheet'!R10*'Output-Calculation-sheet'!R91</f>
        <v>0</v>
      </c>
      <c r="S110" s="2">
        <f>S11/'Output-Calculation-sheet'!S10*'Output-Calculation-sheet'!S91</f>
        <v>380.47303341349613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80.818931459603846</v>
      </c>
      <c r="Y110" s="2">
        <f>Y11/'Output-Calculation-sheet'!Y10*'Output-Calculation-sheet'!Y91</f>
        <v>19.497953695105711</v>
      </c>
      <c r="AA110" s="2">
        <f t="shared" si="9"/>
        <v>13.48508313313191</v>
      </c>
    </row>
    <row r="111" spans="1:27" x14ac:dyDescent="0.25">
      <c r="A111" s="2">
        <v>2035</v>
      </c>
      <c r="B111" s="2">
        <f>B12/'Output-Calculation-sheet'!B11*'Output-Calculation-sheet'!B92</f>
        <v>7546.1000452643038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1680.9360250368527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373.32907772569769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596.97627570064731</v>
      </c>
      <c r="Q111" s="2">
        <f>Q12/'Output-Calculation-sheet'!Q11*'Output-Calculation-sheet'!Q92</f>
        <v>566.17106792814855</v>
      </c>
      <c r="R111" s="2">
        <f>R12/'Output-Calculation-sheet'!R11*'Output-Calculation-sheet'!R92</f>
        <v>86.379280437624303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125.06027047528944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58.896016466658729</v>
      </c>
      <c r="AA111" s="2">
        <f t="shared" si="9"/>
        <v>18.428601764851976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7825556065.3724146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2407762944.6161137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1672398849.9760571</v>
      </c>
      <c r="N118" s="2">
        <f>N8/'Output-Calculation-sheet'!N7*'Output-Calculation-sheet'!N97</f>
        <v>1312356254.4207666</v>
      </c>
      <c r="O118" s="2">
        <f>O8/'Output-Calculation-sheet'!O7*'Output-Calculation-sheet'!O97</f>
        <v>873256934.02712214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475260922.46490753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180252854.09442669</v>
      </c>
      <c r="Y118" s="2">
        <f>Y8/'Output-Calculation-sheet'!Y7*'Output-Calculation-sheet'!Y97</f>
        <v>0</v>
      </c>
      <c r="AA118" s="2">
        <f t="shared" si="10"/>
        <v>16081.782620243479</v>
      </c>
    </row>
    <row r="119" spans="1:27" x14ac:dyDescent="0.25">
      <c r="A119" s="2">
        <v>2032</v>
      </c>
      <c r="B119" s="2">
        <f>B9/'Output-Calculation-sheet'!B8*'Output-Calculation-sheet'!B98</f>
        <v>5388260683.8556538</v>
      </c>
      <c r="C119" s="2">
        <f>C9/'Output-Calculation-sheet'!C8*'Output-Calculation-sheet'!C98</f>
        <v>4282698426.2044163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2560206701.8108888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1787033865.6442919</v>
      </c>
      <c r="N119" s="2">
        <f>N9/'Output-Calculation-sheet'!N8*'Output-Calculation-sheet'!N98</f>
        <v>1206830128.330713</v>
      </c>
      <c r="O119" s="2">
        <f>O9/'Output-Calculation-sheet'!O8*'Output-Calculation-sheet'!O98</f>
        <v>836760135.72430372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501534255.08474672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191219030.21347675</v>
      </c>
      <c r="Y119" s="2">
        <f>Y9/'Output-Calculation-sheet'!Y8*'Output-Calculation-sheet'!Y98</f>
        <v>0</v>
      </c>
      <c r="AA119" s="2">
        <f t="shared" si="10"/>
        <v>16754.543226868493</v>
      </c>
    </row>
    <row r="120" spans="1:27" x14ac:dyDescent="0.25">
      <c r="A120" s="2">
        <v>2033</v>
      </c>
      <c r="B120" s="2">
        <f>B10/'Output-Calculation-sheet'!B9*'Output-Calculation-sheet'!B99</f>
        <v>4934534383.4887238</v>
      </c>
      <c r="C120" s="2">
        <f>C10/'Output-Calculation-sheet'!C9*'Output-Calculation-sheet'!C99</f>
        <v>4056493668.0572181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1330028180.8405023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941404995.44077551</v>
      </c>
      <c r="N120" s="2">
        <f>N10/'Output-Calculation-sheet'!N9*'Output-Calculation-sheet'!N99</f>
        <v>938481036.8640449</v>
      </c>
      <c r="O120" s="2">
        <f>O10/'Output-Calculation-sheet'!O9*'Output-Calculation-sheet'!O99</f>
        <v>794174084.7239536</v>
      </c>
      <c r="P120" s="2">
        <f>P10/'Output-Calculation-sheet'!P9*'Output-Calculation-sheet'!P99</f>
        <v>0</v>
      </c>
      <c r="Q120" s="2">
        <f>Q10/'Output-Calculation-sheet'!Q9*'Output-Calculation-sheet'!Q99</f>
        <v>5812743.0990898199</v>
      </c>
      <c r="R120" s="2">
        <f>R10/'Output-Calculation-sheet'!R9*'Output-Calculation-sheet'!R99</f>
        <v>0</v>
      </c>
      <c r="S120" s="2">
        <f>S10/'Output-Calculation-sheet'!S9*'Output-Calculation-sheet'!S99</f>
        <v>393029733.93514305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94003465.527725831</v>
      </c>
      <c r="Y120" s="2">
        <f>Y10/'Output-Calculation-sheet'!Y9*'Output-Calculation-sheet'!Y99</f>
        <v>0</v>
      </c>
      <c r="AA120" s="2">
        <f t="shared" si="10"/>
        <v>13487.962291977175</v>
      </c>
    </row>
    <row r="121" spans="1:27" x14ac:dyDescent="0.25">
      <c r="A121" s="2">
        <v>2034</v>
      </c>
      <c r="B121" s="2">
        <f>B11/'Output-Calculation-sheet'!B10*'Output-Calculation-sheet'!B100</f>
        <v>4116634433.3353648</v>
      </c>
      <c r="C121" s="2">
        <f>C11/'Output-Calculation-sheet'!C10*'Output-Calculation-sheet'!C100</f>
        <v>494644788.72456604</v>
      </c>
      <c r="D121" s="2">
        <f>D11/'Output-Calculation-sheet'!D10*'Output-Calculation-sheet'!D100</f>
        <v>0</v>
      </c>
      <c r="E121" s="2">
        <f>E11/'Output-Calculation-sheet'!E10*'Output-Calculation-sheet'!E100</f>
        <v>570859045.88377285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1302445972.7927663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474830579.47331154</v>
      </c>
      <c r="M121" s="2">
        <f>M11/'Output-Calculation-sheet'!M10*'Output-Calculation-sheet'!M100</f>
        <v>926945816.70481563</v>
      </c>
      <c r="N121" s="2">
        <f>N11/'Output-Calculation-sheet'!N10*'Output-Calculation-sheet'!N100</f>
        <v>617974063.97874987</v>
      </c>
      <c r="O121" s="2">
        <f>O11/'Output-Calculation-sheet'!O10*'Output-Calculation-sheet'!O100</f>
        <v>97026202.292163312</v>
      </c>
      <c r="P121" s="2">
        <f>P11/'Output-Calculation-sheet'!P10*'Output-Calculation-sheet'!P100</f>
        <v>0</v>
      </c>
      <c r="Q121" s="2">
        <f>Q11/'Output-Calculation-sheet'!Q10*'Output-Calculation-sheet'!Q100</f>
        <v>190898057.94502619</v>
      </c>
      <c r="R121" s="2">
        <f>R11/'Output-Calculation-sheet'!R10*'Output-Calculation-sheet'!R100</f>
        <v>0</v>
      </c>
      <c r="S121" s="2">
        <f>S11/'Output-Calculation-sheet'!S10*'Output-Calculation-sheet'!S100</f>
        <v>231055927.70311698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91078912.301675767</v>
      </c>
      <c r="Y121" s="2">
        <f>Y11/'Output-Calculation-sheet'!Y10*'Output-Calculation-sheet'!Y100</f>
        <v>6508846.573661386</v>
      </c>
      <c r="AA121" s="2">
        <f t="shared" si="10"/>
        <v>9120.9026477089919</v>
      </c>
    </row>
    <row r="122" spans="1:27" x14ac:dyDescent="0.25">
      <c r="A122" s="2">
        <v>2035</v>
      </c>
      <c r="B122" s="2">
        <f>B12/'Output-Calculation-sheet'!B11*'Output-Calculation-sheet'!B101</f>
        <v>1326804310.6080146</v>
      </c>
      <c r="C122" s="2">
        <f>C12/'Output-Calculation-sheet'!C11*'Output-Calculation-sheet'!C101</f>
        <v>228183796.59721899</v>
      </c>
      <c r="D122" s="2">
        <f>D12/'Output-Calculation-sheet'!D11*'Output-Calculation-sheet'!D101</f>
        <v>0</v>
      </c>
      <c r="E122" s="2">
        <f>E12/'Output-Calculation-sheet'!E11*'Output-Calculation-sheet'!E101</f>
        <v>1326153519.828357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355883854.99502587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778382122.83171523</v>
      </c>
      <c r="M122" s="2">
        <f>M12/'Output-Calculation-sheet'!M11*'Output-Calculation-sheet'!M101</f>
        <v>321019153.59873122</v>
      </c>
      <c r="N122" s="2">
        <f>N12/'Output-Calculation-sheet'!N11*'Output-Calculation-sheet'!N101</f>
        <v>269142161.45082384</v>
      </c>
      <c r="O122" s="2">
        <f>O12/'Output-Calculation-sheet'!O11*'Output-Calculation-sheet'!O101</f>
        <v>38891361.677189298</v>
      </c>
      <c r="P122" s="2">
        <f>P12/'Output-Calculation-sheet'!P11*'Output-Calculation-sheet'!P101</f>
        <v>16537352.103514126</v>
      </c>
      <c r="Q122" s="2">
        <f>Q12/'Output-Calculation-sheet'!Q11*'Output-Calculation-sheet'!Q101</f>
        <v>325978224.21015936</v>
      </c>
      <c r="R122" s="2">
        <f>R12/'Output-Calculation-sheet'!R11*'Output-Calculation-sheet'!R101</f>
        <v>0</v>
      </c>
      <c r="S122" s="2">
        <f>S12/'Output-Calculation-sheet'!S11*'Output-Calculation-sheet'!S101</f>
        <v>131780476.0338003</v>
      </c>
      <c r="T122" s="2">
        <f>T12/'Output-Calculation-sheet'!T11*'Output-Calculation-sheet'!T101</f>
        <v>0</v>
      </c>
      <c r="U122" s="2">
        <f>U12/'Output-Calculation-sheet'!U11*'Output-Calculation-sheet'!U101</f>
        <v>48454069.432306163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11385590.509338666</v>
      </c>
      <c r="Y122" s="2">
        <f>Y12/'Output-Calculation-sheet'!Y11*'Output-Calculation-sheet'!Y101</f>
        <v>47045915.442052595</v>
      </c>
      <c r="AA122" s="2">
        <f t="shared" si="10"/>
        <v>5225.6419093182458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2177743545.0082088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2185298837.5665202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143146.56724704782</v>
      </c>
    </row>
    <row r="130" spans="1:27" x14ac:dyDescent="0.25">
      <c r="A130" s="2">
        <v>2032</v>
      </c>
      <c r="B130" s="2">
        <f>B9/'Output-Calculation-sheet'!B8*'Output-Calculation-sheet'!B107</f>
        <v>48760672629.960381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1773921182.5017087</v>
      </c>
      <c r="O130" s="2">
        <f>O9/'Output-Calculation-sheet'!O8*'Output-Calculation-sheet'!O107</f>
        <v>0</v>
      </c>
      <c r="P130" s="2">
        <f>P9/'Output-Calculation-sheet'!P8*'Output-Calculation-sheet'!P107</f>
        <v>5412882865.8712921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1575523114.7754323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171722.14419726148</v>
      </c>
    </row>
    <row r="131" spans="1:27" x14ac:dyDescent="0.25">
      <c r="A131" s="2">
        <v>2033</v>
      </c>
      <c r="B131" s="2">
        <f>B10/'Output-Calculation-sheet'!B9*'Output-Calculation-sheet'!B108</f>
        <v>36810124884.570938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1348822758.7365582</v>
      </c>
      <c r="O131" s="2">
        <f>O10/'Output-Calculation-sheet'!O9*'Output-Calculation-sheet'!O108</f>
        <v>0</v>
      </c>
      <c r="P131" s="2">
        <f>P10/'Output-Calculation-sheet'!P9*'Output-Calculation-sheet'!P108</f>
        <v>6203613678.5795383</v>
      </c>
      <c r="Q131" s="2">
        <f>Q10/'Output-Calculation-sheet'!Q9*'Output-Calculation-sheet'!Q108</f>
        <v>5233130419.9160986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1308286197.3153081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175688.92967680327</v>
      </c>
    </row>
    <row r="132" spans="1:27" x14ac:dyDescent="0.25">
      <c r="A132" s="2">
        <v>2034</v>
      </c>
      <c r="B132" s="2">
        <f>B11/'Output-Calculation-sheet'!B10*'Output-Calculation-sheet'!B109</f>
        <v>23954100496.20332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23122878663.514771</v>
      </c>
      <c r="F132" s="2">
        <f>F11/'Output-Calculation-sheet'!F10*'Output-Calculation-sheet'!F109</f>
        <v>15250087616.154617</v>
      </c>
      <c r="G132" s="2">
        <f>G11/'Output-Calculation-sheet'!G10*'Output-Calculation-sheet'!G109</f>
        <v>10715426805.971218</v>
      </c>
      <c r="H132" s="2">
        <f>H11/'Output-Calculation-sheet'!H10*'Output-Calculation-sheet'!H109</f>
        <v>0</v>
      </c>
      <c r="I132" s="2">
        <f>I11/'Output-Calculation-sheet'!I10*'Output-Calculation-sheet'!I109</f>
        <v>9761913773.5780735</v>
      </c>
      <c r="J132" s="2">
        <f>J11/'Output-Calculation-sheet'!J10*'Output-Calculation-sheet'!J109</f>
        <v>9501638118.3797226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7074435968.6292725</v>
      </c>
      <c r="M132" s="2">
        <f>M11/'Output-Calculation-sheet'!M10*'Output-Calculation-sheet'!M109</f>
        <v>0</v>
      </c>
      <c r="N132" s="2">
        <f>N11/'Output-Calculation-sheet'!N10*'Output-Calculation-sheet'!N109</f>
        <v>930168824.62298894</v>
      </c>
      <c r="O132" s="2">
        <f>O11/'Output-Calculation-sheet'!O10*'Output-Calculation-sheet'!O109</f>
        <v>0</v>
      </c>
      <c r="P132" s="2">
        <f>P11/'Output-Calculation-sheet'!P10*'Output-Calculation-sheet'!P109</f>
        <v>5284965689.4162693</v>
      </c>
      <c r="Q132" s="2">
        <f>Q11/'Output-Calculation-sheet'!Q10*'Output-Calculation-sheet'!Q109</f>
        <v>3430695647.3171954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638384337.98558497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1953504023.1330876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629851514.13940263</v>
      </c>
      <c r="AA132" s="2">
        <f t="shared" si="11"/>
        <v>162661.9862239139</v>
      </c>
    </row>
    <row r="133" spans="1:27" x14ac:dyDescent="0.25">
      <c r="A133" s="2">
        <v>2035</v>
      </c>
      <c r="B133" s="2">
        <f>B12/'Output-Calculation-sheet'!B11*'Output-Calculation-sheet'!B110</f>
        <v>317922094.97194958</v>
      </c>
      <c r="C133" s="2">
        <f>C12/'Output-Calculation-sheet'!C11*'Output-Calculation-sheet'!C110</f>
        <v>0</v>
      </c>
      <c r="D133" s="2">
        <f>D12/'Output-Calculation-sheet'!D11*'Output-Calculation-sheet'!D110</f>
        <v>26877538378.573929</v>
      </c>
      <c r="E133" s="2">
        <f>E12/'Output-Calculation-sheet'!E11*'Output-Calculation-sheet'!E110</f>
        <v>10317262232.673986</v>
      </c>
      <c r="F133" s="2">
        <f>F12/'Output-Calculation-sheet'!F11*'Output-Calculation-sheet'!F110</f>
        <v>14074535521.541416</v>
      </c>
      <c r="G133" s="2">
        <f>G12/'Output-Calculation-sheet'!G11*'Output-Calculation-sheet'!G110</f>
        <v>9594572796.4131985</v>
      </c>
      <c r="H133" s="2">
        <f>H12/'Output-Calculation-sheet'!H11*'Output-Calculation-sheet'!H110</f>
        <v>0</v>
      </c>
      <c r="I133" s="2">
        <f>I12/'Output-Calculation-sheet'!I11*'Output-Calculation-sheet'!I110</f>
        <v>8963788190.712368</v>
      </c>
      <c r="J133" s="2">
        <f>J12/'Output-Calculation-sheet'!J11*'Output-Calculation-sheet'!J110</f>
        <v>8581836145.7408018</v>
      </c>
      <c r="K133" s="2">
        <f>K12/'Output-Calculation-sheet'!K11*'Output-Calculation-sheet'!K110</f>
        <v>8668246436.9946671</v>
      </c>
      <c r="L133" s="2">
        <f>L12/'Output-Calculation-sheet'!L11*'Output-Calculation-sheet'!L110</f>
        <v>4091946429.1726208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1493010828.4320076</v>
      </c>
      <c r="Q133" s="2">
        <f>Q12/'Output-Calculation-sheet'!Q11*'Output-Calculation-sheet'!Q110</f>
        <v>1280757009.2072923</v>
      </c>
      <c r="R133" s="2">
        <f>R12/'Output-Calculation-sheet'!R11*'Output-Calculation-sheet'!R110</f>
        <v>5149600644.2754526</v>
      </c>
      <c r="S133" s="2">
        <f>S12/'Output-Calculation-sheet'!S11*'Output-Calculation-sheet'!S110</f>
        <v>1325118.7864308732</v>
      </c>
      <c r="T133" s="2">
        <f>T12/'Output-Calculation-sheet'!T11*'Output-Calculation-sheet'!T110</f>
        <v>2078953299.1337581</v>
      </c>
      <c r="U133" s="2">
        <f>U12/'Output-Calculation-sheet'!U11*'Output-Calculation-sheet'!U110</f>
        <v>975977388.81303847</v>
      </c>
      <c r="V133" s="2">
        <f>V12/'Output-Calculation-sheet'!V11*'Output-Calculation-sheet'!V110</f>
        <v>1402235542.596415</v>
      </c>
      <c r="W133" s="2">
        <f>W12/'Output-Calculation-sheet'!W11*'Output-Calculation-sheet'!W110</f>
        <v>1209516628.5544276</v>
      </c>
      <c r="X133" s="2">
        <f>X12/'Output-Calculation-sheet'!X11*'Output-Calculation-sheet'!X110</f>
        <v>0</v>
      </c>
      <c r="Y133" s="2">
        <f>Y12/'Output-Calculation-sheet'!Y11*'Output-Calculation-sheet'!Y110</f>
        <v>276884428.05365366</v>
      </c>
      <c r="AA133" s="2">
        <f t="shared" si="11"/>
        <v>105355.90911464741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14164493509.208752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4452959970.363615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3060898203.2727981</v>
      </c>
      <c r="N140" s="2">
        <f>N8/'Output-Calculation-sheet'!N7*'Output-Calculation-sheet'!N115</f>
        <v>1155610394.411068</v>
      </c>
      <c r="O140" s="2">
        <f>O8/'Output-Calculation-sheet'!O7*'Output-Calculation-sheet'!O115</f>
        <v>3399409473.516355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332376794.91519302</v>
      </c>
      <c r="Y140" s="2">
        <f>Y8/'Output-Calculation-sheet'!Y7*'Output-Calculation-sheet'!Y115</f>
        <v>0</v>
      </c>
      <c r="AA140" s="2">
        <f t="shared" si="12"/>
        <v>26565.748345687774</v>
      </c>
    </row>
    <row r="141" spans="1:27" x14ac:dyDescent="0.25">
      <c r="A141" s="2">
        <v>2032</v>
      </c>
      <c r="B141" s="2">
        <f>B9/'Output-Calculation-sheet'!B8*'Output-Calculation-sheet'!B116</f>
        <v>5574470013.95364</v>
      </c>
      <c r="C141" s="2">
        <f>C9/'Output-Calculation-sheet'!C8*'Output-Calculation-sheet'!C116</f>
        <v>23862027764.986088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6220727160.9437571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4271040318.7250166</v>
      </c>
      <c r="N141" s="2">
        <f>N9/'Output-Calculation-sheet'!N8*'Output-Calculation-sheet'!N116</f>
        <v>2965221336.8805299</v>
      </c>
      <c r="O141" s="2">
        <f>O9/'Output-Calculation-sheet'!O8*'Output-Calculation-sheet'!O116</f>
        <v>4631759832.5174007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1328152287.2820923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464887730.97327203</v>
      </c>
      <c r="Y141" s="2">
        <f>Y9/'Output-Calculation-sheet'!Y8*'Output-Calculation-sheet'!Y116</f>
        <v>0</v>
      </c>
      <c r="AA141" s="2">
        <f t="shared" si="12"/>
        <v>49318.286446261794</v>
      </c>
    </row>
    <row r="142" spans="1:27" x14ac:dyDescent="0.25">
      <c r="A142" s="2">
        <v>2033</v>
      </c>
      <c r="B142" s="2">
        <f>B10/'Output-Calculation-sheet'!B9*'Output-Calculation-sheet'!B117</f>
        <v>26706902766.269405</v>
      </c>
      <c r="C142" s="2">
        <f>C10/'Output-Calculation-sheet'!C9*'Output-Calculation-sheet'!C117</f>
        <v>28201385785.778503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8734177482.2760391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6002014174.6454277</v>
      </c>
      <c r="N142" s="2">
        <f>N10/'Output-Calculation-sheet'!N9*'Output-Calculation-sheet'!N117</f>
        <v>4527630633.6117077</v>
      </c>
      <c r="O142" s="2">
        <f>O10/'Output-Calculation-sheet'!O9*'Output-Calculation-sheet'!O117</f>
        <v>5473531070.5432796</v>
      </c>
      <c r="P142" s="2">
        <f>P10/'Output-Calculation-sheet'!P9*'Output-Calculation-sheet'!P117</f>
        <v>0</v>
      </c>
      <c r="Q142" s="2">
        <f>Q10/'Output-Calculation-sheet'!Q9*'Output-Calculation-sheet'!Q117</f>
        <v>864713221.10559118</v>
      </c>
      <c r="R142" s="2">
        <f>R10/'Output-Calculation-sheet'!R9*'Output-Calculation-sheet'!R117</f>
        <v>0</v>
      </c>
      <c r="S142" s="2">
        <f>S10/'Output-Calculation-sheet'!S9*'Output-Calculation-sheet'!S117</f>
        <v>2201541166.3316045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657988729.13696015</v>
      </c>
      <c r="Y142" s="2">
        <f>Y10/'Output-Calculation-sheet'!Y9*'Output-Calculation-sheet'!Y117</f>
        <v>0</v>
      </c>
      <c r="AA142" s="2">
        <f t="shared" si="12"/>
        <v>83369.885029698518</v>
      </c>
    </row>
    <row r="143" spans="1:27" x14ac:dyDescent="0.25">
      <c r="A143" s="2">
        <v>2034</v>
      </c>
      <c r="B143" s="2">
        <f>B11/'Output-Calculation-sheet'!B10*'Output-Calculation-sheet'!B118</f>
        <v>43019169463.394447</v>
      </c>
      <c r="C143" s="2">
        <f>C11/'Output-Calculation-sheet'!C10*'Output-Calculation-sheet'!C118</f>
        <v>33006708283.722248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9149623748.5631714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6284063305.8909998</v>
      </c>
      <c r="N143" s="2">
        <f>N11/'Output-Calculation-sheet'!N10*'Output-Calculation-sheet'!N118</f>
        <v>5529471598.3098526</v>
      </c>
      <c r="O143" s="2">
        <f>O11/'Output-Calculation-sheet'!O10*'Output-Calculation-sheet'!O118</f>
        <v>6412286466.9729357</v>
      </c>
      <c r="P143" s="2">
        <f>P11/'Output-Calculation-sheet'!P10*'Output-Calculation-sheet'!P118</f>
        <v>1157719389.019274</v>
      </c>
      <c r="Q143" s="2">
        <f>Q11/'Output-Calculation-sheet'!Q10*'Output-Calculation-sheet'!Q118</f>
        <v>2717291104.5261326</v>
      </c>
      <c r="R143" s="2">
        <f>R11/'Output-Calculation-sheet'!R10*'Output-Calculation-sheet'!R118</f>
        <v>0</v>
      </c>
      <c r="S143" s="2">
        <f>S11/'Output-Calculation-sheet'!S10*'Output-Calculation-sheet'!S118</f>
        <v>3183863926.9133191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689894539.65896511</v>
      </c>
      <c r="Y143" s="2">
        <f>Y11/'Output-Calculation-sheet'!Y10*'Output-Calculation-sheet'!Y118</f>
        <v>123119279.96402632</v>
      </c>
      <c r="AA143" s="2">
        <f t="shared" si="12"/>
        <v>111273.21110693539</v>
      </c>
    </row>
    <row r="144" spans="1:27" x14ac:dyDescent="0.25">
      <c r="A144" s="2">
        <v>2035</v>
      </c>
      <c r="B144" s="2">
        <f>B12/'Output-Calculation-sheet'!B11*'Output-Calculation-sheet'!B119</f>
        <v>65147128112.594795</v>
      </c>
      <c r="C144" s="2">
        <f>C12/'Output-Calculation-sheet'!C11*'Output-Calculation-sheet'!C119</f>
        <v>31298128310.446068</v>
      </c>
      <c r="D144" s="2">
        <f>D12/'Output-Calculation-sheet'!D11*'Output-Calculation-sheet'!D119</f>
        <v>0</v>
      </c>
      <c r="E144" s="2">
        <f>E12/'Output-Calculation-sheet'!E11*'Output-Calculation-sheet'!E119</f>
        <v>10535369139.507015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9455711716.0125732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2170808847.8521261</v>
      </c>
      <c r="M144" s="2">
        <f>M12/'Output-Calculation-sheet'!M11*'Output-Calculation-sheet'!M119</f>
        <v>6444359268.3152561</v>
      </c>
      <c r="N144" s="2">
        <f>N12/'Output-Calculation-sheet'!N11*'Output-Calculation-sheet'!N119</f>
        <v>6367058445.7947626</v>
      </c>
      <c r="O144" s="2">
        <f>O12/'Output-Calculation-sheet'!O11*'Output-Calculation-sheet'!O119</f>
        <v>6084393065.374176</v>
      </c>
      <c r="P144" s="2">
        <f>P12/'Output-Calculation-sheet'!P11*'Output-Calculation-sheet'!P119</f>
        <v>4544867458.3738146</v>
      </c>
      <c r="Q144" s="2">
        <f>Q12/'Output-Calculation-sheet'!Q11*'Output-Calculation-sheet'!Q119</f>
        <v>4293542173.8774343</v>
      </c>
      <c r="R144" s="2">
        <f>R12/'Output-Calculation-sheet'!R11*'Output-Calculation-sheet'!R119</f>
        <v>483345976.96311873</v>
      </c>
      <c r="S144" s="2">
        <f>S12/'Output-Calculation-sheet'!S11*'Output-Calculation-sheet'!S119</f>
        <v>3669446884.4280219</v>
      </c>
      <c r="T144" s="2">
        <f>T12/'Output-Calculation-sheet'!T11*'Output-Calculation-sheet'!T119</f>
        <v>0</v>
      </c>
      <c r="U144" s="2">
        <f>U12/'Output-Calculation-sheet'!U11*'Output-Calculation-sheet'!U119</f>
        <v>798243284.38805354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723220142.96565688</v>
      </c>
      <c r="Y144" s="2">
        <f>Y12/'Output-Calculation-sheet'!Y11*'Output-Calculation-sheet'!Y119</f>
        <v>387036875.81442994</v>
      </c>
      <c r="AA144" s="2">
        <f t="shared" si="12"/>
        <v>152402.65970270731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282116209.59526783</v>
      </c>
      <c r="C155" s="2">
        <f>C12/'Output-Calculation-sheet'!C11*'Output-Calculation-sheet'!C128</f>
        <v>26952141.735800374</v>
      </c>
      <c r="D155" s="2">
        <f>D12/'Output-Calculation-sheet'!D11*'Output-Calculation-sheet'!D128</f>
        <v>2019024893.3140271</v>
      </c>
      <c r="E155" s="2">
        <f>E12/'Output-Calculation-sheet'!E11*'Output-Calculation-sheet'!E128</f>
        <v>301012418.01488507</v>
      </c>
      <c r="F155" s="2">
        <f>F12/'Output-Calculation-sheet'!F11*'Output-Calculation-sheet'!F128</f>
        <v>623572178.89226723</v>
      </c>
      <c r="G155" s="2">
        <f>G12/'Output-Calculation-sheet'!G11*'Output-Calculation-sheet'!G128</f>
        <v>784534229.64075315</v>
      </c>
      <c r="H155" s="2">
        <f>H12/'Output-Calculation-sheet'!H11*'Output-Calculation-sheet'!H128</f>
        <v>59453952.069411673</v>
      </c>
      <c r="I155" s="2">
        <f>I12/'Output-Calculation-sheet'!I11*'Output-Calculation-sheet'!I128</f>
        <v>471698924.89101434</v>
      </c>
      <c r="J155" s="2">
        <f>J12/'Output-Calculation-sheet'!J11*'Output-Calculation-sheet'!J128</f>
        <v>530754673.43762082</v>
      </c>
      <c r="K155" s="2">
        <f>K12/'Output-Calculation-sheet'!K11*'Output-Calculation-sheet'!K128</f>
        <v>397864709.393327</v>
      </c>
      <c r="L155" s="2">
        <f>L12/'Output-Calculation-sheet'!L11*'Output-Calculation-sheet'!L128</f>
        <v>126247149.64336129</v>
      </c>
      <c r="M155" s="2">
        <f>M12/'Output-Calculation-sheet'!M11*'Output-Calculation-sheet'!M128</f>
        <v>47266309.451783724</v>
      </c>
      <c r="N155" s="2">
        <f>N12/'Output-Calculation-sheet'!N11*'Output-Calculation-sheet'!N128</f>
        <v>43201161.970566832</v>
      </c>
      <c r="O155" s="2">
        <f>O12/'Output-Calculation-sheet'!O11*'Output-Calculation-sheet'!O128</f>
        <v>7631784.0014806138</v>
      </c>
      <c r="P155" s="2">
        <f>P12/'Output-Calculation-sheet'!P11*'Output-Calculation-sheet'!P128</f>
        <v>32165785.463027924</v>
      </c>
      <c r="Q155" s="2">
        <f>Q12/'Output-Calculation-sheet'!Q11*'Output-Calculation-sheet'!Q128</f>
        <v>108814911.86520034</v>
      </c>
      <c r="R155" s="2">
        <f>R12/'Output-Calculation-sheet'!R11*'Output-Calculation-sheet'!R128</f>
        <v>220351805.59268248</v>
      </c>
      <c r="S155" s="2">
        <f>S12/'Output-Calculation-sheet'!S11*'Output-Calculation-sheet'!S128</f>
        <v>26490506.475682534</v>
      </c>
      <c r="T155" s="2">
        <f>T12/'Output-Calculation-sheet'!T11*'Output-Calculation-sheet'!T128</f>
        <v>68792781.312435344</v>
      </c>
      <c r="U155" s="2">
        <f>U12/'Output-Calculation-sheet'!U11*'Output-Calculation-sheet'!U128</f>
        <v>37865109.858494453</v>
      </c>
      <c r="V155" s="2">
        <f>V12/'Output-Calculation-sheet'!V11*'Output-Calculation-sheet'!V128</f>
        <v>28207977.991168983</v>
      </c>
      <c r="W155" s="2">
        <f>W12/'Output-Calculation-sheet'!W11*'Output-Calculation-sheet'!W128</f>
        <v>45594624.597888678</v>
      </c>
      <c r="X155" s="2">
        <f>X12/'Output-Calculation-sheet'!X11*'Output-Calculation-sheet'!X128</f>
        <v>1424019.5247790578</v>
      </c>
      <c r="Y155" s="2">
        <f>Y12/'Output-Calculation-sheet'!Y11*'Output-Calculation-sheet'!Y128</f>
        <v>9550653.1278694887</v>
      </c>
      <c r="AA155" s="2">
        <f t="shared" si="13"/>
        <v>6300.5889118607975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4976.8986789644032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1507.5624556364858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1047.2127362226774</v>
      </c>
      <c r="N19" s="2">
        <f>N8/'Output-Calculation-sheet'!N7*'Output-Calculation-sheet'!N25</f>
        <v>871.15724654334622</v>
      </c>
      <c r="O19" s="2">
        <f>O8/'Output-Calculation-sheet'!O7*'Output-Calculation-sheet'!O25</f>
        <v>546.74533661496616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113.33754860642907</v>
      </c>
      <c r="Y19" s="2">
        <f>Y8/'Output-Calculation-sheet'!Y7*'Output-Calculation-sheet'!Y25</f>
        <v>0</v>
      </c>
      <c r="AA19" s="2">
        <f t="shared" si="0"/>
        <v>10.523596112896554</v>
      </c>
    </row>
    <row r="20" spans="1:27" x14ac:dyDescent="0.25">
      <c r="A20" s="2">
        <v>2032</v>
      </c>
      <c r="B20" s="2">
        <f>B9/'Output-Calculation-sheet'!B8*'Output-Calculation-sheet'!B26</f>
        <v>5155.3390532795138</v>
      </c>
      <c r="C20" s="2">
        <f>C9/'Output-Calculation-sheet'!C8*'Output-Calculation-sheet'!C26</f>
        <v>2827.0620762233307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1697.0993234692348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1185.9447196529829</v>
      </c>
      <c r="N20" s="2">
        <f>N9/'Output-Calculation-sheet'!N8*'Output-Calculation-sheet'!N26</f>
        <v>821.89200753546424</v>
      </c>
      <c r="O20" s="2">
        <f>O9/'Output-Calculation-sheet'!O8*'Output-Calculation-sheet'!O26</f>
        <v>552.35553827822355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389.86711304680546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129.04810613843679</v>
      </c>
      <c r="Y20" s="2">
        <f>Y9/'Output-Calculation-sheet'!Y8*'Output-Calculation-sheet'!Y26</f>
        <v>0</v>
      </c>
      <c r="AA20" s="2">
        <f t="shared" si="0"/>
        <v>12.75860793762399</v>
      </c>
    </row>
    <row r="21" spans="1:27" x14ac:dyDescent="0.25">
      <c r="A21" s="2">
        <v>2033</v>
      </c>
      <c r="B21" s="2">
        <f>B10/'Output-Calculation-sheet'!B9*'Output-Calculation-sheet'!B27</f>
        <v>4767.998343148558</v>
      </c>
      <c r="C21" s="2">
        <f>C10/'Output-Calculation-sheet'!C9*'Output-Calculation-sheet'!C27</f>
        <v>2930.6135643814937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960.88017553895463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680.11891486005277</v>
      </c>
      <c r="N21" s="2">
        <f>N10/'Output-Calculation-sheet'!N9*'Output-Calculation-sheet'!N27</f>
        <v>688.75458321879535</v>
      </c>
      <c r="O21" s="2">
        <f>O10/'Output-Calculation-sheet'!O9*'Output-Calculation-sheet'!O27</f>
        <v>573.75130567270935</v>
      </c>
      <c r="P21" s="2">
        <f>P10/'Output-Calculation-sheet'!P9*'Output-Calculation-sheet'!P27</f>
        <v>0</v>
      </c>
      <c r="Q21" s="2">
        <f>Q10/'Output-Calculation-sheet'!Q9*'Output-Calculation-sheet'!Q27</f>
        <v>8.1315671410542016</v>
      </c>
      <c r="R21" s="2">
        <f>R10/'Output-Calculation-sheet'!R9*'Output-Calculation-sheet'!R27</f>
        <v>0</v>
      </c>
      <c r="S21" s="2">
        <f>S10/'Output-Calculation-sheet'!S9*'Output-Calculation-sheet'!S27</f>
        <v>327.95943182056362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67.912796613362715</v>
      </c>
      <c r="Y21" s="2">
        <f>Y10/'Output-Calculation-sheet'!Y9*'Output-Calculation-sheet'!Y27</f>
        <v>0</v>
      </c>
      <c r="AA21" s="2">
        <f t="shared" si="0"/>
        <v>11.006120682395544</v>
      </c>
    </row>
    <row r="22" spans="1:27" x14ac:dyDescent="0.25">
      <c r="A22" s="2">
        <v>2034</v>
      </c>
      <c r="B22" s="2">
        <f>B11/'Output-Calculation-sheet'!B10*'Output-Calculation-sheet'!B28</f>
        <v>4055.3671192441634</v>
      </c>
      <c r="C22" s="2">
        <f>C11/'Output-Calculation-sheet'!C10*'Output-Calculation-sheet'!C28</f>
        <v>409.37326023779605</v>
      </c>
      <c r="D22" s="2">
        <f>D11/'Output-Calculation-sheet'!D10*'Output-Calculation-sheet'!D28</f>
        <v>0</v>
      </c>
      <c r="E22" s="2">
        <f>E11/'Output-Calculation-sheet'!E10*'Output-Calculation-sheet'!E28</f>
        <v>1359.3404300902796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1077.9118672386014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824.41562347981289</v>
      </c>
      <c r="M22" s="2">
        <f>M11/'Output-Calculation-sheet'!M10*'Output-Calculation-sheet'!M28</f>
        <v>767.14576725588893</v>
      </c>
      <c r="N22" s="2">
        <f>N11/'Output-Calculation-sheet'!N10*'Output-Calculation-sheet'!N28</f>
        <v>512.84132211658698</v>
      </c>
      <c r="O22" s="2">
        <f>O11/'Output-Calculation-sheet'!O10*'Output-Calculation-sheet'!O28</f>
        <v>80.299517729669958</v>
      </c>
      <c r="P22" s="2">
        <f>P11/'Output-Calculation-sheet'!P10*'Output-Calculation-sheet'!P28</f>
        <v>0</v>
      </c>
      <c r="Q22" s="2">
        <f>Q11/'Output-Calculation-sheet'!Q10*'Output-Calculation-sheet'!Q28</f>
        <v>243.11810655776173</v>
      </c>
      <c r="R22" s="2">
        <f>R11/'Output-Calculation-sheet'!R10*'Output-Calculation-sheet'!R28</f>
        <v>0</v>
      </c>
      <c r="S22" s="2">
        <f>S11/'Output-Calculation-sheet'!S10*'Output-Calculation-sheet'!S28</f>
        <v>192.02406095805867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75.377412928467137</v>
      </c>
      <c r="Y22" s="2">
        <f>Y11/'Output-Calculation-sheet'!Y10*'Output-Calculation-sheet'!Y28</f>
        <v>14.337008005623137</v>
      </c>
      <c r="AA22" s="2">
        <f t="shared" si="0"/>
        <v>9.6115514958427077</v>
      </c>
    </row>
    <row r="23" spans="1:27" x14ac:dyDescent="0.25">
      <c r="A23" s="2">
        <v>2035</v>
      </c>
      <c r="B23" s="2">
        <f>B12/'Output-Calculation-sheet'!B11*'Output-Calculation-sheet'!B29</f>
        <v>1330.229686335852</v>
      </c>
      <c r="C23" s="2">
        <f>C12/'Output-Calculation-sheet'!C11*'Output-Calculation-sheet'!C29</f>
        <v>228.77373557095709</v>
      </c>
      <c r="D23" s="2">
        <f>D12/'Output-Calculation-sheet'!D11*'Output-Calculation-sheet'!D29</f>
        <v>0</v>
      </c>
      <c r="E23" s="2">
        <f>E12/'Output-Calculation-sheet'!E11*'Output-Calculation-sheet'!E29</f>
        <v>1862.6194943290816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356.80433528866109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1127.2172748946939</v>
      </c>
      <c r="M23" s="2">
        <f>M12/'Output-Calculation-sheet'!M11*'Output-Calculation-sheet'!M29</f>
        <v>321.84949706297982</v>
      </c>
      <c r="N23" s="2">
        <f>N12/'Output-Calculation-sheet'!N11*'Output-Calculation-sheet'!N29</f>
        <v>269.83847257066162</v>
      </c>
      <c r="O23" s="2">
        <f>O12/'Output-Calculation-sheet'!O11*'Output-Calculation-sheet'!O29</f>
        <v>38.991855305090851</v>
      </c>
      <c r="P23" s="2">
        <f>P12/'Output-Calculation-sheet'!P11*'Output-Calculation-sheet'!P29</f>
        <v>17.279146183154769</v>
      </c>
      <c r="Q23" s="2">
        <f>Q12/'Output-Calculation-sheet'!Q11*'Output-Calculation-sheet'!Q29</f>
        <v>347.89585943275767</v>
      </c>
      <c r="R23" s="2">
        <f>R12/'Output-Calculation-sheet'!R11*'Output-Calculation-sheet'!R29</f>
        <v>0</v>
      </c>
      <c r="S23" s="2">
        <f>S12/'Output-Calculation-sheet'!S11*'Output-Calculation-sheet'!S29</f>
        <v>132.12139730155602</v>
      </c>
      <c r="T23" s="2">
        <f>T12/'Output-Calculation-sheet'!T11*'Output-Calculation-sheet'!T29</f>
        <v>0</v>
      </c>
      <c r="U23" s="2">
        <f>U12/'Output-Calculation-sheet'!U11*'Output-Calculation-sheet'!U29</f>
        <v>94.727605915347667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11.415062284185566</v>
      </c>
      <c r="Y23" s="2">
        <f>Y12/'Output-Calculation-sheet'!Y11*'Output-Calculation-sheet'!Y29</f>
        <v>61.174740401171455</v>
      </c>
      <c r="AA23" s="2">
        <f t="shared" si="0"/>
        <v>6.2009381628761506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993.10083342485837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38.936955196508542</v>
      </c>
    </row>
    <row r="31" spans="1:27" x14ac:dyDescent="0.25">
      <c r="A31" s="2">
        <v>2032</v>
      </c>
      <c r="B31" s="2">
        <f>B9/'Output-Calculation-sheet'!B8*'Output-Calculation-sheet'!B17</f>
        <v>21675.18013946155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847.52238733767217</v>
      </c>
      <c r="O31" s="2">
        <f>O9/'Output-Calculation-sheet'!O8*'Output-Calculation-sheet'!O17</f>
        <v>0</v>
      </c>
      <c r="P31" s="2">
        <f>P9/'Output-Calculation-sheet'!P8*'Output-Calculation-sheet'!P17</f>
        <v>2118.8116692446961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701.46697047217208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49.660976795054005</v>
      </c>
    </row>
    <row r="32" spans="1:27" x14ac:dyDescent="0.25">
      <c r="A32" s="2">
        <v>2033</v>
      </c>
      <c r="B32" s="2">
        <f>B10/'Output-Calculation-sheet'!B9*'Output-Calculation-sheet'!B18</f>
        <v>17247.110590782606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2700.2746606174223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698.08010251098074</v>
      </c>
      <c r="O32" s="2">
        <f>O10/'Output-Calculation-sheet'!O9*'Output-Calculation-sheet'!O18</f>
        <v>0</v>
      </c>
      <c r="P32" s="2">
        <f>P10/'Output-Calculation-sheet'!P9*'Output-Calculation-sheet'!P18</f>
        <v>2779.1222827267829</v>
      </c>
      <c r="Q32" s="2">
        <f>Q10/'Output-Calculation-sheet'!Q9*'Output-Calculation-sheet'!Q18</f>
        <v>2573.0829870001885</v>
      </c>
      <c r="R32" s="2">
        <f>R10/'Output-Calculation-sheet'!R9*'Output-Calculation-sheet'!R18</f>
        <v>1995.6149501909902</v>
      </c>
      <c r="S32" s="2">
        <f>S10/'Output-Calculation-sheet'!S9*'Output-Calculation-sheet'!S18</f>
        <v>635.0465538997156</v>
      </c>
      <c r="T32" s="2">
        <f>T10/'Output-Calculation-sheet'!T9*'Output-Calculation-sheet'!T18</f>
        <v>582.65915729831659</v>
      </c>
      <c r="U32" s="2">
        <f>U10/'Output-Calculation-sheet'!U9*'Output-Calculation-sheet'!U18</f>
        <v>644.12376744748838</v>
      </c>
      <c r="V32" s="2">
        <f>V10/'Output-Calculation-sheet'!V9*'Output-Calculation-sheet'!V18</f>
        <v>475.45021856280988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275.2482346998122</v>
      </c>
      <c r="AA32" s="2">
        <f t="shared" si="1"/>
        <v>54.830160483707601</v>
      </c>
    </row>
    <row r="33" spans="1:27" x14ac:dyDescent="0.25">
      <c r="A33" s="2">
        <v>2034</v>
      </c>
      <c r="B33" s="2">
        <f>B11/'Output-Calculation-sheet'!B10*'Output-Calculation-sheet'!B19</f>
        <v>12270.137199188553</v>
      </c>
      <c r="C33" s="2">
        <f>C11/'Output-Calculation-sheet'!C10*'Output-Calculation-sheet'!C19</f>
        <v>0</v>
      </c>
      <c r="D33" s="2">
        <f>D11/'Output-Calculation-sheet'!D10*'Output-Calculation-sheet'!D19</f>
        <v>8159.4114524527668</v>
      </c>
      <c r="E33" s="2">
        <f>E11/'Output-Calculation-sheet'!E10*'Output-Calculation-sheet'!E19</f>
        <v>10114.46244618916</v>
      </c>
      <c r="F33" s="2">
        <f>F11/'Output-Calculation-sheet'!F10*'Output-Calculation-sheet'!F19</f>
        <v>4631.2370556389405</v>
      </c>
      <c r="G33" s="2">
        <f>G11/'Output-Calculation-sheet'!G10*'Output-Calculation-sheet'!G19</f>
        <v>2777.1776076751376</v>
      </c>
      <c r="H33" s="2">
        <f>H11/'Output-Calculation-sheet'!H10*'Output-Calculation-sheet'!H19</f>
        <v>0</v>
      </c>
      <c r="I33" s="2">
        <f>I11/'Output-Calculation-sheet'!I10*'Output-Calculation-sheet'!I19</f>
        <v>3030.6849384820239</v>
      </c>
      <c r="J33" s="2">
        <f>J11/'Output-Calculation-sheet'!J10*'Output-Calculation-sheet'!J19</f>
        <v>2562.3487781106282</v>
      </c>
      <c r="K33" s="2">
        <f>K11/'Output-Calculation-sheet'!K10*'Output-Calculation-sheet'!K19</f>
        <v>3554.5288785828388</v>
      </c>
      <c r="L33" s="2">
        <f>L11/'Output-Calculation-sheet'!L10*'Output-Calculation-sheet'!L19</f>
        <v>2890.9075486456218</v>
      </c>
      <c r="M33" s="2">
        <f>M11/'Output-Calculation-sheet'!M10*'Output-Calculation-sheet'!M19</f>
        <v>0</v>
      </c>
      <c r="N33" s="2">
        <f>N11/'Output-Calculation-sheet'!N10*'Output-Calculation-sheet'!N19</f>
        <v>548.75231700268046</v>
      </c>
      <c r="O33" s="2">
        <f>O11/'Output-Calculation-sheet'!O10*'Output-Calculation-sheet'!O19</f>
        <v>0</v>
      </c>
      <c r="P33" s="2">
        <f>P11/'Output-Calculation-sheet'!P10*'Output-Calculation-sheet'!P19</f>
        <v>2716.4133811376892</v>
      </c>
      <c r="Q33" s="2">
        <f>Q11/'Output-Calculation-sheet'!Q10*'Output-Calculation-sheet'!Q19</f>
        <v>1755.9999028288189</v>
      </c>
      <c r="R33" s="2">
        <f>R11/'Output-Calculation-sheet'!R10*'Output-Calculation-sheet'!R19</f>
        <v>2568.4038250758836</v>
      </c>
      <c r="S33" s="2">
        <f>S11/'Output-Calculation-sheet'!S10*'Output-Calculation-sheet'!S19</f>
        <v>348.84132963985735</v>
      </c>
      <c r="T33" s="2">
        <f>T11/'Output-Calculation-sheet'!T10*'Output-Calculation-sheet'!T19</f>
        <v>753.2991153054528</v>
      </c>
      <c r="U33" s="2">
        <f>U11/'Output-Calculation-sheet'!U10*'Output-Calculation-sheet'!U19</f>
        <v>866.51882606097081</v>
      </c>
      <c r="V33" s="2">
        <f>V11/'Output-Calculation-sheet'!V10*'Output-Calculation-sheet'!V19</f>
        <v>590.90003537295411</v>
      </c>
      <c r="W33" s="2">
        <f>W11/'Output-Calculation-sheet'!W10*'Output-Calculation-sheet'!W19</f>
        <v>367.8739881517925</v>
      </c>
      <c r="X33" s="2">
        <f>X11/'Output-Calculation-sheet'!X10*'Output-Calculation-sheet'!X19</f>
        <v>0</v>
      </c>
      <c r="Y33" s="2">
        <f>Y11/'Output-Calculation-sheet'!Y10*'Output-Calculation-sheet'!Y19</f>
        <v>280.88871707644006</v>
      </c>
      <c r="AA33" s="2">
        <f t="shared" si="1"/>
        <v>60.788787342618228</v>
      </c>
    </row>
    <row r="34" spans="1:27" x14ac:dyDescent="0.25">
      <c r="A34" s="2">
        <v>2035</v>
      </c>
      <c r="B34" s="2">
        <f>B12/'Output-Calculation-sheet'!B11*'Output-Calculation-sheet'!B20</f>
        <v>189.62596813226187</v>
      </c>
      <c r="C34" s="2">
        <f>C12/'Output-Calculation-sheet'!C11*'Output-Calculation-sheet'!C20</f>
        <v>0</v>
      </c>
      <c r="D34" s="2">
        <f>D12/'Output-Calculation-sheet'!D11*'Output-Calculation-sheet'!D20</f>
        <v>9395.0926304119494</v>
      </c>
      <c r="E34" s="2">
        <f>E12/'Output-Calculation-sheet'!E11*'Output-Calculation-sheet'!E20</f>
        <v>3786.1295219299082</v>
      </c>
      <c r="F34" s="2">
        <f>F12/'Output-Calculation-sheet'!F11*'Output-Calculation-sheet'!F20</f>
        <v>6206.8723187370279</v>
      </c>
      <c r="G34" s="2">
        <f>G12/'Output-Calculation-sheet'!G11*'Output-Calculation-sheet'!G20</f>
        <v>3105.6979691499987</v>
      </c>
      <c r="H34" s="2">
        <f>H12/'Output-Calculation-sheet'!H11*'Output-Calculation-sheet'!H20</f>
        <v>0</v>
      </c>
      <c r="I34" s="2">
        <f>I12/'Output-Calculation-sheet'!I11*'Output-Calculation-sheet'!I20</f>
        <v>3764.8000710069005</v>
      </c>
      <c r="J34" s="2">
        <f>J12/'Output-Calculation-sheet'!J11*'Output-Calculation-sheet'!J20</f>
        <v>3154.8510869332631</v>
      </c>
      <c r="K34" s="2">
        <f>K12/'Output-Calculation-sheet'!K11*'Output-Calculation-sheet'!K20</f>
        <v>4451.0369469586603</v>
      </c>
      <c r="L34" s="2">
        <f>L12/'Output-Calculation-sheet'!L11*'Output-Calculation-sheet'!L20</f>
        <v>1700.2831749405457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716.99547876209044</v>
      </c>
      <c r="Q34" s="2">
        <f>Q12/'Output-Calculation-sheet'!Q11*'Output-Calculation-sheet'!Q20</f>
        <v>696.96997200118687</v>
      </c>
      <c r="R34" s="2">
        <f>R12/'Output-Calculation-sheet'!R11*'Output-Calculation-sheet'!R20</f>
        <v>2807.3104443717357</v>
      </c>
      <c r="S34" s="2">
        <f>S12/'Output-Calculation-sheet'!S11*'Output-Calculation-sheet'!S20</f>
        <v>0.87721667405236281</v>
      </c>
      <c r="T34" s="2">
        <f>T12/'Output-Calculation-sheet'!T11*'Output-Calculation-sheet'!T20</f>
        <v>922.6884763058672</v>
      </c>
      <c r="U34" s="2">
        <f>U12/'Output-Calculation-sheet'!U11*'Output-Calculation-sheet'!U20</f>
        <v>388.49172182070913</v>
      </c>
      <c r="V34" s="2">
        <f>V12/'Output-Calculation-sheet'!V11*'Output-Calculation-sheet'!V20</f>
        <v>834.04635944578024</v>
      </c>
      <c r="W34" s="2">
        <f>W12/'Output-Calculation-sheet'!W11*'Output-Calculation-sheet'!W20</f>
        <v>493.95171085695245</v>
      </c>
      <c r="X34" s="2">
        <f>X12/'Output-Calculation-sheet'!X11*'Output-Calculation-sheet'!X20</f>
        <v>0</v>
      </c>
      <c r="Y34" s="2">
        <f>Y12/'Output-Calculation-sheet'!Y11*'Output-Calculation-sheet'!Y20</f>
        <v>105.0481738687896</v>
      </c>
      <c r="AA34" s="2">
        <f t="shared" si="1"/>
        <v>42.720769242307682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8.1258657219536526E-2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1.1099468444692871E-2</v>
      </c>
      <c r="Q45" s="2">
        <f>Q12/'Output-Calculation-sheet'!Q11*'Output-Calculation-sheet'!Q38*0.0114</f>
        <v>1.0526712967598313E-2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1.007596313301223E-2</v>
      </c>
      <c r="V45" s="2">
        <f>V12/'Output-Calculation-sheet'!V11*'Output-Calculation-sheet'!V38*0.0114</f>
        <v>5.1796318674242961E-3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3.8824239014705647E-3</v>
      </c>
      <c r="AA45" s="2">
        <f t="shared" si="2"/>
        <v>0.91960446938937523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0.13820004287413992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176.93099670894549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0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16.508968700790177</v>
      </c>
      <c r="AA54" s="2">
        <f t="shared" si="3"/>
        <v>4.3583025747201809</v>
      </c>
    </row>
    <row r="55" spans="1:27" x14ac:dyDescent="0.25">
      <c r="A55" s="2">
        <v>2034</v>
      </c>
      <c r="B55" s="2">
        <f>B11/'Output-Calculation-sheet'!B10*'Output-Calculation-sheet'!B46</f>
        <v>1603.1822702290362</v>
      </c>
      <c r="C55" s="2">
        <f>C11/'Output-Calculation-sheet'!C10*'Output-Calculation-sheet'!C46</f>
        <v>0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546.53876864947745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405.08311962747337</v>
      </c>
      <c r="N55" s="2">
        <f>N11/'Output-Calculation-sheet'!N10*'Output-Calculation-sheet'!N46</f>
        <v>138.34260638371592</v>
      </c>
      <c r="O55" s="2">
        <f>O11/'Output-Calculation-sheet'!O10*'Output-Calculation-sheet'!O46</f>
        <v>0</v>
      </c>
      <c r="P55" s="2">
        <f>P11/'Output-Calculation-sheet'!P10*'Output-Calculation-sheet'!P46</f>
        <v>3008.7661326300063</v>
      </c>
      <c r="Q55" s="2">
        <f>Q11/'Output-Calculation-sheet'!Q10*'Output-Calculation-sheet'!Q46</f>
        <v>581.06445111919197</v>
      </c>
      <c r="R55" s="2">
        <f>R11/'Output-Calculation-sheet'!R10*'Output-Calculation-sheet'!R46</f>
        <v>3726.2579734121732</v>
      </c>
      <c r="S55" s="2">
        <f>S11/'Output-Calculation-sheet'!S10*'Output-Calculation-sheet'!S46</f>
        <v>0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1415.8471507898096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38.662639572363616</v>
      </c>
      <c r="Y55" s="2">
        <f>Y11/'Output-Calculation-sheet'!Y10*'Output-Calculation-sheet'!Y46</f>
        <v>200.76975483719195</v>
      </c>
      <c r="AA55" s="2">
        <f t="shared" si="3"/>
        <v>40.116685014446865</v>
      </c>
    </row>
    <row r="56" spans="1:27" x14ac:dyDescent="0.25">
      <c r="A56" s="2">
        <v>2035</v>
      </c>
      <c r="B56" s="2">
        <f>B12/'Output-Calculation-sheet'!B11*'Output-Calculation-sheet'!B47</f>
        <v>522.6500415390276</v>
      </c>
      <c r="C56" s="2">
        <f>C12/'Output-Calculation-sheet'!C11*'Output-Calculation-sheet'!C47</f>
        <v>394.8738963163234</v>
      </c>
      <c r="D56" s="2">
        <f>D12/'Output-Calculation-sheet'!D11*'Output-Calculation-sheet'!D47</f>
        <v>18655.471232978067</v>
      </c>
      <c r="E56" s="2">
        <f>E12/'Output-Calculation-sheet'!E11*'Output-Calculation-sheet'!E47</f>
        <v>8560.6708176020493</v>
      </c>
      <c r="F56" s="2">
        <f>F12/'Output-Calculation-sheet'!F11*'Output-Calculation-sheet'!F47</f>
        <v>4388.8488434723713</v>
      </c>
      <c r="G56" s="2">
        <f>G12/'Output-Calculation-sheet'!G11*'Output-Calculation-sheet'!G47</f>
        <v>7047.6591752247095</v>
      </c>
      <c r="H56" s="2">
        <f>H12/'Output-Calculation-sheet'!H11*'Output-Calculation-sheet'!H47</f>
        <v>152.7222354341155</v>
      </c>
      <c r="I56" s="2">
        <f>I12/'Output-Calculation-sheet'!I11*'Output-Calculation-sheet'!I47</f>
        <v>6419.9611503132728</v>
      </c>
      <c r="J56" s="2">
        <f>J12/'Output-Calculation-sheet'!J11*'Output-Calculation-sheet'!J47</f>
        <v>5538.8460231022091</v>
      </c>
      <c r="K56" s="2">
        <f>K12/'Output-Calculation-sheet'!K11*'Output-Calculation-sheet'!K47</f>
        <v>7470.2228713438417</v>
      </c>
      <c r="L56" s="2">
        <f>L12/'Output-Calculation-sheet'!L11*'Output-Calculation-sheet'!L47</f>
        <v>3330.1414901172529</v>
      </c>
      <c r="M56" s="2">
        <f>M12/'Output-Calculation-sheet'!M11*'Output-Calculation-sheet'!M47</f>
        <v>141.54677989855912</v>
      </c>
      <c r="N56" s="2">
        <f>N12/'Output-Calculation-sheet'!N11*'Output-Calculation-sheet'!N47</f>
        <v>95.906781563041505</v>
      </c>
      <c r="O56" s="2">
        <f>O12/'Output-Calculation-sheet'!O11*'Output-Calculation-sheet'!O47</f>
        <v>71.795526339898913</v>
      </c>
      <c r="P56" s="2">
        <f>P12/'Output-Calculation-sheet'!P11*'Output-Calculation-sheet'!P47</f>
        <v>749.70093880820264</v>
      </c>
      <c r="Q56" s="2">
        <f>Q12/'Output-Calculation-sheet'!Q11*'Output-Calculation-sheet'!Q47</f>
        <v>713.78501087311372</v>
      </c>
      <c r="R56" s="2">
        <f>R12/'Output-Calculation-sheet'!R11*'Output-Calculation-sheet'!R47</f>
        <v>5266.3117372480629</v>
      </c>
      <c r="S56" s="2">
        <f>S12/'Output-Calculation-sheet'!S11*'Output-Calculation-sheet'!S47</f>
        <v>50.143928337703933</v>
      </c>
      <c r="T56" s="2">
        <f>T12/'Output-Calculation-sheet'!T11*'Output-Calculation-sheet'!T47</f>
        <v>2305.7522734120444</v>
      </c>
      <c r="U56" s="2">
        <f>U12/'Output-Calculation-sheet'!U11*'Output-Calculation-sheet'!U47</f>
        <v>927.45999832521932</v>
      </c>
      <c r="V56" s="2">
        <f>V12/'Output-Calculation-sheet'!V11*'Output-Calculation-sheet'!V47</f>
        <v>1251.5171911245809</v>
      </c>
      <c r="W56" s="2">
        <f>W12/'Output-Calculation-sheet'!W11*'Output-Calculation-sheet'!W47</f>
        <v>670.22368842687263</v>
      </c>
      <c r="X56" s="2">
        <f>X12/'Output-Calculation-sheet'!X11*'Output-Calculation-sheet'!X47</f>
        <v>10.822528830704496</v>
      </c>
      <c r="Y56" s="2">
        <f>Y12/'Output-Calculation-sheet'!Y11*'Output-Calculation-sheet'!Y47</f>
        <v>219.66345758320298</v>
      </c>
      <c r="AA56" s="2">
        <f t="shared" si="3"/>
        <v>74.956697618214449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7.1809261883721005</v>
      </c>
      <c r="C63" s="2">
        <f>C8*'Output-Calculation-sheet'!C52/10^9</f>
        <v>3.8364200882156774</v>
      </c>
      <c r="D63" s="2">
        <f>D8*'Output-Calculation-sheet'!D52/10^9</f>
        <v>2.4624934788118886</v>
      </c>
      <c r="E63" s="2">
        <f>E8*'Output-Calculation-sheet'!E52/10^9</f>
        <v>2.4483790529342229</v>
      </c>
      <c r="F63" s="2">
        <f>F8*'Output-Calculation-sheet'!F52/10^9</f>
        <v>1.036888326511185</v>
      </c>
      <c r="G63" s="2">
        <f>G8*'Output-Calculation-sheet'!G52/10^9</f>
        <v>0.74547586414697919</v>
      </c>
      <c r="H63" s="2">
        <f>H8*'Output-Calculation-sheet'!H52/10^9</f>
        <v>1.2124448770554692</v>
      </c>
      <c r="I63" s="2">
        <f>I8*'Output-Calculation-sheet'!I52/10^9</f>
        <v>0.69346562517586952</v>
      </c>
      <c r="J63" s="2">
        <f>J8*'Output-Calculation-sheet'!J52/10^9</f>
        <v>0.9542557046815735</v>
      </c>
      <c r="K63" s="2">
        <f>K8*'Output-Calculation-sheet'!K52/10^9</f>
        <v>0.83839851002507582</v>
      </c>
      <c r="L63" s="2">
        <f>L8*'Output-Calculation-sheet'!L52/10^9</f>
        <v>1.1276863348564325</v>
      </c>
      <c r="M63" s="2">
        <f>M8*'Output-Calculation-sheet'!M52/10^9</f>
        <v>0.99327480952236691</v>
      </c>
      <c r="N63" s="2">
        <f>N8*'Output-Calculation-sheet'!N52/10^9</f>
        <v>0.87642103443834818</v>
      </c>
      <c r="O63" s="2">
        <f>O8*'Output-Calculation-sheet'!O52/10^9</f>
        <v>0.78489843158779271</v>
      </c>
      <c r="P63" s="2">
        <f>P8*'Output-Calculation-sheet'!P52/10^9</f>
        <v>0.57931075463199555</v>
      </c>
      <c r="Q63" s="2">
        <f>Q8*'Output-Calculation-sheet'!Q52/10^9</f>
        <v>0.65561000959868454</v>
      </c>
      <c r="R63" s="2">
        <f>R8*'Output-Calculation-sheet'!R52/10^9</f>
        <v>0.58860764986385716</v>
      </c>
      <c r="S63" s="2">
        <f>S8*'Output-Calculation-sheet'!S52/10^9</f>
        <v>0.43617912395377334</v>
      </c>
      <c r="T63" s="2">
        <f>T8*'Output-Calculation-sheet'!T52/10^9</f>
        <v>0.22378022024217434</v>
      </c>
      <c r="U63" s="2">
        <f>U8*'Output-Calculation-sheet'!U52/10^9</f>
        <v>0.15368985730891738</v>
      </c>
      <c r="V63" s="2">
        <f>V8*'Output-Calculation-sheet'!V52/10^9</f>
        <v>0.27276317696235153</v>
      </c>
      <c r="W63" s="2">
        <f>W8*'Output-Calculation-sheet'!W52/10^9</f>
        <v>9.872749097630712E-2</v>
      </c>
      <c r="X63" s="2">
        <f>X8*'Output-Calculation-sheet'!X52/10^9</f>
        <v>0.10172697671652393</v>
      </c>
      <c r="Y63" s="2">
        <f>Y8*'Output-Calculation-sheet'!Y52/10^9</f>
        <v>6.4416941504277958E-2</v>
      </c>
      <c r="AA63" s="2">
        <f t="shared" si="4"/>
        <v>28.366240528093837</v>
      </c>
    </row>
    <row r="64" spans="1:27" x14ac:dyDescent="0.25">
      <c r="A64" s="2">
        <v>2032</v>
      </c>
      <c r="B64" s="2">
        <f>B9*'Output-Calculation-sheet'!B53/10^9</f>
        <v>7.3913076012197649</v>
      </c>
      <c r="C64" s="2">
        <f>C9*'Output-Calculation-sheet'!C53/10^9</f>
        <v>3.918360437961224</v>
      </c>
      <c r="D64" s="2">
        <f>D9*'Output-Calculation-sheet'!D53/10^9</f>
        <v>2.1890644305813751</v>
      </c>
      <c r="E64" s="2">
        <f>E9*'Output-Calculation-sheet'!E53/10^9</f>
        <v>2.2416982911541825</v>
      </c>
      <c r="F64" s="2">
        <f>F9*'Output-Calculation-sheet'!F53/10^9</f>
        <v>0.94553428260642325</v>
      </c>
      <c r="G64" s="2">
        <f>G9*'Output-Calculation-sheet'!G53/10^9</f>
        <v>0.67300237742452496</v>
      </c>
      <c r="H64" s="2">
        <f>H9*'Output-Calculation-sheet'!H53/10^9</f>
        <v>1.2297483540916581</v>
      </c>
      <c r="I64" s="2">
        <f>I9*'Output-Calculation-sheet'!I53/10^9</f>
        <v>0.62914722983672211</v>
      </c>
      <c r="J64" s="2">
        <f>J9*'Output-Calculation-sheet'!J53/10^9</f>
        <v>0.83286309900347677</v>
      </c>
      <c r="K64" s="2">
        <f>K9*'Output-Calculation-sheet'!K53/10^9</f>
        <v>0.77278364192638005</v>
      </c>
      <c r="L64" s="2">
        <f>L9*'Output-Calculation-sheet'!L53/10^9</f>
        <v>0.99418384554304928</v>
      </c>
      <c r="M64" s="2">
        <f>M9*'Output-Calculation-sheet'!M53/10^9</f>
        <v>0.97566148930123009</v>
      </c>
      <c r="N64" s="2">
        <f>N9*'Output-Calculation-sheet'!N53/10^9</f>
        <v>0.87841058372111436</v>
      </c>
      <c r="O64" s="2">
        <f>O9*'Output-Calculation-sheet'!O53/10^9</f>
        <v>0.79349733221805696</v>
      </c>
      <c r="P64" s="2">
        <f>P9*'Output-Calculation-sheet'!P53/10^9</f>
        <v>0.58918337088270878</v>
      </c>
      <c r="Q64" s="2">
        <f>Q9*'Output-Calculation-sheet'!Q53/10^9</f>
        <v>0.65114916928117583</v>
      </c>
      <c r="R64" s="2">
        <f>R9*'Output-Calculation-sheet'!R53/10^9</f>
        <v>0.55818860811927429</v>
      </c>
      <c r="S64" s="2">
        <f>S9*'Output-Calculation-sheet'!S53/10^9</f>
        <v>0.44915875353803969</v>
      </c>
      <c r="T64" s="2">
        <f>T9*'Output-Calculation-sheet'!T53/10^9</f>
        <v>0.2006534782119008</v>
      </c>
      <c r="U64" s="2">
        <f>U9*'Output-Calculation-sheet'!U53/10^9</f>
        <v>0.15102768951280079</v>
      </c>
      <c r="V64" s="2">
        <f>V9*'Output-Calculation-sheet'!V53/10^9</f>
        <v>0.23816211003301643</v>
      </c>
      <c r="W64" s="2">
        <f>W9*'Output-Calculation-sheet'!W53/10^9</f>
        <v>8.8496594367221418E-2</v>
      </c>
      <c r="X64" s="2">
        <f>X9*'Output-Calculation-sheet'!X53/10^9</f>
        <v>0.10146007934176399</v>
      </c>
      <c r="Y64" s="2">
        <f>Y9*'Output-Calculation-sheet'!Y53/10^9</f>
        <v>6.2003634341126899E-2</v>
      </c>
      <c r="AA64" s="2">
        <f t="shared" si="4"/>
        <v>27.554746484218207</v>
      </c>
    </row>
    <row r="65" spans="1:27" x14ac:dyDescent="0.25">
      <c r="A65" s="2">
        <v>2033</v>
      </c>
      <c r="B65" s="2">
        <f>B10*'Output-Calculation-sheet'!B54/10^9</f>
        <v>7.4882577431236692</v>
      </c>
      <c r="C65" s="2">
        <f>C10*'Output-Calculation-sheet'!C54/10^9</f>
        <v>3.8708146265922441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1.2155664364436976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0.7082198480870493</v>
      </c>
      <c r="L65" s="2">
        <f>L10*'Output-Calculation-sheet'!L54/10^9</f>
        <v>0.83649477770571723</v>
      </c>
      <c r="M65" s="2">
        <f>M10*'Output-Calculation-sheet'!M54/10^9</f>
        <v>0.92694682132555273</v>
      </c>
      <c r="N65" s="2">
        <f>N10*'Output-Calculation-sheet'!N54/10^9</f>
        <v>0.85058729597021887</v>
      </c>
      <c r="O65" s="2">
        <f>O10*'Output-Calculation-sheet'!O54/10^9</f>
        <v>0.77572836762798647</v>
      </c>
      <c r="P65" s="2">
        <f>P10*'Output-Calculation-sheet'!P54/10^9</f>
        <v>0.59919013125057896</v>
      </c>
      <c r="Q65" s="2">
        <f>Q10*'Output-Calculation-sheet'!Q54/10^9</f>
        <v>0.65271938424358822</v>
      </c>
      <c r="R65" s="2">
        <f>R10*'Output-Calculation-sheet'!R54/10^9</f>
        <v>0.52752078101864142</v>
      </c>
      <c r="S65" s="2">
        <f>S10*'Output-Calculation-sheet'!S54/10^9</f>
        <v>0.44868356900624662</v>
      </c>
      <c r="T65" s="2">
        <f>T10*'Output-Calculation-sheet'!T54/10^9</f>
        <v>0.17637412871249469</v>
      </c>
      <c r="U65" s="2">
        <f>U10*'Output-Calculation-sheet'!U54/10^9</f>
        <v>0.15229458521056685</v>
      </c>
      <c r="V65" s="2">
        <f>V10*'Output-Calculation-sheet'!V54/10^9</f>
        <v>0.19519287906534649</v>
      </c>
      <c r="W65" s="2">
        <f>W10*'Output-Calculation-sheet'!W54/10^9</f>
        <v>7.4313727768749116E-2</v>
      </c>
      <c r="X65" s="2">
        <f>X10*'Output-Calculation-sheet'!X54/10^9</f>
        <v>9.7191028775295257E-2</v>
      </c>
      <c r="Y65" s="2">
        <f>Y10*'Output-Calculation-sheet'!Y54/10^9</f>
        <v>6.1165387560371508E-2</v>
      </c>
      <c r="AA65" s="2">
        <f t="shared" si="4"/>
        <v>26.140764900294368</v>
      </c>
    </row>
    <row r="66" spans="1:27" x14ac:dyDescent="0.25">
      <c r="A66" s="2">
        <v>2034</v>
      </c>
      <c r="B66" s="2">
        <f>B11*'Output-Calculation-sheet'!B55/10^9</f>
        <v>7.4573896932626189</v>
      </c>
      <c r="C66" s="2">
        <f>C11*'Output-Calculation-sheet'!C55/10^9</f>
        <v>3.751363711432588</v>
      </c>
      <c r="D66" s="2">
        <f>D11*'Output-Calculation-sheet'!D55/10^9</f>
        <v>1.6830144965739255</v>
      </c>
      <c r="E66" s="2">
        <f>E11*'Output-Calculation-sheet'!E55/10^9</f>
        <v>2.0380129603876127</v>
      </c>
      <c r="F66" s="2">
        <f>F11*'Output-Calculation-sheet'!F55/10^9</f>
        <v>0.78324159782326441</v>
      </c>
      <c r="G66" s="2">
        <f>G11*'Output-Calculation-sheet'!G55/10^9</f>
        <v>0.55983905109980336</v>
      </c>
      <c r="H66" s="2">
        <f>H11*'Output-Calculation-sheet'!H55/10^9</f>
        <v>1.1682529571008986</v>
      </c>
      <c r="I66" s="2">
        <f>I11*'Output-Calculation-sheet'!I55/10^9</f>
        <v>0.54750670670616464</v>
      </c>
      <c r="J66" s="2">
        <f>J11*'Output-Calculation-sheet'!J55/10^9</f>
        <v>0.56296663158648597</v>
      </c>
      <c r="K66" s="2">
        <f>K11*'Output-Calculation-sheet'!K55/10^9</f>
        <v>0.67335561514603803</v>
      </c>
      <c r="L66" s="2">
        <f>L11*'Output-Calculation-sheet'!L55/10^9</f>
        <v>0.71308858339207259</v>
      </c>
      <c r="M66" s="2">
        <f>M11*'Output-Calculation-sheet'!M55/10^9</f>
        <v>0.85157568558813135</v>
      </c>
      <c r="N66" s="2">
        <f>N11*'Output-Calculation-sheet'!N55/10^9</f>
        <v>0.8044928685271302</v>
      </c>
      <c r="O66" s="2">
        <f>O11*'Output-Calculation-sheet'!O55/10^9</f>
        <v>0.73940641673047924</v>
      </c>
      <c r="P66" s="2">
        <f>P11*'Output-Calculation-sheet'!P55/10^9</f>
        <v>0.61739722213066572</v>
      </c>
      <c r="Q66" s="2">
        <f>Q11*'Output-Calculation-sheet'!Q55/10^9</f>
        <v>0.65308082043557747</v>
      </c>
      <c r="R66" s="2">
        <f>R11*'Output-Calculation-sheet'!R55/10^9</f>
        <v>0.50444421202209244</v>
      </c>
      <c r="S66" s="2">
        <f>S11*'Output-Calculation-sheet'!S55/10^9</f>
        <v>0.44000400501087589</v>
      </c>
      <c r="T66" s="2">
        <f>T11*'Output-Calculation-sheet'!T55/10^9</f>
        <v>0.15810748940198482</v>
      </c>
      <c r="U66" s="2">
        <f>U11*'Output-Calculation-sheet'!U55/10^9</f>
        <v>0.16143456084629829</v>
      </c>
      <c r="V66" s="2">
        <f>V11*'Output-Calculation-sheet'!V55/10^9</f>
        <v>0.14998958593641346</v>
      </c>
      <c r="W66" s="2">
        <f>W11*'Output-Calculation-sheet'!W55/10^9</f>
        <v>6.7913856331657307E-2</v>
      </c>
      <c r="X66" s="2">
        <f>X11*'Output-Calculation-sheet'!X55/10^9</f>
        <v>9.0983930629021395E-2</v>
      </c>
      <c r="Y66" s="2">
        <f>Y11*'Output-Calculation-sheet'!Y55/10^9</f>
        <v>6.6403250438120745E-2</v>
      </c>
      <c r="AA66" s="2">
        <f t="shared" si="4"/>
        <v>25.243265908539922</v>
      </c>
    </row>
    <row r="67" spans="1:27" x14ac:dyDescent="0.25">
      <c r="A67" s="2">
        <v>2035</v>
      </c>
      <c r="B67" s="2">
        <f>B12*'Output-Calculation-sheet'!B56/10^9</f>
        <v>7.5752781737900952</v>
      </c>
      <c r="C67" s="2">
        <f>C12*'Output-Calculation-sheet'!C56/10^9</f>
        <v>3.534051645549054</v>
      </c>
      <c r="D67" s="2">
        <f>D12*'Output-Calculation-sheet'!D56/10^9</f>
        <v>2.0726722802364019</v>
      </c>
      <c r="E67" s="2">
        <f>E12*'Output-Calculation-sheet'!E56/10^9</f>
        <v>2.3615971195285268</v>
      </c>
      <c r="F67" s="2">
        <f>F12*'Output-Calculation-sheet'!F56/10^9</f>
        <v>1.0108682772856752</v>
      </c>
      <c r="G67" s="2">
        <f>G12*'Output-Calculation-sheet'!G56/10^9</f>
        <v>0.70946303556517076</v>
      </c>
      <c r="H67" s="2">
        <f>H12*'Output-Calculation-sheet'!H56/10^9</f>
        <v>1.1207037282129868</v>
      </c>
      <c r="I67" s="2">
        <f>I12*'Output-Calculation-sheet'!I56/10^9</f>
        <v>0.71133679143671913</v>
      </c>
      <c r="J67" s="2">
        <f>J12*'Output-Calculation-sheet'!J56/10^9</f>
        <v>0.64347404342987657</v>
      </c>
      <c r="K67" s="2">
        <f>K12*'Output-Calculation-sheet'!K56/10^9</f>
        <v>0.79893896412191101</v>
      </c>
      <c r="L67" s="2">
        <f>L12*'Output-Calculation-sheet'!L56/10^9</f>
        <v>0.73327357171096574</v>
      </c>
      <c r="M67" s="2">
        <f>M12*'Output-Calculation-sheet'!M56/10^9</f>
        <v>0.77955298794819161</v>
      </c>
      <c r="N67" s="2">
        <f>N12*'Output-Calculation-sheet'!N56/10^9</f>
        <v>0.75907162176311183</v>
      </c>
      <c r="O67" s="2">
        <f>O12*'Output-Calculation-sheet'!O56/10^9</f>
        <v>0.68695427465270975</v>
      </c>
      <c r="P67" s="2">
        <f>P12*'Output-Calculation-sheet'!P56/10^9</f>
        <v>0.67051310595133429</v>
      </c>
      <c r="Q67" s="2">
        <f>Q12*'Output-Calculation-sheet'!Q56/10^9</f>
        <v>0.68401097231315455</v>
      </c>
      <c r="R67" s="2">
        <f>R12*'Output-Calculation-sheet'!R56/10^9</f>
        <v>0.57864831109566728</v>
      </c>
      <c r="S67" s="2">
        <f>S12*'Output-Calculation-sheet'!S56/10^9</f>
        <v>0.43530837693399982</v>
      </c>
      <c r="T67" s="2">
        <f>T12*'Output-Calculation-sheet'!T56/10^9</f>
        <v>0.17614370895365458</v>
      </c>
      <c r="U67" s="2">
        <f>U12*'Output-Calculation-sheet'!U56/10^9</f>
        <v>0.19352238703959534</v>
      </c>
      <c r="V67" s="2">
        <f>V12*'Output-Calculation-sheet'!V56/10^9</f>
        <v>0.13498175118228456</v>
      </c>
      <c r="W67" s="2">
        <f>W12*'Output-Calculation-sheet'!W56/10^9</f>
        <v>8.7485982763700523E-2</v>
      </c>
      <c r="X67" s="2">
        <f>X12*'Output-Calculation-sheet'!X56/10^9</f>
        <v>8.2818705111074475E-2</v>
      </c>
      <c r="Y67" s="2">
        <f>Y12*'Output-Calculation-sheet'!Y56/10^9</f>
        <v>7.726638290064447E-2</v>
      </c>
      <c r="AA67" s="2">
        <f t="shared" si="4"/>
        <v>26.617936199476503</v>
      </c>
    </row>
    <row r="68" spans="1:27" x14ac:dyDescent="0.25">
      <c r="B68" s="2">
        <f>SUM(B60:B67)</f>
        <v>37.093159399768247</v>
      </c>
      <c r="C68" s="2">
        <f t="shared" ref="C68:Y68" si="5">SUM(C60:C67)</f>
        <v>18.911010509750788</v>
      </c>
      <c r="D68" s="2">
        <f t="shared" si="5"/>
        <v>10.224438465012263</v>
      </c>
      <c r="E68" s="2">
        <f t="shared" si="5"/>
        <v>11.135816646425472</v>
      </c>
      <c r="F68" s="2">
        <f t="shared" si="5"/>
        <v>4.6072250706849189</v>
      </c>
      <c r="G68" s="2">
        <f t="shared" si="5"/>
        <v>3.2581264055131607</v>
      </c>
      <c r="H68" s="2">
        <f t="shared" si="5"/>
        <v>5.9467163529047102</v>
      </c>
      <c r="I68" s="2">
        <f t="shared" si="5"/>
        <v>3.1368179183878242</v>
      </c>
      <c r="J68" s="2">
        <f t="shared" si="5"/>
        <v>3.6573396293107567</v>
      </c>
      <c r="K68" s="2">
        <f t="shared" si="5"/>
        <v>3.7916965793064539</v>
      </c>
      <c r="L68" s="2">
        <f t="shared" si="5"/>
        <v>4.4047271132082368</v>
      </c>
      <c r="M68" s="2">
        <f t="shared" si="5"/>
        <v>4.5270117936854728</v>
      </c>
      <c r="N68" s="2">
        <f t="shared" si="5"/>
        <v>4.1689834044199232</v>
      </c>
      <c r="O68" s="2">
        <f t="shared" si="5"/>
        <v>3.7804848228170247</v>
      </c>
      <c r="P68" s="2">
        <f t="shared" si="5"/>
        <v>3.0555945848472836</v>
      </c>
      <c r="Q68" s="2">
        <f t="shared" si="5"/>
        <v>3.2965703558721806</v>
      </c>
      <c r="R68" s="2">
        <f t="shared" si="5"/>
        <v>2.7574095621195327</v>
      </c>
      <c r="S68" s="2">
        <f t="shared" si="5"/>
        <v>2.2093338284429356</v>
      </c>
      <c r="T68" s="2">
        <f t="shared" si="5"/>
        <v>0.93505902552220921</v>
      </c>
      <c r="U68" s="2">
        <f t="shared" si="5"/>
        <v>0.81196907991817857</v>
      </c>
      <c r="V68" s="2">
        <f t="shared" si="5"/>
        <v>0.99108950317941247</v>
      </c>
      <c r="W68" s="2">
        <f t="shared" si="5"/>
        <v>0.41693765220763546</v>
      </c>
      <c r="X68" s="2">
        <f t="shared" si="5"/>
        <v>0.47418072057367905</v>
      </c>
      <c r="Y68" s="2">
        <f t="shared" si="5"/>
        <v>0.33125559674454158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41.557027461875478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4.1557027461875479E-2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470.31977223034113</v>
      </c>
      <c r="Q76" s="2">
        <f>Q10/'Output-Calculation-sheet'!Q9*'Output-Calculation-sheet'!Q63</f>
        <v>56.281296383893235</v>
      </c>
      <c r="R76" s="2">
        <f>R10/'Output-Calculation-sheet'!R9*'Output-Calculation-sheet'!R63</f>
        <v>358.2946976086306</v>
      </c>
      <c r="S76" s="2">
        <f>S10/'Output-Calculation-sheet'!S9*'Output-Calculation-sheet'!S63</f>
        <v>0</v>
      </c>
      <c r="T76" s="2">
        <f>T10/'Output-Calculation-sheet'!T9*'Output-Calculation-sheet'!T63</f>
        <v>23.580335603740071</v>
      </c>
      <c r="U76" s="2">
        <f>U10/'Output-Calculation-sheet'!U9*'Output-Calculation-sheet'!U63</f>
        <v>127.32852484650982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6.0471906162651159</v>
      </c>
      <c r="AA76" s="2">
        <f t="shared" si="6"/>
        <v>1.1408484851917364</v>
      </c>
    </row>
    <row r="77" spans="1:27" x14ac:dyDescent="0.25">
      <c r="A77" s="2">
        <v>2034</v>
      </c>
      <c r="B77" s="2">
        <f>B11/'Output-Calculation-sheet'!B10*'Output-Calculation-sheet'!B64</f>
        <v>476.57264953008485</v>
      </c>
      <c r="C77" s="2">
        <f>C11/'Output-Calculation-sheet'!C10*'Output-Calculation-sheet'!C64</f>
        <v>0</v>
      </c>
      <c r="D77" s="2">
        <f>D11/'Output-Calculation-sheet'!D10*'Output-Calculation-sheet'!D64</f>
        <v>1619.223958752531</v>
      </c>
      <c r="E77" s="2">
        <f>E11/'Output-Calculation-sheet'!E10*'Output-Calculation-sheet'!E64</f>
        <v>2023.8224240532111</v>
      </c>
      <c r="F77" s="2">
        <f>F11/'Output-Calculation-sheet'!F10*'Output-Calculation-sheet'!F64</f>
        <v>131.67773287726988</v>
      </c>
      <c r="G77" s="2">
        <f>G11/'Output-Calculation-sheet'!G10*'Output-Calculation-sheet'!G64</f>
        <v>857.60912429648317</v>
      </c>
      <c r="H77" s="2">
        <f>H11/'Output-Calculation-sheet'!H10*'Output-Calculation-sheet'!H64</f>
        <v>133.81767519481605</v>
      </c>
      <c r="I77" s="2">
        <f>I11/'Output-Calculation-sheet'!I10*'Output-Calculation-sheet'!I64</f>
        <v>509.90684005587042</v>
      </c>
      <c r="J77" s="2">
        <f>J11/'Output-Calculation-sheet'!J10*'Output-Calculation-sheet'!J64</f>
        <v>356.77222500275525</v>
      </c>
      <c r="K77" s="2">
        <f>K11/'Output-Calculation-sheet'!K10*'Output-Calculation-sheet'!K64</f>
        <v>775.71726389928494</v>
      </c>
      <c r="L77" s="2">
        <f>L11/'Output-Calculation-sheet'!L10*'Output-Calculation-sheet'!L64</f>
        <v>320.73958840693984</v>
      </c>
      <c r="M77" s="2">
        <f>M11/'Output-Calculation-sheet'!M10*'Output-Calculation-sheet'!M64</f>
        <v>96.37754774033381</v>
      </c>
      <c r="N77" s="2">
        <f>N11/'Output-Calculation-sheet'!N10*'Output-Calculation-sheet'!N64</f>
        <v>31.874770141066392</v>
      </c>
      <c r="O77" s="2">
        <f>O11/'Output-Calculation-sheet'!O10*'Output-Calculation-sheet'!O64</f>
        <v>0</v>
      </c>
      <c r="P77" s="2">
        <f>P11/'Output-Calculation-sheet'!P10*'Output-Calculation-sheet'!P64</f>
        <v>656.32857589672847</v>
      </c>
      <c r="Q77" s="2">
        <f>Q11/'Output-Calculation-sheet'!Q10*'Output-Calculation-sheet'!Q64</f>
        <v>147.64588629616512</v>
      </c>
      <c r="R77" s="2">
        <f>R11/'Output-Calculation-sheet'!R10*'Output-Calculation-sheet'!R64</f>
        <v>815.43572325380217</v>
      </c>
      <c r="S77" s="2">
        <f>S11/'Output-Calculation-sheet'!S10*'Output-Calculation-sheet'!S64</f>
        <v>0</v>
      </c>
      <c r="T77" s="2">
        <f>T11/'Output-Calculation-sheet'!T10*'Output-Calculation-sheet'!T64</f>
        <v>226.41932995293399</v>
      </c>
      <c r="U77" s="2">
        <f>U11/'Output-Calculation-sheet'!U10*'Output-Calculation-sheet'!U64</f>
        <v>300.91268731057244</v>
      </c>
      <c r="V77" s="2">
        <f>V11/'Output-Calculation-sheet'!V10*'Output-Calculation-sheet'!V64</f>
        <v>117.16830202152397</v>
      </c>
      <c r="W77" s="2">
        <f>W11/'Output-Calculation-sheet'!W10*'Output-Calculation-sheet'!W64</f>
        <v>25.722011748516461</v>
      </c>
      <c r="X77" s="2">
        <f>X11/'Output-Calculation-sheet'!X10*'Output-Calculation-sheet'!X64</f>
        <v>9.6077838076334938</v>
      </c>
      <c r="Y77" s="2">
        <f>Y11/'Output-Calculation-sheet'!Y10*'Output-Calculation-sheet'!Y64</f>
        <v>43.81762930386688</v>
      </c>
      <c r="AA77" s="2">
        <f t="shared" si="6"/>
        <v>9.6771697295423884</v>
      </c>
    </row>
    <row r="78" spans="1:27" x14ac:dyDescent="0.25">
      <c r="A78" s="2">
        <v>2035</v>
      </c>
      <c r="B78" s="2">
        <f>B12/'Output-Calculation-sheet'!B11*'Output-Calculation-sheet'!B65</f>
        <v>95.71962189329048</v>
      </c>
      <c r="C78" s="2">
        <f>C12/'Output-Calculation-sheet'!C11*'Output-Calculation-sheet'!C65</f>
        <v>79.78477699929816</v>
      </c>
      <c r="D78" s="2">
        <f>D12/'Output-Calculation-sheet'!D11*'Output-Calculation-sheet'!D65</f>
        <v>4100.1048489698524</v>
      </c>
      <c r="E78" s="2">
        <f>E12/'Output-Calculation-sheet'!E11*'Output-Calculation-sheet'!E65</f>
        <v>1317.1066061714534</v>
      </c>
      <c r="F78" s="2">
        <f>F12/'Output-Calculation-sheet'!F11*'Output-Calculation-sheet'!F65</f>
        <v>1046.735966176492</v>
      </c>
      <c r="G78" s="2">
        <f>G12/'Output-Calculation-sheet'!G11*'Output-Calculation-sheet'!G65</f>
        <v>1548.9358526544941</v>
      </c>
      <c r="H78" s="2">
        <f>H12/'Output-Calculation-sheet'!H11*'Output-Calculation-sheet'!H65</f>
        <v>35.204033657721119</v>
      </c>
      <c r="I78" s="2">
        <f>I12/'Output-Calculation-sheet'!I11*'Output-Calculation-sheet'!I65</f>
        <v>1287.7976160949565</v>
      </c>
      <c r="J78" s="2">
        <f>J12/'Output-Calculation-sheet'!J11*'Output-Calculation-sheet'!J65</f>
        <v>1221.5074315912182</v>
      </c>
      <c r="K78" s="2">
        <f>K12/'Output-Calculation-sheet'!K11*'Output-Calculation-sheet'!K65</f>
        <v>1641.8065212413521</v>
      </c>
      <c r="L78" s="2">
        <f>L12/'Output-Calculation-sheet'!L11*'Output-Calculation-sheet'!L65</f>
        <v>569.4428870290991</v>
      </c>
      <c r="M78" s="2">
        <f>M12/'Output-Calculation-sheet'!M11*'Output-Calculation-sheet'!M65</f>
        <v>31.469495073356175</v>
      </c>
      <c r="N78" s="2">
        <f>N12/'Output-Calculation-sheet'!N11*'Output-Calculation-sheet'!N65</f>
        <v>21.198560487461723</v>
      </c>
      <c r="O78" s="2">
        <f>O12/'Output-Calculation-sheet'!O11*'Output-Calculation-sheet'!O65</f>
        <v>13.828015073136696</v>
      </c>
      <c r="P78" s="2">
        <f>P12/'Output-Calculation-sheet'!P11*'Output-Calculation-sheet'!P65</f>
        <v>159.48865153682499</v>
      </c>
      <c r="Q78" s="2">
        <f>Q12/'Output-Calculation-sheet'!Q11*'Output-Calculation-sheet'!Q65</f>
        <v>128.51916118800887</v>
      </c>
      <c r="R78" s="2">
        <f>R12/'Output-Calculation-sheet'!R11*'Output-Calculation-sheet'!R65</f>
        <v>1064.6227827499602</v>
      </c>
      <c r="S78" s="2">
        <f>S12/'Output-Calculation-sheet'!S11*'Output-Calculation-sheet'!S65</f>
        <v>10.185863033417931</v>
      </c>
      <c r="T78" s="2">
        <f>T12/'Output-Calculation-sheet'!T11*'Output-Calculation-sheet'!T65</f>
        <v>423.371486269645</v>
      </c>
      <c r="U78" s="2">
        <f>U12/'Output-Calculation-sheet'!U11*'Output-Calculation-sheet'!U65</f>
        <v>156.18214246257051</v>
      </c>
      <c r="V78" s="2">
        <f>V12/'Output-Calculation-sheet'!V11*'Output-Calculation-sheet'!V65</f>
        <v>221.58306105055732</v>
      </c>
      <c r="W78" s="2">
        <f>W12/'Output-Calculation-sheet'!W11*'Output-Calculation-sheet'!W65</f>
        <v>149.37470293096575</v>
      </c>
      <c r="X78" s="2">
        <f>X12/'Output-Calculation-sheet'!X11*'Output-Calculation-sheet'!X65</f>
        <v>2.0843955255570972</v>
      </c>
      <c r="Y78" s="2">
        <f>Y12/'Output-Calculation-sheet'!Y11*'Output-Calculation-sheet'!Y65</f>
        <v>35.851687264413052</v>
      </c>
      <c r="AA78" s="2">
        <f t="shared" si="6"/>
        <v>15.361906167125106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103.14323037463836</v>
      </c>
      <c r="E89" s="2">
        <f>E12/'Output-Calculation-sheet'!E11*'Output-Calculation-sheet'!E74</f>
        <v>49.895666713750501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38.608495824102498</v>
      </c>
      <c r="H89" s="2">
        <f>H12/'Output-Calculation-sheet'!H11*'Output-Calculation-sheet'!H74</f>
        <v>6.2335606299638986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21.479495953085092</v>
      </c>
      <c r="K89" s="2">
        <f>K12/'Output-Calculation-sheet'!K11*'Output-Calculation-sheet'!K74</f>
        <v>27.01965249486636</v>
      </c>
      <c r="L89" s="2">
        <f>L12/'Output-Calculation-sheet'!L11*'Output-Calculation-sheet'!L74</f>
        <v>11.307780951162149</v>
      </c>
      <c r="M89" s="2">
        <f>M12/'Output-Calculation-sheet'!M11*'Output-Calculation-sheet'!M74</f>
        <v>3.2169722704217985</v>
      </c>
      <c r="N89" s="2">
        <f>N12/'Output-Calculation-sheet'!N11*'Output-Calculation-sheet'!N74</f>
        <v>3.1617620295508186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2.9209127486033868</v>
      </c>
      <c r="Q89" s="2">
        <f>Q12/'Output-Calculation-sheet'!Q11*'Output-Calculation-sheet'!Q74</f>
        <v>5.5403752461043752</v>
      </c>
      <c r="R89" s="2">
        <f>R12/'Output-Calculation-sheet'!R11*'Output-Calculation-sheet'!R74</f>
        <v>16.48297883332727</v>
      </c>
      <c r="S89" s="2">
        <f>S12/'Output-Calculation-sheet'!S11*'Output-Calculation-sheet'!S74</f>
        <v>3.0207185745604779</v>
      </c>
      <c r="T89" s="2">
        <f>T12/'Output-Calculation-sheet'!T11*'Output-Calculation-sheet'!T74</f>
        <v>5.0817343669087078</v>
      </c>
      <c r="U89" s="2">
        <f>U12/'Output-Calculation-sheet'!U11*'Output-Calculation-sheet'!U74</f>
        <v>5.892376101176743</v>
      </c>
      <c r="V89" s="2">
        <f>V12/'Output-Calculation-sheet'!V11*'Output-Calculation-sheet'!V74</f>
        <v>1.8174146903243142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2.0433810007739814</v>
      </c>
      <c r="AA89" s="2">
        <f t="shared" si="7"/>
        <v>0.41232428617010586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18754502122.941181</v>
      </c>
      <c r="C96" s="2">
        <f>C8/'Output-Calculation-sheet'!C7*'Output-Calculation-sheet'!C79</f>
        <v>7764131743.2399874</v>
      </c>
      <c r="D96" s="2">
        <f>D8/'Output-Calculation-sheet'!D7*'Output-Calculation-sheet'!D79</f>
        <v>6189201715.4028826</v>
      </c>
      <c r="E96" s="2">
        <f>E8/'Output-Calculation-sheet'!E7*'Output-Calculation-sheet'!E79</f>
        <v>7478719909.5453081</v>
      </c>
      <c r="F96" s="2">
        <f>F8/'Output-Calculation-sheet'!F7*'Output-Calculation-sheet'!F79</f>
        <v>4414647642.7587595</v>
      </c>
      <c r="G96" s="2">
        <f>G8/'Output-Calculation-sheet'!G7*'Output-Calculation-sheet'!G79</f>
        <v>2245522852.2668324</v>
      </c>
      <c r="H96" s="2">
        <f>H8/'Output-Calculation-sheet'!H7*'Output-Calculation-sheet'!H79</f>
        <v>2803916058.1117196</v>
      </c>
      <c r="I96" s="2">
        <f>I8/'Output-Calculation-sheet'!I7*'Output-Calculation-sheet'!I79</f>
        <v>2683730380.3055773</v>
      </c>
      <c r="J96" s="2">
        <f>J8/'Output-Calculation-sheet'!J7*'Output-Calculation-sheet'!J79</f>
        <v>1514789792.7545888</v>
      </c>
      <c r="K96" s="2">
        <f>K8/'Output-Calculation-sheet'!K7*'Output-Calculation-sheet'!K79</f>
        <v>2580208028.7824788</v>
      </c>
      <c r="L96" s="2">
        <f>L8/'Output-Calculation-sheet'!L7*'Output-Calculation-sheet'!L79</f>
        <v>1855740922.2418334</v>
      </c>
      <c r="M96" s="2">
        <f>M8/'Output-Calculation-sheet'!M7*'Output-Calculation-sheet'!M79</f>
        <v>1875992916.7085347</v>
      </c>
      <c r="N96" s="2">
        <f>N8/'Output-Calculation-sheet'!N7*'Output-Calculation-sheet'!N79</f>
        <v>1335195002.0474622</v>
      </c>
      <c r="O96" s="2">
        <f>O8/'Output-Calculation-sheet'!O7*'Output-Calculation-sheet'!O79</f>
        <v>1049346247.0423819</v>
      </c>
      <c r="P96" s="2">
        <f>P8/'Output-Calculation-sheet'!P7*'Output-Calculation-sheet'!P79</f>
        <v>2230660449.4490485</v>
      </c>
      <c r="Q96" s="2">
        <f>Q8/'Output-Calculation-sheet'!Q7*'Output-Calculation-sheet'!Q79</f>
        <v>1214957220.3996401</v>
      </c>
      <c r="R96" s="2">
        <f>R8/'Output-Calculation-sheet'!R7*'Output-Calculation-sheet'!R79</f>
        <v>1620871334.1480315</v>
      </c>
      <c r="S96" s="2">
        <f>S8/'Output-Calculation-sheet'!S7*'Output-Calculation-sheet'!S79</f>
        <v>1020248720.0208303</v>
      </c>
      <c r="T96" s="2">
        <f>T8/'Output-Calculation-sheet'!T7*'Output-Calculation-sheet'!T79</f>
        <v>655140080.10577297</v>
      </c>
      <c r="U96" s="2">
        <f>U8/'Output-Calculation-sheet'!U7*'Output-Calculation-sheet'!U79</f>
        <v>607503949.98695743</v>
      </c>
      <c r="V96" s="2">
        <f>V8/'Output-Calculation-sheet'!V7*'Output-Calculation-sheet'!V79</f>
        <v>391129842.71520412</v>
      </c>
      <c r="W96" s="2">
        <f>W8/'Output-Calculation-sheet'!W7*'Output-Calculation-sheet'!W79</f>
        <v>467883510.44971704</v>
      </c>
      <c r="X96" s="2">
        <f>X8/'Output-Calculation-sheet'!X7*'Output-Calculation-sheet'!X79</f>
        <v>214151770.20444623</v>
      </c>
      <c r="Y96" s="2">
        <f>Y8/'Output-Calculation-sheet'!Y7*'Output-Calculation-sheet'!Y79</f>
        <v>239694500.74724227</v>
      </c>
      <c r="AA96" s="2">
        <f t="shared" si="8"/>
        <v>71.207886712376421</v>
      </c>
    </row>
    <row r="97" spans="1:27" x14ac:dyDescent="0.25">
      <c r="A97" s="2">
        <v>2032</v>
      </c>
      <c r="B97" s="2">
        <f>B9/'Output-Calculation-sheet'!B8*'Output-Calculation-sheet'!B80</f>
        <v>25558107815.69907</v>
      </c>
      <c r="C97" s="2">
        <f>C9/'Output-Calculation-sheet'!C8*'Output-Calculation-sheet'!C80</f>
        <v>10589959344.46261</v>
      </c>
      <c r="D97" s="2">
        <f>D9/'Output-Calculation-sheet'!D8*'Output-Calculation-sheet'!D80</f>
        <v>8370471683.8783941</v>
      </c>
      <c r="E97" s="2">
        <f>E9/'Output-Calculation-sheet'!E8*'Output-Calculation-sheet'!E80</f>
        <v>10100266199.622475</v>
      </c>
      <c r="F97" s="2">
        <f>F9/'Output-Calculation-sheet'!F8*'Output-Calculation-sheet'!F80</f>
        <v>5984692780.8399878</v>
      </c>
      <c r="G97" s="2">
        <f>G9/'Output-Calculation-sheet'!G8*'Output-Calculation-sheet'!G80</f>
        <v>2995840826.4885283</v>
      </c>
      <c r="H97" s="2">
        <f>H9/'Output-Calculation-sheet'!H8*'Output-Calculation-sheet'!H80</f>
        <v>3813223616.8209705</v>
      </c>
      <c r="I97" s="2">
        <f>I9/'Output-Calculation-sheet'!I8*'Output-Calculation-sheet'!I80</f>
        <v>3639863124.8423748</v>
      </c>
      <c r="J97" s="2">
        <f>J9/'Output-Calculation-sheet'!J8*'Output-Calculation-sheet'!J80</f>
        <v>2076953354.8025813</v>
      </c>
      <c r="K97" s="2">
        <f>K9/'Output-Calculation-sheet'!K8*'Output-Calculation-sheet'!K80</f>
        <v>3498669705.7427607</v>
      </c>
      <c r="L97" s="2">
        <f>L9/'Output-Calculation-sheet'!L8*'Output-Calculation-sheet'!L80</f>
        <v>2531411714.7231007</v>
      </c>
      <c r="M97" s="2">
        <f>M9/'Output-Calculation-sheet'!M8*'Output-Calculation-sheet'!M80</f>
        <v>2551239620.5448384</v>
      </c>
      <c r="N97" s="2">
        <f>N9/'Output-Calculation-sheet'!N8*'Output-Calculation-sheet'!N80</f>
        <v>1823560260.3041177</v>
      </c>
      <c r="O97" s="2">
        <f>O9/'Output-Calculation-sheet'!O8*'Output-Calculation-sheet'!O80</f>
        <v>1438674918.9857101</v>
      </c>
      <c r="P97" s="2">
        <f>P9/'Output-Calculation-sheet'!P8*'Output-Calculation-sheet'!P80</f>
        <v>3006514475.7647538</v>
      </c>
      <c r="Q97" s="2">
        <f>Q9/'Output-Calculation-sheet'!Q8*'Output-Calculation-sheet'!Q80</f>
        <v>1664734855.2117007</v>
      </c>
      <c r="R97" s="2">
        <f>R9/'Output-Calculation-sheet'!R8*'Output-Calculation-sheet'!R80</f>
        <v>2207195809.1881509</v>
      </c>
      <c r="S97" s="2">
        <f>S9/'Output-Calculation-sheet'!S8*'Output-Calculation-sheet'!S80</f>
        <v>1392416377.3887198</v>
      </c>
      <c r="T97" s="2">
        <f>T9/'Output-Calculation-sheet'!T8*'Output-Calculation-sheet'!T80</f>
        <v>885054844.51289213</v>
      </c>
      <c r="U97" s="2">
        <f>U9/'Output-Calculation-sheet'!U8*'Output-Calculation-sheet'!U80</f>
        <v>825349200.43008876</v>
      </c>
      <c r="V97" s="2">
        <f>V9/'Output-Calculation-sheet'!V8*'Output-Calculation-sheet'!V80</f>
        <v>534501901.5725615</v>
      </c>
      <c r="W97" s="2">
        <f>W9/'Output-Calculation-sheet'!W8*'Output-Calculation-sheet'!W80</f>
        <v>625255526.30893815</v>
      </c>
      <c r="X97" s="2">
        <f>X9/'Output-Calculation-sheet'!X8*'Output-Calculation-sheet'!X80</f>
        <v>291142579.57188362</v>
      </c>
      <c r="Y97" s="2">
        <f>Y9/'Output-Calculation-sheet'!Y8*'Output-Calculation-sheet'!Y80</f>
        <v>321726281.646999</v>
      </c>
      <c r="AA97" s="2">
        <f t="shared" si="8"/>
        <v>96.72682681935423</v>
      </c>
    </row>
    <row r="98" spans="1:27" x14ac:dyDescent="0.25">
      <c r="A98" s="2">
        <v>2033</v>
      </c>
      <c r="B98" s="2">
        <f>B10/'Output-Calculation-sheet'!B9*'Output-Calculation-sheet'!B81</f>
        <v>32358623273.34597</v>
      </c>
      <c r="C98" s="2">
        <f>C10/'Output-Calculation-sheet'!C9*'Output-Calculation-sheet'!C81</f>
        <v>13421642340.967443</v>
      </c>
      <c r="D98" s="2">
        <f>D10/'Output-Calculation-sheet'!D9*'Output-Calculation-sheet'!D81</f>
        <v>10528334817.939203</v>
      </c>
      <c r="E98" s="2">
        <f>E10/'Output-Calculation-sheet'!E9*'Output-Calculation-sheet'!E81</f>
        <v>12680196725.366911</v>
      </c>
      <c r="F98" s="2">
        <f>F10/'Output-Calculation-sheet'!F9*'Output-Calculation-sheet'!F81</f>
        <v>7539938980.3113127</v>
      </c>
      <c r="G98" s="2">
        <f>G10/'Output-Calculation-sheet'!G9*'Output-Calculation-sheet'!G81</f>
        <v>3716648263.5032778</v>
      </c>
      <c r="H98" s="2">
        <f>H10/'Output-Calculation-sheet'!H9*'Output-Calculation-sheet'!H81</f>
        <v>4818710787.1292591</v>
      </c>
      <c r="I98" s="2">
        <f>I10/'Output-Calculation-sheet'!I9*'Output-Calculation-sheet'!I81</f>
        <v>4588506618.3696136</v>
      </c>
      <c r="J98" s="2">
        <f>J10/'Output-Calculation-sheet'!J9*'Output-Calculation-sheet'!J81</f>
        <v>2647660440.2248745</v>
      </c>
      <c r="K98" s="2">
        <f>K10/'Output-Calculation-sheet'!K9*'Output-Calculation-sheet'!K81</f>
        <v>4409059871.8451176</v>
      </c>
      <c r="L98" s="2">
        <f>L10/'Output-Calculation-sheet'!L9*'Output-Calculation-sheet'!L81</f>
        <v>3208523895.3270578</v>
      </c>
      <c r="M98" s="2">
        <f>M10/'Output-Calculation-sheet'!M9*'Output-Calculation-sheet'!M81</f>
        <v>3224545189.6426296</v>
      </c>
      <c r="N98" s="2">
        <f>N10/'Output-Calculation-sheet'!N9*'Output-Calculation-sheet'!N81</f>
        <v>2315517637.7050509</v>
      </c>
      <c r="O98" s="2">
        <f>O10/'Output-Calculation-sheet'!O9*'Output-Calculation-sheet'!O81</f>
        <v>1833276810.4459126</v>
      </c>
      <c r="P98" s="2">
        <f>P10/'Output-Calculation-sheet'!P9*'Output-Calculation-sheet'!P81</f>
        <v>3765572759.9390502</v>
      </c>
      <c r="Q98" s="2">
        <f>Q10/'Output-Calculation-sheet'!Q9*'Output-Calculation-sheet'!Q81</f>
        <v>2120041642.8732646</v>
      </c>
      <c r="R98" s="2">
        <f>R10/'Output-Calculation-sheet'!R9*'Output-Calculation-sheet'!R81</f>
        <v>2792695693.0509391</v>
      </c>
      <c r="S98" s="2">
        <f>S10/'Output-Calculation-sheet'!S9*'Output-Calculation-sheet'!S81</f>
        <v>1765488118.7600727</v>
      </c>
      <c r="T98" s="2">
        <f>T10/'Output-Calculation-sheet'!T9*'Output-Calculation-sheet'!T81</f>
        <v>1111397625.388092</v>
      </c>
      <c r="U98" s="2">
        <f>U10/'Output-Calculation-sheet'!U9*'Output-Calculation-sheet'!U81</f>
        <v>1041325515.9874984</v>
      </c>
      <c r="V98" s="2">
        <f>V10/'Output-Calculation-sheet'!V9*'Output-Calculation-sheet'!V81</f>
        <v>678222324.99582875</v>
      </c>
      <c r="W98" s="2">
        <f>W10/'Output-Calculation-sheet'!W9*'Output-Calculation-sheet'!W81</f>
        <v>776671243.90959394</v>
      </c>
      <c r="X98" s="2">
        <f>X10/'Output-Calculation-sheet'!X9*'Output-Calculation-sheet'!X81</f>
        <v>367836505.35806322</v>
      </c>
      <c r="Y98" s="2">
        <f>Y10/'Output-Calculation-sheet'!Y9*'Output-Calculation-sheet'!Y81</f>
        <v>401525113.19798464</v>
      </c>
      <c r="AA98" s="2">
        <f t="shared" si="8"/>
        <v>122.111962195584</v>
      </c>
    </row>
    <row r="99" spans="1:27" x14ac:dyDescent="0.25">
      <c r="A99" s="2">
        <v>2034</v>
      </c>
      <c r="B99" s="2">
        <f>B11/'Output-Calculation-sheet'!B10*'Output-Calculation-sheet'!B82</f>
        <v>38836299593.04509</v>
      </c>
      <c r="C99" s="2">
        <f>C11/'Output-Calculation-sheet'!C10*'Output-Calculation-sheet'!C82</f>
        <v>16127544191.803553</v>
      </c>
      <c r="D99" s="2">
        <f>D11/'Output-Calculation-sheet'!D10*'Output-Calculation-sheet'!D82</f>
        <v>12565683713.963102</v>
      </c>
      <c r="E99" s="2">
        <f>E11/'Output-Calculation-sheet'!E10*'Output-Calculation-sheet'!E82</f>
        <v>15098605935.291622</v>
      </c>
      <c r="F99" s="2">
        <f>F11/'Output-Calculation-sheet'!F10*'Output-Calculation-sheet'!F82</f>
        <v>9007723168.9451923</v>
      </c>
      <c r="G99" s="2">
        <f>G11/'Output-Calculation-sheet'!G10*'Output-Calculation-sheet'!G82</f>
        <v>4374816251.967721</v>
      </c>
      <c r="H99" s="2">
        <f>H11/'Output-Calculation-sheet'!H10*'Output-Calculation-sheet'!H82</f>
        <v>5773287328.7404833</v>
      </c>
      <c r="I99" s="2">
        <f>I11/'Output-Calculation-sheet'!I10*'Output-Calculation-sheet'!I82</f>
        <v>5485641807.3007669</v>
      </c>
      <c r="J99" s="2">
        <f>J11/'Output-Calculation-sheet'!J10*'Output-Calculation-sheet'!J82</f>
        <v>3201646392.1213202</v>
      </c>
      <c r="K99" s="2">
        <f>K11/'Output-Calculation-sheet'!K10*'Output-Calculation-sheet'!K82</f>
        <v>5268987461.8973579</v>
      </c>
      <c r="L99" s="2">
        <f>L11/'Output-Calculation-sheet'!L10*'Output-Calculation-sheet'!L82</f>
        <v>3855526141.6431842</v>
      </c>
      <c r="M99" s="2">
        <f>M11/'Output-Calculation-sheet'!M10*'Output-Calculation-sheet'!M82</f>
        <v>3864668103.2845554</v>
      </c>
      <c r="N99" s="2">
        <f>N11/'Output-Calculation-sheet'!N10*'Output-Calculation-sheet'!N82</f>
        <v>2788985888.6452823</v>
      </c>
      <c r="O99" s="2">
        <f>O11/'Output-Calculation-sheet'!O10*'Output-Calculation-sheet'!O82</f>
        <v>2215336191.748744</v>
      </c>
      <c r="P99" s="2">
        <f>P11/'Output-Calculation-sheet'!P10*'Output-Calculation-sheet'!P82</f>
        <v>4471960127.1702023</v>
      </c>
      <c r="Q99" s="2">
        <f>Q11/'Output-Calculation-sheet'!Q10*'Output-Calculation-sheet'!Q82</f>
        <v>2560246768.3659415</v>
      </c>
      <c r="R99" s="2">
        <f>R11/'Output-Calculation-sheet'!R10*'Output-Calculation-sheet'!R82</f>
        <v>3349971983.2475276</v>
      </c>
      <c r="S99" s="2">
        <f>S11/'Output-Calculation-sheet'!S10*'Output-Calculation-sheet'!S82</f>
        <v>2121984403.9680555</v>
      </c>
      <c r="T99" s="2">
        <f>T11/'Output-Calculation-sheet'!T10*'Output-Calculation-sheet'!T82</f>
        <v>1323654087.0081029</v>
      </c>
      <c r="U99" s="2">
        <f>U11/'Output-Calculation-sheet'!U10*'Output-Calculation-sheet'!U82</f>
        <v>1245047451.195303</v>
      </c>
      <c r="V99" s="2">
        <f>V11/'Output-Calculation-sheet'!V10*'Output-Calculation-sheet'!V82</f>
        <v>815409141.76705015</v>
      </c>
      <c r="W99" s="2">
        <f>W11/'Output-Calculation-sheet'!W10*'Output-Calculation-sheet'!W82</f>
        <v>914992892.71392727</v>
      </c>
      <c r="X99" s="2">
        <f>X11/'Output-Calculation-sheet'!X10*'Output-Calculation-sheet'!X82</f>
        <v>440658377.51722336</v>
      </c>
      <c r="Y99" s="2">
        <f>Y11/'Output-Calculation-sheet'!Y10*'Output-Calculation-sheet'!Y82</f>
        <v>475414020.66063344</v>
      </c>
      <c r="AA99" s="2">
        <f t="shared" si="8"/>
        <v>146.18409142401197</v>
      </c>
    </row>
    <row r="100" spans="1:27" x14ac:dyDescent="0.25">
      <c r="A100" s="2">
        <v>2035</v>
      </c>
      <c r="B100" s="2">
        <f>B12/'Output-Calculation-sheet'!B11*'Output-Calculation-sheet'!B83</f>
        <v>44662920637.461685</v>
      </c>
      <c r="C100" s="2">
        <f>C12/'Output-Calculation-sheet'!C11*'Output-Calculation-sheet'!C83</f>
        <v>18571678716.63422</v>
      </c>
      <c r="D100" s="2">
        <f>D12/'Output-Calculation-sheet'!D11*'Output-Calculation-sheet'!D83</f>
        <v>14383991664.496616</v>
      </c>
      <c r="E100" s="2">
        <f>E12/'Output-Calculation-sheet'!E11*'Output-Calculation-sheet'!E83</f>
        <v>17235517176.549934</v>
      </c>
      <c r="F100" s="2">
        <f>F12/'Output-Calculation-sheet'!F11*'Output-Calculation-sheet'!F83</f>
        <v>10314586030.189564</v>
      </c>
      <c r="G100" s="2">
        <f>G12/'Output-Calculation-sheet'!G11*'Output-Calculation-sheet'!G83</f>
        <v>4938750525.1994114</v>
      </c>
      <c r="H100" s="2">
        <f>H12/'Output-Calculation-sheet'!H11*'Output-Calculation-sheet'!H83</f>
        <v>6628863435.7032166</v>
      </c>
      <c r="I100" s="2">
        <f>I12/'Output-Calculation-sheet'!I11*'Output-Calculation-sheet'!I83</f>
        <v>6286548367.3823204</v>
      </c>
      <c r="J100" s="2">
        <f>J12/'Output-Calculation-sheet'!J11*'Output-Calculation-sheet'!J83</f>
        <v>3711971933.300416</v>
      </c>
      <c r="K100" s="2">
        <f>K12/'Output-Calculation-sheet'!K11*'Output-Calculation-sheet'!K83</f>
        <v>6035537629.4323473</v>
      </c>
      <c r="L100" s="2">
        <f>L12/'Output-Calculation-sheet'!L11*'Output-Calculation-sheet'!L83</f>
        <v>4439820396.7566948</v>
      </c>
      <c r="M100" s="2">
        <f>M12/'Output-Calculation-sheet'!M11*'Output-Calculation-sheet'!M83</f>
        <v>4439572930.8787918</v>
      </c>
      <c r="N100" s="2">
        <f>N12/'Output-Calculation-sheet'!N11*'Output-Calculation-sheet'!N83</f>
        <v>3220780533.5150909</v>
      </c>
      <c r="O100" s="2">
        <f>O12/'Output-Calculation-sheet'!O11*'Output-Calculation-sheet'!O83</f>
        <v>2565970144.3872657</v>
      </c>
      <c r="P100" s="2">
        <f>P12/'Output-Calculation-sheet'!P11*'Output-Calculation-sheet'!P83</f>
        <v>5090380773.4876547</v>
      </c>
      <c r="Q100" s="2">
        <f>Q12/'Output-Calculation-sheet'!Q11*'Output-Calculation-sheet'!Q83</f>
        <v>2963531021.4113665</v>
      </c>
      <c r="R100" s="2">
        <f>R12/'Output-Calculation-sheet'!R11*'Output-Calculation-sheet'!R83</f>
        <v>3850930249.2038517</v>
      </c>
      <c r="S100" s="2">
        <f>S12/'Output-Calculation-sheet'!S11*'Output-Calculation-sheet'!S83</f>
        <v>2443865239.5383916</v>
      </c>
      <c r="T100" s="2">
        <f>T12/'Output-Calculation-sheet'!T11*'Output-Calculation-sheet'!T83</f>
        <v>1511311527.3238521</v>
      </c>
      <c r="U100" s="2">
        <f>U12/'Output-Calculation-sheet'!U11*'Output-Calculation-sheet'!U83</f>
        <v>1426092308.8479292</v>
      </c>
      <c r="V100" s="2">
        <f>V12/'Output-Calculation-sheet'!V11*'Output-Calculation-sheet'!V83</f>
        <v>939005465.46455371</v>
      </c>
      <c r="W100" s="2">
        <f>W12/'Output-Calculation-sheet'!W11*'Output-Calculation-sheet'!W83</f>
        <v>1033401715.1620437</v>
      </c>
      <c r="X100" s="2">
        <f>X12/'Output-Calculation-sheet'!X11*'Output-Calculation-sheet'!X83</f>
        <v>505952517.01833749</v>
      </c>
      <c r="Y100" s="2">
        <f>Y12/'Output-Calculation-sheet'!Y11*'Output-Calculation-sheet'!Y83</f>
        <v>539793942.35262704</v>
      </c>
      <c r="AA100" s="2">
        <f t="shared" si="8"/>
        <v>167.74077488169817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1697.1589141983893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522.43815110624075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359.48829139276774</v>
      </c>
      <c r="N107" s="2">
        <f>N8/'Output-Calculation-sheet'!N7*'Output-Calculation-sheet'!N88</f>
        <v>141.32747617929877</v>
      </c>
      <c r="O107" s="2">
        <f>O8/'Output-Calculation-sheet'!O7*'Output-Calculation-sheet'!O88</f>
        <v>395.65299432844427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39.436613241058573</v>
      </c>
      <c r="Y107" s="2">
        <f>Y8/'Output-Calculation-sheet'!Y7*'Output-Calculation-sheet'!Y88</f>
        <v>0</v>
      </c>
      <c r="AA107" s="2">
        <f t="shared" si="9"/>
        <v>3.1555024404461993</v>
      </c>
    </row>
    <row r="108" spans="1:27" x14ac:dyDescent="0.25">
      <c r="A108" s="2">
        <v>2032</v>
      </c>
      <c r="B108" s="2">
        <f>B9/'Output-Calculation-sheet'!B8*'Output-Calculation-sheet'!B89</f>
        <v>772.03952588340576</v>
      </c>
      <c r="C108" s="2">
        <f>C9/'Output-Calculation-sheet'!C8*'Output-Calculation-sheet'!C89</f>
        <v>2931.4226252016961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789.58495174368784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543.31128883054612</v>
      </c>
      <c r="N108" s="2">
        <f>N9/'Output-Calculation-sheet'!N8*'Output-Calculation-sheet'!N89</f>
        <v>381.4192038904564</v>
      </c>
      <c r="O108" s="2">
        <f>O9/'Output-Calculation-sheet'!O8*'Output-Calculation-sheet'!O89</f>
        <v>569.49397882942458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174.91412392723132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59.602378380945446</v>
      </c>
      <c r="Y108" s="2">
        <f>Y9/'Output-Calculation-sheet'!Y8*'Output-Calculation-sheet'!Y89</f>
        <v>0</v>
      </c>
      <c r="AA108" s="2">
        <f t="shared" si="9"/>
        <v>6.2217880766873943</v>
      </c>
    </row>
    <row r="109" spans="1:27" x14ac:dyDescent="0.25">
      <c r="A109" s="2">
        <v>2033</v>
      </c>
      <c r="B109" s="2">
        <f>B10/'Output-Calculation-sheet'!B9*'Output-Calculation-sheet'!B90</f>
        <v>4035.1252670488425</v>
      </c>
      <c r="C109" s="2">
        <f>C10/'Output-Calculation-sheet'!C9*'Output-Calculation-sheet'!C90</f>
        <v>3830.3276926835706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1179.0936612684923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811.33118778543553</v>
      </c>
      <c r="N109" s="2">
        <f>N10/'Output-Calculation-sheet'!N9*'Output-Calculation-sheet'!N90</f>
        <v>637.92558400735243</v>
      </c>
      <c r="O109" s="2">
        <f>O10/'Output-Calculation-sheet'!O9*'Output-Calculation-sheet'!O90</f>
        <v>744.12626114489649</v>
      </c>
      <c r="P109" s="2">
        <f>P10/'Output-Calculation-sheet'!P9*'Output-Calculation-sheet'!P90</f>
        <v>0</v>
      </c>
      <c r="Q109" s="2">
        <f>Q10/'Output-Calculation-sheet'!Q9*'Output-Calculation-sheet'!Q90</f>
        <v>139.73012047783388</v>
      </c>
      <c r="R109" s="2">
        <f>R10/'Output-Calculation-sheet'!R9*'Output-Calculation-sheet'!R90</f>
        <v>0</v>
      </c>
      <c r="S109" s="2">
        <f>S10/'Output-Calculation-sheet'!S9*'Output-Calculation-sheet'!S90</f>
        <v>319.97084614962574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89.004718732674107</v>
      </c>
      <c r="Y109" s="2">
        <f>Y10/'Output-Calculation-sheet'!Y9*'Output-Calculation-sheet'!Y90</f>
        <v>0</v>
      </c>
      <c r="AA109" s="2">
        <f t="shared" si="9"/>
        <v>11.786635339298726</v>
      </c>
    </row>
    <row r="110" spans="1:27" x14ac:dyDescent="0.25">
      <c r="A110" s="2">
        <v>2034</v>
      </c>
      <c r="B110" s="2">
        <f>B11/'Output-Calculation-sheet'!B10*'Output-Calculation-sheet'!B91</f>
        <v>7406.702088458147</v>
      </c>
      <c r="C110" s="2">
        <f>C11/'Output-Calculation-sheet'!C10*'Output-Calculation-sheet'!C91</f>
        <v>5077.7887944143677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1442.8623492346205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992.82971494903279</v>
      </c>
      <c r="N110" s="2">
        <f>N11/'Output-Calculation-sheet'!N10*'Output-Calculation-sheet'!N91</f>
        <v>894.47471455730818</v>
      </c>
      <c r="O110" s="2">
        <f>O11/'Output-Calculation-sheet'!O10*'Output-Calculation-sheet'!O91</f>
        <v>986.4732977516461</v>
      </c>
      <c r="P110" s="2">
        <f>P11/'Output-Calculation-sheet'!P10*'Output-Calculation-sheet'!P91</f>
        <v>225.36477841683899</v>
      </c>
      <c r="Q110" s="2">
        <f>Q11/'Output-Calculation-sheet'!Q10*'Output-Calculation-sheet'!Q91</f>
        <v>498.7161451484784</v>
      </c>
      <c r="R110" s="2">
        <f>R11/'Output-Calculation-sheet'!R10*'Output-Calculation-sheet'!R91</f>
        <v>0</v>
      </c>
      <c r="S110" s="2">
        <f>S11/'Output-Calculation-sheet'!S10*'Output-Calculation-sheet'!S91</f>
        <v>512.74378517129571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108.91548464897555</v>
      </c>
      <c r="Y110" s="2">
        <f>Y11/'Output-Calculation-sheet'!Y10*'Output-Calculation-sheet'!Y91</f>
        <v>26.276381511269882</v>
      </c>
      <c r="AA110" s="2">
        <f t="shared" si="9"/>
        <v>18.173147534261986</v>
      </c>
    </row>
    <row r="111" spans="1:27" x14ac:dyDescent="0.25">
      <c r="A111" s="2">
        <v>2035</v>
      </c>
      <c r="B111" s="2">
        <f>B12/'Output-Calculation-sheet'!B11*'Output-Calculation-sheet'!B92</f>
        <v>12319.608121991365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2744.2616692562774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609.48939326763991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974.61122045066338</v>
      </c>
      <c r="Q111" s="2">
        <f>Q12/'Output-Calculation-sheet'!Q11*'Output-Calculation-sheet'!Q92</f>
        <v>924.31927022508</v>
      </c>
      <c r="R111" s="2">
        <f>R12/'Output-Calculation-sheet'!R11*'Output-Calculation-sheet'!R92</f>
        <v>141.02104112957775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204.17083190577415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96.152428203086785</v>
      </c>
      <c r="AA111" s="2">
        <f t="shared" si="9"/>
        <v>30.086157169582417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7978313198.2118244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2454763178.3252602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1705044562.4535012</v>
      </c>
      <c r="N118" s="2">
        <f>N8/'Output-Calculation-sheet'!N7*'Output-Calculation-sheet'!N97</f>
        <v>1337973830.6050656</v>
      </c>
      <c r="O118" s="2">
        <f>O8/'Output-Calculation-sheet'!O7*'Output-Calculation-sheet'!O97</f>
        <v>890303163.63173604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484538154.04562539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183771442.28772134</v>
      </c>
      <c r="Y118" s="2">
        <f>Y8/'Output-Calculation-sheet'!Y7*'Output-Calculation-sheet'!Y97</f>
        <v>0</v>
      </c>
      <c r="AA118" s="2">
        <f t="shared" si="10"/>
        <v>16395.703699268826</v>
      </c>
    </row>
    <row r="119" spans="1:27" x14ac:dyDescent="0.25">
      <c r="A119" s="2">
        <v>2032</v>
      </c>
      <c r="B119" s="2">
        <f>B9/'Output-Calculation-sheet'!B8*'Output-Calculation-sheet'!B98</f>
        <v>5791880629.1267071</v>
      </c>
      <c r="C119" s="2">
        <f>C9/'Output-Calculation-sheet'!C8*'Output-Calculation-sheet'!C98</f>
        <v>4603503711.2152624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2751984818.9988017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1920895709.6359863</v>
      </c>
      <c r="N119" s="2">
        <f>N9/'Output-Calculation-sheet'!N8*'Output-Calculation-sheet'!N98</f>
        <v>1297230489.2129834</v>
      </c>
      <c r="O119" s="2">
        <f>O9/'Output-Calculation-sheet'!O8*'Output-Calculation-sheet'!O98</f>
        <v>899439560.49637556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539102821.35611963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205542727.4207767</v>
      </c>
      <c r="Y119" s="2">
        <f>Y9/'Output-Calculation-sheet'!Y8*'Output-Calculation-sheet'!Y98</f>
        <v>0</v>
      </c>
      <c r="AA119" s="2">
        <f t="shared" si="10"/>
        <v>18009.580467463013</v>
      </c>
    </row>
    <row r="120" spans="1:27" x14ac:dyDescent="0.25">
      <c r="A120" s="2">
        <v>2033</v>
      </c>
      <c r="B120" s="2">
        <f>B10/'Output-Calculation-sheet'!B9*'Output-Calculation-sheet'!B99</f>
        <v>5805065363.9905386</v>
      </c>
      <c r="C120" s="2">
        <f>C10/'Output-Calculation-sheet'!C9*'Output-Calculation-sheet'!C99</f>
        <v>4772124188.7542124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1564666476.2461042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1107483930.1569955</v>
      </c>
      <c r="N120" s="2">
        <f>N10/'Output-Calculation-sheet'!N9*'Output-Calculation-sheet'!N99</f>
        <v>1104044138.4075818</v>
      </c>
      <c r="O120" s="2">
        <f>O10/'Output-Calculation-sheet'!O9*'Output-Calculation-sheet'!O99</f>
        <v>934279126.24057329</v>
      </c>
      <c r="P120" s="2">
        <f>P10/'Output-Calculation-sheet'!P9*'Output-Calculation-sheet'!P99</f>
        <v>0</v>
      </c>
      <c r="Q120" s="2">
        <f>Q10/'Output-Calculation-sheet'!Q9*'Output-Calculation-sheet'!Q99</f>
        <v>6838204.177319916</v>
      </c>
      <c r="R120" s="2">
        <f>R10/'Output-Calculation-sheet'!R9*'Output-Calculation-sheet'!R99</f>
        <v>0</v>
      </c>
      <c r="S120" s="2">
        <f>S10/'Output-Calculation-sheet'!S9*'Output-Calculation-sheet'!S99</f>
        <v>462366480.43624473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110587184.00180073</v>
      </c>
      <c r="Y120" s="2">
        <f>Y10/'Output-Calculation-sheet'!Y9*'Output-Calculation-sheet'!Y99</f>
        <v>0</v>
      </c>
      <c r="AA120" s="2">
        <f t="shared" si="10"/>
        <v>15867.455092411374</v>
      </c>
    </row>
    <row r="121" spans="1:27" x14ac:dyDescent="0.25">
      <c r="A121" s="2">
        <v>2034</v>
      </c>
      <c r="B121" s="2">
        <f>B11/'Output-Calculation-sheet'!B10*'Output-Calculation-sheet'!B100</f>
        <v>5547774838.5412741</v>
      </c>
      <c r="C121" s="2">
        <f>C11/'Output-Calculation-sheet'!C10*'Output-Calculation-sheet'!C100</f>
        <v>666607141.66896141</v>
      </c>
      <c r="D121" s="2">
        <f>D11/'Output-Calculation-sheet'!D10*'Output-Calculation-sheet'!D100</f>
        <v>0</v>
      </c>
      <c r="E121" s="2">
        <f>E11/'Output-Calculation-sheet'!E10*'Output-Calculation-sheet'!E100</f>
        <v>769317145.44828308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1755238924.7652378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639904558.93789327</v>
      </c>
      <c r="M121" s="2">
        <f>M11/'Output-Calculation-sheet'!M10*'Output-Calculation-sheet'!M100</f>
        <v>1249196828.5946493</v>
      </c>
      <c r="N121" s="2">
        <f>N11/'Output-Calculation-sheet'!N10*'Output-Calculation-sheet'!N100</f>
        <v>832811613.11053658</v>
      </c>
      <c r="O121" s="2">
        <f>O11/'Output-Calculation-sheet'!O10*'Output-Calculation-sheet'!O100</f>
        <v>130757183.44015218</v>
      </c>
      <c r="P121" s="2">
        <f>P11/'Output-Calculation-sheet'!P10*'Output-Calculation-sheet'!P100</f>
        <v>0</v>
      </c>
      <c r="Q121" s="2">
        <f>Q11/'Output-Calculation-sheet'!Q10*'Output-Calculation-sheet'!Q100</f>
        <v>257263417.42124122</v>
      </c>
      <c r="R121" s="2">
        <f>R11/'Output-Calculation-sheet'!R10*'Output-Calculation-sheet'!R100</f>
        <v>0</v>
      </c>
      <c r="S121" s="2">
        <f>S11/'Output-Calculation-sheet'!S10*'Output-Calculation-sheet'!S100</f>
        <v>311382096.89622384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122742328.99994323</v>
      </c>
      <c r="Y121" s="2">
        <f>Y11/'Output-Calculation-sheet'!Y10*'Output-Calculation-sheet'!Y100</f>
        <v>8771635.1388596892</v>
      </c>
      <c r="AA121" s="2">
        <f t="shared" si="10"/>
        <v>12291.767712963256</v>
      </c>
    </row>
    <row r="122" spans="1:27" x14ac:dyDescent="0.25">
      <c r="A122" s="2">
        <v>2035</v>
      </c>
      <c r="B122" s="2">
        <f>B12/'Output-Calculation-sheet'!B11*'Output-Calculation-sheet'!B101</f>
        <v>2166113497.4638591</v>
      </c>
      <c r="C122" s="2">
        <f>C12/'Output-Calculation-sheet'!C11*'Output-Calculation-sheet'!C101</f>
        <v>372528185.02321666</v>
      </c>
      <c r="D122" s="2">
        <f>D12/'Output-Calculation-sheet'!D11*'Output-Calculation-sheet'!D101</f>
        <v>0</v>
      </c>
      <c r="E122" s="2">
        <f>E12/'Output-Calculation-sheet'!E11*'Output-Calculation-sheet'!E101</f>
        <v>2165051029.7882791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581008680.53476167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1270770684.8477926</v>
      </c>
      <c r="M122" s="2">
        <f>M12/'Output-Calculation-sheet'!M11*'Output-Calculation-sheet'!M101</f>
        <v>524089284.3014518</v>
      </c>
      <c r="N122" s="2">
        <f>N12/'Output-Calculation-sheet'!N11*'Output-Calculation-sheet'!N101</f>
        <v>439395971.20246577</v>
      </c>
      <c r="O122" s="2">
        <f>O12/'Output-Calculation-sheet'!O11*'Output-Calculation-sheet'!O101</f>
        <v>63493239.199007124</v>
      </c>
      <c r="P122" s="2">
        <f>P12/'Output-Calculation-sheet'!P11*'Output-Calculation-sheet'!P101</f>
        <v>26998541.772387508</v>
      </c>
      <c r="Q122" s="2">
        <f>Q12/'Output-Calculation-sheet'!Q11*'Output-Calculation-sheet'!Q101</f>
        <v>532185361.24392754</v>
      </c>
      <c r="R122" s="2">
        <f>R12/'Output-Calculation-sheet'!R11*'Output-Calculation-sheet'!R101</f>
        <v>0</v>
      </c>
      <c r="S122" s="2">
        <f>S12/'Output-Calculation-sheet'!S11*'Output-Calculation-sheet'!S101</f>
        <v>215142101.63231829</v>
      </c>
      <c r="T122" s="2">
        <f>T12/'Output-Calculation-sheet'!T11*'Output-Calculation-sheet'!T101</f>
        <v>0</v>
      </c>
      <c r="U122" s="2">
        <f>U12/'Output-Calculation-sheet'!U11*'Output-Calculation-sheet'!U101</f>
        <v>79105119.696417272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18587881.484627679</v>
      </c>
      <c r="Y122" s="2">
        <f>Y12/'Output-Calculation-sheet'!Y11*'Output-Calculation-sheet'!Y101</f>
        <v>76806196.380892247</v>
      </c>
      <c r="AA122" s="2">
        <f t="shared" si="10"/>
        <v>8531.2757745714043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2220253733.0658994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2227956507.1347041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145940.82991743129</v>
      </c>
    </row>
    <row r="130" spans="1:27" x14ac:dyDescent="0.25">
      <c r="A130" s="2">
        <v>2032</v>
      </c>
      <c r="B130" s="2">
        <f>B9/'Output-Calculation-sheet'!B8*'Output-Calculation-sheet'!B107</f>
        <v>52413201928.932869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1906800791.0814786</v>
      </c>
      <c r="O130" s="2">
        <f>O9/'Output-Calculation-sheet'!O8*'Output-Calculation-sheet'!O107</f>
        <v>0</v>
      </c>
      <c r="P130" s="2">
        <f>P9/'Output-Calculation-sheet'!P8*'Output-Calculation-sheet'!P107</f>
        <v>5818347191.7951565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1693541263.9834442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184585.38272809109</v>
      </c>
    </row>
    <row r="131" spans="1:27" x14ac:dyDescent="0.25">
      <c r="A131" s="2">
        <v>2033</v>
      </c>
      <c r="B131" s="2">
        <f>B10/'Output-Calculation-sheet'!B9*'Output-Calculation-sheet'!B108</f>
        <v>43304021089.931725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1586776719.0159767</v>
      </c>
      <c r="O131" s="2">
        <f>O10/'Output-Calculation-sheet'!O9*'Output-Calculation-sheet'!O108</f>
        <v>0</v>
      </c>
      <c r="P131" s="2">
        <f>P10/'Output-Calculation-sheet'!P9*'Output-Calculation-sheet'!P108</f>
        <v>7298030593.8488979</v>
      </c>
      <c r="Q131" s="2">
        <f>Q10/'Output-Calculation-sheet'!Q9*'Output-Calculation-sheet'!Q108</f>
        <v>6156338528.6257639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1539088858.2384405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206683.27368758124</v>
      </c>
    </row>
    <row r="132" spans="1:27" x14ac:dyDescent="0.25">
      <c r="A132" s="2">
        <v>2034</v>
      </c>
      <c r="B132" s="2">
        <f>B11/'Output-Calculation-sheet'!B10*'Output-Calculation-sheet'!B109</f>
        <v>32281699569.095474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31161504991.87151</v>
      </c>
      <c r="F132" s="2">
        <f>F11/'Output-Calculation-sheet'!F10*'Output-Calculation-sheet'!F109</f>
        <v>20551752586.373062</v>
      </c>
      <c r="G132" s="2">
        <f>G11/'Output-Calculation-sheet'!G10*'Output-Calculation-sheet'!G109</f>
        <v>14440625268.305174</v>
      </c>
      <c r="H132" s="2">
        <f>H11/'Output-Calculation-sheet'!H10*'Output-Calculation-sheet'!H109</f>
        <v>0</v>
      </c>
      <c r="I132" s="2">
        <f>I11/'Output-Calculation-sheet'!I10*'Output-Calculation-sheet'!I109</f>
        <v>13155625180.248793</v>
      </c>
      <c r="J132" s="2">
        <f>J11/'Output-Calculation-sheet'!J10*'Output-Calculation-sheet'!J109</f>
        <v>12804865171.222593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9533850648.9229298</v>
      </c>
      <c r="M132" s="2">
        <f>M11/'Output-Calculation-sheet'!M10*'Output-Calculation-sheet'!M109</f>
        <v>0</v>
      </c>
      <c r="N132" s="2">
        <f>N11/'Output-Calculation-sheet'!N10*'Output-Calculation-sheet'!N109</f>
        <v>1253540309.3001668</v>
      </c>
      <c r="O132" s="2">
        <f>O11/'Output-Calculation-sheet'!O10*'Output-Calculation-sheet'!O109</f>
        <v>0</v>
      </c>
      <c r="P132" s="2">
        <f>P11/'Output-Calculation-sheet'!P10*'Output-Calculation-sheet'!P109</f>
        <v>7122274311.479763</v>
      </c>
      <c r="Q132" s="2">
        <f>Q11/'Output-Calculation-sheet'!Q10*'Output-Calculation-sheet'!Q109</f>
        <v>4623370692.514658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860317481.41546392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2632636111.3746243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848818237.0200367</v>
      </c>
      <c r="AA132" s="2">
        <f t="shared" si="11"/>
        <v>219211.12718989424</v>
      </c>
    </row>
    <row r="133" spans="1:27" x14ac:dyDescent="0.25">
      <c r="A133" s="2">
        <v>2035</v>
      </c>
      <c r="B133" s="2">
        <f>B12/'Output-Calculation-sheet'!B11*'Output-Calculation-sheet'!B110</f>
        <v>519033089.92502993</v>
      </c>
      <c r="C133" s="2">
        <f>C12/'Output-Calculation-sheet'!C11*'Output-Calculation-sheet'!C110</f>
        <v>0</v>
      </c>
      <c r="D133" s="2">
        <f>D12/'Output-Calculation-sheet'!D11*'Output-Calculation-sheet'!D110</f>
        <v>43879717751.107079</v>
      </c>
      <c r="E133" s="2">
        <f>E12/'Output-Calculation-sheet'!E11*'Output-Calculation-sheet'!E110</f>
        <v>16843750657.418343</v>
      </c>
      <c r="F133" s="2">
        <f>F12/'Output-Calculation-sheet'!F11*'Output-Calculation-sheet'!F110</f>
        <v>22977797946.53709</v>
      </c>
      <c r="G133" s="2">
        <f>G12/'Output-Calculation-sheet'!G11*'Output-Calculation-sheet'!G110</f>
        <v>15663902710.103729</v>
      </c>
      <c r="H133" s="2">
        <f>H12/'Output-Calculation-sheet'!H11*'Output-Calculation-sheet'!H110</f>
        <v>0</v>
      </c>
      <c r="I133" s="2">
        <f>I12/'Output-Calculation-sheet'!I11*'Output-Calculation-sheet'!I110</f>
        <v>14634096703.689077</v>
      </c>
      <c r="J133" s="2">
        <f>J12/'Output-Calculation-sheet'!J11*'Output-Calculation-sheet'!J110</f>
        <v>14010529631.000198</v>
      </c>
      <c r="K133" s="2">
        <f>K12/'Output-Calculation-sheet'!K11*'Output-Calculation-sheet'!K110</f>
        <v>14151601299.752165</v>
      </c>
      <c r="L133" s="2">
        <f>L12/'Output-Calculation-sheet'!L11*'Output-Calculation-sheet'!L110</f>
        <v>6680427791.9990015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2437458848.65588</v>
      </c>
      <c r="Q133" s="2">
        <f>Q12/'Output-Calculation-sheet'!Q11*'Output-Calculation-sheet'!Q110</f>
        <v>2090937617.8797913</v>
      </c>
      <c r="R133" s="2">
        <f>R12/'Output-Calculation-sheet'!R11*'Output-Calculation-sheet'!R110</f>
        <v>8407132365.2860184</v>
      </c>
      <c r="S133" s="2">
        <f>S12/'Output-Calculation-sheet'!S11*'Output-Calculation-sheet'!S110</f>
        <v>2163361.7452716054</v>
      </c>
      <c r="T133" s="2">
        <f>T12/'Output-Calculation-sheet'!T11*'Output-Calculation-sheet'!T110</f>
        <v>3394056505.429213</v>
      </c>
      <c r="U133" s="2">
        <f>U12/'Output-Calculation-sheet'!U11*'Output-Calculation-sheet'!U110</f>
        <v>1593360662.3260586</v>
      </c>
      <c r="V133" s="2">
        <f>V12/'Output-Calculation-sheet'!V11*'Output-Calculation-sheet'!V110</f>
        <v>2289260979.2997642</v>
      </c>
      <c r="W133" s="2">
        <f>W12/'Output-Calculation-sheet'!W11*'Output-Calculation-sheet'!W110</f>
        <v>1974632033.9569304</v>
      </c>
      <c r="X133" s="2">
        <f>X12/'Output-Calculation-sheet'!X11*'Output-Calculation-sheet'!X110</f>
        <v>0</v>
      </c>
      <c r="Y133" s="2">
        <f>Y12/'Output-Calculation-sheet'!Y11*'Output-Calculation-sheet'!Y110</f>
        <v>452035836.82188648</v>
      </c>
      <c r="AA133" s="2">
        <f t="shared" si="11"/>
        <v>172001.89579293251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14440988546.559963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4539883045.4830112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3120647827.3939819</v>
      </c>
      <c r="N140" s="2">
        <f>N8/'Output-Calculation-sheet'!N7*'Output-Calculation-sheet'!N115</f>
        <v>1178168245.7707658</v>
      </c>
      <c r="O140" s="2">
        <f>O8/'Output-Calculation-sheet'!O7*'Output-Calculation-sheet'!O115</f>
        <v>3465766936.1916637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338864886.72482985</v>
      </c>
      <c r="Y140" s="2">
        <f>Y8/'Output-Calculation-sheet'!Y7*'Output-Calculation-sheet'!Y115</f>
        <v>0</v>
      </c>
      <c r="AA140" s="2">
        <f t="shared" si="12"/>
        <v>27084.319488124223</v>
      </c>
    </row>
    <row r="141" spans="1:27" x14ac:dyDescent="0.25">
      <c r="A141" s="2">
        <v>2032</v>
      </c>
      <c r="B141" s="2">
        <f>B9/'Output-Calculation-sheet'!B8*'Output-Calculation-sheet'!B116</f>
        <v>5992038393.4287567</v>
      </c>
      <c r="C141" s="2">
        <f>C9/'Output-Calculation-sheet'!C8*'Output-Calculation-sheet'!C116</f>
        <v>25649467331.415577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6686704904.7023659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4590972326.6286697</v>
      </c>
      <c r="N141" s="2">
        <f>N9/'Output-Calculation-sheet'!N8*'Output-Calculation-sheet'!N116</f>
        <v>3187337998.2540612</v>
      </c>
      <c r="O141" s="2">
        <f>O9/'Output-Calculation-sheet'!O8*'Output-Calculation-sheet'!O116</f>
        <v>4978712357.6078558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1427640560.9490654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499711205.84612262</v>
      </c>
      <c r="Y141" s="2">
        <f>Y9/'Output-Calculation-sheet'!Y8*'Output-Calculation-sheet'!Y116</f>
        <v>0</v>
      </c>
      <c r="AA141" s="2">
        <f t="shared" si="12"/>
        <v>53012.585078832475</v>
      </c>
    </row>
    <row r="142" spans="1:27" x14ac:dyDescent="0.25">
      <c r="A142" s="2">
        <v>2033</v>
      </c>
      <c r="B142" s="2">
        <f>B10/'Output-Calculation-sheet'!B9*'Output-Calculation-sheet'!B117</f>
        <v>31418428605.278744</v>
      </c>
      <c r="C142" s="2">
        <f>C10/'Output-Calculation-sheet'!C9*'Output-Calculation-sheet'!C117</f>
        <v>33176562390.434505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10275026424.977505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7060865705.1814957</v>
      </c>
      <c r="N142" s="2">
        <f>N10/'Output-Calculation-sheet'!N9*'Output-Calculation-sheet'!N117</f>
        <v>5326377268.7585573</v>
      </c>
      <c r="O142" s="2">
        <f>O10/'Output-Calculation-sheet'!O9*'Output-Calculation-sheet'!O117</f>
        <v>6439149708.3606167</v>
      </c>
      <c r="P142" s="2">
        <f>P10/'Output-Calculation-sheet'!P9*'Output-Calculation-sheet'!P117</f>
        <v>0</v>
      </c>
      <c r="Q142" s="2">
        <f>Q10/'Output-Calculation-sheet'!Q9*'Output-Calculation-sheet'!Q117</f>
        <v>1017262497.2319704</v>
      </c>
      <c r="R142" s="2">
        <f>R10/'Output-Calculation-sheet'!R9*'Output-Calculation-sheet'!R117</f>
        <v>0</v>
      </c>
      <c r="S142" s="2">
        <f>S10/'Output-Calculation-sheet'!S9*'Output-Calculation-sheet'!S117</f>
        <v>2589928325.3216257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774068490.47196388</v>
      </c>
      <c r="Y142" s="2">
        <f>Y10/'Output-Calculation-sheet'!Y9*'Output-Calculation-sheet'!Y117</f>
        <v>0</v>
      </c>
      <c r="AA142" s="2">
        <f t="shared" si="12"/>
        <v>98077.669416016986</v>
      </c>
    </row>
    <row r="143" spans="1:27" x14ac:dyDescent="0.25">
      <c r="A143" s="2">
        <v>2034</v>
      </c>
      <c r="B143" s="2">
        <f>B11/'Output-Calculation-sheet'!B10*'Output-Calculation-sheet'!B118</f>
        <v>57974704771.294464</v>
      </c>
      <c r="C143" s="2">
        <f>C11/'Output-Calculation-sheet'!C10*'Output-Calculation-sheet'!C118</f>
        <v>44481429839.069862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12330473651.815573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8468706380.6091633</v>
      </c>
      <c r="N143" s="2">
        <f>N11/'Output-Calculation-sheet'!N10*'Output-Calculation-sheet'!N118</f>
        <v>7451782250.8416405</v>
      </c>
      <c r="O143" s="2">
        <f>O11/'Output-Calculation-sheet'!O10*'Output-Calculation-sheet'!O118</f>
        <v>8641506088.3044205</v>
      </c>
      <c r="P143" s="2">
        <f>P11/'Output-Calculation-sheet'!P10*'Output-Calculation-sheet'!P118</f>
        <v>1560198409.7695737</v>
      </c>
      <c r="Q143" s="2">
        <f>Q11/'Output-Calculation-sheet'!Q10*'Output-Calculation-sheet'!Q118</f>
        <v>3661952369.7828479</v>
      </c>
      <c r="R143" s="2">
        <f>R11/'Output-Calculation-sheet'!R10*'Output-Calculation-sheet'!R118</f>
        <v>0</v>
      </c>
      <c r="S143" s="2">
        <f>S11/'Output-Calculation-sheet'!S10*'Output-Calculation-sheet'!S118</f>
        <v>4290728377.5396543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929735110.16036856</v>
      </c>
      <c r="Y143" s="2">
        <f>Y11/'Output-Calculation-sheet'!Y10*'Output-Calculation-sheet'!Y118</f>
        <v>165921471.67421314</v>
      </c>
      <c r="AA143" s="2">
        <f t="shared" si="12"/>
        <v>149957.13872086175</v>
      </c>
    </row>
    <row r="144" spans="1:27" x14ac:dyDescent="0.25">
      <c r="A144" s="2">
        <v>2035</v>
      </c>
      <c r="B144" s="2">
        <f>B12/'Output-Calculation-sheet'!B11*'Output-Calculation-sheet'!B119</f>
        <v>106357864831.65079</v>
      </c>
      <c r="C144" s="2">
        <f>C12/'Output-Calculation-sheet'!C11*'Output-Calculation-sheet'!C119</f>
        <v>51096682183.332245</v>
      </c>
      <c r="D144" s="2">
        <f>D12/'Output-Calculation-sheet'!D11*'Output-Calculation-sheet'!D119</f>
        <v>0</v>
      </c>
      <c r="E144" s="2">
        <f>E12/'Output-Calculation-sheet'!E11*'Output-Calculation-sheet'!E119</f>
        <v>17199827518.944828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15437200959.044176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3544017989.8056293</v>
      </c>
      <c r="M144" s="2">
        <f>M12/'Output-Calculation-sheet'!M11*'Output-Calculation-sheet'!M119</f>
        <v>10520928732.291439</v>
      </c>
      <c r="N144" s="2">
        <f>N12/'Output-Calculation-sheet'!N11*'Output-Calculation-sheet'!N119</f>
        <v>10394728995.308393</v>
      </c>
      <c r="O144" s="2">
        <f>O12/'Output-Calculation-sheet'!O11*'Output-Calculation-sheet'!O119</f>
        <v>9933255294.2513008</v>
      </c>
      <c r="P144" s="2">
        <f>P12/'Output-Calculation-sheet'!P11*'Output-Calculation-sheet'!P119</f>
        <v>7419857372.3779984</v>
      </c>
      <c r="Q144" s="2">
        <f>Q12/'Output-Calculation-sheet'!Q11*'Output-Calculation-sheet'!Q119</f>
        <v>7009548868.9694748</v>
      </c>
      <c r="R144" s="2">
        <f>R12/'Output-Calculation-sheet'!R11*'Output-Calculation-sheet'!R119</f>
        <v>789100725.9125365</v>
      </c>
      <c r="S144" s="2">
        <f>S12/'Output-Calculation-sheet'!S11*'Output-Calculation-sheet'!S119</f>
        <v>5990663703.0323143</v>
      </c>
      <c r="T144" s="2">
        <f>T12/'Output-Calculation-sheet'!T11*'Output-Calculation-sheet'!T119</f>
        <v>0</v>
      </c>
      <c r="U144" s="2">
        <f>U12/'Output-Calculation-sheet'!U11*'Output-Calculation-sheet'!U119</f>
        <v>1303195609.7432959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1180714368.1932719</v>
      </c>
      <c r="Y144" s="2">
        <f>Y12/'Output-Calculation-sheet'!Y11*'Output-Calculation-sheet'!Y119</f>
        <v>631868463.2051692</v>
      </c>
      <c r="AA144" s="2">
        <f t="shared" si="12"/>
        <v>248809.45561606286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460577136.03418672</v>
      </c>
      <c r="C155" s="2">
        <f>C12/'Output-Calculation-sheet'!C11*'Output-Calculation-sheet'!C128</f>
        <v>44001513.661590859</v>
      </c>
      <c r="D155" s="2">
        <f>D12/'Output-Calculation-sheet'!D11*'Output-Calculation-sheet'!D128</f>
        <v>3296218619.5482693</v>
      </c>
      <c r="E155" s="2">
        <f>E12/'Output-Calculation-sheet'!E11*'Output-Calculation-sheet'!E128</f>
        <v>491426698.23516124</v>
      </c>
      <c r="F155" s="2">
        <f>F12/'Output-Calculation-sheet'!F11*'Output-Calculation-sheet'!F128</f>
        <v>1018031146.373432</v>
      </c>
      <c r="G155" s="2">
        <f>G12/'Output-Calculation-sheet'!G11*'Output-Calculation-sheet'!G128</f>
        <v>1280814488.2107689</v>
      </c>
      <c r="H155" s="2">
        <f>H12/'Output-Calculation-sheet'!H11*'Output-Calculation-sheet'!H128</f>
        <v>97063302.421821415</v>
      </c>
      <c r="I155" s="2">
        <f>I12/'Output-Calculation-sheet'!I11*'Output-Calculation-sheet'!I128</f>
        <v>770085987.64454854</v>
      </c>
      <c r="J155" s="2">
        <f>J12/'Output-Calculation-sheet'!J11*'Output-Calculation-sheet'!J128</f>
        <v>866499191.16437697</v>
      </c>
      <c r="K155" s="2">
        <f>K12/'Output-Calculation-sheet'!K11*'Output-Calculation-sheet'!K128</f>
        <v>649545762.16781223</v>
      </c>
      <c r="L155" s="2">
        <f>L12/'Output-Calculation-sheet'!L11*'Output-Calculation-sheet'!L128</f>
        <v>206108506.48616567</v>
      </c>
      <c r="M155" s="2">
        <f>M12/'Output-Calculation-sheet'!M11*'Output-Calculation-sheet'!M128</f>
        <v>77166007.119689137</v>
      </c>
      <c r="N155" s="2">
        <f>N12/'Output-Calculation-sheet'!N11*'Output-Calculation-sheet'!N128</f>
        <v>70529330.740329221</v>
      </c>
      <c r="O155" s="2">
        <f>O12/'Output-Calculation-sheet'!O11*'Output-Calculation-sheet'!O128</f>
        <v>12459493.99106214</v>
      </c>
      <c r="P155" s="2">
        <f>P12/'Output-Calculation-sheet'!P11*'Output-Calculation-sheet'!P128</f>
        <v>52513201.450229526</v>
      </c>
      <c r="Q155" s="2">
        <f>Q12/'Output-Calculation-sheet'!Q11*'Output-Calculation-sheet'!Q128</f>
        <v>177648992.720364</v>
      </c>
      <c r="R155" s="2">
        <f>R12/'Output-Calculation-sheet'!R11*'Output-Calculation-sheet'!R128</f>
        <v>359741837.18630934</v>
      </c>
      <c r="S155" s="2">
        <f>S12/'Output-Calculation-sheet'!S11*'Output-Calculation-sheet'!S128</f>
        <v>43247857.406594031</v>
      </c>
      <c r="T155" s="2">
        <f>T12/'Output-Calculation-sheet'!T11*'Output-Calculation-sheet'!T128</f>
        <v>112309683.4533646</v>
      </c>
      <c r="U155" s="2">
        <f>U12/'Output-Calculation-sheet'!U11*'Output-Calculation-sheet'!U128</f>
        <v>61817801.533860385</v>
      </c>
      <c r="V155" s="2">
        <f>V12/'Output-Calculation-sheet'!V11*'Output-Calculation-sheet'!V128</f>
        <v>46051766.168014973</v>
      </c>
      <c r="W155" s="2">
        <f>W12/'Output-Calculation-sheet'!W11*'Output-Calculation-sheet'!W128</f>
        <v>74436848.722646728</v>
      </c>
      <c r="X155" s="2">
        <f>X12/'Output-Calculation-sheet'!X11*'Output-Calculation-sheet'!X128</f>
        <v>2324825.0617021741</v>
      </c>
      <c r="Y155" s="2">
        <f>Y12/'Output-Calculation-sheet'!Y11*'Output-Calculation-sheet'!Y128</f>
        <v>15592200.360272599</v>
      </c>
      <c r="AA155" s="2">
        <f t="shared" si="13"/>
        <v>10286.212197862576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4998.1804751032869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1514.0089675944444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1051.6907393736219</v>
      </c>
      <c r="N19" s="2">
        <f>N8/'Output-Calculation-sheet'!N7*'Output-Calculation-sheet'!N25</f>
        <v>874.88241599560138</v>
      </c>
      <c r="O19" s="2">
        <f>O8/'Output-Calculation-sheet'!O7*'Output-Calculation-sheet'!O25</f>
        <v>549.08328310419347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113.82219311296036</v>
      </c>
      <c r="Y19" s="2">
        <f>Y8/'Output-Calculation-sheet'!Y7*'Output-Calculation-sheet'!Y25</f>
        <v>0</v>
      </c>
      <c r="AA19" s="2">
        <f t="shared" si="0"/>
        <v>10.568596230754938</v>
      </c>
    </row>
    <row r="20" spans="1:27" x14ac:dyDescent="0.25">
      <c r="A20" s="2">
        <v>2032</v>
      </c>
      <c r="B20" s="2">
        <f>B9/'Output-Calculation-sheet'!B8*'Output-Calculation-sheet'!B26</f>
        <v>5224.9629209260947</v>
      </c>
      <c r="C20" s="2">
        <f>C9/'Output-Calculation-sheet'!C8*'Output-Calculation-sheet'!C26</f>
        <v>2865.2421054686283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1720.0189835457445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1201.9611362928842</v>
      </c>
      <c r="N20" s="2">
        <f>N9/'Output-Calculation-sheet'!N8*'Output-Calculation-sheet'!N26</f>
        <v>832.99182071186999</v>
      </c>
      <c r="O20" s="2">
        <f>O9/'Output-Calculation-sheet'!O8*'Output-Calculation-sheet'!O26</f>
        <v>559.81520843638202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395.13234507092574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130.79092618750977</v>
      </c>
      <c r="Y20" s="2">
        <f>Y9/'Output-Calculation-sheet'!Y8*'Output-Calculation-sheet'!Y26</f>
        <v>0</v>
      </c>
      <c r="AA20" s="2">
        <f t="shared" si="0"/>
        <v>12.930915446640041</v>
      </c>
    </row>
    <row r="21" spans="1:27" x14ac:dyDescent="0.25">
      <c r="A21" s="2">
        <v>2033</v>
      </c>
      <c r="B21" s="2">
        <f>B10/'Output-Calculation-sheet'!B9*'Output-Calculation-sheet'!B27</f>
        <v>4899.4413895893631</v>
      </c>
      <c r="C21" s="2">
        <f>C10/'Output-Calculation-sheet'!C9*'Output-Calculation-sheet'!C27</f>
        <v>3011.4040234210988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987.36949211325793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698.86827165034606</v>
      </c>
      <c r="N21" s="2">
        <f>N10/'Output-Calculation-sheet'!N9*'Output-Calculation-sheet'!N27</f>
        <v>707.74200606436659</v>
      </c>
      <c r="O21" s="2">
        <f>O10/'Output-Calculation-sheet'!O9*'Output-Calculation-sheet'!O27</f>
        <v>589.56834546371101</v>
      </c>
      <c r="P21" s="2">
        <f>P10/'Output-Calculation-sheet'!P9*'Output-Calculation-sheet'!P27</f>
        <v>0</v>
      </c>
      <c r="Q21" s="2">
        <f>Q10/'Output-Calculation-sheet'!Q9*'Output-Calculation-sheet'!Q27</f>
        <v>8.3557362536324362</v>
      </c>
      <c r="R21" s="2">
        <f>R10/'Output-Calculation-sheet'!R9*'Output-Calculation-sheet'!R27</f>
        <v>0</v>
      </c>
      <c r="S21" s="2">
        <f>S10/'Output-Calculation-sheet'!S9*'Output-Calculation-sheet'!S27</f>
        <v>337.00053958215403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69.785000468467345</v>
      </c>
      <c r="Y21" s="2">
        <f>Y10/'Output-Calculation-sheet'!Y9*'Output-Calculation-sheet'!Y27</f>
        <v>0</v>
      </c>
      <c r="AA21" s="2">
        <f t="shared" si="0"/>
        <v>11.309534804606397</v>
      </c>
    </row>
    <row r="22" spans="1:27" x14ac:dyDescent="0.25">
      <c r="A22" s="2">
        <v>2034</v>
      </c>
      <c r="B22" s="2">
        <f>B11/'Output-Calculation-sheet'!B10*'Output-Calculation-sheet'!B28</f>
        <v>4250.8975800380995</v>
      </c>
      <c r="C22" s="2">
        <f>C11/'Output-Calculation-sheet'!C10*'Output-Calculation-sheet'!C28</f>
        <v>429.1112863788008</v>
      </c>
      <c r="D22" s="2">
        <f>D11/'Output-Calculation-sheet'!D10*'Output-Calculation-sheet'!D28</f>
        <v>0</v>
      </c>
      <c r="E22" s="2">
        <f>E11/'Output-Calculation-sheet'!E10*'Output-Calculation-sheet'!E28</f>
        <v>1424.8813423815739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1129.8836364765241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864.16501287042672</v>
      </c>
      <c r="M22" s="2">
        <f>M11/'Output-Calculation-sheet'!M10*'Output-Calculation-sheet'!M28</f>
        <v>804.13387732263391</v>
      </c>
      <c r="N22" s="2">
        <f>N11/'Output-Calculation-sheet'!N10*'Output-Calculation-sheet'!N28</f>
        <v>537.56808472009629</v>
      </c>
      <c r="O22" s="2">
        <f>O11/'Output-Calculation-sheet'!O10*'Output-Calculation-sheet'!O28</f>
        <v>84.171177493518812</v>
      </c>
      <c r="P22" s="2">
        <f>P11/'Output-Calculation-sheet'!P10*'Output-Calculation-sheet'!P28</f>
        <v>0</v>
      </c>
      <c r="Q22" s="2">
        <f>Q11/'Output-Calculation-sheet'!Q10*'Output-Calculation-sheet'!Q28</f>
        <v>254.84010212679627</v>
      </c>
      <c r="R22" s="2">
        <f>R11/'Output-Calculation-sheet'!R10*'Output-Calculation-sheet'!R28</f>
        <v>0</v>
      </c>
      <c r="S22" s="2">
        <f>S11/'Output-Calculation-sheet'!S10*'Output-Calculation-sheet'!S28</f>
        <v>201.28254533657042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79.011752274322703</v>
      </c>
      <c r="Y22" s="2">
        <f>Y11/'Output-Calculation-sheet'!Y10*'Output-Calculation-sheet'!Y28</f>
        <v>15.028270152629036</v>
      </c>
      <c r="AA22" s="2">
        <f t="shared" si="0"/>
        <v>10.074974667571993</v>
      </c>
    </row>
    <row r="23" spans="1:27" x14ac:dyDescent="0.25">
      <c r="A23" s="2">
        <v>2035</v>
      </c>
      <c r="B23" s="2">
        <f>B12/'Output-Calculation-sheet'!B11*'Output-Calculation-sheet'!B29</f>
        <v>1432.6427853811658</v>
      </c>
      <c r="C23" s="2">
        <f>C12/'Output-Calculation-sheet'!C11*'Output-Calculation-sheet'!C29</f>
        <v>246.38680456247229</v>
      </c>
      <c r="D23" s="2">
        <f>D12/'Output-Calculation-sheet'!D11*'Output-Calculation-sheet'!D29</f>
        <v>0</v>
      </c>
      <c r="E23" s="2">
        <f>E12/'Output-Calculation-sheet'!E11*'Output-Calculation-sheet'!E29</f>
        <v>2006.0207706018284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384.27435652264006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1214.0006444174164</v>
      </c>
      <c r="M23" s="2">
        <f>M12/'Output-Calculation-sheet'!M11*'Output-Calculation-sheet'!M29</f>
        <v>346.62837905529875</v>
      </c>
      <c r="N23" s="2">
        <f>N12/'Output-Calculation-sheet'!N11*'Output-Calculation-sheet'!N29</f>
        <v>290.61307601056586</v>
      </c>
      <c r="O23" s="2">
        <f>O12/'Output-Calculation-sheet'!O11*'Output-Calculation-sheet'!O29</f>
        <v>41.99380059344206</v>
      </c>
      <c r="P23" s="2">
        <f>P12/'Output-Calculation-sheet'!P11*'Output-Calculation-sheet'!P29</f>
        <v>18.609450962585999</v>
      </c>
      <c r="Q23" s="2">
        <f>Q12/'Output-Calculation-sheet'!Q11*'Output-Calculation-sheet'!Q29</f>
        <v>374.68002571285535</v>
      </c>
      <c r="R23" s="2">
        <f>R12/'Output-Calculation-sheet'!R11*'Output-Calculation-sheet'!R29</f>
        <v>0</v>
      </c>
      <c r="S23" s="2">
        <f>S12/'Output-Calculation-sheet'!S11*'Output-Calculation-sheet'!S29</f>
        <v>142.2932960998161</v>
      </c>
      <c r="T23" s="2">
        <f>T12/'Output-Calculation-sheet'!T11*'Output-Calculation-sheet'!T29</f>
        <v>0</v>
      </c>
      <c r="U23" s="2">
        <f>U12/'Output-Calculation-sheet'!U11*'Output-Calculation-sheet'!U29</f>
        <v>102.02059282323766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12.293896906752817</v>
      </c>
      <c r="Y23" s="2">
        <f>Y12/'Output-Calculation-sheet'!Y11*'Output-Calculation-sheet'!Y29</f>
        <v>65.884524592677437</v>
      </c>
      <c r="AA23" s="2">
        <f t="shared" si="0"/>
        <v>6.6783424042427564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997.34744780172605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39.103454134142815</v>
      </c>
    </row>
    <row r="31" spans="1:27" x14ac:dyDescent="0.25">
      <c r="A31" s="2">
        <v>2032</v>
      </c>
      <c r="B31" s="2">
        <f>B9/'Output-Calculation-sheet'!B8*'Output-Calculation-sheet'!B17</f>
        <v>21967.907709394254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858.96834383319572</v>
      </c>
      <c r="O31" s="2">
        <f>O9/'Output-Calculation-sheet'!O8*'Output-Calculation-sheet'!O17</f>
        <v>0</v>
      </c>
      <c r="P31" s="2">
        <f>P9/'Output-Calculation-sheet'!P8*'Output-Calculation-sheet'!P17</f>
        <v>2147.4266374752883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710.9404198429819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50.331658051872466</v>
      </c>
    </row>
    <row r="32" spans="1:27" x14ac:dyDescent="0.25">
      <c r="A32" s="2">
        <v>2033</v>
      </c>
      <c r="B32" s="2">
        <f>B10/'Output-Calculation-sheet'!B9*'Output-Calculation-sheet'!B18</f>
        <v>17722.574841228823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2774.7151914385972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717.3246090585983</v>
      </c>
      <c r="O32" s="2">
        <f>O10/'Output-Calculation-sheet'!O9*'Output-Calculation-sheet'!O18</f>
        <v>0</v>
      </c>
      <c r="P32" s="2">
        <f>P10/'Output-Calculation-sheet'!P9*'Output-Calculation-sheet'!P18</f>
        <v>2855.7364660765006</v>
      </c>
      <c r="Q32" s="2">
        <f>Q10/'Output-Calculation-sheet'!Q9*'Output-Calculation-sheet'!Q18</f>
        <v>2644.0171279573283</v>
      </c>
      <c r="R32" s="2">
        <f>R10/'Output-Calculation-sheet'!R9*'Output-Calculation-sheet'!R18</f>
        <v>2050.6295893954793</v>
      </c>
      <c r="S32" s="2">
        <f>S10/'Output-Calculation-sheet'!S9*'Output-Calculation-sheet'!S18</f>
        <v>652.5533665428577</v>
      </c>
      <c r="T32" s="2">
        <f>T10/'Output-Calculation-sheet'!T9*'Output-Calculation-sheet'!T18</f>
        <v>598.72176662828304</v>
      </c>
      <c r="U32" s="2">
        <f>U10/'Output-Calculation-sheet'!U9*'Output-Calculation-sheet'!U18</f>
        <v>661.88081855886026</v>
      </c>
      <c r="V32" s="2">
        <f>V10/'Output-Calculation-sheet'!V9*'Output-Calculation-sheet'!V18</f>
        <v>488.55731732022554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282.8362126923771</v>
      </c>
      <c r="AA32" s="2">
        <f t="shared" si="1"/>
        <v>56.341705331698776</v>
      </c>
    </row>
    <row r="33" spans="1:27" x14ac:dyDescent="0.25">
      <c r="A33" s="2">
        <v>2034</v>
      </c>
      <c r="B33" s="2">
        <f>B11/'Output-Calculation-sheet'!B10*'Output-Calculation-sheet'!B19</f>
        <v>12861.74469365611</v>
      </c>
      <c r="C33" s="2">
        <f>C11/'Output-Calculation-sheet'!C10*'Output-Calculation-sheet'!C19</f>
        <v>0</v>
      </c>
      <c r="D33" s="2">
        <f>D11/'Output-Calculation-sheet'!D10*'Output-Calculation-sheet'!D19</f>
        <v>8552.8193571365628</v>
      </c>
      <c r="E33" s="2">
        <f>E11/'Output-Calculation-sheet'!E10*'Output-Calculation-sheet'!E19</f>
        <v>10602.13358535718</v>
      </c>
      <c r="F33" s="2">
        <f>F11/'Output-Calculation-sheet'!F10*'Output-Calculation-sheet'!F19</f>
        <v>4854.5332182077709</v>
      </c>
      <c r="G33" s="2">
        <f>G11/'Output-Calculation-sheet'!G10*'Output-Calculation-sheet'!G19</f>
        <v>2911.0798664271224</v>
      </c>
      <c r="H33" s="2">
        <f>H11/'Output-Calculation-sheet'!H10*'Output-Calculation-sheet'!H19</f>
        <v>0</v>
      </c>
      <c r="I33" s="2">
        <f>I11/'Output-Calculation-sheet'!I10*'Output-Calculation-sheet'!I19</f>
        <v>3176.8101116458975</v>
      </c>
      <c r="J33" s="2">
        <f>J11/'Output-Calculation-sheet'!J10*'Output-Calculation-sheet'!J19</f>
        <v>2685.8930153071192</v>
      </c>
      <c r="K33" s="2">
        <f>K11/'Output-Calculation-sheet'!K10*'Output-Calculation-sheet'!K19</f>
        <v>3725.9113081134587</v>
      </c>
      <c r="L33" s="2">
        <f>L11/'Output-Calculation-sheet'!L10*'Output-Calculation-sheet'!L19</f>
        <v>3030.2933227268354</v>
      </c>
      <c r="M33" s="2">
        <f>M11/'Output-Calculation-sheet'!M10*'Output-Calculation-sheet'!M19</f>
        <v>0</v>
      </c>
      <c r="N33" s="2">
        <f>N11/'Output-Calculation-sheet'!N10*'Output-Calculation-sheet'!N19</f>
        <v>575.21053650544968</v>
      </c>
      <c r="O33" s="2">
        <f>O11/'Output-Calculation-sheet'!O10*'Output-Calculation-sheet'!O19</f>
        <v>0</v>
      </c>
      <c r="P33" s="2">
        <f>P11/'Output-Calculation-sheet'!P10*'Output-Calculation-sheet'!P19</f>
        <v>2847.385878695361</v>
      </c>
      <c r="Q33" s="2">
        <f>Q11/'Output-Calculation-sheet'!Q10*'Output-Calculation-sheet'!Q19</f>
        <v>1840.6658430651296</v>
      </c>
      <c r="R33" s="2">
        <f>R11/'Output-Calculation-sheet'!R10*'Output-Calculation-sheet'!R19</f>
        <v>2692.240007758056</v>
      </c>
      <c r="S33" s="2">
        <f>S11/'Output-Calculation-sheet'!S10*'Output-Calculation-sheet'!S19</f>
        <v>365.66079478883842</v>
      </c>
      <c r="T33" s="2">
        <f>T11/'Output-Calculation-sheet'!T10*'Output-Calculation-sheet'!T19</f>
        <v>789.61960585546558</v>
      </c>
      <c r="U33" s="2">
        <f>U11/'Output-Calculation-sheet'!U10*'Output-Calculation-sheet'!U19</f>
        <v>908.29823107274217</v>
      </c>
      <c r="V33" s="2">
        <f>V11/'Output-Calculation-sheet'!V10*'Output-Calculation-sheet'!V19</f>
        <v>619.39041683591802</v>
      </c>
      <c r="W33" s="2">
        <f>W11/'Output-Calculation-sheet'!W10*'Output-Calculation-sheet'!W19</f>
        <v>385.61111731972585</v>
      </c>
      <c r="X33" s="2">
        <f>X11/'Output-Calculation-sheet'!X10*'Output-Calculation-sheet'!X19</f>
        <v>0</v>
      </c>
      <c r="Y33" s="2">
        <f>Y11/'Output-Calculation-sheet'!Y10*'Output-Calculation-sheet'!Y19</f>
        <v>294.43183134127395</v>
      </c>
      <c r="AA33" s="2">
        <f t="shared" si="1"/>
        <v>63.719732741816017</v>
      </c>
    </row>
    <row r="34" spans="1:27" x14ac:dyDescent="0.25">
      <c r="A34" s="2">
        <v>2035</v>
      </c>
      <c r="B34" s="2">
        <f>B12/'Output-Calculation-sheet'!B11*'Output-Calculation-sheet'!B20</f>
        <v>204.22508831081254</v>
      </c>
      <c r="C34" s="2">
        <f>C12/'Output-Calculation-sheet'!C11*'Output-Calculation-sheet'!C20</f>
        <v>0</v>
      </c>
      <c r="D34" s="2">
        <f>D12/'Output-Calculation-sheet'!D11*'Output-Calculation-sheet'!D20</f>
        <v>10118.411739872383</v>
      </c>
      <c r="E34" s="2">
        <f>E12/'Output-Calculation-sheet'!E11*'Output-Calculation-sheet'!E20</f>
        <v>4077.6199778344512</v>
      </c>
      <c r="F34" s="2">
        <f>F12/'Output-Calculation-sheet'!F11*'Output-Calculation-sheet'!F20</f>
        <v>6684.7334250331805</v>
      </c>
      <c r="G34" s="2">
        <f>G12/'Output-Calculation-sheet'!G11*'Output-Calculation-sheet'!G20</f>
        <v>3344.8026568490873</v>
      </c>
      <c r="H34" s="2">
        <f>H12/'Output-Calculation-sheet'!H11*'Output-Calculation-sheet'!H20</f>
        <v>0</v>
      </c>
      <c r="I34" s="2">
        <f>I12/'Output-Calculation-sheet'!I11*'Output-Calculation-sheet'!I20</f>
        <v>4054.648393081176</v>
      </c>
      <c r="J34" s="2">
        <f>J12/'Output-Calculation-sheet'!J11*'Output-Calculation-sheet'!J20</f>
        <v>3397.740025706908</v>
      </c>
      <c r="K34" s="2">
        <f>K12/'Output-Calculation-sheet'!K11*'Output-Calculation-sheet'!K20</f>
        <v>4793.7179834636145</v>
      </c>
      <c r="L34" s="2">
        <f>L12/'Output-Calculation-sheet'!L11*'Output-Calculation-sheet'!L20</f>
        <v>1831.1863347399003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772.19626832180052</v>
      </c>
      <c r="Q34" s="2">
        <f>Q12/'Output-Calculation-sheet'!Q11*'Output-Calculation-sheet'!Q20</f>
        <v>750.6290171325445</v>
      </c>
      <c r="R34" s="2">
        <f>R12/'Output-Calculation-sheet'!R11*'Output-Calculation-sheet'!R20</f>
        <v>3023.4425646691916</v>
      </c>
      <c r="S34" s="2">
        <f>S12/'Output-Calculation-sheet'!S11*'Output-Calculation-sheet'!S20</f>
        <v>0.9447527387235608</v>
      </c>
      <c r="T34" s="2">
        <f>T12/'Output-Calculation-sheet'!T11*'Output-Calculation-sheet'!T20</f>
        <v>993.72537112376335</v>
      </c>
      <c r="U34" s="2">
        <f>U12/'Output-Calculation-sheet'!U11*'Output-Calculation-sheet'!U20</f>
        <v>418.40132434559496</v>
      </c>
      <c r="V34" s="2">
        <f>V12/'Output-Calculation-sheet'!V11*'Output-Calculation-sheet'!V20</f>
        <v>898.25878328183842</v>
      </c>
      <c r="W34" s="2">
        <f>W12/'Output-Calculation-sheet'!W11*'Output-Calculation-sheet'!W20</f>
        <v>531.98057610272724</v>
      </c>
      <c r="X34" s="2">
        <f>X12/'Output-Calculation-sheet'!X11*'Output-Calculation-sheet'!X20</f>
        <v>0</v>
      </c>
      <c r="Y34" s="2">
        <f>Y12/'Output-Calculation-sheet'!Y11*'Output-Calculation-sheet'!Y20</f>
        <v>113.13573133759616</v>
      </c>
      <c r="AA34" s="2">
        <f t="shared" si="1"/>
        <v>46.009800013945288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8.7514682773316352E-2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1.1954005802303512E-2</v>
      </c>
      <c r="Q45" s="2">
        <f>Q12/'Output-Calculation-sheet'!Q11*'Output-Calculation-sheet'!Q38*0.0114</f>
        <v>1.1337154434095586E-2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1.0851701805000927E-2</v>
      </c>
      <c r="V45" s="2">
        <f>V12/'Output-Calculation-sheet'!V11*'Output-Calculation-sheet'!V38*0.0114</f>
        <v>5.578406723304982E-3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4.1813279686714914E-3</v>
      </c>
      <c r="AA45" s="2">
        <f t="shared" si="2"/>
        <v>0.99040392949277112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0.14006646162844086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181.80858842427193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0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16.964084030841825</v>
      </c>
      <c r="AA54" s="2">
        <f t="shared" si="3"/>
        <v>4.4784512254753182</v>
      </c>
    </row>
    <row r="55" spans="1:27" x14ac:dyDescent="0.25">
      <c r="A55" s="2">
        <v>2034</v>
      </c>
      <c r="B55" s="2">
        <f>B11/'Output-Calculation-sheet'!B10*'Output-Calculation-sheet'!B46</f>
        <v>1680.4800730708605</v>
      </c>
      <c r="C55" s="2">
        <f>C11/'Output-Calculation-sheet'!C10*'Output-Calculation-sheet'!C46</f>
        <v>0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572.89026140796807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424.6142956496746</v>
      </c>
      <c r="N55" s="2">
        <f>N11/'Output-Calculation-sheet'!N10*'Output-Calculation-sheet'!N46</f>
        <v>145.01282705135398</v>
      </c>
      <c r="O55" s="2">
        <f>O11/'Output-Calculation-sheet'!O10*'Output-Calculation-sheet'!O46</f>
        <v>0</v>
      </c>
      <c r="P55" s="2">
        <f>P11/'Output-Calculation-sheet'!P10*'Output-Calculation-sheet'!P46</f>
        <v>3153.8344855154005</v>
      </c>
      <c r="Q55" s="2">
        <f>Q11/'Output-Calculation-sheet'!Q10*'Output-Calculation-sheet'!Q46</f>
        <v>609.08060761934291</v>
      </c>
      <c r="R55" s="2">
        <f>R11/'Output-Calculation-sheet'!R10*'Output-Calculation-sheet'!R46</f>
        <v>3905.9203608495295</v>
      </c>
      <c r="S55" s="2">
        <f>S11/'Output-Calculation-sheet'!S10*'Output-Calculation-sheet'!S46</f>
        <v>0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1484.1125476496902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40.526767654682111</v>
      </c>
      <c r="Y55" s="2">
        <f>Y11/'Output-Calculation-sheet'!Y10*'Output-Calculation-sheet'!Y46</f>
        <v>210.44991486278252</v>
      </c>
      <c r="AA55" s="2">
        <f t="shared" si="3"/>
        <v>42.05092023304821</v>
      </c>
    </row>
    <row r="56" spans="1:27" x14ac:dyDescent="0.25">
      <c r="A56" s="2">
        <v>2035</v>
      </c>
      <c r="B56" s="2">
        <f>B12/'Output-Calculation-sheet'!B11*'Output-Calculation-sheet'!B47</f>
        <v>562.88836355213277</v>
      </c>
      <c r="C56" s="2">
        <f>C12/'Output-Calculation-sheet'!C11*'Output-Calculation-sheet'!C47</f>
        <v>425.27485629282671</v>
      </c>
      <c r="D56" s="2">
        <f>D12/'Output-Calculation-sheet'!D11*'Output-Calculation-sheet'!D47</f>
        <v>20091.737948978585</v>
      </c>
      <c r="E56" s="2">
        <f>E12/'Output-Calculation-sheet'!E11*'Output-Calculation-sheet'!E47</f>
        <v>9219.748597434469</v>
      </c>
      <c r="F56" s="2">
        <f>F12/'Output-Calculation-sheet'!F11*'Output-Calculation-sheet'!F47</f>
        <v>4726.7420779404274</v>
      </c>
      <c r="G56" s="2">
        <f>G12/'Output-Calculation-sheet'!G11*'Output-Calculation-sheet'!G47</f>
        <v>7590.251649715372</v>
      </c>
      <c r="H56" s="2">
        <f>H12/'Output-Calculation-sheet'!H11*'Output-Calculation-sheet'!H47</f>
        <v>164.48017286747611</v>
      </c>
      <c r="I56" s="2">
        <f>I12/'Output-Calculation-sheet'!I11*'Output-Calculation-sheet'!I47</f>
        <v>6914.2277599881545</v>
      </c>
      <c r="J56" s="2">
        <f>J12/'Output-Calculation-sheet'!J11*'Output-Calculation-sheet'!J47</f>
        <v>5965.2764299616556</v>
      </c>
      <c r="K56" s="2">
        <f>K12/'Output-Calculation-sheet'!K11*'Output-Calculation-sheet'!K47</f>
        <v>8045.3481167598056</v>
      </c>
      <c r="L56" s="2">
        <f>L12/'Output-Calculation-sheet'!L11*'Output-Calculation-sheet'!L47</f>
        <v>3586.5258677668894</v>
      </c>
      <c r="M56" s="2">
        <f>M12/'Output-Calculation-sheet'!M11*'Output-Calculation-sheet'!M47</f>
        <v>152.44432980155869</v>
      </c>
      <c r="N56" s="2">
        <f>N12/'Output-Calculation-sheet'!N11*'Output-Calculation-sheet'!N47</f>
        <v>103.29055206540365</v>
      </c>
      <c r="O56" s="2">
        <f>O12/'Output-Calculation-sheet'!O11*'Output-Calculation-sheet'!O47</f>
        <v>77.322994585109981</v>
      </c>
      <c r="P56" s="2">
        <f>P12/'Output-Calculation-sheet'!P11*'Output-Calculation-sheet'!P47</f>
        <v>807.419690155588</v>
      </c>
      <c r="Q56" s="2">
        <f>Q12/'Output-Calculation-sheet'!Q11*'Output-Calculation-sheet'!Q47</f>
        <v>768.73862961016562</v>
      </c>
      <c r="R56" s="2">
        <f>R12/'Output-Calculation-sheet'!R11*'Output-Calculation-sheet'!R47</f>
        <v>5671.7599926060584</v>
      </c>
      <c r="S56" s="2">
        <f>S12/'Output-Calculation-sheet'!S11*'Output-Calculation-sheet'!S47</f>
        <v>54.004460960093354</v>
      </c>
      <c r="T56" s="2">
        <f>T12/'Output-Calculation-sheet'!T11*'Output-Calculation-sheet'!T47</f>
        <v>2483.2699144454186</v>
      </c>
      <c r="U56" s="2">
        <f>U12/'Output-Calculation-sheet'!U11*'Output-Calculation-sheet'!U47</f>
        <v>998.86424801587475</v>
      </c>
      <c r="V56" s="2">
        <f>V12/'Output-Calculation-sheet'!V11*'Output-Calculation-sheet'!V47</f>
        <v>1347.8702911704888</v>
      </c>
      <c r="W56" s="2">
        <f>W12/'Output-Calculation-sheet'!W11*'Output-Calculation-sheet'!W47</f>
        <v>721.82356301277719</v>
      </c>
      <c r="X56" s="2">
        <f>X12/'Output-Calculation-sheet'!X11*'Output-Calculation-sheet'!X47</f>
        <v>11.65574487485453</v>
      </c>
      <c r="Y56" s="2">
        <f>Y12/'Output-Calculation-sheet'!Y11*'Output-Calculation-sheet'!Y47</f>
        <v>236.57513506957125</v>
      </c>
      <c r="AA56" s="2">
        <f t="shared" si="3"/>
        <v>80.727541387630723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7.2116326618382454</v>
      </c>
      <c r="C63" s="2">
        <f>C8*'Output-Calculation-sheet'!C52/10^9</f>
        <v>3.8528250655895611</v>
      </c>
      <c r="D63" s="2">
        <f>D8*'Output-Calculation-sheet'!D52/10^9</f>
        <v>2.4730233866098734</v>
      </c>
      <c r="E63" s="2">
        <f>E8*'Output-Calculation-sheet'!E52/10^9</f>
        <v>2.4588486058096901</v>
      </c>
      <c r="F63" s="2">
        <f>F8*'Output-Calculation-sheet'!F52/10^9</f>
        <v>1.0413221812884319</v>
      </c>
      <c r="G63" s="2">
        <f>G8*'Output-Calculation-sheet'!G52/10^9</f>
        <v>0.74866360542736543</v>
      </c>
      <c r="H63" s="2">
        <f>H8*'Output-Calculation-sheet'!H52/10^9</f>
        <v>1.2176294320097805</v>
      </c>
      <c r="I63" s="2">
        <f>I8*'Output-Calculation-sheet'!I52/10^9</f>
        <v>0.69643096464052334</v>
      </c>
      <c r="J63" s="2">
        <f>J8*'Output-Calculation-sheet'!J52/10^9</f>
        <v>0.95833621278137393</v>
      </c>
      <c r="K63" s="2">
        <f>K8*'Output-Calculation-sheet'!K52/10^9</f>
        <v>0.84198359931952182</v>
      </c>
      <c r="L63" s="2">
        <f>L8*'Output-Calculation-sheet'!L52/10^9</f>
        <v>1.1325084524511622</v>
      </c>
      <c r="M63" s="2">
        <f>M8*'Output-Calculation-sheet'!M52/10^9</f>
        <v>0.99752216784121106</v>
      </c>
      <c r="N63" s="2">
        <f>N8*'Output-Calculation-sheet'!N52/10^9</f>
        <v>0.88016871245831307</v>
      </c>
      <c r="O63" s="2">
        <f>O8*'Output-Calculation-sheet'!O52/10^9</f>
        <v>0.78825474834010734</v>
      </c>
      <c r="P63" s="2">
        <f>P8*'Output-Calculation-sheet'!P52/10^9</f>
        <v>0.58178795462669319</v>
      </c>
      <c r="Q63" s="2">
        <f>Q8*'Output-Calculation-sheet'!Q52/10^9</f>
        <v>0.65841347405936645</v>
      </c>
      <c r="R63" s="2">
        <f>R8*'Output-Calculation-sheet'!R52/10^9</f>
        <v>0.59112460446113191</v>
      </c>
      <c r="S63" s="2">
        <f>S8*'Output-Calculation-sheet'!S52/10^9</f>
        <v>0.43804427649048377</v>
      </c>
      <c r="T63" s="2">
        <f>T8*'Output-Calculation-sheet'!T52/10^9</f>
        <v>0.22473713042546534</v>
      </c>
      <c r="U63" s="2">
        <f>U8*'Output-Calculation-sheet'!U52/10^9</f>
        <v>0.15434705296887466</v>
      </c>
      <c r="V63" s="2">
        <f>V8*'Output-Calculation-sheet'!V52/10^9</f>
        <v>0.27392954395126412</v>
      </c>
      <c r="W63" s="2">
        <f>W8*'Output-Calculation-sheet'!W52/10^9</f>
        <v>9.914966118144751E-2</v>
      </c>
      <c r="X63" s="2">
        <f>X8*'Output-Calculation-sheet'!X52/10^9</f>
        <v>0.10216197307067044</v>
      </c>
      <c r="Y63" s="2">
        <f>Y8*'Output-Calculation-sheet'!Y52/10^9</f>
        <v>6.4692395819387655E-2</v>
      </c>
      <c r="AA63" s="2">
        <f t="shared" si="4"/>
        <v>28.487537863459945</v>
      </c>
    </row>
    <row r="64" spans="1:27" x14ac:dyDescent="0.25">
      <c r="A64" s="2">
        <v>2032</v>
      </c>
      <c r="B64" s="2">
        <f>B9*'Output-Calculation-sheet'!B53/10^9</f>
        <v>7.4911286637811356</v>
      </c>
      <c r="C64" s="2">
        <f>C9*'Output-Calculation-sheet'!C53/10^9</f>
        <v>3.9712786661717741</v>
      </c>
      <c r="D64" s="2">
        <f>D9*'Output-Calculation-sheet'!D53/10^9</f>
        <v>2.2186281761681328</v>
      </c>
      <c r="E64" s="2">
        <f>E9*'Output-Calculation-sheet'!E53/10^9</f>
        <v>2.2719728673777575</v>
      </c>
      <c r="F64" s="2">
        <f>F9*'Output-Calculation-sheet'!F53/10^9</f>
        <v>0.95830390902034746</v>
      </c>
      <c r="G64" s="2">
        <f>G9*'Output-Calculation-sheet'!G53/10^9</f>
        <v>0.68209140686902503</v>
      </c>
      <c r="H64" s="2">
        <f>H9*'Output-Calculation-sheet'!H53/10^9</f>
        <v>1.2463563474280832</v>
      </c>
      <c r="I64" s="2">
        <f>I9*'Output-Calculation-sheet'!I53/10^9</f>
        <v>0.63764398688949031</v>
      </c>
      <c r="J64" s="2">
        <f>J9*'Output-Calculation-sheet'!J53/10^9</f>
        <v>0.84411107892748383</v>
      </c>
      <c r="K64" s="2">
        <f>K9*'Output-Calculation-sheet'!K53/10^9</f>
        <v>0.78322023696869791</v>
      </c>
      <c r="L64" s="2">
        <f>L9*'Output-Calculation-sheet'!L53/10^9</f>
        <v>1.0076104938707524</v>
      </c>
      <c r="M64" s="2">
        <f>M9*'Output-Calculation-sheet'!M53/10^9</f>
        <v>0.98883798956570079</v>
      </c>
      <c r="N64" s="2">
        <f>N9*'Output-Calculation-sheet'!N53/10^9</f>
        <v>0.89027369138256851</v>
      </c>
      <c r="O64" s="2">
        <f>O9*'Output-Calculation-sheet'!O53/10^9</f>
        <v>0.80421366972084829</v>
      </c>
      <c r="P64" s="2">
        <f>P9*'Output-Calculation-sheet'!P53/10^9</f>
        <v>0.59714040816191716</v>
      </c>
      <c r="Q64" s="2">
        <f>Q9*'Output-Calculation-sheet'!Q53/10^9</f>
        <v>0.65994306685254378</v>
      </c>
      <c r="R64" s="2">
        <f>R9*'Output-Calculation-sheet'!R53/10^9</f>
        <v>0.56572705503263532</v>
      </c>
      <c r="S64" s="2">
        <f>S9*'Output-Calculation-sheet'!S53/10^9</f>
        <v>0.45522473082594317</v>
      </c>
      <c r="T64" s="2">
        <f>T9*'Output-Calculation-sheet'!T53/10^9</f>
        <v>0.20336334289111416</v>
      </c>
      <c r="U64" s="2">
        <f>U9*'Output-Calculation-sheet'!U53/10^9</f>
        <v>0.15306734815735085</v>
      </c>
      <c r="V64" s="2">
        <f>V9*'Output-Calculation-sheet'!V53/10^9</f>
        <v>0.24137853616057064</v>
      </c>
      <c r="W64" s="2">
        <f>W9*'Output-Calculation-sheet'!W53/10^9</f>
        <v>8.9691758275883618E-2</v>
      </c>
      <c r="X64" s="2">
        <f>X9*'Output-Calculation-sheet'!X53/10^9</f>
        <v>0.10283031766411231</v>
      </c>
      <c r="Y64" s="2">
        <f>Y9*'Output-Calculation-sheet'!Y53/10^9</f>
        <v>6.2841005615132117E-2</v>
      </c>
      <c r="AA64" s="2">
        <f t="shared" si="4"/>
        <v>27.926878753779004</v>
      </c>
    </row>
    <row r="65" spans="1:27" x14ac:dyDescent="0.25">
      <c r="A65" s="2">
        <v>2033</v>
      </c>
      <c r="B65" s="2">
        <f>B10*'Output-Calculation-sheet'!B54/10^9</f>
        <v>7.6946922549360535</v>
      </c>
      <c r="C65" s="2">
        <f>C10*'Output-Calculation-sheet'!C54/10^9</f>
        <v>3.9775243253189698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1.2490768833982244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0.72774388473361684</v>
      </c>
      <c r="L65" s="2">
        <f>L10*'Output-Calculation-sheet'!L54/10^9</f>
        <v>0.8595550671606117</v>
      </c>
      <c r="M65" s="2">
        <f>M10*'Output-Calculation-sheet'!M54/10^9</f>
        <v>0.9525006712463967</v>
      </c>
      <c r="N65" s="2">
        <f>N10*'Output-Calculation-sheet'!N54/10^9</f>
        <v>0.87403608462318261</v>
      </c>
      <c r="O65" s="2">
        <f>O10*'Output-Calculation-sheet'!O54/10^9</f>
        <v>0.79711346311529818</v>
      </c>
      <c r="P65" s="2">
        <f>P10*'Output-Calculation-sheet'!P54/10^9</f>
        <v>0.61570846254614586</v>
      </c>
      <c r="Q65" s="2">
        <f>Q10*'Output-Calculation-sheet'!Q54/10^9</f>
        <v>0.67071339727826718</v>
      </c>
      <c r="R65" s="2">
        <f>R10*'Output-Calculation-sheet'!R54/10^9</f>
        <v>0.54206334868072137</v>
      </c>
      <c r="S65" s="2">
        <f>S10*'Output-Calculation-sheet'!S54/10^9</f>
        <v>0.46105277112286674</v>
      </c>
      <c r="T65" s="2">
        <f>T10*'Output-Calculation-sheet'!T54/10^9</f>
        <v>0.18123636882309088</v>
      </c>
      <c r="U65" s="2">
        <f>U10*'Output-Calculation-sheet'!U54/10^9</f>
        <v>0.15649300618218501</v>
      </c>
      <c r="V65" s="2">
        <f>V10*'Output-Calculation-sheet'!V54/10^9</f>
        <v>0.20057391001825539</v>
      </c>
      <c r="W65" s="2">
        <f>W10*'Output-Calculation-sheet'!W54/10^9</f>
        <v>7.636239097441766E-2</v>
      </c>
      <c r="X65" s="2">
        <f>X10*'Output-Calculation-sheet'!X54/10^9</f>
        <v>9.9870367984231462E-2</v>
      </c>
      <c r="Y65" s="2">
        <f>Y10*'Output-Calculation-sheet'!Y54/10^9</f>
        <v>6.2851580444482011E-2</v>
      </c>
      <c r="AA65" s="2">
        <f t="shared" si="4"/>
        <v>26.861407301465697</v>
      </c>
    </row>
    <row r="66" spans="1:27" x14ac:dyDescent="0.25">
      <c r="A66" s="2">
        <v>2034</v>
      </c>
      <c r="B66" s="2">
        <f>B11*'Output-Calculation-sheet'!B55/10^9</f>
        <v>7.8169494569457045</v>
      </c>
      <c r="C66" s="2">
        <f>C11*'Output-Calculation-sheet'!C55/10^9</f>
        <v>3.9322365778178083</v>
      </c>
      <c r="D66" s="2">
        <f>D11*'Output-Calculation-sheet'!D55/10^9</f>
        <v>1.7641614286177276</v>
      </c>
      <c r="E66" s="2">
        <f>E11*'Output-Calculation-sheet'!E55/10^9</f>
        <v>2.1362762252243797</v>
      </c>
      <c r="F66" s="2">
        <f>F11*'Output-Calculation-sheet'!F55/10^9</f>
        <v>0.82100577207240255</v>
      </c>
      <c r="G66" s="2">
        <f>G11*'Output-Calculation-sheet'!G55/10^9</f>
        <v>0.58683182004358936</v>
      </c>
      <c r="H66" s="2">
        <f>H11*'Output-Calculation-sheet'!H55/10^9</f>
        <v>1.2245805428185617</v>
      </c>
      <c r="I66" s="2">
        <f>I11*'Output-Calculation-sheet'!I55/10^9</f>
        <v>0.57390486882125802</v>
      </c>
      <c r="J66" s="2">
        <f>J11*'Output-Calculation-sheet'!J55/10^9</f>
        <v>0.59011019754463589</v>
      </c>
      <c r="K66" s="2">
        <f>K11*'Output-Calculation-sheet'!K55/10^9</f>
        <v>0.70582161140144695</v>
      </c>
      <c r="L66" s="2">
        <f>L11*'Output-Calculation-sheet'!L55/10^9</f>
        <v>0.7474703138736114</v>
      </c>
      <c r="M66" s="2">
        <f>M11*'Output-Calculation-sheet'!M55/10^9</f>
        <v>0.89263460363622005</v>
      </c>
      <c r="N66" s="2">
        <f>N11*'Output-Calculation-sheet'!N55/10^9</f>
        <v>0.84328167769365114</v>
      </c>
      <c r="O66" s="2">
        <f>O11*'Output-Calculation-sheet'!O55/10^9</f>
        <v>0.77505706761513948</v>
      </c>
      <c r="P66" s="2">
        <f>P11*'Output-Calculation-sheet'!P55/10^9</f>
        <v>0.64716517156322062</v>
      </c>
      <c r="Q66" s="2">
        <f>Q11*'Output-Calculation-sheet'!Q55/10^9</f>
        <v>0.68456926278879415</v>
      </c>
      <c r="R66" s="2">
        <f>R11*'Output-Calculation-sheet'!R55/10^9</f>
        <v>0.52876610602608021</v>
      </c>
      <c r="S66" s="2">
        <f>S11*'Output-Calculation-sheet'!S55/10^9</f>
        <v>0.4612188995743523</v>
      </c>
      <c r="T66" s="2">
        <f>T11*'Output-Calculation-sheet'!T55/10^9</f>
        <v>0.16573067846199388</v>
      </c>
      <c r="U66" s="2">
        <f>U11*'Output-Calculation-sheet'!U55/10^9</f>
        <v>0.16921816542319457</v>
      </c>
      <c r="V66" s="2">
        <f>V11*'Output-Calculation-sheet'!V55/10^9</f>
        <v>0.15722136840889767</v>
      </c>
      <c r="W66" s="2">
        <f>W11*'Output-Calculation-sheet'!W55/10^9</f>
        <v>7.118833857515322E-2</v>
      </c>
      <c r="X66" s="2">
        <f>X11*'Output-Calculation-sheet'!X55/10^9</f>
        <v>9.5370741824564093E-2</v>
      </c>
      <c r="Y66" s="2">
        <f>Y11*'Output-Calculation-sheet'!Y55/10^9</f>
        <v>6.9604898470124521E-2</v>
      </c>
      <c r="AA66" s="2">
        <f t="shared" si="4"/>
        <v>26.460375795242516</v>
      </c>
    </row>
    <row r="67" spans="1:27" x14ac:dyDescent="0.25">
      <c r="A67" s="2">
        <v>2035</v>
      </c>
      <c r="B67" s="2">
        <f>B12*'Output-Calculation-sheet'!B56/10^9</f>
        <v>8.1584915254971602</v>
      </c>
      <c r="C67" s="2">
        <f>C12*'Output-Calculation-sheet'!C56/10^9</f>
        <v>3.8061348691642363</v>
      </c>
      <c r="D67" s="2">
        <f>D12*'Output-Calculation-sheet'!D56/10^9</f>
        <v>2.2322453176635157</v>
      </c>
      <c r="E67" s="2">
        <f>E12*'Output-Calculation-sheet'!E56/10^9</f>
        <v>2.543414201339119</v>
      </c>
      <c r="F67" s="2">
        <f>F12*'Output-Calculation-sheet'!F56/10^9</f>
        <v>1.0886940498322111</v>
      </c>
      <c r="G67" s="2">
        <f>G12*'Output-Calculation-sheet'!G56/10^9</f>
        <v>0.76408390959668049</v>
      </c>
      <c r="H67" s="2">
        <f>H12*'Output-Calculation-sheet'!H56/10^9</f>
        <v>1.2069856260663407</v>
      </c>
      <c r="I67" s="2">
        <f>I12*'Output-Calculation-sheet'!I56/10^9</f>
        <v>0.76610192412343014</v>
      </c>
      <c r="J67" s="2">
        <f>J12*'Output-Calculation-sheet'!J56/10^9</f>
        <v>0.69301448867764137</v>
      </c>
      <c r="K67" s="2">
        <f>K12*'Output-Calculation-sheet'!K56/10^9</f>
        <v>0.86044850349263291</v>
      </c>
      <c r="L67" s="2">
        <f>L12*'Output-Calculation-sheet'!L56/10^9</f>
        <v>0.78972759592824393</v>
      </c>
      <c r="M67" s="2">
        <f>M12*'Output-Calculation-sheet'!M56/10^9</f>
        <v>0.83957001973292045</v>
      </c>
      <c r="N67" s="2">
        <f>N12*'Output-Calculation-sheet'!N56/10^9</f>
        <v>0.81751181294261144</v>
      </c>
      <c r="O67" s="2">
        <f>O12*'Output-Calculation-sheet'!O56/10^9</f>
        <v>0.73984222091663576</v>
      </c>
      <c r="P67" s="2">
        <f>P12*'Output-Calculation-sheet'!P56/10^9</f>
        <v>0.72213526251297777</v>
      </c>
      <c r="Q67" s="2">
        <f>Q12*'Output-Calculation-sheet'!Q56/10^9</f>
        <v>0.73667231657209054</v>
      </c>
      <c r="R67" s="2">
        <f>R12*'Output-Calculation-sheet'!R56/10^9</f>
        <v>0.62319788580849778</v>
      </c>
      <c r="S67" s="2">
        <f>S12*'Output-Calculation-sheet'!S56/10^9</f>
        <v>0.46882234852863236</v>
      </c>
      <c r="T67" s="2">
        <f>T12*'Output-Calculation-sheet'!T56/10^9</f>
        <v>0.18970484301687762</v>
      </c>
      <c r="U67" s="2">
        <f>U12*'Output-Calculation-sheet'!U56/10^9</f>
        <v>0.20842148874733435</v>
      </c>
      <c r="V67" s="2">
        <f>V12*'Output-Calculation-sheet'!V56/10^9</f>
        <v>0.14537386586378709</v>
      </c>
      <c r="W67" s="2">
        <f>W12*'Output-Calculation-sheet'!W56/10^9</f>
        <v>9.4221444097851964E-2</v>
      </c>
      <c r="X67" s="2">
        <f>X12*'Output-Calculation-sheet'!X56/10^9</f>
        <v>8.919483724559947E-2</v>
      </c>
      <c r="Y67" s="2">
        <f>Y12*'Output-Calculation-sheet'!Y56/10^9</f>
        <v>8.3215047109660628E-2</v>
      </c>
      <c r="AA67" s="2">
        <f t="shared" si="4"/>
        <v>28.667225404476692</v>
      </c>
    </row>
    <row r="68" spans="1:27" x14ac:dyDescent="0.25">
      <c r="B68" s="2">
        <f>SUM(B60:B67)</f>
        <v>38.372894562998297</v>
      </c>
      <c r="C68" s="2">
        <f t="shared" ref="C68:Y68" si="5">SUM(C60:C67)</f>
        <v>19.539999504062347</v>
      </c>
      <c r="D68" s="2">
        <f t="shared" si="5"/>
        <v>10.555348054575443</v>
      </c>
      <c r="E68" s="2">
        <f t="shared" si="5"/>
        <v>11.513048326841528</v>
      </c>
      <c r="F68" s="2">
        <f t="shared" si="5"/>
        <v>4.7629188346957436</v>
      </c>
      <c r="G68" s="2">
        <f t="shared" si="5"/>
        <v>3.3677399844762959</v>
      </c>
      <c r="H68" s="2">
        <f t="shared" si="5"/>
        <v>6.1446288317209907</v>
      </c>
      <c r="I68" s="2">
        <f t="shared" si="5"/>
        <v>3.2447533854991635</v>
      </c>
      <c r="J68" s="2">
        <f t="shared" si="5"/>
        <v>3.7676510621565953</v>
      </c>
      <c r="K68" s="2">
        <f t="shared" si="5"/>
        <v>3.9192178359159162</v>
      </c>
      <c r="L68" s="2">
        <f t="shared" si="5"/>
        <v>4.536871923284381</v>
      </c>
      <c r="M68" s="2">
        <f t="shared" si="5"/>
        <v>4.6710654520224493</v>
      </c>
      <c r="N68" s="2">
        <f t="shared" si="5"/>
        <v>4.3052719791003264</v>
      </c>
      <c r="O68" s="2">
        <f t="shared" si="5"/>
        <v>3.9044811697080295</v>
      </c>
      <c r="P68" s="2">
        <f t="shared" si="5"/>
        <v>3.1639372594109547</v>
      </c>
      <c r="Q68" s="2">
        <f t="shared" si="5"/>
        <v>3.4103115175510617</v>
      </c>
      <c r="R68" s="2">
        <f t="shared" si="5"/>
        <v>2.8508790000090665</v>
      </c>
      <c r="S68" s="2">
        <f t="shared" si="5"/>
        <v>2.2843630265422781</v>
      </c>
      <c r="T68" s="2">
        <f t="shared" si="5"/>
        <v>0.96477236361854191</v>
      </c>
      <c r="U68" s="2">
        <f t="shared" si="5"/>
        <v>0.84154706147893943</v>
      </c>
      <c r="V68" s="2">
        <f t="shared" si="5"/>
        <v>1.0184772244027749</v>
      </c>
      <c r="W68" s="2">
        <f t="shared" si="5"/>
        <v>0.430613593104754</v>
      </c>
      <c r="X68" s="2">
        <f t="shared" si="5"/>
        <v>0.48942823778917771</v>
      </c>
      <c r="Y68" s="2">
        <f t="shared" si="5"/>
        <v>0.34320492745878695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42.1182632894105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4.2118263289410499E-2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483.28543606118859</v>
      </c>
      <c r="Q76" s="2">
        <f>Q10/'Output-Calculation-sheet'!Q9*'Output-Calculation-sheet'!Q63</f>
        <v>57.832845801893157</v>
      </c>
      <c r="R76" s="2">
        <f>R10/'Output-Calculation-sheet'!R9*'Output-Calculation-sheet'!R63</f>
        <v>368.17208077612685</v>
      </c>
      <c r="S76" s="2">
        <f>S10/'Output-Calculation-sheet'!S9*'Output-Calculation-sheet'!S63</f>
        <v>0</v>
      </c>
      <c r="T76" s="2">
        <f>T10/'Output-Calculation-sheet'!T9*'Output-Calculation-sheet'!T63</f>
        <v>24.230392697888604</v>
      </c>
      <c r="U76" s="2">
        <f>U10/'Output-Calculation-sheet'!U9*'Output-Calculation-sheet'!U63</f>
        <v>130.83868739274655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6.213898131621602</v>
      </c>
      <c r="AA76" s="2">
        <f t="shared" si="6"/>
        <v>1.1722991254035688</v>
      </c>
    </row>
    <row r="77" spans="1:27" x14ac:dyDescent="0.25">
      <c r="A77" s="2">
        <v>2034</v>
      </c>
      <c r="B77" s="2">
        <f>B11/'Output-Calculation-sheet'!B10*'Output-Calculation-sheet'!B64</f>
        <v>499.55070972153112</v>
      </c>
      <c r="C77" s="2">
        <f>C11/'Output-Calculation-sheet'!C10*'Output-Calculation-sheet'!C64</f>
        <v>0</v>
      </c>
      <c r="D77" s="2">
        <f>D11/'Output-Calculation-sheet'!D10*'Output-Calculation-sheet'!D64</f>
        <v>1697.2952153056178</v>
      </c>
      <c r="E77" s="2">
        <f>E11/'Output-Calculation-sheet'!E10*'Output-Calculation-sheet'!E64</f>
        <v>2121.4014889083751</v>
      </c>
      <c r="F77" s="2">
        <f>F11/'Output-Calculation-sheet'!F10*'Output-Calculation-sheet'!F64</f>
        <v>138.02660513192095</v>
      </c>
      <c r="G77" s="2">
        <f>G11/'Output-Calculation-sheet'!G10*'Output-Calculation-sheet'!G64</f>
        <v>898.95894598316431</v>
      </c>
      <c r="H77" s="2">
        <f>H11/'Output-Calculation-sheet'!H10*'Output-Calculation-sheet'!H64</f>
        <v>140.26972526176351</v>
      </c>
      <c r="I77" s="2">
        <f>I11/'Output-Calculation-sheet'!I10*'Output-Calculation-sheet'!I64</f>
        <v>534.49211593015104</v>
      </c>
      <c r="J77" s="2">
        <f>J11/'Output-Calculation-sheet'!J10*'Output-Calculation-sheet'!J64</f>
        <v>373.97408010046797</v>
      </c>
      <c r="K77" s="2">
        <f>K11/'Output-Calculation-sheet'!K10*'Output-Calculation-sheet'!K64</f>
        <v>813.11865065321911</v>
      </c>
      <c r="L77" s="2">
        <f>L11/'Output-Calculation-sheet'!L10*'Output-Calculation-sheet'!L64</f>
        <v>336.20412162230883</v>
      </c>
      <c r="M77" s="2">
        <f>M11/'Output-Calculation-sheet'!M10*'Output-Calculation-sheet'!M64</f>
        <v>101.02441342862922</v>
      </c>
      <c r="N77" s="2">
        <f>N11/'Output-Calculation-sheet'!N10*'Output-Calculation-sheet'!N64</f>
        <v>33.411619533519215</v>
      </c>
      <c r="O77" s="2">
        <f>O11/'Output-Calculation-sheet'!O10*'Output-Calculation-sheet'!O64</f>
        <v>0</v>
      </c>
      <c r="P77" s="2">
        <f>P11/'Output-Calculation-sheet'!P10*'Output-Calculation-sheet'!P64</f>
        <v>687.97360952841461</v>
      </c>
      <c r="Q77" s="2">
        <f>Q11/'Output-Calculation-sheet'!Q10*'Output-Calculation-sheet'!Q64</f>
        <v>154.76466675005381</v>
      </c>
      <c r="R77" s="2">
        <f>R11/'Output-Calculation-sheet'!R10*'Output-Calculation-sheet'!R64</f>
        <v>854.75214468431602</v>
      </c>
      <c r="S77" s="2">
        <f>S11/'Output-Calculation-sheet'!S10*'Output-Calculation-sheet'!S64</f>
        <v>0</v>
      </c>
      <c r="T77" s="2">
        <f>T11/'Output-Calculation-sheet'!T10*'Output-Calculation-sheet'!T64</f>
        <v>237.3361901573445</v>
      </c>
      <c r="U77" s="2">
        <f>U11/'Output-Calculation-sheet'!U10*'Output-Calculation-sheet'!U64</f>
        <v>315.4212619176339</v>
      </c>
      <c r="V77" s="2">
        <f>V11/'Output-Calculation-sheet'!V10*'Output-Calculation-sheet'!V64</f>
        <v>122.81759872169096</v>
      </c>
      <c r="W77" s="2">
        <f>W11/'Output-Calculation-sheet'!W10*'Output-Calculation-sheet'!W64</f>
        <v>26.962204476289003</v>
      </c>
      <c r="X77" s="2">
        <f>X11/'Output-Calculation-sheet'!X10*'Output-Calculation-sheet'!X64</f>
        <v>10.071025319406964</v>
      </c>
      <c r="Y77" s="2">
        <f>Y11/'Output-Calculation-sheet'!Y10*'Output-Calculation-sheet'!Y64</f>
        <v>45.930306404794749</v>
      </c>
      <c r="AA77" s="2">
        <f t="shared" si="6"/>
        <v>10.143756699540614</v>
      </c>
    </row>
    <row r="78" spans="1:27" x14ac:dyDescent="0.25">
      <c r="A78" s="2">
        <v>2035</v>
      </c>
      <c r="B78" s="2">
        <f>B12/'Output-Calculation-sheet'!B11*'Output-Calculation-sheet'!B65</f>
        <v>103.08898315340488</v>
      </c>
      <c r="C78" s="2">
        <f>C12/'Output-Calculation-sheet'!C11*'Output-Calculation-sheet'!C65</f>
        <v>85.927329938140375</v>
      </c>
      <c r="D78" s="2">
        <f>D12/'Output-Calculation-sheet'!D11*'Output-Calculation-sheet'!D65</f>
        <v>4415.7679621201523</v>
      </c>
      <c r="E78" s="2">
        <f>E12/'Output-Calculation-sheet'!E11*'Output-Calculation-sheet'!E65</f>
        <v>1418.5093719469107</v>
      </c>
      <c r="F78" s="2">
        <f>F12/'Output-Calculation-sheet'!F11*'Output-Calculation-sheet'!F65</f>
        <v>1127.3231574559238</v>
      </c>
      <c r="G78" s="2">
        <f>G12/'Output-Calculation-sheet'!G11*'Output-Calculation-sheet'!G65</f>
        <v>1668.1869282561045</v>
      </c>
      <c r="H78" s="2">
        <f>H12/'Output-Calculation-sheet'!H11*'Output-Calculation-sheet'!H65</f>
        <v>37.914358215064134</v>
      </c>
      <c r="I78" s="2">
        <f>I12/'Output-Calculation-sheet'!I11*'Output-Calculation-sheet'!I65</f>
        <v>1386.9439110259764</v>
      </c>
      <c r="J78" s="2">
        <f>J12/'Output-Calculation-sheet'!J11*'Output-Calculation-sheet'!J65</f>
        <v>1315.550109228886</v>
      </c>
      <c r="K78" s="2">
        <f>K12/'Output-Calculation-sheet'!K11*'Output-Calculation-sheet'!K65</f>
        <v>1768.2076199390406</v>
      </c>
      <c r="L78" s="2">
        <f>L12/'Output-Calculation-sheet'!L11*'Output-Calculation-sheet'!L65</f>
        <v>613.28374503205055</v>
      </c>
      <c r="M78" s="2">
        <f>M12/'Output-Calculation-sheet'!M11*'Output-Calculation-sheet'!M65</f>
        <v>33.892301111260181</v>
      </c>
      <c r="N78" s="2">
        <f>N12/'Output-Calculation-sheet'!N11*'Output-Calculation-sheet'!N65</f>
        <v>22.830617189489331</v>
      </c>
      <c r="O78" s="2">
        <f>O12/'Output-Calculation-sheet'!O11*'Output-Calculation-sheet'!O65</f>
        <v>14.892620600912965</v>
      </c>
      <c r="P78" s="2">
        <f>P12/'Output-Calculation-sheet'!P11*'Output-Calculation-sheet'!P65</f>
        <v>171.76752881209921</v>
      </c>
      <c r="Q78" s="2">
        <f>Q12/'Output-Calculation-sheet'!Q11*'Output-Calculation-sheet'!Q65</f>
        <v>138.41372730630331</v>
      </c>
      <c r="R78" s="2">
        <f>R12/'Output-Calculation-sheet'!R11*'Output-Calculation-sheet'!R65</f>
        <v>1146.5870627653903</v>
      </c>
      <c r="S78" s="2">
        <f>S12/'Output-Calculation-sheet'!S11*'Output-Calculation-sheet'!S65</f>
        <v>10.970062792616552</v>
      </c>
      <c r="T78" s="2">
        <f>T12/'Output-Calculation-sheet'!T11*'Output-Calculation-sheet'!T65</f>
        <v>455.96644817861261</v>
      </c>
      <c r="U78" s="2">
        <f>U12/'Output-Calculation-sheet'!U11*'Output-Calculation-sheet'!U65</f>
        <v>168.20645479707227</v>
      </c>
      <c r="V78" s="2">
        <f>V12/'Output-Calculation-sheet'!V11*'Output-Calculation-sheet'!V65</f>
        <v>238.64252695425628</v>
      </c>
      <c r="W78" s="2">
        <f>W12/'Output-Calculation-sheet'!W11*'Output-Calculation-sheet'!W65</f>
        <v>160.87491706937658</v>
      </c>
      <c r="X78" s="2">
        <f>X12/'Output-Calculation-sheet'!X11*'Output-Calculation-sheet'!X65</f>
        <v>2.2448711243211679</v>
      </c>
      <c r="Y78" s="2">
        <f>Y12/'Output-Calculation-sheet'!Y11*'Output-Calculation-sheet'!Y65</f>
        <v>38.611874047543481</v>
      </c>
      <c r="AA78" s="2">
        <f t="shared" si="6"/>
        <v>16.544604489060905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111.08412808329506</v>
      </c>
      <c r="E89" s="2">
        <f>E12/'Output-Calculation-sheet'!E11*'Output-Calculation-sheet'!E74</f>
        <v>53.73708591343987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41.58092663619469</v>
      </c>
      <c r="H89" s="2">
        <f>H12/'Output-Calculation-sheet'!H11*'Output-Calculation-sheet'!H74</f>
        <v>6.7134764435704533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23.133181605332169</v>
      </c>
      <c r="K89" s="2">
        <f>K12/'Output-Calculation-sheet'!K11*'Output-Calculation-sheet'!K74</f>
        <v>29.09986944954051</v>
      </c>
      <c r="L89" s="2">
        <f>L12/'Output-Calculation-sheet'!L11*'Output-Calculation-sheet'!L74</f>
        <v>12.178356087493682</v>
      </c>
      <c r="M89" s="2">
        <f>M12/'Output-Calculation-sheet'!M11*'Output-Calculation-sheet'!M74</f>
        <v>3.4646438591263342</v>
      </c>
      <c r="N89" s="2">
        <f>N12/'Output-Calculation-sheet'!N11*'Output-Calculation-sheet'!N74</f>
        <v>3.4051830351231973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3.1457910006061871</v>
      </c>
      <c r="Q89" s="2">
        <f>Q12/'Output-Calculation-sheet'!Q11*'Output-Calculation-sheet'!Q74</f>
        <v>5.9669233863660978</v>
      </c>
      <c r="R89" s="2">
        <f>R12/'Output-Calculation-sheet'!R11*'Output-Calculation-sheet'!R74</f>
        <v>17.751987457295957</v>
      </c>
      <c r="S89" s="2">
        <f>S12/'Output-Calculation-sheet'!S11*'Output-Calculation-sheet'!S74</f>
        <v>3.2532807807285153</v>
      </c>
      <c r="T89" s="2">
        <f>T12/'Output-Calculation-sheet'!T11*'Output-Calculation-sheet'!T74</f>
        <v>5.4729721887571676</v>
      </c>
      <c r="U89" s="2">
        <f>U12/'Output-Calculation-sheet'!U11*'Output-Calculation-sheet'!U74</f>
        <v>6.3460244473689631</v>
      </c>
      <c r="V89" s="2">
        <f>V12/'Output-Calculation-sheet'!V11*'Output-Calculation-sheet'!V74</f>
        <v>1.957335692387713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2.2006989308797325</v>
      </c>
      <c r="AA89" s="2">
        <f t="shared" si="7"/>
        <v>0.44406873481088449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18834698549.795055</v>
      </c>
      <c r="C96" s="2">
        <f>C8/'Output-Calculation-sheet'!C7*'Output-Calculation-sheet'!C79</f>
        <v>7797332071.3184872</v>
      </c>
      <c r="D96" s="2">
        <f>D8/'Output-Calculation-sheet'!D7*'Output-Calculation-sheet'!D79</f>
        <v>6215667459.9691439</v>
      </c>
      <c r="E96" s="2">
        <f>E8/'Output-Calculation-sheet'!E7*'Output-Calculation-sheet'!E79</f>
        <v>7510699783.5112925</v>
      </c>
      <c r="F96" s="2">
        <f>F8/'Output-Calculation-sheet'!F7*'Output-Calculation-sheet'!F79</f>
        <v>4433525188.2380962</v>
      </c>
      <c r="G96" s="2">
        <f>G8/'Output-Calculation-sheet'!G7*'Output-Calculation-sheet'!G79</f>
        <v>2255124968.4941802</v>
      </c>
      <c r="H96" s="2">
        <f>H8/'Output-Calculation-sheet'!H7*'Output-Calculation-sheet'!H79</f>
        <v>2815905928.4684324</v>
      </c>
      <c r="I96" s="2">
        <f>I8/'Output-Calculation-sheet'!I7*'Output-Calculation-sheet'!I79</f>
        <v>2695206322.7608247</v>
      </c>
      <c r="J96" s="2">
        <f>J8/'Output-Calculation-sheet'!J7*'Output-Calculation-sheet'!J79</f>
        <v>1521267209.6445332</v>
      </c>
      <c r="K96" s="2">
        <f>K8/'Output-Calculation-sheet'!K7*'Output-Calculation-sheet'!K79</f>
        <v>2591241297.6526194</v>
      </c>
      <c r="L96" s="2">
        <f>L8/'Output-Calculation-sheet'!L7*'Output-Calculation-sheet'!L79</f>
        <v>1863676285.716413</v>
      </c>
      <c r="M96" s="2">
        <f>M8/'Output-Calculation-sheet'!M7*'Output-Calculation-sheet'!M79</f>
        <v>1884014880.0609591</v>
      </c>
      <c r="N96" s="2">
        <f>N8/'Output-Calculation-sheet'!N7*'Output-Calculation-sheet'!N79</f>
        <v>1340904450.7769158</v>
      </c>
      <c r="O96" s="2">
        <f>O8/'Output-Calculation-sheet'!O7*'Output-Calculation-sheet'!O79</f>
        <v>1053833373.3331074</v>
      </c>
      <c r="P96" s="2">
        <f>P8/'Output-Calculation-sheet'!P7*'Output-Calculation-sheet'!P79</f>
        <v>2240199012.3177075</v>
      </c>
      <c r="Q96" s="2">
        <f>Q8/'Output-Calculation-sheet'!Q7*'Output-Calculation-sheet'!Q79</f>
        <v>1220152518.4255567</v>
      </c>
      <c r="R96" s="2">
        <f>R8/'Output-Calculation-sheet'!R7*'Output-Calculation-sheet'!R79</f>
        <v>1627802368.0158689</v>
      </c>
      <c r="S96" s="2">
        <f>S8/'Output-Calculation-sheet'!S7*'Output-Calculation-sheet'!S79</f>
        <v>1024611421.9103048</v>
      </c>
      <c r="T96" s="2">
        <f>T8/'Output-Calculation-sheet'!T7*'Output-Calculation-sheet'!T79</f>
        <v>657941535.09342504</v>
      </c>
      <c r="U96" s="2">
        <f>U8/'Output-Calculation-sheet'!U7*'Output-Calculation-sheet'!U79</f>
        <v>610101707.35578525</v>
      </c>
      <c r="V96" s="2">
        <f>V8/'Output-Calculation-sheet'!V7*'Output-Calculation-sheet'!V79</f>
        <v>392802359.29901177</v>
      </c>
      <c r="W96" s="2">
        <f>W8/'Output-Calculation-sheet'!W7*'Output-Calculation-sheet'!W79</f>
        <v>469884234.6212222</v>
      </c>
      <c r="X96" s="2">
        <f>X8/'Output-Calculation-sheet'!X7*'Output-Calculation-sheet'!X79</f>
        <v>215067508.01834536</v>
      </c>
      <c r="Y96" s="2">
        <f>Y8/'Output-Calculation-sheet'!Y7*'Output-Calculation-sheet'!Y79</f>
        <v>240719462.24024498</v>
      </c>
      <c r="AA96" s="2">
        <f t="shared" si="8"/>
        <v>71.512379897037533</v>
      </c>
    </row>
    <row r="97" spans="1:27" x14ac:dyDescent="0.25">
      <c r="A97" s="2">
        <v>2032</v>
      </c>
      <c r="B97" s="2">
        <f>B9/'Output-Calculation-sheet'!B8*'Output-Calculation-sheet'!B80</f>
        <v>25903275087.427845</v>
      </c>
      <c r="C97" s="2">
        <f>C9/'Output-Calculation-sheet'!C8*'Output-Calculation-sheet'!C80</f>
        <v>10732978827.79077</v>
      </c>
      <c r="D97" s="2">
        <f>D9/'Output-Calculation-sheet'!D8*'Output-Calculation-sheet'!D80</f>
        <v>8483516549.9162645</v>
      </c>
      <c r="E97" s="2">
        <f>E9/'Output-Calculation-sheet'!E8*'Output-Calculation-sheet'!E80</f>
        <v>10236672280.737623</v>
      </c>
      <c r="F97" s="2">
        <f>F9/'Output-Calculation-sheet'!F8*'Output-Calculation-sheet'!F80</f>
        <v>6065517233.6591644</v>
      </c>
      <c r="G97" s="2">
        <f>G9/'Output-Calculation-sheet'!G8*'Output-Calculation-sheet'!G80</f>
        <v>3036300245.9443583</v>
      </c>
      <c r="H97" s="2">
        <f>H9/'Output-Calculation-sheet'!H8*'Output-Calculation-sheet'!H80</f>
        <v>3864721951.5881991</v>
      </c>
      <c r="I97" s="2">
        <f>I9/'Output-Calculation-sheet'!I8*'Output-Calculation-sheet'!I80</f>
        <v>3689020192.0762906</v>
      </c>
      <c r="J97" s="2">
        <f>J9/'Output-Calculation-sheet'!J8*'Output-Calculation-sheet'!J80</f>
        <v>2105003018.2657254</v>
      </c>
      <c r="K97" s="2">
        <f>K9/'Output-Calculation-sheet'!K8*'Output-Calculation-sheet'!K80</f>
        <v>3545919928.0878415</v>
      </c>
      <c r="L97" s="2">
        <f>L9/'Output-Calculation-sheet'!L8*'Output-Calculation-sheet'!L80</f>
        <v>2565598927.7004442</v>
      </c>
      <c r="M97" s="2">
        <f>M9/'Output-Calculation-sheet'!M8*'Output-Calculation-sheet'!M80</f>
        <v>2585694613.2892108</v>
      </c>
      <c r="N97" s="2">
        <f>N9/'Output-Calculation-sheet'!N8*'Output-Calculation-sheet'!N80</f>
        <v>1848187800.1995218</v>
      </c>
      <c r="O97" s="2">
        <f>O9/'Output-Calculation-sheet'!O8*'Output-Calculation-sheet'!O80</f>
        <v>1458104506.6637881</v>
      </c>
      <c r="P97" s="2">
        <f>P9/'Output-Calculation-sheet'!P8*'Output-Calculation-sheet'!P80</f>
        <v>3047118044.9528971</v>
      </c>
      <c r="Q97" s="2">
        <f>Q9/'Output-Calculation-sheet'!Q8*'Output-Calculation-sheet'!Q80</f>
        <v>1687217426.7803304</v>
      </c>
      <c r="R97" s="2">
        <f>R9/'Output-Calculation-sheet'!R8*'Output-Calculation-sheet'!R80</f>
        <v>2237004422.6082993</v>
      </c>
      <c r="S97" s="2">
        <f>S9/'Output-Calculation-sheet'!S8*'Output-Calculation-sheet'!S80</f>
        <v>1411221234.3663752</v>
      </c>
      <c r="T97" s="2">
        <f>T9/'Output-Calculation-sheet'!T8*'Output-Calculation-sheet'!T80</f>
        <v>897007684.22284889</v>
      </c>
      <c r="U97" s="2">
        <f>U9/'Output-Calculation-sheet'!U8*'Output-Calculation-sheet'!U80</f>
        <v>836495703.67634976</v>
      </c>
      <c r="V97" s="2">
        <f>V9/'Output-Calculation-sheet'!V8*'Output-Calculation-sheet'!V80</f>
        <v>541720454.85631883</v>
      </c>
      <c r="W97" s="2">
        <f>W9/'Output-Calculation-sheet'!W8*'Output-Calculation-sheet'!W80</f>
        <v>633699725.14030957</v>
      </c>
      <c r="X97" s="2">
        <f>X9/'Output-Calculation-sheet'!X8*'Output-Calculation-sheet'!X80</f>
        <v>295074517.35849762</v>
      </c>
      <c r="Y97" s="2">
        <f>Y9/'Output-Calculation-sheet'!Y8*'Output-Calculation-sheet'!Y80</f>
        <v>326071258.34403461</v>
      </c>
      <c r="AA97" s="2">
        <f t="shared" si="8"/>
        <v>98.033141635653337</v>
      </c>
    </row>
    <row r="98" spans="1:27" x14ac:dyDescent="0.25">
      <c r="A98" s="2">
        <v>2033</v>
      </c>
      <c r="B98" s="2">
        <f>B10/'Output-Calculation-sheet'!B9*'Output-Calculation-sheet'!B81</f>
        <v>33250678118.077789</v>
      </c>
      <c r="C98" s="2">
        <f>C10/'Output-Calculation-sheet'!C9*'Output-Calculation-sheet'!C81</f>
        <v>13791646990.837072</v>
      </c>
      <c r="D98" s="2">
        <f>D10/'Output-Calculation-sheet'!D9*'Output-Calculation-sheet'!D81</f>
        <v>10818577452.861111</v>
      </c>
      <c r="E98" s="2">
        <f>E10/'Output-Calculation-sheet'!E9*'Output-Calculation-sheet'!E81</f>
        <v>13029761378.518682</v>
      </c>
      <c r="F98" s="2">
        <f>F10/'Output-Calculation-sheet'!F9*'Output-Calculation-sheet'!F81</f>
        <v>7747798228.2017889</v>
      </c>
      <c r="G98" s="2">
        <f>G10/'Output-Calculation-sheet'!G9*'Output-Calculation-sheet'!G81</f>
        <v>3819107940.5301781</v>
      </c>
      <c r="H98" s="2">
        <f>H10/'Output-Calculation-sheet'!H9*'Output-Calculation-sheet'!H81</f>
        <v>4951551862.1870117</v>
      </c>
      <c r="I98" s="2">
        <f>I10/'Output-Calculation-sheet'!I9*'Output-Calculation-sheet'!I81</f>
        <v>4715001479.5515537</v>
      </c>
      <c r="J98" s="2">
        <f>J10/'Output-Calculation-sheet'!J9*'Output-Calculation-sheet'!J81</f>
        <v>2720650514.7084465</v>
      </c>
      <c r="K98" s="2">
        <f>K10/'Output-Calculation-sheet'!K9*'Output-Calculation-sheet'!K81</f>
        <v>4530607787.7180328</v>
      </c>
      <c r="L98" s="2">
        <f>L10/'Output-Calculation-sheet'!L9*'Output-Calculation-sheet'!L81</f>
        <v>3296975720.3965716</v>
      </c>
      <c r="M98" s="2">
        <f>M10/'Output-Calculation-sheet'!M9*'Output-Calculation-sheet'!M81</f>
        <v>3313438685.9505129</v>
      </c>
      <c r="N98" s="2">
        <f>N10/'Output-Calculation-sheet'!N9*'Output-Calculation-sheet'!N81</f>
        <v>2379351278.2566924</v>
      </c>
      <c r="O98" s="2">
        <f>O10/'Output-Calculation-sheet'!O9*'Output-Calculation-sheet'!O81</f>
        <v>1883816150.3516326</v>
      </c>
      <c r="P98" s="2">
        <f>P10/'Output-Calculation-sheet'!P9*'Output-Calculation-sheet'!P81</f>
        <v>3869381175.8694248</v>
      </c>
      <c r="Q98" s="2">
        <f>Q10/'Output-Calculation-sheet'!Q9*'Output-Calculation-sheet'!Q81</f>
        <v>2178486447.6037569</v>
      </c>
      <c r="R98" s="2">
        <f>R10/'Output-Calculation-sheet'!R9*'Output-Calculation-sheet'!R81</f>
        <v>2869684064.9542589</v>
      </c>
      <c r="S98" s="2">
        <f>S10/'Output-Calculation-sheet'!S9*'Output-Calculation-sheet'!S81</f>
        <v>1814158676.1058686</v>
      </c>
      <c r="T98" s="2">
        <f>T10/'Output-Calculation-sheet'!T9*'Output-Calculation-sheet'!T81</f>
        <v>1142036371.2882466</v>
      </c>
      <c r="U98" s="2">
        <f>U10/'Output-Calculation-sheet'!U9*'Output-Calculation-sheet'!U81</f>
        <v>1070032530.6102327</v>
      </c>
      <c r="V98" s="2">
        <f>V10/'Output-Calculation-sheet'!V9*'Output-Calculation-sheet'!V81</f>
        <v>696919397.04697967</v>
      </c>
      <c r="W98" s="2">
        <f>W10/'Output-Calculation-sheet'!W9*'Output-Calculation-sheet'!W81</f>
        <v>798082332.38640583</v>
      </c>
      <c r="X98" s="2">
        <f>X10/'Output-Calculation-sheet'!X9*'Output-Calculation-sheet'!X81</f>
        <v>377976934.81645012</v>
      </c>
      <c r="Y98" s="2">
        <f>Y10/'Output-Calculation-sheet'!Y9*'Output-Calculation-sheet'!Y81</f>
        <v>412594262.19990742</v>
      </c>
      <c r="AA98" s="2">
        <f t="shared" si="8"/>
        <v>125.47831578102863</v>
      </c>
    </row>
    <row r="99" spans="1:27" x14ac:dyDescent="0.25">
      <c r="A99" s="2">
        <v>2034</v>
      </c>
      <c r="B99" s="2">
        <f>B11/'Output-Calculation-sheet'!B10*'Output-Calculation-sheet'!B82</f>
        <v>40708800733.305542</v>
      </c>
      <c r="C99" s="2">
        <f>C11/'Output-Calculation-sheet'!C10*'Output-Calculation-sheet'!C82</f>
        <v>16905137453.911388</v>
      </c>
      <c r="D99" s="2">
        <f>D11/'Output-Calculation-sheet'!D10*'Output-Calculation-sheet'!D82</f>
        <v>13171541051.791494</v>
      </c>
      <c r="E99" s="2">
        <f>E11/'Output-Calculation-sheet'!E10*'Output-Calculation-sheet'!E82</f>
        <v>15826588702.095697</v>
      </c>
      <c r="F99" s="2">
        <f>F11/'Output-Calculation-sheet'!F10*'Output-Calculation-sheet'!F82</f>
        <v>9442032618.6544781</v>
      </c>
      <c r="G99" s="2">
        <f>G11/'Output-Calculation-sheet'!G10*'Output-Calculation-sheet'!G82</f>
        <v>4585749026.3586826</v>
      </c>
      <c r="H99" s="2">
        <f>H11/'Output-Calculation-sheet'!H10*'Output-Calculation-sheet'!H82</f>
        <v>6051647708.5757914</v>
      </c>
      <c r="I99" s="2">
        <f>I11/'Output-Calculation-sheet'!I10*'Output-Calculation-sheet'!I82</f>
        <v>5750133291.9907923</v>
      </c>
      <c r="J99" s="2">
        <f>J11/'Output-Calculation-sheet'!J10*'Output-Calculation-sheet'!J82</f>
        <v>3356014511.194941</v>
      </c>
      <c r="K99" s="2">
        <f>K11/'Output-Calculation-sheet'!K10*'Output-Calculation-sheet'!K82</f>
        <v>5523032907.3647661</v>
      </c>
      <c r="L99" s="2">
        <f>L11/'Output-Calculation-sheet'!L10*'Output-Calculation-sheet'!L82</f>
        <v>4041421223.6201439</v>
      </c>
      <c r="M99" s="2">
        <f>M11/'Output-Calculation-sheet'!M10*'Output-Calculation-sheet'!M82</f>
        <v>4051003967.0501266</v>
      </c>
      <c r="N99" s="2">
        <f>N11/'Output-Calculation-sheet'!N10*'Output-Calculation-sheet'!N82</f>
        <v>2923457486.3871508</v>
      </c>
      <c r="O99" s="2">
        <f>O11/'Output-Calculation-sheet'!O10*'Output-Calculation-sheet'!O82</f>
        <v>2322149137.0750971</v>
      </c>
      <c r="P99" s="2">
        <f>P11/'Output-Calculation-sheet'!P10*'Output-Calculation-sheet'!P82</f>
        <v>4687576715.9047556</v>
      </c>
      <c r="Q99" s="2">
        <f>Q11/'Output-Calculation-sheet'!Q10*'Output-Calculation-sheet'!Q82</f>
        <v>2683689656.6778831</v>
      </c>
      <c r="R99" s="2">
        <f>R11/'Output-Calculation-sheet'!R10*'Output-Calculation-sheet'!R82</f>
        <v>3511491654.9001517</v>
      </c>
      <c r="S99" s="2">
        <f>S11/'Output-Calculation-sheet'!S10*'Output-Calculation-sheet'!S82</f>
        <v>2224296371.3202872</v>
      </c>
      <c r="T99" s="2">
        <f>T11/'Output-Calculation-sheet'!T10*'Output-Calculation-sheet'!T82</f>
        <v>1387474374.0386665</v>
      </c>
      <c r="U99" s="2">
        <f>U11/'Output-Calculation-sheet'!U10*'Output-Calculation-sheet'!U82</f>
        <v>1305077701.1540062</v>
      </c>
      <c r="V99" s="2">
        <f>V11/'Output-Calculation-sheet'!V10*'Output-Calculation-sheet'!V82</f>
        <v>854724281.56505096</v>
      </c>
      <c r="W99" s="2">
        <f>W11/'Output-Calculation-sheet'!W10*'Output-Calculation-sheet'!W82</f>
        <v>959109486.02715528</v>
      </c>
      <c r="X99" s="2">
        <f>X11/'Output-Calculation-sheet'!X10*'Output-Calculation-sheet'!X82</f>
        <v>461904822.80198705</v>
      </c>
      <c r="Y99" s="2">
        <f>Y11/'Output-Calculation-sheet'!Y10*'Output-Calculation-sheet'!Y82</f>
        <v>498336217.29396737</v>
      </c>
      <c r="AA99" s="2">
        <f t="shared" si="8"/>
        <v>153.23239110106005</v>
      </c>
    </row>
    <row r="100" spans="1:27" x14ac:dyDescent="0.25">
      <c r="A100" s="2">
        <v>2035</v>
      </c>
      <c r="B100" s="2">
        <f>B12/'Output-Calculation-sheet'!B11*'Output-Calculation-sheet'!B83</f>
        <v>48101475769.618393</v>
      </c>
      <c r="C100" s="2">
        <f>C12/'Output-Calculation-sheet'!C11*'Output-Calculation-sheet'!C83</f>
        <v>20001494327.713741</v>
      </c>
      <c r="D100" s="2">
        <f>D12/'Output-Calculation-sheet'!D11*'Output-Calculation-sheet'!D83</f>
        <v>15491401293.175688</v>
      </c>
      <c r="E100" s="2">
        <f>E12/'Output-Calculation-sheet'!E11*'Output-Calculation-sheet'!E83</f>
        <v>18562463000.892006</v>
      </c>
      <c r="F100" s="2">
        <f>F12/'Output-Calculation-sheet'!F11*'Output-Calculation-sheet'!F83</f>
        <v>11108696048.611237</v>
      </c>
      <c r="G100" s="2">
        <f>G12/'Output-Calculation-sheet'!G11*'Output-Calculation-sheet'!G83</f>
        <v>5318980159.1437292</v>
      </c>
      <c r="H100" s="2">
        <f>H12/'Output-Calculation-sheet'!H11*'Output-Calculation-sheet'!H83</f>
        <v>7139213230.6085844</v>
      </c>
      <c r="I100" s="2">
        <f>I12/'Output-Calculation-sheet'!I11*'Output-Calculation-sheet'!I83</f>
        <v>6770543655.7263317</v>
      </c>
      <c r="J100" s="2">
        <f>J12/'Output-Calculation-sheet'!J11*'Output-Calculation-sheet'!J83</f>
        <v>3997753068.0649438</v>
      </c>
      <c r="K100" s="2">
        <f>K12/'Output-Calculation-sheet'!K11*'Output-Calculation-sheet'!K83</f>
        <v>6500207843.4443321</v>
      </c>
      <c r="L100" s="2">
        <f>L12/'Output-Calculation-sheet'!L11*'Output-Calculation-sheet'!L83</f>
        <v>4781637881.8926029</v>
      </c>
      <c r="M100" s="2">
        <f>M12/'Output-Calculation-sheet'!M11*'Output-Calculation-sheet'!M83</f>
        <v>4781371363.8557205</v>
      </c>
      <c r="N100" s="2">
        <f>N12/'Output-Calculation-sheet'!N11*'Output-Calculation-sheet'!N83</f>
        <v>3468745316.7178187</v>
      </c>
      <c r="O100" s="2">
        <f>O12/'Output-Calculation-sheet'!O11*'Output-Calculation-sheet'!O83</f>
        <v>2763521708.0336232</v>
      </c>
      <c r="P100" s="2">
        <f>P12/'Output-Calculation-sheet'!P11*'Output-Calculation-sheet'!P83</f>
        <v>5482284273.8294239</v>
      </c>
      <c r="Q100" s="2">
        <f>Q12/'Output-Calculation-sheet'!Q11*'Output-Calculation-sheet'!Q83</f>
        <v>3191690413.0842977</v>
      </c>
      <c r="R100" s="2">
        <f>R12/'Output-Calculation-sheet'!R11*'Output-Calculation-sheet'!R83</f>
        <v>4147409650.527885</v>
      </c>
      <c r="S100" s="2">
        <f>S12/'Output-Calculation-sheet'!S11*'Output-Calculation-sheet'!S83</f>
        <v>2632016064.468226</v>
      </c>
      <c r="T100" s="2">
        <f>T12/'Output-Calculation-sheet'!T11*'Output-Calculation-sheet'!T83</f>
        <v>1627665942.4493198</v>
      </c>
      <c r="U100" s="2">
        <f>U12/'Output-Calculation-sheet'!U11*'Output-Calculation-sheet'!U83</f>
        <v>1535885778.6329129</v>
      </c>
      <c r="V100" s="2">
        <f>V12/'Output-Calculation-sheet'!V11*'Output-Calculation-sheet'!V83</f>
        <v>1011298589.5216521</v>
      </c>
      <c r="W100" s="2">
        <f>W12/'Output-Calculation-sheet'!W11*'Output-Calculation-sheet'!W83</f>
        <v>1112962315.3317857</v>
      </c>
      <c r="X100" s="2">
        <f>X12/'Output-Calculation-sheet'!X11*'Output-Calculation-sheet'!X83</f>
        <v>544905312.74217486</v>
      </c>
      <c r="Y100" s="2">
        <f>Y12/'Output-Calculation-sheet'!Y11*'Output-Calculation-sheet'!Y83</f>
        <v>581352156.73475802</v>
      </c>
      <c r="AA100" s="2">
        <f t="shared" si="8"/>
        <v>180.6549751648212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1704.4161626089144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524.67215725027029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361.02550503227235</v>
      </c>
      <c r="N107" s="2">
        <f>N8/'Output-Calculation-sheet'!N7*'Output-Calculation-sheet'!N88</f>
        <v>141.93180886334224</v>
      </c>
      <c r="O107" s="2">
        <f>O8/'Output-Calculation-sheet'!O7*'Output-Calculation-sheet'!O88</f>
        <v>397.34485243329704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39.605248774458438</v>
      </c>
      <c r="Y107" s="2">
        <f>Y8/'Output-Calculation-sheet'!Y7*'Output-Calculation-sheet'!Y88</f>
        <v>0</v>
      </c>
      <c r="AA107" s="2">
        <f t="shared" si="9"/>
        <v>3.1689957349625542</v>
      </c>
    </row>
    <row r="108" spans="1:27" x14ac:dyDescent="0.25">
      <c r="A108" s="2">
        <v>2032</v>
      </c>
      <c r="B108" s="2">
        <f>B9/'Output-Calculation-sheet'!B8*'Output-Calculation-sheet'!B89</f>
        <v>782.46607149224246</v>
      </c>
      <c r="C108" s="2">
        <f>C9/'Output-Calculation-sheet'!C8*'Output-Calculation-sheet'!C89</f>
        <v>2971.012064182125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800.24845177885277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550.64881462147673</v>
      </c>
      <c r="N108" s="2">
        <f>N9/'Output-Calculation-sheet'!N8*'Output-Calculation-sheet'!N89</f>
        <v>386.57034524024596</v>
      </c>
      <c r="O108" s="2">
        <f>O9/'Output-Calculation-sheet'!O8*'Output-Calculation-sheet'!O89</f>
        <v>577.18510699728404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177.27637356551264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60.407320221031895</v>
      </c>
      <c r="Y108" s="2">
        <f>Y9/'Output-Calculation-sheet'!Y8*'Output-Calculation-sheet'!Y89</f>
        <v>0</v>
      </c>
      <c r="AA108" s="2">
        <f t="shared" si="9"/>
        <v>6.3058145480987715</v>
      </c>
    </row>
    <row r="109" spans="1:27" x14ac:dyDescent="0.25">
      <c r="A109" s="2">
        <v>2033</v>
      </c>
      <c r="B109" s="2">
        <f>B10/'Output-Calculation-sheet'!B9*'Output-Calculation-sheet'!B90</f>
        <v>4146.3646425056986</v>
      </c>
      <c r="C109" s="2">
        <f>C10/'Output-Calculation-sheet'!C9*'Output-Calculation-sheet'!C90</f>
        <v>3935.9212572275628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1211.5986354153224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833.69777336703442</v>
      </c>
      <c r="N109" s="2">
        <f>N10/'Output-Calculation-sheet'!N9*'Output-Calculation-sheet'!N90</f>
        <v>655.5117650690438</v>
      </c>
      <c r="O109" s="2">
        <f>O10/'Output-Calculation-sheet'!O9*'Output-Calculation-sheet'!O90</f>
        <v>764.64015726275932</v>
      </c>
      <c r="P109" s="2">
        <f>P10/'Output-Calculation-sheet'!P9*'Output-Calculation-sheet'!P90</f>
        <v>0</v>
      </c>
      <c r="Q109" s="2">
        <f>Q10/'Output-Calculation-sheet'!Q9*'Output-Calculation-sheet'!Q90</f>
        <v>143.58216726839939</v>
      </c>
      <c r="R109" s="2">
        <f>R10/'Output-Calculation-sheet'!R9*'Output-Calculation-sheet'!R90</f>
        <v>0</v>
      </c>
      <c r="S109" s="2">
        <f>S10/'Output-Calculation-sheet'!S9*'Output-Calculation-sheet'!S90</f>
        <v>328.79172647786345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91.458379689717191</v>
      </c>
      <c r="Y109" s="2">
        <f>Y10/'Output-Calculation-sheet'!Y9*'Output-Calculation-sheet'!Y90</f>
        <v>0</v>
      </c>
      <c r="AA109" s="2">
        <f t="shared" si="9"/>
        <v>12.111566504283401</v>
      </c>
    </row>
    <row r="110" spans="1:27" x14ac:dyDescent="0.25">
      <c r="A110" s="2">
        <v>2034</v>
      </c>
      <c r="B110" s="2">
        <f>B11/'Output-Calculation-sheet'!B10*'Output-Calculation-sheet'!B91</f>
        <v>7763.8179375873751</v>
      </c>
      <c r="C110" s="2">
        <f>C11/'Output-Calculation-sheet'!C10*'Output-Calculation-sheet'!C91</f>
        <v>5322.6155520399952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1512.4302901170356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1040.6992285949584</v>
      </c>
      <c r="N110" s="2">
        <f>N11/'Output-Calculation-sheet'!N10*'Output-Calculation-sheet'!N91</f>
        <v>937.60201917936502</v>
      </c>
      <c r="O110" s="2">
        <f>O11/'Output-Calculation-sheet'!O10*'Output-Calculation-sheet'!O91</f>
        <v>1034.0363352766542</v>
      </c>
      <c r="P110" s="2">
        <f>P11/'Output-Calculation-sheet'!P10*'Output-Calculation-sheet'!P91</f>
        <v>236.23079317576443</v>
      </c>
      <c r="Q110" s="2">
        <f>Q11/'Output-Calculation-sheet'!Q10*'Output-Calculation-sheet'!Q91</f>
        <v>522.76185908730235</v>
      </c>
      <c r="R110" s="2">
        <f>R11/'Output-Calculation-sheet'!R10*'Output-Calculation-sheet'!R91</f>
        <v>0</v>
      </c>
      <c r="S110" s="2">
        <f>S11/'Output-Calculation-sheet'!S10*'Output-Calculation-sheet'!S91</f>
        <v>537.46584500849656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114.16686985648253</v>
      </c>
      <c r="Y110" s="2">
        <f>Y11/'Output-Calculation-sheet'!Y10*'Output-Calculation-sheet'!Y91</f>
        <v>27.543303304987401</v>
      </c>
      <c r="AA110" s="2">
        <f t="shared" si="9"/>
        <v>19.049370033228417</v>
      </c>
    </row>
    <row r="111" spans="1:27" x14ac:dyDescent="0.25">
      <c r="A111" s="2">
        <v>2035</v>
      </c>
      <c r="B111" s="2">
        <f>B12/'Output-Calculation-sheet'!B11*'Output-Calculation-sheet'!B92</f>
        <v>13268.082855157414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2955.5397252391926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656.41339311590946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1049.6455972022645</v>
      </c>
      <c r="Q111" s="2">
        <f>Q12/'Output-Calculation-sheet'!Q11*'Output-Calculation-sheet'!Q92</f>
        <v>995.4817182920774</v>
      </c>
      <c r="R111" s="2">
        <f>R12/'Output-Calculation-sheet'!R11*'Output-Calculation-sheet'!R92</f>
        <v>151.87811491242098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219.88974710133456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103.55511080306296</v>
      </c>
      <c r="AA111" s="2">
        <f t="shared" si="9"/>
        <v>32.402461358063277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8012429391.039732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2465260030.4615445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1712335530.8108075</v>
      </c>
      <c r="N118" s="2">
        <f>N8/'Output-Calculation-sheet'!N7*'Output-Calculation-sheet'!N97</f>
        <v>1343695161.9278131</v>
      </c>
      <c r="O118" s="2">
        <f>O8/'Output-Calculation-sheet'!O7*'Output-Calculation-sheet'!O97</f>
        <v>894110203.24664652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486610095.40531093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184557270.29491916</v>
      </c>
      <c r="Y118" s="2">
        <f>Y8/'Output-Calculation-sheet'!Y7*'Output-Calculation-sheet'!Y97</f>
        <v>0</v>
      </c>
      <c r="AA118" s="2">
        <f t="shared" si="10"/>
        <v>16465.813630410521</v>
      </c>
    </row>
    <row r="119" spans="1:27" x14ac:dyDescent="0.25">
      <c r="A119" s="2">
        <v>2032</v>
      </c>
      <c r="B119" s="2">
        <f>B9/'Output-Calculation-sheet'!B8*'Output-Calculation-sheet'!B98</f>
        <v>5870101115.9229317</v>
      </c>
      <c r="C119" s="2">
        <f>C9/'Output-Calculation-sheet'!C8*'Output-Calculation-sheet'!C98</f>
        <v>4665674934.0558424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2789150915.122292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1946837783.9143989</v>
      </c>
      <c r="N119" s="2">
        <f>N9/'Output-Calculation-sheet'!N8*'Output-Calculation-sheet'!N98</f>
        <v>1314749842.0537279</v>
      </c>
      <c r="O119" s="2">
        <f>O9/'Output-Calculation-sheet'!O8*'Output-Calculation-sheet'!O98</f>
        <v>911586668.62426114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546383510.96626651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208318622.37196475</v>
      </c>
      <c r="Y119" s="2">
        <f>Y9/'Output-Calculation-sheet'!Y8*'Output-Calculation-sheet'!Y98</f>
        <v>0</v>
      </c>
      <c r="AA119" s="2">
        <f t="shared" si="10"/>
        <v>18252.803393031685</v>
      </c>
    </row>
    <row r="120" spans="1:27" x14ac:dyDescent="0.25">
      <c r="A120" s="2">
        <v>2033</v>
      </c>
      <c r="B120" s="2">
        <f>B10/'Output-Calculation-sheet'!B9*'Output-Calculation-sheet'!B99</f>
        <v>5965098027.8708382</v>
      </c>
      <c r="C120" s="2">
        <f>C10/'Output-Calculation-sheet'!C9*'Output-Calculation-sheet'!C99</f>
        <v>4903680975.5272322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1607800830.2244608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1138014784.2360981</v>
      </c>
      <c r="N120" s="2">
        <f>N10/'Output-Calculation-sheet'!N9*'Output-Calculation-sheet'!N99</f>
        <v>1134480165.1243141</v>
      </c>
      <c r="O120" s="2">
        <f>O10/'Output-Calculation-sheet'!O9*'Output-Calculation-sheet'!O99</f>
        <v>960035111.4026866</v>
      </c>
      <c r="P120" s="2">
        <f>P10/'Output-Calculation-sheet'!P9*'Output-Calculation-sheet'!P99</f>
        <v>0</v>
      </c>
      <c r="Q120" s="2">
        <f>Q10/'Output-Calculation-sheet'!Q9*'Output-Calculation-sheet'!Q99</f>
        <v>7026718.1667475244</v>
      </c>
      <c r="R120" s="2">
        <f>R10/'Output-Calculation-sheet'!R9*'Output-Calculation-sheet'!R99</f>
        <v>0</v>
      </c>
      <c r="S120" s="2">
        <f>S10/'Output-Calculation-sheet'!S9*'Output-Calculation-sheet'!S99</f>
        <v>475112889.80695784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113635825.23788552</v>
      </c>
      <c r="Y120" s="2">
        <f>Y10/'Output-Calculation-sheet'!Y9*'Output-Calculation-sheet'!Y99</f>
        <v>0</v>
      </c>
      <c r="AA120" s="2">
        <f t="shared" si="10"/>
        <v>16304.885327597221</v>
      </c>
    </row>
    <row r="121" spans="1:27" x14ac:dyDescent="0.25">
      <c r="A121" s="2">
        <v>2034</v>
      </c>
      <c r="B121" s="2">
        <f>B11/'Output-Calculation-sheet'!B10*'Output-Calculation-sheet'!B100</f>
        <v>5815262081.6600075</v>
      </c>
      <c r="C121" s="2">
        <f>C11/'Output-Calculation-sheet'!C10*'Output-Calculation-sheet'!C100</f>
        <v>698747758.71952188</v>
      </c>
      <c r="D121" s="2">
        <f>D11/'Output-Calculation-sheet'!D10*'Output-Calculation-sheet'!D100</f>
        <v>0</v>
      </c>
      <c r="E121" s="2">
        <f>E11/'Output-Calculation-sheet'!E10*'Output-Calculation-sheet'!E100</f>
        <v>806409949.01527929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1839868174.2687373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670757704.80464458</v>
      </c>
      <c r="M121" s="2">
        <f>M11/'Output-Calculation-sheet'!M10*'Output-Calculation-sheet'!M100</f>
        <v>1309427141.7414796</v>
      </c>
      <c r="N121" s="2">
        <f>N11/'Output-Calculation-sheet'!N10*'Output-Calculation-sheet'!N100</f>
        <v>872965817.07725298</v>
      </c>
      <c r="O121" s="2">
        <f>O11/'Output-Calculation-sheet'!O10*'Output-Calculation-sheet'!O100</f>
        <v>137061671.19142029</v>
      </c>
      <c r="P121" s="2">
        <f>P11/'Output-Calculation-sheet'!P10*'Output-Calculation-sheet'!P100</f>
        <v>0</v>
      </c>
      <c r="Q121" s="2">
        <f>Q11/'Output-Calculation-sheet'!Q10*'Output-Calculation-sheet'!Q100</f>
        <v>269667432.41536915</v>
      </c>
      <c r="R121" s="2">
        <f>R11/'Output-Calculation-sheet'!R10*'Output-Calculation-sheet'!R100</f>
        <v>0</v>
      </c>
      <c r="S121" s="2">
        <f>S11/'Output-Calculation-sheet'!S10*'Output-Calculation-sheet'!S100</f>
        <v>326395456.50063092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128660378.69620669</v>
      </c>
      <c r="Y121" s="2">
        <f>Y11/'Output-Calculation-sheet'!Y10*'Output-Calculation-sheet'!Y100</f>
        <v>9194561.5497581381</v>
      </c>
      <c r="AA121" s="2">
        <f t="shared" si="10"/>
        <v>12884.418127640309</v>
      </c>
    </row>
    <row r="122" spans="1:27" x14ac:dyDescent="0.25">
      <c r="A122" s="2">
        <v>2035</v>
      </c>
      <c r="B122" s="2">
        <f>B12/'Output-Calculation-sheet'!B11*'Output-Calculation-sheet'!B101</f>
        <v>2332880483.9759531</v>
      </c>
      <c r="C122" s="2">
        <f>C12/'Output-Calculation-sheet'!C11*'Output-Calculation-sheet'!C101</f>
        <v>401208770.26488554</v>
      </c>
      <c r="D122" s="2">
        <f>D12/'Output-Calculation-sheet'!D11*'Output-Calculation-sheet'!D101</f>
        <v>0</v>
      </c>
      <c r="E122" s="2">
        <f>E12/'Output-Calculation-sheet'!E11*'Output-Calculation-sheet'!E101</f>
        <v>2331736217.9399776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625739977.81147158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1368606092.7837574</v>
      </c>
      <c r="M122" s="2">
        <f>M12/'Output-Calculation-sheet'!M11*'Output-Calculation-sheet'!M101</f>
        <v>564438412.2250644</v>
      </c>
      <c r="N122" s="2">
        <f>N12/'Output-Calculation-sheet'!N11*'Output-Calculation-sheet'!N101</f>
        <v>473224642.73273629</v>
      </c>
      <c r="O122" s="2">
        <f>O12/'Output-Calculation-sheet'!O11*'Output-Calculation-sheet'!O101</f>
        <v>68381522.37415345</v>
      </c>
      <c r="P122" s="2">
        <f>P12/'Output-Calculation-sheet'!P11*'Output-Calculation-sheet'!P101</f>
        <v>29077133.432923101</v>
      </c>
      <c r="Q122" s="2">
        <f>Q12/'Output-Calculation-sheet'!Q11*'Output-Calculation-sheet'!Q101</f>
        <v>573157798.31355083</v>
      </c>
      <c r="R122" s="2">
        <f>R12/'Output-Calculation-sheet'!R11*'Output-Calculation-sheet'!R101</f>
        <v>0</v>
      </c>
      <c r="S122" s="2">
        <f>S12/'Output-Calculation-sheet'!S11*'Output-Calculation-sheet'!S101</f>
        <v>231705684.28997123</v>
      </c>
      <c r="T122" s="2">
        <f>T12/'Output-Calculation-sheet'!T11*'Output-Calculation-sheet'!T101</f>
        <v>0</v>
      </c>
      <c r="U122" s="2">
        <f>U12/'Output-Calculation-sheet'!U11*'Output-Calculation-sheet'!U101</f>
        <v>85195346.475806087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20018944.531169176</v>
      </c>
      <c r="Y122" s="2">
        <f>Y12/'Output-Calculation-sheet'!Y11*'Output-Calculation-sheet'!Y101</f>
        <v>82719431.27412121</v>
      </c>
      <c r="AA122" s="2">
        <f t="shared" si="10"/>
        <v>9188.0904584255386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2229747795.6079841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2237483507.6323328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146564.88983727043</v>
      </c>
    </row>
    <row r="130" spans="1:27" x14ac:dyDescent="0.25">
      <c r="A130" s="2">
        <v>2032</v>
      </c>
      <c r="B130" s="2">
        <f>B9/'Output-Calculation-sheet'!B8*'Output-Calculation-sheet'!B107</f>
        <v>53121052527.374527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1932552510.7132256</v>
      </c>
      <c r="O130" s="2">
        <f>O9/'Output-Calculation-sheet'!O8*'Output-Calculation-sheet'!O107</f>
        <v>0</v>
      </c>
      <c r="P130" s="2">
        <f>P9/'Output-Calculation-sheet'!P8*'Output-Calculation-sheet'!P107</f>
        <v>5896925114.7245321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1716412871.7669511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187078.24461820838</v>
      </c>
    </row>
    <row r="131" spans="1:27" x14ac:dyDescent="0.25">
      <c r="A131" s="2">
        <v>2033</v>
      </c>
      <c r="B131" s="2">
        <f>B10/'Output-Calculation-sheet'!B9*'Output-Calculation-sheet'!B108</f>
        <v>44497816063.324852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1630520602.918225</v>
      </c>
      <c r="O131" s="2">
        <f>O10/'Output-Calculation-sheet'!O9*'Output-Calculation-sheet'!O108</f>
        <v>0</v>
      </c>
      <c r="P131" s="2">
        <f>P10/'Output-Calculation-sheet'!P9*'Output-Calculation-sheet'!P108</f>
        <v>7499220968.7684174</v>
      </c>
      <c r="Q131" s="2">
        <f>Q10/'Output-Calculation-sheet'!Q9*'Output-Calculation-sheet'!Q108</f>
        <v>6326055007.7194014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1581518094.5154757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212381.06911171199</v>
      </c>
    </row>
    <row r="132" spans="1:27" x14ac:dyDescent="0.25">
      <c r="A132" s="2">
        <v>2034</v>
      </c>
      <c r="B132" s="2">
        <f>B11/'Output-Calculation-sheet'!B10*'Output-Calculation-sheet'!B109</f>
        <v>33838169157.755821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32663964140.681889</v>
      </c>
      <c r="F132" s="2">
        <f>F11/'Output-Calculation-sheet'!F10*'Output-Calculation-sheet'!F109</f>
        <v>21542660076.416889</v>
      </c>
      <c r="G132" s="2">
        <f>G11/'Output-Calculation-sheet'!G10*'Output-Calculation-sheet'!G109</f>
        <v>15136883345.524714</v>
      </c>
      <c r="H132" s="2">
        <f>H11/'Output-Calculation-sheet'!H10*'Output-Calculation-sheet'!H109</f>
        <v>0</v>
      </c>
      <c r="I132" s="2">
        <f>I11/'Output-Calculation-sheet'!I10*'Output-Calculation-sheet'!I109</f>
        <v>13789926681.910566</v>
      </c>
      <c r="J132" s="2">
        <f>J11/'Output-Calculation-sheet'!J10*'Output-Calculation-sheet'!J109</f>
        <v>13422254698.166344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9993527456.4006977</v>
      </c>
      <c r="M132" s="2">
        <f>M11/'Output-Calculation-sheet'!M10*'Output-Calculation-sheet'!M109</f>
        <v>0</v>
      </c>
      <c r="N132" s="2">
        <f>N11/'Output-Calculation-sheet'!N10*'Output-Calculation-sheet'!N109</f>
        <v>1313980044.3707907</v>
      </c>
      <c r="O132" s="2">
        <f>O11/'Output-Calculation-sheet'!O10*'Output-Calculation-sheet'!O109</f>
        <v>0</v>
      </c>
      <c r="P132" s="2">
        <f>P11/'Output-Calculation-sheet'!P10*'Output-Calculation-sheet'!P109</f>
        <v>7465676409.7549028</v>
      </c>
      <c r="Q132" s="2">
        <f>Q11/'Output-Calculation-sheet'!Q10*'Output-Calculation-sheet'!Q109</f>
        <v>4846287576.5715218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901797887.16516531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2759569268.5522113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889744204.04956615</v>
      </c>
      <c r="AA132" s="2">
        <f t="shared" si="11"/>
        <v>229780.44223592317</v>
      </c>
    </row>
    <row r="133" spans="1:27" x14ac:dyDescent="0.25">
      <c r="A133" s="2">
        <v>2035</v>
      </c>
      <c r="B133" s="2">
        <f>B12/'Output-Calculation-sheet'!B11*'Output-Calculation-sheet'!B110</f>
        <v>558992946.3259995</v>
      </c>
      <c r="C133" s="2">
        <f>C12/'Output-Calculation-sheet'!C11*'Output-Calculation-sheet'!C110</f>
        <v>0</v>
      </c>
      <c r="D133" s="2">
        <f>D12/'Output-Calculation-sheet'!D11*'Output-Calculation-sheet'!D110</f>
        <v>47257974849.325203</v>
      </c>
      <c r="E133" s="2">
        <f>E12/'Output-Calculation-sheet'!E11*'Output-Calculation-sheet'!E110</f>
        <v>18140534755.752792</v>
      </c>
      <c r="F133" s="2">
        <f>F12/'Output-Calculation-sheet'!F11*'Output-Calculation-sheet'!F110</f>
        <v>24746836422.459202</v>
      </c>
      <c r="G133" s="2">
        <f>G12/'Output-Calculation-sheet'!G11*'Output-Calculation-sheet'!G110</f>
        <v>16869851454.26745</v>
      </c>
      <c r="H133" s="2">
        <f>H12/'Output-Calculation-sheet'!H11*'Output-Calculation-sheet'!H110</f>
        <v>0</v>
      </c>
      <c r="I133" s="2">
        <f>I12/'Output-Calculation-sheet'!I11*'Output-Calculation-sheet'!I110</f>
        <v>15760761677.827404</v>
      </c>
      <c r="J133" s="2">
        <f>J12/'Output-Calculation-sheet'!J11*'Output-Calculation-sheet'!J110</f>
        <v>15089186778.345398</v>
      </c>
      <c r="K133" s="2">
        <f>K12/'Output-Calculation-sheet'!K11*'Output-Calculation-sheet'!K110</f>
        <v>15241119418.65197</v>
      </c>
      <c r="L133" s="2">
        <f>L12/'Output-Calculation-sheet'!L11*'Output-Calculation-sheet'!L110</f>
        <v>7194747476.9036493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2625116451.7378545</v>
      </c>
      <c r="Q133" s="2">
        <f>Q12/'Output-Calculation-sheet'!Q11*'Output-Calculation-sheet'!Q110</f>
        <v>2251916886.0145655</v>
      </c>
      <c r="R133" s="2">
        <f>R12/'Output-Calculation-sheet'!R11*'Output-Calculation-sheet'!R110</f>
        <v>9054389367.9354992</v>
      </c>
      <c r="S133" s="2">
        <f>S12/'Output-Calculation-sheet'!S11*'Output-Calculation-sheet'!S110</f>
        <v>2329916.8770395839</v>
      </c>
      <c r="T133" s="2">
        <f>T12/'Output-Calculation-sheet'!T11*'Output-Calculation-sheet'!T110</f>
        <v>3655361638.3896537</v>
      </c>
      <c r="U133" s="2">
        <f>U12/'Output-Calculation-sheet'!U11*'Output-Calculation-sheet'!U110</f>
        <v>1716031961.1264873</v>
      </c>
      <c r="V133" s="2">
        <f>V12/'Output-Calculation-sheet'!V11*'Output-Calculation-sheet'!V110</f>
        <v>2465508971.5238729</v>
      </c>
      <c r="W133" s="2">
        <f>W12/'Output-Calculation-sheet'!W11*'Output-Calculation-sheet'!W110</f>
        <v>2126657047.4932945</v>
      </c>
      <c r="X133" s="2">
        <f>X12/'Output-Calculation-sheet'!X11*'Output-Calculation-sheet'!X110</f>
        <v>0</v>
      </c>
      <c r="Y133" s="2">
        <f>Y12/'Output-Calculation-sheet'!Y11*'Output-Calculation-sheet'!Y110</f>
        <v>486837639.4008007</v>
      </c>
      <c r="AA133" s="2">
        <f t="shared" si="11"/>
        <v>185244.15566035811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14502739888.935251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4559296112.0733986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3133992079.5413189</v>
      </c>
      <c r="N140" s="2">
        <f>N8/'Output-Calculation-sheet'!N7*'Output-Calculation-sheet'!N115</f>
        <v>1183206229.8731501</v>
      </c>
      <c r="O140" s="2">
        <f>O8/'Output-Calculation-sheet'!O7*'Output-Calculation-sheet'!O115</f>
        <v>3480586957.6867089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340313912.29338026</v>
      </c>
      <c r="Y140" s="2">
        <f>Y8/'Output-Calculation-sheet'!Y7*'Output-Calculation-sheet'!Y115</f>
        <v>0</v>
      </c>
      <c r="AA140" s="2">
        <f t="shared" si="12"/>
        <v>27200.135180403213</v>
      </c>
    </row>
    <row r="141" spans="1:27" x14ac:dyDescent="0.25">
      <c r="A141" s="2">
        <v>2032</v>
      </c>
      <c r="B141" s="2">
        <f>B9/'Output-Calculation-sheet'!B8*'Output-Calculation-sheet'!B116</f>
        <v>6072962050.1903667</v>
      </c>
      <c r="C141" s="2">
        <f>C9/'Output-Calculation-sheet'!C8*'Output-Calculation-sheet'!C116</f>
        <v>25995868431.368782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6777010169.2960835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4652974310.656271</v>
      </c>
      <c r="N141" s="2">
        <f>N9/'Output-Calculation-sheet'!N8*'Output-Calculation-sheet'!N116</f>
        <v>3230383624.6700749</v>
      </c>
      <c r="O141" s="2">
        <f>O9/'Output-Calculation-sheet'!O8*'Output-Calculation-sheet'!O116</f>
        <v>5045950846.9979897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1446921127.4520924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506459903.94294536</v>
      </c>
      <c r="Y141" s="2">
        <f>Y9/'Output-Calculation-sheet'!Y8*'Output-Calculation-sheet'!Y116</f>
        <v>0</v>
      </c>
      <c r="AA141" s="2">
        <f t="shared" si="12"/>
        <v>53728.530464574607</v>
      </c>
    </row>
    <row r="142" spans="1:27" x14ac:dyDescent="0.25">
      <c r="A142" s="2">
        <v>2033</v>
      </c>
      <c r="B142" s="2">
        <f>B10/'Output-Calculation-sheet'!B9*'Output-Calculation-sheet'!B117</f>
        <v>32284564386.595669</v>
      </c>
      <c r="C142" s="2">
        <f>C10/'Output-Calculation-sheet'!C9*'Output-Calculation-sheet'!C117</f>
        <v>34091165986.574276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10558285914.255548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7255517974.7511997</v>
      </c>
      <c r="N142" s="2">
        <f>N10/'Output-Calculation-sheet'!N9*'Output-Calculation-sheet'!N117</f>
        <v>5473213572.8660698</v>
      </c>
      <c r="O142" s="2">
        <f>O10/'Output-Calculation-sheet'!O9*'Output-Calculation-sheet'!O117</f>
        <v>6616662658.920166</v>
      </c>
      <c r="P142" s="2">
        <f>P10/'Output-Calculation-sheet'!P9*'Output-Calculation-sheet'!P117</f>
        <v>0</v>
      </c>
      <c r="Q142" s="2">
        <f>Q10/'Output-Calculation-sheet'!Q9*'Output-Calculation-sheet'!Q117</f>
        <v>1045306148.2660128</v>
      </c>
      <c r="R142" s="2">
        <f>R10/'Output-Calculation-sheet'!R9*'Output-Calculation-sheet'!R117</f>
        <v>0</v>
      </c>
      <c r="S142" s="2">
        <f>S10/'Output-Calculation-sheet'!S9*'Output-Calculation-sheet'!S117</f>
        <v>2661326854.566669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795407826.85987937</v>
      </c>
      <c r="Y142" s="2">
        <f>Y10/'Output-Calculation-sheet'!Y9*'Output-Calculation-sheet'!Y117</f>
        <v>0</v>
      </c>
      <c r="AA142" s="2">
        <f t="shared" si="12"/>
        <v>100781.45132365549</v>
      </c>
    </row>
    <row r="143" spans="1:27" x14ac:dyDescent="0.25">
      <c r="A143" s="2">
        <v>2034</v>
      </c>
      <c r="B143" s="2">
        <f>B11/'Output-Calculation-sheet'!B10*'Output-Calculation-sheet'!B118</f>
        <v>60769968530.407936</v>
      </c>
      <c r="C143" s="2">
        <f>C11/'Output-Calculation-sheet'!C10*'Output-Calculation-sheet'!C118</f>
        <v>46626112235.870361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12924990282.259714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8877027011.5752888</v>
      </c>
      <c r="N143" s="2">
        <f>N11/'Output-Calculation-sheet'!N10*'Output-Calculation-sheet'!N118</f>
        <v>7811071650.3953638</v>
      </c>
      <c r="O143" s="2">
        <f>O11/'Output-Calculation-sheet'!O10*'Output-Calculation-sheet'!O118</f>
        <v>9058158297.023489</v>
      </c>
      <c r="P143" s="2">
        <f>P11/'Output-Calculation-sheet'!P10*'Output-Calculation-sheet'!P118</f>
        <v>1635423735.8675644</v>
      </c>
      <c r="Q143" s="2">
        <f>Q11/'Output-Calculation-sheet'!Q10*'Output-Calculation-sheet'!Q118</f>
        <v>3838514247.7127891</v>
      </c>
      <c r="R143" s="2">
        <f>R11/'Output-Calculation-sheet'!R10*'Output-Calculation-sheet'!R118</f>
        <v>0</v>
      </c>
      <c r="S143" s="2">
        <f>S11/'Output-Calculation-sheet'!S10*'Output-Calculation-sheet'!S118</f>
        <v>4497606835.6749849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974562502.88722968</v>
      </c>
      <c r="Y143" s="2">
        <f>Y11/'Output-Calculation-sheet'!Y10*'Output-Calculation-sheet'!Y118</f>
        <v>173921413.69132787</v>
      </c>
      <c r="AA143" s="2">
        <f t="shared" si="12"/>
        <v>157187.35674336605</v>
      </c>
    </row>
    <row r="144" spans="1:27" x14ac:dyDescent="0.25">
      <c r="A144" s="2">
        <v>2035</v>
      </c>
      <c r="B144" s="2">
        <f>B12/'Output-Calculation-sheet'!B11*'Output-Calculation-sheet'!B119</f>
        <v>114546254143.01508</v>
      </c>
      <c r="C144" s="2">
        <f>C12/'Output-Calculation-sheet'!C11*'Output-Calculation-sheet'!C119</f>
        <v>55030566404.291779</v>
      </c>
      <c r="D144" s="2">
        <f>D12/'Output-Calculation-sheet'!D11*'Output-Calculation-sheet'!D119</f>
        <v>0</v>
      </c>
      <c r="E144" s="2">
        <f>E12/'Output-Calculation-sheet'!E11*'Output-Calculation-sheet'!E119</f>
        <v>18524025631.010777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16625696154.303146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3816868512.6413536</v>
      </c>
      <c r="M144" s="2">
        <f>M12/'Output-Calculation-sheet'!M11*'Output-Calculation-sheet'!M119</f>
        <v>11330924876.097851</v>
      </c>
      <c r="N144" s="2">
        <f>N12/'Output-Calculation-sheet'!N11*'Output-Calculation-sheet'!N119</f>
        <v>11195009143.226358</v>
      </c>
      <c r="O144" s="2">
        <f>O12/'Output-Calculation-sheet'!O11*'Output-Calculation-sheet'!O119</f>
        <v>10698007027.536333</v>
      </c>
      <c r="P144" s="2">
        <f>P12/'Output-Calculation-sheet'!P11*'Output-Calculation-sheet'!P119</f>
        <v>7991105026.6628685</v>
      </c>
      <c r="Q144" s="2">
        <f>Q12/'Output-Calculation-sheet'!Q11*'Output-Calculation-sheet'!Q119</f>
        <v>7549207267.7818832</v>
      </c>
      <c r="R144" s="2">
        <f>R12/'Output-Calculation-sheet'!R11*'Output-Calculation-sheet'!R119</f>
        <v>849852828.82358682</v>
      </c>
      <c r="S144" s="2">
        <f>S12/'Output-Calculation-sheet'!S11*'Output-Calculation-sheet'!S119</f>
        <v>6451879116.7822332</v>
      </c>
      <c r="T144" s="2">
        <f>T12/'Output-Calculation-sheet'!T11*'Output-Calculation-sheet'!T119</f>
        <v>0</v>
      </c>
      <c r="U144" s="2">
        <f>U12/'Output-Calculation-sheet'!U11*'Output-Calculation-sheet'!U119</f>
        <v>1403527381.3365831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1271616427.2708144</v>
      </c>
      <c r="Y144" s="2">
        <f>Y12/'Output-Calculation-sheet'!Y11*'Output-Calculation-sheet'!Y119</f>
        <v>680515406.03809536</v>
      </c>
      <c r="AA144" s="2">
        <f t="shared" si="12"/>
        <v>267965.0553468187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496036524.99174684</v>
      </c>
      <c r="C155" s="2">
        <f>C12/'Output-Calculation-sheet'!C11*'Output-Calculation-sheet'!C128</f>
        <v>47389147.709347717</v>
      </c>
      <c r="D155" s="2">
        <f>D12/'Output-Calculation-sheet'!D11*'Output-Calculation-sheet'!D128</f>
        <v>3549991308.1496387</v>
      </c>
      <c r="E155" s="2">
        <f>E12/'Output-Calculation-sheet'!E11*'Output-Calculation-sheet'!E128</f>
        <v>529261165.19740468</v>
      </c>
      <c r="F155" s="2">
        <f>F12/'Output-Calculation-sheet'!F11*'Output-Calculation-sheet'!F128</f>
        <v>1096408381.2943747</v>
      </c>
      <c r="G155" s="2">
        <f>G12/'Output-Calculation-sheet'!G11*'Output-Calculation-sheet'!G128</f>
        <v>1379423158.869082</v>
      </c>
      <c r="H155" s="2">
        <f>H12/'Output-Calculation-sheet'!H11*'Output-Calculation-sheet'!H128</f>
        <v>104536112.34833322</v>
      </c>
      <c r="I155" s="2">
        <f>I12/'Output-Calculation-sheet'!I11*'Output-Calculation-sheet'!I128</f>
        <v>829374164.21749091</v>
      </c>
      <c r="J155" s="2">
        <f>J12/'Output-Calculation-sheet'!J11*'Output-Calculation-sheet'!J128</f>
        <v>933210127.17711973</v>
      </c>
      <c r="K155" s="2">
        <f>K12/'Output-Calculation-sheet'!K11*'Output-Calculation-sheet'!K128</f>
        <v>699553663.17819536</v>
      </c>
      <c r="L155" s="2">
        <f>L12/'Output-Calculation-sheet'!L11*'Output-Calculation-sheet'!L128</f>
        <v>221976601.37659961</v>
      </c>
      <c r="M155" s="2">
        <f>M12/'Output-Calculation-sheet'!M11*'Output-Calculation-sheet'!M128</f>
        <v>83106943.494255111</v>
      </c>
      <c r="N155" s="2">
        <f>N12/'Output-Calculation-sheet'!N11*'Output-Calculation-sheet'!N128</f>
        <v>75959315.809002101</v>
      </c>
      <c r="O155" s="2">
        <f>O12/'Output-Calculation-sheet'!O11*'Output-Calculation-sheet'!O128</f>
        <v>13418738.402210377</v>
      </c>
      <c r="P155" s="2">
        <f>P12/'Output-Calculation-sheet'!P11*'Output-Calculation-sheet'!P128</f>
        <v>56556142.121718243</v>
      </c>
      <c r="Q155" s="2">
        <f>Q12/'Output-Calculation-sheet'!Q11*'Output-Calculation-sheet'!Q128</f>
        <v>191326017.12724331</v>
      </c>
      <c r="R155" s="2">
        <f>R12/'Output-Calculation-sheet'!R11*'Output-Calculation-sheet'!R128</f>
        <v>387438013.85485715</v>
      </c>
      <c r="S155" s="2">
        <f>S12/'Output-Calculation-sheet'!S11*'Output-Calculation-sheet'!S128</f>
        <v>46577468.187029488</v>
      </c>
      <c r="T155" s="2">
        <f>T12/'Output-Calculation-sheet'!T11*'Output-Calculation-sheet'!T128</f>
        <v>120956297.53317797</v>
      </c>
      <c r="U155" s="2">
        <f>U12/'Output-Calculation-sheet'!U11*'Output-Calculation-sheet'!U128</f>
        <v>66577094.381014898</v>
      </c>
      <c r="V155" s="2">
        <f>V12/'Output-Calculation-sheet'!V11*'Output-Calculation-sheet'!V128</f>
        <v>49597247.17646227</v>
      </c>
      <c r="W155" s="2">
        <f>W12/'Output-Calculation-sheet'!W11*'Output-Calculation-sheet'!W128</f>
        <v>80167669.827573389</v>
      </c>
      <c r="X155" s="2">
        <f>X12/'Output-Calculation-sheet'!X11*'Output-Calculation-sheet'!X128</f>
        <v>2503811.0982888057</v>
      </c>
      <c r="Y155" s="2">
        <f>Y12/'Output-Calculation-sheet'!Y11*'Output-Calculation-sheet'!Y128</f>
        <v>16792628.809760544</v>
      </c>
      <c r="AA155" s="2">
        <f t="shared" si="13"/>
        <v>11078.137742331928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4840.2442010070508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1466.1681710323285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1018.4586226652406</v>
      </c>
      <c r="N19" s="2">
        <f>N8/'Output-Calculation-sheet'!N7*'Output-Calculation-sheet'!N25</f>
        <v>847.23722196090546</v>
      </c>
      <c r="O19" s="2">
        <f>O8/'Output-Calculation-sheet'!O7*'Output-Calculation-sheet'!O25</f>
        <v>531.73293564595906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110.22555366000988</v>
      </c>
      <c r="Y19" s="2">
        <f>Y8/'Output-Calculation-sheet'!Y7*'Output-Calculation-sheet'!Y25</f>
        <v>0</v>
      </c>
      <c r="AA19" s="2">
        <f t="shared" si="0"/>
        <v>10.234641760837869</v>
      </c>
    </row>
    <row r="20" spans="1:27" x14ac:dyDescent="0.25">
      <c r="A20" s="2">
        <v>2032</v>
      </c>
      <c r="B20" s="2">
        <f>B9/'Output-Calculation-sheet'!B8*'Output-Calculation-sheet'!B26</f>
        <v>4635.7682184034638</v>
      </c>
      <c r="C20" s="2">
        <f>C9/'Output-Calculation-sheet'!C8*'Output-Calculation-sheet'!C26</f>
        <v>2542.1421149929674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1526.0604639006162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1066.4215841736655</v>
      </c>
      <c r="N20" s="2">
        <f>N9/'Output-Calculation-sheet'!N8*'Output-Calculation-sheet'!N26</f>
        <v>739.05921766076085</v>
      </c>
      <c r="O20" s="2">
        <f>O9/'Output-Calculation-sheet'!O8*'Output-Calculation-sheet'!O26</f>
        <v>496.68745802090996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350.57511317580077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116.04224337120179</v>
      </c>
      <c r="Y20" s="2">
        <f>Y9/'Output-Calculation-sheet'!Y8*'Output-Calculation-sheet'!Y26</f>
        <v>0</v>
      </c>
      <c r="AA20" s="2">
        <f t="shared" si="0"/>
        <v>11.472756413699386</v>
      </c>
    </row>
    <row r="21" spans="1:27" x14ac:dyDescent="0.25">
      <c r="A21" s="2">
        <v>2033</v>
      </c>
      <c r="B21" s="2">
        <f>B10/'Output-Calculation-sheet'!B9*'Output-Calculation-sheet'!B27</f>
        <v>3758.4210108407856</v>
      </c>
      <c r="C21" s="2">
        <f>C10/'Output-Calculation-sheet'!C9*'Output-Calculation-sheet'!C27</f>
        <v>2310.0846104222792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757.42313246300296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536.11034138746845</v>
      </c>
      <c r="N21" s="2">
        <f>N10/'Output-Calculation-sheet'!N9*'Output-Calculation-sheet'!N27</f>
        <v>542.91749085906804</v>
      </c>
      <c r="O21" s="2">
        <f>O10/'Output-Calculation-sheet'!O9*'Output-Calculation-sheet'!O27</f>
        <v>452.26504017903284</v>
      </c>
      <c r="P21" s="2">
        <f>P10/'Output-Calculation-sheet'!P9*'Output-Calculation-sheet'!P27</f>
        <v>0</v>
      </c>
      <c r="Q21" s="2">
        <f>Q10/'Output-Calculation-sheet'!Q9*'Output-Calculation-sheet'!Q27</f>
        <v>6.4097867898626539</v>
      </c>
      <c r="R21" s="2">
        <f>R10/'Output-Calculation-sheet'!R9*'Output-Calculation-sheet'!R27</f>
        <v>0</v>
      </c>
      <c r="S21" s="2">
        <f>S10/'Output-Calculation-sheet'!S9*'Output-Calculation-sheet'!S27</f>
        <v>258.51720796611181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53.532921642767988</v>
      </c>
      <c r="Y21" s="2">
        <f>Y10/'Output-Calculation-sheet'!Y9*'Output-Calculation-sheet'!Y27</f>
        <v>0</v>
      </c>
      <c r="AA21" s="2">
        <f t="shared" si="0"/>
        <v>8.675681542550377</v>
      </c>
    </row>
    <row r="22" spans="1:27" x14ac:dyDescent="0.25">
      <c r="A22" s="2">
        <v>2034</v>
      </c>
      <c r="B22" s="2">
        <f>B11/'Output-Calculation-sheet'!B10*'Output-Calculation-sheet'!B28</f>
        <v>2635.7591188595275</v>
      </c>
      <c r="C22" s="2">
        <f>C11/'Output-Calculation-sheet'!C10*'Output-Calculation-sheet'!C28</f>
        <v>266.0694511647888</v>
      </c>
      <c r="D22" s="2">
        <f>D11/'Output-Calculation-sheet'!D10*'Output-Calculation-sheet'!D28</f>
        <v>0</v>
      </c>
      <c r="E22" s="2">
        <f>E11/'Output-Calculation-sheet'!E10*'Output-Calculation-sheet'!E28</f>
        <v>883.4943493137223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700.58171057286904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535.8234984462207</v>
      </c>
      <c r="M22" s="2">
        <f>M11/'Output-Calculation-sheet'!M10*'Output-Calculation-sheet'!M28</f>
        <v>498.60133301964993</v>
      </c>
      <c r="N22" s="2">
        <f>N11/'Output-Calculation-sheet'!N10*'Output-Calculation-sheet'!N28</f>
        <v>333.31783573485797</v>
      </c>
      <c r="O22" s="2">
        <f>O11/'Output-Calculation-sheet'!O10*'Output-Calculation-sheet'!O28</f>
        <v>52.190142069171571</v>
      </c>
      <c r="P22" s="2">
        <f>P11/'Output-Calculation-sheet'!P10*'Output-Calculation-sheet'!P28</f>
        <v>0</v>
      </c>
      <c r="Q22" s="2">
        <f>Q11/'Output-Calculation-sheet'!Q10*'Output-Calculation-sheet'!Q28</f>
        <v>158.01301028423654</v>
      </c>
      <c r="R22" s="2">
        <f>R11/'Output-Calculation-sheet'!R10*'Output-Calculation-sheet'!R28</f>
        <v>0</v>
      </c>
      <c r="S22" s="2">
        <f>S11/'Output-Calculation-sheet'!S10*'Output-Calculation-sheet'!S28</f>
        <v>124.80477225079758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48.991052509020818</v>
      </c>
      <c r="Y22" s="2">
        <f>Y11/'Output-Calculation-sheet'!Y10*'Output-Calculation-sheet'!Y28</f>
        <v>9.3182438178436211</v>
      </c>
      <c r="AA22" s="2">
        <f t="shared" si="0"/>
        <v>6.2469645180427067</v>
      </c>
    </row>
    <row r="23" spans="1:27" x14ac:dyDescent="0.25">
      <c r="A23" s="2">
        <v>2035</v>
      </c>
      <c r="B23" s="2">
        <f>B12/'Output-Calculation-sheet'!B11*'Output-Calculation-sheet'!B29</f>
        <v>659.47082931643558</v>
      </c>
      <c r="C23" s="2">
        <f>C12/'Output-Calculation-sheet'!C11*'Output-Calculation-sheet'!C29</f>
        <v>113.41620674424415</v>
      </c>
      <c r="D23" s="2">
        <f>D12/'Output-Calculation-sheet'!D11*'Output-Calculation-sheet'!D29</f>
        <v>0</v>
      </c>
      <c r="E23" s="2">
        <f>E12/'Output-Calculation-sheet'!E11*'Output-Calculation-sheet'!E29</f>
        <v>923.40686367454225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176.88828727364952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558.82598225742322</v>
      </c>
      <c r="M23" s="2">
        <f>M12/'Output-Calculation-sheet'!M11*'Output-Calculation-sheet'!M29</f>
        <v>159.55917757921151</v>
      </c>
      <c r="N23" s="2">
        <f>N12/'Output-Calculation-sheet'!N11*'Output-Calculation-sheet'!N29</f>
        <v>133.77434221741322</v>
      </c>
      <c r="O23" s="2">
        <f>O12/'Output-Calculation-sheet'!O11*'Output-Calculation-sheet'!O29</f>
        <v>19.33048962804649</v>
      </c>
      <c r="P23" s="2">
        <f>P12/'Output-Calculation-sheet'!P11*'Output-Calculation-sheet'!P29</f>
        <v>8.5662596319535176</v>
      </c>
      <c r="Q23" s="2">
        <f>Q12/'Output-Calculation-sheet'!Q11*'Output-Calculation-sheet'!Q29</f>
        <v>172.47184699947357</v>
      </c>
      <c r="R23" s="2">
        <f>R12/'Output-Calculation-sheet'!R11*'Output-Calculation-sheet'!R29</f>
        <v>0</v>
      </c>
      <c r="S23" s="2">
        <f>S12/'Output-Calculation-sheet'!S11*'Output-Calculation-sheet'!S29</f>
        <v>65.500122530647744</v>
      </c>
      <c r="T23" s="2">
        <f>T12/'Output-Calculation-sheet'!T11*'Output-Calculation-sheet'!T29</f>
        <v>0</v>
      </c>
      <c r="U23" s="2">
        <f>U12/'Output-Calculation-sheet'!U11*'Output-Calculation-sheet'!U29</f>
        <v>46.961884457886448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5.6590983260841181</v>
      </c>
      <c r="Y23" s="2">
        <f>Y12/'Output-Calculation-sheet'!Y11*'Output-Calculation-sheet'!Y29</f>
        <v>30.327812707821757</v>
      </c>
      <c r="AA23" s="2">
        <f t="shared" si="0"/>
        <v>3.0741592033448328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965.8325113824003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37.867833715672027</v>
      </c>
    </row>
    <row r="31" spans="1:27" x14ac:dyDescent="0.25">
      <c r="A31" s="2">
        <v>2032</v>
      </c>
      <c r="B31" s="2">
        <f>B9/'Output-Calculation-sheet'!B8*'Output-Calculation-sheet'!B17</f>
        <v>19490.689202054684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762.10648940850388</v>
      </c>
      <c r="O31" s="2">
        <f>O9/'Output-Calculation-sheet'!O8*'Output-Calculation-sheet'!O17</f>
        <v>0</v>
      </c>
      <c r="P31" s="2">
        <f>P9/'Output-Calculation-sheet'!P8*'Output-Calculation-sheet'!P17</f>
        <v>1905.2713498675885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630.77098409386554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44.6559916898062</v>
      </c>
    </row>
    <row r="32" spans="1:27" x14ac:dyDescent="0.25">
      <c r="A32" s="2">
        <v>2033</v>
      </c>
      <c r="B32" s="2">
        <f>B10/'Output-Calculation-sheet'!B9*'Output-Calculation-sheet'!B18</f>
        <v>13595.202463490516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2128.5177319931131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550.2684220302408</v>
      </c>
      <c r="O32" s="2">
        <f>O10/'Output-Calculation-sheet'!O9*'Output-Calculation-sheet'!O18</f>
        <v>0</v>
      </c>
      <c r="P32" s="2">
        <f>P10/'Output-Calculation-sheet'!P9*'Output-Calculation-sheet'!P18</f>
        <v>2190.6701360551842</v>
      </c>
      <c r="Q32" s="2">
        <f>Q10/'Output-Calculation-sheet'!Q9*'Output-Calculation-sheet'!Q18</f>
        <v>2028.2576597105922</v>
      </c>
      <c r="R32" s="2">
        <f>R10/'Output-Calculation-sheet'!R9*'Output-Calculation-sheet'!R18</f>
        <v>1573.062870108492</v>
      </c>
      <c r="S32" s="2">
        <f>S10/'Output-Calculation-sheet'!S9*'Output-Calculation-sheet'!S18</f>
        <v>500.58161502267137</v>
      </c>
      <c r="T32" s="2">
        <f>T10/'Output-Calculation-sheet'!T9*'Output-Calculation-sheet'!T18</f>
        <v>459.28674075475618</v>
      </c>
      <c r="U32" s="2">
        <f>U10/'Output-Calculation-sheet'!U9*'Output-Calculation-sheet'!U18</f>
        <v>507.73681677874185</v>
      </c>
      <c r="V32" s="2">
        <f>V10/'Output-Calculation-sheet'!V9*'Output-Calculation-sheet'!V18</f>
        <v>374.77825335721428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216.96709479338378</v>
      </c>
      <c r="AA32" s="2">
        <f t="shared" si="1"/>
        <v>43.220406627418583</v>
      </c>
    </row>
    <row r="33" spans="1:27" x14ac:dyDescent="0.25">
      <c r="A33" s="2">
        <v>2034</v>
      </c>
      <c r="B33" s="2">
        <f>B11/'Output-Calculation-sheet'!B10*'Output-Calculation-sheet'!B19</f>
        <v>7974.8947657410727</v>
      </c>
      <c r="C33" s="2">
        <f>C11/'Output-Calculation-sheet'!C10*'Output-Calculation-sheet'!C19</f>
        <v>0</v>
      </c>
      <c r="D33" s="2">
        <f>D11/'Output-Calculation-sheet'!D10*'Output-Calculation-sheet'!D19</f>
        <v>5303.1556719672662</v>
      </c>
      <c r="E33" s="2">
        <f>E11/'Output-Calculation-sheet'!E10*'Output-Calculation-sheet'!E19</f>
        <v>6573.8281741244828</v>
      </c>
      <c r="F33" s="2">
        <f>F11/'Output-Calculation-sheet'!F10*'Output-Calculation-sheet'!F19</f>
        <v>3010.0419868462077</v>
      </c>
      <c r="G33" s="2">
        <f>G11/'Output-Calculation-sheet'!G10*'Output-Calculation-sheet'!G19</f>
        <v>1805.0082739454972</v>
      </c>
      <c r="H33" s="2">
        <f>H11/'Output-Calculation-sheet'!H10*'Output-Calculation-sheet'!H19</f>
        <v>0</v>
      </c>
      <c r="I33" s="2">
        <f>I11/'Output-Calculation-sheet'!I10*'Output-Calculation-sheet'!I19</f>
        <v>1969.7736920259508</v>
      </c>
      <c r="J33" s="2">
        <f>J11/'Output-Calculation-sheet'!J10*'Output-Calculation-sheet'!J19</f>
        <v>1665.3816927090966</v>
      </c>
      <c r="K33" s="2">
        <f>K11/'Output-Calculation-sheet'!K10*'Output-Calculation-sheet'!K19</f>
        <v>2310.2426067705587</v>
      </c>
      <c r="L33" s="2">
        <f>L11/'Output-Calculation-sheet'!L10*'Output-Calculation-sheet'!L19</f>
        <v>1878.9262991663998</v>
      </c>
      <c r="M33" s="2">
        <f>M11/'Output-Calculation-sheet'!M10*'Output-Calculation-sheet'!M19</f>
        <v>0</v>
      </c>
      <c r="N33" s="2">
        <f>N11/'Output-Calculation-sheet'!N10*'Output-Calculation-sheet'!N19</f>
        <v>356.65795007103679</v>
      </c>
      <c r="O33" s="2">
        <f>O11/'Output-Calculation-sheet'!O10*'Output-Calculation-sheet'!O19</f>
        <v>0</v>
      </c>
      <c r="P33" s="2">
        <f>P11/'Output-Calculation-sheet'!P10*'Output-Calculation-sheet'!P19</f>
        <v>1765.5149655748421</v>
      </c>
      <c r="Q33" s="2">
        <f>Q11/'Output-Calculation-sheet'!Q10*'Output-Calculation-sheet'!Q19</f>
        <v>1141.3005581255832</v>
      </c>
      <c r="R33" s="2">
        <f>R11/'Output-Calculation-sheet'!R10*'Output-Calculation-sheet'!R19</f>
        <v>1669.3171305583751</v>
      </c>
      <c r="S33" s="2">
        <f>S11/'Output-Calculation-sheet'!S10*'Output-Calculation-sheet'!S19</f>
        <v>226.72712200830415</v>
      </c>
      <c r="T33" s="2">
        <f>T11/'Output-Calculation-sheet'!T10*'Output-Calculation-sheet'!T19</f>
        <v>489.60179288656389</v>
      </c>
      <c r="U33" s="2">
        <f>U11/'Output-Calculation-sheet'!U10*'Output-Calculation-sheet'!U19</f>
        <v>563.18819734360693</v>
      </c>
      <c r="V33" s="2">
        <f>V11/'Output-Calculation-sheet'!V10*'Output-Calculation-sheet'!V19</f>
        <v>384.05158171203044</v>
      </c>
      <c r="W33" s="2">
        <f>W11/'Output-Calculation-sheet'!W10*'Output-Calculation-sheet'!W19</f>
        <v>239.09727291052937</v>
      </c>
      <c r="X33" s="2">
        <f>X11/'Output-Calculation-sheet'!X10*'Output-Calculation-sheet'!X19</f>
        <v>0</v>
      </c>
      <c r="Y33" s="2">
        <f>Y11/'Output-Calculation-sheet'!Y10*'Output-Calculation-sheet'!Y19</f>
        <v>182.56176953887407</v>
      </c>
      <c r="AA33" s="2">
        <f t="shared" si="1"/>
        <v>39.50927150402628</v>
      </c>
    </row>
    <row r="34" spans="1:27" x14ac:dyDescent="0.25">
      <c r="A34" s="2">
        <v>2035</v>
      </c>
      <c r="B34" s="2">
        <f>B12/'Output-Calculation-sheet'!B11*'Output-Calculation-sheet'!B20</f>
        <v>94.008422566914376</v>
      </c>
      <c r="C34" s="2">
        <f>C12/'Output-Calculation-sheet'!C11*'Output-Calculation-sheet'!C20</f>
        <v>0</v>
      </c>
      <c r="D34" s="2">
        <f>D12/'Output-Calculation-sheet'!D11*'Output-Calculation-sheet'!D20</f>
        <v>4657.6840015869329</v>
      </c>
      <c r="E34" s="2">
        <f>E12/'Output-Calculation-sheet'!E11*'Output-Calculation-sheet'!E20</f>
        <v>1877.0006423508439</v>
      </c>
      <c r="F34" s="2">
        <f>F12/'Output-Calculation-sheet'!F11*'Output-Calculation-sheet'!F20</f>
        <v>3077.1011033242612</v>
      </c>
      <c r="G34" s="2">
        <f>G12/'Output-Calculation-sheet'!G11*'Output-Calculation-sheet'!G20</f>
        <v>1539.6718599502206</v>
      </c>
      <c r="H34" s="2">
        <f>H12/'Output-Calculation-sheet'!H11*'Output-Calculation-sheet'!H20</f>
        <v>0</v>
      </c>
      <c r="I34" s="2">
        <f>I12/'Output-Calculation-sheet'!I11*'Output-Calculation-sheet'!I20</f>
        <v>1866.4264153330989</v>
      </c>
      <c r="J34" s="2">
        <f>J12/'Output-Calculation-sheet'!J11*'Output-Calculation-sheet'!J20</f>
        <v>1564.0398677318733</v>
      </c>
      <c r="K34" s="2">
        <f>K12/'Output-Calculation-sheet'!K11*'Output-Calculation-sheet'!K20</f>
        <v>2206.6332279911403</v>
      </c>
      <c r="L34" s="2">
        <f>L12/'Output-Calculation-sheet'!L11*'Output-Calculation-sheet'!L20</f>
        <v>842.92747859163694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355.45560879626174</v>
      </c>
      <c r="Q34" s="2">
        <f>Q12/'Output-Calculation-sheet'!Q11*'Output-Calculation-sheet'!Q20</f>
        <v>345.52782137221777</v>
      </c>
      <c r="R34" s="2">
        <f>R12/'Output-Calculation-sheet'!R11*'Output-Calculation-sheet'!R20</f>
        <v>1391.7441220230744</v>
      </c>
      <c r="S34" s="2">
        <f>S12/'Output-Calculation-sheet'!S11*'Output-Calculation-sheet'!S20</f>
        <v>0.4348864060619525</v>
      </c>
      <c r="T34" s="2">
        <f>T12/'Output-Calculation-sheet'!T11*'Output-Calculation-sheet'!T20</f>
        <v>457.42937548344565</v>
      </c>
      <c r="U34" s="2">
        <f>U12/'Output-Calculation-sheet'!U11*'Output-Calculation-sheet'!U20</f>
        <v>192.59753454862289</v>
      </c>
      <c r="V34" s="2">
        <f>V12/'Output-Calculation-sheet'!V11*'Output-Calculation-sheet'!V20</f>
        <v>413.48441551258031</v>
      </c>
      <c r="W34" s="2">
        <f>W12/'Output-Calculation-sheet'!W11*'Output-Calculation-sheet'!W20</f>
        <v>244.88007428129461</v>
      </c>
      <c r="X34" s="2">
        <f>X12/'Output-Calculation-sheet'!X11*'Output-Calculation-sheet'!X20</f>
        <v>0</v>
      </c>
      <c r="Y34" s="2">
        <f>Y12/'Output-Calculation-sheet'!Y11*'Output-Calculation-sheet'!Y20</f>
        <v>52.078379434043974</v>
      </c>
      <c r="AA34" s="2">
        <f t="shared" si="1"/>
        <v>21.179125237284531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4.0284557333340153E-2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5.5026404352437087E-3</v>
      </c>
      <c r="Q45" s="2">
        <f>Q12/'Output-Calculation-sheet'!Q11*'Output-Calculation-sheet'!Q38*0.0114</f>
        <v>5.218692833295728E-3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4.9952303964833841E-3</v>
      </c>
      <c r="V45" s="2">
        <f>V12/'Output-Calculation-sheet'!V11*'Output-Calculation-sheet'!V38*0.0114</f>
        <v>2.5678393425221792E-3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1.9247392659783999E-3</v>
      </c>
      <c r="AA45" s="2">
        <f t="shared" si="2"/>
        <v>0.45590045711714561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0.1242718199359522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139.46757688275133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0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13.013354948313468</v>
      </c>
      <c r="AA54" s="2">
        <f t="shared" si="3"/>
        <v>3.4354743415479105</v>
      </c>
    </row>
    <row r="55" spans="1:27" x14ac:dyDescent="0.25">
      <c r="A55" s="2">
        <v>2034</v>
      </c>
      <c r="B55" s="2">
        <f>B11/'Output-Calculation-sheet'!B10*'Output-Calculation-sheet'!B46</f>
        <v>1041.9777454667694</v>
      </c>
      <c r="C55" s="2">
        <f>C11/'Output-Calculation-sheet'!C10*'Output-Calculation-sheet'!C46</f>
        <v>0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355.21926891457503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263.28110256345303</v>
      </c>
      <c r="N55" s="2">
        <f>N11/'Output-Calculation-sheet'!N10*'Output-Calculation-sheet'!N46</f>
        <v>89.914864815157458</v>
      </c>
      <c r="O55" s="2">
        <f>O11/'Output-Calculation-sheet'!O10*'Output-Calculation-sheet'!O46</f>
        <v>0</v>
      </c>
      <c r="P55" s="2">
        <f>P11/'Output-Calculation-sheet'!P10*'Output-Calculation-sheet'!P46</f>
        <v>1955.527708690727</v>
      </c>
      <c r="Q55" s="2">
        <f>Q11/'Output-Calculation-sheet'!Q10*'Output-Calculation-sheet'!Q46</f>
        <v>377.65900858020581</v>
      </c>
      <c r="R55" s="2">
        <f>R11/'Output-Calculation-sheet'!R10*'Output-Calculation-sheet'!R46</f>
        <v>2421.8567996070069</v>
      </c>
      <c r="S55" s="2">
        <f>S11/'Output-Calculation-sheet'!S10*'Output-Calculation-sheet'!S46</f>
        <v>0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920.22051983817869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25.128527656216157</v>
      </c>
      <c r="Y55" s="2">
        <f>Y11/'Output-Calculation-sheet'!Y10*'Output-Calculation-sheet'!Y46</f>
        <v>130.48897832015481</v>
      </c>
      <c r="AA55" s="2">
        <f t="shared" si="3"/>
        <v>26.073574903608481</v>
      </c>
    </row>
    <row r="56" spans="1:27" x14ac:dyDescent="0.25">
      <c r="A56" s="2">
        <v>2035</v>
      </c>
      <c r="B56" s="2">
        <f>B12/'Output-Calculation-sheet'!B11*'Output-Calculation-sheet'!B47</f>
        <v>259.10747585660954</v>
      </c>
      <c r="C56" s="2">
        <f>C12/'Output-Calculation-sheet'!C11*'Output-Calculation-sheet'!C47</f>
        <v>195.76154295311008</v>
      </c>
      <c r="D56" s="2">
        <f>D12/'Output-Calculation-sheet'!D11*'Output-Calculation-sheet'!D47</f>
        <v>9248.5825656087491</v>
      </c>
      <c r="E56" s="2">
        <f>E12/'Output-Calculation-sheet'!E11*'Output-Calculation-sheet'!E47</f>
        <v>4244.0134523983788</v>
      </c>
      <c r="F56" s="2">
        <f>F12/'Output-Calculation-sheet'!F11*'Output-Calculation-sheet'!F47</f>
        <v>2175.8030333255219</v>
      </c>
      <c r="G56" s="2">
        <f>G12/'Output-Calculation-sheet'!G11*'Output-Calculation-sheet'!G47</f>
        <v>3493.9271681925038</v>
      </c>
      <c r="H56" s="2">
        <f>H12/'Output-Calculation-sheet'!H11*'Output-Calculation-sheet'!H47</f>
        <v>75.713134574691551</v>
      </c>
      <c r="I56" s="2">
        <f>I12/'Output-Calculation-sheet'!I11*'Output-Calculation-sheet'!I47</f>
        <v>3182.7414073417863</v>
      </c>
      <c r="J56" s="2">
        <f>J12/'Output-Calculation-sheet'!J11*'Output-Calculation-sheet'!J47</f>
        <v>2745.9223153955618</v>
      </c>
      <c r="K56" s="2">
        <f>K12/'Output-Calculation-sheet'!K11*'Output-Calculation-sheet'!K47</f>
        <v>3703.4161263635551</v>
      </c>
      <c r="L56" s="2">
        <f>L12/'Output-Calculation-sheet'!L11*'Output-Calculation-sheet'!L47</f>
        <v>1650.9413320025874</v>
      </c>
      <c r="M56" s="2">
        <f>M12/'Output-Calculation-sheet'!M11*'Output-Calculation-sheet'!M47</f>
        <v>70.172822998633706</v>
      </c>
      <c r="N56" s="2">
        <f>N12/'Output-Calculation-sheet'!N11*'Output-Calculation-sheet'!N47</f>
        <v>47.546469173054263</v>
      </c>
      <c r="O56" s="2">
        <f>O12/'Output-Calculation-sheet'!O11*'Output-Calculation-sheet'!O47</f>
        <v>35.593142885723502</v>
      </c>
      <c r="P56" s="2">
        <f>P12/'Output-Calculation-sheet'!P11*'Output-Calculation-sheet'!P47</f>
        <v>371.66957325768908</v>
      </c>
      <c r="Q56" s="2">
        <f>Q12/'Output-Calculation-sheet'!Q11*'Output-Calculation-sheet'!Q47</f>
        <v>353.86399650329804</v>
      </c>
      <c r="R56" s="2">
        <f>R12/'Output-Calculation-sheet'!R11*'Output-Calculation-sheet'!R47</f>
        <v>2610.8115045667478</v>
      </c>
      <c r="S56" s="2">
        <f>S12/'Output-Calculation-sheet'!S11*'Output-Calculation-sheet'!S47</f>
        <v>24.859209161943564</v>
      </c>
      <c r="T56" s="2">
        <f>T12/'Output-Calculation-sheet'!T11*'Output-Calculation-sheet'!T47</f>
        <v>1143.0930910388565</v>
      </c>
      <c r="U56" s="2">
        <f>U12/'Output-Calculation-sheet'!U11*'Output-Calculation-sheet'!U47</f>
        <v>459.79489146578049</v>
      </c>
      <c r="V56" s="2">
        <f>V12/'Output-Calculation-sheet'!V11*'Output-Calculation-sheet'!V47</f>
        <v>620.4485499102932</v>
      </c>
      <c r="W56" s="2">
        <f>W12/'Output-Calculation-sheet'!W11*'Output-Calculation-sheet'!W47</f>
        <v>332.2681610360612</v>
      </c>
      <c r="X56" s="2">
        <f>X12/'Output-Calculation-sheet'!X11*'Output-Calculation-sheet'!X47</f>
        <v>5.3653456516559537</v>
      </c>
      <c r="Y56" s="2">
        <f>Y12/'Output-Calculation-sheet'!Y11*'Output-Calculation-sheet'!Y47</f>
        <v>108.89972162772526</v>
      </c>
      <c r="AA56" s="2">
        <f t="shared" si="3"/>
        <v>37.160316033290528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6.9837540571270136</v>
      </c>
      <c r="C63" s="2">
        <f>C8*'Output-Calculation-sheet'!C52/10^9</f>
        <v>3.7310805950497636</v>
      </c>
      <c r="D63" s="2">
        <f>D8*'Output-Calculation-sheet'!D52/10^9</f>
        <v>2.3948789295660422</v>
      </c>
      <c r="E63" s="2">
        <f>E8*'Output-Calculation-sheet'!E52/10^9</f>
        <v>2.3811520541740103</v>
      </c>
      <c r="F63" s="2">
        <f>F8*'Output-Calculation-sheet'!F52/10^9</f>
        <v>1.0084176980938624</v>
      </c>
      <c r="G63" s="2">
        <f>G8*'Output-Calculation-sheet'!G52/10^9</f>
        <v>0.72500676850808432</v>
      </c>
      <c r="H63" s="2">
        <f>H8*'Output-Calculation-sheet'!H52/10^9</f>
        <v>1.1791538594130211</v>
      </c>
      <c r="I63" s="2">
        <f>I8*'Output-Calculation-sheet'!I52/10^9</f>
        <v>0.67442461407586107</v>
      </c>
      <c r="J63" s="2">
        <f>J8*'Output-Calculation-sheet'!J52/10^9</f>
        <v>0.92805398277145001</v>
      </c>
      <c r="K63" s="2">
        <f>K8*'Output-Calculation-sheet'!K52/10^9</f>
        <v>0.81537796689206998</v>
      </c>
      <c r="L63" s="2">
        <f>L8*'Output-Calculation-sheet'!L52/10^9</f>
        <v>1.0967225967275478</v>
      </c>
      <c r="M63" s="2">
        <f>M8*'Output-Calculation-sheet'!M52/10^9</f>
        <v>0.96600171048638017</v>
      </c>
      <c r="N63" s="2">
        <f>N8*'Output-Calculation-sheet'!N52/10^9</f>
        <v>0.85235647804337322</v>
      </c>
      <c r="O63" s="2">
        <f>O8*'Output-Calculation-sheet'!O52/10^9</f>
        <v>0.76334688064472755</v>
      </c>
      <c r="P63" s="2">
        <f>P8*'Output-Calculation-sheet'!P52/10^9</f>
        <v>0.56340418030611672</v>
      </c>
      <c r="Q63" s="2">
        <f>Q8*'Output-Calculation-sheet'!Q52/10^9</f>
        <v>0.63760842881826862</v>
      </c>
      <c r="R63" s="2">
        <f>R8*'Output-Calculation-sheet'!R52/10^9</f>
        <v>0.57244580364146491</v>
      </c>
      <c r="S63" s="2">
        <f>S8*'Output-Calculation-sheet'!S52/10^9</f>
        <v>0.4242026232603332</v>
      </c>
      <c r="T63" s="2">
        <f>T8*'Output-Calculation-sheet'!T52/10^9</f>
        <v>0.21763571717972927</v>
      </c>
      <c r="U63" s="2">
        <f>U8*'Output-Calculation-sheet'!U52/10^9</f>
        <v>0.14946987844805368</v>
      </c>
      <c r="V63" s="2">
        <f>V8*'Output-Calculation-sheet'!V52/10^9</f>
        <v>0.26527371174351461</v>
      </c>
      <c r="W63" s="2">
        <f>W8*'Output-Calculation-sheet'!W52/10^9</f>
        <v>9.601665545208185E-2</v>
      </c>
      <c r="X63" s="2">
        <f>X8*'Output-Calculation-sheet'!X52/10^9</f>
        <v>9.8933782039659635E-2</v>
      </c>
      <c r="Y63" s="2">
        <f>Y8*'Output-Calculation-sheet'!Y52/10^9</f>
        <v>6.2648196733546935E-2</v>
      </c>
      <c r="AA63" s="2">
        <f t="shared" si="4"/>
        <v>27.587367169195968</v>
      </c>
    </row>
    <row r="64" spans="1:27" x14ac:dyDescent="0.25">
      <c r="A64" s="2">
        <v>2032</v>
      </c>
      <c r="B64" s="2">
        <f>B9*'Output-Calculation-sheet'!B53/10^9</f>
        <v>6.6463890184645775</v>
      </c>
      <c r="C64" s="2">
        <f>C9*'Output-Calculation-sheet'!C53/10^9</f>
        <v>3.523456090631885</v>
      </c>
      <c r="D64" s="2">
        <f>D9*'Output-Calculation-sheet'!D53/10^9</f>
        <v>1.968443823082999</v>
      </c>
      <c r="E64" s="2">
        <f>E9*'Output-Calculation-sheet'!E53/10^9</f>
        <v>2.0157730822323239</v>
      </c>
      <c r="F64" s="2">
        <f>F9*'Output-Calculation-sheet'!F53/10^9</f>
        <v>0.85024044615055949</v>
      </c>
      <c r="G64" s="2">
        <f>G9*'Output-Calculation-sheet'!G53/10^9</f>
        <v>0.60517513977861559</v>
      </c>
      <c r="H64" s="2">
        <f>H9*'Output-Calculation-sheet'!H53/10^9</f>
        <v>1.1058105543815897</v>
      </c>
      <c r="I64" s="2">
        <f>I9*'Output-Calculation-sheet'!I53/10^9</f>
        <v>0.56573984807426081</v>
      </c>
      <c r="J64" s="2">
        <f>J9*'Output-Calculation-sheet'!J53/10^9</f>
        <v>0.7489246089809023</v>
      </c>
      <c r="K64" s="2">
        <f>K9*'Output-Calculation-sheet'!K53/10^9</f>
        <v>0.69490014331171124</v>
      </c>
      <c r="L64" s="2">
        <f>L9*'Output-Calculation-sheet'!L53/10^9</f>
        <v>0.89398695736350553</v>
      </c>
      <c r="M64" s="2">
        <f>M9*'Output-Calculation-sheet'!M53/10^9</f>
        <v>0.8773313408253165</v>
      </c>
      <c r="N64" s="2">
        <f>N9*'Output-Calculation-sheet'!N53/10^9</f>
        <v>0.78988167890396055</v>
      </c>
      <c r="O64" s="2">
        <f>O9*'Output-Calculation-sheet'!O53/10^9</f>
        <v>0.713526244553088</v>
      </c>
      <c r="P64" s="2">
        <f>P9*'Output-Calculation-sheet'!P53/10^9</f>
        <v>0.52980366903557663</v>
      </c>
      <c r="Q64" s="2">
        <f>Q9*'Output-Calculation-sheet'!Q53/10^9</f>
        <v>0.58552436477931691</v>
      </c>
      <c r="R64" s="2">
        <f>R9*'Output-Calculation-sheet'!R53/10^9</f>
        <v>0.50193265324578462</v>
      </c>
      <c r="S64" s="2">
        <f>S9*'Output-Calculation-sheet'!S53/10^9</f>
        <v>0.40389116082380505</v>
      </c>
      <c r="T64" s="2">
        <f>T9*'Output-Calculation-sheet'!T53/10^9</f>
        <v>0.18043100707704487</v>
      </c>
      <c r="U64" s="2">
        <f>U9*'Output-Calculation-sheet'!U53/10^9</f>
        <v>0.13580665711927681</v>
      </c>
      <c r="V64" s="2">
        <f>V9*'Output-Calculation-sheet'!V53/10^9</f>
        <v>0.2141594042813979</v>
      </c>
      <c r="W64" s="2">
        <f>W9*'Output-Calculation-sheet'!W53/10^9</f>
        <v>7.9577636963282197E-2</v>
      </c>
      <c r="X64" s="2">
        <f>X9*'Output-Calculation-sheet'!X53/10^9</f>
        <v>9.1234622279603175E-2</v>
      </c>
      <c r="Y64" s="2">
        <f>Y9*'Output-Calculation-sheet'!Y53/10^9</f>
        <v>5.5754718464396114E-2</v>
      </c>
      <c r="AA64" s="2">
        <f t="shared" si="4"/>
        <v>24.777694870804776</v>
      </c>
    </row>
    <row r="65" spans="1:27" x14ac:dyDescent="0.25">
      <c r="A65" s="2">
        <v>2033</v>
      </c>
      <c r="B65" s="2">
        <f>B10*'Output-Calculation-sheet'!B54/10^9</f>
        <v>5.9026919077665259</v>
      </c>
      <c r="C65" s="2">
        <f>C10*'Output-Calculation-sheet'!C54/10^9</f>
        <v>3.0512072309251712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0.95818205167117587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0.55826117497916683</v>
      </c>
      <c r="L65" s="2">
        <f>L10*'Output-Calculation-sheet'!L54/10^9</f>
        <v>0.65937513432768491</v>
      </c>
      <c r="M65" s="2">
        <f>M10*'Output-Calculation-sheet'!M54/10^9</f>
        <v>0.73067483637199926</v>
      </c>
      <c r="N65" s="2">
        <f>N10*'Output-Calculation-sheet'!N54/10^9</f>
        <v>0.67048369874593194</v>
      </c>
      <c r="O65" s="2">
        <f>O10*'Output-Calculation-sheet'!O54/10^9</f>
        <v>0.61147542129240406</v>
      </c>
      <c r="P65" s="2">
        <f>P10*'Output-Calculation-sheet'!P54/10^9</f>
        <v>0.47231744155630412</v>
      </c>
      <c r="Q65" s="2">
        <f>Q10*'Output-Calculation-sheet'!Q54/10^9</f>
        <v>0.51451239521702297</v>
      </c>
      <c r="R65" s="2">
        <f>R10*'Output-Calculation-sheet'!R54/10^9</f>
        <v>0.41582338003212443</v>
      </c>
      <c r="S65" s="2">
        <f>S10*'Output-Calculation-sheet'!S54/10^9</f>
        <v>0.35367918183011143</v>
      </c>
      <c r="T65" s="2">
        <f>T10*'Output-Calculation-sheet'!T54/10^9</f>
        <v>0.13902862027507282</v>
      </c>
      <c r="U65" s="2">
        <f>U10*'Output-Calculation-sheet'!U54/10^9</f>
        <v>0.12004768619837641</v>
      </c>
      <c r="V65" s="2">
        <f>V10*'Output-Calculation-sheet'!V54/10^9</f>
        <v>0.1538626830480937</v>
      </c>
      <c r="W65" s="2">
        <f>W10*'Output-Calculation-sheet'!W54/10^9</f>
        <v>5.8578517805342012E-2</v>
      </c>
      <c r="X65" s="2">
        <f>X10*'Output-Calculation-sheet'!X54/10^9</f>
        <v>7.6611772556339539E-2</v>
      </c>
      <c r="Y65" s="2">
        <f>Y10*'Output-Calculation-sheet'!Y54/10^9</f>
        <v>4.8214210911683042E-2</v>
      </c>
      <c r="AA65" s="2">
        <f t="shared" si="4"/>
        <v>20.605711866887379</v>
      </c>
    </row>
    <row r="66" spans="1:27" x14ac:dyDescent="0.25">
      <c r="A66" s="2">
        <v>2034</v>
      </c>
      <c r="B66" s="2">
        <f>B11*'Output-Calculation-sheet'!B55/10^9</f>
        <v>4.8468812585750438</v>
      </c>
      <c r="C66" s="2">
        <f>C11*'Output-Calculation-sheet'!C55/10^9</f>
        <v>2.4381741084910766</v>
      </c>
      <c r="D66" s="2">
        <f>D11*'Output-Calculation-sheet'!D55/10^9</f>
        <v>1.0938641745816304</v>
      </c>
      <c r="E66" s="2">
        <f>E11*'Output-Calculation-sheet'!E55/10^9</f>
        <v>1.3245930853472834</v>
      </c>
      <c r="F66" s="2">
        <f>F11*'Output-Calculation-sheet'!F55/10^9</f>
        <v>0.50906271196417441</v>
      </c>
      <c r="G66" s="2">
        <f>G11*'Output-Calculation-sheet'!G55/10^9</f>
        <v>0.36386369979371763</v>
      </c>
      <c r="H66" s="2">
        <f>H11*'Output-Calculation-sheet'!H55/10^9</f>
        <v>0.75929830623748984</v>
      </c>
      <c r="I66" s="2">
        <f>I11*'Output-Calculation-sheet'!I55/10^9</f>
        <v>0.35584837387212559</v>
      </c>
      <c r="J66" s="2">
        <f>J11*'Output-Calculation-sheet'!J55/10^9</f>
        <v>0.36589645010838645</v>
      </c>
      <c r="K66" s="2">
        <f>K11*'Output-Calculation-sheet'!K55/10^9</f>
        <v>0.43764304208966975</v>
      </c>
      <c r="L66" s="2">
        <f>L11*'Output-Calculation-sheet'!L55/10^9</f>
        <v>0.46346722280980157</v>
      </c>
      <c r="M66" s="2">
        <f>M11*'Output-Calculation-sheet'!M55/10^9</f>
        <v>0.55347600172541422</v>
      </c>
      <c r="N66" s="2">
        <f>N11*'Output-Calculation-sheet'!N55/10^9</f>
        <v>0.52287483523145262</v>
      </c>
      <c r="O66" s="2">
        <f>O11*'Output-Calculation-sheet'!O55/10^9</f>
        <v>0.48057232505348202</v>
      </c>
      <c r="P66" s="2">
        <f>P11*'Output-Calculation-sheet'!P55/10^9</f>
        <v>0.40127325352796678</v>
      </c>
      <c r="Q66" s="2">
        <f>Q11*'Output-Calculation-sheet'!Q55/10^9</f>
        <v>0.42446557295561482</v>
      </c>
      <c r="R66" s="2">
        <f>R11*'Output-Calculation-sheet'!R55/10^9</f>
        <v>0.32786018939783379</v>
      </c>
      <c r="S66" s="2">
        <f>S11*'Output-Calculation-sheet'!S55/10^9</f>
        <v>0.2859777017569452</v>
      </c>
      <c r="T66" s="2">
        <f>T11*'Output-Calculation-sheet'!T55/10^9</f>
        <v>0.10276092020712986</v>
      </c>
      <c r="U66" s="2">
        <f>U11*'Output-Calculation-sheet'!U55/10^9</f>
        <v>0.10492332835430664</v>
      </c>
      <c r="V66" s="2">
        <f>V11*'Output-Calculation-sheet'!V55/10^9</f>
        <v>9.7484742377540679E-2</v>
      </c>
      <c r="W66" s="2">
        <f>W11*'Output-Calculation-sheet'!W55/10^9</f>
        <v>4.4140163112148613E-2</v>
      </c>
      <c r="X66" s="2">
        <f>X11*'Output-Calculation-sheet'!X55/10^9</f>
        <v>5.9134405782187663E-2</v>
      </c>
      <c r="Y66" s="2">
        <f>Y11*'Output-Calculation-sheet'!Y55/10^9</f>
        <v>4.3158354772282692E-2</v>
      </c>
      <c r="AA66" s="2">
        <f t="shared" si="4"/>
        <v>16.406694228124707</v>
      </c>
    </row>
    <row r="67" spans="1:27" x14ac:dyDescent="0.25">
      <c r="A67" s="2">
        <v>2035</v>
      </c>
      <c r="B67" s="2">
        <f>B12*'Output-Calculation-sheet'!B56/10^9</f>
        <v>3.7554980398405848</v>
      </c>
      <c r="C67" s="2">
        <f>C12*'Output-Calculation-sheet'!C56/10^9</f>
        <v>1.7520312420308788</v>
      </c>
      <c r="D67" s="2">
        <f>D12*'Output-Calculation-sheet'!D56/10^9</f>
        <v>1.0275420264554116</v>
      </c>
      <c r="E67" s="2">
        <f>E12*'Output-Calculation-sheet'!E56/10^9</f>
        <v>1.1707785707419363</v>
      </c>
      <c r="F67" s="2">
        <f>F12*'Output-Calculation-sheet'!F56/10^9</f>
        <v>0.5011451390680739</v>
      </c>
      <c r="G67" s="2">
        <f>G12*'Output-Calculation-sheet'!G56/10^9</f>
        <v>0.35172134650090248</v>
      </c>
      <c r="H67" s="2">
        <f>H12*'Output-Calculation-sheet'!H56/10^9</f>
        <v>0.55559684515719143</v>
      </c>
      <c r="I67" s="2">
        <f>I12*'Output-Calculation-sheet'!I56/10^9</f>
        <v>0.35265027430279988</v>
      </c>
      <c r="J67" s="2">
        <f>J12*'Output-Calculation-sheet'!J56/10^9</f>
        <v>0.3190068342506992</v>
      </c>
      <c r="K67" s="2">
        <f>K12*'Output-Calculation-sheet'!K56/10^9</f>
        <v>0.39607967455153198</v>
      </c>
      <c r="L67" s="2">
        <f>L12*'Output-Calculation-sheet'!L56/10^9</f>
        <v>0.36352558916653482</v>
      </c>
      <c r="M67" s="2">
        <f>M12*'Output-Calculation-sheet'!M56/10^9</f>
        <v>0.38646893896525397</v>
      </c>
      <c r="N67" s="2">
        <f>N12*'Output-Calculation-sheet'!N56/10^9</f>
        <v>0.37631515598901244</v>
      </c>
      <c r="O67" s="2">
        <f>O12*'Output-Calculation-sheet'!O56/10^9</f>
        <v>0.34056246816710595</v>
      </c>
      <c r="P67" s="2">
        <f>P12*'Output-Calculation-sheet'!P56/10^9</f>
        <v>0.33241164183252514</v>
      </c>
      <c r="Q67" s="2">
        <f>Q12*'Output-Calculation-sheet'!Q56/10^9</f>
        <v>0.33910330509569531</v>
      </c>
      <c r="R67" s="2">
        <f>R12*'Output-Calculation-sheet'!R56/10^9</f>
        <v>0.28686901632149331</v>
      </c>
      <c r="S67" s="2">
        <f>S12*'Output-Calculation-sheet'!S56/10^9</f>
        <v>0.21580722434168947</v>
      </c>
      <c r="T67" s="2">
        <f>T12*'Output-Calculation-sheet'!T56/10^9</f>
        <v>8.7324496675840496E-2</v>
      </c>
      <c r="U67" s="2">
        <f>U12*'Output-Calculation-sheet'!U56/10^9</f>
        <v>9.5940099956599897E-2</v>
      </c>
      <c r="V67" s="2">
        <f>V12*'Output-Calculation-sheet'!V56/10^9</f>
        <v>6.6918163313558307E-2</v>
      </c>
      <c r="W67" s="2">
        <f>W12*'Output-Calculation-sheet'!W56/10^9</f>
        <v>4.337179826865966E-2</v>
      </c>
      <c r="X67" s="2">
        <f>X12*'Output-Calculation-sheet'!X56/10^9</f>
        <v>4.1057962172650092E-2</v>
      </c>
      <c r="Y67" s="2">
        <f>Y12*'Output-Calculation-sheet'!Y56/10^9</f>
        <v>3.8305358941526695E-2</v>
      </c>
      <c r="AA67" s="2">
        <f t="shared" si="4"/>
        <v>13.196031212108153</v>
      </c>
    </row>
    <row r="68" spans="1:27" x14ac:dyDescent="0.25">
      <c r="B68" s="2">
        <f>SUM(B60:B67)</f>
        <v>28.135214281773745</v>
      </c>
      <c r="C68" s="2">
        <f t="shared" ref="C68:Y68" si="5">SUM(C60:C67)</f>
        <v>14.495949267128774</v>
      </c>
      <c r="D68" s="2">
        <f t="shared" si="5"/>
        <v>7.9171496022498191</v>
      </c>
      <c r="E68" s="2">
        <f t="shared" si="5"/>
        <v>8.5051780283904215</v>
      </c>
      <c r="F68" s="2">
        <f t="shared" si="5"/>
        <v>3.5236674959905185</v>
      </c>
      <c r="G68" s="2">
        <f t="shared" si="5"/>
        <v>2.495347790398426</v>
      </c>
      <c r="H68" s="2">
        <f t="shared" si="5"/>
        <v>4.5580416168604678</v>
      </c>
      <c r="I68" s="2">
        <f t="shared" si="5"/>
        <v>2.3864322589620293</v>
      </c>
      <c r="J68" s="2">
        <f t="shared" si="5"/>
        <v>2.8851130278617538</v>
      </c>
      <c r="K68" s="2">
        <f t="shared" si="5"/>
        <v>2.9022620018241496</v>
      </c>
      <c r="L68" s="2">
        <f t="shared" si="5"/>
        <v>3.4770775003950747</v>
      </c>
      <c r="M68" s="2">
        <f t="shared" si="5"/>
        <v>3.513952828374364</v>
      </c>
      <c r="N68" s="2">
        <f t="shared" si="5"/>
        <v>3.2119118469137304</v>
      </c>
      <c r="O68" s="2">
        <f t="shared" si="5"/>
        <v>2.9094833397108073</v>
      </c>
      <c r="P68" s="2">
        <f t="shared" si="5"/>
        <v>2.2992101862584895</v>
      </c>
      <c r="Q68" s="2">
        <f t="shared" si="5"/>
        <v>2.5012140668659182</v>
      </c>
      <c r="R68" s="2">
        <f t="shared" si="5"/>
        <v>2.1049310426387011</v>
      </c>
      <c r="S68" s="2">
        <f t="shared" si="5"/>
        <v>1.6835578920128844</v>
      </c>
      <c r="T68" s="2">
        <f t="shared" si="5"/>
        <v>0.72718076141481736</v>
      </c>
      <c r="U68" s="2">
        <f t="shared" si="5"/>
        <v>0.60618765007661346</v>
      </c>
      <c r="V68" s="2">
        <f t="shared" si="5"/>
        <v>0.79769870476410509</v>
      </c>
      <c r="W68" s="2">
        <f t="shared" si="5"/>
        <v>0.32168477160151437</v>
      </c>
      <c r="X68" s="2">
        <f t="shared" si="5"/>
        <v>0.36697254483044006</v>
      </c>
      <c r="Y68" s="2">
        <f t="shared" si="5"/>
        <v>0.24808083982343548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37.368783152396325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3.7368783152396327E-2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370.7341291979327</v>
      </c>
      <c r="Q76" s="2">
        <f>Q10/'Output-Calculation-sheet'!Q9*'Output-Calculation-sheet'!Q63</f>
        <v>44.36427859723171</v>
      </c>
      <c r="R76" s="2">
        <f>R10/'Output-Calculation-sheet'!R9*'Output-Calculation-sheet'!R63</f>
        <v>282.42927590362331</v>
      </c>
      <c r="S76" s="2">
        <f>S10/'Output-Calculation-sheet'!S9*'Output-Calculation-sheet'!S63</f>
        <v>0</v>
      </c>
      <c r="T76" s="2">
        <f>T10/'Output-Calculation-sheet'!T9*'Output-Calculation-sheet'!T63</f>
        <v>18.587428601590101</v>
      </c>
      <c r="U76" s="2">
        <f>U10/'Output-Calculation-sheet'!U9*'Output-Calculation-sheet'!U63</f>
        <v>100.3679465933856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4.7667567463376335</v>
      </c>
      <c r="AA76" s="2">
        <f t="shared" si="6"/>
        <v>0.89928490077852097</v>
      </c>
    </row>
    <row r="77" spans="1:27" x14ac:dyDescent="0.25">
      <c r="A77" s="2">
        <v>2034</v>
      </c>
      <c r="B77" s="2">
        <f>B11/'Output-Calculation-sheet'!B10*'Output-Calculation-sheet'!B64</f>
        <v>309.74525113575504</v>
      </c>
      <c r="C77" s="2">
        <f>C11/'Output-Calculation-sheet'!C10*'Output-Calculation-sheet'!C64</f>
        <v>0</v>
      </c>
      <c r="D77" s="2">
        <f>D11/'Output-Calculation-sheet'!D10*'Output-Calculation-sheet'!D64</f>
        <v>1052.4039351468757</v>
      </c>
      <c r="E77" s="2">
        <f>E11/'Output-Calculation-sheet'!E10*'Output-Calculation-sheet'!E64</f>
        <v>1315.370039826345</v>
      </c>
      <c r="F77" s="2">
        <f>F11/'Output-Calculation-sheet'!F10*'Output-Calculation-sheet'!F64</f>
        <v>85.583074226507975</v>
      </c>
      <c r="G77" s="2">
        <f>G11/'Output-Calculation-sheet'!G10*'Output-Calculation-sheet'!G64</f>
        <v>557.39739543059932</v>
      </c>
      <c r="H77" s="2">
        <f>H11/'Output-Calculation-sheet'!H10*'Output-Calculation-sheet'!H64</f>
        <v>86.973915625438337</v>
      </c>
      <c r="I77" s="2">
        <f>I11/'Output-Calculation-sheet'!I10*'Output-Calculation-sheet'!I64</f>
        <v>331.41058846889285</v>
      </c>
      <c r="J77" s="2">
        <f>J11/'Output-Calculation-sheet'!J10*'Output-Calculation-sheet'!J64</f>
        <v>231.88175515465542</v>
      </c>
      <c r="K77" s="2">
        <f>K11/'Output-Calculation-sheet'!K10*'Output-Calculation-sheet'!K64</f>
        <v>504.17232074426209</v>
      </c>
      <c r="L77" s="2">
        <f>L11/'Output-Calculation-sheet'!L10*'Output-Calculation-sheet'!L64</f>
        <v>208.46258059132433</v>
      </c>
      <c r="M77" s="2">
        <f>M11/'Output-Calculation-sheet'!M10*'Output-Calculation-sheet'!M64</f>
        <v>62.639951659234697</v>
      </c>
      <c r="N77" s="2">
        <f>N11/'Output-Calculation-sheet'!N10*'Output-Calculation-sheet'!N64</f>
        <v>20.716796677220593</v>
      </c>
      <c r="O77" s="2">
        <f>O11/'Output-Calculation-sheet'!O10*'Output-Calculation-sheet'!O64</f>
        <v>0</v>
      </c>
      <c r="P77" s="2">
        <f>P11/'Output-Calculation-sheet'!P10*'Output-Calculation-sheet'!P64</f>
        <v>426.57643020252908</v>
      </c>
      <c r="Q77" s="2">
        <f>Q11/'Output-Calculation-sheet'!Q10*'Output-Calculation-sheet'!Q64</f>
        <v>95.961470250255729</v>
      </c>
      <c r="R77" s="2">
        <f>R11/'Output-Calculation-sheet'!R10*'Output-Calculation-sheet'!R64</f>
        <v>529.98707150602104</v>
      </c>
      <c r="S77" s="2">
        <f>S11/'Output-Calculation-sheet'!S10*'Output-Calculation-sheet'!S64</f>
        <v>0</v>
      </c>
      <c r="T77" s="2">
        <f>T11/'Output-Calculation-sheet'!T10*'Output-Calculation-sheet'!T64</f>
        <v>147.15975053837755</v>
      </c>
      <c r="U77" s="2">
        <f>U11/'Output-Calculation-sheet'!U10*'Output-Calculation-sheet'!U64</f>
        <v>195.57621695842681</v>
      </c>
      <c r="V77" s="2">
        <f>V11/'Output-Calculation-sheet'!V10*'Output-Calculation-sheet'!V64</f>
        <v>76.152765314149434</v>
      </c>
      <c r="W77" s="2">
        <f>W11/'Output-Calculation-sheet'!W10*'Output-Calculation-sheet'!W64</f>
        <v>16.717851930061546</v>
      </c>
      <c r="X77" s="2">
        <f>X11/'Output-Calculation-sheet'!X10*'Output-Calculation-sheet'!X64</f>
        <v>6.244515733934521</v>
      </c>
      <c r="Y77" s="2">
        <f>Y11/'Output-Calculation-sheet'!Y10*'Output-Calculation-sheet'!Y64</f>
        <v>28.478979241218241</v>
      </c>
      <c r="AA77" s="2">
        <f t="shared" si="6"/>
        <v>6.2896126563620856</v>
      </c>
    </row>
    <row r="78" spans="1:27" x14ac:dyDescent="0.25">
      <c r="A78" s="2">
        <v>2035</v>
      </c>
      <c r="B78" s="2">
        <f>B12/'Output-Calculation-sheet'!B11*'Output-Calculation-sheet'!B65</f>
        <v>47.45368343545335</v>
      </c>
      <c r="C78" s="2">
        <f>C12/'Output-Calculation-sheet'!C11*'Output-Calculation-sheet'!C65</f>
        <v>39.55387073001301</v>
      </c>
      <c r="D78" s="2">
        <f>D12/'Output-Calculation-sheet'!D11*'Output-Calculation-sheet'!D65</f>
        <v>2032.6561441298463</v>
      </c>
      <c r="E78" s="2">
        <f>E12/'Output-Calculation-sheet'!E11*'Output-Calculation-sheet'!E65</f>
        <v>652.96496897660165</v>
      </c>
      <c r="F78" s="2">
        <f>F12/'Output-Calculation-sheet'!F11*'Output-Calculation-sheet'!F65</f>
        <v>518.92680097312848</v>
      </c>
      <c r="G78" s="2">
        <f>G12/'Output-Calculation-sheet'!G11*'Output-Calculation-sheet'!G65</f>
        <v>767.89596699026015</v>
      </c>
      <c r="H78" s="2">
        <f>H12/'Output-Calculation-sheet'!H11*'Output-Calculation-sheet'!H65</f>
        <v>17.452650102472266</v>
      </c>
      <c r="I78" s="2">
        <f>I12/'Output-Calculation-sheet'!I11*'Output-Calculation-sheet'!I65</f>
        <v>638.43482866270222</v>
      </c>
      <c r="J78" s="2">
        <f>J12/'Output-Calculation-sheet'!J11*'Output-Calculation-sheet'!J65</f>
        <v>605.57099815337267</v>
      </c>
      <c r="K78" s="2">
        <f>K12/'Output-Calculation-sheet'!K11*'Output-Calculation-sheet'!K65</f>
        <v>813.93726155860588</v>
      </c>
      <c r="L78" s="2">
        <f>L12/'Output-Calculation-sheet'!L11*'Output-Calculation-sheet'!L65</f>
        <v>282.30536185960034</v>
      </c>
      <c r="M78" s="2">
        <f>M12/'Output-Calculation-sheet'!M11*'Output-Calculation-sheet'!M65</f>
        <v>15.601226034400783</v>
      </c>
      <c r="N78" s="2">
        <f>N12/'Output-Calculation-sheet'!N11*'Output-Calculation-sheet'!N65</f>
        <v>10.509337153261686</v>
      </c>
      <c r="O78" s="2">
        <f>O12/'Output-Calculation-sheet'!O11*'Output-Calculation-sheet'!O65</f>
        <v>6.8553368352503066</v>
      </c>
      <c r="P78" s="2">
        <f>P12/'Output-Calculation-sheet'!P11*'Output-Calculation-sheet'!P65</f>
        <v>79.067633489119828</v>
      </c>
      <c r="Q78" s="2">
        <f>Q12/'Output-Calculation-sheet'!Q11*'Output-Calculation-sheet'!Q65</f>
        <v>63.714288353590597</v>
      </c>
      <c r="R78" s="2">
        <f>R12/'Output-Calculation-sheet'!R11*'Output-Calculation-sheet'!R65</f>
        <v>527.79431752361825</v>
      </c>
      <c r="S78" s="2">
        <f>S12/'Output-Calculation-sheet'!S11*'Output-Calculation-sheet'!S65</f>
        <v>5.0497140538598613</v>
      </c>
      <c r="T78" s="2">
        <f>T12/'Output-Calculation-sheet'!T11*'Output-Calculation-sheet'!T65</f>
        <v>209.8894258842175</v>
      </c>
      <c r="U78" s="2">
        <f>U12/'Output-Calculation-sheet'!U11*'Output-Calculation-sheet'!U65</f>
        <v>77.428408095385549</v>
      </c>
      <c r="V78" s="2">
        <f>V12/'Output-Calculation-sheet'!V11*'Output-Calculation-sheet'!V65</f>
        <v>109.85137870137086</v>
      </c>
      <c r="W78" s="2">
        <f>W12/'Output-Calculation-sheet'!W11*'Output-Calculation-sheet'!W65</f>
        <v>74.053571524270708</v>
      </c>
      <c r="X78" s="2">
        <f>X12/'Output-Calculation-sheet'!X11*'Output-Calculation-sheet'!X65</f>
        <v>1.033353908714042</v>
      </c>
      <c r="Y78" s="2">
        <f>Y12/'Output-Calculation-sheet'!Y11*'Output-Calculation-sheet'!Y65</f>
        <v>17.773728984940593</v>
      </c>
      <c r="AA78" s="2">
        <f t="shared" si="6"/>
        <v>7.615774256114058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51.133990146394531</v>
      </c>
      <c r="E89" s="2">
        <f>E12/'Output-Calculation-sheet'!E11*'Output-Calculation-sheet'!E74</f>
        <v>24.736131695910618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19.14043643839765</v>
      </c>
      <c r="H89" s="2">
        <f>H12/'Output-Calculation-sheet'!H11*'Output-Calculation-sheet'!H74</f>
        <v>3.0903320234567979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10.648612908721155</v>
      </c>
      <c r="K89" s="2">
        <f>K12/'Output-Calculation-sheet'!K11*'Output-Calculation-sheet'!K74</f>
        <v>13.395184923073966</v>
      </c>
      <c r="L89" s="2">
        <f>L12/'Output-Calculation-sheet'!L11*'Output-Calculation-sheet'!L74</f>
        <v>5.6059128421140496</v>
      </c>
      <c r="M89" s="2">
        <f>M12/'Output-Calculation-sheet'!M11*'Output-Calculation-sheet'!M74</f>
        <v>1.5948368863325841</v>
      </c>
      <c r="N89" s="2">
        <f>N12/'Output-Calculation-sheet'!N11*'Output-Calculation-sheet'!N74</f>
        <v>1.5674660166940966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1.4480632724325548</v>
      </c>
      <c r="Q89" s="2">
        <f>Q12/'Output-Calculation-sheet'!Q11*'Output-Calculation-sheet'!Q74</f>
        <v>2.746680438576699</v>
      </c>
      <c r="R89" s="2">
        <f>R12/'Output-Calculation-sheet'!R11*'Output-Calculation-sheet'!R74</f>
        <v>8.1715540049037489</v>
      </c>
      <c r="S89" s="2">
        <f>S12/'Output-Calculation-sheet'!S11*'Output-Calculation-sheet'!S74</f>
        <v>1.4975427205990099</v>
      </c>
      <c r="T89" s="2">
        <f>T12/'Output-Calculation-sheet'!T11*'Output-Calculation-sheet'!T74</f>
        <v>2.5193059602678294</v>
      </c>
      <c r="U89" s="2">
        <f>U12/'Output-Calculation-sheet'!U11*'Output-Calculation-sheet'!U74</f>
        <v>2.9211873663645522</v>
      </c>
      <c r="V89" s="2">
        <f>V12/'Output-Calculation-sheet'!V11*'Output-Calculation-sheet'!V74</f>
        <v>0.90099626053409798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1.013020666304421</v>
      </c>
      <c r="AA89" s="2">
        <f t="shared" si="7"/>
        <v>0.20441269785288393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18239545548.118187</v>
      </c>
      <c r="C96" s="2">
        <f>C8/'Output-Calculation-sheet'!C7*'Output-Calculation-sheet'!C79</f>
        <v>7550946095.1879072</v>
      </c>
      <c r="D96" s="2">
        <f>D8/'Output-Calculation-sheet'!D7*'Output-Calculation-sheet'!D79</f>
        <v>6019260114.4283724</v>
      </c>
      <c r="E96" s="2">
        <f>E8/'Output-Calculation-sheet'!E7*'Output-Calculation-sheet'!E79</f>
        <v>7273371030.4636803</v>
      </c>
      <c r="F96" s="2">
        <f>F8/'Output-Calculation-sheet'!F7*'Output-Calculation-sheet'!F79</f>
        <v>4293431317.5125351</v>
      </c>
      <c r="G96" s="2">
        <f>G8/'Output-Calculation-sheet'!G7*'Output-Calculation-sheet'!G79</f>
        <v>2183865829.9097524</v>
      </c>
      <c r="H96" s="2">
        <f>H8/'Output-Calculation-sheet'!H7*'Output-Calculation-sheet'!H79</f>
        <v>2726926810.4147534</v>
      </c>
      <c r="I96" s="2">
        <f>I8/'Output-Calculation-sheet'!I7*'Output-Calculation-sheet'!I79</f>
        <v>2610041161.8272014</v>
      </c>
      <c r="J96" s="2">
        <f>J8/'Output-Calculation-sheet'!J7*'Output-Calculation-sheet'!J79</f>
        <v>1473197061.6791236</v>
      </c>
      <c r="K96" s="2">
        <f>K8/'Output-Calculation-sheet'!K7*'Output-Calculation-sheet'!K79</f>
        <v>2509361301.9473629</v>
      </c>
      <c r="L96" s="2">
        <f>L8/'Output-Calculation-sheet'!L7*'Output-Calculation-sheet'!L79</f>
        <v>1804786437.6699636</v>
      </c>
      <c r="M96" s="2">
        <f>M8/'Output-Calculation-sheet'!M7*'Output-Calculation-sheet'!M79</f>
        <v>1824482357.7799294</v>
      </c>
      <c r="N96" s="2">
        <f>N8/'Output-Calculation-sheet'!N7*'Output-Calculation-sheet'!N79</f>
        <v>1298533541.2169943</v>
      </c>
      <c r="O96" s="2">
        <f>O8/'Output-Calculation-sheet'!O7*'Output-Calculation-sheet'!O79</f>
        <v>1020533552.0618359</v>
      </c>
      <c r="P96" s="2">
        <f>P8/'Output-Calculation-sheet'!P7*'Output-Calculation-sheet'!P79</f>
        <v>2169411515.3471789</v>
      </c>
      <c r="Q96" s="2">
        <f>Q8/'Output-Calculation-sheet'!Q7*'Output-Calculation-sheet'!Q79</f>
        <v>1181597219.4424222</v>
      </c>
      <c r="R96" s="2">
        <f>R8/'Output-Calculation-sheet'!R7*'Output-Calculation-sheet'!R79</f>
        <v>1576365841.8139727</v>
      </c>
      <c r="S96" s="2">
        <f>S8/'Output-Calculation-sheet'!S7*'Output-Calculation-sheet'!S79</f>
        <v>992234977.88651907</v>
      </c>
      <c r="T96" s="2">
        <f>T8/'Output-Calculation-sheet'!T7*'Output-Calculation-sheet'!T79</f>
        <v>637151402.53550315</v>
      </c>
      <c r="U96" s="2">
        <f>U8/'Output-Calculation-sheet'!U7*'Output-Calculation-sheet'!U79</f>
        <v>590823253.73461342</v>
      </c>
      <c r="V96" s="2">
        <f>V8/'Output-Calculation-sheet'!V7*'Output-Calculation-sheet'!V79</f>
        <v>380390294.2699644</v>
      </c>
      <c r="W96" s="2">
        <f>W8/'Output-Calculation-sheet'!W7*'Output-Calculation-sheet'!W79</f>
        <v>455036478.39427161</v>
      </c>
      <c r="X96" s="2">
        <f>X8/'Output-Calculation-sheet'!X7*'Output-Calculation-sheet'!X79</f>
        <v>208271642.79003382</v>
      </c>
      <c r="Y96" s="2">
        <f>Y8/'Output-Calculation-sheet'!Y7*'Output-Calculation-sheet'!Y79</f>
        <v>233113027.22693378</v>
      </c>
      <c r="AA96" s="2">
        <f t="shared" si="8"/>
        <v>69.252677813659005</v>
      </c>
    </row>
    <row r="97" spans="1:27" x14ac:dyDescent="0.25">
      <c r="A97" s="2">
        <v>2032</v>
      </c>
      <c r="B97" s="2">
        <f>B9/'Output-Calculation-sheet'!B8*'Output-Calculation-sheet'!B80</f>
        <v>22982283553.043175</v>
      </c>
      <c r="C97" s="2">
        <f>C9/'Output-Calculation-sheet'!C8*'Output-Calculation-sheet'!C80</f>
        <v>9522670857.509325</v>
      </c>
      <c r="D97" s="2">
        <f>D9/'Output-Calculation-sheet'!D8*'Output-Calculation-sheet'!D80</f>
        <v>7526869950.5777645</v>
      </c>
      <c r="E97" s="2">
        <f>E9/'Output-Calculation-sheet'!E8*'Output-Calculation-sheet'!E80</f>
        <v>9082330485.2934914</v>
      </c>
      <c r="F97" s="2">
        <f>F9/'Output-Calculation-sheet'!F8*'Output-Calculation-sheet'!F80</f>
        <v>5381537141.1270885</v>
      </c>
      <c r="G97" s="2">
        <f>G9/'Output-Calculation-sheet'!G8*'Output-Calculation-sheet'!G80</f>
        <v>2693910826.6790657</v>
      </c>
      <c r="H97" s="2">
        <f>H9/'Output-Calculation-sheet'!H8*'Output-Calculation-sheet'!H80</f>
        <v>3428915279.8357635</v>
      </c>
      <c r="I97" s="2">
        <f>I9/'Output-Calculation-sheet'!I8*'Output-Calculation-sheet'!I80</f>
        <v>3273026588.3771634</v>
      </c>
      <c r="J97" s="2">
        <f>J9/'Output-Calculation-sheet'!J8*'Output-Calculation-sheet'!J80</f>
        <v>1867631644.3581605</v>
      </c>
      <c r="K97" s="2">
        <f>K9/'Output-Calculation-sheet'!K8*'Output-Calculation-sheet'!K80</f>
        <v>3146063073.8255196</v>
      </c>
      <c r="L97" s="2">
        <f>L9/'Output-Calculation-sheet'!L8*'Output-Calculation-sheet'!L80</f>
        <v>2276288301.0269613</v>
      </c>
      <c r="M97" s="2">
        <f>M9/'Output-Calculation-sheet'!M8*'Output-Calculation-sheet'!M80</f>
        <v>2294117889.8660188</v>
      </c>
      <c r="N97" s="2">
        <f>N9/'Output-Calculation-sheet'!N8*'Output-Calculation-sheet'!N80</f>
        <v>1639776280.8022697</v>
      </c>
      <c r="O97" s="2">
        <f>O9/'Output-Calculation-sheet'!O8*'Output-Calculation-sheet'!O80</f>
        <v>1293680861.1657634</v>
      </c>
      <c r="P97" s="2">
        <f>P9/'Output-Calculation-sheet'!P8*'Output-Calculation-sheet'!P80</f>
        <v>2703508752.9410896</v>
      </c>
      <c r="Q97" s="2">
        <f>Q9/'Output-Calculation-sheet'!Q8*'Output-Calculation-sheet'!Q80</f>
        <v>1496957785.7249954</v>
      </c>
      <c r="R97" s="2">
        <f>R9/'Output-Calculation-sheet'!R8*'Output-Calculation-sheet'!R80</f>
        <v>1984747865.9078183</v>
      </c>
      <c r="S97" s="2">
        <f>S9/'Output-Calculation-sheet'!S8*'Output-Calculation-sheet'!S80</f>
        <v>1252084396.8500736</v>
      </c>
      <c r="T97" s="2">
        <f>T9/'Output-Calculation-sheet'!T8*'Output-Calculation-sheet'!T80</f>
        <v>795856310.77491665</v>
      </c>
      <c r="U97" s="2">
        <f>U9/'Output-Calculation-sheet'!U8*'Output-Calculation-sheet'!U80</f>
        <v>742167984.08332944</v>
      </c>
      <c r="V97" s="2">
        <f>V9/'Output-Calculation-sheet'!V8*'Output-Calculation-sheet'!V80</f>
        <v>480633165.41907251</v>
      </c>
      <c r="W97" s="2">
        <f>W9/'Output-Calculation-sheet'!W8*'Output-Calculation-sheet'!W80</f>
        <v>562240362.3288815</v>
      </c>
      <c r="X97" s="2">
        <f>X9/'Output-Calculation-sheet'!X8*'Output-Calculation-sheet'!X80</f>
        <v>261800340.0852485</v>
      </c>
      <c r="Y97" s="2">
        <f>Y9/'Output-Calculation-sheet'!Y8*'Output-Calculation-sheet'!Y80</f>
        <v>289301723.13991851</v>
      </c>
      <c r="AA97" s="2">
        <f t="shared" si="8"/>
        <v>86.978401420742856</v>
      </c>
    </row>
    <row r="98" spans="1:27" x14ac:dyDescent="0.25">
      <c r="A98" s="2">
        <v>2033</v>
      </c>
      <c r="B98" s="2">
        <f>B10/'Output-Calculation-sheet'!B9*'Output-Calculation-sheet'!B81</f>
        <v>25506999130.39711</v>
      </c>
      <c r="C98" s="2">
        <f>C10/'Output-Calculation-sheet'!C9*'Output-Calculation-sheet'!C81</f>
        <v>10579739954.559509</v>
      </c>
      <c r="D98" s="2">
        <f>D10/'Output-Calculation-sheet'!D9*'Output-Calculation-sheet'!D81</f>
        <v>8299062193.628871</v>
      </c>
      <c r="E98" s="2">
        <f>E10/'Output-Calculation-sheet'!E9*'Output-Calculation-sheet'!E81</f>
        <v>9995288245.5791245</v>
      </c>
      <c r="F98" s="2">
        <f>F10/'Output-Calculation-sheet'!F9*'Output-Calculation-sheet'!F81</f>
        <v>5943430145.0168381</v>
      </c>
      <c r="G98" s="2">
        <f>G10/'Output-Calculation-sheet'!G9*'Output-Calculation-sheet'!G81</f>
        <v>2929684097.6314936</v>
      </c>
      <c r="H98" s="2">
        <f>H10/'Output-Calculation-sheet'!H9*'Output-Calculation-sheet'!H81</f>
        <v>3798395587.4347634</v>
      </c>
      <c r="I98" s="2">
        <f>I10/'Output-Calculation-sheet'!I9*'Output-Calculation-sheet'!I81</f>
        <v>3616934915.1816664</v>
      </c>
      <c r="J98" s="2">
        <f>J10/'Output-Calculation-sheet'!J9*'Output-Calculation-sheet'!J81</f>
        <v>2087044061.6684344</v>
      </c>
      <c r="K98" s="2">
        <f>K10/'Output-Calculation-sheet'!K9*'Output-Calculation-sheet'!K81</f>
        <v>3475484274.0685396</v>
      </c>
      <c r="L98" s="2">
        <f>L10/'Output-Calculation-sheet'!L9*'Output-Calculation-sheet'!L81</f>
        <v>2529150128.4412694</v>
      </c>
      <c r="M98" s="2">
        <f>M10/'Output-Calculation-sheet'!M9*'Output-Calculation-sheet'!M81</f>
        <v>2541779069.3181124</v>
      </c>
      <c r="N98" s="2">
        <f>N10/'Output-Calculation-sheet'!N9*'Output-Calculation-sheet'!N81</f>
        <v>1825229271.1109135</v>
      </c>
      <c r="O98" s="2">
        <f>O10/'Output-Calculation-sheet'!O9*'Output-Calculation-sheet'!O81</f>
        <v>1445098254.4841075</v>
      </c>
      <c r="P98" s="2">
        <f>P10/'Output-Calculation-sheet'!P9*'Output-Calculation-sheet'!P81</f>
        <v>2968249307.204865</v>
      </c>
      <c r="Q98" s="2">
        <f>Q10/'Output-Calculation-sheet'!Q9*'Output-Calculation-sheet'!Q81</f>
        <v>1671143419.309706</v>
      </c>
      <c r="R98" s="2">
        <f>R10/'Output-Calculation-sheet'!R9*'Output-Calculation-sheet'!R81</f>
        <v>2201369508.5967836</v>
      </c>
      <c r="S98" s="2">
        <f>S10/'Output-Calculation-sheet'!S9*'Output-Calculation-sheet'!S81</f>
        <v>1391663159.7560282</v>
      </c>
      <c r="T98" s="2">
        <f>T10/'Output-Calculation-sheet'!T9*'Output-Calculation-sheet'!T81</f>
        <v>876069974.44944656</v>
      </c>
      <c r="U98" s="2">
        <f>U10/'Output-Calculation-sheet'!U9*'Output-Calculation-sheet'!U81</f>
        <v>820834953.5263449</v>
      </c>
      <c r="V98" s="2">
        <f>V10/'Output-Calculation-sheet'!V9*'Output-Calculation-sheet'!V81</f>
        <v>534615336.00331378</v>
      </c>
      <c r="W98" s="2">
        <f>W10/'Output-Calculation-sheet'!W9*'Output-Calculation-sheet'!W81</f>
        <v>612218652.68058383</v>
      </c>
      <c r="X98" s="2">
        <f>X10/'Output-Calculation-sheet'!X9*'Output-Calculation-sheet'!X81</f>
        <v>289950698.55227077</v>
      </c>
      <c r="Y98" s="2">
        <f>Y10/'Output-Calculation-sheet'!Y9*'Output-Calculation-sheet'!Y81</f>
        <v>316506070.93688554</v>
      </c>
      <c r="AA98" s="2">
        <f t="shared" si="8"/>
        <v>96.255940409537004</v>
      </c>
    </row>
    <row r="99" spans="1:27" x14ac:dyDescent="0.25">
      <c r="A99" s="2">
        <v>2034</v>
      </c>
      <c r="B99" s="2">
        <f>B11/'Output-Calculation-sheet'!B10*'Output-Calculation-sheet'!B82</f>
        <v>25241396841.57806</v>
      </c>
      <c r="C99" s="2">
        <f>C11/'Output-Calculation-sheet'!C10*'Output-Calculation-sheet'!C82</f>
        <v>10481991005.608116</v>
      </c>
      <c r="D99" s="2">
        <f>D11/'Output-Calculation-sheet'!D10*'Output-Calculation-sheet'!D82</f>
        <v>8166983274.2431974</v>
      </c>
      <c r="E99" s="2">
        <f>E11/'Output-Calculation-sheet'!E10*'Output-Calculation-sheet'!E82</f>
        <v>9813239370.4046898</v>
      </c>
      <c r="F99" s="2">
        <f>F11/'Output-Calculation-sheet'!F10*'Output-Calculation-sheet'!F82</f>
        <v>5854510278.5008965</v>
      </c>
      <c r="G99" s="2">
        <f>G11/'Output-Calculation-sheet'!G10*'Output-Calculation-sheet'!G82</f>
        <v>2843382976.2884488</v>
      </c>
      <c r="H99" s="2">
        <f>H11/'Output-Calculation-sheet'!H10*'Output-Calculation-sheet'!H82</f>
        <v>3752310031.393662</v>
      </c>
      <c r="I99" s="2">
        <f>I11/'Output-Calculation-sheet'!I10*'Output-Calculation-sheet'!I82</f>
        <v>3565356721.4119153</v>
      </c>
      <c r="J99" s="2">
        <f>J11/'Output-Calculation-sheet'!J10*'Output-Calculation-sheet'!J82</f>
        <v>2080888961.5326097</v>
      </c>
      <c r="K99" s="2">
        <f>K11/'Output-Calculation-sheet'!K10*'Output-Calculation-sheet'!K82</f>
        <v>3424543658.1931138</v>
      </c>
      <c r="L99" s="2">
        <f>L11/'Output-Calculation-sheet'!L10*'Output-Calculation-sheet'!L82</f>
        <v>2505873793.1798744</v>
      </c>
      <c r="M99" s="2">
        <f>M11/'Output-Calculation-sheet'!M10*'Output-Calculation-sheet'!M82</f>
        <v>2511815550.8683863</v>
      </c>
      <c r="N99" s="2">
        <f>N11/'Output-Calculation-sheet'!N10*'Output-Calculation-sheet'!N82</f>
        <v>1812682988.3005605</v>
      </c>
      <c r="O99" s="2">
        <f>O11/'Output-Calculation-sheet'!O10*'Output-Calculation-sheet'!O82</f>
        <v>1439843150.3359375</v>
      </c>
      <c r="P99" s="2">
        <f>P11/'Output-Calculation-sheet'!P10*'Output-Calculation-sheet'!P82</f>
        <v>2906520997.4286928</v>
      </c>
      <c r="Q99" s="2">
        <f>Q11/'Output-Calculation-sheet'!Q10*'Output-Calculation-sheet'!Q82</f>
        <v>1664015505.3357756</v>
      </c>
      <c r="R99" s="2">
        <f>R11/'Output-Calculation-sheet'!R10*'Output-Calculation-sheet'!R82</f>
        <v>2177292201.4553108</v>
      </c>
      <c r="S99" s="2">
        <f>S11/'Output-Calculation-sheet'!S10*'Output-Calculation-sheet'!S82</f>
        <v>1379169771.4112079</v>
      </c>
      <c r="T99" s="2">
        <f>T11/'Output-Calculation-sheet'!T10*'Output-Calculation-sheet'!T82</f>
        <v>860300245.93618941</v>
      </c>
      <c r="U99" s="2">
        <f>U11/'Output-Calculation-sheet'!U10*'Output-Calculation-sheet'!U82</f>
        <v>809210381.30635703</v>
      </c>
      <c r="V99" s="2">
        <f>V11/'Output-Calculation-sheet'!V10*'Output-Calculation-sheet'!V82</f>
        <v>529969795.04397976</v>
      </c>
      <c r="W99" s="2">
        <f>W11/'Output-Calculation-sheet'!W10*'Output-Calculation-sheet'!W82</f>
        <v>594693597.33623397</v>
      </c>
      <c r="X99" s="2">
        <f>X11/'Output-Calculation-sheet'!X10*'Output-Calculation-sheet'!X82</f>
        <v>286403006.85264212</v>
      </c>
      <c r="Y99" s="2">
        <f>Y11/'Output-Calculation-sheet'!Y10*'Output-Calculation-sheet'!Y82</f>
        <v>308992207.94182593</v>
      </c>
      <c r="AA99" s="2">
        <f t="shared" si="8"/>
        <v>95.011386311887676</v>
      </c>
    </row>
    <row r="100" spans="1:27" x14ac:dyDescent="0.25">
      <c r="A100" s="2">
        <v>2035</v>
      </c>
      <c r="B100" s="2">
        <f>B12/'Output-Calculation-sheet'!B11*'Output-Calculation-sheet'!B83</f>
        <v>22141960606.526852</v>
      </c>
      <c r="C100" s="2">
        <f>C12/'Output-Calculation-sheet'!C11*'Output-Calculation-sheet'!C83</f>
        <v>9207041829.5904465</v>
      </c>
      <c r="D100" s="2">
        <f>D12/'Output-Calculation-sheet'!D11*'Output-Calculation-sheet'!D83</f>
        <v>7130966185.2421875</v>
      </c>
      <c r="E100" s="2">
        <f>E12/'Output-Calculation-sheet'!E11*'Output-Calculation-sheet'!E83</f>
        <v>8544630241.5831995</v>
      </c>
      <c r="F100" s="2">
        <f>F12/'Output-Calculation-sheet'!F11*'Output-Calculation-sheet'!F83</f>
        <v>5113529395.1539774</v>
      </c>
      <c r="G100" s="2">
        <f>G12/'Output-Calculation-sheet'!G11*'Output-Calculation-sheet'!G83</f>
        <v>2448420703.6542792</v>
      </c>
      <c r="H100" s="2">
        <f>H12/'Output-Calculation-sheet'!H11*'Output-Calculation-sheet'!H83</f>
        <v>3286306201.3073168</v>
      </c>
      <c r="I100" s="2">
        <f>I12/'Output-Calculation-sheet'!I11*'Output-Calculation-sheet'!I83</f>
        <v>3116601071.1993589</v>
      </c>
      <c r="J100" s="2">
        <f>J12/'Output-Calculation-sheet'!J11*'Output-Calculation-sheet'!J83</f>
        <v>1840236490.2830102</v>
      </c>
      <c r="K100" s="2">
        <f>K12/'Output-Calculation-sheet'!K11*'Output-Calculation-sheet'!K83</f>
        <v>2992160712.3473721</v>
      </c>
      <c r="L100" s="2">
        <f>L12/'Output-Calculation-sheet'!L11*'Output-Calculation-sheet'!L83</f>
        <v>2201072543.4418917</v>
      </c>
      <c r="M100" s="2">
        <f>M12/'Output-Calculation-sheet'!M11*'Output-Calculation-sheet'!M83</f>
        <v>2200949860.4726238</v>
      </c>
      <c r="N100" s="2">
        <f>N12/'Output-Calculation-sheet'!N11*'Output-Calculation-sheet'!N83</f>
        <v>1596724859.8503809</v>
      </c>
      <c r="O100" s="2">
        <f>O12/'Output-Calculation-sheet'!O11*'Output-Calculation-sheet'!O83</f>
        <v>1272097951.5811582</v>
      </c>
      <c r="P100" s="2">
        <f>P12/'Output-Calculation-sheet'!P11*'Output-Calculation-sheet'!P83</f>
        <v>2523592477.8337784</v>
      </c>
      <c r="Q100" s="2">
        <f>Q12/'Output-Calculation-sheet'!Q11*'Output-Calculation-sheet'!Q83</f>
        <v>1469191584.3334336</v>
      </c>
      <c r="R100" s="2">
        <f>R12/'Output-Calculation-sheet'!R11*'Output-Calculation-sheet'!R83</f>
        <v>1909126063.8435552</v>
      </c>
      <c r="S100" s="2">
        <f>S12/'Output-Calculation-sheet'!S11*'Output-Calculation-sheet'!S83</f>
        <v>1211563576.4341877</v>
      </c>
      <c r="T100" s="2">
        <f>T12/'Output-Calculation-sheet'!T11*'Output-Calculation-sheet'!T83</f>
        <v>749243440.07468998</v>
      </c>
      <c r="U100" s="2">
        <f>U12/'Output-Calculation-sheet'!U11*'Output-Calculation-sheet'!U83</f>
        <v>706995406.32585788</v>
      </c>
      <c r="V100" s="2">
        <f>V12/'Output-Calculation-sheet'!V11*'Output-Calculation-sheet'!V83</f>
        <v>465518638.92641294</v>
      </c>
      <c r="W100" s="2">
        <f>W12/'Output-Calculation-sheet'!W11*'Output-Calculation-sheet'!W83</f>
        <v>512316251.182262</v>
      </c>
      <c r="X100" s="2">
        <f>X12/'Output-Calculation-sheet'!X11*'Output-Calculation-sheet'!X83</f>
        <v>250829559.30106899</v>
      </c>
      <c r="Y100" s="2">
        <f>Y12/'Output-Calculation-sheet'!Y11*'Output-Calculation-sheet'!Y83</f>
        <v>267606686.63456586</v>
      </c>
      <c r="AA100" s="2">
        <f t="shared" si="8"/>
        <v>83.158682337123878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1650.5587359768172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508.0931709469736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349.61754899656506</v>
      </c>
      <c r="N107" s="2">
        <f>N8/'Output-Calculation-sheet'!N7*'Output-Calculation-sheet'!N88</f>
        <v>137.44694058392056</v>
      </c>
      <c r="O107" s="2">
        <f>O8/'Output-Calculation-sheet'!O7*'Output-Calculation-sheet'!O88</f>
        <v>384.78925028222886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38.353772270708696</v>
      </c>
      <c r="Y107" s="2">
        <f>Y8/'Output-Calculation-sheet'!Y7*'Output-Calculation-sheet'!Y88</f>
        <v>0</v>
      </c>
      <c r="AA107" s="2">
        <f t="shared" si="9"/>
        <v>3.0688594190572136</v>
      </c>
    </row>
    <row r="108" spans="1:27" x14ac:dyDescent="0.25">
      <c r="A108" s="2">
        <v>2032</v>
      </c>
      <c r="B108" s="2">
        <f>B9/'Output-Calculation-sheet'!B8*'Output-Calculation-sheet'!B89</f>
        <v>694.23102155906338</v>
      </c>
      <c r="C108" s="2">
        <f>C9/'Output-Calculation-sheet'!C8*'Output-Calculation-sheet'!C89</f>
        <v>2635.9848887095254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710.0081657470306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488.55471568998911</v>
      </c>
      <c r="N108" s="2">
        <f>N9/'Output-Calculation-sheet'!N8*'Output-Calculation-sheet'!N89</f>
        <v>342.97861013803259</v>
      </c>
      <c r="O108" s="2">
        <f>O9/'Output-Calculation-sheet'!O8*'Output-Calculation-sheet'!O89</f>
        <v>512.09863412381128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157.28574362842789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53.59546842295029</v>
      </c>
      <c r="Y108" s="2">
        <f>Y9/'Output-Calculation-sheet'!Y8*'Output-Calculation-sheet'!Y89</f>
        <v>0</v>
      </c>
      <c r="AA108" s="2">
        <f t="shared" si="9"/>
        <v>5.5947372480188298</v>
      </c>
    </row>
    <row r="109" spans="1:27" x14ac:dyDescent="0.25">
      <c r="A109" s="2">
        <v>2033</v>
      </c>
      <c r="B109" s="2">
        <f>B10/'Output-Calculation-sheet'!B9*'Output-Calculation-sheet'!B90</f>
        <v>3180.7266893964993</v>
      </c>
      <c r="C109" s="2">
        <f>C10/'Output-Calculation-sheet'!C9*'Output-Calculation-sheet'!C90</f>
        <v>3019.2930119771845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929.43203233881968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639.53969013117637</v>
      </c>
      <c r="N109" s="2">
        <f>N10/'Output-Calculation-sheet'!N9*'Output-Calculation-sheet'!N90</f>
        <v>502.85103847222734</v>
      </c>
      <c r="O109" s="2">
        <f>O10/'Output-Calculation-sheet'!O9*'Output-Calculation-sheet'!O90</f>
        <v>586.56475387081252</v>
      </c>
      <c r="P109" s="2">
        <f>P10/'Output-Calculation-sheet'!P9*'Output-Calculation-sheet'!P90</f>
        <v>0</v>
      </c>
      <c r="Q109" s="2">
        <f>Q10/'Output-Calculation-sheet'!Q9*'Output-Calculation-sheet'!Q90</f>
        <v>110.14362482022413</v>
      </c>
      <c r="R109" s="2">
        <f>R10/'Output-Calculation-sheet'!R9*'Output-Calculation-sheet'!R90</f>
        <v>0</v>
      </c>
      <c r="S109" s="2">
        <f>S10/'Output-Calculation-sheet'!S9*'Output-Calculation-sheet'!S90</f>
        <v>252.22012770900591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70.15883414253824</v>
      </c>
      <c r="Y109" s="2">
        <f>Y10/'Output-Calculation-sheet'!Y9*'Output-Calculation-sheet'!Y90</f>
        <v>0</v>
      </c>
      <c r="AA109" s="2">
        <f t="shared" si="9"/>
        <v>9.2909298028584875</v>
      </c>
    </row>
    <row r="110" spans="1:27" x14ac:dyDescent="0.25">
      <c r="A110" s="2">
        <v>2034</v>
      </c>
      <c r="B110" s="2">
        <f>B11/'Output-Calculation-sheet'!B10*'Output-Calculation-sheet'!B91</f>
        <v>4813.9371840564745</v>
      </c>
      <c r="C110" s="2">
        <f>C11/'Output-Calculation-sheet'!C10*'Output-Calculation-sheet'!C91</f>
        <v>3300.2753449889547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937.77886993447805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645.2831267072429</v>
      </c>
      <c r="N110" s="2">
        <f>N11/'Output-Calculation-sheet'!N10*'Output-Calculation-sheet'!N91</f>
        <v>581.35794273617068</v>
      </c>
      <c r="O110" s="2">
        <f>O11/'Output-Calculation-sheet'!O10*'Output-Calculation-sheet'!O91</f>
        <v>641.15181526276649</v>
      </c>
      <c r="P110" s="2">
        <f>P11/'Output-Calculation-sheet'!P10*'Output-Calculation-sheet'!P91</f>
        <v>146.47435172099804</v>
      </c>
      <c r="Q110" s="2">
        <f>Q11/'Output-Calculation-sheet'!Q10*'Output-Calculation-sheet'!Q91</f>
        <v>324.13727010307474</v>
      </c>
      <c r="R110" s="2">
        <f>R11/'Output-Calculation-sheet'!R10*'Output-Calculation-sheet'!R91</f>
        <v>0</v>
      </c>
      <c r="S110" s="2">
        <f>S11/'Output-Calculation-sheet'!S10*'Output-Calculation-sheet'!S91</f>
        <v>333.25444224040541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70.788901080316251</v>
      </c>
      <c r="Y110" s="2">
        <f>Y11/'Output-Calculation-sheet'!Y10*'Output-Calculation-sheet'!Y91</f>
        <v>17.07816090195794</v>
      </c>
      <c r="AA110" s="2">
        <f t="shared" si="9"/>
        <v>11.81151740973284</v>
      </c>
    </row>
    <row r="111" spans="1:27" x14ac:dyDescent="0.25">
      <c r="A111" s="2">
        <v>2035</v>
      </c>
      <c r="B111" s="2">
        <f>B12/'Output-Calculation-sheet'!B11*'Output-Calculation-sheet'!B92</f>
        <v>6107.5333594772246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1360.487243275084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302.15870218994723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483.17044523499584</v>
      </c>
      <c r="Q111" s="2">
        <f>Q12/'Output-Calculation-sheet'!Q11*'Output-Calculation-sheet'!Q92</f>
        <v>458.23785316921266</v>
      </c>
      <c r="R111" s="2">
        <f>R12/'Output-Calculation-sheet'!R11*'Output-Calculation-sheet'!R92</f>
        <v>69.912184264176517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101.21914224453172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47.668250242213588</v>
      </c>
      <c r="AA111" s="2">
        <f t="shared" si="9"/>
        <v>14.915426428515113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7759246607.6681814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2387360885.7970204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1658227862.0129395</v>
      </c>
      <c r="N118" s="2">
        <f>N8/'Output-Calculation-sheet'!N7*'Output-Calculation-sheet'!N97</f>
        <v>1301236069.3734105</v>
      </c>
      <c r="O118" s="2">
        <f>O8/'Output-Calculation-sheet'!O7*'Output-Calculation-sheet'!O97</f>
        <v>865857435.0971961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471233822.82196832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178725490.55568331</v>
      </c>
      <c r="Y118" s="2">
        <f>Y8/'Output-Calculation-sheet'!Y7*'Output-Calculation-sheet'!Y97</f>
        <v>0</v>
      </c>
      <c r="AA118" s="2">
        <f t="shared" si="10"/>
        <v>15945.514439994366</v>
      </c>
    </row>
    <row r="119" spans="1:27" x14ac:dyDescent="0.25">
      <c r="A119" s="2">
        <v>2032</v>
      </c>
      <c r="B119" s="2">
        <f>B9/'Output-Calculation-sheet'!B8*'Output-Calculation-sheet'!B98</f>
        <v>5208157187.6852655</v>
      </c>
      <c r="C119" s="2">
        <f>C9/'Output-Calculation-sheet'!C8*'Output-Calculation-sheet'!C98</f>
        <v>4139548529.6313152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2474631373.3386493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1727301965.8975415</v>
      </c>
      <c r="N119" s="2">
        <f>N9/'Output-Calculation-sheet'!N8*'Output-Calculation-sheet'!N98</f>
        <v>1166491633.5642366</v>
      </c>
      <c r="O119" s="2">
        <f>O9/'Output-Calculation-sheet'!O8*'Output-Calculation-sheet'!O98</f>
        <v>808791291.0929563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484770390.4371776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184827502.79926953</v>
      </c>
      <c r="Y119" s="2">
        <f>Y9/'Output-Calculation-sheet'!Y8*'Output-Calculation-sheet'!Y98</f>
        <v>0</v>
      </c>
      <c r="AA119" s="2">
        <f t="shared" si="10"/>
        <v>16194.519874446411</v>
      </c>
    </row>
    <row r="120" spans="1:27" x14ac:dyDescent="0.25">
      <c r="A120" s="2">
        <v>2033</v>
      </c>
      <c r="B120" s="2">
        <f>B10/'Output-Calculation-sheet'!B9*'Output-Calculation-sheet'!B99</f>
        <v>4575899164.2011909</v>
      </c>
      <c r="C120" s="2">
        <f>C10/'Output-Calculation-sheet'!C9*'Output-Calculation-sheet'!C99</f>
        <v>3761673248.7183547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1233363549.2411385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872984966.16547406</v>
      </c>
      <c r="N120" s="2">
        <f>N10/'Output-Calculation-sheet'!N9*'Output-Calculation-sheet'!N99</f>
        <v>870273516.90448797</v>
      </c>
      <c r="O120" s="2">
        <f>O10/'Output-Calculation-sheet'!O9*'Output-Calculation-sheet'!O99</f>
        <v>736454596.94807088</v>
      </c>
      <c r="P120" s="2">
        <f>P10/'Output-Calculation-sheet'!P9*'Output-Calculation-sheet'!P99</f>
        <v>0</v>
      </c>
      <c r="Q120" s="2">
        <f>Q10/'Output-Calculation-sheet'!Q9*'Output-Calculation-sheet'!Q99</f>
        <v>5390280.8698307527</v>
      </c>
      <c r="R120" s="2">
        <f>R10/'Output-Calculation-sheet'!R9*'Output-Calculation-sheet'!R99</f>
        <v>0</v>
      </c>
      <c r="S120" s="2">
        <f>S10/'Output-Calculation-sheet'!S9*'Output-Calculation-sheet'!S99</f>
        <v>364464869.68209571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87171422.045339808</v>
      </c>
      <c r="Y120" s="2">
        <f>Y10/'Output-Calculation-sheet'!Y9*'Output-Calculation-sheet'!Y99</f>
        <v>0</v>
      </c>
      <c r="AA120" s="2">
        <f t="shared" si="10"/>
        <v>12507.675614775984</v>
      </c>
    </row>
    <row r="121" spans="1:27" x14ac:dyDescent="0.25">
      <c r="A121" s="2">
        <v>2034</v>
      </c>
      <c r="B121" s="2">
        <f>B11/'Output-Calculation-sheet'!B10*'Output-Calculation-sheet'!B100</f>
        <v>3605739675.3736949</v>
      </c>
      <c r="C121" s="2">
        <f>C11/'Output-Calculation-sheet'!C10*'Output-Calculation-sheet'!C100</f>
        <v>433256916.25135064</v>
      </c>
      <c r="D121" s="2">
        <f>D11/'Output-Calculation-sheet'!D10*'Output-Calculation-sheet'!D100</f>
        <v>0</v>
      </c>
      <c r="E121" s="2">
        <f>E11/'Output-Calculation-sheet'!E10*'Output-Calculation-sheet'!E100</f>
        <v>500012605.95815587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1140805965.4508986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415901748.6768719</v>
      </c>
      <c r="M121" s="2">
        <f>M11/'Output-Calculation-sheet'!M10*'Output-Calculation-sheet'!M100</f>
        <v>811907241.78688347</v>
      </c>
      <c r="N121" s="2">
        <f>N11/'Output-Calculation-sheet'!N10*'Output-Calculation-sheet'!N100</f>
        <v>541280416.54520512</v>
      </c>
      <c r="O121" s="2">
        <f>O11/'Output-Calculation-sheet'!O10*'Output-Calculation-sheet'!O100</f>
        <v>84984769.189775303</v>
      </c>
      <c r="P121" s="2">
        <f>P11/'Output-Calculation-sheet'!P10*'Output-Calculation-sheet'!P100</f>
        <v>0</v>
      </c>
      <c r="Q121" s="2">
        <f>Q11/'Output-Calculation-sheet'!Q10*'Output-Calculation-sheet'!Q100</f>
        <v>167206661.80855712</v>
      </c>
      <c r="R121" s="2">
        <f>R11/'Output-Calculation-sheet'!R10*'Output-Calculation-sheet'!R100</f>
        <v>0</v>
      </c>
      <c r="S121" s="2">
        <f>S11/'Output-Calculation-sheet'!S10*'Output-Calculation-sheet'!S100</f>
        <v>202380740.68539315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79775567.394735366</v>
      </c>
      <c r="Y121" s="2">
        <f>Y11/'Output-Calculation-sheet'!Y10*'Output-Calculation-sheet'!Y100</f>
        <v>5701066.4200648628</v>
      </c>
      <c r="AA121" s="2">
        <f t="shared" si="10"/>
        <v>7988.9533755415869</v>
      </c>
    </row>
    <row r="122" spans="1:27" x14ac:dyDescent="0.25">
      <c r="A122" s="2">
        <v>2035</v>
      </c>
      <c r="B122" s="2">
        <f>B12/'Output-Calculation-sheet'!B11*'Output-Calculation-sheet'!B101</f>
        <v>1073866174.5708148</v>
      </c>
      <c r="C122" s="2">
        <f>C12/'Output-Calculation-sheet'!C11*'Output-Calculation-sheet'!C101</f>
        <v>184683497.62792841</v>
      </c>
      <c r="D122" s="2">
        <f>D12/'Output-Calculation-sheet'!D11*'Output-Calculation-sheet'!D101</f>
        <v>0</v>
      </c>
      <c r="E122" s="2">
        <f>E12/'Output-Calculation-sheet'!E11*'Output-Calculation-sheet'!E101</f>
        <v>1073339448.6630003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288039186.2609272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629993606.3793453</v>
      </c>
      <c r="M122" s="2">
        <f>M12/'Output-Calculation-sheet'!M11*'Output-Calculation-sheet'!M101</f>
        <v>259820990.69383889</v>
      </c>
      <c r="N122" s="2">
        <f>N12/'Output-Calculation-sheet'!N11*'Output-Calculation-sheet'!N101</f>
        <v>217833678.27654311</v>
      </c>
      <c r="O122" s="2">
        <f>O12/'Output-Calculation-sheet'!O11*'Output-Calculation-sheet'!O101</f>
        <v>31477224.979013402</v>
      </c>
      <c r="P122" s="2">
        <f>P12/'Output-Calculation-sheet'!P11*'Output-Calculation-sheet'!P101</f>
        <v>13384719.132238293</v>
      </c>
      <c r="Q122" s="2">
        <f>Q12/'Output-Calculation-sheet'!Q11*'Output-Calculation-sheet'!Q101</f>
        <v>263834678.42785031</v>
      </c>
      <c r="R122" s="2">
        <f>R12/'Output-Calculation-sheet'!R11*'Output-Calculation-sheet'!R101</f>
        <v>0</v>
      </c>
      <c r="S122" s="2">
        <f>S12/'Output-Calculation-sheet'!S11*'Output-Calculation-sheet'!S101</f>
        <v>106658227.25333798</v>
      </c>
      <c r="T122" s="2">
        <f>T12/'Output-Calculation-sheet'!T11*'Output-Calculation-sheet'!T101</f>
        <v>0</v>
      </c>
      <c r="U122" s="2">
        <f>U12/'Output-Calculation-sheet'!U11*'Output-Calculation-sheet'!U101</f>
        <v>39216925.787507281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9215074.4670782592</v>
      </c>
      <c r="Y122" s="2">
        <f>Y12/'Output-Calculation-sheet'!Y11*'Output-Calculation-sheet'!Y101</f>
        <v>38077218.200917311</v>
      </c>
      <c r="AA122" s="2">
        <f t="shared" si="10"/>
        <v>4229.4406507203412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2159290544.0607905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2166781817.2257004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141933.62197298915</v>
      </c>
    </row>
    <row r="130" spans="1:27" x14ac:dyDescent="0.25">
      <c r="A130" s="2">
        <v>2032</v>
      </c>
      <c r="B130" s="2">
        <f>B9/'Output-Calculation-sheet'!B8*'Output-Calculation-sheet'!B107</f>
        <v>47130839158.356407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1714627576.3373809</v>
      </c>
      <c r="O130" s="2">
        <f>O9/'Output-Calculation-sheet'!O8*'Output-Calculation-sheet'!O107</f>
        <v>0</v>
      </c>
      <c r="P130" s="2">
        <f>P9/'Output-Calculation-sheet'!P8*'Output-Calculation-sheet'!P107</f>
        <v>5231956369.232933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1522860996.5303905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165982.30339251569</v>
      </c>
    </row>
    <row r="131" spans="1:27" x14ac:dyDescent="0.25">
      <c r="A131" s="2">
        <v>2033</v>
      </c>
      <c r="B131" s="2">
        <f>B10/'Output-Calculation-sheet'!B9*'Output-Calculation-sheet'!B108</f>
        <v>34134815284.104408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1250792162.8857908</v>
      </c>
      <c r="O131" s="2">
        <f>O10/'Output-Calculation-sheet'!O9*'Output-Calculation-sheet'!O108</f>
        <v>0</v>
      </c>
      <c r="P131" s="2">
        <f>P10/'Output-Calculation-sheet'!P9*'Output-Calculation-sheet'!P108</f>
        <v>5752743509.4634924</v>
      </c>
      <c r="Q131" s="2">
        <f>Q10/'Output-Calculation-sheet'!Q9*'Output-Calculation-sheet'!Q108</f>
        <v>4852793648.5305939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1213201743.3828373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162920.09822801215</v>
      </c>
    </row>
    <row r="132" spans="1:27" x14ac:dyDescent="0.25">
      <c r="A132" s="2">
        <v>2034</v>
      </c>
      <c r="B132" s="2">
        <f>B11/'Output-Calculation-sheet'!B10*'Output-Calculation-sheet'!B109</f>
        <v>20981277775.755474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20253214696.631493</v>
      </c>
      <c r="F132" s="2">
        <f>F11/'Output-Calculation-sheet'!F10*'Output-Calculation-sheet'!F109</f>
        <v>13357476079.298521</v>
      </c>
      <c r="G132" s="2">
        <f>G11/'Output-Calculation-sheet'!G10*'Output-Calculation-sheet'!G109</f>
        <v>9385589174.4919624</v>
      </c>
      <c r="H132" s="2">
        <f>H11/'Output-Calculation-sheet'!H10*'Output-Calculation-sheet'!H109</f>
        <v>0</v>
      </c>
      <c r="I132" s="2">
        <f>I11/'Output-Calculation-sheet'!I10*'Output-Calculation-sheet'!I109</f>
        <v>8550411840.297576</v>
      </c>
      <c r="J132" s="2">
        <f>J11/'Output-Calculation-sheet'!J10*'Output-Calculation-sheet'!J109</f>
        <v>8322437685.2735167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6196463364.9312983</v>
      </c>
      <c r="M132" s="2">
        <f>M11/'Output-Calculation-sheet'!M10*'Output-Calculation-sheet'!M109</f>
        <v>0</v>
      </c>
      <c r="N132" s="2">
        <f>N11/'Output-Calculation-sheet'!N10*'Output-Calculation-sheet'!N109</f>
        <v>814730258.43137729</v>
      </c>
      <c r="O132" s="2">
        <f>O11/'Output-Calculation-sheet'!O10*'Output-Calculation-sheet'!O109</f>
        <v>0</v>
      </c>
      <c r="P132" s="2">
        <f>P11/'Output-Calculation-sheet'!P10*'Output-Calculation-sheet'!P109</f>
        <v>4629075225.8701973</v>
      </c>
      <c r="Q132" s="2">
        <f>Q11/'Output-Calculation-sheet'!Q10*'Output-Calculation-sheet'!Q109</f>
        <v>3004929296.0028315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559157674.28170669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1711064481.5031784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551683816.21065474</v>
      </c>
      <c r="AA132" s="2">
        <f t="shared" si="11"/>
        <v>142474.82668201125</v>
      </c>
    </row>
    <row r="133" spans="1:27" x14ac:dyDescent="0.25">
      <c r="A133" s="2">
        <v>2035</v>
      </c>
      <c r="B133" s="2">
        <f>B12/'Output-Calculation-sheet'!B11*'Output-Calculation-sheet'!B110</f>
        <v>257314346.3655284</v>
      </c>
      <c r="C133" s="2">
        <f>C12/'Output-Calculation-sheet'!C11*'Output-Calculation-sheet'!C110</f>
        <v>0</v>
      </c>
      <c r="D133" s="2">
        <f>D12/'Output-Calculation-sheet'!D11*'Output-Calculation-sheet'!D110</f>
        <v>21753682204.463818</v>
      </c>
      <c r="E133" s="2">
        <f>E12/'Output-Calculation-sheet'!E11*'Output-Calculation-sheet'!E110</f>
        <v>8350409202.9731083</v>
      </c>
      <c r="F133" s="2">
        <f>F12/'Output-Calculation-sheet'!F11*'Output-Calculation-sheet'!F110</f>
        <v>11391406779.838232</v>
      </c>
      <c r="G133" s="2">
        <f>G12/'Output-Calculation-sheet'!G11*'Output-Calculation-sheet'!G110</f>
        <v>7765491190.486043</v>
      </c>
      <c r="H133" s="2">
        <f>H12/'Output-Calculation-sheet'!H11*'Output-Calculation-sheet'!H110</f>
        <v>0</v>
      </c>
      <c r="I133" s="2">
        <f>I12/'Output-Calculation-sheet'!I11*'Output-Calculation-sheet'!I110</f>
        <v>7254957537.4926357</v>
      </c>
      <c r="J133" s="2">
        <f>J12/'Output-Calculation-sheet'!J11*'Output-Calculation-sheet'!J110</f>
        <v>6945819725.5909281</v>
      </c>
      <c r="K133" s="2">
        <f>K12/'Output-Calculation-sheet'!K11*'Output-Calculation-sheet'!K110</f>
        <v>7015757008.8590345</v>
      </c>
      <c r="L133" s="2">
        <f>L12/'Output-Calculation-sheet'!L11*'Output-Calculation-sheet'!L110</f>
        <v>3311869597.7334013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1208387562.583638</v>
      </c>
      <c r="Q133" s="2">
        <f>Q12/'Output-Calculation-sheet'!Q11*'Output-Calculation-sheet'!Q110</f>
        <v>1036597197.5188463</v>
      </c>
      <c r="R133" s="2">
        <f>R12/'Output-Calculation-sheet'!R11*'Output-Calculation-sheet'!R110</f>
        <v>4167895672.498487</v>
      </c>
      <c r="S133" s="2">
        <f>S12/'Output-Calculation-sheet'!S11*'Output-Calculation-sheet'!S110</f>
        <v>1072501.9738474812</v>
      </c>
      <c r="T133" s="2">
        <f>T12/'Output-Calculation-sheet'!T11*'Output-Calculation-sheet'!T110</f>
        <v>1682627655.4898148</v>
      </c>
      <c r="U133" s="2">
        <f>U12/'Output-Calculation-sheet'!U11*'Output-Calculation-sheet'!U110</f>
        <v>789919882.39169002</v>
      </c>
      <c r="V133" s="2">
        <f>V12/'Output-Calculation-sheet'!V11*'Output-Calculation-sheet'!V110</f>
        <v>1134917414.6752632</v>
      </c>
      <c r="W133" s="2">
        <f>W12/'Output-Calculation-sheet'!W11*'Output-Calculation-sheet'!W110</f>
        <v>978937876.97322428</v>
      </c>
      <c r="X133" s="2">
        <f>X12/'Output-Calculation-sheet'!X11*'Output-Calculation-sheet'!X110</f>
        <v>0</v>
      </c>
      <c r="Y133" s="2">
        <f>Y12/'Output-Calculation-sheet'!Y11*'Output-Calculation-sheet'!Y110</f>
        <v>224099981.56845677</v>
      </c>
      <c r="AA133" s="2">
        <f t="shared" si="11"/>
        <v>85271.163339475999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14044471382.294748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4415228036.8950109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3034961835.5244417</v>
      </c>
      <c r="N140" s="2">
        <f>N8/'Output-Calculation-sheet'!N7*'Output-Calculation-sheet'!N115</f>
        <v>1145818387.5644429</v>
      </c>
      <c r="O140" s="2">
        <f>O8/'Output-Calculation-sheet'!O7*'Output-Calculation-sheet'!O115</f>
        <v>3370604747.4597697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329560416.7766704</v>
      </c>
      <c r="Y140" s="2">
        <f>Y8/'Output-Calculation-sheet'!Y7*'Output-Calculation-sheet'!Y115</f>
        <v>0</v>
      </c>
      <c r="AA140" s="2">
        <f t="shared" si="12"/>
        <v>26340.64480651508</v>
      </c>
    </row>
    <row r="141" spans="1:27" x14ac:dyDescent="0.25">
      <c r="A141" s="2">
        <v>2032</v>
      </c>
      <c r="B141" s="2">
        <f>B9/'Output-Calculation-sheet'!B8*'Output-Calculation-sheet'!B116</f>
        <v>5388142440.416193</v>
      </c>
      <c r="C141" s="2">
        <f>C9/'Output-Calculation-sheet'!C8*'Output-Calculation-sheet'!C116</f>
        <v>23064435577.38731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6012798336.3854094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4128280096.3044796</v>
      </c>
      <c r="N141" s="2">
        <f>N9/'Output-Calculation-sheet'!N8*'Output-Calculation-sheet'!N116</f>
        <v>2866108327.8734984</v>
      </c>
      <c r="O141" s="2">
        <f>O9/'Output-Calculation-sheet'!O8*'Output-Calculation-sheet'!O116</f>
        <v>4476942501.2480764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1283758579.4752464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449348782.39829469</v>
      </c>
      <c r="Y141" s="2">
        <f>Y9/'Output-Calculation-sheet'!Y8*'Output-Calculation-sheet'!Y116</f>
        <v>0</v>
      </c>
      <c r="AA141" s="2">
        <f t="shared" si="12"/>
        <v>47669.814641488505</v>
      </c>
    </row>
    <row r="142" spans="1:27" x14ac:dyDescent="0.25">
      <c r="A142" s="2">
        <v>2033</v>
      </c>
      <c r="B142" s="2">
        <f>B10/'Output-Calculation-sheet'!B9*'Output-Calculation-sheet'!B117</f>
        <v>24765881550.139961</v>
      </c>
      <c r="C142" s="2">
        <f>C10/'Output-Calculation-sheet'!C9*'Output-Calculation-sheet'!C117</f>
        <v>26151747584.991592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8099389392.2115622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5565795982.1259155</v>
      </c>
      <c r="N142" s="2">
        <f>N10/'Output-Calculation-sheet'!N9*'Output-Calculation-sheet'!N117</f>
        <v>4198568623.1064172</v>
      </c>
      <c r="O142" s="2">
        <f>O10/'Output-Calculation-sheet'!O9*'Output-Calculation-sheet'!O117</f>
        <v>5075722308.2151175</v>
      </c>
      <c r="P142" s="2">
        <f>P10/'Output-Calculation-sheet'!P9*'Output-Calculation-sheet'!P117</f>
        <v>0</v>
      </c>
      <c r="Q142" s="2">
        <f>Q10/'Output-Calculation-sheet'!Q9*'Output-Calculation-sheet'!Q117</f>
        <v>801867045.24152136</v>
      </c>
      <c r="R142" s="2">
        <f>R10/'Output-Calculation-sheet'!R9*'Output-Calculation-sheet'!R117</f>
        <v>0</v>
      </c>
      <c r="S142" s="2">
        <f>S10/'Output-Calculation-sheet'!S9*'Output-Calculation-sheet'!S117</f>
        <v>2041536161.2799122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610167006.9999423</v>
      </c>
      <c r="Y142" s="2">
        <f>Y10/'Output-Calculation-sheet'!Y9*'Output-Calculation-sheet'!Y117</f>
        <v>0</v>
      </c>
      <c r="AA142" s="2">
        <f t="shared" si="12"/>
        <v>77310.675654311941</v>
      </c>
    </row>
    <row r="143" spans="1:27" x14ac:dyDescent="0.25">
      <c r="A143" s="2">
        <v>2034</v>
      </c>
      <c r="B143" s="2">
        <f>B11/'Output-Calculation-sheet'!B10*'Output-Calculation-sheet'!B118</f>
        <v>37680277092.301437</v>
      </c>
      <c r="C143" s="2">
        <f>C11/'Output-Calculation-sheet'!C10*'Output-Calculation-sheet'!C118</f>
        <v>28910412022.103241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8014110045.2793016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5504179871.0925894</v>
      </c>
      <c r="N143" s="2">
        <f>N11/'Output-Calculation-sheet'!N10*'Output-Calculation-sheet'!N118</f>
        <v>4843236738.3479023</v>
      </c>
      <c r="O143" s="2">
        <f>O11/'Output-Calculation-sheet'!O10*'Output-Calculation-sheet'!O118</f>
        <v>5616489901.7018347</v>
      </c>
      <c r="P143" s="2">
        <f>P11/'Output-Calculation-sheet'!P10*'Output-Calculation-sheet'!P118</f>
        <v>1014040668.788264</v>
      </c>
      <c r="Q143" s="2">
        <f>Q11/'Output-Calculation-sheet'!Q10*'Output-Calculation-sheet'!Q118</f>
        <v>2380061796.5466299</v>
      </c>
      <c r="R143" s="2">
        <f>R11/'Output-Calculation-sheet'!R10*'Output-Calculation-sheet'!R118</f>
        <v>0</v>
      </c>
      <c r="S143" s="2">
        <f>S11/'Output-Calculation-sheet'!S10*'Output-Calculation-sheet'!S118</f>
        <v>2788730616.7628331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604275204.35826588</v>
      </c>
      <c r="Y143" s="2">
        <f>Y11/'Output-Calculation-sheet'!Y10*'Output-Calculation-sheet'!Y118</f>
        <v>107839566.46110231</v>
      </c>
      <c r="AA143" s="2">
        <f t="shared" si="12"/>
        <v>97463.6535237434</v>
      </c>
    </row>
    <row r="144" spans="1:27" x14ac:dyDescent="0.25">
      <c r="A144" s="2">
        <v>2035</v>
      </c>
      <c r="B144" s="2">
        <f>B12/'Output-Calculation-sheet'!B11*'Output-Calculation-sheet'!B119</f>
        <v>52727668045.099861</v>
      </c>
      <c r="C144" s="2">
        <f>C12/'Output-Calculation-sheet'!C11*'Output-Calculation-sheet'!C119</f>
        <v>25331543658.132442</v>
      </c>
      <c r="D144" s="2">
        <f>D12/'Output-Calculation-sheet'!D11*'Output-Calculation-sheet'!D119</f>
        <v>0</v>
      </c>
      <c r="E144" s="2">
        <f>E12/'Output-Calculation-sheet'!E11*'Output-Calculation-sheet'!E119</f>
        <v>8526936839.9544249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7653102184.8019629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1756972128.0896168</v>
      </c>
      <c r="M144" s="2">
        <f>M12/'Output-Calculation-sheet'!M11*'Output-Calculation-sheet'!M119</f>
        <v>5215825257.4973774</v>
      </c>
      <c r="N144" s="2">
        <f>N12/'Output-Calculation-sheet'!N11*'Output-Calculation-sheet'!N119</f>
        <v>5153260840.1921463</v>
      </c>
      <c r="O144" s="2">
        <f>O12/'Output-Calculation-sheet'!O11*'Output-Calculation-sheet'!O119</f>
        <v>4924481970.2947779</v>
      </c>
      <c r="P144" s="2">
        <f>P12/'Output-Calculation-sheet'!P11*'Output-Calculation-sheet'!P119</f>
        <v>3678447071.9866147</v>
      </c>
      <c r="Q144" s="2">
        <f>Q12/'Output-Calculation-sheet'!Q11*'Output-Calculation-sheet'!Q119</f>
        <v>3475033712.7766409</v>
      </c>
      <c r="R144" s="2">
        <f>R12/'Output-Calculation-sheet'!R11*'Output-Calculation-sheet'!R119</f>
        <v>391202297.97694933</v>
      </c>
      <c r="S144" s="2">
        <f>S12/'Output-Calculation-sheet'!S11*'Output-Calculation-sheet'!S119</f>
        <v>2969914144.1331034</v>
      </c>
      <c r="T144" s="2">
        <f>T12/'Output-Calculation-sheet'!T11*'Output-Calculation-sheet'!T119</f>
        <v>0</v>
      </c>
      <c r="U144" s="2">
        <f>U12/'Output-Calculation-sheet'!U11*'Output-Calculation-sheet'!U119</f>
        <v>646068493.54432905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585347546.80076969</v>
      </c>
      <c r="Y144" s="2">
        <f>Y12/'Output-Calculation-sheet'!Y11*'Output-Calculation-sheet'!Y119</f>
        <v>313253285.30039126</v>
      </c>
      <c r="AA144" s="2">
        <f t="shared" si="12"/>
        <v>123349.05747658139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228334391.40973085</v>
      </c>
      <c r="C155" s="2">
        <f>C12/'Output-Calculation-sheet'!C11*'Output-Calculation-sheet'!C128</f>
        <v>21814063.393456325</v>
      </c>
      <c r="D155" s="2">
        <f>D12/'Output-Calculation-sheet'!D11*'Output-Calculation-sheet'!D128</f>
        <v>1634123827.6146474</v>
      </c>
      <c r="E155" s="2">
        <f>E12/'Output-Calculation-sheet'!E11*'Output-Calculation-sheet'!E128</f>
        <v>243628281.31288332</v>
      </c>
      <c r="F155" s="2">
        <f>F12/'Output-Calculation-sheet'!F11*'Output-Calculation-sheet'!F128</f>
        <v>504696182.36992627</v>
      </c>
      <c r="G155" s="2">
        <f>G12/'Output-Calculation-sheet'!G11*'Output-Calculation-sheet'!G128</f>
        <v>634972893.34107137</v>
      </c>
      <c r="H155" s="2">
        <f>H12/'Output-Calculation-sheet'!H11*'Output-Calculation-sheet'!H128</f>
        <v>48119822.615467794</v>
      </c>
      <c r="I155" s="2">
        <f>I12/'Output-Calculation-sheet'!I11*'Output-Calculation-sheet'!I128</f>
        <v>381775606.22316229</v>
      </c>
      <c r="J155" s="2">
        <f>J12/'Output-Calculation-sheet'!J11*'Output-Calculation-sheet'!J128</f>
        <v>429573137.68362206</v>
      </c>
      <c r="K155" s="2">
        <f>K12/'Output-Calculation-sheet'!K11*'Output-Calculation-sheet'!K128</f>
        <v>322016932.00495404</v>
      </c>
      <c r="L155" s="2">
        <f>L12/'Output-Calculation-sheet'!L11*'Output-Calculation-sheet'!L128</f>
        <v>102179758.20101067</v>
      </c>
      <c r="M155" s="2">
        <f>M12/'Output-Calculation-sheet'!M11*'Output-Calculation-sheet'!M128</f>
        <v>38255596.934115604</v>
      </c>
      <c r="N155" s="2">
        <f>N12/'Output-Calculation-sheet'!N11*'Output-Calculation-sheet'!N128</f>
        <v>34965417.410414711</v>
      </c>
      <c r="O155" s="2">
        <f>O12/'Output-Calculation-sheet'!O11*'Output-Calculation-sheet'!O128</f>
        <v>6176882.7741184365</v>
      </c>
      <c r="P155" s="2">
        <f>P12/'Output-Calculation-sheet'!P11*'Output-Calculation-sheet'!P128</f>
        <v>26033793.160815399</v>
      </c>
      <c r="Q155" s="2">
        <f>Q12/'Output-Calculation-sheet'!Q11*'Output-Calculation-sheet'!Q128</f>
        <v>88070751.810713336</v>
      </c>
      <c r="R155" s="2">
        <f>R12/'Output-Calculation-sheet'!R11*'Output-Calculation-sheet'!R128</f>
        <v>178344574.73472455</v>
      </c>
      <c r="S155" s="2">
        <f>S12/'Output-Calculation-sheet'!S11*'Output-Calculation-sheet'!S128</f>
        <v>21440432.944062792</v>
      </c>
      <c r="T155" s="2">
        <f>T12/'Output-Calculation-sheet'!T11*'Output-Calculation-sheet'!T128</f>
        <v>55678324.463852808</v>
      </c>
      <c r="U155" s="2">
        <f>U12/'Output-Calculation-sheet'!U11*'Output-Calculation-sheet'!U128</f>
        <v>30646614.838635471</v>
      </c>
      <c r="V155" s="2">
        <f>V12/'Output-Calculation-sheet'!V11*'Output-Calculation-sheet'!V128</f>
        <v>22830490.657565847</v>
      </c>
      <c r="W155" s="2">
        <f>W12/'Output-Calculation-sheet'!W11*'Output-Calculation-sheet'!W128</f>
        <v>36902597.245474562</v>
      </c>
      <c r="X155" s="2">
        <f>X12/'Output-Calculation-sheet'!X11*'Output-Calculation-sheet'!X128</f>
        <v>1152548.5615040474</v>
      </c>
      <c r="Y155" s="2">
        <f>Y12/'Output-Calculation-sheet'!Y11*'Output-Calculation-sheet'!Y128</f>
        <v>7729944.2405173331</v>
      </c>
      <c r="AA155" s="2">
        <f t="shared" si="13"/>
        <v>5099.4628659464497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4926.7153346950017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1492.3613172169728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1036.653421947849</v>
      </c>
      <c r="N19" s="2">
        <f>N8/'Output-Calculation-sheet'!N7*'Output-Calculation-sheet'!N25</f>
        <v>862.37314486957757</v>
      </c>
      <c r="O19" s="2">
        <f>O8/'Output-Calculation-sheet'!O7*'Output-Calculation-sheet'!O25</f>
        <v>541.23236333081888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112.19473707112374</v>
      </c>
      <c r="Y19" s="2">
        <f>Y8/'Output-Calculation-sheet'!Y7*'Output-Calculation-sheet'!Y25</f>
        <v>0</v>
      </c>
      <c r="AA19" s="2">
        <f t="shared" si="0"/>
        <v>10.417483997550958</v>
      </c>
    </row>
    <row r="20" spans="1:27" x14ac:dyDescent="0.25">
      <c r="A20" s="2">
        <v>2032</v>
      </c>
      <c r="B20" s="2">
        <f>B9/'Output-Calculation-sheet'!B8*'Output-Calculation-sheet'!B26</f>
        <v>4915.974563220635</v>
      </c>
      <c r="C20" s="2">
        <f>C9/'Output-Calculation-sheet'!C8*'Output-Calculation-sheet'!C26</f>
        <v>2695.8004336336899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1618.3023112954061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1130.8808237338246</v>
      </c>
      <c r="N20" s="2">
        <f>N9/'Output-Calculation-sheet'!N8*'Output-Calculation-sheet'!N26</f>
        <v>783.73122718057266</v>
      </c>
      <c r="O20" s="2">
        <f>O9/'Output-Calculation-sheet'!O8*'Output-Calculation-sheet'!O26</f>
        <v>526.70944587096324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371.76542434297306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123.0563500580601</v>
      </c>
      <c r="Y20" s="2">
        <f>Y9/'Output-Calculation-sheet'!Y8*'Output-Calculation-sheet'!Y26</f>
        <v>0</v>
      </c>
      <c r="AA20" s="2">
        <f t="shared" si="0"/>
        <v>12.166220579336127</v>
      </c>
    </row>
    <row r="21" spans="1:27" x14ac:dyDescent="0.25">
      <c r="A21" s="2">
        <v>2033</v>
      </c>
      <c r="B21" s="2">
        <f>B10/'Output-Calculation-sheet'!B9*'Output-Calculation-sheet'!B27</f>
        <v>4232.1959676654797</v>
      </c>
      <c r="C21" s="2">
        <f>C10/'Output-Calculation-sheet'!C9*'Output-Calculation-sheet'!C27</f>
        <v>2601.2867491415304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852.90155567467173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603.69075696930315</v>
      </c>
      <c r="N21" s="2">
        <f>N10/'Output-Calculation-sheet'!N9*'Output-Calculation-sheet'!N27</f>
        <v>611.35599470129307</v>
      </c>
      <c r="O21" s="2">
        <f>O10/'Output-Calculation-sheet'!O9*'Output-Calculation-sheet'!O27</f>
        <v>509.27617577722555</v>
      </c>
      <c r="P21" s="2">
        <f>P10/'Output-Calculation-sheet'!P9*'Output-Calculation-sheet'!P27</f>
        <v>0</v>
      </c>
      <c r="Q21" s="2">
        <f>Q10/'Output-Calculation-sheet'!Q9*'Output-Calculation-sheet'!Q27</f>
        <v>7.2177847365704189</v>
      </c>
      <c r="R21" s="2">
        <f>R10/'Output-Calculation-sheet'!R9*'Output-Calculation-sheet'!R27</f>
        <v>0</v>
      </c>
      <c r="S21" s="2">
        <f>S10/'Output-Calculation-sheet'!S9*'Output-Calculation-sheet'!S27</f>
        <v>291.10508960292339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60.281116580707739</v>
      </c>
      <c r="Y21" s="2">
        <f>Y10/'Output-Calculation-sheet'!Y9*'Output-Calculation-sheet'!Y27</f>
        <v>0</v>
      </c>
      <c r="AA21" s="2">
        <f t="shared" si="0"/>
        <v>9.7693111908497041</v>
      </c>
    </row>
    <row r="22" spans="1:27" x14ac:dyDescent="0.25">
      <c r="A22" s="2">
        <v>2034</v>
      </c>
      <c r="B22" s="2">
        <f>B11/'Output-Calculation-sheet'!B10*'Output-Calculation-sheet'!B28</f>
        <v>3223.6687319675516</v>
      </c>
      <c r="C22" s="2">
        <f>C11/'Output-Calculation-sheet'!C10*'Output-Calculation-sheet'!C28</f>
        <v>325.41659976228243</v>
      </c>
      <c r="D22" s="2">
        <f>D11/'Output-Calculation-sheet'!D10*'Output-Calculation-sheet'!D28</f>
        <v>0</v>
      </c>
      <c r="E22" s="2">
        <f>E11/'Output-Calculation-sheet'!E10*'Output-Calculation-sheet'!E28</f>
        <v>1080.5589510717548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856.84740248164633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655.33964975598474</v>
      </c>
      <c r="M22" s="2">
        <f>M11/'Output-Calculation-sheet'!M10*'Output-Calculation-sheet'!M28</f>
        <v>609.81503031592024</v>
      </c>
      <c r="N22" s="2">
        <f>N11/'Output-Calculation-sheet'!N10*'Output-Calculation-sheet'!N28</f>
        <v>407.66482687176995</v>
      </c>
      <c r="O22" s="2">
        <f>O11/'Output-Calculation-sheet'!O10*'Output-Calculation-sheet'!O28</f>
        <v>63.831223385136354</v>
      </c>
      <c r="P22" s="2">
        <f>P11/'Output-Calculation-sheet'!P10*'Output-Calculation-sheet'!P28</f>
        <v>0</v>
      </c>
      <c r="Q22" s="2">
        <f>Q11/'Output-Calculation-sheet'!Q10*'Output-Calculation-sheet'!Q28</f>
        <v>193.25802454883126</v>
      </c>
      <c r="R22" s="2">
        <f>R11/'Output-Calculation-sheet'!R10*'Output-Calculation-sheet'!R28</f>
        <v>0</v>
      </c>
      <c r="S22" s="2">
        <f>S11/'Output-Calculation-sheet'!S10*'Output-Calculation-sheet'!S28</f>
        <v>152.64264440041566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59.918572600005398</v>
      </c>
      <c r="Y22" s="2">
        <f>Y11/'Output-Calculation-sheet'!Y10*'Output-Calculation-sheet'!Y28</f>
        <v>11.396690622256116</v>
      </c>
      <c r="AA22" s="2">
        <f t="shared" si="0"/>
        <v>7.6403583477835548</v>
      </c>
    </row>
    <row r="23" spans="1:27" x14ac:dyDescent="0.25">
      <c r="A23" s="2">
        <v>2035</v>
      </c>
      <c r="B23" s="2">
        <f>B12/'Output-Calculation-sheet'!B11*'Output-Calculation-sheet'!B29</f>
        <v>906.78000262214789</v>
      </c>
      <c r="C23" s="2">
        <f>C12/'Output-Calculation-sheet'!C11*'Output-Calculation-sheet'!C29</f>
        <v>155.94859344353517</v>
      </c>
      <c r="D23" s="2">
        <f>D12/'Output-Calculation-sheet'!D11*'Output-Calculation-sheet'!D29</f>
        <v>0</v>
      </c>
      <c r="E23" s="2">
        <f>E12/'Output-Calculation-sheet'!E11*'Output-Calculation-sheet'!E29</f>
        <v>1269.6950964943048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243.22343683356857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768.39217616639121</v>
      </c>
      <c r="M23" s="2">
        <f>M12/'Output-Calculation-sheet'!M11*'Output-Calculation-sheet'!M29</f>
        <v>219.39571097274504</v>
      </c>
      <c r="N23" s="2">
        <f>N12/'Output-Calculation-sheet'!N11*'Output-Calculation-sheet'!N29</f>
        <v>183.94126471434342</v>
      </c>
      <c r="O23" s="2">
        <f>O12/'Output-Calculation-sheet'!O11*'Output-Calculation-sheet'!O29</f>
        <v>26.579646371585987</v>
      </c>
      <c r="P23" s="2">
        <f>P12/'Output-Calculation-sheet'!P11*'Output-Calculation-sheet'!P29</f>
        <v>11.77870587479406</v>
      </c>
      <c r="Q23" s="2">
        <f>Q12/'Output-Calculation-sheet'!Q11*'Output-Calculation-sheet'!Q29</f>
        <v>237.15078047733689</v>
      </c>
      <c r="R23" s="2">
        <f>R12/'Output-Calculation-sheet'!R11*'Output-Calculation-sheet'!R29</f>
        <v>0</v>
      </c>
      <c r="S23" s="2">
        <f>S12/'Output-Calculation-sheet'!S11*'Output-Calculation-sheet'!S29</f>
        <v>90.063424551554363</v>
      </c>
      <c r="T23" s="2">
        <f>T12/'Output-Calculation-sheet'!T11*'Output-Calculation-sheet'!T29</f>
        <v>0</v>
      </c>
      <c r="U23" s="2">
        <f>U12/'Output-Calculation-sheet'!U11*'Output-Calculation-sheet'!U29</f>
        <v>64.573133213493577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7.7813255216831756</v>
      </c>
      <c r="Y23" s="2">
        <f>Y12/'Output-Calculation-sheet'!Y11*'Output-Calculation-sheet'!Y29</f>
        <v>41.701092549048767</v>
      </c>
      <c r="AA23" s="2">
        <f t="shared" si="0"/>
        <v>4.2270043898065328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983.08714332732188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38.544343903116648</v>
      </c>
    </row>
    <row r="31" spans="1:27" x14ac:dyDescent="0.25">
      <c r="A31" s="2">
        <v>2032</v>
      </c>
      <c r="B31" s="2">
        <f>B9/'Output-Calculation-sheet'!B8*'Output-Calculation-sheet'!B17</f>
        <v>20668.792705502947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808.17157801902727</v>
      </c>
      <c r="O31" s="2">
        <f>O9/'Output-Calculation-sheet'!O8*'Output-Calculation-sheet'!O17</f>
        <v>0</v>
      </c>
      <c r="P31" s="2">
        <f>P9/'Output-Calculation-sheet'!P8*'Output-Calculation-sheet'!P17</f>
        <v>2020.4343812529535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668.89757359159137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47.35519743437122</v>
      </c>
    </row>
    <row r="32" spans="1:27" x14ac:dyDescent="0.25">
      <c r="A32" s="2">
        <v>2033</v>
      </c>
      <c r="B32" s="2">
        <f>B10/'Output-Calculation-sheet'!B9*'Output-Calculation-sheet'!B18</f>
        <v>15308.971740956929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2396.8321102032432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619.63356157618239</v>
      </c>
      <c r="O32" s="2">
        <f>O10/'Output-Calculation-sheet'!O9*'Output-Calculation-sheet'!O18</f>
        <v>0</v>
      </c>
      <c r="P32" s="2">
        <f>P10/'Output-Calculation-sheet'!P9*'Output-Calculation-sheet'!P18</f>
        <v>2466.8192545634679</v>
      </c>
      <c r="Q32" s="2">
        <f>Q10/'Output-Calculation-sheet'!Q9*'Output-Calculation-sheet'!Q18</f>
        <v>2283.9335625397362</v>
      </c>
      <c r="R32" s="2">
        <f>R10/'Output-Calculation-sheet'!R9*'Output-Calculation-sheet'!R18</f>
        <v>1771.3583221662852</v>
      </c>
      <c r="S32" s="2">
        <f>S10/'Output-Calculation-sheet'!S9*'Output-Calculation-sheet'!S18</f>
        <v>563.6833889752246</v>
      </c>
      <c r="T32" s="2">
        <f>T10/'Output-Calculation-sheet'!T9*'Output-Calculation-sheet'!T18</f>
        <v>517.18301026357346</v>
      </c>
      <c r="U32" s="2">
        <f>U10/'Output-Calculation-sheet'!U9*'Output-Calculation-sheet'!U18</f>
        <v>571.74055338882499</v>
      </c>
      <c r="V32" s="2">
        <f>V10/'Output-Calculation-sheet'!V9*'Output-Calculation-sheet'!V18</f>
        <v>422.02164367750919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244.31729735760345</v>
      </c>
      <c r="AA32" s="2">
        <f t="shared" si="1"/>
        <v>48.668637739576553</v>
      </c>
    </row>
    <row r="33" spans="1:27" x14ac:dyDescent="0.25">
      <c r="A33" s="2">
        <v>2034</v>
      </c>
      <c r="B33" s="2">
        <f>B11/'Output-Calculation-sheet'!B10*'Output-Calculation-sheet'!B19</f>
        <v>9753.7057590357581</v>
      </c>
      <c r="C33" s="2">
        <f>C11/'Output-Calculation-sheet'!C10*'Output-Calculation-sheet'!C19</f>
        <v>0</v>
      </c>
      <c r="D33" s="2">
        <f>D11/'Output-Calculation-sheet'!D10*'Output-Calculation-sheet'!D19</f>
        <v>6486.0316704033212</v>
      </c>
      <c r="E33" s="2">
        <f>E11/'Output-Calculation-sheet'!E10*'Output-Calculation-sheet'!E19</f>
        <v>8040.1293815581985</v>
      </c>
      <c r="F33" s="2">
        <f>F11/'Output-Calculation-sheet'!F10*'Output-Calculation-sheet'!F19</f>
        <v>3681.4358965792671</v>
      </c>
      <c r="G33" s="2">
        <f>G11/'Output-Calculation-sheet'!G10*'Output-Calculation-sheet'!G19</f>
        <v>2207.6177948228237</v>
      </c>
      <c r="H33" s="2">
        <f>H11/'Output-Calculation-sheet'!H10*'Output-Calculation-sheet'!H19</f>
        <v>0</v>
      </c>
      <c r="I33" s="2">
        <f>I11/'Output-Calculation-sheet'!I10*'Output-Calculation-sheet'!I19</f>
        <v>2409.1343607999697</v>
      </c>
      <c r="J33" s="2">
        <f>J11/'Output-Calculation-sheet'!J10*'Output-Calculation-sheet'!J19</f>
        <v>2036.8473170266316</v>
      </c>
      <c r="K33" s="2">
        <f>K11/'Output-Calculation-sheet'!K10*'Output-Calculation-sheet'!K19</f>
        <v>2825.5453244634568</v>
      </c>
      <c r="L33" s="2">
        <f>L11/'Output-Calculation-sheet'!L10*'Output-Calculation-sheet'!L19</f>
        <v>2298.0233348922516</v>
      </c>
      <c r="M33" s="2">
        <f>M11/'Output-Calculation-sheet'!M10*'Output-Calculation-sheet'!M19</f>
        <v>0</v>
      </c>
      <c r="N33" s="2">
        <f>N11/'Output-Calculation-sheet'!N10*'Output-Calculation-sheet'!N19</f>
        <v>436.21098507254032</v>
      </c>
      <c r="O33" s="2">
        <f>O11/'Output-Calculation-sheet'!O10*'Output-Calculation-sheet'!O19</f>
        <v>0</v>
      </c>
      <c r="P33" s="2">
        <f>P11/'Output-Calculation-sheet'!P10*'Output-Calculation-sheet'!P19</f>
        <v>2159.3154509532824</v>
      </c>
      <c r="Q33" s="2">
        <f>Q11/'Output-Calculation-sheet'!Q10*'Output-Calculation-sheet'!Q19</f>
        <v>1395.8691811710426</v>
      </c>
      <c r="R33" s="2">
        <f>R11/'Output-Calculation-sheet'!R10*'Output-Calculation-sheet'!R19</f>
        <v>2041.6605595762053</v>
      </c>
      <c r="S33" s="2">
        <f>S11/'Output-Calculation-sheet'!S10*'Output-Calculation-sheet'!S19</f>
        <v>277.29891122350131</v>
      </c>
      <c r="T33" s="2">
        <f>T11/'Output-Calculation-sheet'!T10*'Output-Calculation-sheet'!T19</f>
        <v>598.80813066354608</v>
      </c>
      <c r="U33" s="2">
        <f>U11/'Output-Calculation-sheet'!U10*'Output-Calculation-sheet'!U19</f>
        <v>688.80808151213876</v>
      </c>
      <c r="V33" s="2">
        <f>V11/'Output-Calculation-sheet'!V10*'Output-Calculation-sheet'!V19</f>
        <v>469.71480305964019</v>
      </c>
      <c r="W33" s="2">
        <f>W11/'Output-Calculation-sheet'!W10*'Output-Calculation-sheet'!W19</f>
        <v>292.42824090613107</v>
      </c>
      <c r="X33" s="2">
        <f>X11/'Output-Calculation-sheet'!X10*'Output-Calculation-sheet'!X19</f>
        <v>0</v>
      </c>
      <c r="Y33" s="2">
        <f>Y11/'Output-Calculation-sheet'!Y10*'Output-Calculation-sheet'!Y19</f>
        <v>223.28241754116817</v>
      </c>
      <c r="AA33" s="2">
        <f t="shared" si="1"/>
        <v>48.321867601260877</v>
      </c>
    </row>
    <row r="34" spans="1:27" x14ac:dyDescent="0.25">
      <c r="A34" s="2">
        <v>2035</v>
      </c>
      <c r="B34" s="2">
        <f>B12/'Output-Calculation-sheet'!B11*'Output-Calculation-sheet'!B20</f>
        <v>129.26266617446893</v>
      </c>
      <c r="C34" s="2">
        <f>C12/'Output-Calculation-sheet'!C11*'Output-Calculation-sheet'!C20</f>
        <v>0</v>
      </c>
      <c r="D34" s="2">
        <f>D12/'Output-Calculation-sheet'!D11*'Output-Calculation-sheet'!D20</f>
        <v>6404.3692661128543</v>
      </c>
      <c r="E34" s="2">
        <f>E12/'Output-Calculation-sheet'!E11*'Output-Calculation-sheet'!E20</f>
        <v>2580.8975495654322</v>
      </c>
      <c r="F34" s="2">
        <f>F12/'Output-Calculation-sheet'!F11*'Output-Calculation-sheet'!F20</f>
        <v>4231.0495362367774</v>
      </c>
      <c r="G34" s="2">
        <f>G12/'Output-Calculation-sheet'!G11*'Output-Calculation-sheet'!G20</f>
        <v>2117.0665799578424</v>
      </c>
      <c r="H34" s="2">
        <f>H12/'Output-Calculation-sheet'!H11*'Output-Calculation-sheet'!H20</f>
        <v>0</v>
      </c>
      <c r="I34" s="2">
        <f>I12/'Output-Calculation-sheet'!I11*'Output-Calculation-sheet'!I20</f>
        <v>2566.3578653570839</v>
      </c>
      <c r="J34" s="2">
        <f>J12/'Output-Calculation-sheet'!J11*'Output-Calculation-sheet'!J20</f>
        <v>2150.5728719390167</v>
      </c>
      <c r="K34" s="2">
        <f>K12/'Output-Calculation-sheet'!K11*'Output-Calculation-sheet'!K20</f>
        <v>3034.1461597899029</v>
      </c>
      <c r="L34" s="2">
        <f>L12/'Output-Calculation-sheet'!L11*'Output-Calculation-sheet'!L20</f>
        <v>1159.0350130268541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488.75556514065585</v>
      </c>
      <c r="Q34" s="2">
        <f>Q12/'Output-Calculation-sheet'!Q11*'Output-Calculation-sheet'!Q20</f>
        <v>475.10474283553884</v>
      </c>
      <c r="R34" s="2">
        <f>R12/'Output-Calculation-sheet'!R11*'Output-Calculation-sheet'!R20</f>
        <v>1913.6642327691056</v>
      </c>
      <c r="S34" s="2">
        <f>S12/'Output-Calculation-sheet'!S11*'Output-Calculation-sheet'!S20</f>
        <v>0.59797382825552337</v>
      </c>
      <c r="T34" s="2">
        <f>T12/'Output-Calculation-sheet'!T11*'Output-Calculation-sheet'!T20</f>
        <v>628.97067142494893</v>
      </c>
      <c r="U34" s="2">
        <f>U12/'Output-Calculation-sheet'!U11*'Output-Calculation-sheet'!U20</f>
        <v>264.82383316945743</v>
      </c>
      <c r="V34" s="2">
        <f>V12/'Output-Calculation-sheet'!V11*'Output-Calculation-sheet'!V20</f>
        <v>568.54584420565288</v>
      </c>
      <c r="W34" s="2">
        <f>W12/'Output-Calculation-sheet'!W11*'Output-Calculation-sheet'!W20</f>
        <v>336.71292880242953</v>
      </c>
      <c r="X34" s="2">
        <f>X12/'Output-Calculation-sheet'!X11*'Output-Calculation-sheet'!X20</f>
        <v>0</v>
      </c>
      <c r="Y34" s="2">
        <f>Y12/'Output-Calculation-sheet'!Y11*'Output-Calculation-sheet'!Y20</f>
        <v>71.608372865724093</v>
      </c>
      <c r="AA34" s="2">
        <f t="shared" si="1"/>
        <v>29.121541673201992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5.5391731340447725E-2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7.566194115774626E-3</v>
      </c>
      <c r="Q45" s="2">
        <f>Q12/'Output-Calculation-sheet'!Q11*'Output-Calculation-sheet'!Q38*0.0114</f>
        <v>7.1757628854716453E-3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6.8684994554141197E-3</v>
      </c>
      <c r="V45" s="2">
        <f>V12/'Output-Calculation-sheet'!V11*'Output-Calculation-sheet'!V38*0.0114</f>
        <v>3.5308087366943157E-3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2.6465387081031685E-3</v>
      </c>
      <c r="AA45" s="2">
        <f t="shared" si="2"/>
        <v>0.62686839102288816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0.13178335864701038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157.04842932729656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0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14.653778323182371</v>
      </c>
      <c r="AA54" s="2">
        <f t="shared" si="3"/>
        <v>3.8685396376242265</v>
      </c>
    </row>
    <row r="55" spans="1:27" x14ac:dyDescent="0.25">
      <c r="A55" s="2">
        <v>2034</v>
      </c>
      <c r="B55" s="2">
        <f>B11/'Output-Calculation-sheet'!B10*'Output-Calculation-sheet'!B46</f>
        <v>1274.3922816894885</v>
      </c>
      <c r="C55" s="2">
        <f>C11/'Output-Calculation-sheet'!C10*'Output-Calculation-sheet'!C46</f>
        <v>0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434.45140415098655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322.00630625873919</v>
      </c>
      <c r="N55" s="2">
        <f>N11/'Output-Calculation-sheet'!N10*'Output-Calculation-sheet'!N46</f>
        <v>109.97049622999342</v>
      </c>
      <c r="O55" s="2">
        <f>O11/'Output-Calculation-sheet'!O10*'Output-Calculation-sheet'!O46</f>
        <v>0</v>
      </c>
      <c r="P55" s="2">
        <f>P11/'Output-Calculation-sheet'!P10*'Output-Calculation-sheet'!P46</f>
        <v>2391.7107917396215</v>
      </c>
      <c r="Q55" s="2">
        <f>Q11/'Output-Calculation-sheet'!Q10*'Output-Calculation-sheet'!Q46</f>
        <v>461.89635790111754</v>
      </c>
      <c r="R55" s="2">
        <f>R11/'Output-Calculation-sheet'!R10*'Output-Calculation-sheet'!R46</f>
        <v>2962.0552129870866</v>
      </c>
      <c r="S55" s="2">
        <f>S11/'Output-Calculation-sheet'!S10*'Output-Calculation-sheet'!S46</f>
        <v>0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1125.4769432803243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30.733479514917345</v>
      </c>
      <c r="Y55" s="2">
        <f>Y11/'Output-Calculation-sheet'!Y10*'Output-Calculation-sheet'!Y46</f>
        <v>159.59472027136081</v>
      </c>
      <c r="AA55" s="2">
        <f t="shared" si="3"/>
        <v>31.889320820692234</v>
      </c>
    </row>
    <row r="56" spans="1:27" x14ac:dyDescent="0.25">
      <c r="A56" s="2">
        <v>2035</v>
      </c>
      <c r="B56" s="2">
        <f>B12/'Output-Calculation-sheet'!B11*'Output-Calculation-sheet'!B47</f>
        <v>356.27577019625255</v>
      </c>
      <c r="C56" s="2">
        <f>C12/'Output-Calculation-sheet'!C11*'Output-Calculation-sheet'!C47</f>
        <v>269.17438124796956</v>
      </c>
      <c r="D56" s="2">
        <f>D12/'Output-Calculation-sheet'!D11*'Output-Calculation-sheet'!D47</f>
        <v>12716.907784665289</v>
      </c>
      <c r="E56" s="2">
        <f>E12/'Output-Calculation-sheet'!E11*'Output-Calculation-sheet'!E47</f>
        <v>5835.567485954185</v>
      </c>
      <c r="F56" s="2">
        <f>F12/'Output-Calculation-sheet'!F11*'Output-Calculation-sheet'!F47</f>
        <v>2991.7542862498576</v>
      </c>
      <c r="G56" s="2">
        <f>G12/'Output-Calculation-sheet'!G11*'Output-Calculation-sheet'!G47</f>
        <v>4804.1901868793284</v>
      </c>
      <c r="H56" s="2">
        <f>H12/'Output-Calculation-sheet'!H11*'Output-Calculation-sheet'!H47</f>
        <v>104.10643400153619</v>
      </c>
      <c r="I56" s="2">
        <f>I12/'Output-Calculation-sheet'!I11*'Output-Calculation-sheet'!I47</f>
        <v>4376.3061736733534</v>
      </c>
      <c r="J56" s="2">
        <f>J12/'Output-Calculation-sheet'!J11*'Output-Calculation-sheet'!J47</f>
        <v>3775.6748800178461</v>
      </c>
      <c r="K56" s="2">
        <f>K12/'Output-Calculation-sheet'!K11*'Output-Calculation-sheet'!K47</f>
        <v>5092.23992250836</v>
      </c>
      <c r="L56" s="2">
        <f>L12/'Output-Calculation-sheet'!L11*'Output-Calculation-sheet'!L47</f>
        <v>2270.063388420157</v>
      </c>
      <c r="M56" s="2">
        <f>M12/'Output-Calculation-sheet'!M11*'Output-Calculation-sheet'!M47</f>
        <v>96.488441632301857</v>
      </c>
      <c r="N56" s="2">
        <f>N12/'Output-Calculation-sheet'!N11*'Output-Calculation-sheet'!N47</f>
        <v>65.376943944746387</v>
      </c>
      <c r="O56" s="2">
        <f>O12/'Output-Calculation-sheet'!O11*'Output-Calculation-sheet'!O47</f>
        <v>48.940982321691394</v>
      </c>
      <c r="P56" s="2">
        <f>P12/'Output-Calculation-sheet'!P11*'Output-Calculation-sheet'!P47</f>
        <v>511.04995343390016</v>
      </c>
      <c r="Q56" s="2">
        <f>Q12/'Output-Calculation-sheet'!Q11*'Output-Calculation-sheet'!Q47</f>
        <v>486.56707986575282</v>
      </c>
      <c r="R56" s="2">
        <f>R12/'Output-Calculation-sheet'!R11*'Output-Calculation-sheet'!R47</f>
        <v>3589.8959555358874</v>
      </c>
      <c r="S56" s="2">
        <f>S12/'Output-Calculation-sheet'!S11*'Output-Calculation-sheet'!S47</f>
        <v>34.181699549041625</v>
      </c>
      <c r="T56" s="2">
        <f>T12/'Output-Calculation-sheet'!T11*'Output-Calculation-sheet'!T47</f>
        <v>1571.7661949717731</v>
      </c>
      <c r="U56" s="2">
        <f>U12/'Output-Calculation-sheet'!U11*'Output-Calculation-sheet'!U47</f>
        <v>632.22328320595466</v>
      </c>
      <c r="V56" s="2">
        <f>V12/'Output-Calculation-sheet'!V11*'Output-Calculation-sheet'!V47</f>
        <v>853.12391800214846</v>
      </c>
      <c r="W56" s="2">
        <f>W12/'Output-Calculation-sheet'!W11*'Output-Calculation-sheet'!W47</f>
        <v>456.87255681625481</v>
      </c>
      <c r="X56" s="2">
        <f>X12/'Output-Calculation-sheet'!X11*'Output-Calculation-sheet'!X47</f>
        <v>7.3774122035393939</v>
      </c>
      <c r="Y56" s="2">
        <f>Y12/'Output-Calculation-sheet'!Y11*'Output-Calculation-sheet'!Y47</f>
        <v>149.73837427425821</v>
      </c>
      <c r="AA56" s="2">
        <f t="shared" si="3"/>
        <v>51.0958634895714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7.1085190701385388</v>
      </c>
      <c r="C63" s="2">
        <f>C8*'Output-Calculation-sheet'!C52/10^9</f>
        <v>3.7977364817234034</v>
      </c>
      <c r="D63" s="2">
        <f>D8*'Output-Calculation-sheet'!D52/10^9</f>
        <v>2.4376635262692163</v>
      </c>
      <c r="E63" s="2">
        <f>E8*'Output-Calculation-sheet'!E52/10^9</f>
        <v>2.4236914197632466</v>
      </c>
      <c r="F63" s="2">
        <f>F8*'Output-Calculation-sheet'!F52/10^9</f>
        <v>1.0264331159041926</v>
      </c>
      <c r="G63" s="2">
        <f>G8*'Output-Calculation-sheet'!G52/10^9</f>
        <v>0.73795904004663371</v>
      </c>
      <c r="H63" s="2">
        <f>H8*'Output-Calculation-sheet'!H52/10^9</f>
        <v>1.2002194847785248</v>
      </c>
      <c r="I63" s="2">
        <f>I8*'Output-Calculation-sheet'!I52/10^9</f>
        <v>0.68647323363808599</v>
      </c>
      <c r="J63" s="2">
        <f>J8*'Output-Calculation-sheet'!J52/10^9</f>
        <v>0.94463369996777857</v>
      </c>
      <c r="K63" s="2">
        <f>K8*'Output-Calculation-sheet'!K52/10^9</f>
        <v>0.82994472308314504</v>
      </c>
      <c r="L63" s="2">
        <f>L8*'Output-Calculation-sheet'!L52/10^9</f>
        <v>1.1163155846723489</v>
      </c>
      <c r="M63" s="2">
        <f>M8*'Output-Calculation-sheet'!M52/10^9</f>
        <v>0.98325936517927315</v>
      </c>
      <c r="N63" s="2">
        <f>N8*'Output-Calculation-sheet'!N52/10^9</f>
        <v>0.86758385664285498</v>
      </c>
      <c r="O63" s="2">
        <f>O8*'Output-Calculation-sheet'!O52/10^9</f>
        <v>0.7769840996414008</v>
      </c>
      <c r="P63" s="2">
        <f>P8*'Output-Calculation-sheet'!P52/10^9</f>
        <v>0.57346941589597922</v>
      </c>
      <c r="Q63" s="2">
        <f>Q8*'Output-Calculation-sheet'!Q52/10^9</f>
        <v>0.64899932592991383</v>
      </c>
      <c r="R63" s="2">
        <f>R8*'Output-Calculation-sheet'!R52/10^9</f>
        <v>0.58267256815171209</v>
      </c>
      <c r="S63" s="2">
        <f>S8*'Output-Calculation-sheet'!S52/10^9</f>
        <v>0.43178101811468617</v>
      </c>
      <c r="T63" s="2">
        <f>T8*'Output-Calculation-sheet'!T52/10^9</f>
        <v>0.22152378695761485</v>
      </c>
      <c r="U63" s="2">
        <f>U8*'Output-Calculation-sheet'!U52/10^9</f>
        <v>0.15214016310826037</v>
      </c>
      <c r="V63" s="2">
        <f>V8*'Output-Calculation-sheet'!V52/10^9</f>
        <v>0.27001283597763898</v>
      </c>
      <c r="W63" s="2">
        <f>W8*'Output-Calculation-sheet'!W52/10^9</f>
        <v>9.7731996394619297E-2</v>
      </c>
      <c r="X63" s="2">
        <f>X8*'Output-Calculation-sheet'!X52/10^9</f>
        <v>0.10070123755176502</v>
      </c>
      <c r="Y63" s="2">
        <f>Y8*'Output-Calculation-sheet'!Y52/10^9</f>
        <v>6.3767408981955501E-2</v>
      </c>
      <c r="AA63" s="2">
        <f t="shared" si="4"/>
        <v>28.080216458512783</v>
      </c>
    </row>
    <row r="64" spans="1:27" x14ac:dyDescent="0.25">
      <c r="A64" s="2">
        <v>2032</v>
      </c>
      <c r="B64" s="2">
        <f>B9*'Output-Calculation-sheet'!B53/10^9</f>
        <v>7.0481261816177287</v>
      </c>
      <c r="C64" s="2">
        <f>C9*'Output-Calculation-sheet'!C53/10^9</f>
        <v>3.7364293683640017</v>
      </c>
      <c r="D64" s="2">
        <f>D9*'Output-Calculation-sheet'!D53/10^9</f>
        <v>2.0874252782934546</v>
      </c>
      <c r="E64" s="2">
        <f>E9*'Output-Calculation-sheet'!E53/10^9</f>
        <v>2.1376153273020502</v>
      </c>
      <c r="F64" s="2">
        <f>F9*'Output-Calculation-sheet'!F53/10^9</f>
        <v>0.90163274110736358</v>
      </c>
      <c r="G64" s="2">
        <f>G9*'Output-Calculation-sheet'!G53/10^9</f>
        <v>0.64175460318198385</v>
      </c>
      <c r="H64" s="2">
        <f>H9*'Output-Calculation-sheet'!H53/10^9</f>
        <v>1.1726506376008987</v>
      </c>
      <c r="I64" s="2">
        <f>I9*'Output-Calculation-sheet'!I53/10^9</f>
        <v>0.59993566794225806</v>
      </c>
      <c r="J64" s="2">
        <f>J9*'Output-Calculation-sheet'!J53/10^9</f>
        <v>0.79419292640735917</v>
      </c>
      <c r="K64" s="2">
        <f>K9*'Output-Calculation-sheet'!K53/10^9</f>
        <v>0.73690298296993773</v>
      </c>
      <c r="L64" s="2">
        <f>L9*'Output-Calculation-sheet'!L53/10^9</f>
        <v>0.94802348504031919</v>
      </c>
      <c r="M64" s="2">
        <f>M9*'Output-Calculation-sheet'!M53/10^9</f>
        <v>0.93036112933594106</v>
      </c>
      <c r="N64" s="2">
        <f>N9*'Output-Calculation-sheet'!N53/10^9</f>
        <v>0.83762562287533426</v>
      </c>
      <c r="O64" s="2">
        <f>O9*'Output-Calculation-sheet'!O53/10^9</f>
        <v>0.75665492819253888</v>
      </c>
      <c r="P64" s="2">
        <f>P9*'Output-Calculation-sheet'!P53/10^9</f>
        <v>0.56182734722160821</v>
      </c>
      <c r="Q64" s="2">
        <f>Q9*'Output-Calculation-sheet'!Q53/10^9</f>
        <v>0.62091604838525716</v>
      </c>
      <c r="R64" s="2">
        <f>R9*'Output-Calculation-sheet'!R53/10^9</f>
        <v>0.53227168390569612</v>
      </c>
      <c r="S64" s="2">
        <f>S9*'Output-Calculation-sheet'!S53/10^9</f>
        <v>0.42830412983919269</v>
      </c>
      <c r="T64" s="2">
        <f>T9*'Output-Calculation-sheet'!T53/10^9</f>
        <v>0.19133705556843206</v>
      </c>
      <c r="U64" s="2">
        <f>U9*'Output-Calculation-sheet'!U53/10^9</f>
        <v>0.14401541243240093</v>
      </c>
      <c r="V64" s="2">
        <f>V9*'Output-Calculation-sheet'!V53/10^9</f>
        <v>0.22710414635104781</v>
      </c>
      <c r="W64" s="2">
        <f>W9*'Output-Calculation-sheet'!W53/10^9</f>
        <v>8.4387661479639164E-2</v>
      </c>
      <c r="X64" s="2">
        <f>X9*'Output-Calculation-sheet'!X53/10^9</f>
        <v>9.6749246571700989E-2</v>
      </c>
      <c r="Y64" s="2">
        <f>Y9*'Output-Calculation-sheet'!Y53/10^9</f>
        <v>5.9124780368094848E-2</v>
      </c>
      <c r="AA64" s="2">
        <f t="shared" si="4"/>
        <v>26.275368392354242</v>
      </c>
    </row>
    <row r="65" spans="1:27" x14ac:dyDescent="0.25">
      <c r="A65" s="2">
        <v>2033</v>
      </c>
      <c r="B65" s="2">
        <f>B10*'Output-Calculation-sheet'!B54/10^9</f>
        <v>6.646767038169747</v>
      </c>
      <c r="C65" s="2">
        <f>C10*'Output-Calculation-sheet'!C54/10^9</f>
        <v>3.435833000610133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1.0789675248396418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0.62863385630192525</v>
      </c>
      <c r="L65" s="2">
        <f>L10*'Output-Calculation-sheet'!L54/10^9</f>
        <v>0.74249392940048364</v>
      </c>
      <c r="M65" s="2">
        <f>M10*'Output-Calculation-sheet'!M54/10^9</f>
        <v>0.82278145190456642</v>
      </c>
      <c r="N65" s="2">
        <f>N10*'Output-Calculation-sheet'!N54/10^9</f>
        <v>0.75500280517620211</v>
      </c>
      <c r="O65" s="2">
        <f>O10*'Output-Calculation-sheet'!O54/10^9</f>
        <v>0.68855612632426599</v>
      </c>
      <c r="P65" s="2">
        <f>P10*'Output-Calculation-sheet'!P54/10^9</f>
        <v>0.53185632100473212</v>
      </c>
      <c r="Q65" s="2">
        <f>Q10*'Output-Calculation-sheet'!Q54/10^9</f>
        <v>0.57937024034044182</v>
      </c>
      <c r="R65" s="2">
        <f>R10*'Output-Calculation-sheet'!R54/10^9</f>
        <v>0.46824079238512389</v>
      </c>
      <c r="S65" s="2">
        <f>S10*'Output-Calculation-sheet'!S54/10^9</f>
        <v>0.3982628882903595</v>
      </c>
      <c r="T65" s="2">
        <f>T10*'Output-Calculation-sheet'!T54/10^9</f>
        <v>0.15655413920396055</v>
      </c>
      <c r="U65" s="2">
        <f>U10*'Output-Calculation-sheet'!U54/10^9</f>
        <v>0.13518052713915671</v>
      </c>
      <c r="V65" s="2">
        <f>V10*'Output-Calculation-sheet'!V54/10^9</f>
        <v>0.17325813816282948</v>
      </c>
      <c r="W65" s="2">
        <f>W10*'Output-Calculation-sheet'!W54/10^9</f>
        <v>6.596274502843108E-2</v>
      </c>
      <c r="X65" s="2">
        <f>X10*'Output-Calculation-sheet'!X54/10^9</f>
        <v>8.626921623559973E-2</v>
      </c>
      <c r="Y65" s="2">
        <f>Y10*'Output-Calculation-sheet'!Y54/10^9</f>
        <v>5.4291945584603381E-2</v>
      </c>
      <c r="AA65" s="2">
        <f t="shared" si="4"/>
        <v>23.203204330322915</v>
      </c>
    </row>
    <row r="66" spans="1:27" x14ac:dyDescent="0.25">
      <c r="A66" s="2">
        <v>2034</v>
      </c>
      <c r="B66" s="2">
        <f>B11*'Output-Calculation-sheet'!B55/10^9</f>
        <v>5.9279846360120363</v>
      </c>
      <c r="C66" s="2">
        <f>C11*'Output-Calculation-sheet'!C55/10^9</f>
        <v>2.9820121195431728</v>
      </c>
      <c r="D66" s="2">
        <f>D11*'Output-Calculation-sheet'!D55/10^9</f>
        <v>1.3378520485377585</v>
      </c>
      <c r="E66" s="2">
        <f>E11*'Output-Calculation-sheet'!E55/10^9</f>
        <v>1.620045352878104</v>
      </c>
      <c r="F66" s="2">
        <f>F11*'Output-Calculation-sheet'!F55/10^9</f>
        <v>0.62260983389088409</v>
      </c>
      <c r="G66" s="2">
        <f>G11*'Output-Calculation-sheet'!G55/10^9</f>
        <v>0.44502398695316775</v>
      </c>
      <c r="H66" s="2">
        <f>H11*'Output-Calculation-sheet'!H55/10^9</f>
        <v>0.92866081370623532</v>
      </c>
      <c r="I66" s="2">
        <f>I11*'Output-Calculation-sheet'!I55/10^9</f>
        <v>0.43522083181464161</v>
      </c>
      <c r="J66" s="2">
        <f>J11*'Output-Calculation-sheet'!J55/10^9</f>
        <v>0.44751014495691221</v>
      </c>
      <c r="K66" s="2">
        <f>K11*'Output-Calculation-sheet'!K55/10^9</f>
        <v>0.53525991068488721</v>
      </c>
      <c r="L66" s="2">
        <f>L11*'Output-Calculation-sheet'!L55/10^9</f>
        <v>0.56684420961436954</v>
      </c>
      <c r="M66" s="2">
        <f>M11*'Output-Calculation-sheet'!M55/10^9</f>
        <v>0.67692956761111633</v>
      </c>
      <c r="N66" s="2">
        <f>N11*'Output-Calculation-sheet'!N55/10^9</f>
        <v>0.63950276981215726</v>
      </c>
      <c r="O66" s="2">
        <f>O11*'Output-Calculation-sheet'!O55/10^9</f>
        <v>0.58776462789747841</v>
      </c>
      <c r="P66" s="2">
        <f>P11*'Output-Calculation-sheet'!P55/10^9</f>
        <v>0.49077779191473048</v>
      </c>
      <c r="Q66" s="2">
        <f>Q11*'Output-Calculation-sheet'!Q55/10^9</f>
        <v>0.51914318935403148</v>
      </c>
      <c r="R66" s="2">
        <f>R11*'Output-Calculation-sheet'!R55/10^9</f>
        <v>0.40098984518588104</v>
      </c>
      <c r="S66" s="2">
        <f>S11*'Output-Calculation-sheet'!S55/10^9</f>
        <v>0.34976541239956094</v>
      </c>
      <c r="T66" s="2">
        <f>T11*'Output-Calculation-sheet'!T55/10^9</f>
        <v>0.1256818815382772</v>
      </c>
      <c r="U66" s="2">
        <f>U11*'Output-Calculation-sheet'!U55/10^9</f>
        <v>0.12832661772829063</v>
      </c>
      <c r="V66" s="2">
        <f>V11*'Output-Calculation-sheet'!V55/10^9</f>
        <v>0.11922884515424428</v>
      </c>
      <c r="W66" s="2">
        <f>W11*'Output-Calculation-sheet'!W55/10^9</f>
        <v>5.398568580506332E-2</v>
      </c>
      <c r="X66" s="2">
        <f>X11*'Output-Calculation-sheet'!X55/10^9</f>
        <v>7.2324414450286909E-2</v>
      </c>
      <c r="Y66" s="2">
        <f>Y11*'Output-Calculation-sheet'!Y55/10^9</f>
        <v>5.2784883795743046E-2</v>
      </c>
      <c r="AA66" s="2">
        <f t="shared" si="4"/>
        <v>20.066229421239026</v>
      </c>
    </row>
    <row r="67" spans="1:27" x14ac:dyDescent="0.25">
      <c r="A67" s="2">
        <v>2035</v>
      </c>
      <c r="B67" s="2">
        <f>B12*'Output-Calculation-sheet'!B56/10^9</f>
        <v>5.1638531547239817</v>
      </c>
      <c r="C67" s="2">
        <f>C12*'Output-Calculation-sheet'!C56/10^9</f>
        <v>2.409063181596061</v>
      </c>
      <c r="D67" s="2">
        <f>D12*'Output-Calculation-sheet'!D56/10^9</f>
        <v>1.4128821473565423</v>
      </c>
      <c r="E67" s="2">
        <f>E12*'Output-Calculation-sheet'!E56/10^9</f>
        <v>1.6098340491386904</v>
      </c>
      <c r="F67" s="2">
        <f>F12*'Output-Calculation-sheet'!F56/10^9</f>
        <v>0.68908035096754094</v>
      </c>
      <c r="G67" s="2">
        <f>G12*'Output-Calculation-sheet'!G56/10^9</f>
        <v>0.48362091137971913</v>
      </c>
      <c r="H67" s="2">
        <f>H12*'Output-Calculation-sheet'!H56/10^9</f>
        <v>0.76395207537944554</v>
      </c>
      <c r="I67" s="2">
        <f>I12*'Output-Calculation-sheet'!I56/10^9</f>
        <v>0.48489819782999832</v>
      </c>
      <c r="J67" s="2">
        <f>J12*'Output-Calculation-sheet'!J56/10^9</f>
        <v>0.43863807941007721</v>
      </c>
      <c r="K67" s="2">
        <f>K12*'Output-Calculation-sheet'!K56/10^9</f>
        <v>0.54461412448022373</v>
      </c>
      <c r="L67" s="2">
        <f>L12*'Output-Calculation-sheet'!L56/10^9</f>
        <v>0.49985188130205738</v>
      </c>
      <c r="M67" s="2">
        <f>M12*'Output-Calculation-sheet'!M56/10^9</f>
        <v>0.53139925211178385</v>
      </c>
      <c r="N67" s="2">
        <f>N12*'Output-Calculation-sheet'!N56/10^9</f>
        <v>0.51743768331371476</v>
      </c>
      <c r="O67" s="2">
        <f>O12*'Output-Calculation-sheet'!O56/10^9</f>
        <v>0.46827732486313495</v>
      </c>
      <c r="P67" s="2">
        <f>P12*'Output-Calculation-sheet'!P56/10^9</f>
        <v>0.45706984456760025</v>
      </c>
      <c r="Q67" s="2">
        <f>Q12*'Output-Calculation-sheet'!Q56/10^9</f>
        <v>0.46627095879673686</v>
      </c>
      <c r="R67" s="2">
        <f>R12*'Output-Calculation-sheet'!R56/10^9</f>
        <v>0.39444820878862452</v>
      </c>
      <c r="S67" s="2">
        <f>S12*'Output-Calculation-sheet'!S56/10^9</f>
        <v>0.29673742454579044</v>
      </c>
      <c r="T67" s="2">
        <f>T12*'Output-Calculation-sheet'!T56/10^9</f>
        <v>0.1200721909212777</v>
      </c>
      <c r="U67" s="2">
        <f>U12*'Output-Calculation-sheet'!U56/10^9</f>
        <v>0.13191874488275657</v>
      </c>
      <c r="V67" s="2">
        <f>V12*'Output-Calculation-sheet'!V56/10^9</f>
        <v>9.2013246996587722E-2</v>
      </c>
      <c r="W67" s="2">
        <f>W12*'Output-Calculation-sheet'!W56/10^9</f>
        <v>5.9636723262722666E-2</v>
      </c>
      <c r="X67" s="2">
        <f>X12*'Output-Calculation-sheet'!X56/10^9</f>
        <v>5.6455171921958168E-2</v>
      </c>
      <c r="Y67" s="2">
        <f>Y12*'Output-Calculation-sheet'!Y56/10^9</f>
        <v>5.2670310705696319E-2</v>
      </c>
      <c r="AA67" s="2">
        <f t="shared" si="4"/>
        <v>18.144695239242719</v>
      </c>
    </row>
    <row r="68" spans="1:27" x14ac:dyDescent="0.25">
      <c r="B68" s="2">
        <f>SUM(B60:B67)</f>
        <v>31.895250080662031</v>
      </c>
      <c r="C68" s="2">
        <f t="shared" ref="C68:Y68" si="5">SUM(C60:C67)</f>
        <v>16.361074151836771</v>
      </c>
      <c r="D68" s="2">
        <f t="shared" si="5"/>
        <v>8.8888101765519778</v>
      </c>
      <c r="E68" s="2">
        <f t="shared" si="5"/>
        <v>9.6073822173747541</v>
      </c>
      <c r="F68" s="2">
        <f t="shared" si="5"/>
        <v>3.9770997995142334</v>
      </c>
      <c r="G68" s="2">
        <f t="shared" si="5"/>
        <v>2.8146121504564756</v>
      </c>
      <c r="H68" s="2">
        <f t="shared" si="5"/>
        <v>5.1444505363047464</v>
      </c>
      <c r="I68" s="2">
        <f t="shared" si="5"/>
        <v>2.6994809080963318</v>
      </c>
      <c r="J68" s="2">
        <f t="shared" si="5"/>
        <v>3.2141629071645959</v>
      </c>
      <c r="K68" s="2">
        <f t="shared" si="5"/>
        <v>3.275355597520119</v>
      </c>
      <c r="L68" s="2">
        <f t="shared" si="5"/>
        <v>3.8735290900295789</v>
      </c>
      <c r="M68" s="2">
        <f t="shared" si="5"/>
        <v>3.9447307661426807</v>
      </c>
      <c r="N68" s="2">
        <f t="shared" si="5"/>
        <v>3.617152737820263</v>
      </c>
      <c r="O68" s="2">
        <f t="shared" si="5"/>
        <v>3.278237106918819</v>
      </c>
      <c r="P68" s="2">
        <f t="shared" si="5"/>
        <v>2.6150007206046508</v>
      </c>
      <c r="Q68" s="2">
        <f t="shared" si="5"/>
        <v>2.8346997628063813</v>
      </c>
      <c r="R68" s="2">
        <f t="shared" si="5"/>
        <v>2.3786230984170378</v>
      </c>
      <c r="S68" s="2">
        <f t="shared" si="5"/>
        <v>1.9048508731895897</v>
      </c>
      <c r="T68" s="2">
        <f t="shared" si="5"/>
        <v>0.81516905418956243</v>
      </c>
      <c r="U68" s="2">
        <f t="shared" si="5"/>
        <v>0.69158146529086517</v>
      </c>
      <c r="V68" s="2">
        <f t="shared" si="5"/>
        <v>0.88161721264234827</v>
      </c>
      <c r="W68" s="2">
        <f t="shared" si="5"/>
        <v>0.36170481197047555</v>
      </c>
      <c r="X68" s="2">
        <f t="shared" si="5"/>
        <v>0.41249928673131081</v>
      </c>
      <c r="Y68" s="2">
        <f t="shared" si="5"/>
        <v>0.2826393294360931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39.627517766398363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3.9627517766398362E-2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417.46772970398638</v>
      </c>
      <c r="Q76" s="2">
        <f>Q10/'Output-Calculation-sheet'!Q9*'Output-Calculation-sheet'!Q63</f>
        <v>49.956702680732711</v>
      </c>
      <c r="R76" s="2">
        <f>R10/'Output-Calculation-sheet'!R9*'Output-Calculation-sheet'!R63</f>
        <v>318.03143904908086</v>
      </c>
      <c r="S76" s="2">
        <f>S10/'Output-Calculation-sheet'!S9*'Output-Calculation-sheet'!S63</f>
        <v>0</v>
      </c>
      <c r="T76" s="2">
        <f>T10/'Output-Calculation-sheet'!T9*'Output-Calculation-sheet'!T63</f>
        <v>20.930502503582368</v>
      </c>
      <c r="U76" s="2">
        <f>U10/'Output-Calculation-sheet'!U9*'Output-Calculation-sheet'!U63</f>
        <v>113.02002027717623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5.3676393949754244</v>
      </c>
      <c r="AA76" s="2">
        <f t="shared" si="6"/>
        <v>1.0126459808199857</v>
      </c>
    </row>
    <row r="77" spans="1:27" x14ac:dyDescent="0.25">
      <c r="A77" s="2">
        <v>2034</v>
      </c>
      <c r="B77" s="2">
        <f>B11/'Output-Calculation-sheet'!B10*'Output-Calculation-sheet'!B64</f>
        <v>378.83434560356199</v>
      </c>
      <c r="C77" s="2">
        <f>C11/'Output-Calculation-sheet'!C10*'Output-Calculation-sheet'!C64</f>
        <v>0</v>
      </c>
      <c r="D77" s="2">
        <f>D11/'Output-Calculation-sheet'!D10*'Output-Calculation-sheet'!D64</f>
        <v>1287.1440469873219</v>
      </c>
      <c r="E77" s="2">
        <f>E11/'Output-Calculation-sheet'!E10*'Output-Calculation-sheet'!E64</f>
        <v>1608.7650946607948</v>
      </c>
      <c r="F77" s="2">
        <f>F11/'Output-Calculation-sheet'!F10*'Output-Calculation-sheet'!F64</f>
        <v>104.67249392995666</v>
      </c>
      <c r="G77" s="2">
        <f>G11/'Output-Calculation-sheet'!G10*'Output-Calculation-sheet'!G64</f>
        <v>681.72563345138508</v>
      </c>
      <c r="H77" s="2">
        <f>H11/'Output-Calculation-sheet'!H10*'Output-Calculation-sheet'!H64</f>
        <v>106.37356437177984</v>
      </c>
      <c r="I77" s="2">
        <f>I11/'Output-Calculation-sheet'!I10*'Output-Calculation-sheet'!I64</f>
        <v>405.33216554037995</v>
      </c>
      <c r="J77" s="2">
        <f>J11/'Output-Calculation-sheet'!J10*'Output-Calculation-sheet'!J64</f>
        <v>283.60329221938156</v>
      </c>
      <c r="K77" s="2">
        <f>K11/'Output-Calculation-sheet'!K10*'Output-Calculation-sheet'!K64</f>
        <v>616.6286343381945</v>
      </c>
      <c r="L77" s="2">
        <f>L11/'Output-Calculation-sheet'!L10*'Output-Calculation-sheet'!L64</f>
        <v>254.96043930156011</v>
      </c>
      <c r="M77" s="2">
        <f>M11/'Output-Calculation-sheet'!M10*'Output-Calculation-sheet'!M64</f>
        <v>76.611877045580556</v>
      </c>
      <c r="N77" s="2">
        <f>N11/'Output-Calculation-sheet'!N10*'Output-Calculation-sheet'!N64</f>
        <v>25.337706013052603</v>
      </c>
      <c r="O77" s="2">
        <f>O11/'Output-Calculation-sheet'!O10*'Output-Calculation-sheet'!O64</f>
        <v>0</v>
      </c>
      <c r="P77" s="2">
        <f>P11/'Output-Calculation-sheet'!P10*'Output-Calculation-sheet'!P64</f>
        <v>521.72487614621048</v>
      </c>
      <c r="Q77" s="2">
        <f>Q11/'Output-Calculation-sheet'!Q10*'Output-Calculation-sheet'!Q64</f>
        <v>117.36580513216103</v>
      </c>
      <c r="R77" s="2">
        <f>R11/'Output-Calculation-sheet'!R10*'Output-Calculation-sheet'!R64</f>
        <v>648.20139994441786</v>
      </c>
      <c r="S77" s="2">
        <f>S11/'Output-Calculation-sheet'!S10*'Output-Calculation-sheet'!S64</f>
        <v>0</v>
      </c>
      <c r="T77" s="2">
        <f>T11/'Output-Calculation-sheet'!T10*'Output-Calculation-sheet'!T64</f>
        <v>179.98393063322851</v>
      </c>
      <c r="U77" s="2">
        <f>U11/'Output-Calculation-sheet'!U10*'Output-Calculation-sheet'!U64</f>
        <v>239.19975494505098</v>
      </c>
      <c r="V77" s="2">
        <f>V11/'Output-Calculation-sheet'!V10*'Output-Calculation-sheet'!V64</f>
        <v>93.138741943273189</v>
      </c>
      <c r="W77" s="2">
        <f>W11/'Output-Calculation-sheet'!W10*'Output-Calculation-sheet'!W64</f>
        <v>20.446791266692756</v>
      </c>
      <c r="X77" s="2">
        <f>X11/'Output-Calculation-sheet'!X10*'Output-Calculation-sheet'!X64</f>
        <v>7.6373633590896279</v>
      </c>
      <c r="Y77" s="2">
        <f>Y11/'Output-Calculation-sheet'!Y10*'Output-Calculation-sheet'!Y64</f>
        <v>34.831253827926552</v>
      </c>
      <c r="AA77" s="2">
        <f t="shared" si="6"/>
        <v>7.6925192106609996</v>
      </c>
    </row>
    <row r="78" spans="1:27" x14ac:dyDescent="0.25">
      <c r="A78" s="2">
        <v>2035</v>
      </c>
      <c r="B78" s="2">
        <f>B12/'Output-Calculation-sheet'!B11*'Output-Calculation-sheet'!B65</f>
        <v>65.249362484513682</v>
      </c>
      <c r="C78" s="2">
        <f>C12/'Output-Calculation-sheet'!C11*'Output-Calculation-sheet'!C65</f>
        <v>54.387028826512818</v>
      </c>
      <c r="D78" s="2">
        <f>D12/'Output-Calculation-sheet'!D11*'Output-Calculation-sheet'!D65</f>
        <v>2794.925661252521</v>
      </c>
      <c r="E78" s="2">
        <f>E12/'Output-Calculation-sheet'!E11*'Output-Calculation-sheet'!E65</f>
        <v>897.83436955733328</v>
      </c>
      <c r="F78" s="2">
        <f>F12/'Output-Calculation-sheet'!F11*'Output-Calculation-sheet'!F65</f>
        <v>713.53034134180007</v>
      </c>
      <c r="G78" s="2">
        <f>G12/'Output-Calculation-sheet'!G11*'Output-Calculation-sheet'!G65</f>
        <v>1055.8658184816411</v>
      </c>
      <c r="H78" s="2">
        <f>H12/'Output-Calculation-sheet'!H11*'Output-Calculation-sheet'!H65</f>
        <v>23.997595347905126</v>
      </c>
      <c r="I78" s="2">
        <f>I12/'Output-Calculation-sheet'!I11*'Output-Calculation-sheet'!I65</f>
        <v>877.85525890342456</v>
      </c>
      <c r="J78" s="2">
        <f>J12/'Output-Calculation-sheet'!J11*'Output-Calculation-sheet'!J65</f>
        <v>832.66711260389434</v>
      </c>
      <c r="K78" s="2">
        <f>K12/'Output-Calculation-sheet'!K11*'Output-Calculation-sheet'!K65</f>
        <v>1119.1731299705912</v>
      </c>
      <c r="L78" s="2">
        <f>L12/'Output-Calculation-sheet'!L11*'Output-Calculation-sheet'!L65</f>
        <v>388.17313122497956</v>
      </c>
      <c r="M78" s="2">
        <f>M12/'Output-Calculation-sheet'!M11*'Output-Calculation-sheet'!M65</f>
        <v>21.451865883205777</v>
      </c>
      <c r="N78" s="2">
        <f>N12/'Output-Calculation-sheet'!N11*'Output-Calculation-sheet'!N65</f>
        <v>14.450459895655261</v>
      </c>
      <c r="O78" s="2">
        <f>O12/'Output-Calculation-sheet'!O11*'Output-Calculation-sheet'!O65</f>
        <v>9.4261672800408363</v>
      </c>
      <c r="P78" s="2">
        <f>P12/'Output-Calculation-sheet'!P11*'Output-Calculation-sheet'!P65</f>
        <v>108.71890873006087</v>
      </c>
      <c r="Q78" s="2">
        <f>Q12/'Output-Calculation-sheet'!Q11*'Output-Calculation-sheet'!Q65</f>
        <v>87.607881944107817</v>
      </c>
      <c r="R78" s="2">
        <f>R12/'Output-Calculation-sheet'!R11*'Output-Calculation-sheet'!R65</f>
        <v>725.72327895700857</v>
      </c>
      <c r="S78" s="2">
        <f>S12/'Output-Calculation-sheet'!S11*'Output-Calculation-sheet'!S65</f>
        <v>6.9434151132149617</v>
      </c>
      <c r="T78" s="2">
        <f>T12/'Output-Calculation-sheet'!T11*'Output-Calculation-sheet'!T65</f>
        <v>288.60038335725756</v>
      </c>
      <c r="U78" s="2">
        <f>U12/'Output-Calculation-sheet'!U11*'Output-Calculation-sheet'!U65</f>
        <v>106.46495489199741</v>
      </c>
      <c r="V78" s="2">
        <f>V12/'Output-Calculation-sheet'!V11*'Output-Calculation-sheet'!V65</f>
        <v>151.04691373555664</v>
      </c>
      <c r="W78" s="2">
        <f>W12/'Output-Calculation-sheet'!W11*'Output-Calculation-sheet'!W65</f>
        <v>101.82451565076992</v>
      </c>
      <c r="X78" s="2">
        <f>X12/'Output-Calculation-sheet'!X11*'Output-Calculation-sheet'!X65</f>
        <v>1.420873552549071</v>
      </c>
      <c r="Y78" s="2">
        <f>Y12/'Output-Calculation-sheet'!Y11*'Output-Calculation-sheet'!Y65</f>
        <v>24.439082517532224</v>
      </c>
      <c r="AA78" s="2">
        <f t="shared" si="6"/>
        <v>10.471777511504072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70.309826694062892</v>
      </c>
      <c r="E89" s="2">
        <f>E12/'Output-Calculation-sheet'!E11*'Output-Calculation-sheet'!E74</f>
        <v>34.01246661255562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26.318321042023257</v>
      </c>
      <c r="H89" s="2">
        <f>H12/'Output-Calculation-sheet'!H11*'Output-Calculation-sheet'!H74</f>
        <v>4.2492422041443341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14.641965667080582</v>
      </c>
      <c r="K89" s="2">
        <f>K12/'Output-Calculation-sheet'!K11*'Output-Calculation-sheet'!K74</f>
        <v>18.418533890664161</v>
      </c>
      <c r="L89" s="2">
        <f>L12/'Output-Calculation-sheet'!L11*'Output-Calculation-sheet'!L74</f>
        <v>7.7081948673010423</v>
      </c>
      <c r="M89" s="2">
        <f>M12/'Output-Calculation-sheet'!M11*'Output-Calculation-sheet'!M74</f>
        <v>2.1929191280068605</v>
      </c>
      <c r="N89" s="2">
        <f>N12/'Output-Calculation-sheet'!N11*'Output-Calculation-sheet'!N74</f>
        <v>2.1552838663103202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1.991103714677533</v>
      </c>
      <c r="Q89" s="2">
        <f>Q12/'Output-Calculation-sheet'!Q11*'Output-Calculation-sheet'!Q74</f>
        <v>3.7767173081429712</v>
      </c>
      <c r="R89" s="2">
        <f>R12/'Output-Calculation-sheet'!R11*'Output-Calculation-sheet'!R74</f>
        <v>11.235981081489475</v>
      </c>
      <c r="S89" s="2">
        <f>S12/'Output-Calculation-sheet'!S11*'Output-Calculation-sheet'!S74</f>
        <v>2.0591385270507003</v>
      </c>
      <c r="T89" s="2">
        <f>T12/'Output-Calculation-sheet'!T11*'Output-Calculation-sheet'!T74</f>
        <v>3.4640747758707899</v>
      </c>
      <c r="U89" s="2">
        <f>U12/'Output-Calculation-sheet'!U11*'Output-Calculation-sheet'!U74</f>
        <v>4.0166663481953915</v>
      </c>
      <c r="V89" s="2">
        <f>V12/'Output-Calculation-sheet'!V11*'Output-Calculation-sheet'!V74</f>
        <v>1.2388802584892336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1.3929151095279833</v>
      </c>
      <c r="AA89" s="2">
        <f t="shared" si="7"/>
        <v>0.28106981909596784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18565395673.855782</v>
      </c>
      <c r="C96" s="2">
        <f>C8/'Output-Calculation-sheet'!C7*'Output-Calculation-sheet'!C79</f>
        <v>7685844014.0019321</v>
      </c>
      <c r="D96" s="2">
        <f>D8/'Output-Calculation-sheet'!D7*'Output-Calculation-sheet'!D79</f>
        <v>6126794409.0718117</v>
      </c>
      <c r="E96" s="2">
        <f>E8/'Output-Calculation-sheet'!E7*'Output-Calculation-sheet'!E79</f>
        <v>7403310060.9378948</v>
      </c>
      <c r="F96" s="2">
        <f>F8/'Output-Calculation-sheet'!F7*'Output-Calculation-sheet'!F79</f>
        <v>4370133619.7144413</v>
      </c>
      <c r="G96" s="2">
        <f>G8/'Output-Calculation-sheet'!G7*'Output-Calculation-sheet'!G79</f>
        <v>2222880670.1311169</v>
      </c>
      <c r="H96" s="2">
        <f>H8/'Output-Calculation-sheet'!H7*'Output-Calculation-sheet'!H79</f>
        <v>2775643454.2426772</v>
      </c>
      <c r="I96" s="2">
        <f>I8/'Output-Calculation-sheet'!I7*'Output-Calculation-sheet'!I79</f>
        <v>2656669639.4127865</v>
      </c>
      <c r="J96" s="2">
        <f>J8/'Output-Calculation-sheet'!J7*'Output-Calculation-sheet'!J79</f>
        <v>1499515779.2435489</v>
      </c>
      <c r="K96" s="2">
        <f>K8/'Output-Calculation-sheet'!K7*'Output-Calculation-sheet'!K79</f>
        <v>2554191130.2785282</v>
      </c>
      <c r="L96" s="2">
        <f>L8/'Output-Calculation-sheet'!L7*'Output-Calculation-sheet'!L79</f>
        <v>1837029011.1536503</v>
      </c>
      <c r="M96" s="2">
        <f>M8/'Output-Calculation-sheet'!M7*'Output-Calculation-sheet'!M79</f>
        <v>1857076799.5723643</v>
      </c>
      <c r="N96" s="2">
        <f>N8/'Output-Calculation-sheet'!N7*'Output-Calculation-sheet'!N79</f>
        <v>1321731888.8163781</v>
      </c>
      <c r="O96" s="2">
        <f>O8/'Output-Calculation-sheet'!O7*'Output-Calculation-sheet'!O79</f>
        <v>1038765420.031435</v>
      </c>
      <c r="P96" s="2">
        <f>P8/'Output-Calculation-sheet'!P7*'Output-Calculation-sheet'!P79</f>
        <v>2208168128.7281194</v>
      </c>
      <c r="Q96" s="2">
        <f>Q8/'Output-Calculation-sheet'!Q7*'Output-Calculation-sheet'!Q79</f>
        <v>1202706495.5211909</v>
      </c>
      <c r="R96" s="2">
        <f>R8/'Output-Calculation-sheet'!R7*'Output-Calculation-sheet'!R79</f>
        <v>1604527673.2811239</v>
      </c>
      <c r="S96" s="2">
        <f>S8/'Output-Calculation-sheet'!S7*'Output-Calculation-sheet'!S79</f>
        <v>1009961290.8285055</v>
      </c>
      <c r="T96" s="2">
        <f>T8/'Output-Calculation-sheet'!T7*'Output-Calculation-sheet'!T79</f>
        <v>648534134.85645711</v>
      </c>
      <c r="U96" s="2">
        <f>U8/'Output-Calculation-sheet'!U7*'Output-Calculation-sheet'!U79</f>
        <v>601378332.04016805</v>
      </c>
      <c r="V96" s="2">
        <f>V8/'Output-Calculation-sheet'!V7*'Output-Calculation-sheet'!V79</f>
        <v>387185980.31873304</v>
      </c>
      <c r="W96" s="2">
        <f>W8/'Output-Calculation-sheet'!W7*'Output-Calculation-sheet'!W79</f>
        <v>463165721.16015077</v>
      </c>
      <c r="X96" s="2">
        <f>X8/'Output-Calculation-sheet'!X7*'Output-Calculation-sheet'!X79</f>
        <v>211992423.04805455</v>
      </c>
      <c r="Y96" s="2">
        <f>Y8/'Output-Calculation-sheet'!Y7*'Output-Calculation-sheet'!Y79</f>
        <v>237277599.69572556</v>
      </c>
      <c r="AA96" s="2">
        <f t="shared" si="8"/>
        <v>70.489879349942555</v>
      </c>
    </row>
    <row r="97" spans="1:27" x14ac:dyDescent="0.25">
      <c r="A97" s="2">
        <v>2032</v>
      </c>
      <c r="B97" s="2">
        <f>B9/'Output-Calculation-sheet'!B8*'Output-Calculation-sheet'!B80</f>
        <v>24371434469.688408</v>
      </c>
      <c r="C97" s="2">
        <f>C9/'Output-Calculation-sheet'!C8*'Output-Calculation-sheet'!C80</f>
        <v>10098263222.823622</v>
      </c>
      <c r="D97" s="2">
        <f>D9/'Output-Calculation-sheet'!D8*'Output-Calculation-sheet'!D80</f>
        <v>7981827277.4762068</v>
      </c>
      <c r="E97" s="2">
        <f>E9/'Output-Calculation-sheet'!E8*'Output-Calculation-sheet'!E80</f>
        <v>9631306729.9647808</v>
      </c>
      <c r="F97" s="2">
        <f>F9/'Output-Calculation-sheet'!F8*'Output-Calculation-sheet'!F80</f>
        <v>5706821059.7291279</v>
      </c>
      <c r="G97" s="2">
        <f>G9/'Output-Calculation-sheet'!G8*'Output-Calculation-sheet'!G80</f>
        <v>2856742717.8444772</v>
      </c>
      <c r="H97" s="2">
        <f>H9/'Output-Calculation-sheet'!H8*'Output-Calculation-sheet'!H80</f>
        <v>3636174092.6116586</v>
      </c>
      <c r="I97" s="2">
        <f>I9/'Output-Calculation-sheet'!I8*'Output-Calculation-sheet'!I80</f>
        <v>3470862798.8196335</v>
      </c>
      <c r="J97" s="2">
        <f>J9/'Output-Calculation-sheet'!J8*'Output-Calculation-sheet'!J80</f>
        <v>1980519565.3834081</v>
      </c>
      <c r="K97" s="2">
        <f>K9/'Output-Calculation-sheet'!K8*'Output-Calculation-sheet'!K80</f>
        <v>3336225047.6233649</v>
      </c>
      <c r="L97" s="2">
        <f>L9/'Output-Calculation-sheet'!L8*'Output-Calculation-sheet'!L80</f>
        <v>2413877238.7242217</v>
      </c>
      <c r="M97" s="2">
        <f>M9/'Output-Calculation-sheet'!M8*'Output-Calculation-sheet'!M80</f>
        <v>2432784526.8102674</v>
      </c>
      <c r="N97" s="2">
        <f>N9/'Output-Calculation-sheet'!N8*'Output-Calculation-sheet'!N80</f>
        <v>1738891615.3734493</v>
      </c>
      <c r="O97" s="2">
        <f>O9/'Output-Calculation-sheet'!O8*'Output-Calculation-sheet'!O80</f>
        <v>1371876657.0703378</v>
      </c>
      <c r="P97" s="2">
        <f>P9/'Output-Calculation-sheet'!P8*'Output-Calculation-sheet'!P80</f>
        <v>2866920785.2414765</v>
      </c>
      <c r="Q97" s="2">
        <f>Q9/'Output-Calculation-sheet'!Q8*'Output-Calculation-sheet'!Q80</f>
        <v>1587440538.4688473</v>
      </c>
      <c r="R97" s="2">
        <f>R9/'Output-Calculation-sheet'!R8*'Output-Calculation-sheet'!R80</f>
        <v>2104714809.6134818</v>
      </c>
      <c r="S97" s="2">
        <f>S9/'Output-Calculation-sheet'!S8*'Output-Calculation-sheet'!S80</f>
        <v>1327765918.3832619</v>
      </c>
      <c r="T97" s="2">
        <f>T9/'Output-Calculation-sheet'!T8*'Output-Calculation-sheet'!T80</f>
        <v>843961387.9348613</v>
      </c>
      <c r="U97" s="2">
        <f>U9/'Output-Calculation-sheet'!U8*'Output-Calculation-sheet'!U80</f>
        <v>787027901.2022959</v>
      </c>
      <c r="V97" s="2">
        <f>V9/'Output-Calculation-sheet'!V8*'Output-Calculation-sheet'!V80</f>
        <v>509684760.78256273</v>
      </c>
      <c r="W97" s="2">
        <f>W9/'Output-Calculation-sheet'!W8*'Output-Calculation-sheet'!W80</f>
        <v>596224657.79288459</v>
      </c>
      <c r="X97" s="2">
        <f>X9/'Output-Calculation-sheet'!X8*'Output-Calculation-sheet'!X80</f>
        <v>277624711.13036597</v>
      </c>
      <c r="Y97" s="2">
        <f>Y9/'Output-Calculation-sheet'!Y8*'Output-Calculation-sheet'!Y80</f>
        <v>306788399.47298682</v>
      </c>
      <c r="AA97" s="2">
        <f t="shared" si="8"/>
        <v>92.235760889965988</v>
      </c>
    </row>
    <row r="98" spans="1:27" x14ac:dyDescent="0.25">
      <c r="A98" s="2">
        <v>2033</v>
      </c>
      <c r="B98" s="2">
        <f>B10/'Output-Calculation-sheet'!B9*'Output-Calculation-sheet'!B81</f>
        <v>28722332744.400085</v>
      </c>
      <c r="C98" s="2">
        <f>C10/'Output-Calculation-sheet'!C9*'Output-Calculation-sheet'!C81</f>
        <v>11913389331.712872</v>
      </c>
      <c r="D98" s="2">
        <f>D10/'Output-Calculation-sheet'!D9*'Output-Calculation-sheet'!D81</f>
        <v>9345216368.781374</v>
      </c>
      <c r="E98" s="2">
        <f>E10/'Output-Calculation-sheet'!E9*'Output-Calculation-sheet'!E81</f>
        <v>11255263443.49881</v>
      </c>
      <c r="F98" s="2">
        <f>F10/'Output-Calculation-sheet'!F9*'Output-Calculation-sheet'!F81</f>
        <v>6692640611.9187412</v>
      </c>
      <c r="G98" s="2">
        <f>G10/'Output-Calculation-sheet'!G9*'Output-Calculation-sheet'!G81</f>
        <v>3298991036.0670171</v>
      </c>
      <c r="H98" s="2">
        <f>H10/'Output-Calculation-sheet'!H9*'Output-Calculation-sheet'!H81</f>
        <v>4277209616.0519133</v>
      </c>
      <c r="I98" s="2">
        <f>I10/'Output-Calculation-sheet'!I9*'Output-Calculation-sheet'!I81</f>
        <v>4072874571.3125739</v>
      </c>
      <c r="J98" s="2">
        <f>J10/'Output-Calculation-sheet'!J9*'Output-Calculation-sheet'!J81</f>
        <v>2350130396.9555497</v>
      </c>
      <c r="K98" s="2">
        <f>K10/'Output-Calculation-sheet'!K9*'Output-Calculation-sheet'!K81</f>
        <v>3913593098.7963409</v>
      </c>
      <c r="L98" s="2">
        <f>L10/'Output-Calculation-sheet'!L9*'Output-Calculation-sheet'!L81</f>
        <v>2847966990.4823256</v>
      </c>
      <c r="M98" s="2">
        <f>M10/'Output-Calculation-sheet'!M9*'Output-Calculation-sheet'!M81</f>
        <v>2862187896.6822143</v>
      </c>
      <c r="N98" s="2">
        <f>N10/'Output-Calculation-sheet'!N9*'Output-Calculation-sheet'!N81</f>
        <v>2055312041.6737282</v>
      </c>
      <c r="O98" s="2">
        <f>O10/'Output-Calculation-sheet'!O9*'Output-Calculation-sheet'!O81</f>
        <v>1627262881.9036655</v>
      </c>
      <c r="P98" s="2">
        <f>P10/'Output-Calculation-sheet'!P9*'Output-Calculation-sheet'!P81</f>
        <v>3342417656.9745259</v>
      </c>
      <c r="Q98" s="2">
        <f>Q10/'Output-Calculation-sheet'!Q9*'Output-Calculation-sheet'!Q81</f>
        <v>1881802602.7933064</v>
      </c>
      <c r="R98" s="2">
        <f>R10/'Output-Calculation-sheet'!R9*'Output-Calculation-sheet'!R81</f>
        <v>2478867356.9970417</v>
      </c>
      <c r="S98" s="2">
        <f>S10/'Output-Calculation-sheet'!S9*'Output-Calculation-sheet'!S81</f>
        <v>1567091923.9966879</v>
      </c>
      <c r="T98" s="2">
        <f>T10/'Output-Calculation-sheet'!T9*'Output-Calculation-sheet'!T81</f>
        <v>986504652.50254369</v>
      </c>
      <c r="U98" s="2">
        <f>U10/'Output-Calculation-sheet'!U9*'Output-Calculation-sheet'!U81</f>
        <v>924306875.25768566</v>
      </c>
      <c r="V98" s="2">
        <f>V10/'Output-Calculation-sheet'!V9*'Output-Calculation-sheet'!V81</f>
        <v>602007295.81894052</v>
      </c>
      <c r="W98" s="2">
        <f>W10/'Output-Calculation-sheet'!W9*'Output-Calculation-sheet'!W81</f>
        <v>689393047.16815841</v>
      </c>
      <c r="X98" s="2">
        <f>X10/'Output-Calculation-sheet'!X9*'Output-Calculation-sheet'!X81</f>
        <v>326500989.03108042</v>
      </c>
      <c r="Y98" s="2">
        <f>Y10/'Output-Calculation-sheet'!Y9*'Output-Calculation-sheet'!Y81</f>
        <v>356403849.72759402</v>
      </c>
      <c r="AA98" s="2">
        <f t="shared" si="8"/>
        <v>108.38966728050481</v>
      </c>
    </row>
    <row r="99" spans="1:27" x14ac:dyDescent="0.25">
      <c r="A99" s="2">
        <v>2034</v>
      </c>
      <c r="B99" s="2">
        <f>B11/'Output-Calculation-sheet'!B10*'Output-Calculation-sheet'!B82</f>
        <v>30871524323.735561</v>
      </c>
      <c r="C99" s="2">
        <f>C11/'Output-Calculation-sheet'!C10*'Output-Calculation-sheet'!C82</f>
        <v>12820013183.968369</v>
      </c>
      <c r="D99" s="2">
        <f>D11/'Output-Calculation-sheet'!D10*'Output-Calculation-sheet'!D82</f>
        <v>9988639867.4669247</v>
      </c>
      <c r="E99" s="2">
        <f>E11/'Output-Calculation-sheet'!E10*'Output-Calculation-sheet'!E82</f>
        <v>12002095597.937115</v>
      </c>
      <c r="F99" s="2">
        <f>F11/'Output-Calculation-sheet'!F10*'Output-Calculation-sheet'!F82</f>
        <v>7160366662.7746258</v>
      </c>
      <c r="G99" s="2">
        <f>G11/'Output-Calculation-sheet'!G10*'Output-Calculation-sheet'!G82</f>
        <v>3477603369.7783489</v>
      </c>
      <c r="H99" s="2">
        <f>H11/'Output-Calculation-sheet'!H10*'Output-Calculation-sheet'!H82</f>
        <v>4589267825.8420916</v>
      </c>
      <c r="I99" s="2">
        <f>I11/'Output-Calculation-sheet'!I10*'Output-Calculation-sheet'!I82</f>
        <v>4360614328.8613939</v>
      </c>
      <c r="J99" s="2">
        <f>J11/'Output-Calculation-sheet'!J10*'Output-Calculation-sheet'!J82</f>
        <v>2545034040.4747014</v>
      </c>
      <c r="K99" s="2">
        <f>K11/'Output-Calculation-sheet'!K10*'Output-Calculation-sheet'!K82</f>
        <v>4188392722.6823611</v>
      </c>
      <c r="L99" s="2">
        <f>L11/'Output-Calculation-sheet'!L10*'Output-Calculation-sheet'!L82</f>
        <v>3064812309.8692794</v>
      </c>
      <c r="M99" s="2">
        <f>M11/'Output-Calculation-sheet'!M10*'Output-Calculation-sheet'!M82</f>
        <v>3072079384.5941019</v>
      </c>
      <c r="N99" s="2">
        <f>N11/'Output-Calculation-sheet'!N10*'Output-Calculation-sheet'!N82</f>
        <v>2217004364.5272303</v>
      </c>
      <c r="O99" s="2">
        <f>O11/'Output-Calculation-sheet'!O10*'Output-Calculation-sheet'!O82</f>
        <v>1761002099.7229784</v>
      </c>
      <c r="P99" s="2">
        <f>P11/'Output-Calculation-sheet'!P10*'Output-Calculation-sheet'!P82</f>
        <v>3554824411.3719311</v>
      </c>
      <c r="Q99" s="2">
        <f>Q11/'Output-Calculation-sheet'!Q10*'Output-Calculation-sheet'!Q82</f>
        <v>2035176399.7239573</v>
      </c>
      <c r="R99" s="2">
        <f>R11/'Output-Calculation-sheet'!R10*'Output-Calculation-sheet'!R82</f>
        <v>2662940152.5983496</v>
      </c>
      <c r="S99" s="2">
        <f>S11/'Output-Calculation-sheet'!S10*'Output-Calculation-sheet'!S82</f>
        <v>1686795442.1028013</v>
      </c>
      <c r="T99" s="2">
        <f>T11/'Output-Calculation-sheet'!T10*'Output-Calculation-sheet'!T82</f>
        <v>1052191371.7701499</v>
      </c>
      <c r="U99" s="2">
        <f>U11/'Output-Calculation-sheet'!U10*'Output-Calculation-sheet'!U82</f>
        <v>989705844.18563068</v>
      </c>
      <c r="V99" s="2">
        <f>V11/'Output-Calculation-sheet'!V10*'Output-Calculation-sheet'!V82</f>
        <v>648180269.94430399</v>
      </c>
      <c r="W99" s="2">
        <f>W11/'Output-Calculation-sheet'!W10*'Output-Calculation-sheet'!W82</f>
        <v>727340803.30665064</v>
      </c>
      <c r="X99" s="2">
        <f>X11/'Output-Calculation-sheet'!X10*'Output-Calculation-sheet'!X82</f>
        <v>350285582.36833179</v>
      </c>
      <c r="Y99" s="2">
        <f>Y11/'Output-Calculation-sheet'!Y10*'Output-Calculation-sheet'!Y82</f>
        <v>377913335.11336941</v>
      </c>
      <c r="AA99" s="2">
        <f t="shared" si="8"/>
        <v>116.20380369472055</v>
      </c>
    </row>
    <row r="100" spans="1:27" x14ac:dyDescent="0.25">
      <c r="A100" s="2">
        <v>2035</v>
      </c>
      <c r="B100" s="2">
        <f>B12/'Output-Calculation-sheet'!B11*'Output-Calculation-sheet'!B83</f>
        <v>30445451419.97765</v>
      </c>
      <c r="C100" s="2">
        <f>C12/'Output-Calculation-sheet'!C11*'Output-Calculation-sheet'!C83</f>
        <v>12659788793.13287</v>
      </c>
      <c r="D100" s="2">
        <f>D12/'Output-Calculation-sheet'!D11*'Output-Calculation-sheet'!D83</f>
        <v>9805160817.8860893</v>
      </c>
      <c r="E100" s="2">
        <f>E12/'Output-Calculation-sheet'!E11*'Output-Calculation-sheet'!E83</f>
        <v>11748965213.365501</v>
      </c>
      <c r="F100" s="2">
        <f>F12/'Output-Calculation-sheet'!F11*'Output-Calculation-sheet'!F83</f>
        <v>7031161944.1187515</v>
      </c>
      <c r="G100" s="2">
        <f>G12/'Output-Calculation-sheet'!G11*'Output-Calculation-sheet'!G83</f>
        <v>3366606729.7943125</v>
      </c>
      <c r="H100" s="2">
        <f>H12/'Output-Calculation-sheet'!H11*'Output-Calculation-sheet'!H83</f>
        <v>4518708960.830698</v>
      </c>
      <c r="I100" s="2">
        <f>I12/'Output-Calculation-sheet'!I11*'Output-Calculation-sheet'!I83</f>
        <v>4285362448.0155778</v>
      </c>
      <c r="J100" s="2">
        <f>J12/'Output-Calculation-sheet'!J11*'Output-Calculation-sheet'!J83</f>
        <v>2530346416.1013083</v>
      </c>
      <c r="K100" s="2">
        <f>K12/'Output-Calculation-sheet'!K11*'Output-Calculation-sheet'!K83</f>
        <v>4114255518.1714363</v>
      </c>
      <c r="L100" s="2">
        <f>L12/'Output-Calculation-sheet'!L11*'Output-Calculation-sheet'!L83</f>
        <v>3026500154.3473644</v>
      </c>
      <c r="M100" s="2">
        <f>M12/'Output-Calculation-sheet'!M11*'Output-Calculation-sheet'!M83</f>
        <v>3026331463.8484836</v>
      </c>
      <c r="N100" s="2">
        <f>N12/'Output-Calculation-sheet'!N11*'Output-Calculation-sheet'!N83</f>
        <v>2195515113.3868241</v>
      </c>
      <c r="O100" s="2">
        <f>O12/'Output-Calculation-sheet'!O11*'Output-Calculation-sheet'!O83</f>
        <v>1749149367.3284197</v>
      </c>
      <c r="P100" s="2">
        <f>P12/'Output-Calculation-sheet'!P11*'Output-Calculation-sheet'!P83</f>
        <v>3469968787.0035038</v>
      </c>
      <c r="Q100" s="2">
        <f>Q12/'Output-Calculation-sheet'!Q11*'Output-Calculation-sheet'!Q83</f>
        <v>2020155387.4266355</v>
      </c>
      <c r="R100" s="2">
        <f>R12/'Output-Calculation-sheet'!R11*'Output-Calculation-sheet'!R83</f>
        <v>2625070374.9436116</v>
      </c>
      <c r="S100" s="2">
        <f>S12/'Output-Calculation-sheet'!S11*'Output-Calculation-sheet'!S83</f>
        <v>1665913902.7493472</v>
      </c>
      <c r="T100" s="2">
        <f>T12/'Output-Calculation-sheet'!T11*'Output-Calculation-sheet'!T83</f>
        <v>1030218378.6654751</v>
      </c>
      <c r="U100" s="2">
        <f>U12/'Output-Calculation-sheet'!U11*'Output-Calculation-sheet'!U83</f>
        <v>972126844.58919775</v>
      </c>
      <c r="V100" s="2">
        <f>V12/'Output-Calculation-sheet'!V11*'Output-Calculation-sheet'!V83</f>
        <v>640093502.03389084</v>
      </c>
      <c r="W100" s="2">
        <f>W12/'Output-Calculation-sheet'!W11*'Output-Calculation-sheet'!W83</f>
        <v>704440759.07337904</v>
      </c>
      <c r="X100" s="2">
        <f>X12/'Output-Calculation-sheet'!X11*'Output-Calculation-sheet'!X83</f>
        <v>344893539.37988818</v>
      </c>
      <c r="Y100" s="2">
        <f>Y12/'Output-Calculation-sheet'!Y11*'Output-Calculation-sheet'!Y83</f>
        <v>367962283.12285149</v>
      </c>
      <c r="AA100" s="2">
        <f t="shared" si="8"/>
        <v>114.34414811929308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1680.0460261198996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517.17027340014101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355.8634788636254</v>
      </c>
      <c r="N107" s="2">
        <f>N8/'Output-Calculation-sheet'!N7*'Output-Calculation-sheet'!N88</f>
        <v>139.90243503433678</v>
      </c>
      <c r="O107" s="2">
        <f>O8/'Output-Calculation-sheet'!O7*'Output-Calculation-sheet'!O88</f>
        <v>391.66352383560007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39.038963767610369</v>
      </c>
      <c r="Y107" s="2">
        <f>Y8/'Output-Calculation-sheet'!Y7*'Output-Calculation-sheet'!Y88</f>
        <v>0</v>
      </c>
      <c r="AA107" s="2">
        <f t="shared" si="9"/>
        <v>3.123684701021213</v>
      </c>
    </row>
    <row r="108" spans="1:27" x14ac:dyDescent="0.25">
      <c r="A108" s="2">
        <v>2032</v>
      </c>
      <c r="B108" s="2">
        <f>B9/'Output-Calculation-sheet'!B8*'Output-Calculation-sheet'!B89</f>
        <v>736.19341653763502</v>
      </c>
      <c r="C108" s="2">
        <f>C9/'Output-Calculation-sheet'!C8*'Output-Calculation-sheet'!C89</f>
        <v>2795.3154798565033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752.924201135624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518.08512460543545</v>
      </c>
      <c r="N108" s="2">
        <f>N9/'Output-Calculation-sheet'!N8*'Output-Calculation-sheet'!N89</f>
        <v>363.70975504638392</v>
      </c>
      <c r="O108" s="2">
        <f>O9/'Output-Calculation-sheet'!O8*'Output-Calculation-sheet'!O89</f>
        <v>543.05214165338271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166.7927899770805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56.83501569926581</v>
      </c>
      <c r="Y108" s="2">
        <f>Y9/'Output-Calculation-sheet'!Y8*'Output-Calculation-sheet'!Y89</f>
        <v>0</v>
      </c>
      <c r="AA108" s="2">
        <f t="shared" si="9"/>
        <v>5.9329079245113103</v>
      </c>
    </row>
    <row r="109" spans="1:27" x14ac:dyDescent="0.25">
      <c r="A109" s="2">
        <v>2033</v>
      </c>
      <c r="B109" s="2">
        <f>B10/'Output-Calculation-sheet'!B9*'Output-Calculation-sheet'!B90</f>
        <v>3581.6792824118475</v>
      </c>
      <c r="C109" s="2">
        <f>C10/'Output-Calculation-sheet'!C9*'Output-Calculation-sheet'!C90</f>
        <v>3399.8957736860407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1046.593366772267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720.15809030657169</v>
      </c>
      <c r="N109" s="2">
        <f>N10/'Output-Calculation-sheet'!N9*'Output-Calculation-sheet'!N90</f>
        <v>566.2388889430124</v>
      </c>
      <c r="O109" s="2">
        <f>O10/'Output-Calculation-sheet'!O9*'Output-Calculation-sheet'!O90</f>
        <v>660.50529702403003</v>
      </c>
      <c r="P109" s="2">
        <f>P10/'Output-Calculation-sheet'!P9*'Output-Calculation-sheet'!P90</f>
        <v>0</v>
      </c>
      <c r="Q109" s="2">
        <f>Q10/'Output-Calculation-sheet'!Q9*'Output-Calculation-sheet'!Q90</f>
        <v>124.02799034053163</v>
      </c>
      <c r="R109" s="2">
        <f>R10/'Output-Calculation-sheet'!R9*'Output-Calculation-sheet'!R90</f>
        <v>0</v>
      </c>
      <c r="S109" s="2">
        <f>S10/'Output-Calculation-sheet'!S9*'Output-Calculation-sheet'!S90</f>
        <v>284.01421883689716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79.002840314512056</v>
      </c>
      <c r="Y109" s="2">
        <f>Y10/'Output-Calculation-sheet'!Y9*'Output-Calculation-sheet'!Y90</f>
        <v>0</v>
      </c>
      <c r="AA109" s="2">
        <f t="shared" si="9"/>
        <v>10.462115748635712</v>
      </c>
    </row>
    <row r="110" spans="1:27" x14ac:dyDescent="0.25">
      <c r="A110" s="2">
        <v>2034</v>
      </c>
      <c r="B110" s="2">
        <f>B11/'Output-Calculation-sheet'!B10*'Output-Calculation-sheet'!B91</f>
        <v>5887.6923414054372</v>
      </c>
      <c r="C110" s="2">
        <f>C11/'Output-Calculation-sheet'!C10*'Output-Calculation-sheet'!C91</f>
        <v>4036.406195239771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1146.9517069586045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789.21439518057025</v>
      </c>
      <c r="N110" s="2">
        <f>N11/'Output-Calculation-sheet'!N10*'Output-Calculation-sheet'!N91</f>
        <v>711.03061302904132</v>
      </c>
      <c r="O110" s="2">
        <f>O11/'Output-Calculation-sheet'!O10*'Output-Calculation-sheet'!O91</f>
        <v>784.16158916719633</v>
      </c>
      <c r="P110" s="2">
        <f>P11/'Output-Calculation-sheet'!P10*'Output-Calculation-sheet'!P91</f>
        <v>179.14565268866815</v>
      </c>
      <c r="Q110" s="2">
        <f>Q11/'Output-Calculation-sheet'!Q10*'Output-Calculation-sheet'!Q91</f>
        <v>396.4365237399719</v>
      </c>
      <c r="R110" s="2">
        <f>R11/'Output-Calculation-sheet'!R10*'Output-Calculation-sheet'!R91</f>
        <v>0</v>
      </c>
      <c r="S110" s="2">
        <f>S11/'Output-Calculation-sheet'!S10*'Output-Calculation-sheet'!S91</f>
        <v>407.58729337319846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86.578460584706178</v>
      </c>
      <c r="Y110" s="2">
        <f>Y11/'Output-Calculation-sheet'!Y10*'Output-Calculation-sheet'!Y91</f>
        <v>20.887467638914643</v>
      </c>
      <c r="AA110" s="2">
        <f t="shared" si="9"/>
        <v>14.446092239006081</v>
      </c>
    </row>
    <row r="111" spans="1:27" x14ac:dyDescent="0.25">
      <c r="A111" s="2">
        <v>2035</v>
      </c>
      <c r="B111" s="2">
        <f>B12/'Output-Calculation-sheet'!B11*'Output-Calculation-sheet'!B92</f>
        <v>8397.9288689116675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1870.6856636905591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415.47170334752622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664.36493946407018</v>
      </c>
      <c r="Q111" s="2">
        <f>Q12/'Output-Calculation-sheet'!Q11*'Output-Calculation-sheet'!Q92</f>
        <v>630.08233757518565</v>
      </c>
      <c r="R111" s="2">
        <f>R12/'Output-Calculation-sheet'!R11*'Output-Calculation-sheet'!R92</f>
        <v>96.130060363854412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139.17748896497034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65.544394320566767</v>
      </c>
      <c r="AA111" s="2">
        <f t="shared" si="9"/>
        <v>20.50888350888626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7897865822.4982634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2430011172.3825998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1687852161.3636565</v>
      </c>
      <c r="N118" s="2">
        <f>N8/'Output-Calculation-sheet'!N7*'Output-Calculation-sheet'!N97</f>
        <v>1324482697.7338066</v>
      </c>
      <c r="O118" s="2">
        <f>O8/'Output-Calculation-sheet'!O7*'Output-Calculation-sheet'!O97</f>
        <v>881326008.7715199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479652431.71840471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181918427.75998175</v>
      </c>
      <c r="Y118" s="2">
        <f>Y8/'Output-Calculation-sheet'!Y7*'Output-Calculation-sheet'!Y97</f>
        <v>0</v>
      </c>
      <c r="AA118" s="2">
        <f t="shared" si="10"/>
        <v>16230.381618922454</v>
      </c>
    </row>
    <row r="119" spans="1:27" x14ac:dyDescent="0.25">
      <c r="A119" s="2">
        <v>2032</v>
      </c>
      <c r="B119" s="2">
        <f>B9/'Output-Calculation-sheet'!B8*'Output-Calculation-sheet'!B98</f>
        <v>5522961254.679184</v>
      </c>
      <c r="C119" s="2">
        <f>C9/'Output-Calculation-sheet'!C8*'Output-Calculation-sheet'!C98</f>
        <v>4389761160.6417503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2624209044.0125999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1831707740.1850128</v>
      </c>
      <c r="N119" s="2">
        <f>N9/'Output-Calculation-sheet'!N8*'Output-Calculation-sheet'!N98</f>
        <v>1236999549.7286508</v>
      </c>
      <c r="O119" s="2">
        <f>O9/'Output-Calculation-sheet'!O8*'Output-Calculation-sheet'!O98</f>
        <v>857678215.70179033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514072057.98835981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195999294.94700223</v>
      </c>
      <c r="Y119" s="2">
        <f>Y9/'Output-Calculation-sheet'!Y8*'Output-Calculation-sheet'!Y98</f>
        <v>0</v>
      </c>
      <c r="AA119" s="2">
        <f t="shared" si="10"/>
        <v>17173.38831788435</v>
      </c>
    </row>
    <row r="120" spans="1:27" x14ac:dyDescent="0.25">
      <c r="A120" s="2">
        <v>2033</v>
      </c>
      <c r="B120" s="2">
        <f>B10/'Output-Calculation-sheet'!B9*'Output-Calculation-sheet'!B99</f>
        <v>5152722894.8849955</v>
      </c>
      <c r="C120" s="2">
        <f>C10/'Output-Calculation-sheet'!C9*'Output-Calculation-sheet'!C99</f>
        <v>4235858172.6158133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1388837552.9797862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983030757.59242487</v>
      </c>
      <c r="N120" s="2">
        <f>N10/'Output-Calculation-sheet'!N9*'Output-Calculation-sheet'!N99</f>
        <v>979977511.40319419</v>
      </c>
      <c r="O120" s="2">
        <f>O10/'Output-Calculation-sheet'!O9*'Output-Calculation-sheet'!O99</f>
        <v>829289791.26664615</v>
      </c>
      <c r="P120" s="2">
        <f>P10/'Output-Calculation-sheet'!P9*'Output-Calculation-sheet'!P99</f>
        <v>0</v>
      </c>
      <c r="Q120" s="2">
        <f>Q10/'Output-Calculation-sheet'!Q9*'Output-Calculation-sheet'!Q99</f>
        <v>6069763.045726141</v>
      </c>
      <c r="R120" s="2">
        <f>R10/'Output-Calculation-sheet'!R9*'Output-Calculation-sheet'!R99</f>
        <v>0</v>
      </c>
      <c r="S120" s="2">
        <f>S10/'Output-Calculation-sheet'!S9*'Output-Calculation-sheet'!S99</f>
        <v>410408186.67603838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98159982.559649795</v>
      </c>
      <c r="Y120" s="2">
        <f>Y10/'Output-Calculation-sheet'!Y9*'Output-Calculation-sheet'!Y99</f>
        <v>0</v>
      </c>
      <c r="AA120" s="2">
        <f t="shared" si="10"/>
        <v>14084.354613024274</v>
      </c>
    </row>
    <row r="121" spans="1:27" x14ac:dyDescent="0.25">
      <c r="A121" s="2">
        <v>2034</v>
      </c>
      <c r="B121" s="2">
        <f>B11/'Output-Calculation-sheet'!B10*'Output-Calculation-sheet'!B100</f>
        <v>4410004754.9665689</v>
      </c>
      <c r="C121" s="2">
        <f>C11/'Output-Calculation-sheet'!C10*'Output-Calculation-sheet'!C100</f>
        <v>529895453.58473217</v>
      </c>
      <c r="D121" s="2">
        <f>D11/'Output-Calculation-sheet'!D10*'Output-Calculation-sheet'!D100</f>
        <v>0</v>
      </c>
      <c r="E121" s="2">
        <f>E11/'Output-Calculation-sheet'!E10*'Output-Calculation-sheet'!E100</f>
        <v>611541089.57967496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1395264268.9356902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508669192.56277949</v>
      </c>
      <c r="M121" s="2">
        <f>M11/'Output-Calculation-sheet'!M10*'Output-Calculation-sheet'!M100</f>
        <v>993004243.02008653</v>
      </c>
      <c r="N121" s="2">
        <f>N11/'Output-Calculation-sheet'!N10*'Output-Calculation-sheet'!N100</f>
        <v>662013740.76936054</v>
      </c>
      <c r="O121" s="2">
        <f>O11/'Output-Calculation-sheet'!O10*'Output-Calculation-sheet'!O100</f>
        <v>103940736.15084352</v>
      </c>
      <c r="P121" s="2">
        <f>P11/'Output-Calculation-sheet'!P10*'Output-Calculation-sheet'!P100</f>
        <v>0</v>
      </c>
      <c r="Q121" s="2">
        <f>Q11/'Output-Calculation-sheet'!Q10*'Output-Calculation-sheet'!Q100</f>
        <v>204502332.39908049</v>
      </c>
      <c r="R121" s="2">
        <f>R11/'Output-Calculation-sheet'!R10*'Output-Calculation-sheet'!R100</f>
        <v>0</v>
      </c>
      <c r="S121" s="2">
        <f>S11/'Output-Calculation-sheet'!S10*'Output-Calculation-sheet'!S100</f>
        <v>247522036.83249605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97569614.895861164</v>
      </c>
      <c r="Y121" s="2">
        <f>Y11/'Output-Calculation-sheet'!Y10*'Output-Calculation-sheet'!Y100</f>
        <v>6972696.9455332672</v>
      </c>
      <c r="AA121" s="2">
        <f t="shared" si="10"/>
        <v>9770.9001606427064</v>
      </c>
    </row>
    <row r="122" spans="1:27" x14ac:dyDescent="0.25">
      <c r="A122" s="2">
        <v>2035</v>
      </c>
      <c r="B122" s="2">
        <f>B12/'Output-Calculation-sheet'!B11*'Output-Calculation-sheet'!B101</f>
        <v>1476578385.7376916</v>
      </c>
      <c r="C122" s="2">
        <f>C12/'Output-Calculation-sheet'!C11*'Output-Calculation-sheet'!C101</f>
        <v>253941941.05129117</v>
      </c>
      <c r="D122" s="2">
        <f>D12/'Output-Calculation-sheet'!D11*'Output-Calculation-sheet'!D101</f>
        <v>0</v>
      </c>
      <c r="E122" s="2">
        <f>E12/'Output-Calculation-sheet'!E11*'Output-Calculation-sheet'!E101</f>
        <v>1475854131.5344179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396057205.9626891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866248480.82626462</v>
      </c>
      <c r="M122" s="2">
        <f>M12/'Output-Calculation-sheet'!M11*'Output-Calculation-sheet'!M101</f>
        <v>357256861.3335883</v>
      </c>
      <c r="N122" s="2">
        <f>N12/'Output-Calculation-sheet'!N11*'Output-Calculation-sheet'!N101</f>
        <v>299523822.09769565</v>
      </c>
      <c r="O122" s="2">
        <f>O12/'Output-Calculation-sheet'!O11*'Output-Calculation-sheet'!O101</f>
        <v>43281547.689673312</v>
      </c>
      <c r="P122" s="2">
        <f>P12/'Output-Calculation-sheet'!P11*'Output-Calculation-sheet'!P101</f>
        <v>18404143.307457846</v>
      </c>
      <c r="Q122" s="2">
        <f>Q12/'Output-Calculation-sheet'!Q11*'Output-Calculation-sheet'!Q101</f>
        <v>362775728.29809654</v>
      </c>
      <c r="R122" s="2">
        <f>R12/'Output-Calculation-sheet'!R11*'Output-Calculation-sheet'!R101</f>
        <v>0</v>
      </c>
      <c r="S122" s="2">
        <f>S12/'Output-Calculation-sheet'!S11*'Output-Calculation-sheet'!S101</f>
        <v>146656293.63576931</v>
      </c>
      <c r="T122" s="2">
        <f>T12/'Output-Calculation-sheet'!T11*'Output-Calculation-sheet'!T101</f>
        <v>0</v>
      </c>
      <c r="U122" s="2">
        <f>U12/'Output-Calculation-sheet'!U11*'Output-Calculation-sheet'!U101</f>
        <v>53923725.641191393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12670833.762399839</v>
      </c>
      <c r="Y122" s="2">
        <f>Y12/'Output-Calculation-sheet'!Y11*'Output-Calculation-sheet'!Y101</f>
        <v>52356614.553915925</v>
      </c>
      <c r="AA122" s="2">
        <f t="shared" si="10"/>
        <v>5815.5297154321424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2197866345.9320607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2205491450.9567757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144469.27114496444</v>
      </c>
    </row>
    <row r="130" spans="1:27" x14ac:dyDescent="0.25">
      <c r="A130" s="2">
        <v>2032</v>
      </c>
      <c r="B130" s="2">
        <f>B9/'Output-Calculation-sheet'!B8*'Output-Calculation-sheet'!B107</f>
        <v>49979635635.346199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1818267254.4345071</v>
      </c>
      <c r="O130" s="2">
        <f>O9/'Output-Calculation-sheet'!O8*'Output-Calculation-sheet'!O107</f>
        <v>0</v>
      </c>
      <c r="P130" s="2">
        <f>P9/'Output-Calculation-sheet'!P8*'Output-Calculation-sheet'!P107</f>
        <v>5548198964.0731411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1614909453.9593892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176015.00829637921</v>
      </c>
    </row>
    <row r="131" spans="1:27" x14ac:dyDescent="0.25">
      <c r="A131" s="2">
        <v>2033</v>
      </c>
      <c r="B131" s="2">
        <f>B10/'Output-Calculation-sheet'!B9*'Output-Calculation-sheet'!B108</f>
        <v>38437744783.167542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1408463163.8882344</v>
      </c>
      <c r="O131" s="2">
        <f>O10/'Output-Calculation-sheet'!O9*'Output-Calculation-sheet'!O108</f>
        <v>0</v>
      </c>
      <c r="P131" s="2">
        <f>P10/'Output-Calculation-sheet'!P9*'Output-Calculation-sheet'!P108</f>
        <v>6477916607.4102545</v>
      </c>
      <c r="Q131" s="2">
        <f>Q10/'Output-Calculation-sheet'!Q9*'Output-Calculation-sheet'!Q108</f>
        <v>5464521843.6104212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1366134212.079915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183457.30315561651</v>
      </c>
    </row>
    <row r="132" spans="1:27" x14ac:dyDescent="0.25">
      <c r="A132" s="2">
        <v>2034</v>
      </c>
      <c r="B132" s="2">
        <f>B11/'Output-Calculation-sheet'!B10*'Output-Calculation-sheet'!B109</f>
        <v>25661179975.996632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24770721448.78207</v>
      </c>
      <c r="F132" s="2">
        <f>F11/'Output-Calculation-sheet'!F10*'Output-Calculation-sheet'!F109</f>
        <v>16336879067.109489</v>
      </c>
      <c r="G132" s="2">
        <f>G11/'Output-Calculation-sheet'!G10*'Output-Calculation-sheet'!G109</f>
        <v>11479057451.196234</v>
      </c>
      <c r="H132" s="2">
        <f>H11/'Output-Calculation-sheet'!H10*'Output-Calculation-sheet'!H109</f>
        <v>0</v>
      </c>
      <c r="I132" s="2">
        <f>I11/'Output-Calculation-sheet'!I10*'Output-Calculation-sheet'!I109</f>
        <v>10457592690.389334</v>
      </c>
      <c r="J132" s="2">
        <f>J11/'Output-Calculation-sheet'!J10*'Output-Calculation-sheet'!J109</f>
        <v>10178768593.760284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7578592844.6126919</v>
      </c>
      <c r="M132" s="2">
        <f>M11/'Output-Calculation-sheet'!M10*'Output-Calculation-sheet'!M109</f>
        <v>0</v>
      </c>
      <c r="N132" s="2">
        <f>N11/'Output-Calculation-sheet'!N10*'Output-Calculation-sheet'!N109</f>
        <v>996456937.32039714</v>
      </c>
      <c r="O132" s="2">
        <f>O11/'Output-Calculation-sheet'!O10*'Output-Calculation-sheet'!O109</f>
        <v>0</v>
      </c>
      <c r="P132" s="2">
        <f>P11/'Output-Calculation-sheet'!P10*'Output-Calculation-sheet'!P109</f>
        <v>5661596675.0483189</v>
      </c>
      <c r="Q132" s="2">
        <f>Q11/'Output-Calculation-sheet'!Q10*'Output-Calculation-sheet'!Q109</f>
        <v>3675182813.1733975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683878544.86550331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2092719713.244796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674737632.70914543</v>
      </c>
      <c r="AA132" s="2">
        <f t="shared" si="11"/>
        <v>174254.02821560859</v>
      </c>
    </row>
    <row r="133" spans="1:27" x14ac:dyDescent="0.25">
      <c r="A133" s="2">
        <v>2035</v>
      </c>
      <c r="B133" s="2">
        <f>B12/'Output-Calculation-sheet'!B11*'Output-Calculation-sheet'!B110</f>
        <v>353810196.4478128</v>
      </c>
      <c r="C133" s="2">
        <f>C12/'Output-Calculation-sheet'!C11*'Output-Calculation-sheet'!C110</f>
        <v>0</v>
      </c>
      <c r="D133" s="2">
        <f>D12/'Output-Calculation-sheet'!D11*'Output-Calculation-sheet'!D110</f>
        <v>29911564135.219681</v>
      </c>
      <c r="E133" s="2">
        <f>E12/'Output-Calculation-sheet'!E11*'Output-Calculation-sheet'!E110</f>
        <v>11481909043.371319</v>
      </c>
      <c r="F133" s="2">
        <f>F12/'Output-Calculation-sheet'!F11*'Output-Calculation-sheet'!F110</f>
        <v>15663315813.981569</v>
      </c>
      <c r="G133" s="2">
        <f>G12/'Output-Calculation-sheet'!G11*'Output-Calculation-sheet'!G110</f>
        <v>10677640024.457268</v>
      </c>
      <c r="H133" s="2">
        <f>H12/'Output-Calculation-sheet'!H11*'Output-Calculation-sheet'!H110</f>
        <v>0</v>
      </c>
      <c r="I133" s="2">
        <f>I12/'Output-Calculation-sheet'!I11*'Output-Calculation-sheet'!I110</f>
        <v>9975650358.4702053</v>
      </c>
      <c r="J133" s="2">
        <f>J12/'Output-Calculation-sheet'!J11*'Output-Calculation-sheet'!J110</f>
        <v>9550582298.7087193</v>
      </c>
      <c r="K133" s="2">
        <f>K12/'Output-Calculation-sheet'!K11*'Output-Calculation-sheet'!K110</f>
        <v>9646746870.4926987</v>
      </c>
      <c r="L133" s="2">
        <f>L12/'Output-Calculation-sheet'!L11*'Output-Calculation-sheet'!L110</f>
        <v>4553858925.9964113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1661546847.0439193</v>
      </c>
      <c r="Q133" s="2">
        <f>Q12/'Output-Calculation-sheet'!Q11*'Output-Calculation-sheet'!Q110</f>
        <v>1425333112.0931573</v>
      </c>
      <c r="R133" s="2">
        <f>R12/'Output-Calculation-sheet'!R11*'Output-Calculation-sheet'!R110</f>
        <v>5730904659.9596529</v>
      </c>
      <c r="S133" s="2">
        <f>S12/'Output-Calculation-sheet'!S11*'Output-Calculation-sheet'!S110</f>
        <v>1474702.5939960561</v>
      </c>
      <c r="T133" s="2">
        <f>T12/'Output-Calculation-sheet'!T11*'Output-Calculation-sheet'!T110</f>
        <v>2313632448.9722614</v>
      </c>
      <c r="U133" s="2">
        <f>U12/'Output-Calculation-sheet'!U11*'Output-Calculation-sheet'!U110</f>
        <v>1086148956.3820074</v>
      </c>
      <c r="V133" s="2">
        <f>V12/'Output-Calculation-sheet'!V11*'Output-Calculation-sheet'!V110</f>
        <v>1560524545.5995009</v>
      </c>
      <c r="W133" s="2">
        <f>W12/'Output-Calculation-sheet'!W11*'Output-Calculation-sheet'!W110</f>
        <v>1346050880.7778699</v>
      </c>
      <c r="X133" s="2">
        <f>X12/'Output-Calculation-sheet'!X11*'Output-Calculation-sheet'!X110</f>
        <v>0</v>
      </c>
      <c r="Y133" s="2">
        <f>Y12/'Output-Calculation-sheet'!Y11*'Output-Calculation-sheet'!Y110</f>
        <v>308140061.45639843</v>
      </c>
      <c r="AA133" s="2">
        <f t="shared" si="11"/>
        <v>117248.83388202442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14295376359.820953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4494106241.7925463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3089181535.9608083</v>
      </c>
      <c r="N140" s="2">
        <f>N8/'Output-Calculation-sheet'!N7*'Output-Calculation-sheet'!N115</f>
        <v>1166288473.5474155</v>
      </c>
      <c r="O140" s="2">
        <f>O8/'Output-Calculation-sheet'!O7*'Output-Calculation-sheet'!O115</f>
        <v>3430820720.378284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335448025.2678749</v>
      </c>
      <c r="Y140" s="2">
        <f>Y8/'Output-Calculation-sheet'!Y7*'Output-Calculation-sheet'!Y115</f>
        <v>0</v>
      </c>
      <c r="AA140" s="2">
        <f t="shared" si="12"/>
        <v>26811.221356767885</v>
      </c>
    </row>
    <row r="141" spans="1:27" x14ac:dyDescent="0.25">
      <c r="A141" s="2">
        <v>2032</v>
      </c>
      <c r="B141" s="2">
        <f>B9/'Output-Calculation-sheet'!B8*'Output-Calculation-sheet'!B116</f>
        <v>5713825612.5363159</v>
      </c>
      <c r="C141" s="2">
        <f>C9/'Output-Calculation-sheet'!C8*'Output-Calculation-sheet'!C116</f>
        <v>24458552125.914101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6376238475.0171833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4377811613.3407965</v>
      </c>
      <c r="N141" s="2">
        <f>N9/'Output-Calculation-sheet'!N8*'Output-Calculation-sheet'!N116</f>
        <v>3039348598.0007381</v>
      </c>
      <c r="O141" s="2">
        <f>O9/'Output-Calculation-sheet'!O8*'Output-Calculation-sheet'!O116</f>
        <v>4747548716.9021034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1361354628.7674451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476509411.21576285</v>
      </c>
      <c r="Y141" s="2">
        <f>Y9/'Output-Calculation-sheet'!Y8*'Output-Calculation-sheet'!Y116</f>
        <v>0</v>
      </c>
      <c r="AA141" s="2">
        <f t="shared" si="12"/>
        <v>50551.189181694448</v>
      </c>
    </row>
    <row r="142" spans="1:27" x14ac:dyDescent="0.25">
      <c r="A142" s="2">
        <v>2033</v>
      </c>
      <c r="B142" s="2">
        <f>B10/'Output-Calculation-sheet'!B9*'Output-Calculation-sheet'!B117</f>
        <v>27887792168.535053</v>
      </c>
      <c r="C142" s="2">
        <f>C10/'Output-Calculation-sheet'!C9*'Output-Calculation-sheet'!C117</f>
        <v>29448356199.947681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9120373430.0650005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6267403051.5629978</v>
      </c>
      <c r="N142" s="2">
        <f>N10/'Output-Calculation-sheet'!N9*'Output-Calculation-sheet'!N117</f>
        <v>4727827229.9522667</v>
      </c>
      <c r="O142" s="2">
        <f>O10/'Output-Calculation-sheet'!O9*'Output-Calculation-sheet'!O117</f>
        <v>5715552202.3362131</v>
      </c>
      <c r="P142" s="2">
        <f>P10/'Output-Calculation-sheet'!P9*'Output-Calculation-sheet'!P117</f>
        <v>0</v>
      </c>
      <c r="Q142" s="2">
        <f>Q10/'Output-Calculation-sheet'!Q9*'Output-Calculation-sheet'!Q117</f>
        <v>902947930.97588992</v>
      </c>
      <c r="R142" s="2">
        <f>R10/'Output-Calculation-sheet'!R9*'Output-Calculation-sheet'!R117</f>
        <v>0</v>
      </c>
      <c r="S142" s="2">
        <f>S10/'Output-Calculation-sheet'!S9*'Output-Calculation-sheet'!S117</f>
        <v>2298885911.0489159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687082777.36292815</v>
      </c>
      <c r="Y142" s="2">
        <f>Y10/'Output-Calculation-sheet'!Y9*'Output-Calculation-sheet'!Y117</f>
        <v>0</v>
      </c>
      <c r="AA142" s="2">
        <f t="shared" si="12"/>
        <v>87056.220901786961</v>
      </c>
    </row>
    <row r="143" spans="1:27" x14ac:dyDescent="0.25">
      <c r="A143" s="2">
        <v>2034</v>
      </c>
      <c r="B143" s="2">
        <f>B11/'Output-Calculation-sheet'!B10*'Output-Calculation-sheet'!B118</f>
        <v>46084913528.397072</v>
      </c>
      <c r="C143" s="2">
        <f>C11/'Output-Calculation-sheet'!C10*'Output-Calculation-sheet'!C118</f>
        <v>35358918270.300392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9801668059.3682175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6731894587.2580004</v>
      </c>
      <c r="N143" s="2">
        <f>N11/'Output-Calculation-sheet'!N10*'Output-Calculation-sheet'!N118</f>
        <v>5923527200.6511202</v>
      </c>
      <c r="O143" s="2">
        <f>O11/'Output-Calculation-sheet'!O10*'Output-Calculation-sheet'!O118</f>
        <v>6869255521.1046391</v>
      </c>
      <c r="P143" s="2">
        <f>P11/'Output-Calculation-sheet'!P10*'Output-Calculation-sheet'!P118</f>
        <v>1240223802.5190377</v>
      </c>
      <c r="Q143" s="2">
        <f>Q11/'Output-Calculation-sheet'!Q10*'Output-Calculation-sheet'!Q118</f>
        <v>2910937778.3345132</v>
      </c>
      <c r="R143" s="2">
        <f>R11/'Output-Calculation-sheet'!R10*'Output-Calculation-sheet'!R118</f>
        <v>0</v>
      </c>
      <c r="S143" s="2">
        <f>S11/'Output-Calculation-sheet'!S10*'Output-Calculation-sheet'!S118</f>
        <v>3410760728.0246491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739059600.64966822</v>
      </c>
      <c r="Y143" s="2">
        <f>Y11/'Output-Calculation-sheet'!Y10*'Output-Calculation-sheet'!Y118</f>
        <v>131893326.66333061</v>
      </c>
      <c r="AA143" s="2">
        <f t="shared" si="12"/>
        <v>119203.05240327065</v>
      </c>
    </row>
    <row r="144" spans="1:27" x14ac:dyDescent="0.25">
      <c r="A144" s="2">
        <v>2035</v>
      </c>
      <c r="B144" s="2">
        <f>B12/'Output-Calculation-sheet'!B11*'Output-Calculation-sheet'!B119</f>
        <v>72501152200.70401</v>
      </c>
      <c r="C144" s="2">
        <f>C12/'Output-Calculation-sheet'!C11*'Output-Calculation-sheet'!C119</f>
        <v>34831164933.487259</v>
      </c>
      <c r="D144" s="2">
        <f>D12/'Output-Calculation-sheet'!D11*'Output-Calculation-sheet'!D119</f>
        <v>0</v>
      </c>
      <c r="E144" s="2">
        <f>E12/'Output-Calculation-sheet'!E11*'Output-Calculation-sheet'!E119</f>
        <v>11724636581.889921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10523103844.328503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2415856956.9597754</v>
      </c>
      <c r="M144" s="2">
        <f>M12/'Output-Calculation-sheet'!M11*'Output-Calculation-sheet'!M119</f>
        <v>7171819935.6483116</v>
      </c>
      <c r="N144" s="2">
        <f>N12/'Output-Calculation-sheet'!N11*'Output-Calculation-sheet'!N119</f>
        <v>7085793139.6687288</v>
      </c>
      <c r="O144" s="2">
        <f>O12/'Output-Calculation-sheet'!O11*'Output-Calculation-sheet'!O119</f>
        <v>6771219552.7513828</v>
      </c>
      <c r="P144" s="2">
        <f>P12/'Output-Calculation-sheet'!P11*'Output-Calculation-sheet'!P119</f>
        <v>5057907184.5207472</v>
      </c>
      <c r="Q144" s="2">
        <f>Q12/'Output-Calculation-sheet'!Q11*'Output-Calculation-sheet'!Q119</f>
        <v>4778211467.5942068</v>
      </c>
      <c r="R144" s="2">
        <f>R12/'Output-Calculation-sheet'!R11*'Output-Calculation-sheet'!R119</f>
        <v>537907675.39031708</v>
      </c>
      <c r="S144" s="2">
        <f>S12/'Output-Calculation-sheet'!S11*'Output-Calculation-sheet'!S119</f>
        <v>4083666230.0833216</v>
      </c>
      <c r="T144" s="2">
        <f>T12/'Output-Calculation-sheet'!T11*'Output-Calculation-sheet'!T119</f>
        <v>0</v>
      </c>
      <c r="U144" s="2">
        <f>U12/'Output-Calculation-sheet'!U11*'Output-Calculation-sheet'!U119</f>
        <v>888351636.23152125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804859633.55353141</v>
      </c>
      <c r="Y144" s="2">
        <f>Y12/'Output-Calculation-sheet'!Y11*'Output-Calculation-sheet'!Y119</f>
        <v>430726883.18983692</v>
      </c>
      <c r="AA144" s="2">
        <f t="shared" si="12"/>
        <v>169606.37785600137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313962423.86620164</v>
      </c>
      <c r="C155" s="2">
        <f>C12/'Output-Calculation-sheet'!C11*'Output-Calculation-sheet'!C128</f>
        <v>29994588.967068132</v>
      </c>
      <c r="D155" s="2">
        <f>D12/'Output-Calculation-sheet'!D11*'Output-Calculation-sheet'!D128</f>
        <v>2246939125.7612591</v>
      </c>
      <c r="E155" s="2">
        <f>E12/'Output-Calculation-sheet'!E11*'Output-Calculation-sheet'!E128</f>
        <v>334991699.02134138</v>
      </c>
      <c r="F155" s="2">
        <f>F12/'Output-Calculation-sheet'!F11*'Output-Calculation-sheet'!F128</f>
        <v>693963076.49749768</v>
      </c>
      <c r="G155" s="2">
        <f>G12/'Output-Calculation-sheet'!G11*'Output-Calculation-sheet'!G128</f>
        <v>873095057.87485135</v>
      </c>
      <c r="H155" s="2">
        <f>H12/'Output-Calculation-sheet'!H11*'Output-Calculation-sheet'!H128</f>
        <v>66165311.546318777</v>
      </c>
      <c r="I155" s="2">
        <f>I12/'Output-Calculation-sheet'!I11*'Output-Calculation-sheet'!I128</f>
        <v>524945865.41598129</v>
      </c>
      <c r="J155" s="2">
        <f>J12/'Output-Calculation-sheet'!J11*'Output-Calculation-sheet'!J128</f>
        <v>590668022.9039377</v>
      </c>
      <c r="K155" s="2">
        <f>K12/'Output-Calculation-sheet'!K11*'Output-Calculation-sheet'!K128</f>
        <v>442776998.56791979</v>
      </c>
      <c r="L155" s="2">
        <f>L12/'Output-Calculation-sheet'!L11*'Output-Calculation-sheet'!L128</f>
        <v>140498346.99357751</v>
      </c>
      <c r="M155" s="2">
        <f>M12/'Output-Calculation-sheet'!M11*'Output-Calculation-sheet'!M128</f>
        <v>52601887.371100187</v>
      </c>
      <c r="N155" s="2">
        <f>N12/'Output-Calculation-sheet'!N11*'Output-Calculation-sheet'!N128</f>
        <v>48077852.547268324</v>
      </c>
      <c r="O155" s="2">
        <f>O12/'Output-Calculation-sheet'!O11*'Output-Calculation-sheet'!O128</f>
        <v>8493285.1145478617</v>
      </c>
      <c r="P155" s="2">
        <f>P12/'Output-Calculation-sheet'!P11*'Output-Calculation-sheet'!P128</f>
        <v>35796766.105785206</v>
      </c>
      <c r="Q155" s="2">
        <f>Q12/'Output-Calculation-sheet'!Q11*'Output-Calculation-sheet'!Q128</f>
        <v>121098300.34579642</v>
      </c>
      <c r="R155" s="2">
        <f>R12/'Output-Calculation-sheet'!R11*'Output-Calculation-sheet'!R128</f>
        <v>245225848.9025619</v>
      </c>
      <c r="S155" s="2">
        <f>S12/'Output-Calculation-sheet'!S11*'Output-Calculation-sheet'!S128</f>
        <v>29480842.786312934</v>
      </c>
      <c r="T155" s="2">
        <f>T12/'Output-Calculation-sheet'!T11*'Output-Calculation-sheet'!T128</f>
        <v>76558338.836096525</v>
      </c>
      <c r="U155" s="2">
        <f>U12/'Output-Calculation-sheet'!U11*'Output-Calculation-sheet'!U128</f>
        <v>42139449.158870086</v>
      </c>
      <c r="V155" s="2">
        <f>V12/'Output-Calculation-sheet'!V11*'Output-Calculation-sheet'!V128</f>
        <v>31392188.187900692</v>
      </c>
      <c r="W155" s="2">
        <f>W12/'Output-Calculation-sheet'!W11*'Output-Calculation-sheet'!W128</f>
        <v>50741497.181460746</v>
      </c>
      <c r="X155" s="2">
        <f>X12/'Output-Calculation-sheet'!X11*'Output-Calculation-sheet'!X128</f>
        <v>1584767.5760064833</v>
      </c>
      <c r="Y155" s="2">
        <f>Y12/'Output-Calculation-sheet'!Y11*'Output-Calculation-sheet'!Y128</f>
        <v>10628762.557929678</v>
      </c>
      <c r="AA155" s="2">
        <f t="shared" si="13"/>
        <v>7011.8203040875924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4942.9215300317865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1497.2703686593325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1040.0634439830826</v>
      </c>
      <c r="N19" s="2">
        <f>N8/'Output-Calculation-sheet'!N7*'Output-Calculation-sheet'!N25</f>
        <v>865.2098802377717</v>
      </c>
      <c r="O19" s="2">
        <f>O8/'Output-Calculation-sheet'!O7*'Output-Calculation-sheet'!O25</f>
        <v>543.01272140041533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112.56379631266941</v>
      </c>
      <c r="Y19" s="2">
        <f>Y8/'Output-Calculation-sheet'!Y7*'Output-Calculation-sheet'!Y25</f>
        <v>0</v>
      </c>
      <c r="AA19" s="2">
        <f t="shared" si="0"/>
        <v>10.451751814770521</v>
      </c>
    </row>
    <row r="20" spans="1:27" x14ac:dyDescent="0.25">
      <c r="A20" s="2">
        <v>2032</v>
      </c>
      <c r="B20" s="2">
        <f>B9/'Output-Calculation-sheet'!B8*'Output-Calculation-sheet'!B26</f>
        <v>5023.8439607363644</v>
      </c>
      <c r="C20" s="2">
        <f>C9/'Output-Calculation-sheet'!C8*'Output-Calculation-sheet'!C26</f>
        <v>2754.9533777466054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1653.8121157243738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1155.6953201372273</v>
      </c>
      <c r="N20" s="2">
        <f>N9/'Output-Calculation-sheet'!N8*'Output-Calculation-sheet'!N26</f>
        <v>800.92834937944031</v>
      </c>
      <c r="O20" s="2">
        <f>O9/'Output-Calculation-sheet'!O8*'Output-Calculation-sheet'!O26</f>
        <v>538.2668349219598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379.92293448167146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125.75652968074539</v>
      </c>
      <c r="Y20" s="2">
        <f>Y9/'Output-Calculation-sheet'!Y8*'Output-Calculation-sheet'!Y26</f>
        <v>0</v>
      </c>
      <c r="AA20" s="2">
        <f t="shared" si="0"/>
        <v>12.433179422808388</v>
      </c>
    </row>
    <row r="21" spans="1:27" x14ac:dyDescent="0.25">
      <c r="A21" s="2">
        <v>2033</v>
      </c>
      <c r="B21" s="2">
        <f>B10/'Output-Calculation-sheet'!B9*'Output-Calculation-sheet'!B27</f>
        <v>4510.1222409426173</v>
      </c>
      <c r="C21" s="2">
        <f>C10/'Output-Calculation-sheet'!C9*'Output-Calculation-sheet'!C27</f>
        <v>2772.1119985953969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908.91119054318403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643.33483857095985</v>
      </c>
      <c r="N21" s="2">
        <f>N10/'Output-Calculation-sheet'!N9*'Output-Calculation-sheet'!N27</f>
        <v>651.5034487774077</v>
      </c>
      <c r="O21" s="2">
        <f>O10/'Output-Calculation-sheet'!O9*'Output-Calculation-sheet'!O27</f>
        <v>542.72009725061412</v>
      </c>
      <c r="P21" s="2">
        <f>P10/'Output-Calculation-sheet'!P9*'Output-Calculation-sheet'!P27</f>
        <v>0</v>
      </c>
      <c r="Q21" s="2">
        <f>Q10/'Output-Calculation-sheet'!Q9*'Output-Calculation-sheet'!Q27</f>
        <v>7.6917731880688383</v>
      </c>
      <c r="R21" s="2">
        <f>R10/'Output-Calculation-sheet'!R9*'Output-Calculation-sheet'!R27</f>
        <v>0</v>
      </c>
      <c r="S21" s="2">
        <f>S10/'Output-Calculation-sheet'!S9*'Output-Calculation-sheet'!S27</f>
        <v>310.22182079955928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64.239748508024235</v>
      </c>
      <c r="Y21" s="2">
        <f>Y10/'Output-Calculation-sheet'!Y9*'Output-Calculation-sheet'!Y27</f>
        <v>0</v>
      </c>
      <c r="AA21" s="2">
        <f t="shared" si="0"/>
        <v>10.410857157175833</v>
      </c>
    </row>
    <row r="22" spans="1:27" x14ac:dyDescent="0.25">
      <c r="A22" s="2">
        <v>2034</v>
      </c>
      <c r="B22" s="2">
        <f>B11/'Output-Calculation-sheet'!B10*'Output-Calculation-sheet'!B28</f>
        <v>3685.0485327703814</v>
      </c>
      <c r="C22" s="2">
        <f>C11/'Output-Calculation-sheet'!C10*'Output-Calculation-sheet'!C28</f>
        <v>371.99106459093701</v>
      </c>
      <c r="D22" s="2">
        <f>D11/'Output-Calculation-sheet'!D10*'Output-Calculation-sheet'!D28</f>
        <v>0</v>
      </c>
      <c r="E22" s="2">
        <f>E11/'Output-Calculation-sheet'!E10*'Output-Calculation-sheet'!E28</f>
        <v>1235.2113409582662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979.48161732980634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749.13355421777112</v>
      </c>
      <c r="M22" s="2">
        <f>M11/'Output-Calculation-sheet'!M10*'Output-Calculation-sheet'!M28</f>
        <v>697.09333358066249</v>
      </c>
      <c r="N22" s="2">
        <f>N11/'Output-Calculation-sheet'!N10*'Output-Calculation-sheet'!N28</f>
        <v>466.01087054283244</v>
      </c>
      <c r="O22" s="2">
        <f>O11/'Output-Calculation-sheet'!O10*'Output-Calculation-sheet'!O28</f>
        <v>72.966913053987724</v>
      </c>
      <c r="P22" s="2">
        <f>P11/'Output-Calculation-sheet'!P10*'Output-Calculation-sheet'!P28</f>
        <v>0</v>
      </c>
      <c r="Q22" s="2">
        <f>Q11/'Output-Calculation-sheet'!Q10*'Output-Calculation-sheet'!Q28</f>
        <v>220.91761251631655</v>
      </c>
      <c r="R22" s="2">
        <f>R11/'Output-Calculation-sheet'!R10*'Output-Calculation-sheet'!R28</f>
        <v>0</v>
      </c>
      <c r="S22" s="2">
        <f>S11/'Output-Calculation-sheet'!S10*'Output-Calculation-sheet'!S28</f>
        <v>174.48925418668136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68.49427357586444</v>
      </c>
      <c r="Y22" s="2">
        <f>Y11/'Output-Calculation-sheet'!Y10*'Output-Calculation-sheet'!Y28</f>
        <v>13.027814439962624</v>
      </c>
      <c r="AA22" s="2">
        <f t="shared" si="0"/>
        <v>8.7338661817634673</v>
      </c>
    </row>
    <row r="23" spans="1:27" x14ac:dyDescent="0.25">
      <c r="A23" s="2">
        <v>2035</v>
      </c>
      <c r="B23" s="2">
        <f>B12/'Output-Calculation-sheet'!B11*'Output-Calculation-sheet'!B29</f>
        <v>1149.4745567402435</v>
      </c>
      <c r="C23" s="2">
        <f>C12/'Output-Calculation-sheet'!C11*'Output-Calculation-sheet'!C29</f>
        <v>197.68735504136234</v>
      </c>
      <c r="D23" s="2">
        <f>D12/'Output-Calculation-sheet'!D11*'Output-Calculation-sheet'!D29</f>
        <v>0</v>
      </c>
      <c r="E23" s="2">
        <f>E12/'Output-Calculation-sheet'!E11*'Output-Calculation-sheet'!E29</f>
        <v>1609.5218289084974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308.32081809771068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974.04800894090693</v>
      </c>
      <c r="M23" s="2">
        <f>M12/'Output-Calculation-sheet'!M11*'Output-Calculation-sheet'!M29</f>
        <v>278.11573578138695</v>
      </c>
      <c r="N23" s="2">
        <f>N12/'Output-Calculation-sheet'!N11*'Output-Calculation-sheet'!N29</f>
        <v>233.17210691937177</v>
      </c>
      <c r="O23" s="2">
        <f>O12/'Output-Calculation-sheet'!O11*'Output-Calculation-sheet'!O29</f>
        <v>33.693538832949315</v>
      </c>
      <c r="P23" s="2">
        <f>P12/'Output-Calculation-sheet'!P11*'Output-Calculation-sheet'!P29</f>
        <v>14.931210078796139</v>
      </c>
      <c r="Q23" s="2">
        <f>Q12/'Output-Calculation-sheet'!Q11*'Output-Calculation-sheet'!Q29</f>
        <v>300.62284951312574</v>
      </c>
      <c r="R23" s="2">
        <f>R12/'Output-Calculation-sheet'!R11*'Output-Calculation-sheet'!R29</f>
        <v>0</v>
      </c>
      <c r="S23" s="2">
        <f>S12/'Output-Calculation-sheet'!S11*'Output-Calculation-sheet'!S29</f>
        <v>114.1683922401684</v>
      </c>
      <c r="T23" s="2">
        <f>T12/'Output-Calculation-sheet'!T11*'Output-Calculation-sheet'!T29</f>
        <v>0</v>
      </c>
      <c r="U23" s="2">
        <f>U12/'Output-Calculation-sheet'!U11*'Output-Calculation-sheet'!U29</f>
        <v>81.8557681722924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9.8639534165106948</v>
      </c>
      <c r="Y23" s="2">
        <f>Y12/'Output-Calculation-sheet'!Y11*'Output-Calculation-sheet'!Y29</f>
        <v>52.862154805784563</v>
      </c>
      <c r="AA23" s="2">
        <f t="shared" si="0"/>
        <v>5.3583382774891062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986.3209616414523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38.671133685758058</v>
      </c>
    </row>
    <row r="31" spans="1:27" x14ac:dyDescent="0.25">
      <c r="A31" s="2">
        <v>2032</v>
      </c>
      <c r="B31" s="2">
        <f>B9/'Output-Calculation-sheet'!B8*'Output-Calculation-sheet'!B17</f>
        <v>21122.320319986669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825.90498572672186</v>
      </c>
      <c r="O31" s="2">
        <f>O9/'Output-Calculation-sheet'!O8*'Output-Calculation-sheet'!O17</f>
        <v>0</v>
      </c>
      <c r="P31" s="2">
        <f>P9/'Output-Calculation-sheet'!P8*'Output-Calculation-sheet'!P17</f>
        <v>2064.7680198068188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683.57494373155953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48.394294881030383</v>
      </c>
    </row>
    <row r="32" spans="1:27" x14ac:dyDescent="0.25">
      <c r="A32" s="2">
        <v>2033</v>
      </c>
      <c r="B32" s="2">
        <f>B10/'Output-Calculation-sheet'!B9*'Output-Calculation-sheet'!B18</f>
        <v>16314.30455072664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2554.2309218719793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660.32459948700534</v>
      </c>
      <c r="O32" s="2">
        <f>O10/'Output-Calculation-sheet'!O9*'Output-Calculation-sheet'!O18</f>
        <v>0</v>
      </c>
      <c r="P32" s="2">
        <f>P10/'Output-Calculation-sheet'!P9*'Output-Calculation-sheet'!P18</f>
        <v>2628.8140883346668</v>
      </c>
      <c r="Q32" s="2">
        <f>Q10/'Output-Calculation-sheet'!Q9*'Output-Calculation-sheet'!Q18</f>
        <v>2433.9183808938319</v>
      </c>
      <c r="R32" s="2">
        <f>R10/'Output-Calculation-sheet'!R9*'Output-Calculation-sheet'!R18</f>
        <v>1887.6825710619898</v>
      </c>
      <c r="S32" s="2">
        <f>S10/'Output-Calculation-sheet'!S9*'Output-Calculation-sheet'!S18</f>
        <v>600.70020596645838</v>
      </c>
      <c r="T32" s="2">
        <f>T10/'Output-Calculation-sheet'!T9*'Output-Calculation-sheet'!T18</f>
        <v>551.14616975405738</v>
      </c>
      <c r="U32" s="2">
        <f>U10/'Output-Calculation-sheet'!U9*'Output-Calculation-sheet'!U18</f>
        <v>609.28648049115986</v>
      </c>
      <c r="V32" s="2">
        <f>V10/'Output-Calculation-sheet'!V9*'Output-Calculation-sheet'!V18</f>
        <v>449.73560200214717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260.36149674499535</v>
      </c>
      <c r="AA32" s="2">
        <f t="shared" si="1"/>
        <v>51.864683767638148</v>
      </c>
    </row>
    <row r="33" spans="1:27" x14ac:dyDescent="0.25">
      <c r="A33" s="2">
        <v>2034</v>
      </c>
      <c r="B33" s="2">
        <f>B11/'Output-Calculation-sheet'!B10*'Output-Calculation-sheet'!B19</f>
        <v>11149.681336664877</v>
      </c>
      <c r="C33" s="2">
        <f>C11/'Output-Calculation-sheet'!C10*'Output-Calculation-sheet'!C19</f>
        <v>0</v>
      </c>
      <c r="D33" s="2">
        <f>D11/'Output-Calculation-sheet'!D10*'Output-Calculation-sheet'!D19</f>
        <v>7414.329286847631</v>
      </c>
      <c r="E33" s="2">
        <f>E11/'Output-Calculation-sheet'!E10*'Output-Calculation-sheet'!E19</f>
        <v>9190.8534791388447</v>
      </c>
      <c r="F33" s="2">
        <f>F11/'Output-Calculation-sheet'!F10*'Output-Calculation-sheet'!F19</f>
        <v>4208.3325171248389</v>
      </c>
      <c r="G33" s="2">
        <f>G11/'Output-Calculation-sheet'!G10*'Output-Calculation-sheet'!G19</f>
        <v>2523.5777594195806</v>
      </c>
      <c r="H33" s="2">
        <f>H11/'Output-Calculation-sheet'!H10*'Output-Calculation-sheet'!H19</f>
        <v>0</v>
      </c>
      <c r="I33" s="2">
        <f>I11/'Output-Calculation-sheet'!I10*'Output-Calculation-sheet'!I19</f>
        <v>2753.9358971584306</v>
      </c>
      <c r="J33" s="2">
        <f>J11/'Output-Calculation-sheet'!J10*'Output-Calculation-sheet'!J19</f>
        <v>2328.3661694683797</v>
      </c>
      <c r="K33" s="2">
        <f>K11/'Output-Calculation-sheet'!K10*'Output-Calculation-sheet'!K19</f>
        <v>3229.9446741958468</v>
      </c>
      <c r="L33" s="2">
        <f>L11/'Output-Calculation-sheet'!L10*'Output-Calculation-sheet'!L19</f>
        <v>2626.9223740456064</v>
      </c>
      <c r="M33" s="2">
        <f>M11/'Output-Calculation-sheet'!M10*'Output-Calculation-sheet'!M19</f>
        <v>0</v>
      </c>
      <c r="N33" s="2">
        <f>N11/'Output-Calculation-sheet'!N10*'Output-Calculation-sheet'!N19</f>
        <v>498.64262868560394</v>
      </c>
      <c r="O33" s="2">
        <f>O11/'Output-Calculation-sheet'!O10*'Output-Calculation-sheet'!O19</f>
        <v>0</v>
      </c>
      <c r="P33" s="2">
        <f>P11/'Output-Calculation-sheet'!P10*'Output-Calculation-sheet'!P19</f>
        <v>2468.3622592533502</v>
      </c>
      <c r="Q33" s="2">
        <f>Q11/'Output-Calculation-sheet'!Q10*'Output-Calculation-sheet'!Q19</f>
        <v>1595.6495861391511</v>
      </c>
      <c r="R33" s="2">
        <f>R11/'Output-Calculation-sheet'!R10*'Output-Calculation-sheet'!R19</f>
        <v>2333.8682957319397</v>
      </c>
      <c r="S33" s="2">
        <f>S11/'Output-Calculation-sheet'!S10*'Output-Calculation-sheet'!S19</f>
        <v>316.98664810366557</v>
      </c>
      <c r="T33" s="2">
        <f>T11/'Output-Calculation-sheet'!T10*'Output-Calculation-sheet'!T19</f>
        <v>684.51109800164386</v>
      </c>
      <c r="U33" s="2">
        <f>U11/'Output-Calculation-sheet'!U10*'Output-Calculation-sheet'!U19</f>
        <v>787.39207442926488</v>
      </c>
      <c r="V33" s="2">
        <f>V11/'Output-Calculation-sheet'!V10*'Output-Calculation-sheet'!V19</f>
        <v>536.94159969687564</v>
      </c>
      <c r="W33" s="2">
        <f>W11/'Output-Calculation-sheet'!W10*'Output-Calculation-sheet'!W19</f>
        <v>334.28132655368915</v>
      </c>
      <c r="X33" s="2">
        <f>X11/'Output-Calculation-sheet'!X10*'Output-Calculation-sheet'!X19</f>
        <v>0</v>
      </c>
      <c r="Y33" s="2">
        <f>Y11/'Output-Calculation-sheet'!Y10*'Output-Calculation-sheet'!Y19</f>
        <v>255.2391742346644</v>
      </c>
      <c r="AA33" s="2">
        <f t="shared" si="1"/>
        <v>55.237818184893875</v>
      </c>
    </row>
    <row r="34" spans="1:27" x14ac:dyDescent="0.25">
      <c r="A34" s="2">
        <v>2035</v>
      </c>
      <c r="B34" s="2">
        <f>B12/'Output-Calculation-sheet'!B11*'Output-Calculation-sheet'!B20</f>
        <v>163.85908982806964</v>
      </c>
      <c r="C34" s="2">
        <f>C12/'Output-Calculation-sheet'!C11*'Output-Calculation-sheet'!C20</f>
        <v>0</v>
      </c>
      <c r="D34" s="2">
        <f>D12/'Output-Calculation-sheet'!D11*'Output-Calculation-sheet'!D20</f>
        <v>8118.4625841748839</v>
      </c>
      <c r="E34" s="2">
        <f>E12/'Output-Calculation-sheet'!E11*'Output-Calculation-sheet'!E20</f>
        <v>3271.6602243101174</v>
      </c>
      <c r="F34" s="2">
        <f>F12/'Output-Calculation-sheet'!F11*'Output-Calculation-sheet'!F20</f>
        <v>5363.4660845497046</v>
      </c>
      <c r="G34" s="2">
        <f>G12/'Output-Calculation-sheet'!G11*'Output-Calculation-sheet'!G20</f>
        <v>2683.6875113584319</v>
      </c>
      <c r="H34" s="2">
        <f>H12/'Output-Calculation-sheet'!H11*'Output-Calculation-sheet'!H20</f>
        <v>0</v>
      </c>
      <c r="I34" s="2">
        <f>I12/'Output-Calculation-sheet'!I11*'Output-Calculation-sheet'!I20</f>
        <v>3253.2290756167145</v>
      </c>
      <c r="J34" s="2">
        <f>J12/'Output-Calculation-sheet'!J11*'Output-Calculation-sheet'!J20</f>
        <v>2726.1615734371017</v>
      </c>
      <c r="K34" s="2">
        <f>K12/'Output-Calculation-sheet'!K11*'Output-Calculation-sheet'!K20</f>
        <v>3846.2182690666505</v>
      </c>
      <c r="L34" s="2">
        <f>L12/'Output-Calculation-sheet'!L11*'Output-Calculation-sheet'!L20</f>
        <v>1469.2441981438603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619.56823592247622</v>
      </c>
      <c r="Q34" s="2">
        <f>Q12/'Output-Calculation-sheet'!Q11*'Output-Calculation-sheet'!Q20</f>
        <v>602.26384800816481</v>
      </c>
      <c r="R34" s="2">
        <f>R12/'Output-Calculation-sheet'!R11*'Output-Calculation-sheet'!R20</f>
        <v>2425.8456729868321</v>
      </c>
      <c r="S34" s="2">
        <f>S12/'Output-Calculation-sheet'!S11*'Output-Calculation-sheet'!S20</f>
        <v>0.75801815124798577</v>
      </c>
      <c r="T34" s="2">
        <f>T12/'Output-Calculation-sheet'!T11*'Output-Calculation-sheet'!T20</f>
        <v>797.31112469191964</v>
      </c>
      <c r="U34" s="2">
        <f>U12/'Output-Calculation-sheet'!U11*'Output-Calculation-sheet'!U20</f>
        <v>335.70243870227932</v>
      </c>
      <c r="V34" s="2">
        <f>V12/'Output-Calculation-sheet'!V11*'Output-Calculation-sheet'!V20</f>
        <v>720.71393321972448</v>
      </c>
      <c r="W34" s="2">
        <f>W12/'Output-Calculation-sheet'!W11*'Output-Calculation-sheet'!W20</f>
        <v>426.83224537888412</v>
      </c>
      <c r="X34" s="2">
        <f>X12/'Output-Calculation-sheet'!X11*'Output-Calculation-sheet'!X20</f>
        <v>0</v>
      </c>
      <c r="Y34" s="2">
        <f>Y12/'Output-Calculation-sheet'!Y11*'Output-Calculation-sheet'!Y20</f>
        <v>90.773950043776409</v>
      </c>
      <c r="AA34" s="2">
        <f t="shared" si="1"/>
        <v>36.915758077590844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7.0217015864395327E-2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9.5912433029963374E-3</v>
      </c>
      <c r="Q45" s="2">
        <f>Q12/'Output-Calculation-sheet'!Q11*'Output-Calculation-sheet'!Q38*0.0114</f>
        <v>9.0963153556526712E-3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8.7068146012838788E-3</v>
      </c>
      <c r="V45" s="2">
        <f>V12/'Output-Calculation-sheet'!V11*'Output-Calculation-sheet'!V38*0.0114</f>
        <v>4.4758097838616222E-3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3.3548698687617963E-3</v>
      </c>
      <c r="AA45" s="2">
        <f t="shared" si="2"/>
        <v>0.79464618079558913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0.13467503176635606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167.3617241322722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0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15.616084896390962</v>
      </c>
      <c r="AA54" s="2">
        <f t="shared" si="3"/>
        <v>4.1225847746462847</v>
      </c>
    </row>
    <row r="55" spans="1:27" x14ac:dyDescent="0.25">
      <c r="A55" s="2">
        <v>2034</v>
      </c>
      <c r="B55" s="2">
        <f>B11/'Output-Calculation-sheet'!B10*'Output-Calculation-sheet'!B46</f>
        <v>1456.7865988350004</v>
      </c>
      <c r="C55" s="2">
        <f>C11/'Output-Calculation-sheet'!C10*'Output-Calculation-sheet'!C46</f>
        <v>0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496.63121199475034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368.09268106693321</v>
      </c>
      <c r="N55" s="2">
        <f>N11/'Output-Calculation-sheet'!N10*'Output-Calculation-sheet'!N46</f>
        <v>125.70975787981403</v>
      </c>
      <c r="O55" s="2">
        <f>O11/'Output-Calculation-sheet'!O10*'Output-Calculation-sheet'!O46</f>
        <v>0</v>
      </c>
      <c r="P55" s="2">
        <f>P11/'Output-Calculation-sheet'!P10*'Output-Calculation-sheet'!P46</f>
        <v>2734.0186218612662</v>
      </c>
      <c r="Q55" s="2">
        <f>Q11/'Output-Calculation-sheet'!Q10*'Output-Calculation-sheet'!Q46</f>
        <v>528.0041584597376</v>
      </c>
      <c r="R55" s="2">
        <f>R11/'Output-Calculation-sheet'!R10*'Output-Calculation-sheet'!R46</f>
        <v>3385.9922107879897</v>
      </c>
      <c r="S55" s="2">
        <f>S11/'Output-Calculation-sheet'!S10*'Output-Calculation-sheet'!S46</f>
        <v>0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1286.5581123066215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35.132134536742697</v>
      </c>
      <c r="Y55" s="2">
        <f>Y11/'Output-Calculation-sheet'!Y10*'Output-Calculation-sheet'!Y46</f>
        <v>182.43632912458867</v>
      </c>
      <c r="AA55" s="2">
        <f t="shared" si="3"/>
        <v>36.453402837583731</v>
      </c>
    </row>
    <row r="56" spans="1:27" x14ac:dyDescent="0.25">
      <c r="A56" s="2">
        <v>2035</v>
      </c>
      <c r="B56" s="2">
        <f>B12/'Output-Calculation-sheet'!B11*'Output-Calculation-sheet'!B47</f>
        <v>451.63097095148009</v>
      </c>
      <c r="C56" s="2">
        <f>C12/'Output-Calculation-sheet'!C11*'Output-Calculation-sheet'!C47</f>
        <v>341.21738644005893</v>
      </c>
      <c r="D56" s="2">
        <f>D12/'Output-Calculation-sheet'!D11*'Output-Calculation-sheet'!D47</f>
        <v>16120.516439063835</v>
      </c>
      <c r="E56" s="2">
        <f>E12/'Output-Calculation-sheet'!E11*'Output-Calculation-sheet'!E47</f>
        <v>7397.4242151876124</v>
      </c>
      <c r="F56" s="2">
        <f>F12/'Output-Calculation-sheet'!F11*'Output-Calculation-sheet'!F47</f>
        <v>3792.4804496331344</v>
      </c>
      <c r="G56" s="2">
        <f>G12/'Output-Calculation-sheet'!G11*'Output-Calculation-sheet'!G47</f>
        <v>6090.0045982377778</v>
      </c>
      <c r="H56" s="2">
        <f>H12/'Output-Calculation-sheet'!H11*'Output-Calculation-sheet'!H47</f>
        <v>131.96993397701598</v>
      </c>
      <c r="I56" s="2">
        <f>I12/'Output-Calculation-sheet'!I11*'Output-Calculation-sheet'!I47</f>
        <v>5547.5998418537492</v>
      </c>
      <c r="J56" s="2">
        <f>J12/'Output-Calculation-sheet'!J11*'Output-Calculation-sheet'!J47</f>
        <v>4786.2129695776566</v>
      </c>
      <c r="K56" s="2">
        <f>K12/'Output-Calculation-sheet'!K11*'Output-Calculation-sheet'!K47</f>
        <v>6455.1492212156345</v>
      </c>
      <c r="L56" s="2">
        <f>L12/'Output-Calculation-sheet'!L11*'Output-Calculation-sheet'!L47</f>
        <v>2877.633052814283</v>
      </c>
      <c r="M56" s="2">
        <f>M12/'Output-Calculation-sheet'!M11*'Output-Calculation-sheet'!M47</f>
        <v>122.31302891012614</v>
      </c>
      <c r="N56" s="2">
        <f>N12/'Output-Calculation-sheet'!N11*'Output-Calculation-sheet'!N47</f>
        <v>82.874714312853541</v>
      </c>
      <c r="O56" s="2">
        <f>O12/'Output-Calculation-sheet'!O11*'Output-Calculation-sheet'!O47</f>
        <v>62.039760248330225</v>
      </c>
      <c r="P56" s="2">
        <f>P12/'Output-Calculation-sheet'!P11*'Output-Calculation-sheet'!P47</f>
        <v>647.82959151817363</v>
      </c>
      <c r="Q56" s="2">
        <f>Q12/'Output-Calculation-sheet'!Q11*'Output-Calculation-sheet'!Q47</f>
        <v>616.79401490522059</v>
      </c>
      <c r="R56" s="2">
        <f>R12/'Output-Calculation-sheet'!R11*'Output-Calculation-sheet'!R47</f>
        <v>4550.7113636169397</v>
      </c>
      <c r="S56" s="2">
        <f>S12/'Output-Calculation-sheet'!S11*'Output-Calculation-sheet'!S47</f>
        <v>43.330238673266408</v>
      </c>
      <c r="T56" s="2">
        <f>T12/'Output-Calculation-sheet'!T11*'Output-Calculation-sheet'!T47</f>
        <v>1992.440553430826</v>
      </c>
      <c r="U56" s="2">
        <f>U12/'Output-Calculation-sheet'!U11*'Output-Calculation-sheet'!U47</f>
        <v>801.43427967373236</v>
      </c>
      <c r="V56" s="2">
        <f>V12/'Output-Calculation-sheet'!V11*'Output-Calculation-sheet'!V47</f>
        <v>1081.4577236532314</v>
      </c>
      <c r="W56" s="2">
        <f>W12/'Output-Calculation-sheet'!W11*'Output-Calculation-sheet'!W47</f>
        <v>579.15192021716871</v>
      </c>
      <c r="X56" s="2">
        <f>X12/'Output-Calculation-sheet'!X11*'Output-Calculation-sheet'!X47</f>
        <v>9.3519349765448627</v>
      </c>
      <c r="Y56" s="2">
        <f>Y12/'Output-Calculation-sheet'!Y11*'Output-Calculation-sheet'!Y47</f>
        <v>189.81500573257532</v>
      </c>
      <c r="AA56" s="2">
        <f t="shared" si="3"/>
        <v>64.771383208821248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7.1319022049006886</v>
      </c>
      <c r="C63" s="2">
        <f>C8*'Output-Calculation-sheet'!C52/10^9</f>
        <v>3.8102289549188848</v>
      </c>
      <c r="D63" s="2">
        <f>D8*'Output-Calculation-sheet'!D52/10^9</f>
        <v>2.4456821042848511</v>
      </c>
      <c r="E63" s="2">
        <f>E8*'Output-Calculation-sheet'!E52/10^9</f>
        <v>2.4316640372002967</v>
      </c>
      <c r="F63" s="2">
        <f>F8*'Output-Calculation-sheet'!F52/10^9</f>
        <v>1.0298095187296905</v>
      </c>
      <c r="G63" s="2">
        <f>G8*'Output-Calculation-sheet'!G52/10^9</f>
        <v>0.74038652114531223</v>
      </c>
      <c r="H63" s="2">
        <f>H8*'Output-Calculation-sheet'!H52/10^9</f>
        <v>1.20416754958356</v>
      </c>
      <c r="I63" s="2">
        <f>I8*'Output-Calculation-sheet'!I52/10^9</f>
        <v>0.68873135462986879</v>
      </c>
      <c r="J63" s="2">
        <f>J8*'Output-Calculation-sheet'!J52/10^9</f>
        <v>0.9477410275122744</v>
      </c>
      <c r="K63" s="2">
        <f>K8*'Output-Calculation-sheet'!K52/10^9</f>
        <v>0.83267478670307837</v>
      </c>
      <c r="L63" s="2">
        <f>L8*'Output-Calculation-sheet'!L52/10^9</f>
        <v>1.1199876515959835</v>
      </c>
      <c r="M63" s="2">
        <f>M8*'Output-Calculation-sheet'!M52/10^9</f>
        <v>0.98649375000897943</v>
      </c>
      <c r="N63" s="2">
        <f>N8*'Output-Calculation-sheet'!N52/10^9</f>
        <v>0.87043773239913824</v>
      </c>
      <c r="O63" s="2">
        <f>O8*'Output-Calculation-sheet'!O52/10^9</f>
        <v>0.77953995181408253</v>
      </c>
      <c r="P63" s="2">
        <f>P8*'Output-Calculation-sheet'!P52/10^9</f>
        <v>0.57535581621390153</v>
      </c>
      <c r="Q63" s="2">
        <f>Q8*'Output-Calculation-sheet'!Q52/10^9</f>
        <v>0.65113417828791254</v>
      </c>
      <c r="R63" s="2">
        <f>R8*'Output-Calculation-sheet'!R52/10^9</f>
        <v>0.58458924180045191</v>
      </c>
      <c r="S63" s="2">
        <f>S8*'Output-Calculation-sheet'!S52/10^9</f>
        <v>0.43320134119952219</v>
      </c>
      <c r="T63" s="2">
        <f>T8*'Output-Calculation-sheet'!T52/10^9</f>
        <v>0.2222524788992615</v>
      </c>
      <c r="U63" s="2">
        <f>U8*'Output-Calculation-sheet'!U52/10^9</f>
        <v>0.15264062092536612</v>
      </c>
      <c r="V63" s="2">
        <f>V8*'Output-Calculation-sheet'!V52/10^9</f>
        <v>0.27090103033554658</v>
      </c>
      <c r="W63" s="2">
        <f>W8*'Output-Calculation-sheet'!W52/10^9</f>
        <v>9.8053481139855389E-2</v>
      </c>
      <c r="X63" s="2">
        <f>X8*'Output-Calculation-sheet'!X52/10^9</f>
        <v>0.10103248947430399</v>
      </c>
      <c r="Y63" s="2">
        <f>Y8*'Output-Calculation-sheet'!Y52/10^9</f>
        <v>6.3977168835301315E-2</v>
      </c>
      <c r="AA63" s="2">
        <f t="shared" si="4"/>
        <v>28.172584992538113</v>
      </c>
    </row>
    <row r="64" spans="1:27" x14ac:dyDescent="0.25">
      <c r="A64" s="2">
        <v>2032</v>
      </c>
      <c r="B64" s="2">
        <f>B9*'Output-Calculation-sheet'!B53/10^9</f>
        <v>7.2027805873817519</v>
      </c>
      <c r="C64" s="2">
        <f>C9*'Output-Calculation-sheet'!C53/10^9</f>
        <v>3.818416445319389</v>
      </c>
      <c r="D64" s="2">
        <f>D9*'Output-Calculation-sheet'!D53/10^9</f>
        <v>2.1332288731316464</v>
      </c>
      <c r="E64" s="2">
        <f>E9*'Output-Calculation-sheet'!E53/10^9</f>
        <v>2.1845202236783634</v>
      </c>
      <c r="F64" s="2">
        <f>F9*'Output-Calculation-sheet'!F53/10^9</f>
        <v>0.9214169322810436</v>
      </c>
      <c r="G64" s="2">
        <f>G9*'Output-Calculation-sheet'!G53/10^9</f>
        <v>0.65583638523921906</v>
      </c>
      <c r="H64" s="2">
        <f>H9*'Output-Calculation-sheet'!H53/10^9</f>
        <v>1.1983816734611761</v>
      </c>
      <c r="I64" s="2">
        <f>I9*'Output-Calculation-sheet'!I53/10^9</f>
        <v>0.61309983269064716</v>
      </c>
      <c r="J64" s="2">
        <f>J9*'Output-Calculation-sheet'!J53/10^9</f>
        <v>0.8116196057729842</v>
      </c>
      <c r="K64" s="2">
        <f>K9*'Output-Calculation-sheet'!K53/10^9</f>
        <v>0.75307257046032405</v>
      </c>
      <c r="L64" s="2">
        <f>L9*'Output-Calculation-sheet'!L53/10^9</f>
        <v>0.96882561101695641</v>
      </c>
      <c r="M64" s="2">
        <f>M9*'Output-Calculation-sheet'!M53/10^9</f>
        <v>0.95077569682462482</v>
      </c>
      <c r="N64" s="2">
        <f>N9*'Output-Calculation-sheet'!N53/10^9</f>
        <v>0.85600532971094168</v>
      </c>
      <c r="O64" s="2">
        <f>O9*'Output-Calculation-sheet'!O53/10^9</f>
        <v>0.77325792525482706</v>
      </c>
      <c r="P64" s="2">
        <f>P9*'Output-Calculation-sheet'!P53/10^9</f>
        <v>0.57415531529249075</v>
      </c>
      <c r="Q64" s="2">
        <f>Q9*'Output-Calculation-sheet'!Q53/10^9</f>
        <v>0.63454057780171624</v>
      </c>
      <c r="R64" s="2">
        <f>R9*'Output-Calculation-sheet'!R53/10^9</f>
        <v>0.54395112307268279</v>
      </c>
      <c r="S64" s="2">
        <f>S9*'Output-Calculation-sheet'!S53/10^9</f>
        <v>0.43770224771899391</v>
      </c>
      <c r="T64" s="2">
        <f>T9*'Output-Calculation-sheet'!T53/10^9</f>
        <v>0.19553549326194988</v>
      </c>
      <c r="U64" s="2">
        <f>U9*'Output-Calculation-sheet'!U53/10^9</f>
        <v>0.1471754889487214</v>
      </c>
      <c r="V64" s="2">
        <f>V9*'Output-Calculation-sheet'!V53/10^9</f>
        <v>0.23208740798618574</v>
      </c>
      <c r="W64" s="2">
        <f>W9*'Output-Calculation-sheet'!W53/10^9</f>
        <v>8.6239348481779859E-2</v>
      </c>
      <c r="X64" s="2">
        <f>X9*'Output-Calculation-sheet'!X53/10^9</f>
        <v>9.8872179227998735E-2</v>
      </c>
      <c r="Y64" s="2">
        <f>Y9*'Output-Calculation-sheet'!Y53/10^9</f>
        <v>6.0422133386206868E-2</v>
      </c>
      <c r="AA64" s="2">
        <f t="shared" si="4"/>
        <v>26.851919007402628</v>
      </c>
    </row>
    <row r="65" spans="1:27" x14ac:dyDescent="0.25">
      <c r="A65" s="2">
        <v>2033</v>
      </c>
      <c r="B65" s="2">
        <f>B10*'Output-Calculation-sheet'!B54/10^9</f>
        <v>7.0832570321051715</v>
      </c>
      <c r="C65" s="2">
        <f>C10*'Output-Calculation-sheet'!C54/10^9</f>
        <v>3.6614625009352126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1.1498228031530304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0.66991593923775006</v>
      </c>
      <c r="L65" s="2">
        <f>L10*'Output-Calculation-sheet'!L54/10^9</f>
        <v>0.79125314856372186</v>
      </c>
      <c r="M65" s="2">
        <f>M10*'Output-Calculation-sheet'!M54/10^9</f>
        <v>0.87681311404792561</v>
      </c>
      <c r="N65" s="2">
        <f>N10*'Output-Calculation-sheet'!N54/10^9</f>
        <v>0.80458347619417314</v>
      </c>
      <c r="O65" s="2">
        <f>O10*'Output-Calculation-sheet'!O54/10^9</f>
        <v>0.73377327590654418</v>
      </c>
      <c r="P65" s="2">
        <f>P10*'Output-Calculation-sheet'!P54/10^9</f>
        <v>0.56678306975291703</v>
      </c>
      <c r="Q65" s="2">
        <f>Q10*'Output-Calculation-sheet'!Q54/10^9</f>
        <v>0.61741720531458966</v>
      </c>
      <c r="R65" s="2">
        <f>R10*'Output-Calculation-sheet'!R54/10^9</f>
        <v>0.49898993997143376</v>
      </c>
      <c r="S65" s="2">
        <f>S10*'Output-Calculation-sheet'!S54/10^9</f>
        <v>0.42441662057799373</v>
      </c>
      <c r="T65" s="2">
        <f>T10*'Output-Calculation-sheet'!T54/10^9</f>
        <v>0.16683497421431748</v>
      </c>
      <c r="U65" s="2">
        <f>U10*'Output-Calculation-sheet'!U54/10^9</f>
        <v>0.14405776732710307</v>
      </c>
      <c r="V65" s="2">
        <f>V10*'Output-Calculation-sheet'!V54/10^9</f>
        <v>0.18463591674927149</v>
      </c>
      <c r="W65" s="2">
        <f>W10*'Output-Calculation-sheet'!W54/10^9</f>
        <v>7.0294486762733241E-2</v>
      </c>
      <c r="X65" s="2">
        <f>X10*'Output-Calculation-sheet'!X54/10^9</f>
        <v>9.1934474165545108E-2</v>
      </c>
      <c r="Y65" s="2">
        <f>Y10*'Output-Calculation-sheet'!Y54/10^9</f>
        <v>5.7857271533726974E-2</v>
      </c>
      <c r="AA65" s="2">
        <f t="shared" si="4"/>
        <v>24.726947596675434</v>
      </c>
    </row>
    <row r="66" spans="1:27" x14ac:dyDescent="0.25">
      <c r="A66" s="2">
        <v>2034</v>
      </c>
      <c r="B66" s="2">
        <f>B11*'Output-Calculation-sheet'!B55/10^9</f>
        <v>6.7764131185677305</v>
      </c>
      <c r="C66" s="2">
        <f>C11*'Output-Calculation-sheet'!C55/10^9</f>
        <v>3.4088054013909375</v>
      </c>
      <c r="D66" s="2">
        <f>D11*'Output-Calculation-sheet'!D55/10^9</f>
        <v>1.5293288915325005</v>
      </c>
      <c r="E66" s="2">
        <f>E11*'Output-Calculation-sheet'!E55/10^9</f>
        <v>1.8519104309459253</v>
      </c>
      <c r="F66" s="2">
        <f>F11*'Output-Calculation-sheet'!F55/10^9</f>
        <v>0.71171936251268242</v>
      </c>
      <c r="G66" s="2">
        <f>G11*'Output-Calculation-sheet'!G55/10^9</f>
        <v>0.50871697017344264</v>
      </c>
      <c r="H66" s="2">
        <f>H11*'Output-Calculation-sheet'!H55/10^9</f>
        <v>1.0615731495775658</v>
      </c>
      <c r="I66" s="2">
        <f>I11*'Output-Calculation-sheet'!I55/10^9</f>
        <v>0.49751076213428796</v>
      </c>
      <c r="J66" s="2">
        <f>J11*'Output-Calculation-sheet'!J55/10^9</f>
        <v>0.5115589535363988</v>
      </c>
      <c r="K66" s="2">
        <f>K11*'Output-Calculation-sheet'!K55/10^9</f>
        <v>0.61186769253311823</v>
      </c>
      <c r="L66" s="2">
        <f>L11*'Output-Calculation-sheet'!L55/10^9</f>
        <v>0.64797241795806348</v>
      </c>
      <c r="M66" s="2">
        <f>M11*'Output-Calculation-sheet'!M55/10^9</f>
        <v>0.77381347691755986</v>
      </c>
      <c r="N66" s="2">
        <f>N11*'Output-Calculation-sheet'!N55/10^9</f>
        <v>0.73103005908443519</v>
      </c>
      <c r="O66" s="2">
        <f>O11*'Output-Calculation-sheet'!O55/10^9</f>
        <v>0.67188702057669558</v>
      </c>
      <c r="P66" s="2">
        <f>P11*'Output-Calculation-sheet'!P55/10^9</f>
        <v>0.56101917795623835</v>
      </c>
      <c r="Q66" s="2">
        <f>Q11*'Output-Calculation-sheet'!Q55/10^9</f>
        <v>0.59344430439016549</v>
      </c>
      <c r="R66" s="2">
        <f>R11*'Output-Calculation-sheet'!R55/10^9</f>
        <v>0.45838054822592333</v>
      </c>
      <c r="S66" s="2">
        <f>S11*'Output-Calculation-sheet'!S55/10^9</f>
        <v>0.39982474222472419</v>
      </c>
      <c r="T66" s="2">
        <f>T11*'Output-Calculation-sheet'!T55/10^9</f>
        <v>0.14366979726101436</v>
      </c>
      <c r="U66" s="2">
        <f>U11*'Output-Calculation-sheet'!U55/10^9</f>
        <v>0.14669305493011897</v>
      </c>
      <c r="V66" s="2">
        <f>V11*'Output-Calculation-sheet'!V55/10^9</f>
        <v>0.13629318563120199</v>
      </c>
      <c r="W66" s="2">
        <f>W11*'Output-Calculation-sheet'!W55/10^9</f>
        <v>6.1712256688710498E-2</v>
      </c>
      <c r="X66" s="2">
        <f>X11*'Output-Calculation-sheet'!X55/10^9</f>
        <v>8.2675671575856424E-2</v>
      </c>
      <c r="Y66" s="2">
        <f>Y11*'Output-Calculation-sheet'!Y55/10^9</f>
        <v>6.0339592792227371E-2</v>
      </c>
      <c r="AA66" s="2">
        <f t="shared" si="4"/>
        <v>22.938160039117516</v>
      </c>
    </row>
    <row r="67" spans="1:27" x14ac:dyDescent="0.25">
      <c r="A67" s="2">
        <v>2035</v>
      </c>
      <c r="B67" s="2">
        <f>B12*'Output-Calculation-sheet'!B56/10^9</f>
        <v>6.5459293311869065</v>
      </c>
      <c r="C67" s="2">
        <f>C12*'Output-Calculation-sheet'!C56/10^9</f>
        <v>3.0538353567753642</v>
      </c>
      <c r="D67" s="2">
        <f>D12*'Output-Calculation-sheet'!D56/10^9</f>
        <v>1.7910320864625531</v>
      </c>
      <c r="E67" s="2">
        <f>E12*'Output-Calculation-sheet'!E56/10^9</f>
        <v>2.0406970540903395</v>
      </c>
      <c r="F67" s="2">
        <f>F12*'Output-Calculation-sheet'!F56/10^9</f>
        <v>0.87350882098894578</v>
      </c>
      <c r="G67" s="2">
        <f>G12*'Output-Calculation-sheet'!G56/10^9</f>
        <v>0.61305932103816041</v>
      </c>
      <c r="H67" s="2">
        <f>H12*'Output-Calculation-sheet'!H56/10^9</f>
        <v>0.96841954021729437</v>
      </c>
      <c r="I67" s="2">
        <f>I12*'Output-Calculation-sheet'!I56/10^9</f>
        <v>0.61467846600388454</v>
      </c>
      <c r="J67" s="2">
        <f>J12*'Output-Calculation-sheet'!J56/10^9</f>
        <v>0.55603708776249894</v>
      </c>
      <c r="K67" s="2">
        <f>K12*'Output-Calculation-sheet'!K56/10^9</f>
        <v>0.69037702366738396</v>
      </c>
      <c r="L67" s="2">
        <f>L12*'Output-Calculation-sheet'!L56/10^9</f>
        <v>0.63363441852927505</v>
      </c>
      <c r="M67" s="2">
        <f>M12*'Output-Calculation-sheet'!M56/10^9</f>
        <v>0.67362526523185839</v>
      </c>
      <c r="N67" s="2">
        <f>N12*'Output-Calculation-sheet'!N56/10^9</f>
        <v>0.65592696127814176</v>
      </c>
      <c r="O67" s="2">
        <f>O12*'Output-Calculation-sheet'!O56/10^9</f>
        <v>0.59360911011714879</v>
      </c>
      <c r="P67" s="2">
        <f>P12*'Output-Calculation-sheet'!P56/10^9</f>
        <v>0.57940201092260135</v>
      </c>
      <c r="Q67" s="2">
        <f>Q12*'Output-Calculation-sheet'!Q56/10^9</f>
        <v>0.5910657514875336</v>
      </c>
      <c r="R67" s="2">
        <f>R12*'Output-Calculation-sheet'!R56/10^9</f>
        <v>0.50002004746814077</v>
      </c>
      <c r="S67" s="2">
        <f>S12*'Output-Calculation-sheet'!S56/10^9</f>
        <v>0.3761575228409022</v>
      </c>
      <c r="T67" s="2">
        <f>T12*'Output-Calculation-sheet'!T56/10^9</f>
        <v>0.15220883570099861</v>
      </c>
      <c r="U67" s="2">
        <f>U12*'Output-Calculation-sheet'!U56/10^9</f>
        <v>0.16722605302426657</v>
      </c>
      <c r="V67" s="2">
        <f>V12*'Output-Calculation-sheet'!V56/10^9</f>
        <v>0.11664007366702583</v>
      </c>
      <c r="W67" s="2">
        <f>W12*'Output-Calculation-sheet'!W56/10^9</f>
        <v>7.5598155935981334E-2</v>
      </c>
      <c r="X67" s="2">
        <f>X12*'Output-Calculation-sheet'!X56/10^9</f>
        <v>7.1565080320510913E-2</v>
      </c>
      <c r="Y67" s="2">
        <f>Y12*'Output-Calculation-sheet'!Y56/10^9</f>
        <v>6.676722234359786E-2</v>
      </c>
      <c r="AA67" s="2">
        <f t="shared" si="4"/>
        <v>23.001020597061313</v>
      </c>
    </row>
    <row r="68" spans="1:27" x14ac:dyDescent="0.25">
      <c r="B68" s="2">
        <f>SUM(B60:B67)</f>
        <v>34.740282274142245</v>
      </c>
      <c r="C68" s="2">
        <f t="shared" ref="C68:Y68" si="5">SUM(C60:C67)</f>
        <v>17.752748659339787</v>
      </c>
      <c r="D68" s="2">
        <f t="shared" si="5"/>
        <v>9.6181832234250084</v>
      </c>
      <c r="E68" s="2">
        <f t="shared" si="5"/>
        <v>10.444256536321985</v>
      </c>
      <c r="F68" s="2">
        <f t="shared" si="5"/>
        <v>4.3222194020181375</v>
      </c>
      <c r="G68" s="2">
        <f t="shared" si="5"/>
        <v>3.0574982374513575</v>
      </c>
      <c r="H68" s="2">
        <f t="shared" si="5"/>
        <v>5.5823647159926271</v>
      </c>
      <c r="I68" s="2">
        <f t="shared" si="5"/>
        <v>2.939345377183634</v>
      </c>
      <c r="J68" s="2">
        <f t="shared" si="5"/>
        <v>3.454836427239969</v>
      </c>
      <c r="K68" s="2">
        <f t="shared" si="5"/>
        <v>3.5579080126016547</v>
      </c>
      <c r="L68" s="2">
        <f t="shared" si="5"/>
        <v>4.1616732476639999</v>
      </c>
      <c r="M68" s="2">
        <f t="shared" si="5"/>
        <v>4.261521303030948</v>
      </c>
      <c r="N68" s="2">
        <f t="shared" si="5"/>
        <v>3.9179835586668297</v>
      </c>
      <c r="O68" s="2">
        <f t="shared" si="5"/>
        <v>3.5520672836692979</v>
      </c>
      <c r="P68" s="2">
        <f t="shared" si="5"/>
        <v>2.8567153901381492</v>
      </c>
      <c r="Q68" s="2">
        <f t="shared" si="5"/>
        <v>3.0876020172819176</v>
      </c>
      <c r="R68" s="2">
        <f t="shared" si="5"/>
        <v>2.5859309005386324</v>
      </c>
      <c r="S68" s="2">
        <f t="shared" si="5"/>
        <v>2.0713024745621365</v>
      </c>
      <c r="T68" s="2">
        <f t="shared" si="5"/>
        <v>0.88050157933754181</v>
      </c>
      <c r="U68" s="2">
        <f t="shared" si="5"/>
        <v>0.75779298515557625</v>
      </c>
      <c r="V68" s="2">
        <f t="shared" si="5"/>
        <v>0.94055761436923158</v>
      </c>
      <c r="W68" s="2">
        <f t="shared" si="5"/>
        <v>0.39189772900906034</v>
      </c>
      <c r="X68" s="2">
        <f t="shared" si="5"/>
        <v>0.44607989476421517</v>
      </c>
      <c r="Y68" s="2">
        <f t="shared" si="5"/>
        <v>0.30936338889106041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40.497049618431539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4.0497049618431542E-2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444.88263468866654</v>
      </c>
      <c r="Q76" s="2">
        <f>Q10/'Output-Calculation-sheet'!Q9*'Output-Calculation-sheet'!Q63</f>
        <v>53.237335313849812</v>
      </c>
      <c r="R76" s="2">
        <f>R10/'Output-Calculation-sheet'!R9*'Output-Calculation-sheet'!R63</f>
        <v>338.91641066078819</v>
      </c>
      <c r="S76" s="2">
        <f>S10/'Output-Calculation-sheet'!S9*'Output-Calculation-sheet'!S63</f>
        <v>0</v>
      </c>
      <c r="T76" s="2">
        <f>T10/'Output-Calculation-sheet'!T9*'Output-Calculation-sheet'!T63</f>
        <v>22.304998534267643</v>
      </c>
      <c r="U76" s="2">
        <f>U10/'Output-Calculation-sheet'!U9*'Output-Calculation-sheet'!U63</f>
        <v>120.4419906399212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5.7201296919131543</v>
      </c>
      <c r="AA76" s="2">
        <f t="shared" si="6"/>
        <v>1.07914595524192</v>
      </c>
    </row>
    <row r="77" spans="1:27" x14ac:dyDescent="0.25">
      <c r="A77" s="2">
        <v>2034</v>
      </c>
      <c r="B77" s="2">
        <f>B11/'Output-Calculation-sheet'!B10*'Output-Calculation-sheet'!B64</f>
        <v>433.05409628035113</v>
      </c>
      <c r="C77" s="2">
        <f>C11/'Output-Calculation-sheet'!C10*'Output-Calculation-sheet'!C64</f>
        <v>0</v>
      </c>
      <c r="D77" s="2">
        <f>D11/'Output-Calculation-sheet'!D10*'Output-Calculation-sheet'!D64</f>
        <v>1471.3634297404305</v>
      </c>
      <c r="E77" s="2">
        <f>E11/'Output-Calculation-sheet'!E10*'Output-Calculation-sheet'!E64</f>
        <v>1839.0157130176365</v>
      </c>
      <c r="F77" s="2">
        <f>F11/'Output-Calculation-sheet'!F10*'Output-Calculation-sheet'!F64</f>
        <v>119.65349179739664</v>
      </c>
      <c r="G77" s="2">
        <f>G11/'Output-Calculation-sheet'!G10*'Output-Calculation-sheet'!G64</f>
        <v>779.29596809678424</v>
      </c>
      <c r="H77" s="2">
        <f>H11/'Output-Calculation-sheet'!H10*'Output-Calculation-sheet'!H64</f>
        <v>121.59802383743464</v>
      </c>
      <c r="I77" s="2">
        <f>I11/'Output-Calculation-sheet'!I10*'Output-Calculation-sheet'!I64</f>
        <v>463.34435269270506</v>
      </c>
      <c r="J77" s="2">
        <f>J11/'Output-Calculation-sheet'!J10*'Output-Calculation-sheet'!J64</f>
        <v>324.19332840195852</v>
      </c>
      <c r="K77" s="2">
        <f>K11/'Output-Calculation-sheet'!K10*'Output-Calculation-sheet'!K64</f>
        <v>704.88211822102323</v>
      </c>
      <c r="L77" s="2">
        <f>L11/'Output-Calculation-sheet'!L10*'Output-Calculation-sheet'!L64</f>
        <v>291.45103634431479</v>
      </c>
      <c r="M77" s="2">
        <f>M11/'Output-Calculation-sheet'!M10*'Output-Calculation-sheet'!M64</f>
        <v>87.576766899150229</v>
      </c>
      <c r="N77" s="2">
        <f>N11/'Output-Calculation-sheet'!N10*'Output-Calculation-sheet'!N64</f>
        <v>28.964103985392573</v>
      </c>
      <c r="O77" s="2">
        <f>O11/'Output-Calculation-sheet'!O10*'Output-Calculation-sheet'!O64</f>
        <v>0</v>
      </c>
      <c r="P77" s="2">
        <f>P11/'Output-Calculation-sheet'!P10*'Output-Calculation-sheet'!P64</f>
        <v>596.39548886866021</v>
      </c>
      <c r="Q77" s="2">
        <f>Q11/'Output-Calculation-sheet'!Q10*'Output-Calculation-sheet'!Q64</f>
        <v>134.16350250595104</v>
      </c>
      <c r="R77" s="2">
        <f>R11/'Output-Calculation-sheet'!R10*'Output-Calculation-sheet'!R64</f>
        <v>740.97365964367589</v>
      </c>
      <c r="S77" s="2">
        <f>S11/'Output-Calculation-sheet'!S10*'Output-Calculation-sheet'!S64</f>
        <v>0</v>
      </c>
      <c r="T77" s="2">
        <f>T11/'Output-Calculation-sheet'!T10*'Output-Calculation-sheet'!T64</f>
        <v>205.74369597133318</v>
      </c>
      <c r="U77" s="2">
        <f>U11/'Output-Calculation-sheet'!U10*'Output-Calculation-sheet'!U64</f>
        <v>273.434642107689</v>
      </c>
      <c r="V77" s="2">
        <f>V11/'Output-Calculation-sheet'!V10*'Output-Calculation-sheet'!V64</f>
        <v>106.46899941628148</v>
      </c>
      <c r="W77" s="2">
        <f>W11/'Output-Calculation-sheet'!W10*'Output-Calculation-sheet'!W64</f>
        <v>23.37318887949149</v>
      </c>
      <c r="X77" s="2">
        <f>X11/'Output-Calculation-sheet'!X10*'Output-Calculation-sheet'!X64</f>
        <v>8.7304425425468306</v>
      </c>
      <c r="Y77" s="2">
        <f>Y11/'Output-Calculation-sheet'!Y10*'Output-Calculation-sheet'!Y64</f>
        <v>39.81639290052383</v>
      </c>
      <c r="AA77" s="2">
        <f t="shared" si="6"/>
        <v>8.7934924421507326</v>
      </c>
    </row>
    <row r="78" spans="1:27" x14ac:dyDescent="0.25">
      <c r="A78" s="2">
        <v>2035</v>
      </c>
      <c r="B78" s="2">
        <f>B12/'Output-Calculation-sheet'!B11*'Output-Calculation-sheet'!B65</f>
        <v>82.712986394256788</v>
      </c>
      <c r="C78" s="2">
        <f>C12/'Output-Calculation-sheet'!C11*'Output-Calculation-sheet'!C65</f>
        <v>68.943410388401659</v>
      </c>
      <c r="D78" s="2">
        <f>D12/'Output-Calculation-sheet'!D11*'Output-Calculation-sheet'!D65</f>
        <v>3542.9717531264223</v>
      </c>
      <c r="E78" s="2">
        <f>E12/'Output-Calculation-sheet'!E11*'Output-Calculation-sheet'!E65</f>
        <v>1138.134675432535</v>
      </c>
      <c r="F78" s="2">
        <f>F12/'Output-Calculation-sheet'!F11*'Output-Calculation-sheet'!F65</f>
        <v>904.50271340660402</v>
      </c>
      <c r="G78" s="2">
        <f>G12/'Output-Calculation-sheet'!G11*'Output-Calculation-sheet'!G65</f>
        <v>1338.4623504782999</v>
      </c>
      <c r="H78" s="2">
        <f>H12/'Output-Calculation-sheet'!H11*'Output-Calculation-sheet'!H65</f>
        <v>30.42041641368154</v>
      </c>
      <c r="I78" s="2">
        <f>I12/'Output-Calculation-sheet'!I11*'Output-Calculation-sheet'!I65</f>
        <v>1112.8082684798494</v>
      </c>
      <c r="J78" s="2">
        <f>J12/'Output-Calculation-sheet'!J11*'Output-Calculation-sheet'!J65</f>
        <v>1055.5257696517294</v>
      </c>
      <c r="K78" s="2">
        <f>K12/'Output-Calculation-sheet'!K11*'Output-Calculation-sheet'!K65</f>
        <v>1418.7135068797938</v>
      </c>
      <c r="L78" s="2">
        <f>L12/'Output-Calculation-sheet'!L11*'Output-Calculation-sheet'!L65</f>
        <v>492.06548078148751</v>
      </c>
      <c r="M78" s="2">
        <f>M12/'Output-Calculation-sheet'!M11*'Output-Calculation-sheet'!M65</f>
        <v>27.193336813829333</v>
      </c>
      <c r="N78" s="2">
        <f>N12/'Output-Calculation-sheet'!N11*'Output-Calculation-sheet'!N65</f>
        <v>18.318043996579519</v>
      </c>
      <c r="O78" s="2">
        <f>O12/'Output-Calculation-sheet'!O11*'Output-Calculation-sheet'!O65</f>
        <v>11.949027795774288</v>
      </c>
      <c r="P78" s="2">
        <f>P12/'Output-Calculation-sheet'!P11*'Output-Calculation-sheet'!P65</f>
        <v>137.81691155560708</v>
      </c>
      <c r="Q78" s="2">
        <f>Q12/'Output-Calculation-sheet'!Q11*'Output-Calculation-sheet'!Q65</f>
        <v>111.05563750132407</v>
      </c>
      <c r="R78" s="2">
        <f>R12/'Output-Calculation-sheet'!R11*'Output-Calculation-sheet'!R65</f>
        <v>919.9590220151689</v>
      </c>
      <c r="S78" s="2">
        <f>S12/'Output-Calculation-sheet'!S11*'Output-Calculation-sheet'!S65</f>
        <v>8.8017810124249589</v>
      </c>
      <c r="T78" s="2">
        <f>T12/'Output-Calculation-sheet'!T11*'Output-Calculation-sheet'!T65</f>
        <v>365.84264846528873</v>
      </c>
      <c r="U78" s="2">
        <f>U12/'Output-Calculation-sheet'!U11*'Output-Calculation-sheet'!U65</f>
        <v>134.95969968345625</v>
      </c>
      <c r="V78" s="2">
        <f>V12/'Output-Calculation-sheet'!V11*'Output-Calculation-sheet'!V65</f>
        <v>191.47376840147356</v>
      </c>
      <c r="W78" s="2">
        <f>W12/'Output-Calculation-sheet'!W11*'Output-Calculation-sheet'!W65</f>
        <v>129.07727304803706</v>
      </c>
      <c r="X78" s="2">
        <f>X12/'Output-Calculation-sheet'!X11*'Output-Calculation-sheet'!X65</f>
        <v>1.8011623461891133</v>
      </c>
      <c r="Y78" s="2">
        <f>Y12/'Output-Calculation-sheet'!Y11*'Output-Calculation-sheet'!Y65</f>
        <v>30.980065134590841</v>
      </c>
      <c r="AA78" s="2">
        <f t="shared" si="6"/>
        <v>13.274489709202806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89.127855312131786</v>
      </c>
      <c r="E89" s="2">
        <f>E12/'Output-Calculation-sheet'!E11*'Output-Calculation-sheet'!E74</f>
        <v>43.115711495681339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33.362271252615081</v>
      </c>
      <c r="H89" s="2">
        <f>H12/'Output-Calculation-sheet'!H11*'Output-Calculation-sheet'!H74</f>
        <v>5.3865279174292233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18.560805207772713</v>
      </c>
      <c r="K89" s="2">
        <f>K12/'Output-Calculation-sheet'!K11*'Output-Calculation-sheet'!K74</f>
        <v>23.348150619283658</v>
      </c>
      <c r="L89" s="2">
        <f>L12/'Output-Calculation-sheet'!L11*'Output-Calculation-sheet'!L74</f>
        <v>9.7712497548872097</v>
      </c>
      <c r="M89" s="2">
        <f>M12/'Output-Calculation-sheet'!M11*'Output-Calculation-sheet'!M74</f>
        <v>2.7798415661392304</v>
      </c>
      <c r="N89" s="2">
        <f>N12/'Output-Calculation-sheet'!N11*'Output-Calculation-sheet'!N74</f>
        <v>2.7321334388852816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2.5240113955253518</v>
      </c>
      <c r="Q89" s="2">
        <f>Q12/'Output-Calculation-sheet'!Q11*'Output-Calculation-sheet'!Q74</f>
        <v>4.7875343977119318</v>
      </c>
      <c r="R89" s="2">
        <f>R12/'Output-Calculation-sheet'!R11*'Output-Calculation-sheet'!R74</f>
        <v>14.243228055139092</v>
      </c>
      <c r="S89" s="2">
        <f>S12/'Output-Calculation-sheet'!S11*'Output-Calculation-sheet'!S74</f>
        <v>2.6102553417630365</v>
      </c>
      <c r="T89" s="2">
        <f>T12/'Output-Calculation-sheet'!T11*'Output-Calculation-sheet'!T74</f>
        <v>4.3912148547549794</v>
      </c>
      <c r="U89" s="2">
        <f>U12/'Output-Calculation-sheet'!U11*'Output-Calculation-sheet'!U74</f>
        <v>5.0917044451952496</v>
      </c>
      <c r="V89" s="2">
        <f>V12/'Output-Calculation-sheet'!V11*'Output-Calculation-sheet'!V74</f>
        <v>1.5704595732847797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1.7657209835588401</v>
      </c>
      <c r="AA89" s="2">
        <f t="shared" si="7"/>
        <v>0.35629657114640345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18626465658.288692</v>
      </c>
      <c r="C96" s="2">
        <f>C8/'Output-Calculation-sheet'!C7*'Output-Calculation-sheet'!C79</f>
        <v>7711126231.6575384</v>
      </c>
      <c r="D96" s="2">
        <f>D8/'Output-Calculation-sheet'!D7*'Output-Calculation-sheet'!D79</f>
        <v>6146948207.3403053</v>
      </c>
      <c r="E96" s="2">
        <f>E8/'Output-Calculation-sheet'!E7*'Output-Calculation-sheet'!E79</f>
        <v>7427662896.6175671</v>
      </c>
      <c r="F96" s="2">
        <f>F8/'Output-Calculation-sheet'!F7*'Output-Calculation-sheet'!F79</f>
        <v>4384508966.0207701</v>
      </c>
      <c r="G96" s="2">
        <f>G8/'Output-Calculation-sheet'!G7*'Output-Calculation-sheet'!G79</f>
        <v>2230192730.1758318</v>
      </c>
      <c r="H96" s="2">
        <f>H8/'Output-Calculation-sheet'!H7*'Output-Calculation-sheet'!H79</f>
        <v>2784773801.1267252</v>
      </c>
      <c r="I96" s="2">
        <f>I8/'Output-Calculation-sheet'!I7*'Output-Calculation-sheet'!I79</f>
        <v>2665408627.6020231</v>
      </c>
      <c r="J96" s="2">
        <f>J8/'Output-Calculation-sheet'!J7*'Output-Calculation-sheet'!J79</f>
        <v>1504448364.9478369</v>
      </c>
      <c r="K96" s="2">
        <f>K8/'Output-Calculation-sheet'!K7*'Output-Calculation-sheet'!K79</f>
        <v>2562593020.2950411</v>
      </c>
      <c r="L96" s="2">
        <f>L8/'Output-Calculation-sheet'!L7*'Output-Calculation-sheet'!L79</f>
        <v>1843071830.5518894</v>
      </c>
      <c r="M96" s="2">
        <f>M8/'Output-Calculation-sheet'!M7*'Output-Calculation-sheet'!M79</f>
        <v>1863185565.2153351</v>
      </c>
      <c r="N96" s="2">
        <f>N8/'Output-Calculation-sheet'!N7*'Output-Calculation-sheet'!N79</f>
        <v>1326079662.8844614</v>
      </c>
      <c r="O96" s="2">
        <f>O8/'Output-Calculation-sheet'!O7*'Output-Calculation-sheet'!O79</f>
        <v>1042182389.3837284</v>
      </c>
      <c r="P96" s="2">
        <f>P8/'Output-Calculation-sheet'!P7*'Output-Calculation-sheet'!P79</f>
        <v>2215431792.5689378</v>
      </c>
      <c r="Q96" s="2">
        <f>Q8/'Output-Calculation-sheet'!Q7*'Output-Calculation-sheet'!Q79</f>
        <v>1206662741.2295587</v>
      </c>
      <c r="R96" s="2">
        <f>R8/'Output-Calculation-sheet'!R7*'Output-Calculation-sheet'!R79</f>
        <v>1609805690.6070588</v>
      </c>
      <c r="S96" s="2">
        <f>S8/'Output-Calculation-sheet'!S7*'Output-Calculation-sheet'!S79</f>
        <v>1013283510.3702952</v>
      </c>
      <c r="T96" s="2">
        <f>T8/'Output-Calculation-sheet'!T7*'Output-Calculation-sheet'!T79</f>
        <v>650667456.9905858</v>
      </c>
      <c r="U96" s="2">
        <f>U8/'Output-Calculation-sheet'!U7*'Output-Calculation-sheet'!U79</f>
        <v>603356537.40789437</v>
      </c>
      <c r="V96" s="2">
        <f>V8/'Output-Calculation-sheet'!V7*'Output-Calculation-sheet'!V79</f>
        <v>388459610.15168101</v>
      </c>
      <c r="W96" s="2">
        <f>W8/'Output-Calculation-sheet'!W7*'Output-Calculation-sheet'!W79</f>
        <v>464689282.73018193</v>
      </c>
      <c r="X96" s="2">
        <f>X8/'Output-Calculation-sheet'!X7*'Output-Calculation-sheet'!X79</f>
        <v>212689762.02228776</v>
      </c>
      <c r="Y96" s="2">
        <f>Y8/'Output-Calculation-sheet'!Y7*'Output-Calculation-sheet'!Y79</f>
        <v>238058113.05370924</v>
      </c>
      <c r="AA96" s="2">
        <f t="shared" si="8"/>
        <v>70.721752449239943</v>
      </c>
    </row>
    <row r="97" spans="1:27" x14ac:dyDescent="0.25">
      <c r="A97" s="2">
        <v>2032</v>
      </c>
      <c r="B97" s="2">
        <f>B9/'Output-Calculation-sheet'!B8*'Output-Calculation-sheet'!B80</f>
        <v>24906207772.322639</v>
      </c>
      <c r="C97" s="2">
        <f>C9/'Output-Calculation-sheet'!C8*'Output-Calculation-sheet'!C80</f>
        <v>10319845648.809076</v>
      </c>
      <c r="D97" s="2">
        <f>D9/'Output-Calculation-sheet'!D8*'Output-Calculation-sheet'!D80</f>
        <v>8156969538.3694153</v>
      </c>
      <c r="E97" s="2">
        <f>E9/'Output-Calculation-sheet'!E8*'Output-Calculation-sheet'!E80</f>
        <v>9842642903.6755409</v>
      </c>
      <c r="F97" s="2">
        <f>F9/'Output-Calculation-sheet'!F8*'Output-Calculation-sheet'!F80</f>
        <v>5832043707.1465206</v>
      </c>
      <c r="G97" s="2">
        <f>G9/'Output-Calculation-sheet'!G8*'Output-Calculation-sheet'!G80</f>
        <v>2919427158.5120139</v>
      </c>
      <c r="H97" s="2">
        <f>H9/'Output-Calculation-sheet'!H8*'Output-Calculation-sheet'!H80</f>
        <v>3715961305.4192348</v>
      </c>
      <c r="I97" s="2">
        <f>I9/'Output-Calculation-sheet'!I8*'Output-Calculation-sheet'!I80</f>
        <v>3547022647.5238028</v>
      </c>
      <c r="J97" s="2">
        <f>J9/'Output-Calculation-sheet'!J8*'Output-Calculation-sheet'!J80</f>
        <v>2023977368.0100472</v>
      </c>
      <c r="K97" s="2">
        <f>K9/'Output-Calculation-sheet'!K8*'Output-Calculation-sheet'!K80</f>
        <v>3409430590.3363934</v>
      </c>
      <c r="L97" s="2">
        <f>L9/'Output-Calculation-sheet'!L8*'Output-Calculation-sheet'!L80</f>
        <v>2466844047.2521167</v>
      </c>
      <c r="M97" s="2">
        <f>M9/'Output-Calculation-sheet'!M8*'Output-Calculation-sheet'!M80</f>
        <v>2486166210.9133449</v>
      </c>
      <c r="N97" s="2">
        <f>N9/'Output-Calculation-sheet'!N8*'Output-Calculation-sheet'!N80</f>
        <v>1777047465.9547019</v>
      </c>
      <c r="O97" s="2">
        <f>O9/'Output-Calculation-sheet'!O8*'Output-Calculation-sheet'!O80</f>
        <v>1401979235.2185695</v>
      </c>
      <c r="P97" s="2">
        <f>P9/'Output-Calculation-sheet'!P8*'Output-Calculation-sheet'!P80</f>
        <v>2929828559.4482479</v>
      </c>
      <c r="Q97" s="2">
        <f>Q9/'Output-Calculation-sheet'!Q8*'Output-Calculation-sheet'!Q80</f>
        <v>1622273154.5197518</v>
      </c>
      <c r="R97" s="2">
        <f>R9/'Output-Calculation-sheet'!R8*'Output-Calculation-sheet'!R80</f>
        <v>2150897782.1931238</v>
      </c>
      <c r="S97" s="2">
        <f>S9/'Output-Calculation-sheet'!S8*'Output-Calculation-sheet'!S80</f>
        <v>1356900591.0338235</v>
      </c>
      <c r="T97" s="2">
        <f>T9/'Output-Calculation-sheet'!T8*'Output-Calculation-sheet'!T80</f>
        <v>862480118.10164845</v>
      </c>
      <c r="U97" s="2">
        <f>U9/'Output-Calculation-sheet'!U8*'Output-Calculation-sheet'!U80</f>
        <v>804297361.0904572</v>
      </c>
      <c r="V97" s="2">
        <f>V9/'Output-Calculation-sheet'!V8*'Output-Calculation-sheet'!V80</f>
        <v>520868583.51425397</v>
      </c>
      <c r="W97" s="2">
        <f>W9/'Output-Calculation-sheet'!W8*'Output-Calculation-sheet'!W80</f>
        <v>609307393.2287662</v>
      </c>
      <c r="X97" s="2">
        <f>X9/'Output-Calculation-sheet'!X8*'Output-Calculation-sheet'!X80</f>
        <v>283716526.68798989</v>
      </c>
      <c r="Y97" s="2">
        <f>Y9/'Output-Calculation-sheet'!Y8*'Output-Calculation-sheet'!Y80</f>
        <v>313520142.97376788</v>
      </c>
      <c r="AA97" s="2">
        <f t="shared" si="8"/>
        <v>94.259655812255232</v>
      </c>
    </row>
    <row r="98" spans="1:27" x14ac:dyDescent="0.25">
      <c r="A98" s="2">
        <v>2033</v>
      </c>
      <c r="B98" s="2">
        <f>B10/'Output-Calculation-sheet'!B9*'Output-Calculation-sheet'!B81</f>
        <v>30608514518.700188</v>
      </c>
      <c r="C98" s="2">
        <f>C10/'Output-Calculation-sheet'!C9*'Output-Calculation-sheet'!C81</f>
        <v>12695735878.129757</v>
      </c>
      <c r="D98" s="2">
        <f>D10/'Output-Calculation-sheet'!D9*'Output-Calculation-sheet'!D81</f>
        <v>9958912232.1552486</v>
      </c>
      <c r="E98" s="2">
        <f>E10/'Output-Calculation-sheet'!E9*'Output-Calculation-sheet'!E81</f>
        <v>11994391179.431494</v>
      </c>
      <c r="F98" s="2">
        <f>F10/'Output-Calculation-sheet'!F9*'Output-Calculation-sheet'!F81</f>
        <v>7132143101.3745451</v>
      </c>
      <c r="G98" s="2">
        <f>G10/'Output-Calculation-sheet'!G9*'Output-Calculation-sheet'!G81</f>
        <v>3515634190.4090748</v>
      </c>
      <c r="H98" s="2">
        <f>H10/'Output-Calculation-sheet'!H9*'Output-Calculation-sheet'!H81</f>
        <v>4558091913.9645414</v>
      </c>
      <c r="I98" s="2">
        <f>I10/'Output-Calculation-sheet'!I9*'Output-Calculation-sheet'!I81</f>
        <v>4340338285.1335859</v>
      </c>
      <c r="J98" s="2">
        <f>J10/'Output-Calculation-sheet'!J9*'Output-Calculation-sheet'!J81</f>
        <v>2504462329.5814071</v>
      </c>
      <c r="K98" s="2">
        <f>K10/'Output-Calculation-sheet'!K9*'Output-Calculation-sheet'!K81</f>
        <v>4170596874.9403758</v>
      </c>
      <c r="L98" s="2">
        <f>L10/'Output-Calculation-sheet'!L9*'Output-Calculation-sheet'!L81</f>
        <v>3034991612.7182546</v>
      </c>
      <c r="M98" s="2">
        <f>M10/'Output-Calculation-sheet'!M9*'Output-Calculation-sheet'!M81</f>
        <v>3050146398.9872503</v>
      </c>
      <c r="N98" s="2">
        <f>N10/'Output-Calculation-sheet'!N9*'Output-Calculation-sheet'!N81</f>
        <v>2190283394.7321019</v>
      </c>
      <c r="O98" s="2">
        <f>O10/'Output-Calculation-sheet'!O9*'Output-Calculation-sheet'!O81</f>
        <v>1734124452.5551703</v>
      </c>
      <c r="P98" s="2">
        <f>P10/'Output-Calculation-sheet'!P9*'Output-Calculation-sheet'!P81</f>
        <v>3561912616.6209812</v>
      </c>
      <c r="Q98" s="2">
        <f>Q10/'Output-Calculation-sheet'!Q9*'Output-Calculation-sheet'!Q81</f>
        <v>2005379674.4680033</v>
      </c>
      <c r="R98" s="2">
        <f>R10/'Output-Calculation-sheet'!R9*'Output-Calculation-sheet'!R81</f>
        <v>2641653383.8592525</v>
      </c>
      <c r="S98" s="2">
        <f>S10/'Output-Calculation-sheet'!S9*'Output-Calculation-sheet'!S81</f>
        <v>1670002096.7879877</v>
      </c>
      <c r="T98" s="2">
        <f>T10/'Output-Calculation-sheet'!T9*'Output-Calculation-sheet'!T81</f>
        <v>1051287938.4692912</v>
      </c>
      <c r="U98" s="2">
        <f>U10/'Output-Calculation-sheet'!U9*'Output-Calculation-sheet'!U81</f>
        <v>985005663.11332119</v>
      </c>
      <c r="V98" s="2">
        <f>V10/'Output-Calculation-sheet'!V9*'Output-Calculation-sheet'!V81</f>
        <v>641540825.33669043</v>
      </c>
      <c r="W98" s="2">
        <f>W10/'Output-Calculation-sheet'!W9*'Output-Calculation-sheet'!W81</f>
        <v>734665156.93965018</v>
      </c>
      <c r="X98" s="2">
        <f>X10/'Output-Calculation-sheet'!X9*'Output-Calculation-sheet'!X81</f>
        <v>347942151.91578543</v>
      </c>
      <c r="Y98" s="2">
        <f>Y10/'Output-Calculation-sheet'!Y9*'Output-Calculation-sheet'!Y81</f>
        <v>379808719.08931553</v>
      </c>
      <c r="AA98" s="2">
        <f t="shared" si="8"/>
        <v>115.50756458941326</v>
      </c>
    </row>
    <row r="99" spans="1:27" x14ac:dyDescent="0.25">
      <c r="A99" s="2">
        <v>2034</v>
      </c>
      <c r="B99" s="2">
        <f>B11/'Output-Calculation-sheet'!B10*'Output-Calculation-sheet'!B82</f>
        <v>35289936675.38913</v>
      </c>
      <c r="C99" s="2">
        <f>C11/'Output-Calculation-sheet'!C10*'Output-Calculation-sheet'!C82</f>
        <v>14654846605.421959</v>
      </c>
      <c r="D99" s="2">
        <f>D11/'Output-Calculation-sheet'!D10*'Output-Calculation-sheet'!D82</f>
        <v>11418239821.904638</v>
      </c>
      <c r="E99" s="2">
        <f>E11/'Output-Calculation-sheet'!E10*'Output-Calculation-sheet'!E82</f>
        <v>13719866540.490803</v>
      </c>
      <c r="F99" s="2">
        <f>F11/'Output-Calculation-sheet'!F10*'Output-Calculation-sheet'!F82</f>
        <v>8185176846.2111273</v>
      </c>
      <c r="G99" s="2">
        <f>G11/'Output-Calculation-sheet'!G10*'Output-Calculation-sheet'!G82</f>
        <v>3975326952.2632937</v>
      </c>
      <c r="H99" s="2">
        <f>H11/'Output-Calculation-sheet'!H10*'Output-Calculation-sheet'!H82</f>
        <v>5246095698.4831858</v>
      </c>
      <c r="I99" s="2">
        <f>I11/'Output-Calculation-sheet'!I10*'Output-Calculation-sheet'!I82</f>
        <v>4984716722.0375319</v>
      </c>
      <c r="J99" s="2">
        <f>J11/'Output-Calculation-sheet'!J10*'Output-Calculation-sheet'!J82</f>
        <v>2909285890.2340765</v>
      </c>
      <c r="K99" s="2">
        <f>K11/'Output-Calculation-sheet'!K10*'Output-Calculation-sheet'!K82</f>
        <v>4787846314.4587574</v>
      </c>
      <c r="L99" s="2">
        <f>L11/'Output-Calculation-sheet'!L10*'Output-Calculation-sheet'!L82</f>
        <v>3503456168.961617</v>
      </c>
      <c r="M99" s="2">
        <f>M11/'Output-Calculation-sheet'!M10*'Output-Calculation-sheet'!M82</f>
        <v>3511763326.2035131</v>
      </c>
      <c r="N99" s="2">
        <f>N11/'Output-Calculation-sheet'!N10*'Output-Calculation-sheet'!N82</f>
        <v>2534307759.2405787</v>
      </c>
      <c r="O99" s="2">
        <f>O11/'Output-Calculation-sheet'!O10*'Output-Calculation-sheet'!O82</f>
        <v>2013041271.7155836</v>
      </c>
      <c r="P99" s="2">
        <f>P11/'Output-Calculation-sheet'!P10*'Output-Calculation-sheet'!P82</f>
        <v>4063600068.9149985</v>
      </c>
      <c r="Q99" s="2">
        <f>Q11/'Output-Calculation-sheet'!Q10*'Output-Calculation-sheet'!Q82</f>
        <v>2326456106.1626997</v>
      </c>
      <c r="R99" s="2">
        <f>R11/'Output-Calculation-sheet'!R10*'Output-Calculation-sheet'!R82</f>
        <v>3044067029.8646121</v>
      </c>
      <c r="S99" s="2">
        <f>S11/'Output-Calculation-sheet'!S10*'Output-Calculation-sheet'!S82</f>
        <v>1928213965.462523</v>
      </c>
      <c r="T99" s="2">
        <f>T11/'Output-Calculation-sheet'!T10*'Output-Calculation-sheet'!T82</f>
        <v>1202783720.3882635</v>
      </c>
      <c r="U99" s="2">
        <f>U11/'Output-Calculation-sheet'!U10*'Output-Calculation-sheet'!U82</f>
        <v>1131355102.5959578</v>
      </c>
      <c r="V99" s="2">
        <f>V11/'Output-Calculation-sheet'!V10*'Output-Calculation-sheet'!V82</f>
        <v>740949505.46333313</v>
      </c>
      <c r="W99" s="2">
        <f>W11/'Output-Calculation-sheet'!W10*'Output-Calculation-sheet'!W82</f>
        <v>831439698.95855391</v>
      </c>
      <c r="X99" s="2">
        <f>X11/'Output-Calculation-sheet'!X10*'Output-Calculation-sheet'!X82</f>
        <v>400419360.26385504</v>
      </c>
      <c r="Y99" s="2">
        <f>Y11/'Output-Calculation-sheet'!Y10*'Output-Calculation-sheet'!Y82</f>
        <v>432001268.38836163</v>
      </c>
      <c r="AA99" s="2">
        <f t="shared" si="8"/>
        <v>132.83519241947894</v>
      </c>
    </row>
    <row r="100" spans="1:27" x14ac:dyDescent="0.25">
      <c r="A100" s="2">
        <v>2035</v>
      </c>
      <c r="B100" s="2">
        <f>B12/'Output-Calculation-sheet'!B11*'Output-Calculation-sheet'!B83</f>
        <v>38594004802.197052</v>
      </c>
      <c r="C100" s="2">
        <f>C12/'Output-Calculation-sheet'!C11*'Output-Calculation-sheet'!C83</f>
        <v>16048109871.557589</v>
      </c>
      <c r="D100" s="2">
        <f>D12/'Output-Calculation-sheet'!D11*'Output-Calculation-sheet'!D83</f>
        <v>12429456816.774233</v>
      </c>
      <c r="E100" s="2">
        <f>E12/'Output-Calculation-sheet'!E11*'Output-Calculation-sheet'!E83</f>
        <v>14893509497.052057</v>
      </c>
      <c r="F100" s="2">
        <f>F12/'Output-Calculation-sheet'!F11*'Output-Calculation-sheet'!F83</f>
        <v>8913012787.7914505</v>
      </c>
      <c r="G100" s="2">
        <f>G12/'Output-Calculation-sheet'!G11*'Output-Calculation-sheet'!G83</f>
        <v>4267660035.795455</v>
      </c>
      <c r="H100" s="2">
        <f>H12/'Output-Calculation-sheet'!H11*'Output-Calculation-sheet'!H83</f>
        <v>5728115931.9449768</v>
      </c>
      <c r="I100" s="2">
        <f>I12/'Output-Calculation-sheet'!I11*'Output-Calculation-sheet'!I83</f>
        <v>5432315540.8805408</v>
      </c>
      <c r="J100" s="2">
        <f>J12/'Output-Calculation-sheet'!J11*'Output-Calculation-sheet'!J83</f>
        <v>3207579365.0461721</v>
      </c>
      <c r="K100" s="2">
        <f>K12/'Output-Calculation-sheet'!K11*'Output-Calculation-sheet'!K83</f>
        <v>5215412806.1830082</v>
      </c>
      <c r="L100" s="2">
        <f>L12/'Output-Calculation-sheet'!L11*'Output-Calculation-sheet'!L83</f>
        <v>3836525853.3853598</v>
      </c>
      <c r="M100" s="2">
        <f>M12/'Output-Calculation-sheet'!M11*'Output-Calculation-sheet'!M83</f>
        <v>3836312013.8257465</v>
      </c>
      <c r="N100" s="2">
        <f>N12/'Output-Calculation-sheet'!N11*'Output-Calculation-sheet'!N83</f>
        <v>2783132352.3666606</v>
      </c>
      <c r="O100" s="2">
        <f>O12/'Output-Calculation-sheet'!O11*'Output-Calculation-sheet'!O83</f>
        <v>2217299331.5558634</v>
      </c>
      <c r="P100" s="2">
        <f>P12/'Output-Calculation-sheet'!P11*'Output-Calculation-sheet'!P83</f>
        <v>4398686364.7294016</v>
      </c>
      <c r="Q100" s="2">
        <f>Q12/'Output-Calculation-sheet'!Q11*'Output-Calculation-sheet'!Q83</f>
        <v>2560838584.6553187</v>
      </c>
      <c r="R100" s="2">
        <f>R12/'Output-Calculation-sheet'!R11*'Output-Calculation-sheet'!R83</f>
        <v>3327655657.2979636</v>
      </c>
      <c r="S100" s="2">
        <f>S12/'Output-Calculation-sheet'!S11*'Output-Calculation-sheet'!S83</f>
        <v>2111786364.2700531</v>
      </c>
      <c r="T100" s="2">
        <f>T12/'Output-Calculation-sheet'!T11*'Output-Calculation-sheet'!T83</f>
        <v>1305950518.0283577</v>
      </c>
      <c r="U100" s="2">
        <f>U12/'Output-Calculation-sheet'!U11*'Output-Calculation-sheet'!U83</f>
        <v>1232311112.4508235</v>
      </c>
      <c r="V100" s="2">
        <f>V12/'Output-Calculation-sheet'!V11*'Output-Calculation-sheet'!V83</f>
        <v>811410918.18862045</v>
      </c>
      <c r="W100" s="2">
        <f>W12/'Output-Calculation-sheet'!W11*'Output-Calculation-sheet'!W83</f>
        <v>892980355.70271325</v>
      </c>
      <c r="X100" s="2">
        <f>X12/'Output-Calculation-sheet'!X11*'Output-Calculation-sheet'!X83</f>
        <v>437202350.2446695</v>
      </c>
      <c r="Y100" s="2">
        <f>Y12/'Output-Calculation-sheet'!Y11*'Output-Calculation-sheet'!Y83</f>
        <v>466445313.15939832</v>
      </c>
      <c r="AA100" s="2">
        <f t="shared" si="8"/>
        <v>144.9477145450835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1685.572457469068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518.87148037146278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357.03407482054587</v>
      </c>
      <c r="N107" s="2">
        <f>N8/'Output-Calculation-sheet'!N7*'Output-Calculation-sheet'!N88</f>
        <v>140.36263742806787</v>
      </c>
      <c r="O107" s="2">
        <f>O8/'Output-Calculation-sheet'!O7*'Output-Calculation-sheet'!O88</f>
        <v>392.95188233459305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39.167380578727538</v>
      </c>
      <c r="Y107" s="2">
        <f>Y8/'Output-Calculation-sheet'!Y7*'Output-Calculation-sheet'!Y88</f>
        <v>0</v>
      </c>
      <c r="AA107" s="2">
        <f t="shared" si="9"/>
        <v>3.1339599130024651</v>
      </c>
    </row>
    <row r="108" spans="1:27" x14ac:dyDescent="0.25">
      <c r="A108" s="2">
        <v>2032</v>
      </c>
      <c r="B108" s="2">
        <f>B9/'Output-Calculation-sheet'!B8*'Output-Calculation-sheet'!B89</f>
        <v>752.34743427627336</v>
      </c>
      <c r="C108" s="2">
        <f>C9/'Output-Calculation-sheet'!C8*'Output-Calculation-sheet'!C89</f>
        <v>2856.652045536568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769.44533624465146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529.45327338943491</v>
      </c>
      <c r="N108" s="2">
        <f>N9/'Output-Calculation-sheet'!N8*'Output-Calculation-sheet'!N89</f>
        <v>371.69050263628668</v>
      </c>
      <c r="O108" s="2">
        <f>O9/'Output-Calculation-sheet'!O8*'Output-Calculation-sheet'!O89</f>
        <v>554.96813238654045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170.45266199908056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58.082125264710818</v>
      </c>
      <c r="Y108" s="2">
        <f>Y9/'Output-Calculation-sheet'!Y8*'Output-Calculation-sheet'!Y89</f>
        <v>0</v>
      </c>
      <c r="AA108" s="2">
        <f t="shared" si="9"/>
        <v>6.0630915117335462</v>
      </c>
    </row>
    <row r="109" spans="1:27" x14ac:dyDescent="0.25">
      <c r="A109" s="2">
        <v>2033</v>
      </c>
      <c r="B109" s="2">
        <f>B10/'Output-Calculation-sheet'!B9*'Output-Calculation-sheet'!B90</f>
        <v>3816.8864379027482</v>
      </c>
      <c r="C109" s="2">
        <f>C10/'Output-Calculation-sheet'!C9*'Output-Calculation-sheet'!C90</f>
        <v>3623.1652936068008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1115.3226496991249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767.45052566128209</v>
      </c>
      <c r="N109" s="2">
        <f>N10/'Output-Calculation-sheet'!N9*'Output-Calculation-sheet'!N90</f>
        <v>603.4235243877946</v>
      </c>
      <c r="O109" s="2">
        <f>O10/'Output-Calculation-sheet'!O9*'Output-Calculation-sheet'!O90</f>
        <v>703.88036214015619</v>
      </c>
      <c r="P109" s="2">
        <f>P10/'Output-Calculation-sheet'!P9*'Output-Calculation-sheet'!P90</f>
        <v>0</v>
      </c>
      <c r="Q109" s="2">
        <f>Q10/'Output-Calculation-sheet'!Q9*'Output-Calculation-sheet'!Q90</f>
        <v>132.17284880189703</v>
      </c>
      <c r="R109" s="2">
        <f>R10/'Output-Calculation-sheet'!R9*'Output-Calculation-sheet'!R90</f>
        <v>0</v>
      </c>
      <c r="S109" s="2">
        <f>S10/'Output-Calculation-sheet'!S9*'Output-Calculation-sheet'!S90</f>
        <v>302.66529596142766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84.190918833246798</v>
      </c>
      <c r="Y109" s="2">
        <f>Y10/'Output-Calculation-sheet'!Y9*'Output-Calculation-sheet'!Y90</f>
        <v>0</v>
      </c>
      <c r="AA109" s="2">
        <f t="shared" si="9"/>
        <v>11.149157856994478</v>
      </c>
    </row>
    <row r="110" spans="1:27" x14ac:dyDescent="0.25">
      <c r="A110" s="2">
        <v>2034</v>
      </c>
      <c r="B110" s="2">
        <f>B11/'Output-Calculation-sheet'!B10*'Output-Calculation-sheet'!B91</f>
        <v>6730.3540866177018</v>
      </c>
      <c r="C110" s="2">
        <f>C11/'Output-Calculation-sheet'!C10*'Output-Calculation-sheet'!C91</f>
        <v>4614.107082384704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1311.106399666141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902.16879921975135</v>
      </c>
      <c r="N110" s="2">
        <f>N11/'Output-Calculation-sheet'!N10*'Output-Calculation-sheet'!N91</f>
        <v>812.79515209314877</v>
      </c>
      <c r="O110" s="2">
        <f>O11/'Output-Calculation-sheet'!O10*'Output-Calculation-sheet'!O91</f>
        <v>896.39282255027751</v>
      </c>
      <c r="P110" s="2">
        <f>P11/'Output-Calculation-sheet'!P10*'Output-Calculation-sheet'!P91</f>
        <v>204.78544152073687</v>
      </c>
      <c r="Q110" s="2">
        <f>Q11/'Output-Calculation-sheet'!Q10*'Output-Calculation-sheet'!Q91</f>
        <v>453.17554364617604</v>
      </c>
      <c r="R110" s="2">
        <f>R11/'Output-Calculation-sheet'!R10*'Output-Calculation-sheet'!R91</f>
        <v>0</v>
      </c>
      <c r="S110" s="2">
        <f>S11/'Output-Calculation-sheet'!S10*'Output-Calculation-sheet'!S91</f>
        <v>465.92224024955266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98.969793633994669</v>
      </c>
      <c r="Y110" s="2">
        <f>Y11/'Output-Calculation-sheet'!Y10*'Output-Calculation-sheet'!Y91</f>
        <v>23.876935993076479</v>
      </c>
      <c r="AA110" s="2">
        <f t="shared" si="9"/>
        <v>16.513654297575265</v>
      </c>
    </row>
    <row r="111" spans="1:27" x14ac:dyDescent="0.25">
      <c r="A111" s="2">
        <v>2035</v>
      </c>
      <c r="B111" s="2">
        <f>B12/'Output-Calculation-sheet'!B11*'Output-Calculation-sheet'!B92</f>
        <v>10645.587172427746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2371.3641322624735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526.67036178842056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842.17846897362574</v>
      </c>
      <c r="Q111" s="2">
        <f>Q12/'Output-Calculation-sheet'!Q11*'Output-Calculation-sheet'!Q92</f>
        <v>798.72032201827392</v>
      </c>
      <c r="R111" s="2">
        <f>R12/'Output-Calculation-sheet'!R11*'Output-Calculation-sheet'!R92</f>
        <v>121.85872891619002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176.42755902601542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83.086981837463199</v>
      </c>
      <c r="AA111" s="2">
        <f t="shared" si="9"/>
        <v>25.997970524762128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7923845475.7901354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2438004578.3447571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1693404270.6227493</v>
      </c>
      <c r="N118" s="2">
        <f>N8/'Output-Calculation-sheet'!N7*'Output-Calculation-sheet'!N97</f>
        <v>1328839520.4567485</v>
      </c>
      <c r="O118" s="2">
        <f>O8/'Output-Calculation-sheet'!O7*'Output-Calculation-sheet'!O97</f>
        <v>884225088.68242049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481230225.53722978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182516839.75973284</v>
      </c>
      <c r="Y118" s="2">
        <f>Y8/'Output-Calculation-sheet'!Y7*'Output-Calculation-sheet'!Y97</f>
        <v>0</v>
      </c>
      <c r="AA118" s="2">
        <f t="shared" si="10"/>
        <v>16283.77068588447</v>
      </c>
    </row>
    <row r="119" spans="1:27" x14ac:dyDescent="0.25">
      <c r="A119" s="2">
        <v>2032</v>
      </c>
      <c r="B119" s="2">
        <f>B9/'Output-Calculation-sheet'!B8*'Output-Calculation-sheet'!B98</f>
        <v>5644149534.924202</v>
      </c>
      <c r="C119" s="2">
        <f>C9/'Output-Calculation-sheet'!C8*'Output-Calculation-sheet'!C98</f>
        <v>4486084053.5995502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2681791084.9472284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1871900220.3977678</v>
      </c>
      <c r="N119" s="2">
        <f>N9/'Output-Calculation-sheet'!N8*'Output-Calculation-sheet'!N98</f>
        <v>1264142569.7830584</v>
      </c>
      <c r="O119" s="2">
        <f>O9/'Output-Calculation-sheet'!O8*'Output-Calculation-sheet'!O98</f>
        <v>876497929.10761094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525352149.54736614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200300034.42145342</v>
      </c>
      <c r="Y119" s="2">
        <f>Y9/'Output-Calculation-sheet'!Y8*'Output-Calculation-sheet'!Y98</f>
        <v>0</v>
      </c>
      <c r="AA119" s="2">
        <f t="shared" si="10"/>
        <v>17550.217576728239</v>
      </c>
    </row>
    <row r="120" spans="1:27" x14ac:dyDescent="0.25">
      <c r="A120" s="2">
        <v>2033</v>
      </c>
      <c r="B120" s="2">
        <f>B10/'Output-Calculation-sheet'!B9*'Output-Calculation-sheet'!B99</f>
        <v>5491099728.6484652</v>
      </c>
      <c r="C120" s="2">
        <f>C10/'Output-Calculation-sheet'!C9*'Output-Calculation-sheet'!C99</f>
        <v>4514024941.1303158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1480041846.9765804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1047585914.5515599</v>
      </c>
      <c r="N120" s="2">
        <f>N10/'Output-Calculation-sheet'!N9*'Output-Calculation-sheet'!N99</f>
        <v>1044332163.153862</v>
      </c>
      <c r="O120" s="2">
        <f>O10/'Output-Calculation-sheet'!O9*'Output-Calculation-sheet'!O99</f>
        <v>883748852.92504311</v>
      </c>
      <c r="P120" s="2">
        <f>P10/'Output-Calculation-sheet'!P9*'Output-Calculation-sheet'!P99</f>
        <v>0</v>
      </c>
      <c r="Q120" s="2">
        <f>Q10/'Output-Calculation-sheet'!Q9*'Output-Calculation-sheet'!Q99</f>
        <v>6468361.4650485069</v>
      </c>
      <c r="R120" s="2">
        <f>R10/'Output-Calculation-sheet'!R9*'Output-Calculation-sheet'!R99</f>
        <v>0</v>
      </c>
      <c r="S120" s="2">
        <f>S10/'Output-Calculation-sheet'!S9*'Output-Calculation-sheet'!S99</f>
        <v>437359494.8661024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104606101.39398174</v>
      </c>
      <c r="Y120" s="2">
        <f>Y10/'Output-Calculation-sheet'!Y9*'Output-Calculation-sheet'!Y99</f>
        <v>0</v>
      </c>
      <c r="AA120" s="2">
        <f t="shared" si="10"/>
        <v>15009.267405110959</v>
      </c>
    </row>
    <row r="121" spans="1:27" x14ac:dyDescent="0.25">
      <c r="A121" s="2">
        <v>2034</v>
      </c>
      <c r="B121" s="2">
        <f>B11/'Output-Calculation-sheet'!B10*'Output-Calculation-sheet'!B100</f>
        <v>5041176033.581213</v>
      </c>
      <c r="C121" s="2">
        <f>C11/'Output-Calculation-sheet'!C10*'Output-Calculation-sheet'!C100</f>
        <v>605735460.46783078</v>
      </c>
      <c r="D121" s="2">
        <f>D11/'Output-Calculation-sheet'!D10*'Output-Calculation-sheet'!D100</f>
        <v>0</v>
      </c>
      <c r="E121" s="2">
        <f>E11/'Output-Calculation-sheet'!E10*'Output-Calculation-sheet'!E100</f>
        <v>699066430.90741289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1594958097.3012204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581471242.10709167</v>
      </c>
      <c r="M121" s="2">
        <f>M11/'Output-Calculation-sheet'!M10*'Output-Calculation-sheet'!M100</f>
        <v>1135125576.7966316</v>
      </c>
      <c r="N121" s="2">
        <f>N11/'Output-Calculation-sheet'!N10*'Output-Calculation-sheet'!N100</f>
        <v>756762858.38681507</v>
      </c>
      <c r="O121" s="2">
        <f>O11/'Output-Calculation-sheet'!O10*'Output-Calculation-sheet'!O100</f>
        <v>118817002.95363806</v>
      </c>
      <c r="P121" s="2">
        <f>P11/'Output-Calculation-sheet'!P10*'Output-Calculation-sheet'!P100</f>
        <v>0</v>
      </c>
      <c r="Q121" s="2">
        <f>Q11/'Output-Calculation-sheet'!Q10*'Output-Calculation-sheet'!Q100</f>
        <v>233771234.76809466</v>
      </c>
      <c r="R121" s="2">
        <f>R11/'Output-Calculation-sheet'!R10*'Output-Calculation-sheet'!R100</f>
        <v>0</v>
      </c>
      <c r="S121" s="2">
        <f>S11/'Output-Calculation-sheet'!S10*'Output-Calculation-sheet'!S100</f>
        <v>282948030.48860765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111534030.35786355</v>
      </c>
      <c r="Y121" s="2">
        <f>Y11/'Output-Calculation-sheet'!Y10*'Output-Calculation-sheet'!Y100</f>
        <v>7970647.35398765</v>
      </c>
      <c r="AA121" s="2">
        <f t="shared" si="10"/>
        <v>11169.336645470406</v>
      </c>
    </row>
    <row r="122" spans="1:27" x14ac:dyDescent="0.25">
      <c r="A122" s="2">
        <v>2035</v>
      </c>
      <c r="B122" s="2">
        <f>B12/'Output-Calculation-sheet'!B11*'Output-Calculation-sheet'!B101</f>
        <v>1871776263.8456776</v>
      </c>
      <c r="C122" s="2">
        <f>C12/'Output-Calculation-sheet'!C11*'Output-Calculation-sheet'!C101</f>
        <v>321908069.5246911</v>
      </c>
      <c r="D122" s="2">
        <f>D12/'Output-Calculation-sheet'!D11*'Output-Calculation-sheet'!D101</f>
        <v>0</v>
      </c>
      <c r="E122" s="2">
        <f>E12/'Output-Calculation-sheet'!E11*'Output-Calculation-sheet'!E101</f>
        <v>1870858167.0891671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502059683.6622628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1098095001.7041755</v>
      </c>
      <c r="M122" s="2">
        <f>M12/'Output-Calculation-sheet'!M11*'Output-Calculation-sheet'!M101</f>
        <v>452874645.59907889</v>
      </c>
      <c r="N122" s="2">
        <f>N12/'Output-Calculation-sheet'!N11*'Output-Calculation-sheet'!N101</f>
        <v>379689683.98430681</v>
      </c>
      <c r="O122" s="2">
        <f>O12/'Output-Calculation-sheet'!O11*'Output-Calculation-sheet'!O101</f>
        <v>54865609.852172732</v>
      </c>
      <c r="P122" s="2">
        <f>P12/'Output-Calculation-sheet'!P11*'Output-Calculation-sheet'!P101</f>
        <v>23329908.477634657</v>
      </c>
      <c r="Q122" s="2">
        <f>Q12/'Output-Calculation-sheet'!Q11*'Output-Calculation-sheet'!Q101</f>
        <v>459870606.18421769</v>
      </c>
      <c r="R122" s="2">
        <f>R12/'Output-Calculation-sheet'!R11*'Output-Calculation-sheet'!R101</f>
        <v>0</v>
      </c>
      <c r="S122" s="2">
        <f>S12/'Output-Calculation-sheet'!S11*'Output-Calculation-sheet'!S101</f>
        <v>185908023.59190166</v>
      </c>
      <c r="T122" s="2">
        <f>T12/'Output-Calculation-sheet'!T11*'Output-Calculation-sheet'!T101</f>
        <v>0</v>
      </c>
      <c r="U122" s="2">
        <f>U12/'Output-Calculation-sheet'!U11*'Output-Calculation-sheet'!U101</f>
        <v>68356106.718224004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16062110.964563219</v>
      </c>
      <c r="Y122" s="2">
        <f>Y12/'Output-Calculation-sheet'!Y11*'Output-Calculation-sheet'!Y101</f>
        <v>66369567.185812972</v>
      </c>
      <c r="AA122" s="2">
        <f t="shared" si="10"/>
        <v>7372.0234483838858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2205096122.5492487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2212746309.9936085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144944.49592847293</v>
      </c>
    </row>
    <row r="130" spans="1:27" x14ac:dyDescent="0.25">
      <c r="A130" s="2">
        <v>2032</v>
      </c>
      <c r="B130" s="2">
        <f>B9/'Output-Calculation-sheet'!B8*'Output-Calculation-sheet'!B107</f>
        <v>51076320151.245819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1858164815.0780942</v>
      </c>
      <c r="O130" s="2">
        <f>O9/'Output-Calculation-sheet'!O8*'Output-Calculation-sheet'!O107</f>
        <v>0</v>
      </c>
      <c r="P130" s="2">
        <f>P9/'Output-Calculation-sheet'!P8*'Output-Calculation-sheet'!P107</f>
        <v>5669941025.9685698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1650344810.1844485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179877.24001757379</v>
      </c>
    </row>
    <row r="131" spans="1:27" x14ac:dyDescent="0.25">
      <c r="A131" s="2">
        <v>2033</v>
      </c>
      <c r="B131" s="2">
        <f>B10/'Output-Calculation-sheet'!B9*'Output-Calculation-sheet'!B108</f>
        <v>40961932992.404991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1500956262.3123863</v>
      </c>
      <c r="O131" s="2">
        <f>O10/'Output-Calculation-sheet'!O9*'Output-Calculation-sheet'!O108</f>
        <v>0</v>
      </c>
      <c r="P131" s="2">
        <f>P10/'Output-Calculation-sheet'!P9*'Output-Calculation-sheet'!P108</f>
        <v>6903318274.7840624</v>
      </c>
      <c r="Q131" s="2">
        <f>Q10/'Output-Calculation-sheet'!Q9*'Output-Calculation-sheet'!Q108</f>
        <v>5823374364.3442144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1455847588.6013727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195504.85600077454</v>
      </c>
    </row>
    <row r="132" spans="1:27" x14ac:dyDescent="0.25">
      <c r="A132" s="2">
        <v>2034</v>
      </c>
      <c r="B132" s="2">
        <f>B11/'Output-Calculation-sheet'!B10*'Output-Calculation-sheet'!B109</f>
        <v>29333874377.962887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28315971124.857193</v>
      </c>
      <c r="F132" s="2">
        <f>F11/'Output-Calculation-sheet'!F10*'Output-Calculation-sheet'!F109</f>
        <v>18675055423.438267</v>
      </c>
      <c r="G132" s="2">
        <f>G11/'Output-Calculation-sheet'!G10*'Output-Calculation-sheet'!G109</f>
        <v>13121969822.34569</v>
      </c>
      <c r="H132" s="2">
        <f>H11/'Output-Calculation-sheet'!H10*'Output-Calculation-sheet'!H109</f>
        <v>0</v>
      </c>
      <c r="I132" s="2">
        <f>I11/'Output-Calculation-sheet'!I10*'Output-Calculation-sheet'!I109</f>
        <v>11954310384.897633</v>
      </c>
      <c r="J132" s="2">
        <f>J11/'Output-Calculation-sheet'!J10*'Output-Calculation-sheet'!J109</f>
        <v>11635580262.911186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8663260640.1398754</v>
      </c>
      <c r="M132" s="2">
        <f>M11/'Output-Calculation-sheet'!M10*'Output-Calculation-sheet'!M109</f>
        <v>0</v>
      </c>
      <c r="N132" s="2">
        <f>N11/'Output-Calculation-sheet'!N10*'Output-Calculation-sheet'!N109</f>
        <v>1139072429.6290252</v>
      </c>
      <c r="O132" s="2">
        <f>O11/'Output-Calculation-sheet'!O10*'Output-Calculation-sheet'!O109</f>
        <v>0</v>
      </c>
      <c r="P132" s="2">
        <f>P11/'Output-Calculation-sheet'!P10*'Output-Calculation-sheet'!P109</f>
        <v>6471899024.1254358</v>
      </c>
      <c r="Q132" s="2">
        <f>Q11/'Output-Calculation-sheet'!Q10*'Output-Calculation-sheet'!Q109</f>
        <v>4201184476.2602229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781757009.75689876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2392235167.4408998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771307826.62715149</v>
      </c>
      <c r="AA132" s="2">
        <f t="shared" si="11"/>
        <v>199193.71511021649</v>
      </c>
    </row>
    <row r="133" spans="1:27" x14ac:dyDescent="0.25">
      <c r="A133" s="2">
        <v>2035</v>
      </c>
      <c r="B133" s="2">
        <f>B12/'Output-Calculation-sheet'!B11*'Output-Calculation-sheet'!B110</f>
        <v>448505500.29332405</v>
      </c>
      <c r="C133" s="2">
        <f>C12/'Output-Calculation-sheet'!C11*'Output-Calculation-sheet'!C110</f>
        <v>0</v>
      </c>
      <c r="D133" s="2">
        <f>D12/'Output-Calculation-sheet'!D11*'Output-Calculation-sheet'!D110</f>
        <v>37917225596.411949</v>
      </c>
      <c r="E133" s="2">
        <f>E12/'Output-Calculation-sheet'!E11*'Output-Calculation-sheet'!E110</f>
        <v>14554977249.16268</v>
      </c>
      <c r="F133" s="2">
        <f>F12/'Output-Calculation-sheet'!F11*'Output-Calculation-sheet'!F110</f>
        <v>19855513961.815231</v>
      </c>
      <c r="G133" s="2">
        <f>G12/'Output-Calculation-sheet'!G11*'Output-Calculation-sheet'!G110</f>
        <v>13535450162.832165</v>
      </c>
      <c r="H133" s="2">
        <f>H12/'Output-Calculation-sheet'!H11*'Output-Calculation-sheet'!H110</f>
        <v>0</v>
      </c>
      <c r="I133" s="2">
        <f>I12/'Output-Calculation-sheet'!I11*'Output-Calculation-sheet'!I110</f>
        <v>12645576921.457926</v>
      </c>
      <c r="J133" s="2">
        <f>J12/'Output-Calculation-sheet'!J11*'Output-Calculation-sheet'!J110</f>
        <v>12106741792.577864</v>
      </c>
      <c r="K133" s="2">
        <f>K12/'Output-Calculation-sheet'!K11*'Output-Calculation-sheet'!K110</f>
        <v>12228644269.701153</v>
      </c>
      <c r="L133" s="2">
        <f>L12/'Output-Calculation-sheet'!L11*'Output-Calculation-sheet'!L110</f>
        <v>5772673587.0668974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2106250490.732105</v>
      </c>
      <c r="Q133" s="2">
        <f>Q12/'Output-Calculation-sheet'!Q11*'Output-Calculation-sheet'!Q110</f>
        <v>1806815481.6964831</v>
      </c>
      <c r="R133" s="2">
        <f>R12/'Output-Calculation-sheet'!R11*'Output-Calculation-sheet'!R110</f>
        <v>7264748974.0383244</v>
      </c>
      <c r="S133" s="2">
        <f>S12/'Output-Calculation-sheet'!S11*'Output-Calculation-sheet'!S110</f>
        <v>1869398.4270225025</v>
      </c>
      <c r="T133" s="2">
        <f>T12/'Output-Calculation-sheet'!T11*'Output-Calculation-sheet'!T110</f>
        <v>2932863126.7251525</v>
      </c>
      <c r="U133" s="2">
        <f>U12/'Output-Calculation-sheet'!U11*'Output-Calculation-sheet'!U110</f>
        <v>1376850599.4626923</v>
      </c>
      <c r="V133" s="2">
        <f>V12/'Output-Calculation-sheet'!V11*'Output-Calculation-sheet'!V110</f>
        <v>1978190139.9988406</v>
      </c>
      <c r="W133" s="2">
        <f>W12/'Output-Calculation-sheet'!W11*'Output-Calculation-sheet'!W110</f>
        <v>1706313808.2641313</v>
      </c>
      <c r="X133" s="2">
        <f>X12/'Output-Calculation-sheet'!X11*'Output-Calculation-sheet'!X110</f>
        <v>0</v>
      </c>
      <c r="Y133" s="2">
        <f>Y12/'Output-Calculation-sheet'!Y11*'Output-Calculation-sheet'!Y110</f>
        <v>390612011.21800506</v>
      </c>
      <c r="AA133" s="2">
        <f t="shared" si="11"/>
        <v>148629.82307188198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14342400319.185646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4508889390.131938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3099343251.4246612</v>
      </c>
      <c r="N140" s="2">
        <f>N8/'Output-Calculation-sheet'!N7*'Output-Calculation-sheet'!N115</f>
        <v>1170124923.9078095</v>
      </c>
      <c r="O140" s="2">
        <f>O8/'Output-Calculation-sheet'!O7*'Output-Calculation-sheet'!O115</f>
        <v>3442106241.6602602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336551465.56298316</v>
      </c>
      <c r="Y140" s="2">
        <f>Y8/'Output-Calculation-sheet'!Y7*'Output-Calculation-sheet'!Y115</f>
        <v>0</v>
      </c>
      <c r="AA140" s="2">
        <f t="shared" si="12"/>
        <v>26899.415591873298</v>
      </c>
    </row>
    <row r="141" spans="1:27" x14ac:dyDescent="0.25">
      <c r="A141" s="2">
        <v>2032</v>
      </c>
      <c r="B141" s="2">
        <f>B9/'Output-Calculation-sheet'!B8*'Output-Calculation-sheet'!B116</f>
        <v>5839201958.2451601</v>
      </c>
      <c r="C141" s="2">
        <f>C9/'Output-Calculation-sheet'!C8*'Output-Calculation-sheet'!C116</f>
        <v>24995237018.807632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6516149899.2671289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4473872301.8361111</v>
      </c>
      <c r="N141" s="2">
        <f>N9/'Output-Calculation-sheet'!N8*'Output-Calculation-sheet'!N116</f>
        <v>3106039891.4340839</v>
      </c>
      <c r="O141" s="2">
        <f>O9/'Output-Calculation-sheet'!O8*'Output-Calculation-sheet'!O116</f>
        <v>4851722408.8492174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1391226325.970489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486965279.61731631</v>
      </c>
      <c r="Y141" s="2">
        <f>Y9/'Output-Calculation-sheet'!Y8*'Output-Calculation-sheet'!Y116</f>
        <v>0</v>
      </c>
      <c r="AA141" s="2">
        <f t="shared" si="12"/>
        <v>51660.415084027147</v>
      </c>
    </row>
    <row r="142" spans="1:27" x14ac:dyDescent="0.25">
      <c r="A142" s="2">
        <v>2033</v>
      </c>
      <c r="B142" s="2">
        <f>B10/'Output-Calculation-sheet'!B9*'Output-Calculation-sheet'!B117</f>
        <v>29719170064.678101</v>
      </c>
      <c r="C142" s="2">
        <f>C10/'Output-Calculation-sheet'!C9*'Output-Calculation-sheet'!C117</f>
        <v>31382215585.316303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9719303965.8152142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6678980394.992938</v>
      </c>
      <c r="N142" s="2">
        <f>N10/'Output-Calculation-sheet'!N9*'Output-Calculation-sheet'!N117</f>
        <v>5038301369.7978296</v>
      </c>
      <c r="O142" s="2">
        <f>O10/'Output-Calculation-sheet'!O9*'Output-Calculation-sheet'!O117</f>
        <v>6090889765.9680939</v>
      </c>
      <c r="P142" s="2">
        <f>P10/'Output-Calculation-sheet'!P9*'Output-Calculation-sheet'!P117</f>
        <v>0</v>
      </c>
      <c r="Q142" s="2">
        <f>Q10/'Output-Calculation-sheet'!Q9*'Output-Calculation-sheet'!Q117</f>
        <v>962244087.23536921</v>
      </c>
      <c r="R142" s="2">
        <f>R10/'Output-Calculation-sheet'!R9*'Output-Calculation-sheet'!R117</f>
        <v>0</v>
      </c>
      <c r="S142" s="2">
        <f>S10/'Output-Calculation-sheet'!S9*'Output-Calculation-sheet'!S117</f>
        <v>2449852642.9367056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732203172.82767725</v>
      </c>
      <c r="Y142" s="2">
        <f>Y10/'Output-Calculation-sheet'!Y9*'Output-Calculation-sheet'!Y117</f>
        <v>0</v>
      </c>
      <c r="AA142" s="2">
        <f t="shared" si="12"/>
        <v>92773.16104956824</v>
      </c>
    </row>
    <row r="143" spans="1:27" x14ac:dyDescent="0.25">
      <c r="A143" s="2">
        <v>2034</v>
      </c>
      <c r="B143" s="2">
        <f>B11/'Output-Calculation-sheet'!B10*'Output-Calculation-sheet'!B118</f>
        <v>52680705463.497643</v>
      </c>
      <c r="C143" s="2">
        <f>C11/'Output-Calculation-sheet'!C10*'Output-Calculation-sheet'!C118</f>
        <v>40419578041.690002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11204508125.384123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7695380739.8190413</v>
      </c>
      <c r="N143" s="2">
        <f>N11/'Output-Calculation-sheet'!N10*'Output-Calculation-sheet'!N118</f>
        <v>6771317723.5372877</v>
      </c>
      <c r="O143" s="2">
        <f>O11/'Output-Calculation-sheet'!O10*'Output-Calculation-sheet'!O118</f>
        <v>7852401125.540431</v>
      </c>
      <c r="P143" s="2">
        <f>P11/'Output-Calculation-sheet'!P10*'Output-Calculation-sheet'!P118</f>
        <v>1417727838.6139355</v>
      </c>
      <c r="Q143" s="2">
        <f>Q11/'Output-Calculation-sheet'!Q10*'Output-Calculation-sheet'!Q118</f>
        <v>3327558716.7699857</v>
      </c>
      <c r="R143" s="2">
        <f>R11/'Output-Calculation-sheet'!R10*'Output-Calculation-sheet'!R118</f>
        <v>0</v>
      </c>
      <c r="S143" s="2">
        <f>S11/'Output-Calculation-sheet'!S10*'Output-Calculation-sheet'!S118</f>
        <v>3898917618.8605309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844835720.86566913</v>
      </c>
      <c r="Y143" s="2">
        <f>Y11/'Output-Calculation-sheet'!Y10*'Output-Calculation-sheet'!Y118</f>
        <v>150770240.46644613</v>
      </c>
      <c r="AA143" s="2">
        <f t="shared" si="12"/>
        <v>136263.70135504511</v>
      </c>
    </row>
    <row r="144" spans="1:27" x14ac:dyDescent="0.25">
      <c r="A144" s="2">
        <v>2035</v>
      </c>
      <c r="B144" s="2">
        <f>B12/'Output-Calculation-sheet'!B11*'Output-Calculation-sheet'!B119</f>
        <v>91905676733.133621</v>
      </c>
      <c r="C144" s="2">
        <f>C12/'Output-Calculation-sheet'!C11*'Output-Calculation-sheet'!C119</f>
        <v>44153529805.343628</v>
      </c>
      <c r="D144" s="2">
        <f>D12/'Output-Calculation-sheet'!D11*'Output-Calculation-sheet'!D119</f>
        <v>0</v>
      </c>
      <c r="E144" s="2">
        <f>E12/'Output-Calculation-sheet'!E11*'Output-Calculation-sheet'!E119</f>
        <v>14862669444.557932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13339553245.56428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3062447447.803195</v>
      </c>
      <c r="M144" s="2">
        <f>M12/'Output-Calculation-sheet'!M11*'Output-Calculation-sheet'!M119</f>
        <v>9091317097.5445042</v>
      </c>
      <c r="N144" s="2">
        <f>N12/'Output-Calculation-sheet'!N11*'Output-Calculation-sheet'!N119</f>
        <v>8982265714.7499294</v>
      </c>
      <c r="O144" s="2">
        <f>O12/'Output-Calculation-sheet'!O11*'Output-Calculation-sheet'!O119</f>
        <v>8583498281.2617874</v>
      </c>
      <c r="P144" s="2">
        <f>P12/'Output-Calculation-sheet'!P11*'Output-Calculation-sheet'!P119</f>
        <v>6411627519.5174618</v>
      </c>
      <c r="Q144" s="2">
        <f>Q12/'Output-Calculation-sheet'!Q11*'Output-Calculation-sheet'!Q119</f>
        <v>6057072821.2371912</v>
      </c>
      <c r="R144" s="2">
        <f>R12/'Output-Calculation-sheet'!R11*'Output-Calculation-sheet'!R119</f>
        <v>681875631.29808867</v>
      </c>
      <c r="S144" s="2">
        <f>S12/'Output-Calculation-sheet'!S11*'Output-Calculation-sheet'!S119</f>
        <v>5176636467.6395826</v>
      </c>
      <c r="T144" s="2">
        <f>T12/'Output-Calculation-sheet'!T11*'Output-Calculation-sheet'!T119</f>
        <v>0</v>
      </c>
      <c r="U144" s="2">
        <f>U12/'Output-Calculation-sheet'!U11*'Output-Calculation-sheet'!U119</f>
        <v>1126113942.0078306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1020275775.6476172</v>
      </c>
      <c r="Y144" s="2">
        <f>Y12/'Output-Calculation-sheet'!Y11*'Output-Calculation-sheet'!Y119</f>
        <v>546008504.48733926</v>
      </c>
      <c r="AA144" s="2">
        <f t="shared" si="12"/>
        <v>215000.56843179397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397992696.09287691</v>
      </c>
      <c r="C155" s="2">
        <f>C12/'Output-Calculation-sheet'!C11*'Output-Calculation-sheet'!C128</f>
        <v>38022471.556304611</v>
      </c>
      <c r="D155" s="2">
        <f>D12/'Output-Calculation-sheet'!D11*'Output-Calculation-sheet'!D128</f>
        <v>2848319711.6588564</v>
      </c>
      <c r="E155" s="2">
        <f>E12/'Output-Calculation-sheet'!E11*'Output-Calculation-sheet'!E128</f>
        <v>424650338.15337944</v>
      </c>
      <c r="F155" s="2">
        <f>F12/'Output-Calculation-sheet'!F11*'Output-Calculation-sheet'!F128</f>
        <v>879698380.47195292</v>
      </c>
      <c r="G155" s="2">
        <f>G12/'Output-Calculation-sheet'!G11*'Output-Calculation-sheet'!G128</f>
        <v>1106774026.4900715</v>
      </c>
      <c r="H155" s="2">
        <f>H12/'Output-Calculation-sheet'!H11*'Output-Calculation-sheet'!H128</f>
        <v>83874084.057163417</v>
      </c>
      <c r="I155" s="2">
        <f>I12/'Output-Calculation-sheet'!I11*'Output-Calculation-sheet'!I128</f>
        <v>665444665.97936034</v>
      </c>
      <c r="J155" s="2">
        <f>J12/'Output-Calculation-sheet'!J11*'Output-Calculation-sheet'!J128</f>
        <v>748756988.29350913</v>
      </c>
      <c r="K155" s="2">
        <f>K12/'Output-Calculation-sheet'!K11*'Output-Calculation-sheet'!K128</f>
        <v>561283765.29242599</v>
      </c>
      <c r="L155" s="2">
        <f>L12/'Output-Calculation-sheet'!L11*'Output-Calculation-sheet'!L128</f>
        <v>178101937.25729483</v>
      </c>
      <c r="M155" s="2">
        <f>M12/'Output-Calculation-sheet'!M11*'Output-Calculation-sheet'!M128</f>
        <v>66680485.889355198</v>
      </c>
      <c r="N155" s="2">
        <f>N12/'Output-Calculation-sheet'!N11*'Output-Calculation-sheet'!N128</f>
        <v>60945618.657210812</v>
      </c>
      <c r="O155" s="2">
        <f>O12/'Output-Calculation-sheet'!O11*'Output-Calculation-sheet'!O128</f>
        <v>10766464.979468171</v>
      </c>
      <c r="P155" s="2">
        <f>P12/'Output-Calculation-sheet'!P11*'Output-Calculation-sheet'!P128</f>
        <v>45377568.686114527</v>
      </c>
      <c r="Q155" s="2">
        <f>Q12/'Output-Calculation-sheet'!Q11*'Output-Calculation-sheet'!Q128</f>
        <v>153509577.52647439</v>
      </c>
      <c r="R155" s="2">
        <f>R12/'Output-Calculation-sheet'!R11*'Output-Calculation-sheet'!R128</f>
        <v>310859164.46481347</v>
      </c>
      <c r="S155" s="2">
        <f>S12/'Output-Calculation-sheet'!S11*'Output-Calculation-sheet'!S128</f>
        <v>37371224.107427366</v>
      </c>
      <c r="T155" s="2">
        <f>T12/'Output-Calculation-sheet'!T11*'Output-Calculation-sheet'!T128</f>
        <v>97048746.491889179</v>
      </c>
      <c r="U155" s="2">
        <f>U12/'Output-Calculation-sheet'!U11*'Output-Calculation-sheet'!U128</f>
        <v>53417835.090210147</v>
      </c>
      <c r="V155" s="2">
        <f>V12/'Output-Calculation-sheet'!V11*'Output-Calculation-sheet'!V128</f>
        <v>39794130.327143691</v>
      </c>
      <c r="W155" s="2">
        <f>W12/'Output-Calculation-sheet'!W11*'Output-Calculation-sheet'!W128</f>
        <v>64322172.756714582</v>
      </c>
      <c r="X155" s="2">
        <f>X12/'Output-Calculation-sheet'!X11*'Output-Calculation-sheet'!X128</f>
        <v>2008921.6807810855</v>
      </c>
      <c r="Y155" s="2">
        <f>Y12/'Output-Calculation-sheet'!Y11*'Output-Calculation-sheet'!Y128</f>
        <v>13473490.918022046</v>
      </c>
      <c r="AA155" s="2">
        <f t="shared" si="13"/>
        <v>8888.4944668788212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5987.0593884786049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1813.5522814409383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1259.7654178969465</v>
      </c>
      <c r="N19" s="2">
        <f>N8/'Output-Calculation-sheet'!N7*'Output-Calculation-sheet'!N25</f>
        <v>1047.9759601703993</v>
      </c>
      <c r="O19" s="2">
        <f>O8/'Output-Calculation-sheet'!O7*'Output-Calculation-sheet'!O25</f>
        <v>657.71819195818125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136.34166138830588</v>
      </c>
      <c r="Y19" s="2">
        <f>Y8/'Output-Calculation-sheet'!Y7*'Output-Calculation-sheet'!Y25</f>
        <v>0</v>
      </c>
      <c r="AA19" s="2">
        <f t="shared" si="0"/>
        <v>12.659569537667279</v>
      </c>
    </row>
    <row r="20" spans="1:27" x14ac:dyDescent="0.25">
      <c r="A20" s="2">
        <v>2032</v>
      </c>
      <c r="B20" s="2">
        <f>B9/'Output-Calculation-sheet'!B8*'Output-Calculation-sheet'!B26</f>
        <v>6342.9925808130165</v>
      </c>
      <c r="C20" s="2">
        <f>C9/'Output-Calculation-sheet'!C8*'Output-Calculation-sheet'!C26</f>
        <v>3478.3422757762469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2088.0660430704943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1459.1549615399058</v>
      </c>
      <c r="N20" s="2">
        <f>N9/'Output-Calculation-sheet'!N8*'Output-Calculation-sheet'!N26</f>
        <v>1011.2341501012642</v>
      </c>
      <c r="O20" s="2">
        <f>O9/'Output-Calculation-sheet'!O8*'Output-Calculation-sheet'!O26</f>
        <v>679.60361967676636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479.68216639131668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158.77737067232516</v>
      </c>
      <c r="Y20" s="2">
        <f>Y9/'Output-Calculation-sheet'!Y8*'Output-Calculation-sheet'!Y26</f>
        <v>0</v>
      </c>
      <c r="AA20" s="2">
        <f t="shared" si="0"/>
        <v>15.697853168041332</v>
      </c>
    </row>
    <row r="21" spans="1:27" x14ac:dyDescent="0.25">
      <c r="A21" s="2">
        <v>2033</v>
      </c>
      <c r="B21" s="2">
        <f>B10/'Output-Calculation-sheet'!B9*'Output-Calculation-sheet'!B27</f>
        <v>5847.0142047568697</v>
      </c>
      <c r="C21" s="2">
        <f>C10/'Output-Calculation-sheet'!C9*'Output-Calculation-sheet'!C27</f>
        <v>3593.8223771018324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1178.330953809749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834.03236954242675</v>
      </c>
      <c r="N21" s="2">
        <f>N10/'Output-Calculation-sheet'!N9*'Output-Calculation-sheet'!N27</f>
        <v>844.62232195583181</v>
      </c>
      <c r="O21" s="2">
        <f>O10/'Output-Calculation-sheet'!O9*'Output-Calculation-sheet'!O27</f>
        <v>703.59337248654072</v>
      </c>
      <c r="P21" s="2">
        <f>P10/'Output-Calculation-sheet'!P9*'Output-Calculation-sheet'!P27</f>
        <v>0</v>
      </c>
      <c r="Q21" s="2">
        <f>Q10/'Output-Calculation-sheet'!Q9*'Output-Calculation-sheet'!Q27</f>
        <v>9.9717712043669504</v>
      </c>
      <c r="R21" s="2">
        <f>R10/'Output-Calculation-sheet'!R9*'Output-Calculation-sheet'!R27</f>
        <v>0</v>
      </c>
      <c r="S21" s="2">
        <f>S10/'Output-Calculation-sheet'!S9*'Output-Calculation-sheet'!S27</f>
        <v>402.17787810147337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83.281716541218159</v>
      </c>
      <c r="Y21" s="2">
        <f>Y10/'Output-Calculation-sheet'!Y9*'Output-Calculation-sheet'!Y27</f>
        <v>0</v>
      </c>
      <c r="AA21" s="2">
        <f t="shared" si="0"/>
        <v>13.49684696550031</v>
      </c>
    </row>
    <row r="22" spans="1:27" x14ac:dyDescent="0.25">
      <c r="A22" s="2">
        <v>2034</v>
      </c>
      <c r="B22" s="2">
        <f>B11/'Output-Calculation-sheet'!B10*'Output-Calculation-sheet'!B28</f>
        <v>4817.2869630376281</v>
      </c>
      <c r="C22" s="2">
        <f>C11/'Output-Calculation-sheet'!C10*'Output-Calculation-sheet'!C28</f>
        <v>486.28605292023428</v>
      </c>
      <c r="D22" s="2">
        <f>D11/'Output-Calculation-sheet'!D10*'Output-Calculation-sheet'!D28</f>
        <v>0</v>
      </c>
      <c r="E22" s="2">
        <f>E11/'Output-Calculation-sheet'!E10*'Output-Calculation-sheet'!E28</f>
        <v>1614.7324618601583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1280.4292762327907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979.30631637957242</v>
      </c>
      <c r="M22" s="2">
        <f>M11/'Output-Calculation-sheet'!M10*'Output-Calculation-sheet'!M28</f>
        <v>911.27663530498523</v>
      </c>
      <c r="N22" s="2">
        <f>N11/'Output-Calculation-sheet'!N10*'Output-Calculation-sheet'!N28</f>
        <v>609.19362970020484</v>
      </c>
      <c r="O22" s="2">
        <f>O11/'Output-Calculation-sheet'!O10*'Output-Calculation-sheet'!O28</f>
        <v>95.386141013404554</v>
      </c>
      <c r="P22" s="2">
        <f>P11/'Output-Calculation-sheet'!P10*'Output-Calculation-sheet'!P28</f>
        <v>0</v>
      </c>
      <c r="Q22" s="2">
        <f>Q11/'Output-Calculation-sheet'!Q10*'Output-Calculation-sheet'!Q28</f>
        <v>288.79498471087385</v>
      </c>
      <c r="R22" s="2">
        <f>R11/'Output-Calculation-sheet'!R10*'Output-Calculation-sheet'!R28</f>
        <v>0</v>
      </c>
      <c r="S22" s="2">
        <f>S11/'Output-Calculation-sheet'!S10*'Output-Calculation-sheet'!S28</f>
        <v>228.10142170684813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89.539274233570694</v>
      </c>
      <c r="Y22" s="2">
        <f>Y11/'Output-Calculation-sheet'!Y10*'Output-Calculation-sheet'!Y28</f>
        <v>17.030636123352206</v>
      </c>
      <c r="AA22" s="2">
        <f t="shared" si="0"/>
        <v>11.417363793223624</v>
      </c>
    </row>
    <row r="23" spans="1:27" x14ac:dyDescent="0.25">
      <c r="A23" s="2">
        <v>2035</v>
      </c>
      <c r="B23" s="2">
        <f>B12/'Output-Calculation-sheet'!B11*'Output-Calculation-sheet'!B29</f>
        <v>1482.7067400516955</v>
      </c>
      <c r="C23" s="2">
        <f>C12/'Output-Calculation-sheet'!C11*'Output-Calculation-sheet'!C29</f>
        <v>254.99683487910167</v>
      </c>
      <c r="D23" s="2">
        <f>D12/'Output-Calculation-sheet'!D11*'Output-Calculation-sheet'!D29</f>
        <v>0</v>
      </c>
      <c r="E23" s="2">
        <f>E12/'Output-Calculation-sheet'!E11*'Output-Calculation-sheet'!E29</f>
        <v>2076.1215200366082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397.70289164828739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1256.4241109313925</v>
      </c>
      <c r="M23" s="2">
        <f>M12/'Output-Calculation-sheet'!M11*'Output-Calculation-sheet'!M29</f>
        <v>358.74136886240308</v>
      </c>
      <c r="N23" s="2">
        <f>N12/'Output-Calculation-sheet'!N11*'Output-Calculation-sheet'!N29</f>
        <v>300.76860117881995</v>
      </c>
      <c r="O23" s="2">
        <f>O12/'Output-Calculation-sheet'!O11*'Output-Calculation-sheet'!O29</f>
        <v>43.461281357527987</v>
      </c>
      <c r="P23" s="2">
        <f>P12/'Output-Calculation-sheet'!P11*'Output-Calculation-sheet'!P29</f>
        <v>19.259761506806186</v>
      </c>
      <c r="Q23" s="2">
        <f>Q12/'Output-Calculation-sheet'!Q11*'Output-Calculation-sheet'!Q29</f>
        <v>387.77328525713909</v>
      </c>
      <c r="R23" s="2">
        <f>R12/'Output-Calculation-sheet'!R11*'Output-Calculation-sheet'!R29</f>
        <v>0</v>
      </c>
      <c r="S23" s="2">
        <f>S12/'Output-Calculation-sheet'!S11*'Output-Calculation-sheet'!S29</f>
        <v>147.26576041440521</v>
      </c>
      <c r="T23" s="2">
        <f>T12/'Output-Calculation-sheet'!T11*'Output-Calculation-sheet'!T29</f>
        <v>0</v>
      </c>
      <c r="U23" s="2">
        <f>U12/'Output-Calculation-sheet'!U11*'Output-Calculation-sheet'!U29</f>
        <v>105.58572042286062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12.723509301234033</v>
      </c>
      <c r="Y23" s="2">
        <f>Y12/'Output-Calculation-sheet'!Y11*'Output-Calculation-sheet'!Y29</f>
        <v>68.186870918191929</v>
      </c>
      <c r="AA23" s="2">
        <f t="shared" si="0"/>
        <v>6.9117182567664734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1194.670426704251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46.839985743196735</v>
      </c>
    </row>
    <row r="31" spans="1:27" x14ac:dyDescent="0.25">
      <c r="A31" s="2">
        <v>2032</v>
      </c>
      <c r="B31" s="2">
        <f>B9/'Output-Calculation-sheet'!B8*'Output-Calculation-sheet'!B17</f>
        <v>26668.567361235018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1042.769090334808</v>
      </c>
      <c r="O31" s="2">
        <f>O9/'Output-Calculation-sheet'!O8*'Output-Calculation-sheet'!O17</f>
        <v>0</v>
      </c>
      <c r="P31" s="2">
        <f>P9/'Output-Calculation-sheet'!P8*'Output-Calculation-sheet'!P17</f>
        <v>2606.9297400739702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863.06637515139437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61.101550084581078</v>
      </c>
    </row>
    <row r="32" spans="1:27" x14ac:dyDescent="0.25">
      <c r="A32" s="2">
        <v>2033</v>
      </c>
      <c r="B32" s="2">
        <f>B10/'Output-Calculation-sheet'!B9*'Output-Calculation-sheet'!B18</f>
        <v>21150.196237007483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3311.3569177436211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856.05824114957375</v>
      </c>
      <c r="O32" s="2">
        <f>O10/'Output-Calculation-sheet'!O9*'Output-Calculation-sheet'!O18</f>
        <v>0</v>
      </c>
      <c r="P32" s="2">
        <f>P10/'Output-Calculation-sheet'!P9*'Output-Calculation-sheet'!P18</f>
        <v>3408.048051696554</v>
      </c>
      <c r="Q32" s="2">
        <f>Q10/'Output-Calculation-sheet'!Q9*'Output-Calculation-sheet'!Q18</f>
        <v>3155.3812925768416</v>
      </c>
      <c r="R32" s="2">
        <f>R10/'Output-Calculation-sheet'!R9*'Output-Calculation-sheet'!R18</f>
        <v>2447.2300787937456</v>
      </c>
      <c r="S32" s="2">
        <f>S10/'Output-Calculation-sheet'!S9*'Output-Calculation-sheet'!S18</f>
        <v>778.75996468605433</v>
      </c>
      <c r="T32" s="2">
        <f>T10/'Output-Calculation-sheet'!T9*'Output-Calculation-sheet'!T18</f>
        <v>714.51710425830913</v>
      </c>
      <c r="U32" s="2">
        <f>U10/'Output-Calculation-sheet'!U9*'Output-Calculation-sheet'!U18</f>
        <v>789.89138561653863</v>
      </c>
      <c r="V32" s="2">
        <f>V10/'Output-Calculation-sheet'!V9*'Output-Calculation-sheet'!V18</f>
        <v>583.0463816301899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337.53793988554469</v>
      </c>
      <c r="AA32" s="2">
        <f t="shared" si="1"/>
        <v>67.238430914729094</v>
      </c>
    </row>
    <row r="33" spans="1:27" x14ac:dyDescent="0.25">
      <c r="A33" s="2">
        <v>2034</v>
      </c>
      <c r="B33" s="2">
        <f>B11/'Output-Calculation-sheet'!B10*'Output-Calculation-sheet'!B19</f>
        <v>14575.442919542807</v>
      </c>
      <c r="C33" s="2">
        <f>C11/'Output-Calculation-sheet'!C10*'Output-Calculation-sheet'!C19</f>
        <v>0</v>
      </c>
      <c r="D33" s="2">
        <f>D11/'Output-Calculation-sheet'!D10*'Output-Calculation-sheet'!D19</f>
        <v>9692.3965846244992</v>
      </c>
      <c r="E33" s="2">
        <f>E11/'Output-Calculation-sheet'!E10*'Output-Calculation-sheet'!E19</f>
        <v>12014.761339102122</v>
      </c>
      <c r="F33" s="2">
        <f>F11/'Output-Calculation-sheet'!F10*'Output-Calculation-sheet'!F19</f>
        <v>5501.3509837364254</v>
      </c>
      <c r="G33" s="2">
        <f>G11/'Output-Calculation-sheet'!G10*'Output-Calculation-sheet'!G19</f>
        <v>3298.9520036319022</v>
      </c>
      <c r="H33" s="2">
        <f>H11/'Output-Calculation-sheet'!H10*'Output-Calculation-sheet'!H19</f>
        <v>0</v>
      </c>
      <c r="I33" s="2">
        <f>I11/'Output-Calculation-sheet'!I10*'Output-Calculation-sheet'!I19</f>
        <v>3600.0881335608965</v>
      </c>
      <c r="J33" s="2">
        <f>J11/'Output-Calculation-sheet'!J10*'Output-Calculation-sheet'!J19</f>
        <v>3043.7612676231179</v>
      </c>
      <c r="K33" s="2">
        <f>K11/'Output-Calculation-sheet'!K10*'Output-Calculation-sheet'!K19</f>
        <v>4222.3515462465157</v>
      </c>
      <c r="L33" s="2">
        <f>L11/'Output-Calculation-sheet'!L10*'Output-Calculation-sheet'!L19</f>
        <v>3434.0494549438472</v>
      </c>
      <c r="M33" s="2">
        <f>M11/'Output-Calculation-sheet'!M10*'Output-Calculation-sheet'!M19</f>
        <v>0</v>
      </c>
      <c r="N33" s="2">
        <f>N11/'Output-Calculation-sheet'!N10*'Output-Calculation-sheet'!N19</f>
        <v>651.8515598968504</v>
      </c>
      <c r="O33" s="2">
        <f>O11/'Output-Calculation-sheet'!O10*'Output-Calculation-sheet'!O19</f>
        <v>0</v>
      </c>
      <c r="P33" s="2">
        <f>P11/'Output-Calculation-sheet'!P10*'Output-Calculation-sheet'!P19</f>
        <v>3226.7714321297908</v>
      </c>
      <c r="Q33" s="2">
        <f>Q11/'Output-Calculation-sheet'!Q10*'Output-Calculation-sheet'!Q19</f>
        <v>2085.9160688192451</v>
      </c>
      <c r="R33" s="2">
        <f>R11/'Output-Calculation-sheet'!R10*'Output-Calculation-sheet'!R19</f>
        <v>3050.9539330338248</v>
      </c>
      <c r="S33" s="2">
        <f>S11/'Output-Calculation-sheet'!S10*'Output-Calculation-sheet'!S19</f>
        <v>414.38142097379364</v>
      </c>
      <c r="T33" s="2">
        <f>T11/'Output-Calculation-sheet'!T10*'Output-Calculation-sheet'!T19</f>
        <v>894.82848302648392</v>
      </c>
      <c r="U33" s="2">
        <f>U11/'Output-Calculation-sheet'!U10*'Output-Calculation-sheet'!U19</f>
        <v>1029.3198423890615</v>
      </c>
      <c r="V33" s="2">
        <f>V11/'Output-Calculation-sheet'!V10*'Output-Calculation-sheet'!V19</f>
        <v>701.91796529413614</v>
      </c>
      <c r="W33" s="2">
        <f>W11/'Output-Calculation-sheet'!W10*'Output-Calculation-sheet'!W19</f>
        <v>436.98992349047353</v>
      </c>
      <c r="X33" s="2">
        <f>X11/'Output-Calculation-sheet'!X10*'Output-Calculation-sheet'!X19</f>
        <v>0</v>
      </c>
      <c r="Y33" s="2">
        <f>Y11/'Output-Calculation-sheet'!Y10*'Output-Calculation-sheet'!Y19</f>
        <v>333.66191396474437</v>
      </c>
      <c r="AA33" s="2">
        <f t="shared" si="1"/>
        <v>72.209746776030514</v>
      </c>
    </row>
    <row r="34" spans="1:27" x14ac:dyDescent="0.25">
      <c r="A34" s="2">
        <v>2035</v>
      </c>
      <c r="B34" s="2">
        <f>B12/'Output-Calculation-sheet'!B11*'Output-Calculation-sheet'!B20</f>
        <v>211.36177002108073</v>
      </c>
      <c r="C34" s="2">
        <f>C12/'Output-Calculation-sheet'!C11*'Output-Calculation-sheet'!C20</f>
        <v>0</v>
      </c>
      <c r="D34" s="2">
        <f>D12/'Output-Calculation-sheet'!D11*'Output-Calculation-sheet'!D20</f>
        <v>10472.001421718962</v>
      </c>
      <c r="E34" s="2">
        <f>E12/'Output-Calculation-sheet'!E11*'Output-Calculation-sheet'!E20</f>
        <v>4220.1131267317423</v>
      </c>
      <c r="F34" s="2">
        <f>F12/'Output-Calculation-sheet'!F11*'Output-Calculation-sheet'!F20</f>
        <v>6918.332612904981</v>
      </c>
      <c r="G34" s="2">
        <f>G12/'Output-Calculation-sheet'!G11*'Output-Calculation-sheet'!G20</f>
        <v>3461.6873752890765</v>
      </c>
      <c r="H34" s="2">
        <f>H12/'Output-Calculation-sheet'!H11*'Output-Calculation-sheet'!H20</f>
        <v>0</v>
      </c>
      <c r="I34" s="2">
        <f>I12/'Output-Calculation-sheet'!I11*'Output-Calculation-sheet'!I20</f>
        <v>4196.3387959000074</v>
      </c>
      <c r="J34" s="2">
        <f>J12/'Output-Calculation-sheet'!J11*'Output-Calculation-sheet'!J20</f>
        <v>3516.4746498330301</v>
      </c>
      <c r="K34" s="2">
        <f>K12/'Output-Calculation-sheet'!K11*'Output-Calculation-sheet'!K20</f>
        <v>4961.2353033959325</v>
      </c>
      <c r="L34" s="2">
        <f>L12/'Output-Calculation-sheet'!L11*'Output-Calculation-sheet'!L20</f>
        <v>1895.1774639949995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799.18080303519673</v>
      </c>
      <c r="Q34" s="2">
        <f>Q12/'Output-Calculation-sheet'!Q11*'Output-Calculation-sheet'!Q20</f>
        <v>776.85988045142096</v>
      </c>
      <c r="R34" s="2">
        <f>R12/'Output-Calculation-sheet'!R11*'Output-Calculation-sheet'!R20</f>
        <v>3129.0972980410393</v>
      </c>
      <c r="S34" s="2">
        <f>S12/'Output-Calculation-sheet'!S11*'Output-Calculation-sheet'!S20</f>
        <v>0.97776728971208982</v>
      </c>
      <c r="T34" s="2">
        <f>T12/'Output-Calculation-sheet'!T11*'Output-Calculation-sheet'!T20</f>
        <v>1028.4512793840408</v>
      </c>
      <c r="U34" s="2">
        <f>U12/'Output-Calculation-sheet'!U11*'Output-Calculation-sheet'!U20</f>
        <v>433.02243237745807</v>
      </c>
      <c r="V34" s="2">
        <f>V12/'Output-Calculation-sheet'!V11*'Output-Calculation-sheet'!V20</f>
        <v>929.64859480185532</v>
      </c>
      <c r="W34" s="2">
        <f>W12/'Output-Calculation-sheet'!W11*'Output-Calculation-sheet'!W20</f>
        <v>550.57073110813087</v>
      </c>
      <c r="X34" s="2">
        <f>X12/'Output-Calculation-sheet'!X11*'Output-Calculation-sheet'!X20</f>
        <v>0</v>
      </c>
      <c r="Y34" s="2">
        <f>Y12/'Output-Calculation-sheet'!Y11*'Output-Calculation-sheet'!Y20</f>
        <v>117.08927941189553</v>
      </c>
      <c r="AA34" s="2">
        <f t="shared" si="1"/>
        <v>47.617620585690553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9.0572898789253203E-2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1.2371740642226322E-2</v>
      </c>
      <c r="Q45" s="2">
        <f>Q12/'Output-Calculation-sheet'!Q11*'Output-Calculation-sheet'!Q38*0.0114</f>
        <v>1.1733333294222497E-2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1.1230916437432223E-2</v>
      </c>
      <c r="V45" s="2">
        <f>V12/'Output-Calculation-sheet'!V11*'Output-Calculation-sheet'!V38*0.0114</f>
        <v>5.7733451295700258E-3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4.3274452115894405E-3</v>
      </c>
      <c r="AA45" s="2">
        <f t="shared" si="2"/>
        <v>1.025013769389775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0.1700376711520204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216.97114314344518</v>
      </c>
      <c r="R54" s="2">
        <f>R10/'Output-Calculation-sheet'!R9*'Output-Calculation-sheet'!R45</f>
        <v>1624.240898160107</v>
      </c>
      <c r="S54" s="2">
        <f>S10/'Output-Calculation-sheet'!S9*'Output-Calculation-sheet'!S45</f>
        <v>0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20.2450100760027</v>
      </c>
      <c r="AA54" s="2">
        <f t="shared" si="3"/>
        <v>5.3446027513066507</v>
      </c>
    </row>
    <row r="55" spans="1:27" x14ac:dyDescent="0.25">
      <c r="A55" s="2">
        <v>2034</v>
      </c>
      <c r="B55" s="2">
        <f>B11/'Output-Calculation-sheet'!B10*'Output-Calculation-sheet'!B46</f>
        <v>1904.3871547656108</v>
      </c>
      <c r="C55" s="2">
        <f>C11/'Output-Calculation-sheet'!C10*'Output-Calculation-sheet'!C46</f>
        <v>0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649.22213146031334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481.18988336911411</v>
      </c>
      <c r="N55" s="2">
        <f>N11/'Output-Calculation-sheet'!N10*'Output-Calculation-sheet'!N46</f>
        <v>164.33432894458412</v>
      </c>
      <c r="O55" s="2">
        <f>O11/'Output-Calculation-sheet'!O10*'Output-Calculation-sheet'!O46</f>
        <v>0</v>
      </c>
      <c r="P55" s="2">
        <f>P11/'Output-Calculation-sheet'!P10*'Output-Calculation-sheet'!P46</f>
        <v>3574.05123614285</v>
      </c>
      <c r="Q55" s="2">
        <f>Q11/'Output-Calculation-sheet'!Q10*'Output-Calculation-sheet'!Q46</f>
        <v>690.23447760823262</v>
      </c>
      <c r="R55" s="2">
        <f>R11/'Output-Calculation-sheet'!R10*'Output-Calculation-sheet'!R46</f>
        <v>4426.3449962525392</v>
      </c>
      <c r="S55" s="2">
        <f>S11/'Output-Calculation-sheet'!S10*'Output-Calculation-sheet'!S46</f>
        <v>0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1681.8556299842292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45.926552169531547</v>
      </c>
      <c r="Y55" s="2">
        <f>Y11/'Output-Calculation-sheet'!Y10*'Output-Calculation-sheet'!Y46</f>
        <v>238.49025109463454</v>
      </c>
      <c r="AA55" s="2">
        <f t="shared" si="3"/>
        <v>47.653782761941493</v>
      </c>
    </row>
    <row r="56" spans="1:27" x14ac:dyDescent="0.25">
      <c r="A56" s="2">
        <v>2035</v>
      </c>
      <c r="B56" s="2">
        <f>B12/'Output-Calculation-sheet'!B11*'Output-Calculation-sheet'!B47</f>
        <v>582.5585966381459</v>
      </c>
      <c r="C56" s="2">
        <f>C12/'Output-Calculation-sheet'!C11*'Output-Calculation-sheet'!C47</f>
        <v>440.13616111019985</v>
      </c>
      <c r="D56" s="2">
        <f>D12/'Output-Calculation-sheet'!D11*'Output-Calculation-sheet'!D47</f>
        <v>20793.847273224543</v>
      </c>
      <c r="E56" s="2">
        <f>E12/'Output-Calculation-sheet'!E11*'Output-Calculation-sheet'!E47</f>
        <v>9541.9343373590436</v>
      </c>
      <c r="F56" s="2">
        <f>F12/'Output-Calculation-sheet'!F11*'Output-Calculation-sheet'!F47</f>
        <v>4891.9189130482346</v>
      </c>
      <c r="G56" s="2">
        <f>G12/'Output-Calculation-sheet'!G11*'Output-Calculation-sheet'!G47</f>
        <v>7855.4943315665632</v>
      </c>
      <c r="H56" s="2">
        <f>H12/'Output-Calculation-sheet'!H11*'Output-Calculation-sheet'!H47</f>
        <v>170.22796150164515</v>
      </c>
      <c r="I56" s="2">
        <f>I12/'Output-Calculation-sheet'!I11*'Output-Calculation-sheet'!I47</f>
        <v>7155.8466678484738</v>
      </c>
      <c r="J56" s="2">
        <f>J12/'Output-Calculation-sheet'!J11*'Output-Calculation-sheet'!J47</f>
        <v>6173.7340663202676</v>
      </c>
      <c r="K56" s="2">
        <f>K12/'Output-Calculation-sheet'!K11*'Output-Calculation-sheet'!K47</f>
        <v>8326.4942248728112</v>
      </c>
      <c r="L56" s="2">
        <f>L12/'Output-Calculation-sheet'!L11*'Output-Calculation-sheet'!L47</f>
        <v>3711.8576464215321</v>
      </c>
      <c r="M56" s="2">
        <f>M12/'Output-Calculation-sheet'!M11*'Output-Calculation-sheet'!M47</f>
        <v>157.77152377820232</v>
      </c>
      <c r="N56" s="2">
        <f>N12/'Output-Calculation-sheet'!N11*'Output-Calculation-sheet'!N47</f>
        <v>106.90005861460286</v>
      </c>
      <c r="O56" s="2">
        <f>O12/'Output-Calculation-sheet'!O11*'Output-Calculation-sheet'!O47</f>
        <v>80.025060260796636</v>
      </c>
      <c r="P56" s="2">
        <f>P12/'Output-Calculation-sheet'!P11*'Output-Calculation-sheet'!P47</f>
        <v>835.63511355388312</v>
      </c>
      <c r="Q56" s="2">
        <f>Q12/'Output-Calculation-sheet'!Q11*'Output-Calculation-sheet'!Q47</f>
        <v>795.60233652929742</v>
      </c>
      <c r="R56" s="2">
        <f>R12/'Output-Calculation-sheet'!R11*'Output-Calculation-sheet'!R47</f>
        <v>5869.9606453224342</v>
      </c>
      <c r="S56" s="2">
        <f>S12/'Output-Calculation-sheet'!S11*'Output-Calculation-sheet'!S47</f>
        <v>55.891656367839843</v>
      </c>
      <c r="T56" s="2">
        <f>T12/'Output-Calculation-sheet'!T11*'Output-Calculation-sheet'!T47</f>
        <v>2570.0482193376652</v>
      </c>
      <c r="U56" s="2">
        <f>U12/'Output-Calculation-sheet'!U11*'Output-Calculation-sheet'!U47</f>
        <v>1033.7697352349894</v>
      </c>
      <c r="V56" s="2">
        <f>V12/'Output-Calculation-sheet'!V11*'Output-Calculation-sheet'!V47</f>
        <v>1394.971856087775</v>
      </c>
      <c r="W56" s="2">
        <f>W12/'Output-Calculation-sheet'!W11*'Output-Calculation-sheet'!W47</f>
        <v>747.04781465983172</v>
      </c>
      <c r="X56" s="2">
        <f>X12/'Output-Calculation-sheet'!X11*'Output-Calculation-sheet'!X47</f>
        <v>12.06305693409247</v>
      </c>
      <c r="Y56" s="2">
        <f>Y12/'Output-Calculation-sheet'!Y11*'Output-Calculation-sheet'!Y47</f>
        <v>244.84229486624466</v>
      </c>
      <c r="AA56" s="2">
        <f t="shared" si="3"/>
        <v>83.548579551459113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8.6384381775300714</v>
      </c>
      <c r="C63" s="2">
        <f>C8*'Output-Calculation-sheet'!C52/10^9</f>
        <v>4.6150979533461136</v>
      </c>
      <c r="D63" s="2">
        <f>D8*'Output-Calculation-sheet'!D52/10^9</f>
        <v>2.9623055746949247</v>
      </c>
      <c r="E63" s="2">
        <f>E8*'Output-Calculation-sheet'!E52/10^9</f>
        <v>2.9453263449748119</v>
      </c>
      <c r="F63" s="2">
        <f>F8*'Output-Calculation-sheet'!F52/10^9</f>
        <v>1.2473454636079526</v>
      </c>
      <c r="G63" s="2">
        <f>G8*'Output-Calculation-sheet'!G52/10^9</f>
        <v>0.89678503807798637</v>
      </c>
      <c r="H63" s="2">
        <f>H8*'Output-Calculation-sheet'!H52/10^9</f>
        <v>1.458534712564852</v>
      </c>
      <c r="I63" s="2">
        <f>I8*'Output-Calculation-sheet'!I52/10^9</f>
        <v>0.83421828524351005</v>
      </c>
      <c r="J63" s="2">
        <f>J8*'Output-Calculation-sheet'!J52/10^9</f>
        <v>1.1479409054218253</v>
      </c>
      <c r="K63" s="2">
        <f>K8*'Output-Calculation-sheet'!K52/10^9</f>
        <v>1.0085681856349491</v>
      </c>
      <c r="L63" s="2">
        <f>L8*'Output-Calculation-sheet'!L52/10^9</f>
        <v>1.3565727361293389</v>
      </c>
      <c r="M63" s="2">
        <f>M8*'Output-Calculation-sheet'!M52/10^9</f>
        <v>1.1948797147157515</v>
      </c>
      <c r="N63" s="2">
        <f>N8*'Output-Calculation-sheet'!N52/10^9</f>
        <v>1.0543081386551518</v>
      </c>
      <c r="O63" s="2">
        <f>O8*'Output-Calculation-sheet'!O52/10^9</f>
        <v>0.94420920074218717</v>
      </c>
      <c r="P63" s="2">
        <f>P8*'Output-Calculation-sheet'!P52/10^9</f>
        <v>0.69689341015232709</v>
      </c>
      <c r="Q63" s="2">
        <f>Q8*'Output-Calculation-sheet'!Q52/10^9</f>
        <v>0.78867911853192629</v>
      </c>
      <c r="R63" s="2">
        <f>R8*'Output-Calculation-sheet'!R52/10^9</f>
        <v>0.70807729543351217</v>
      </c>
      <c r="S63" s="2">
        <f>S8*'Output-Calculation-sheet'!S52/10^9</f>
        <v>0.5247103643406299</v>
      </c>
      <c r="T63" s="2">
        <f>T8*'Output-Calculation-sheet'!T52/10^9</f>
        <v>0.26920087286878491</v>
      </c>
      <c r="U63" s="2">
        <f>U8*'Output-Calculation-sheet'!U52/10^9</f>
        <v>0.18488427482047046</v>
      </c>
      <c r="V63" s="2">
        <f>V8*'Output-Calculation-sheet'!V52/10^9</f>
        <v>0.32812589622650384</v>
      </c>
      <c r="W63" s="2">
        <f>W8*'Output-Calculation-sheet'!W52/10^9</f>
        <v>0.11876620158030425</v>
      </c>
      <c r="X63" s="2">
        <f>X8*'Output-Calculation-sheet'!X52/10^9</f>
        <v>0.12237449269088593</v>
      </c>
      <c r="Y63" s="2">
        <f>Y8*'Output-Calculation-sheet'!Y52/10^9</f>
        <v>7.7491642745380271E-2</v>
      </c>
      <c r="AA63" s="2">
        <f t="shared" si="4"/>
        <v>34.123734000730153</v>
      </c>
    </row>
    <row r="64" spans="1:27" x14ac:dyDescent="0.25">
      <c r="A64" s="2">
        <v>2032</v>
      </c>
      <c r="B64" s="2">
        <f>B9*'Output-Calculation-sheet'!B53/10^9</f>
        <v>9.0940690403708171</v>
      </c>
      <c r="C64" s="2">
        <f>C9*'Output-Calculation-sheet'!C53/10^9</f>
        <v>4.8210468661859576</v>
      </c>
      <c r="D64" s="2">
        <f>D9*'Output-Calculation-sheet'!D53/10^9</f>
        <v>2.693366876280697</v>
      </c>
      <c r="E64" s="2">
        <f>E9*'Output-Calculation-sheet'!E53/10^9</f>
        <v>2.7581261837990816</v>
      </c>
      <c r="F64" s="2">
        <f>F9*'Output-Calculation-sheet'!F53/10^9</f>
        <v>1.163360329455275</v>
      </c>
      <c r="G64" s="2">
        <f>G9*'Output-Calculation-sheet'!G53/10^9</f>
        <v>0.82804429403294055</v>
      </c>
      <c r="H64" s="2">
        <f>H9*'Output-Calculation-sheet'!H53/10^9</f>
        <v>1.513049792779068</v>
      </c>
      <c r="I64" s="2">
        <f>I9*'Output-Calculation-sheet'!I53/10^9</f>
        <v>0.77408608237992882</v>
      </c>
      <c r="J64" s="2">
        <f>J9*'Output-Calculation-sheet'!J53/10^9</f>
        <v>1.0247326903652174</v>
      </c>
      <c r="K64" s="2">
        <f>K9*'Output-Calculation-sheet'!K53/10^9</f>
        <v>0.95081251817850621</v>
      </c>
      <c r="L64" s="2">
        <f>L9*'Output-Calculation-sheet'!L53/10^9</f>
        <v>1.223217462725785</v>
      </c>
      <c r="M64" s="2">
        <f>M9*'Output-Calculation-sheet'!M53/10^9</f>
        <v>1.2004280463543635</v>
      </c>
      <c r="N64" s="2">
        <f>N9*'Output-Calculation-sheet'!N53/10^9</f>
        <v>1.0807731087844259</v>
      </c>
      <c r="O64" s="2">
        <f>O9*'Output-Calculation-sheet'!O53/10^9</f>
        <v>0.97629809390563216</v>
      </c>
      <c r="P64" s="2">
        <f>P9*'Output-Calculation-sheet'!P53/10^9</f>
        <v>0.72491560916251563</v>
      </c>
      <c r="Q64" s="2">
        <f>Q9*'Output-Calculation-sheet'!Q53/10^9</f>
        <v>0.8011566857325616</v>
      </c>
      <c r="R64" s="2">
        <f>R9*'Output-Calculation-sheet'!R53/10^9</f>
        <v>0.68678047426242406</v>
      </c>
      <c r="S64" s="2">
        <f>S9*'Output-Calculation-sheet'!S53/10^9</f>
        <v>0.55263302992392715</v>
      </c>
      <c r="T64" s="2">
        <f>T9*'Output-Calculation-sheet'!T53/10^9</f>
        <v>0.2468787232922674</v>
      </c>
      <c r="U64" s="2">
        <f>U9*'Output-Calculation-sheet'!U53/10^9</f>
        <v>0.18582046770864208</v>
      </c>
      <c r="V64" s="2">
        <f>V9*'Output-Calculation-sheet'!V53/10^9</f>
        <v>0.29302835009643186</v>
      </c>
      <c r="W64" s="2">
        <f>W9*'Output-Calculation-sheet'!W53/10^9</f>
        <v>0.10888386499844628</v>
      </c>
      <c r="X64" s="2">
        <f>X9*'Output-Calculation-sheet'!X53/10^9</f>
        <v>0.12483379344450971</v>
      </c>
      <c r="Y64" s="2">
        <f>Y9*'Output-Calculation-sheet'!Y53/10^9</f>
        <v>7.6287628911434008E-2</v>
      </c>
      <c r="AA64" s="2">
        <f t="shared" si="4"/>
        <v>33.902630013130867</v>
      </c>
    </row>
    <row r="65" spans="1:27" x14ac:dyDescent="0.25">
      <c r="A65" s="2">
        <v>2033</v>
      </c>
      <c r="B65" s="2">
        <f>B10*'Output-Calculation-sheet'!B54/10^9</f>
        <v>9.1828784831355232</v>
      </c>
      <c r="C65" s="2">
        <f>C10*'Output-Calculation-sheet'!C54/10^9</f>
        <v>4.7467944568789324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1.4906536683103331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0.86849264908117185</v>
      </c>
      <c r="L65" s="2">
        <f>L10*'Output-Calculation-sheet'!L54/10^9</f>
        <v>1.0257966751348511</v>
      </c>
      <c r="M65" s="2">
        <f>M10*'Output-Calculation-sheet'!M54/10^9</f>
        <v>1.1367183545969337</v>
      </c>
      <c r="N65" s="2">
        <f>N10*'Output-Calculation-sheet'!N54/10^9</f>
        <v>1.0430783830011596</v>
      </c>
      <c r="O65" s="2">
        <f>O10*'Output-Calculation-sheet'!O54/10^9</f>
        <v>0.9512785991361189</v>
      </c>
      <c r="P65" s="2">
        <f>P10*'Output-Calculation-sheet'!P54/10^9</f>
        <v>0.73478909945651172</v>
      </c>
      <c r="Q65" s="2">
        <f>Q10*'Output-Calculation-sheet'!Q54/10^9</f>
        <v>0.80043222264884639</v>
      </c>
      <c r="R65" s="2">
        <f>R10*'Output-Calculation-sheet'!R54/10^9</f>
        <v>0.64690070715998416</v>
      </c>
      <c r="S65" s="2">
        <f>S10*'Output-Calculation-sheet'!S54/10^9</f>
        <v>0.55022233914790475</v>
      </c>
      <c r="T65" s="2">
        <f>T10*'Output-Calculation-sheet'!T54/10^9</f>
        <v>0.21628825383621605</v>
      </c>
      <c r="U65" s="2">
        <f>U10*'Output-Calculation-sheet'!U54/10^9</f>
        <v>0.18675941956089628</v>
      </c>
      <c r="V65" s="2">
        <f>V10*'Output-Calculation-sheet'!V54/10^9</f>
        <v>0.23936575779277927</v>
      </c>
      <c r="W65" s="2">
        <f>W10*'Output-Calculation-sheet'!W54/10^9</f>
        <v>9.1131202362243119E-2</v>
      </c>
      <c r="X65" s="2">
        <f>X10*'Output-Calculation-sheet'!X54/10^9</f>
        <v>0.11918572216802027</v>
      </c>
      <c r="Y65" s="2">
        <f>Y10*'Output-Calculation-sheet'!Y54/10^9</f>
        <v>7.5007343578224986E-2</v>
      </c>
      <c r="AA65" s="2">
        <f t="shared" si="4"/>
        <v>32.056517786937633</v>
      </c>
    </row>
    <row r="66" spans="1:27" x14ac:dyDescent="0.25">
      <c r="A66" s="2">
        <v>2034</v>
      </c>
      <c r="B66" s="2">
        <f>B11*'Output-Calculation-sheet'!B55/10^9</f>
        <v>8.8584794153829289</v>
      </c>
      <c r="C66" s="2">
        <f>C11*'Output-Calculation-sheet'!C55/10^9</f>
        <v>4.456167584666118</v>
      </c>
      <c r="D66" s="2">
        <f>D11*'Output-Calculation-sheet'!D55/10^9</f>
        <v>1.9992182099804543</v>
      </c>
      <c r="E66" s="2">
        <f>E11*'Output-Calculation-sheet'!E55/10^9</f>
        <v>2.4209135636545733</v>
      </c>
      <c r="F66" s="2">
        <f>F11*'Output-Calculation-sheet'!F55/10^9</f>
        <v>0.93039654047547737</v>
      </c>
      <c r="G66" s="2">
        <f>G11*'Output-Calculation-sheet'!G55/10^9</f>
        <v>0.66502126267796102</v>
      </c>
      <c r="H66" s="2">
        <f>H11*'Output-Calculation-sheet'!H55/10^9</f>
        <v>1.3877435936851072</v>
      </c>
      <c r="I66" s="2">
        <f>I11*'Output-Calculation-sheet'!I55/10^9</f>
        <v>0.65037192511509234</v>
      </c>
      <c r="J66" s="2">
        <f>J11*'Output-Calculation-sheet'!J55/10^9</f>
        <v>0.66873645103485524</v>
      </c>
      <c r="K66" s="2">
        <f>K11*'Output-Calculation-sheet'!K55/10^9</f>
        <v>0.79986524794227742</v>
      </c>
      <c r="L66" s="2">
        <f>L11*'Output-Calculation-sheet'!L55/10^9</f>
        <v>0.84706322146879842</v>
      </c>
      <c r="M66" s="2">
        <f>M11*'Output-Calculation-sheet'!M55/10^9</f>
        <v>1.0115691940087821</v>
      </c>
      <c r="N66" s="2">
        <f>N11*'Output-Calculation-sheet'!N55/10^9</f>
        <v>0.95564048665828227</v>
      </c>
      <c r="O66" s="2">
        <f>O11*'Output-Calculation-sheet'!O55/10^9</f>
        <v>0.87832563291236043</v>
      </c>
      <c r="P66" s="2">
        <f>P11*'Output-Calculation-sheet'!P55/10^9</f>
        <v>0.73339342696550436</v>
      </c>
      <c r="Q66" s="2">
        <f>Q11*'Output-Calculation-sheet'!Q55/10^9</f>
        <v>0.7757812374531925</v>
      </c>
      <c r="R66" s="2">
        <f>R11*'Output-Calculation-sheet'!R55/10^9</f>
        <v>0.59921887580099698</v>
      </c>
      <c r="S66" s="2">
        <f>S11*'Output-Calculation-sheet'!S55/10^9</f>
        <v>0.52267168290753652</v>
      </c>
      <c r="T66" s="2">
        <f>T11*'Output-Calculation-sheet'!T55/10^9</f>
        <v>0.1878126258509358</v>
      </c>
      <c r="U66" s="2">
        <f>U11*'Output-Calculation-sheet'!U55/10^9</f>
        <v>0.19176478540209704</v>
      </c>
      <c r="V66" s="2">
        <f>V11*'Output-Calculation-sheet'!V55/10^9</f>
        <v>0.17816953574786681</v>
      </c>
      <c r="W66" s="2">
        <f>W11*'Output-Calculation-sheet'!W55/10^9</f>
        <v>8.0673469280650278E-2</v>
      </c>
      <c r="X66" s="2">
        <f>X11*'Output-Calculation-sheet'!X55/10^9</f>
        <v>0.10807793474115703</v>
      </c>
      <c r="Y66" s="2">
        <f>Y11*'Output-Calculation-sheet'!Y55/10^9</f>
        <v>7.8879051694461966E-2</v>
      </c>
      <c r="AA66" s="2">
        <f t="shared" si="4"/>
        <v>29.985954955507466</v>
      </c>
    </row>
    <row r="67" spans="1:27" x14ac:dyDescent="0.25">
      <c r="A67" s="2">
        <v>2035</v>
      </c>
      <c r="B67" s="2">
        <f>B12*'Output-Calculation-sheet'!B56/10^9</f>
        <v>8.4435914499725548</v>
      </c>
      <c r="C67" s="2">
        <f>C12*'Output-Calculation-sheet'!C56/10^9</f>
        <v>3.9391409230837149</v>
      </c>
      <c r="D67" s="2">
        <f>D12*'Output-Calculation-sheet'!D56/10^9</f>
        <v>2.3102515237725099</v>
      </c>
      <c r="E67" s="2">
        <f>E12*'Output-Calculation-sheet'!E56/10^9</f>
        <v>2.6322942589386438</v>
      </c>
      <c r="F67" s="2">
        <f>F12*'Output-Calculation-sheet'!F56/10^9</f>
        <v>1.1267386553103127</v>
      </c>
      <c r="G67" s="2">
        <f>G12*'Output-Calculation-sheet'!G56/10^9</f>
        <v>0.79078495650444236</v>
      </c>
      <c r="H67" s="2">
        <f>H12*'Output-Calculation-sheet'!H56/10^9</f>
        <v>1.2491639515274842</v>
      </c>
      <c r="I67" s="2">
        <f>I12*'Output-Calculation-sheet'!I56/10^9</f>
        <v>0.7928734909045495</v>
      </c>
      <c r="J67" s="2">
        <f>J12*'Output-Calculation-sheet'!J56/10^9</f>
        <v>0.71723200214380989</v>
      </c>
      <c r="K67" s="2">
        <f>K12*'Output-Calculation-sheet'!K56/10^9</f>
        <v>0.89051702812050715</v>
      </c>
      <c r="L67" s="2">
        <f>L12*'Output-Calculation-sheet'!L56/10^9</f>
        <v>0.81732476597513637</v>
      </c>
      <c r="M67" s="2">
        <f>M12*'Output-Calculation-sheet'!M56/10^9</f>
        <v>0.86890894206551128</v>
      </c>
      <c r="N67" s="2">
        <f>N12*'Output-Calculation-sheet'!N56/10^9</f>
        <v>0.84607990735066163</v>
      </c>
      <c r="O67" s="2">
        <f>O12*'Output-Calculation-sheet'!O56/10^9</f>
        <v>0.76569613774033285</v>
      </c>
      <c r="P67" s="2">
        <f>P12*'Output-Calculation-sheet'!P56/10^9</f>
        <v>0.74737040655401088</v>
      </c>
      <c r="Q67" s="2">
        <f>Q12*'Output-Calculation-sheet'!Q56/10^9</f>
        <v>0.76241546052970066</v>
      </c>
      <c r="R67" s="2">
        <f>R12*'Output-Calculation-sheet'!R56/10^9</f>
        <v>0.64497564578066402</v>
      </c>
      <c r="S67" s="2">
        <f>S12*'Output-Calculation-sheet'!S56/10^9</f>
        <v>0.48520542813840667</v>
      </c>
      <c r="T67" s="2">
        <f>T12*'Output-Calculation-sheet'!T56/10^9</f>
        <v>0.19633411219583069</v>
      </c>
      <c r="U67" s="2">
        <f>U12*'Output-Calculation-sheet'!U56/10^9</f>
        <v>0.21570481441056635</v>
      </c>
      <c r="V67" s="2">
        <f>V12*'Output-Calculation-sheet'!V56/10^9</f>
        <v>0.1504539812317976</v>
      </c>
      <c r="W67" s="2">
        <f>W12*'Output-Calculation-sheet'!W56/10^9</f>
        <v>9.7514029070491628E-2</v>
      </c>
      <c r="X67" s="2">
        <f>X12*'Output-Calculation-sheet'!X56/10^9</f>
        <v>9.2311766555735128E-2</v>
      </c>
      <c r="Y67" s="2">
        <f>Y12*'Output-Calculation-sheet'!Y56/10^9</f>
        <v>8.612301159942394E-2</v>
      </c>
      <c r="AA67" s="2">
        <f t="shared" si="4"/>
        <v>29.669006649476803</v>
      </c>
    </row>
    <row r="68" spans="1:27" x14ac:dyDescent="0.25">
      <c r="B68" s="2">
        <f>SUM(B60:B67)</f>
        <v>44.217456566391903</v>
      </c>
      <c r="C68" s="2">
        <f t="shared" ref="C68:Y68" si="5">SUM(C60:C67)</f>
        <v>22.578247784160837</v>
      </c>
      <c r="D68" s="2">
        <f t="shared" si="5"/>
        <v>12.193573713602351</v>
      </c>
      <c r="E68" s="2">
        <f t="shared" si="5"/>
        <v>13.265836271164723</v>
      </c>
      <c r="F68" s="2">
        <f t="shared" si="5"/>
        <v>5.4865224151518923</v>
      </c>
      <c r="G68" s="2">
        <f t="shared" si="5"/>
        <v>3.8800530794592407</v>
      </c>
      <c r="H68" s="2">
        <f t="shared" si="5"/>
        <v>7.0991457188668434</v>
      </c>
      <c r="I68" s="2">
        <f t="shared" si="5"/>
        <v>3.7325917486336246</v>
      </c>
      <c r="J68" s="2">
        <f t="shared" si="5"/>
        <v>4.3726381307859823</v>
      </c>
      <c r="K68" s="2">
        <f t="shared" si="5"/>
        <v>4.5182556289574114</v>
      </c>
      <c r="L68" s="2">
        <f t="shared" si="5"/>
        <v>5.2699748614339104</v>
      </c>
      <c r="M68" s="2">
        <f t="shared" si="5"/>
        <v>5.4125042517413426</v>
      </c>
      <c r="N68" s="2">
        <f t="shared" si="5"/>
        <v>4.979880024449681</v>
      </c>
      <c r="O68" s="2">
        <f t="shared" si="5"/>
        <v>4.5158076644366316</v>
      </c>
      <c r="P68" s="2">
        <f t="shared" si="5"/>
        <v>3.6373619522908696</v>
      </c>
      <c r="Q68" s="2">
        <f t="shared" si="5"/>
        <v>3.9284647248962274</v>
      </c>
      <c r="R68" s="2">
        <f t="shared" si="5"/>
        <v>3.2859529984375819</v>
      </c>
      <c r="S68" s="2">
        <f t="shared" si="5"/>
        <v>2.6354428444584048</v>
      </c>
      <c r="T68" s="2">
        <f t="shared" si="5"/>
        <v>1.1165145880440348</v>
      </c>
      <c r="U68" s="2">
        <f t="shared" si="5"/>
        <v>0.96493376190267222</v>
      </c>
      <c r="V68" s="2">
        <f t="shared" si="5"/>
        <v>1.1891435210953794</v>
      </c>
      <c r="W68" s="2">
        <f t="shared" si="5"/>
        <v>0.49696876729213557</v>
      </c>
      <c r="X68" s="2">
        <f t="shared" si="5"/>
        <v>0.56678370960030799</v>
      </c>
      <c r="Y68" s="2">
        <f t="shared" si="5"/>
        <v>0.39378867852892513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51.130665538600255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5.1130665538600253E-2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576.75489610025215</v>
      </c>
      <c r="Q76" s="2">
        <f>Q10/'Output-Calculation-sheet'!Q9*'Output-Calculation-sheet'!Q63</f>
        <v>69.017964297665443</v>
      </c>
      <c r="R76" s="2">
        <f>R10/'Output-Calculation-sheet'!R9*'Output-Calculation-sheet'!R63</f>
        <v>439.37812801824987</v>
      </c>
      <c r="S76" s="2">
        <f>S10/'Output-Calculation-sheet'!S9*'Output-Calculation-sheet'!S63</f>
        <v>0</v>
      </c>
      <c r="T76" s="2">
        <f>T10/'Output-Calculation-sheet'!T9*'Output-Calculation-sheet'!T63</f>
        <v>28.91665376229065</v>
      </c>
      <c r="U76" s="2">
        <f>U10/'Output-Calculation-sheet'!U9*'Output-Calculation-sheet'!U63</f>
        <v>156.14344634118606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7.4156924745963408</v>
      </c>
      <c r="AA76" s="2">
        <f t="shared" si="6"/>
        <v>1.3990267651784716</v>
      </c>
    </row>
    <row r="77" spans="1:27" x14ac:dyDescent="0.25">
      <c r="A77" s="2">
        <v>2034</v>
      </c>
      <c r="B77" s="2">
        <f>B11/'Output-Calculation-sheet'!B10*'Output-Calculation-sheet'!B64</f>
        <v>566.11082153999064</v>
      </c>
      <c r="C77" s="2">
        <f>C11/'Output-Calculation-sheet'!C10*'Output-Calculation-sheet'!C64</f>
        <v>0</v>
      </c>
      <c r="D77" s="2">
        <f>D11/'Output-Calculation-sheet'!D10*'Output-Calculation-sheet'!D64</f>
        <v>1923.4427457188026</v>
      </c>
      <c r="E77" s="2">
        <f>E11/'Output-Calculation-sheet'!E10*'Output-Calculation-sheet'!E64</f>
        <v>2404.0569182086329</v>
      </c>
      <c r="F77" s="2">
        <f>F11/'Output-Calculation-sheet'!F10*'Output-Calculation-sheet'!F64</f>
        <v>156.41726316266264</v>
      </c>
      <c r="G77" s="2">
        <f>G11/'Output-Calculation-sheet'!G10*'Output-Calculation-sheet'!G64</f>
        <v>1018.736191416762</v>
      </c>
      <c r="H77" s="2">
        <f>H11/'Output-Calculation-sheet'!H10*'Output-Calculation-sheet'!H64</f>
        <v>158.9592565074943</v>
      </c>
      <c r="I77" s="2">
        <f>I11/'Output-Calculation-sheet'!I10*'Output-Calculation-sheet'!I64</f>
        <v>605.70781898105292</v>
      </c>
      <c r="J77" s="2">
        <f>J11/'Output-Calculation-sheet'!J10*'Output-Calculation-sheet'!J64</f>
        <v>423.802368008553</v>
      </c>
      <c r="K77" s="2">
        <f>K11/'Output-Calculation-sheet'!K10*'Output-Calculation-sheet'!K64</f>
        <v>921.45853938908431</v>
      </c>
      <c r="L77" s="2">
        <f>L11/'Output-Calculation-sheet'!L10*'Output-Calculation-sheet'!L64</f>
        <v>380.99994213366796</v>
      </c>
      <c r="M77" s="2">
        <f>M11/'Output-Calculation-sheet'!M10*'Output-Calculation-sheet'!M64</f>
        <v>114.48490126969776</v>
      </c>
      <c r="N77" s="2">
        <f>N11/'Output-Calculation-sheet'!N10*'Output-Calculation-sheet'!N64</f>
        <v>37.863382065147952</v>
      </c>
      <c r="O77" s="2">
        <f>O11/'Output-Calculation-sheet'!O10*'Output-Calculation-sheet'!O64</f>
        <v>0</v>
      </c>
      <c r="P77" s="2">
        <f>P11/'Output-Calculation-sheet'!P10*'Output-Calculation-sheet'!P64</f>
        <v>779.63917918376819</v>
      </c>
      <c r="Q77" s="2">
        <f>Q11/'Output-Calculation-sheet'!Q10*'Output-Calculation-sheet'!Q64</f>
        <v>175.38550328168935</v>
      </c>
      <c r="R77" s="2">
        <f>R11/'Output-Calculation-sheet'!R10*'Output-Calculation-sheet'!R64</f>
        <v>968.63927810260338</v>
      </c>
      <c r="S77" s="2">
        <f>S11/'Output-Calculation-sheet'!S10*'Output-Calculation-sheet'!S64</f>
        <v>0</v>
      </c>
      <c r="T77" s="2">
        <f>T11/'Output-Calculation-sheet'!T10*'Output-Calculation-sheet'!T64</f>
        <v>268.95885237765424</v>
      </c>
      <c r="U77" s="2">
        <f>U11/'Output-Calculation-sheet'!U10*'Output-Calculation-sheet'!U64</f>
        <v>357.44797523140426</v>
      </c>
      <c r="V77" s="2">
        <f>V11/'Output-Calculation-sheet'!V10*'Output-Calculation-sheet'!V64</f>
        <v>139.18180949169937</v>
      </c>
      <c r="W77" s="2">
        <f>W11/'Output-Calculation-sheet'!W10*'Output-Calculation-sheet'!W64</f>
        <v>30.554647265158913</v>
      </c>
      <c r="X77" s="2">
        <f>X11/'Output-Calculation-sheet'!X10*'Output-Calculation-sheet'!X64</f>
        <v>11.412888234104715</v>
      </c>
      <c r="Y77" s="2">
        <f>Y11/'Output-Calculation-sheet'!Y10*'Output-Calculation-sheet'!Y64</f>
        <v>52.050058155049285</v>
      </c>
      <c r="AA77" s="2">
        <f t="shared" si="6"/>
        <v>11.495310339724686</v>
      </c>
    </row>
    <row r="78" spans="1:27" x14ac:dyDescent="0.25">
      <c r="A78" s="2">
        <v>2035</v>
      </c>
      <c r="B78" s="2">
        <f>B12/'Output-Calculation-sheet'!B11*'Output-Calculation-sheet'!B65</f>
        <v>106.69144584144328</v>
      </c>
      <c r="C78" s="2">
        <f>C12/'Output-Calculation-sheet'!C11*'Output-Calculation-sheet'!C65</f>
        <v>88.930075629445511</v>
      </c>
      <c r="D78" s="2">
        <f>D12/'Output-Calculation-sheet'!D11*'Output-Calculation-sheet'!D65</f>
        <v>4570.0777519344647</v>
      </c>
      <c r="E78" s="2">
        <f>E12/'Output-Calculation-sheet'!E11*'Output-Calculation-sheet'!E65</f>
        <v>1468.0794319936492</v>
      </c>
      <c r="F78" s="2">
        <f>F12/'Output-Calculation-sheet'!F11*'Output-Calculation-sheet'!F65</f>
        <v>1166.7176639091815</v>
      </c>
      <c r="G78" s="2">
        <f>G12/'Output-Calculation-sheet'!G11*'Output-Calculation-sheet'!G65</f>
        <v>1726.4820145193305</v>
      </c>
      <c r="H78" s="2">
        <f>H12/'Output-Calculation-sheet'!H11*'Output-Calculation-sheet'!H65</f>
        <v>39.239282146144525</v>
      </c>
      <c r="I78" s="2">
        <f>I12/'Output-Calculation-sheet'!I11*'Output-Calculation-sheet'!I65</f>
        <v>1435.4109104767133</v>
      </c>
      <c r="J78" s="2">
        <f>J12/'Output-Calculation-sheet'!J11*'Output-Calculation-sheet'!J65</f>
        <v>1361.5222396910667</v>
      </c>
      <c r="K78" s="2">
        <f>K12/'Output-Calculation-sheet'!K11*'Output-Calculation-sheet'!K65</f>
        <v>1829.9979469040143</v>
      </c>
      <c r="L78" s="2">
        <f>L12/'Output-Calculation-sheet'!L11*'Output-Calculation-sheet'!L65</f>
        <v>634.71505360719436</v>
      </c>
      <c r="M78" s="2">
        <f>M12/'Output-Calculation-sheet'!M11*'Output-Calculation-sheet'!M65</f>
        <v>35.076673547870485</v>
      </c>
      <c r="N78" s="2">
        <f>N12/'Output-Calculation-sheet'!N11*'Output-Calculation-sheet'!N65</f>
        <v>23.628437131583755</v>
      </c>
      <c r="O78" s="2">
        <f>O12/'Output-Calculation-sheet'!O11*'Output-Calculation-sheet'!O65</f>
        <v>15.413045852969873</v>
      </c>
      <c r="P78" s="2">
        <f>P12/'Output-Calculation-sheet'!P11*'Output-Calculation-sheet'!P65</f>
        <v>177.76997538431289</v>
      </c>
      <c r="Q78" s="2">
        <f>Q12/'Output-Calculation-sheet'!Q11*'Output-Calculation-sheet'!Q65</f>
        <v>143.25061940554224</v>
      </c>
      <c r="R78" s="2">
        <f>R12/'Output-Calculation-sheet'!R11*'Output-Calculation-sheet'!R65</f>
        <v>1186.6547497853824</v>
      </c>
      <c r="S78" s="2">
        <f>S12/'Output-Calculation-sheet'!S11*'Output-Calculation-sheet'!S65</f>
        <v>11.353413570623852</v>
      </c>
      <c r="T78" s="2">
        <f>T12/'Output-Calculation-sheet'!T11*'Output-Calculation-sheet'!T65</f>
        <v>471.90027608451504</v>
      </c>
      <c r="U78" s="2">
        <f>U12/'Output-Calculation-sheet'!U11*'Output-Calculation-sheet'!U65</f>
        <v>174.08445901011171</v>
      </c>
      <c r="V78" s="2">
        <f>V12/'Output-Calculation-sheet'!V11*'Output-Calculation-sheet'!V65</f>
        <v>246.98193212476414</v>
      </c>
      <c r="W78" s="2">
        <f>W12/'Output-Calculation-sheet'!W11*'Output-Calculation-sheet'!W65</f>
        <v>166.49671940417394</v>
      </c>
      <c r="X78" s="2">
        <f>X12/'Output-Calculation-sheet'!X11*'Output-Calculation-sheet'!X65</f>
        <v>2.3233185414693964</v>
      </c>
      <c r="Y78" s="2">
        <f>Y12/'Output-Calculation-sheet'!Y11*'Output-Calculation-sheet'!Y65</f>
        <v>39.961172792342666</v>
      </c>
      <c r="AA78" s="2">
        <f t="shared" si="6"/>
        <v>17.122758609288312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114.96598252023185</v>
      </c>
      <c r="E89" s="2">
        <f>E12/'Output-Calculation-sheet'!E11*'Output-Calculation-sheet'!E74</f>
        <v>55.614937853050208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43.033979447066315</v>
      </c>
      <c r="H89" s="2">
        <f>H12/'Output-Calculation-sheet'!H11*'Output-Calculation-sheet'!H74</f>
        <v>6.9480800612916385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23.941574714271979</v>
      </c>
      <c r="K89" s="2">
        <f>K12/'Output-Calculation-sheet'!K11*'Output-Calculation-sheet'!K74</f>
        <v>30.116769516958581</v>
      </c>
      <c r="L89" s="2">
        <f>L12/'Output-Calculation-sheet'!L11*'Output-Calculation-sheet'!L74</f>
        <v>12.603930887679226</v>
      </c>
      <c r="M89" s="2">
        <f>M12/'Output-Calculation-sheet'!M11*'Output-Calculation-sheet'!M74</f>
        <v>3.5857164495045986</v>
      </c>
      <c r="N89" s="2">
        <f>N12/'Output-Calculation-sheet'!N11*'Output-Calculation-sheet'!N74</f>
        <v>3.5241777565253685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3.2557212216385056</v>
      </c>
      <c r="Q89" s="2">
        <f>Q12/'Output-Calculation-sheet'!Q11*'Output-Calculation-sheet'!Q74</f>
        <v>6.1754385759065773</v>
      </c>
      <c r="R89" s="2">
        <f>R12/'Output-Calculation-sheet'!R11*'Output-Calculation-sheet'!R74</f>
        <v>18.372333788176633</v>
      </c>
      <c r="S89" s="2">
        <f>S12/'Output-Calculation-sheet'!S11*'Output-Calculation-sheet'!S74</f>
        <v>3.3669672510746897</v>
      </c>
      <c r="T89" s="2">
        <f>T12/'Output-Calculation-sheet'!T11*'Output-Calculation-sheet'!T74</f>
        <v>5.6642261666272375</v>
      </c>
      <c r="U89" s="2">
        <f>U12/'Output-Calculation-sheet'!U11*'Output-Calculation-sheet'!U74</f>
        <v>6.567787390311242</v>
      </c>
      <c r="V89" s="2">
        <f>V12/'Output-Calculation-sheet'!V11*'Output-Calculation-sheet'!V74</f>
        <v>2.0257351331824651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2.2776027429418106</v>
      </c>
      <c r="AA89" s="2">
        <f t="shared" si="7"/>
        <v>0.45958679502591337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22561101853.646969</v>
      </c>
      <c r="C96" s="2">
        <f>C8/'Output-Calculation-sheet'!C7*'Output-Calculation-sheet'!C79</f>
        <v>9340016915.1971188</v>
      </c>
      <c r="D96" s="2">
        <f>D8/'Output-Calculation-sheet'!D7*'Output-Calculation-sheet'!D79</f>
        <v>7445423471.048274</v>
      </c>
      <c r="E96" s="2">
        <f>E8/'Output-Calculation-sheet'!E7*'Output-Calculation-sheet'!E79</f>
        <v>8996675065.4369431</v>
      </c>
      <c r="F96" s="2">
        <f>F8/'Output-Calculation-sheet'!F7*'Output-Calculation-sheet'!F79</f>
        <v>5310688306.377882</v>
      </c>
      <c r="G96" s="2">
        <f>G8/'Output-Calculation-sheet'!G7*'Output-Calculation-sheet'!G79</f>
        <v>2701296438.1876564</v>
      </c>
      <c r="H96" s="2">
        <f>H8/'Output-Calculation-sheet'!H7*'Output-Calculation-sheet'!H79</f>
        <v>3373026666.4212646</v>
      </c>
      <c r="I96" s="2">
        <f>I8/'Output-Calculation-sheet'!I7*'Output-Calculation-sheet'!I79</f>
        <v>3228446911.6211004</v>
      </c>
      <c r="J96" s="2">
        <f>J8/'Output-Calculation-sheet'!J7*'Output-Calculation-sheet'!J79</f>
        <v>1822246550.5707333</v>
      </c>
      <c r="K96" s="2">
        <f>K8/'Output-Calculation-sheet'!K7*'Output-Calculation-sheet'!K79</f>
        <v>3103912637.048986</v>
      </c>
      <c r="L96" s="2">
        <f>L8/'Output-Calculation-sheet'!L7*'Output-Calculation-sheet'!L79</f>
        <v>2232400502.355371</v>
      </c>
      <c r="M96" s="2">
        <f>M8/'Output-Calculation-sheet'!M7*'Output-Calculation-sheet'!M79</f>
        <v>2256763042.4488158</v>
      </c>
      <c r="N96" s="2">
        <f>N8/'Output-Calculation-sheet'!N7*'Output-Calculation-sheet'!N79</f>
        <v>1606199420.1821578</v>
      </c>
      <c r="O96" s="2">
        <f>O8/'Output-Calculation-sheet'!O7*'Output-Calculation-sheet'!O79</f>
        <v>1262331967.22967</v>
      </c>
      <c r="P96" s="2">
        <f>P8/'Output-Calculation-sheet'!P7*'Output-Calculation-sheet'!P79</f>
        <v>2683417414.7103133</v>
      </c>
      <c r="Q96" s="2">
        <f>Q8/'Output-Calculation-sheet'!Q7*'Output-Calculation-sheet'!Q79</f>
        <v>1461556986.0279174</v>
      </c>
      <c r="R96" s="2">
        <f>R8/'Output-Calculation-sheet'!R7*'Output-Calculation-sheet'!R79</f>
        <v>1949859453.5675948</v>
      </c>
      <c r="S96" s="2">
        <f>S8/'Output-Calculation-sheet'!S7*'Output-Calculation-sheet'!S79</f>
        <v>1227328517.5769362</v>
      </c>
      <c r="T96" s="2">
        <f>T8/'Output-Calculation-sheet'!T7*'Output-Calculation-sheet'!T79</f>
        <v>788113807.48905683</v>
      </c>
      <c r="U96" s="2">
        <f>U8/'Output-Calculation-sheet'!U7*'Output-Calculation-sheet'!U79</f>
        <v>730808976.0155766</v>
      </c>
      <c r="V96" s="2">
        <f>V8/'Output-Calculation-sheet'!V7*'Output-Calculation-sheet'!V79</f>
        <v>470517434.24872965</v>
      </c>
      <c r="W96" s="2">
        <f>W8/'Output-Calculation-sheet'!W7*'Output-Calculation-sheet'!W79</f>
        <v>562849787.51771402</v>
      </c>
      <c r="X96" s="2">
        <f>X8/'Output-Calculation-sheet'!X7*'Output-Calculation-sheet'!X79</f>
        <v>257618137.13045719</v>
      </c>
      <c r="Y96" s="2">
        <f>Y8/'Output-Calculation-sheet'!Y7*'Output-Calculation-sheet'!Y79</f>
        <v>288345273.55981427</v>
      </c>
      <c r="AA96" s="2">
        <f t="shared" si="8"/>
        <v>85.660945535617074</v>
      </c>
    </row>
    <row r="97" spans="1:27" x14ac:dyDescent="0.25">
      <c r="A97" s="2">
        <v>2032</v>
      </c>
      <c r="B97" s="2">
        <f>B9/'Output-Calculation-sheet'!B8*'Output-Calculation-sheet'!B80</f>
        <v>31446018696.184635</v>
      </c>
      <c r="C97" s="2">
        <f>C9/'Output-Calculation-sheet'!C8*'Output-Calculation-sheet'!C80</f>
        <v>13029605397.206034</v>
      </c>
      <c r="D97" s="2">
        <f>D9/'Output-Calculation-sheet'!D8*'Output-Calculation-sheet'!D80</f>
        <v>10298806584.791161</v>
      </c>
      <c r="E97" s="2">
        <f>E9/'Output-Calculation-sheet'!E8*'Output-Calculation-sheet'!E80</f>
        <v>12427099926.179831</v>
      </c>
      <c r="F97" s="2">
        <f>F9/'Output-Calculation-sheet'!F8*'Output-Calculation-sheet'!F80</f>
        <v>7363407433.5353107</v>
      </c>
      <c r="G97" s="2">
        <f>G9/'Output-Calculation-sheet'!G8*'Output-Calculation-sheet'!G80</f>
        <v>3686003178.3215442</v>
      </c>
      <c r="H97" s="2">
        <f>H9/'Output-Calculation-sheet'!H8*'Output-Calculation-sheet'!H80</f>
        <v>4691689307.0475988</v>
      </c>
      <c r="I97" s="2">
        <f>I9/'Output-Calculation-sheet'!I8*'Output-Calculation-sheet'!I80</f>
        <v>4478391150.8910599</v>
      </c>
      <c r="J97" s="2">
        <f>J9/'Output-Calculation-sheet'!J8*'Output-Calculation-sheet'!J80</f>
        <v>2555428379.0174603</v>
      </c>
      <c r="K97" s="2">
        <f>K9/'Output-Calculation-sheet'!K8*'Output-Calculation-sheet'!K80</f>
        <v>4304670508.940505</v>
      </c>
      <c r="L97" s="2">
        <f>L9/'Output-Calculation-sheet'!L8*'Output-Calculation-sheet'!L80</f>
        <v>3114581904.2216964</v>
      </c>
      <c r="M97" s="2">
        <f>M9/'Output-Calculation-sheet'!M8*'Output-Calculation-sheet'!M80</f>
        <v>3138977634.2058058</v>
      </c>
      <c r="N97" s="2">
        <f>N9/'Output-Calculation-sheet'!N8*'Output-Calculation-sheet'!N80</f>
        <v>2243660229.1785941</v>
      </c>
      <c r="O97" s="2">
        <f>O9/'Output-Calculation-sheet'!O8*'Output-Calculation-sheet'!O80</f>
        <v>1770107502.7302098</v>
      </c>
      <c r="P97" s="2">
        <f>P9/'Output-Calculation-sheet'!P8*'Output-Calculation-sheet'!P80</f>
        <v>3699135753.5934324</v>
      </c>
      <c r="Q97" s="2">
        <f>Q9/'Output-Calculation-sheet'!Q8*'Output-Calculation-sheet'!Q80</f>
        <v>2048245658.8207128</v>
      </c>
      <c r="R97" s="2">
        <f>R9/'Output-Calculation-sheet'!R8*'Output-Calculation-sheet'!R80</f>
        <v>2715675244.1288862</v>
      </c>
      <c r="S97" s="2">
        <f>S9/'Output-Calculation-sheet'!S8*'Output-Calculation-sheet'!S80</f>
        <v>1713192218.7660477</v>
      </c>
      <c r="T97" s="2">
        <f>T9/'Output-Calculation-sheet'!T8*'Output-Calculation-sheet'!T80</f>
        <v>1088948031.2234116</v>
      </c>
      <c r="U97" s="2">
        <f>U9/'Output-Calculation-sheet'!U8*'Output-Calculation-sheet'!U80</f>
        <v>1015487788.6407301</v>
      </c>
      <c r="V97" s="2">
        <f>V9/'Output-Calculation-sheet'!V8*'Output-Calculation-sheet'!V80</f>
        <v>657636978.10495663</v>
      </c>
      <c r="W97" s="2">
        <f>W9/'Output-Calculation-sheet'!W8*'Output-Calculation-sheet'!W80</f>
        <v>769297833.46975219</v>
      </c>
      <c r="X97" s="2">
        <f>X9/'Output-Calculation-sheet'!X8*'Output-Calculation-sheet'!X80</f>
        <v>358214116.10327607</v>
      </c>
      <c r="Y97" s="2">
        <f>Y9/'Output-Calculation-sheet'!Y8*'Output-Calculation-sheet'!Y80</f>
        <v>395843492.82348353</v>
      </c>
      <c r="AA97" s="2">
        <f t="shared" si="8"/>
        <v>119.01012494812612</v>
      </c>
    </row>
    <row r="98" spans="1:27" x14ac:dyDescent="0.25">
      <c r="A98" s="2">
        <v>2033</v>
      </c>
      <c r="B98" s="2">
        <f>B10/'Output-Calculation-sheet'!B9*'Output-Calculation-sheet'!B81</f>
        <v>39681500770.13044</v>
      </c>
      <c r="C98" s="2">
        <f>C10/'Output-Calculation-sheet'!C9*'Output-Calculation-sheet'!C81</f>
        <v>16459010211.606056</v>
      </c>
      <c r="D98" s="2">
        <f>D10/'Output-Calculation-sheet'!D9*'Output-Calculation-sheet'!D81</f>
        <v>12910936372.573488</v>
      </c>
      <c r="E98" s="2">
        <f>E10/'Output-Calculation-sheet'!E9*'Output-Calculation-sheet'!E81</f>
        <v>15549772679.529186</v>
      </c>
      <c r="F98" s="2">
        <f>F10/'Output-Calculation-sheet'!F9*'Output-Calculation-sheet'!F81</f>
        <v>9246255377.632513</v>
      </c>
      <c r="G98" s="2">
        <f>G10/'Output-Calculation-sheet'!G9*'Output-Calculation-sheet'!G81</f>
        <v>4557739669.1036406</v>
      </c>
      <c r="H98" s="2">
        <f>H10/'Output-Calculation-sheet'!H9*'Output-Calculation-sheet'!H81</f>
        <v>5909203064.5200415</v>
      </c>
      <c r="I98" s="2">
        <f>I10/'Output-Calculation-sheet'!I9*'Output-Calculation-sheet'!I81</f>
        <v>5626902831.2017841</v>
      </c>
      <c r="J98" s="2">
        <f>J10/'Output-Calculation-sheet'!J9*'Output-Calculation-sheet'!J81</f>
        <v>3246835902.4522686</v>
      </c>
      <c r="K98" s="2">
        <f>K10/'Output-Calculation-sheet'!K9*'Output-Calculation-sheet'!K81</f>
        <v>5406846614.6483879</v>
      </c>
      <c r="L98" s="2">
        <f>L10/'Output-Calculation-sheet'!L9*'Output-Calculation-sheet'!L81</f>
        <v>3934624855.5721517</v>
      </c>
      <c r="M98" s="2">
        <f>M10/'Output-Calculation-sheet'!M9*'Output-Calculation-sheet'!M81</f>
        <v>3954271828.7252245</v>
      </c>
      <c r="N98" s="2">
        <f>N10/'Output-Calculation-sheet'!N9*'Output-Calculation-sheet'!N81</f>
        <v>2839527941.2127662</v>
      </c>
      <c r="O98" s="2">
        <f>O10/'Output-Calculation-sheet'!O9*'Output-Calculation-sheet'!O81</f>
        <v>2248154210.7353535</v>
      </c>
      <c r="P98" s="2">
        <f>P10/'Output-Calculation-sheet'!P9*'Output-Calculation-sheet'!P81</f>
        <v>4617735962.1039534</v>
      </c>
      <c r="Q98" s="2">
        <f>Q10/'Output-Calculation-sheet'!Q9*'Output-Calculation-sheet'!Q81</f>
        <v>2599814997.4964962</v>
      </c>
      <c r="R98" s="2">
        <f>R10/'Output-Calculation-sheet'!R9*'Output-Calculation-sheet'!R81</f>
        <v>3424693175.5536914</v>
      </c>
      <c r="S98" s="2">
        <f>S10/'Output-Calculation-sheet'!S9*'Output-Calculation-sheet'!S81</f>
        <v>2165024684.5310192</v>
      </c>
      <c r="T98" s="2">
        <f>T10/'Output-Calculation-sheet'!T9*'Output-Calculation-sheet'!T81</f>
        <v>1362911065.6288574</v>
      </c>
      <c r="U98" s="2">
        <f>U10/'Output-Calculation-sheet'!U9*'Output-Calculation-sheet'!U81</f>
        <v>1276981375.7389081</v>
      </c>
      <c r="V98" s="2">
        <f>V10/'Output-Calculation-sheet'!V9*'Output-Calculation-sheet'!V81</f>
        <v>831706574.296996</v>
      </c>
      <c r="W98" s="2">
        <f>W10/'Output-Calculation-sheet'!W9*'Output-Calculation-sheet'!W81</f>
        <v>952434851.84744978</v>
      </c>
      <c r="X98" s="2">
        <f>X10/'Output-Calculation-sheet'!X9*'Output-Calculation-sheet'!X81</f>
        <v>451079282.55622524</v>
      </c>
      <c r="Y98" s="2">
        <f>Y10/'Output-Calculation-sheet'!Y9*'Output-Calculation-sheet'!Y81</f>
        <v>492391748.3756721</v>
      </c>
      <c r="AA98" s="2">
        <f t="shared" si="8"/>
        <v>149.74635604777251</v>
      </c>
    </row>
    <row r="99" spans="1:27" x14ac:dyDescent="0.25">
      <c r="A99" s="2">
        <v>2034</v>
      </c>
      <c r="B99" s="2">
        <f>B11/'Output-Calculation-sheet'!B10*'Output-Calculation-sheet'!B82</f>
        <v>46132839326.533905</v>
      </c>
      <c r="C99" s="2">
        <f>C11/'Output-Calculation-sheet'!C10*'Output-Calculation-sheet'!C82</f>
        <v>19157577130.888329</v>
      </c>
      <c r="D99" s="2">
        <f>D11/'Output-Calculation-sheet'!D10*'Output-Calculation-sheet'!D82</f>
        <v>14926516529.090637</v>
      </c>
      <c r="E99" s="2">
        <f>E11/'Output-Calculation-sheet'!E10*'Output-Calculation-sheet'!E82</f>
        <v>17935322596.805752</v>
      </c>
      <c r="F99" s="2">
        <f>F11/'Output-Calculation-sheet'!F10*'Output-Calculation-sheet'!F82</f>
        <v>10700088577.060608</v>
      </c>
      <c r="G99" s="2">
        <f>G11/'Output-Calculation-sheet'!G10*'Output-Calculation-sheet'!G82</f>
        <v>5196753999.4793711</v>
      </c>
      <c r="H99" s="2">
        <f>H11/'Output-Calculation-sheet'!H10*'Output-Calculation-sheet'!H82</f>
        <v>6857968949.5029907</v>
      </c>
      <c r="I99" s="2">
        <f>I11/'Output-Calculation-sheet'!I10*'Output-Calculation-sheet'!I82</f>
        <v>6516280766.9874783</v>
      </c>
      <c r="J99" s="2">
        <f>J11/'Output-Calculation-sheet'!J10*'Output-Calculation-sheet'!J82</f>
        <v>3803169718.4291105</v>
      </c>
      <c r="K99" s="2">
        <f>K11/'Output-Calculation-sheet'!K10*'Output-Calculation-sheet'!K82</f>
        <v>6258921538.3631134</v>
      </c>
      <c r="L99" s="2">
        <f>L11/'Output-Calculation-sheet'!L10*'Output-Calculation-sheet'!L82</f>
        <v>4579899987.2667837</v>
      </c>
      <c r="M99" s="2">
        <f>M11/'Output-Calculation-sheet'!M10*'Output-Calculation-sheet'!M82</f>
        <v>4590759534.9567041</v>
      </c>
      <c r="N99" s="2">
        <f>N11/'Output-Calculation-sheet'!N10*'Output-Calculation-sheet'!N82</f>
        <v>3312978817.0622892</v>
      </c>
      <c r="O99" s="2">
        <f>O11/'Output-Calculation-sheet'!O10*'Output-Calculation-sheet'!O82</f>
        <v>2631552173.0732174</v>
      </c>
      <c r="P99" s="2">
        <f>P11/'Output-Calculation-sheet'!P10*'Output-Calculation-sheet'!P82</f>
        <v>5312149205.3366117</v>
      </c>
      <c r="Q99" s="2">
        <f>Q11/'Output-Calculation-sheet'!Q10*'Output-Calculation-sheet'!Q82</f>
        <v>3041264333.5992641</v>
      </c>
      <c r="R99" s="2">
        <f>R11/'Output-Calculation-sheet'!R10*'Output-Calculation-sheet'!R82</f>
        <v>3979362629.0601707</v>
      </c>
      <c r="S99" s="2">
        <f>S11/'Output-Calculation-sheet'!S10*'Output-Calculation-sheet'!S82</f>
        <v>2520661509.6562929</v>
      </c>
      <c r="T99" s="2">
        <f>T11/'Output-Calculation-sheet'!T10*'Output-Calculation-sheet'!T82</f>
        <v>1572341390.9081655</v>
      </c>
      <c r="U99" s="2">
        <f>U11/'Output-Calculation-sheet'!U10*'Output-Calculation-sheet'!U82</f>
        <v>1478966189.4098055</v>
      </c>
      <c r="V99" s="2">
        <f>V11/'Output-Calculation-sheet'!V10*'Output-Calculation-sheet'!V82</f>
        <v>968607702.50270748</v>
      </c>
      <c r="W99" s="2">
        <f>W11/'Output-Calculation-sheet'!W10*'Output-Calculation-sheet'!W82</f>
        <v>1086901186.4367063</v>
      </c>
      <c r="X99" s="2">
        <f>X11/'Output-Calculation-sheet'!X10*'Output-Calculation-sheet'!X82</f>
        <v>523448998.51204479</v>
      </c>
      <c r="Y99" s="2">
        <f>Y11/'Output-Calculation-sheet'!Y10*'Output-Calculation-sheet'!Y82</f>
        <v>564734510.20153689</v>
      </c>
      <c r="AA99" s="2">
        <f t="shared" si="8"/>
        <v>173.64906730112364</v>
      </c>
    </row>
    <row r="100" spans="1:27" x14ac:dyDescent="0.25">
      <c r="A100" s="2">
        <v>2035</v>
      </c>
      <c r="B100" s="2">
        <f>B12/'Output-Calculation-sheet'!B11*'Output-Calculation-sheet'!B83</f>
        <v>49782390319.35038</v>
      </c>
      <c r="C100" s="2">
        <f>C12/'Output-Calculation-sheet'!C11*'Output-Calculation-sheet'!C83</f>
        <v>20700450072.707142</v>
      </c>
      <c r="D100" s="2">
        <f>D12/'Output-Calculation-sheet'!D11*'Output-Calculation-sheet'!D83</f>
        <v>16032751042.072224</v>
      </c>
      <c r="E100" s="2">
        <f>E12/'Output-Calculation-sheet'!E11*'Output-Calculation-sheet'!E83</f>
        <v>19211131542.50811</v>
      </c>
      <c r="F100" s="2">
        <f>F12/'Output-Calculation-sheet'!F11*'Output-Calculation-sheet'!F83</f>
        <v>11496891390.186489</v>
      </c>
      <c r="G100" s="2">
        <f>G12/'Output-Calculation-sheet'!G11*'Output-Calculation-sheet'!G83</f>
        <v>5504852858.3944139</v>
      </c>
      <c r="H100" s="2">
        <f>H12/'Output-Calculation-sheet'!H11*'Output-Calculation-sheet'!H83</f>
        <v>7388694295.3984632</v>
      </c>
      <c r="I100" s="2">
        <f>I12/'Output-Calculation-sheet'!I11*'Output-Calculation-sheet'!I83</f>
        <v>7007141497.2356787</v>
      </c>
      <c r="J100" s="2">
        <f>J12/'Output-Calculation-sheet'!J11*'Output-Calculation-sheet'!J83</f>
        <v>4137455253.7220078</v>
      </c>
      <c r="K100" s="2">
        <f>K12/'Output-Calculation-sheet'!K11*'Output-Calculation-sheet'!K83</f>
        <v>6727358752.3407431</v>
      </c>
      <c r="L100" s="2">
        <f>L12/'Output-Calculation-sheet'!L11*'Output-Calculation-sheet'!L83</f>
        <v>4948733060.546134</v>
      </c>
      <c r="M100" s="2">
        <f>M12/'Output-Calculation-sheet'!M11*'Output-Calculation-sheet'!M83</f>
        <v>4948457228.9894724</v>
      </c>
      <c r="N100" s="2">
        <f>N12/'Output-Calculation-sheet'!N11*'Output-Calculation-sheet'!N83</f>
        <v>3589961233.25459</v>
      </c>
      <c r="O100" s="2">
        <f>O12/'Output-Calculation-sheet'!O11*'Output-Calculation-sheet'!O83</f>
        <v>2860093461.2534671</v>
      </c>
      <c r="P100" s="2">
        <f>P12/'Output-Calculation-sheet'!P11*'Output-Calculation-sheet'!P83</f>
        <v>5673863664.1538095</v>
      </c>
      <c r="Q100" s="2">
        <f>Q12/'Output-Calculation-sheet'!Q11*'Output-Calculation-sheet'!Q83</f>
        <v>3303224597.1764636</v>
      </c>
      <c r="R100" s="2">
        <f>R12/'Output-Calculation-sheet'!R11*'Output-Calculation-sheet'!R83</f>
        <v>4292341611.8394427</v>
      </c>
      <c r="S100" s="2">
        <f>S12/'Output-Calculation-sheet'!S11*'Output-Calculation-sheet'!S83</f>
        <v>2723992329.792861</v>
      </c>
      <c r="T100" s="2">
        <f>T12/'Output-Calculation-sheet'!T11*'Output-Calculation-sheet'!T83</f>
        <v>1684545015.7207961</v>
      </c>
      <c r="U100" s="2">
        <f>U12/'Output-Calculation-sheet'!U11*'Output-Calculation-sheet'!U83</f>
        <v>1589557577.9015148</v>
      </c>
      <c r="V100" s="2">
        <f>V12/'Output-Calculation-sheet'!V11*'Output-Calculation-sheet'!V83</f>
        <v>1046638596.9965174</v>
      </c>
      <c r="W100" s="2">
        <f>W12/'Output-Calculation-sheet'!W11*'Output-Calculation-sheet'!W83</f>
        <v>1151854979.6255951</v>
      </c>
      <c r="X100" s="2">
        <f>X12/'Output-Calculation-sheet'!X11*'Output-Calculation-sheet'!X83</f>
        <v>563947124.94771862</v>
      </c>
      <c r="Y100" s="2">
        <f>Y12/'Output-Calculation-sheet'!Y11*'Output-Calculation-sheet'!Y83</f>
        <v>601667610.32819498</v>
      </c>
      <c r="AA100" s="2">
        <f t="shared" si="8"/>
        <v>186.96799511644218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2041.6311173740689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628.47737903534596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432.4535998950758</v>
      </c>
      <c r="N107" s="2">
        <f>N8/'Output-Calculation-sheet'!N7*'Output-Calculation-sheet'!N88</f>
        <v>170.01270222469586</v>
      </c>
      <c r="O107" s="2">
        <f>O8/'Output-Calculation-sheet'!O7*'Output-Calculation-sheet'!O88</f>
        <v>475.95864956742213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47.441059339349316</v>
      </c>
      <c r="Y107" s="2">
        <f>Y8/'Output-Calculation-sheet'!Y7*'Output-Calculation-sheet'!Y88</f>
        <v>0</v>
      </c>
      <c r="AA107" s="2">
        <f t="shared" si="9"/>
        <v>3.7959745074359579</v>
      </c>
    </row>
    <row r="108" spans="1:27" x14ac:dyDescent="0.25">
      <c r="A108" s="2">
        <v>2032</v>
      </c>
      <c r="B108" s="2">
        <f>B9/'Output-Calculation-sheet'!B8*'Output-Calculation-sheet'!B89</f>
        <v>949.89697751453252</v>
      </c>
      <c r="C108" s="2">
        <f>C9/'Output-Calculation-sheet'!C8*'Output-Calculation-sheet'!C89</f>
        <v>3606.7447302138939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971.48440462821111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668.47581478309098</v>
      </c>
      <c r="N108" s="2">
        <f>N9/'Output-Calculation-sheet'!N8*'Output-Calculation-sheet'!N89</f>
        <v>469.28808279209784</v>
      </c>
      <c r="O108" s="2">
        <f>O9/'Output-Calculation-sheet'!O8*'Output-Calculation-sheet'!O89</f>
        <v>700.69030284919882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215.20970374277391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73.33318719913288</v>
      </c>
      <c r="Y108" s="2">
        <f>Y9/'Output-Calculation-sheet'!Y8*'Output-Calculation-sheet'!Y89</f>
        <v>0</v>
      </c>
      <c r="AA108" s="2">
        <f t="shared" si="9"/>
        <v>7.6551232037229333</v>
      </c>
    </row>
    <row r="109" spans="1:27" x14ac:dyDescent="0.25">
      <c r="A109" s="2">
        <v>2033</v>
      </c>
      <c r="B109" s="2">
        <f>B10/'Output-Calculation-sheet'!B9*'Output-Calculation-sheet'!B90</f>
        <v>4948.28920993877</v>
      </c>
      <c r="C109" s="2">
        <f>C10/'Output-Calculation-sheet'!C9*'Output-Calculation-sheet'!C90</f>
        <v>4697.1451783695884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1445.9269676723661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994.93847068140622</v>
      </c>
      <c r="N109" s="2">
        <f>N10/'Output-Calculation-sheet'!N9*'Output-Calculation-sheet'!N90</f>
        <v>782.2905300771821</v>
      </c>
      <c r="O109" s="2">
        <f>O10/'Output-Calculation-sheet'!O9*'Output-Calculation-sheet'!O90</f>
        <v>912.5248177359249</v>
      </c>
      <c r="P109" s="2">
        <f>P10/'Output-Calculation-sheet'!P9*'Output-Calculation-sheet'!P90</f>
        <v>0</v>
      </c>
      <c r="Q109" s="2">
        <f>Q10/'Output-Calculation-sheet'!Q9*'Output-Calculation-sheet'!Q90</f>
        <v>171.35156945687464</v>
      </c>
      <c r="R109" s="2">
        <f>R10/'Output-Calculation-sheet'!R9*'Output-Calculation-sheet'!R90</f>
        <v>0</v>
      </c>
      <c r="S109" s="2">
        <f>S10/'Output-Calculation-sheet'!S9*'Output-Calculation-sheet'!S90</f>
        <v>392.38144560878794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109.14681953867466</v>
      </c>
      <c r="Y109" s="2">
        <f>Y10/'Output-Calculation-sheet'!Y9*'Output-Calculation-sheet'!Y90</f>
        <v>0</v>
      </c>
      <c r="AA109" s="2">
        <f t="shared" si="9"/>
        <v>14.453995009079572</v>
      </c>
    </row>
    <row r="110" spans="1:27" x14ac:dyDescent="0.25">
      <c r="A110" s="2">
        <v>2034</v>
      </c>
      <c r="B110" s="2">
        <f>B11/'Output-Calculation-sheet'!B10*'Output-Calculation-sheet'!B91</f>
        <v>8798.268655017122</v>
      </c>
      <c r="C110" s="2">
        <f>C11/'Output-Calculation-sheet'!C10*'Output-Calculation-sheet'!C91</f>
        <v>6031.8005845423795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1713.9464270552271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1179.3619422627623</v>
      </c>
      <c r="N110" s="2">
        <f>N11/'Output-Calculation-sheet'!N10*'Output-Calculation-sheet'!N91</f>
        <v>1062.5280657714713</v>
      </c>
      <c r="O110" s="2">
        <f>O11/'Output-Calculation-sheet'!O10*'Output-Calculation-sheet'!O91</f>
        <v>1171.811285368768</v>
      </c>
      <c r="P110" s="2">
        <f>P11/'Output-Calculation-sheet'!P10*'Output-Calculation-sheet'!P91</f>
        <v>267.70617235700337</v>
      </c>
      <c r="Q110" s="2">
        <f>Q11/'Output-Calculation-sheet'!Q10*'Output-Calculation-sheet'!Q91</f>
        <v>592.41462329751175</v>
      </c>
      <c r="R110" s="2">
        <f>R11/'Output-Calculation-sheet'!R10*'Output-Calculation-sheet'!R91</f>
        <v>0</v>
      </c>
      <c r="S110" s="2">
        <f>S11/'Output-Calculation-sheet'!S10*'Output-Calculation-sheet'!S91</f>
        <v>609.07776757449585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129.37845794099741</v>
      </c>
      <c r="Y110" s="2">
        <f>Y11/'Output-Calculation-sheet'!Y10*'Output-Calculation-sheet'!Y91</f>
        <v>31.21317167300883</v>
      </c>
      <c r="AA110" s="2">
        <f t="shared" si="9"/>
        <v>21.587507152860752</v>
      </c>
    </row>
    <row r="111" spans="1:27" x14ac:dyDescent="0.25">
      <c r="A111" s="2">
        <v>2035</v>
      </c>
      <c r="B111" s="2">
        <f>B12/'Output-Calculation-sheet'!B11*'Output-Calculation-sheet'!B92</f>
        <v>13731.738349327725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3058.8215819177617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679.35187484591029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1086.3256476200481</v>
      </c>
      <c r="Q111" s="2">
        <f>Q12/'Output-Calculation-sheet'!Q11*'Output-Calculation-sheet'!Q92</f>
        <v>1030.2690024137473</v>
      </c>
      <c r="R111" s="2">
        <f>R12/'Output-Calculation-sheet'!R11*'Output-Calculation-sheet'!R92</f>
        <v>157.18552240995564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227.57383307428452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107.17386240398409</v>
      </c>
      <c r="AA111" s="2">
        <f t="shared" si="9"/>
        <v>33.5347710818805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9597670762.2097263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2953006255.7636709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2051117314.997412</v>
      </c>
      <c r="N118" s="2">
        <f>N8/'Output-Calculation-sheet'!N7*'Output-Calculation-sheet'!N97</f>
        <v>1609542267.3401861</v>
      </c>
      <c r="O118" s="2">
        <f>O8/'Output-Calculation-sheet'!O7*'Output-Calculation-sheet'!O97</f>
        <v>1071007922.4523656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582884822.73434353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221071516.5919145</v>
      </c>
      <c r="Y118" s="2">
        <f>Y8/'Output-Calculation-sheet'!Y7*'Output-Calculation-sheet'!Y97</f>
        <v>0</v>
      </c>
      <c r="AA118" s="2">
        <f t="shared" si="10"/>
        <v>19723.538310779204</v>
      </c>
    </row>
    <row r="119" spans="1:27" x14ac:dyDescent="0.25">
      <c r="A119" s="2">
        <v>2032</v>
      </c>
      <c r="B119" s="2">
        <f>B9/'Output-Calculation-sheet'!B8*'Output-Calculation-sheet'!B98</f>
        <v>7126176470.611557</v>
      </c>
      <c r="C119" s="2">
        <f>C9/'Output-Calculation-sheet'!C8*'Output-Calculation-sheet'!C98</f>
        <v>5664028996.7753582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3385969207.6537843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2363419187.140708</v>
      </c>
      <c r="N119" s="2">
        <f>N9/'Output-Calculation-sheet'!N8*'Output-Calculation-sheet'!N98</f>
        <v>1596078023.897969</v>
      </c>
      <c r="O119" s="2">
        <f>O9/'Output-Calculation-sheet'!O8*'Output-Calculation-sheet'!O98</f>
        <v>1106646604.6474609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663297827.90560353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252894325.97855774</v>
      </c>
      <c r="Y119" s="2">
        <f>Y9/'Output-Calculation-sheet'!Y8*'Output-Calculation-sheet'!Y98</f>
        <v>0</v>
      </c>
      <c r="AA119" s="2">
        <f t="shared" si="10"/>
        <v>22158.510644611</v>
      </c>
    </row>
    <row r="120" spans="1:27" x14ac:dyDescent="0.25">
      <c r="A120" s="2">
        <v>2033</v>
      </c>
      <c r="B120" s="2">
        <f>B10/'Output-Calculation-sheet'!B9*'Output-Calculation-sheet'!B99</f>
        <v>7118773371.9682713</v>
      </c>
      <c r="C120" s="2">
        <f>C10/'Output-Calculation-sheet'!C9*'Output-Calculation-sheet'!C99</f>
        <v>5852073744.6574144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1918756353.0646143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1358111686.5262635</v>
      </c>
      <c r="N120" s="2">
        <f>N10/'Output-Calculation-sheet'!N9*'Output-Calculation-sheet'!N99</f>
        <v>1353893457.0360773</v>
      </c>
      <c r="O120" s="2">
        <f>O10/'Output-Calculation-sheet'!O9*'Output-Calculation-sheet'!O99</f>
        <v>1145709987.5435641</v>
      </c>
      <c r="P120" s="2">
        <f>P10/'Output-Calculation-sheet'!P9*'Output-Calculation-sheet'!P99</f>
        <v>0</v>
      </c>
      <c r="Q120" s="2">
        <f>Q10/'Output-Calculation-sheet'!Q9*'Output-Calculation-sheet'!Q99</f>
        <v>8385715.3636119757</v>
      </c>
      <c r="R120" s="2">
        <f>R10/'Output-Calculation-sheet'!R9*'Output-Calculation-sheet'!R99</f>
        <v>0</v>
      </c>
      <c r="S120" s="2">
        <f>S10/'Output-Calculation-sheet'!S9*'Output-Calculation-sheet'!S99</f>
        <v>567001744.62076783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135613477.43581715</v>
      </c>
      <c r="Y120" s="2">
        <f>Y10/'Output-Calculation-sheet'!Y9*'Output-Calculation-sheet'!Y99</f>
        <v>0</v>
      </c>
      <c r="AA120" s="2">
        <f t="shared" si="10"/>
        <v>19458.319538216405</v>
      </c>
    </row>
    <row r="121" spans="1:27" x14ac:dyDescent="0.25">
      <c r="A121" s="2">
        <v>2034</v>
      </c>
      <c r="B121" s="2">
        <f>B11/'Output-Calculation-sheet'!B10*'Output-Calculation-sheet'!B100</f>
        <v>6590087313.3661184</v>
      </c>
      <c r="C121" s="2">
        <f>C11/'Output-Calculation-sheet'!C10*'Output-Calculation-sheet'!C100</f>
        <v>791848875.47940993</v>
      </c>
      <c r="D121" s="2">
        <f>D11/'Output-Calculation-sheet'!D10*'Output-Calculation-sheet'!D100</f>
        <v>0</v>
      </c>
      <c r="E121" s="2">
        <f>E11/'Output-Calculation-sheet'!E10*'Output-Calculation-sheet'!E100</f>
        <v>913855970.67721534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2085012118.6719327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760129428.16737878</v>
      </c>
      <c r="M121" s="2">
        <f>M11/'Output-Calculation-sheet'!M10*'Output-Calculation-sheet'!M100</f>
        <v>1483895149.2457078</v>
      </c>
      <c r="N121" s="2">
        <f>N11/'Output-Calculation-sheet'!N10*'Output-Calculation-sheet'!N100</f>
        <v>989279739.30297554</v>
      </c>
      <c r="O121" s="2">
        <f>O11/'Output-Calculation-sheet'!O10*'Output-Calculation-sheet'!O100</f>
        <v>155323761.47172692</v>
      </c>
      <c r="P121" s="2">
        <f>P11/'Output-Calculation-sheet'!P10*'Output-Calculation-sheet'!P100</f>
        <v>0</v>
      </c>
      <c r="Q121" s="2">
        <f>Q11/'Output-Calculation-sheet'!Q10*'Output-Calculation-sheet'!Q100</f>
        <v>305597907.75263643</v>
      </c>
      <c r="R121" s="2">
        <f>R11/'Output-Calculation-sheet'!R10*'Output-Calculation-sheet'!R100</f>
        <v>0</v>
      </c>
      <c r="S121" s="2">
        <f>S11/'Output-Calculation-sheet'!S10*'Output-Calculation-sheet'!S100</f>
        <v>369884370.95704192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145803081.18060225</v>
      </c>
      <c r="Y121" s="2">
        <f>Y11/'Output-Calculation-sheet'!Y10*'Output-Calculation-sheet'!Y100</f>
        <v>10419644.475202795</v>
      </c>
      <c r="AA121" s="2">
        <f t="shared" si="10"/>
        <v>14601.137360747951</v>
      </c>
    </row>
    <row r="122" spans="1:27" x14ac:dyDescent="0.25">
      <c r="A122" s="2">
        <v>2035</v>
      </c>
      <c r="B122" s="2">
        <f>B12/'Output-Calculation-sheet'!B11*'Output-Calculation-sheet'!B101</f>
        <v>2414403403.7109389</v>
      </c>
      <c r="C122" s="2">
        <f>C12/'Output-Calculation-sheet'!C11*'Output-Calculation-sheet'!C101</f>
        <v>415229081.46382552</v>
      </c>
      <c r="D122" s="2">
        <f>D12/'Output-Calculation-sheet'!D11*'Output-Calculation-sheet'!D101</f>
        <v>0</v>
      </c>
      <c r="E122" s="2">
        <f>E12/'Output-Calculation-sheet'!E11*'Output-Calculation-sheet'!E101</f>
        <v>2413219151.096633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647606571.63678217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1416432273.9435689</v>
      </c>
      <c r="M122" s="2">
        <f>M12/'Output-Calculation-sheet'!M11*'Output-Calculation-sheet'!M101</f>
        <v>584162812.03518391</v>
      </c>
      <c r="N122" s="2">
        <f>N12/'Output-Calculation-sheet'!N11*'Output-Calculation-sheet'!N101</f>
        <v>489761561.28947598</v>
      </c>
      <c r="O122" s="2">
        <f>O12/'Output-Calculation-sheet'!O11*'Output-Calculation-sheet'!O101</f>
        <v>70771126.727293432</v>
      </c>
      <c r="P122" s="2">
        <f>P12/'Output-Calculation-sheet'!P11*'Output-Calculation-sheet'!P101</f>
        <v>30093238.986232746</v>
      </c>
      <c r="Q122" s="2">
        <f>Q12/'Output-Calculation-sheet'!Q11*'Output-Calculation-sheet'!Q101</f>
        <v>593186898.60751963</v>
      </c>
      <c r="R122" s="2">
        <f>R12/'Output-Calculation-sheet'!R11*'Output-Calculation-sheet'!R101</f>
        <v>0</v>
      </c>
      <c r="S122" s="2">
        <f>S12/'Output-Calculation-sheet'!S11*'Output-Calculation-sheet'!S101</f>
        <v>239802680.27080172</v>
      </c>
      <c r="T122" s="2">
        <f>T12/'Output-Calculation-sheet'!T11*'Output-Calculation-sheet'!T101</f>
        <v>0</v>
      </c>
      <c r="U122" s="2">
        <f>U12/'Output-Calculation-sheet'!U11*'Output-Calculation-sheet'!U101</f>
        <v>88172512.875991464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20718510.076598324</v>
      </c>
      <c r="Y122" s="2">
        <f>Y12/'Output-Calculation-sheet'!Y11*'Output-Calculation-sheet'!Y101</f>
        <v>85610076.381148189</v>
      </c>
      <c r="AA122" s="2">
        <f t="shared" si="10"/>
        <v>9509.1698991019948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2670898447.971386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2680164653.4500885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175562.42798604211</v>
      </c>
    </row>
    <row r="130" spans="1:27" x14ac:dyDescent="0.25">
      <c r="A130" s="2">
        <v>2032</v>
      </c>
      <c r="B130" s="2">
        <f>B9/'Output-Calculation-sheet'!B8*'Output-Calculation-sheet'!B107</f>
        <v>64487814969.29615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2346077172.7951074</v>
      </c>
      <c r="O130" s="2">
        <f>O9/'Output-Calculation-sheet'!O8*'Output-Calculation-sheet'!O107</f>
        <v>0</v>
      </c>
      <c r="P130" s="2">
        <f>P9/'Output-Calculation-sheet'!P8*'Output-Calculation-sheet'!P107</f>
        <v>7158740228.089118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2083688300.9497113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227108.96433203676</v>
      </c>
    </row>
    <row r="131" spans="1:27" x14ac:dyDescent="0.25">
      <c r="A131" s="2">
        <v>2033</v>
      </c>
      <c r="B131" s="2">
        <f>B10/'Output-Calculation-sheet'!B9*'Output-Calculation-sheet'!B108</f>
        <v>53103883058.130684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1945870226.4852781</v>
      </c>
      <c r="O131" s="2">
        <f>O10/'Output-Calculation-sheet'!O9*'Output-Calculation-sheet'!O108</f>
        <v>0</v>
      </c>
      <c r="P131" s="2">
        <f>P10/'Output-Calculation-sheet'!P9*'Output-Calculation-sheet'!P108</f>
        <v>8949602218.3611736</v>
      </c>
      <c r="Q131" s="2">
        <f>Q10/'Output-Calculation-sheet'!Q9*'Output-Calculation-sheet'!Q108</f>
        <v>7549540967.8344555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1887390424.4187799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253456.47170231972</v>
      </c>
    </row>
    <row r="132" spans="1:27" x14ac:dyDescent="0.25">
      <c r="A132" s="2">
        <v>2034</v>
      </c>
      <c r="B132" s="2">
        <f>B11/'Output-Calculation-sheet'!B10*'Output-Calculation-sheet'!B109</f>
        <v>38346765140.189072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37016109104.803497</v>
      </c>
      <c r="F132" s="2">
        <f>F11/'Output-Calculation-sheet'!F10*'Output-Calculation-sheet'!F109</f>
        <v>24413003037.900558</v>
      </c>
      <c r="G132" s="2">
        <f>G11/'Output-Calculation-sheet'!G10*'Output-Calculation-sheet'!G109</f>
        <v>17153720932.689238</v>
      </c>
      <c r="H132" s="2">
        <f>H11/'Output-Calculation-sheet'!H10*'Output-Calculation-sheet'!H109</f>
        <v>0</v>
      </c>
      <c r="I132" s="2">
        <f>I11/'Output-Calculation-sheet'!I10*'Output-Calculation-sheet'!I109</f>
        <v>15627295829.935549</v>
      </c>
      <c r="J132" s="2">
        <f>J11/'Output-Calculation-sheet'!J10*'Output-Calculation-sheet'!J109</f>
        <v>15210635249.289576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11325064559.670286</v>
      </c>
      <c r="M132" s="2">
        <f>M11/'Output-Calculation-sheet'!M10*'Output-Calculation-sheet'!M109</f>
        <v>0</v>
      </c>
      <c r="N132" s="2">
        <f>N11/'Output-Calculation-sheet'!N10*'Output-Calculation-sheet'!N109</f>
        <v>1489054680.3958237</v>
      </c>
      <c r="O132" s="2">
        <f>O11/'Output-Calculation-sheet'!O10*'Output-Calculation-sheet'!O109</f>
        <v>0</v>
      </c>
      <c r="P132" s="2">
        <f>P11/'Output-Calculation-sheet'!P10*'Output-Calculation-sheet'!P109</f>
        <v>8460402764.7844467</v>
      </c>
      <c r="Q132" s="2">
        <f>Q11/'Output-Calculation-sheet'!Q10*'Output-Calculation-sheet'!Q109</f>
        <v>5492006693.2170057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1021953392.981228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3127254141.2010927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1008293677.724376</v>
      </c>
      <c r="AA132" s="2">
        <f t="shared" si="11"/>
        <v>260396.37697745051</v>
      </c>
    </row>
    <row r="133" spans="1:27" x14ac:dyDescent="0.25">
      <c r="A133" s="2">
        <v>2035</v>
      </c>
      <c r="B133" s="2">
        <f>B12/'Output-Calculation-sheet'!B11*'Output-Calculation-sheet'!B110</f>
        <v>578527053.37039089</v>
      </c>
      <c r="C133" s="2">
        <f>C12/'Output-Calculation-sheet'!C11*'Output-Calculation-sheet'!C110</f>
        <v>0</v>
      </c>
      <c r="D133" s="2">
        <f>D12/'Output-Calculation-sheet'!D11*'Output-Calculation-sheet'!D110</f>
        <v>48909413110.711594</v>
      </c>
      <c r="E133" s="2">
        <f>E12/'Output-Calculation-sheet'!E11*'Output-Calculation-sheet'!E110</f>
        <v>18774458940.468204</v>
      </c>
      <c r="F133" s="2">
        <f>F12/'Output-Calculation-sheet'!F11*'Output-Calculation-sheet'!F110</f>
        <v>25611618983.426331</v>
      </c>
      <c r="G133" s="2">
        <f>G12/'Output-Calculation-sheet'!G11*'Output-Calculation-sheet'!G110</f>
        <v>17459371387.026062</v>
      </c>
      <c r="H133" s="2">
        <f>H12/'Output-Calculation-sheet'!H11*'Output-Calculation-sheet'!H110</f>
        <v>0</v>
      </c>
      <c r="I133" s="2">
        <f>I12/'Output-Calculation-sheet'!I11*'Output-Calculation-sheet'!I110</f>
        <v>16311524272.846395</v>
      </c>
      <c r="J133" s="2">
        <f>J12/'Output-Calculation-sheet'!J11*'Output-Calculation-sheet'!J110</f>
        <v>15616481070.12187</v>
      </c>
      <c r="K133" s="2">
        <f>K12/'Output-Calculation-sheet'!K11*'Output-Calculation-sheet'!K110</f>
        <v>15773723023.325489</v>
      </c>
      <c r="L133" s="2">
        <f>L12/'Output-Calculation-sheet'!L11*'Output-Calculation-sheet'!L110</f>
        <v>7446169195.7194653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2716851608.8794155</v>
      </c>
      <c r="Q133" s="2">
        <f>Q12/'Output-Calculation-sheet'!Q11*'Output-Calculation-sheet'!Q110</f>
        <v>2330610518.5471425</v>
      </c>
      <c r="R133" s="2">
        <f>R12/'Output-Calculation-sheet'!R11*'Output-Calculation-sheet'!R110</f>
        <v>9370796600.4369659</v>
      </c>
      <c r="S133" s="2">
        <f>S12/'Output-Calculation-sheet'!S11*'Output-Calculation-sheet'!S110</f>
        <v>2411336.2330077756</v>
      </c>
      <c r="T133" s="2">
        <f>T12/'Output-Calculation-sheet'!T11*'Output-Calculation-sheet'!T110</f>
        <v>3783098895.1825547</v>
      </c>
      <c r="U133" s="2">
        <f>U12/'Output-Calculation-sheet'!U11*'Output-Calculation-sheet'!U110</f>
        <v>1775999000.4971275</v>
      </c>
      <c r="V133" s="2">
        <f>V12/'Output-Calculation-sheet'!V11*'Output-Calculation-sheet'!V110</f>
        <v>2551666617.1349626</v>
      </c>
      <c r="W133" s="2">
        <f>W12/'Output-Calculation-sheet'!W11*'Output-Calculation-sheet'!W110</f>
        <v>2200973452.8888931</v>
      </c>
      <c r="X133" s="2">
        <f>X12/'Output-Calculation-sheet'!X11*'Output-Calculation-sheet'!X110</f>
        <v>0</v>
      </c>
      <c r="Y133" s="2">
        <f>Y12/'Output-Calculation-sheet'!Y11*'Output-Calculation-sheet'!Y110</f>
        <v>503850266.52570158</v>
      </c>
      <c r="AA133" s="2">
        <f t="shared" si="11"/>
        <v>191717.54533334155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17372074786.65897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5461342728.3413486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3754045456.4813814</v>
      </c>
      <c r="N140" s="2">
        <f>N8/'Output-Calculation-sheet'!N7*'Output-Calculation-sheet'!N115</f>
        <v>1417300956.2889042</v>
      </c>
      <c r="O140" s="2">
        <f>O8/'Output-Calculation-sheet'!O7*'Output-Calculation-sheet'!O115</f>
        <v>4169213361.9892488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407644264.50284648</v>
      </c>
      <c r="Y140" s="2">
        <f>Y8/'Output-Calculation-sheet'!Y7*'Output-Calculation-sheet'!Y115</f>
        <v>0</v>
      </c>
      <c r="AA140" s="2">
        <f t="shared" si="12"/>
        <v>32581.621554262703</v>
      </c>
    </row>
    <row r="141" spans="1:27" x14ac:dyDescent="0.25">
      <c r="A141" s="2">
        <v>2032</v>
      </c>
      <c r="B141" s="2">
        <f>B9/'Output-Calculation-sheet'!B8*'Output-Calculation-sheet'!B116</f>
        <v>7372445280.6430483</v>
      </c>
      <c r="C141" s="2">
        <f>C9/'Output-Calculation-sheet'!C8*'Output-Calculation-sheet'!C116</f>
        <v>31558425023.758339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8227144550.9742117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5648610713.1981611</v>
      </c>
      <c r="N141" s="2">
        <f>N9/'Output-Calculation-sheet'!N8*'Output-Calculation-sheet'!N116</f>
        <v>3921616224.7578897</v>
      </c>
      <c r="O141" s="2">
        <f>O9/'Output-Calculation-sheet'!O8*'Output-Calculation-sheet'!O116</f>
        <v>6125675774.1703653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1756531120.9564552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614831427.86015856</v>
      </c>
      <c r="Y141" s="2">
        <f>Y9/'Output-Calculation-sheet'!Y8*'Output-Calculation-sheet'!Y116</f>
        <v>0</v>
      </c>
      <c r="AA141" s="2">
        <f t="shared" si="12"/>
        <v>65225.280116318623</v>
      </c>
    </row>
    <row r="142" spans="1:27" x14ac:dyDescent="0.25">
      <c r="A142" s="2">
        <v>2033</v>
      </c>
      <c r="B142" s="2">
        <f>B10/'Output-Calculation-sheet'!B9*'Output-Calculation-sheet'!B117</f>
        <v>38528536531.515457</v>
      </c>
      <c r="C142" s="2">
        <f>C10/'Output-Calculation-sheet'!C9*'Output-Calculation-sheet'!C117</f>
        <v>40684542569.235756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12600303342.685915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8658766028.1807499</v>
      </c>
      <c r="N142" s="2">
        <f>N10/'Output-Calculation-sheet'!N9*'Output-Calculation-sheet'!N117</f>
        <v>6531756370.0661383</v>
      </c>
      <c r="O142" s="2">
        <f>O10/'Output-Calculation-sheet'!O9*'Output-Calculation-sheet'!O117</f>
        <v>7896353375.5086107</v>
      </c>
      <c r="P142" s="2">
        <f>P10/'Output-Calculation-sheet'!P9*'Output-Calculation-sheet'!P117</f>
        <v>0</v>
      </c>
      <c r="Q142" s="2">
        <f>Q10/'Output-Calculation-sheet'!Q9*'Output-Calculation-sheet'!Q117</f>
        <v>1247472805.8219156</v>
      </c>
      <c r="R142" s="2">
        <f>R10/'Output-Calculation-sheet'!R9*'Output-Calculation-sheet'!R117</f>
        <v>0</v>
      </c>
      <c r="S142" s="2">
        <f>S10/'Output-Calculation-sheet'!S9*'Output-Calculation-sheet'!S117</f>
        <v>3176038793.9769664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949243085.57027185</v>
      </c>
      <c r="Y142" s="2">
        <f>Y10/'Output-Calculation-sheet'!Y9*'Output-Calculation-sheet'!Y117</f>
        <v>0</v>
      </c>
      <c r="AA142" s="2">
        <f t="shared" si="12"/>
        <v>120273.01290256176</v>
      </c>
    </row>
    <row r="143" spans="1:27" x14ac:dyDescent="0.25">
      <c r="A143" s="2">
        <v>2034</v>
      </c>
      <c r="B143" s="2">
        <f>B11/'Output-Calculation-sheet'!B10*'Output-Calculation-sheet'!B118</f>
        <v>68866956127.208618</v>
      </c>
      <c r="C143" s="2">
        <f>C11/'Output-Calculation-sheet'!C10*'Output-Calculation-sheet'!C118</f>
        <v>52838573120.59124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14647115347.239134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10059801650.881281</v>
      </c>
      <c r="N143" s="2">
        <f>N11/'Output-Calculation-sheet'!N10*'Output-Calculation-sheet'!N118</f>
        <v>8851818450.1789722</v>
      </c>
      <c r="O143" s="2">
        <f>O11/'Output-Calculation-sheet'!O10*'Output-Calculation-sheet'!O118</f>
        <v>10265066859.830408</v>
      </c>
      <c r="P143" s="2">
        <f>P11/'Output-Calculation-sheet'!P10*'Output-Calculation-sheet'!P118</f>
        <v>1853327513.4251761</v>
      </c>
      <c r="Q143" s="2">
        <f>Q11/'Output-Calculation-sheet'!Q10*'Output-Calculation-sheet'!Q118</f>
        <v>4349957695.9403658</v>
      </c>
      <c r="R143" s="2">
        <f>R11/'Output-Calculation-sheet'!R10*'Output-Calculation-sheet'!R118</f>
        <v>0</v>
      </c>
      <c r="S143" s="2">
        <f>S11/'Output-Calculation-sheet'!S10*'Output-Calculation-sheet'!S118</f>
        <v>5096867747.6750288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1104413162.4977648</v>
      </c>
      <c r="Y143" s="2">
        <f>Y11/'Output-Calculation-sheet'!Y10*'Output-Calculation-sheet'!Y118</f>
        <v>197094694.23650482</v>
      </c>
      <c r="AA143" s="2">
        <f t="shared" si="12"/>
        <v>178130.99236970453</v>
      </c>
    </row>
    <row r="144" spans="1:27" x14ac:dyDescent="0.25">
      <c r="A144" s="2">
        <v>2035</v>
      </c>
      <c r="B144" s="2">
        <f>B12/'Output-Calculation-sheet'!B11*'Output-Calculation-sheet'!B119</f>
        <v>118549093185.38609</v>
      </c>
      <c r="C144" s="2">
        <f>C12/'Output-Calculation-sheet'!C11*'Output-Calculation-sheet'!C119</f>
        <v>56953619247.659859</v>
      </c>
      <c r="D144" s="2">
        <f>D12/'Output-Calculation-sheet'!D11*'Output-Calculation-sheet'!D119</f>
        <v>0</v>
      </c>
      <c r="E144" s="2">
        <f>E12/'Output-Calculation-sheet'!E11*'Output-Calculation-sheet'!E119</f>
        <v>19171350971.960934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17206684037.066658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3950249655.624186</v>
      </c>
      <c r="M144" s="2">
        <f>M12/'Output-Calculation-sheet'!M11*'Output-Calculation-sheet'!M119</f>
        <v>11726886043.222433</v>
      </c>
      <c r="N144" s="2">
        <f>N12/'Output-Calculation-sheet'!N11*'Output-Calculation-sheet'!N119</f>
        <v>11586220711.10755</v>
      </c>
      <c r="O144" s="2">
        <f>O12/'Output-Calculation-sheet'!O11*'Output-Calculation-sheet'!O119</f>
        <v>11071850768.876986</v>
      </c>
      <c r="P144" s="2">
        <f>P12/'Output-Calculation-sheet'!P11*'Output-Calculation-sheet'!P119</f>
        <v>8270355600.4308786</v>
      </c>
      <c r="Q144" s="2">
        <f>Q12/'Output-Calculation-sheet'!Q11*'Output-Calculation-sheet'!Q119</f>
        <v>7813015646.4714174</v>
      </c>
      <c r="R144" s="2">
        <f>R12/'Output-Calculation-sheet'!R11*'Output-Calculation-sheet'!R119</f>
        <v>879551085.73242652</v>
      </c>
      <c r="S144" s="2">
        <f>S12/'Output-Calculation-sheet'!S11*'Output-Calculation-sheet'!S119</f>
        <v>6677341169.8064156</v>
      </c>
      <c r="T144" s="2">
        <f>T12/'Output-Calculation-sheet'!T11*'Output-Calculation-sheet'!T119</f>
        <v>0</v>
      </c>
      <c r="U144" s="2">
        <f>U12/'Output-Calculation-sheet'!U11*'Output-Calculation-sheet'!U119</f>
        <v>1452573893.0805321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1316053287.4726753</v>
      </c>
      <c r="Y144" s="2">
        <f>Y12/'Output-Calculation-sheet'!Y11*'Output-Calculation-sheet'!Y119</f>
        <v>704296136.8581816</v>
      </c>
      <c r="AA144" s="2">
        <f t="shared" si="12"/>
        <v>277329.14144075714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513370608.79513317</v>
      </c>
      <c r="C155" s="2">
        <f>C12/'Output-Calculation-sheet'!C11*'Output-Calculation-sheet'!C128</f>
        <v>49045169.829449758</v>
      </c>
      <c r="D155" s="2">
        <f>D12/'Output-Calculation-sheet'!D11*'Output-Calculation-sheet'!D128</f>
        <v>3674046380.178422</v>
      </c>
      <c r="E155" s="2">
        <f>E12/'Output-Calculation-sheet'!E11*'Output-Calculation-sheet'!E128</f>
        <v>547756289.9093647</v>
      </c>
      <c r="F155" s="2">
        <f>F12/'Output-Calculation-sheet'!F11*'Output-Calculation-sheet'!F128</f>
        <v>1134722565.4452455</v>
      </c>
      <c r="G155" s="2">
        <f>G12/'Output-Calculation-sheet'!G11*'Output-Calculation-sheet'!G128</f>
        <v>1427627344.3099952</v>
      </c>
      <c r="H155" s="2">
        <f>H12/'Output-Calculation-sheet'!H11*'Output-Calculation-sheet'!H128</f>
        <v>108189145.22117731</v>
      </c>
      <c r="I155" s="2">
        <f>I12/'Output-Calculation-sheet'!I11*'Output-Calculation-sheet'!I128</f>
        <v>858356790.58184695</v>
      </c>
      <c r="J155" s="2">
        <f>J12/'Output-Calculation-sheet'!J11*'Output-Calculation-sheet'!J128</f>
        <v>965821319.57051456</v>
      </c>
      <c r="K155" s="2">
        <f>K12/'Output-Calculation-sheet'!K11*'Output-Calculation-sheet'!K128</f>
        <v>723999689.24996173</v>
      </c>
      <c r="L155" s="2">
        <f>L12/'Output-Calculation-sheet'!L11*'Output-Calculation-sheet'!L128</f>
        <v>229733612.84005353</v>
      </c>
      <c r="M155" s="2">
        <f>M12/'Output-Calculation-sheet'!M11*'Output-Calculation-sheet'!M128</f>
        <v>86011130.284122393</v>
      </c>
      <c r="N155" s="2">
        <f>N12/'Output-Calculation-sheet'!N11*'Output-Calculation-sheet'!N128</f>
        <v>78613727.489478707</v>
      </c>
      <c r="O155" s="2">
        <f>O12/'Output-Calculation-sheet'!O11*'Output-Calculation-sheet'!O128</f>
        <v>13887658.581028868</v>
      </c>
      <c r="P155" s="2">
        <f>P12/'Output-Calculation-sheet'!P11*'Output-Calculation-sheet'!P128</f>
        <v>58532506.477448702</v>
      </c>
      <c r="Q155" s="2">
        <f>Q12/'Output-Calculation-sheet'!Q11*'Output-Calculation-sheet'!Q128</f>
        <v>198011938.52125141</v>
      </c>
      <c r="R155" s="2">
        <f>R12/'Output-Calculation-sheet'!R11*'Output-Calculation-sheet'!R128</f>
        <v>400977103.54364443</v>
      </c>
      <c r="S155" s="2">
        <f>S12/'Output-Calculation-sheet'!S11*'Output-Calculation-sheet'!S128</f>
        <v>48205126.023147412</v>
      </c>
      <c r="T155" s="2">
        <f>T12/'Output-Calculation-sheet'!T11*'Output-Calculation-sheet'!T128</f>
        <v>125183136.67173193</v>
      </c>
      <c r="U155" s="2">
        <f>U12/'Output-Calculation-sheet'!U11*'Output-Calculation-sheet'!U128</f>
        <v>68903642.679863781</v>
      </c>
      <c r="V155" s="2">
        <f>V12/'Output-Calculation-sheet'!V11*'Output-Calculation-sheet'!V128</f>
        <v>51330431.721669629</v>
      </c>
      <c r="W155" s="2">
        <f>W12/'Output-Calculation-sheet'!W11*'Output-Calculation-sheet'!W128</f>
        <v>82969143.181045637</v>
      </c>
      <c r="X155" s="2">
        <f>X12/'Output-Calculation-sheet'!X11*'Output-Calculation-sheet'!X128</f>
        <v>2591307.2184713045</v>
      </c>
      <c r="Y155" s="2">
        <f>Y12/'Output-Calculation-sheet'!Y11*'Output-Calculation-sheet'!Y128</f>
        <v>17379450.183594637</v>
      </c>
      <c r="AA155" s="2">
        <f t="shared" si="13"/>
        <v>11465.265218507664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6083.6828994352509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1842.820704779693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1280.0964267880909</v>
      </c>
      <c r="N19" s="2">
        <f>N8/'Output-Calculation-sheet'!N7*'Output-Calculation-sheet'!N25</f>
        <v>1064.8889570357198</v>
      </c>
      <c r="O19" s="2">
        <f>O8/'Output-Calculation-sheet'!O7*'Output-Calculation-sheet'!O25</f>
        <v>668.33292563684722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138.54204210247619</v>
      </c>
      <c r="Y19" s="2">
        <f>Y8/'Output-Calculation-sheet'!Y7*'Output-Calculation-sheet'!Y25</f>
        <v>0</v>
      </c>
      <c r="AA19" s="2">
        <f t="shared" si="0"/>
        <v>12.863878861587326</v>
      </c>
    </row>
    <row r="20" spans="1:27" x14ac:dyDescent="0.25">
      <c r="A20" s="2">
        <v>2032</v>
      </c>
      <c r="B20" s="2">
        <f>B9/'Output-Calculation-sheet'!B8*'Output-Calculation-sheet'!B26</f>
        <v>6694.8787721551826</v>
      </c>
      <c r="C20" s="2">
        <f>C9/'Output-Calculation-sheet'!C8*'Output-Calculation-sheet'!C26</f>
        <v>3671.3080722852601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2203.9043635171511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1540.1035793181231</v>
      </c>
      <c r="N20" s="2">
        <f>N9/'Output-Calculation-sheet'!N8*'Output-Calculation-sheet'!N26</f>
        <v>1067.3337480592766</v>
      </c>
      <c r="O20" s="2">
        <f>O9/'Output-Calculation-sheet'!O8*'Output-Calculation-sheet'!O26</f>
        <v>717.30556025191265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506.29319083059858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167.58576253553093</v>
      </c>
      <c r="Y20" s="2">
        <f>Y9/'Output-Calculation-sheet'!Y8*'Output-Calculation-sheet'!Y26</f>
        <v>0</v>
      </c>
      <c r="AA20" s="2">
        <f t="shared" si="0"/>
        <v>16.568713048953036</v>
      </c>
    </row>
    <row r="21" spans="1:27" x14ac:dyDescent="0.25">
      <c r="A21" s="2">
        <v>2033</v>
      </c>
      <c r="B21" s="2">
        <f>B10/'Output-Calculation-sheet'!B9*'Output-Calculation-sheet'!B27</f>
        <v>6561.0418829001774</v>
      </c>
      <c r="C21" s="2">
        <f>C10/'Output-Calculation-sheet'!C9*'Output-Calculation-sheet'!C27</f>
        <v>4032.6940058886812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1322.2267757745167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935.88301937259973</v>
      </c>
      <c r="N21" s="2">
        <f>N10/'Output-Calculation-sheet'!N9*'Output-Calculation-sheet'!N27</f>
        <v>947.76619921261863</v>
      </c>
      <c r="O21" s="2">
        <f>O10/'Output-Calculation-sheet'!O9*'Output-Calculation-sheet'!O27</f>
        <v>789.51502831300786</v>
      </c>
      <c r="P21" s="2">
        <f>P10/'Output-Calculation-sheet'!P9*'Output-Calculation-sheet'!P27</f>
        <v>0</v>
      </c>
      <c r="Q21" s="2">
        <f>Q10/'Output-Calculation-sheet'!Q9*'Output-Calculation-sheet'!Q27</f>
        <v>11.189507366909163</v>
      </c>
      <c r="R21" s="2">
        <f>R10/'Output-Calculation-sheet'!R9*'Output-Calculation-sheet'!R27</f>
        <v>0</v>
      </c>
      <c r="S21" s="2">
        <f>S10/'Output-Calculation-sheet'!S9*'Output-Calculation-sheet'!S27</f>
        <v>451.29117361352655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93.451941652923324</v>
      </c>
      <c r="Y21" s="2">
        <f>Y10/'Output-Calculation-sheet'!Y9*'Output-Calculation-sheet'!Y27</f>
        <v>0</v>
      </c>
      <c r="AA21" s="2">
        <f t="shared" si="0"/>
        <v>15.145059534094962</v>
      </c>
    </row>
    <row r="22" spans="1:27" x14ac:dyDescent="0.25">
      <c r="A22" s="2">
        <v>2034</v>
      </c>
      <c r="B22" s="2">
        <f>B11/'Output-Calculation-sheet'!B10*'Output-Calculation-sheet'!B28</f>
        <v>5929.2774265766511</v>
      </c>
      <c r="C22" s="2">
        <f>C11/'Output-Calculation-sheet'!C10*'Output-Calculation-sheet'!C28</f>
        <v>598.53708914630874</v>
      </c>
      <c r="D22" s="2">
        <f>D11/'Output-Calculation-sheet'!D10*'Output-Calculation-sheet'!D28</f>
        <v>0</v>
      </c>
      <c r="E22" s="2">
        <f>E11/'Output-Calculation-sheet'!E10*'Output-Calculation-sheet'!E28</f>
        <v>1987.4665573235429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1575.9950491111451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1205.3628691764477</v>
      </c>
      <c r="M22" s="2">
        <f>M11/'Output-Calculation-sheet'!M10*'Output-Calculation-sheet'!M28</f>
        <v>1121.6296692596197</v>
      </c>
      <c r="N22" s="2">
        <f>N11/'Output-Calculation-sheet'!N10*'Output-Calculation-sheet'!N28</f>
        <v>749.81583300116665</v>
      </c>
      <c r="O22" s="2">
        <f>O11/'Output-Calculation-sheet'!O10*'Output-Calculation-sheet'!O28</f>
        <v>117.40444301088634</v>
      </c>
      <c r="P22" s="2">
        <f>P11/'Output-Calculation-sheet'!P10*'Output-Calculation-sheet'!P28</f>
        <v>0</v>
      </c>
      <c r="Q22" s="2">
        <f>Q11/'Output-Calculation-sheet'!Q10*'Output-Calculation-sheet'!Q28</f>
        <v>355.4584970530762</v>
      </c>
      <c r="R22" s="2">
        <f>R11/'Output-Calculation-sheet'!R10*'Output-Calculation-sheet'!R28</f>
        <v>0</v>
      </c>
      <c r="S22" s="2">
        <f>S11/'Output-Calculation-sheet'!S10*'Output-Calculation-sheet'!S28</f>
        <v>280.75483588040754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110.20792441445016</v>
      </c>
      <c r="Y22" s="2">
        <f>Y11/'Output-Calculation-sheet'!Y10*'Output-Calculation-sheet'!Y28</f>
        <v>20.961874827311256</v>
      </c>
      <c r="AA22" s="2">
        <f t="shared" si="0"/>
        <v>14.052872068781014</v>
      </c>
    </row>
    <row r="23" spans="1:27" x14ac:dyDescent="0.25">
      <c r="A23" s="2">
        <v>2035</v>
      </c>
      <c r="B23" s="2">
        <f>B12/'Output-Calculation-sheet'!B11*'Output-Calculation-sheet'!B29</f>
        <v>2079.6433117788424</v>
      </c>
      <c r="C23" s="2">
        <f>C12/'Output-Calculation-sheet'!C11*'Output-Calculation-sheet'!C29</f>
        <v>357.65836079129735</v>
      </c>
      <c r="D23" s="2">
        <f>D12/'Output-Calculation-sheet'!D11*'Output-Calculation-sheet'!D29</f>
        <v>0</v>
      </c>
      <c r="E23" s="2">
        <f>E12/'Output-Calculation-sheet'!E11*'Output-Calculation-sheet'!E29</f>
        <v>2911.9664171984009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557.8177641943073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1762.2594734849911</v>
      </c>
      <c r="M23" s="2">
        <f>M12/'Output-Calculation-sheet'!M11*'Output-Calculation-sheet'!M29</f>
        <v>503.1703628642515</v>
      </c>
      <c r="N23" s="2">
        <f>N12/'Output-Calculation-sheet'!N11*'Output-Calculation-sheet'!N29</f>
        <v>421.85780433749341</v>
      </c>
      <c r="O23" s="2">
        <f>O12/'Output-Calculation-sheet'!O11*'Output-Calculation-sheet'!O29</f>
        <v>60.958759176727199</v>
      </c>
      <c r="P23" s="2">
        <f>P12/'Output-Calculation-sheet'!P11*'Output-Calculation-sheet'!P29</f>
        <v>27.013726397904275</v>
      </c>
      <c r="Q23" s="2">
        <f>Q12/'Output-Calculation-sheet'!Q11*'Output-Calculation-sheet'!Q29</f>
        <v>543.89050605071225</v>
      </c>
      <c r="R23" s="2">
        <f>R12/'Output-Calculation-sheet'!R11*'Output-Calculation-sheet'!R29</f>
        <v>0</v>
      </c>
      <c r="S23" s="2">
        <f>S12/'Output-Calculation-sheet'!S11*'Output-Calculation-sheet'!S29</f>
        <v>206.55484016290723</v>
      </c>
      <c r="T23" s="2">
        <f>T12/'Output-Calculation-sheet'!T11*'Output-Calculation-sheet'!T29</f>
        <v>0</v>
      </c>
      <c r="U23" s="2">
        <f>U12/'Output-Calculation-sheet'!U11*'Output-Calculation-sheet'!U29</f>
        <v>148.09444873036523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17.845984176037867</v>
      </c>
      <c r="Y23" s="2">
        <f>Y12/'Output-Calculation-sheet'!Y11*'Output-Calculation-sheet'!Y29</f>
        <v>95.638851720065034</v>
      </c>
      <c r="AA23" s="2">
        <f t="shared" si="0"/>
        <v>9.6943706110643042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1213.9508853692137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47.59592343848275</v>
      </c>
    </row>
    <row r="31" spans="1:27" x14ac:dyDescent="0.25">
      <c r="A31" s="2">
        <v>2032</v>
      </c>
      <c r="B31" s="2">
        <f>B9/'Output-Calculation-sheet'!B8*'Output-Calculation-sheet'!B17</f>
        <v>28148.042621175198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1100.618132245593</v>
      </c>
      <c r="O31" s="2">
        <f>O9/'Output-Calculation-sheet'!O8*'Output-Calculation-sheet'!O17</f>
        <v>0</v>
      </c>
      <c r="P31" s="2">
        <f>P9/'Output-Calculation-sheet'!P8*'Output-Calculation-sheet'!P17</f>
        <v>2751.5527339753235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910.94616308401487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64.491242169261071</v>
      </c>
    </row>
    <row r="32" spans="1:27" x14ac:dyDescent="0.25">
      <c r="A32" s="2">
        <v>2033</v>
      </c>
      <c r="B32" s="2">
        <f>B10/'Output-Calculation-sheet'!B9*'Output-Calculation-sheet'!B18</f>
        <v>23733.023126516251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3715.7343330672725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960.59865389325898</v>
      </c>
      <c r="O32" s="2">
        <f>O10/'Output-Calculation-sheet'!O9*'Output-Calculation-sheet'!O18</f>
        <v>0</v>
      </c>
      <c r="P32" s="2">
        <f>P10/'Output-Calculation-sheet'!P9*'Output-Calculation-sheet'!P18</f>
        <v>3824.2332279483871</v>
      </c>
      <c r="Q32" s="2">
        <f>Q10/'Output-Calculation-sheet'!Q9*'Output-Calculation-sheet'!Q18</f>
        <v>3540.7112232211884</v>
      </c>
      <c r="R32" s="2">
        <f>R10/'Output-Calculation-sheet'!R9*'Output-Calculation-sheet'!R18</f>
        <v>2746.0817575910987</v>
      </c>
      <c r="S32" s="2">
        <f>S10/'Output-Calculation-sheet'!S9*'Output-Calculation-sheet'!S18</f>
        <v>873.86084009753597</v>
      </c>
      <c r="T32" s="2">
        <f>T10/'Output-Calculation-sheet'!T9*'Output-Calculation-sheet'!T18</f>
        <v>801.77274809310211</v>
      </c>
      <c r="U32" s="2">
        <f>U10/'Output-Calculation-sheet'!U9*'Output-Calculation-sheet'!U18</f>
        <v>886.35161169198193</v>
      </c>
      <c r="V32" s="2">
        <f>V10/'Output-Calculation-sheet'!V9*'Output-Calculation-sheet'!V18</f>
        <v>654.24703884538349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378.75751333991991</v>
      </c>
      <c r="AA32" s="2">
        <f t="shared" si="1"/>
        <v>75.449476591509622</v>
      </c>
    </row>
    <row r="33" spans="1:27" x14ac:dyDescent="0.25">
      <c r="A33" s="2">
        <v>2034</v>
      </c>
      <c r="B33" s="2">
        <f>B11/'Output-Calculation-sheet'!B10*'Output-Calculation-sheet'!B19</f>
        <v>17939.941163626834</v>
      </c>
      <c r="C33" s="2">
        <f>C11/'Output-Calculation-sheet'!C10*'Output-Calculation-sheet'!C19</f>
        <v>0</v>
      </c>
      <c r="D33" s="2">
        <f>D11/'Output-Calculation-sheet'!D10*'Output-Calculation-sheet'!D19</f>
        <v>11929.724909392695</v>
      </c>
      <c r="E33" s="2">
        <f>E11/'Output-Calculation-sheet'!E10*'Output-Calculation-sheet'!E19</f>
        <v>14788.16888847392</v>
      </c>
      <c r="F33" s="2">
        <f>F11/'Output-Calculation-sheet'!F10*'Output-Calculation-sheet'!F19</f>
        <v>6771.2462333726371</v>
      </c>
      <c r="G33" s="2">
        <f>G11/'Output-Calculation-sheet'!G10*'Output-Calculation-sheet'!G19</f>
        <v>4060.460129649467</v>
      </c>
      <c r="H33" s="2">
        <f>H11/'Output-Calculation-sheet'!H10*'Output-Calculation-sheet'!H19</f>
        <v>0</v>
      </c>
      <c r="I33" s="2">
        <f>I11/'Output-Calculation-sheet'!I10*'Output-Calculation-sheet'!I19</f>
        <v>4431.1085197525845</v>
      </c>
      <c r="J33" s="2">
        <f>J11/'Output-Calculation-sheet'!J10*'Output-Calculation-sheet'!J19</f>
        <v>3746.3628624328471</v>
      </c>
      <c r="K33" s="2">
        <f>K11/'Output-Calculation-sheet'!K10*'Output-Calculation-sheet'!K19</f>
        <v>5197.0110774642117</v>
      </c>
      <c r="L33" s="2">
        <f>L11/'Output-Calculation-sheet'!L10*'Output-Calculation-sheet'!L19</f>
        <v>4226.7425775497377</v>
      </c>
      <c r="M33" s="2">
        <f>M11/'Output-Calculation-sheet'!M10*'Output-Calculation-sheet'!M19</f>
        <v>0</v>
      </c>
      <c r="N33" s="2">
        <f>N11/'Output-Calculation-sheet'!N10*'Output-Calculation-sheet'!N19</f>
        <v>802.32063591620056</v>
      </c>
      <c r="O33" s="2">
        <f>O11/'Output-Calculation-sheet'!O10*'Output-Calculation-sheet'!O19</f>
        <v>0</v>
      </c>
      <c r="P33" s="2">
        <f>P11/'Output-Calculation-sheet'!P10*'Output-Calculation-sheet'!P19</f>
        <v>3971.6178753829704</v>
      </c>
      <c r="Q33" s="2">
        <f>Q11/'Output-Calculation-sheet'!Q10*'Output-Calculation-sheet'!Q19</f>
        <v>2567.4150523896969</v>
      </c>
      <c r="R33" s="2">
        <f>R11/'Output-Calculation-sheet'!R10*'Output-Calculation-sheet'!R19</f>
        <v>3755.2158348598273</v>
      </c>
      <c r="S33" s="2">
        <f>S11/'Output-Calculation-sheet'!S10*'Output-Calculation-sheet'!S19</f>
        <v>510.03447048613776</v>
      </c>
      <c r="T33" s="2">
        <f>T11/'Output-Calculation-sheet'!T10*'Output-Calculation-sheet'!T19</f>
        <v>1101.3847349714792</v>
      </c>
      <c r="U33" s="2">
        <f>U11/'Output-Calculation-sheet'!U10*'Output-Calculation-sheet'!U19</f>
        <v>1266.921184690327</v>
      </c>
      <c r="V33" s="2">
        <f>V11/'Output-Calculation-sheet'!V10*'Output-Calculation-sheet'!V19</f>
        <v>863.94403714384362</v>
      </c>
      <c r="W33" s="2">
        <f>W11/'Output-Calculation-sheet'!W10*'Output-Calculation-sheet'!W19</f>
        <v>537.86176926435348</v>
      </c>
      <c r="X33" s="2">
        <f>X11/'Output-Calculation-sheet'!X10*'Output-Calculation-sheet'!X19</f>
        <v>0</v>
      </c>
      <c r="Y33" s="2">
        <f>Y11/'Output-Calculation-sheet'!Y10*'Output-Calculation-sheet'!Y19</f>
        <v>410.68220966683282</v>
      </c>
      <c r="AA33" s="2">
        <f t="shared" si="1"/>
        <v>88.878164166486599</v>
      </c>
    </row>
    <row r="34" spans="1:27" x14ac:dyDescent="0.25">
      <c r="A34" s="2">
        <v>2035</v>
      </c>
      <c r="B34" s="2">
        <f>B12/'Output-Calculation-sheet'!B11*'Output-Calculation-sheet'!B20</f>
        <v>296.45585301295182</v>
      </c>
      <c r="C34" s="2">
        <f>C12/'Output-Calculation-sheet'!C11*'Output-Calculation-sheet'!C20</f>
        <v>0</v>
      </c>
      <c r="D34" s="2">
        <f>D12/'Output-Calculation-sheet'!D11*'Output-Calculation-sheet'!D20</f>
        <v>14688.020988464021</v>
      </c>
      <c r="E34" s="2">
        <f>E12/'Output-Calculation-sheet'!E11*'Output-Calculation-sheet'!E20</f>
        <v>5919.1273647624848</v>
      </c>
      <c r="F34" s="2">
        <f>F12/'Output-Calculation-sheet'!F11*'Output-Calculation-sheet'!F20</f>
        <v>9703.6479018013015</v>
      </c>
      <c r="G34" s="2">
        <f>G12/'Output-Calculation-sheet'!G11*'Output-Calculation-sheet'!G20</f>
        <v>4855.3600000753895</v>
      </c>
      <c r="H34" s="2">
        <f>H12/'Output-Calculation-sheet'!H11*'Output-Calculation-sheet'!H20</f>
        <v>0</v>
      </c>
      <c r="I34" s="2">
        <f>I12/'Output-Calculation-sheet'!I11*'Output-Calculation-sheet'!I20</f>
        <v>5885.7815069669559</v>
      </c>
      <c r="J34" s="2">
        <f>J12/'Output-Calculation-sheet'!J11*'Output-Calculation-sheet'!J20</f>
        <v>4932.20458842059</v>
      </c>
      <c r="K34" s="2">
        <f>K12/'Output-Calculation-sheet'!K11*'Output-Calculation-sheet'!K20</f>
        <v>6958.6247490240012</v>
      </c>
      <c r="L34" s="2">
        <f>L12/'Output-Calculation-sheet'!L11*'Output-Calculation-sheet'!L20</f>
        <v>2658.1744259783782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1120.9303681159795</v>
      </c>
      <c r="Q34" s="2">
        <f>Q12/'Output-Calculation-sheet'!Q11*'Output-Calculation-sheet'!Q20</f>
        <v>1089.6230595901789</v>
      </c>
      <c r="R34" s="2">
        <f>R12/'Output-Calculation-sheet'!R11*'Output-Calculation-sheet'!R20</f>
        <v>4388.8694183378493</v>
      </c>
      <c r="S34" s="2">
        <f>S12/'Output-Calculation-sheet'!S11*'Output-Calculation-sheet'!S20</f>
        <v>1.3714156343923933</v>
      </c>
      <c r="T34" s="2">
        <f>T12/'Output-Calculation-sheet'!T11*'Output-Calculation-sheet'!T20</f>
        <v>1442.5049585913687</v>
      </c>
      <c r="U34" s="2">
        <f>U12/'Output-Calculation-sheet'!U11*'Output-Calculation-sheet'!U20</f>
        <v>607.35692434539612</v>
      </c>
      <c r="V34" s="2">
        <f>V12/'Output-Calculation-sheet'!V11*'Output-Calculation-sheet'!V20</f>
        <v>1303.9243906160907</v>
      </c>
      <c r="W34" s="2">
        <f>W12/'Output-Calculation-sheet'!W11*'Output-Calculation-sheet'!W20</f>
        <v>772.23007603667543</v>
      </c>
      <c r="X34" s="2">
        <f>X12/'Output-Calculation-sheet'!X11*'Output-Calculation-sheet'!X20</f>
        <v>0</v>
      </c>
      <c r="Y34" s="2">
        <f>Y12/'Output-Calculation-sheet'!Y11*'Output-Calculation-sheet'!Y20</f>
        <v>164.22933155443994</v>
      </c>
      <c r="AA34" s="2">
        <f t="shared" si="1"/>
        <v>66.788437321328431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0.12703747687079725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1.7352593730552136E-2</v>
      </c>
      <c r="Q45" s="2">
        <f>Q12/'Output-Calculation-sheet'!Q11*'Output-Calculation-sheet'!Q38*0.0114</f>
        <v>1.6457164084484482E-2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1.5752474594833671E-2</v>
      </c>
      <c r="V45" s="2">
        <f>V12/'Output-Calculation-sheet'!V11*'Output-Calculation-sheet'!V38*0.0114</f>
        <v>8.0976893548636887E-3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6.0696712628807385E-3</v>
      </c>
      <c r="AA45" s="2">
        <f t="shared" si="2"/>
        <v>1.4376835097669716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0.17947074358968468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243.46729932462475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0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22.717297132667575</v>
      </c>
      <c r="AA54" s="2">
        <f t="shared" si="3"/>
        <v>5.9972767759411614</v>
      </c>
    </row>
    <row r="55" spans="1:27" x14ac:dyDescent="0.25">
      <c r="A55" s="2">
        <v>2034</v>
      </c>
      <c r="B55" s="2">
        <f>B11/'Output-Calculation-sheet'!B10*'Output-Calculation-sheet'!B46</f>
        <v>2343.9832118894824</v>
      </c>
      <c r="C55" s="2">
        <f>C11/'Output-Calculation-sheet'!C10*'Output-Calculation-sheet'!C46</f>
        <v>0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799.08424771819989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592.26455373097815</v>
      </c>
      <c r="N55" s="2">
        <f>N11/'Output-Calculation-sheet'!N10*'Output-Calculation-sheet'!N46</f>
        <v>202.26817179442617</v>
      </c>
      <c r="O55" s="2">
        <f>O11/'Output-Calculation-sheet'!O10*'Output-Calculation-sheet'!O46</f>
        <v>0</v>
      </c>
      <c r="P55" s="2">
        <f>P11/'Output-Calculation-sheet'!P10*'Output-Calculation-sheet'!P46</f>
        <v>4399.0614382099147</v>
      </c>
      <c r="Q55" s="2">
        <f>Q11/'Output-Calculation-sheet'!Q10*'Output-Calculation-sheet'!Q46</f>
        <v>849.56361091404904</v>
      </c>
      <c r="R55" s="2">
        <f>R11/'Output-Calculation-sheet'!R10*'Output-Calculation-sheet'!R46</f>
        <v>5448.0930178947465</v>
      </c>
      <c r="S55" s="2">
        <f>S11/'Output-Calculation-sheet'!S10*'Output-Calculation-sheet'!S46</f>
        <v>0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2070.0839908731946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56.527931831486221</v>
      </c>
      <c r="Y55" s="2">
        <f>Y11/'Output-Calculation-sheet'!Y10*'Output-Calculation-sheet'!Y46</f>
        <v>293.54175350648899</v>
      </c>
      <c r="AA55" s="2">
        <f t="shared" si="3"/>
        <v>58.653864839141455</v>
      </c>
    </row>
    <row r="56" spans="1:27" x14ac:dyDescent="0.25">
      <c r="A56" s="2">
        <v>2035</v>
      </c>
      <c r="B56" s="2">
        <f>B12/'Output-Calculation-sheet'!B11*'Output-Calculation-sheet'!B47</f>
        <v>817.09623116405908</v>
      </c>
      <c r="C56" s="2">
        <f>C12/'Output-Calculation-sheet'!C11*'Output-Calculation-sheet'!C47</f>
        <v>617.33463469177241</v>
      </c>
      <c r="D56" s="2">
        <f>D12/'Output-Calculation-sheet'!D11*'Output-Calculation-sheet'!D47</f>
        <v>29165.433891805485</v>
      </c>
      <c r="E56" s="2">
        <f>E12/'Output-Calculation-sheet'!E11*'Output-Calculation-sheet'!E47</f>
        <v>13383.50962472171</v>
      </c>
      <c r="F56" s="2">
        <f>F12/'Output-Calculation-sheet'!F11*'Output-Calculation-sheet'!F47</f>
        <v>6861.4016342371788</v>
      </c>
      <c r="G56" s="2">
        <f>G12/'Output-Calculation-sheet'!G11*'Output-Calculation-sheet'!G47</f>
        <v>11018.11019405592</v>
      </c>
      <c r="H56" s="2">
        <f>H12/'Output-Calculation-sheet'!H11*'Output-Calculation-sheet'!H47</f>
        <v>238.76160541517453</v>
      </c>
      <c r="I56" s="2">
        <f>I12/'Output-Calculation-sheet'!I11*'Output-Calculation-sheet'!I47</f>
        <v>10036.784929154051</v>
      </c>
      <c r="J56" s="2">
        <f>J12/'Output-Calculation-sheet'!J11*'Output-Calculation-sheet'!J47</f>
        <v>8659.2745638132692</v>
      </c>
      <c r="K56" s="2">
        <f>K12/'Output-Calculation-sheet'!K11*'Output-Calculation-sheet'!K47</f>
        <v>11678.734275341702</v>
      </c>
      <c r="L56" s="2">
        <f>L12/'Output-Calculation-sheet'!L11*'Output-Calculation-sheet'!L47</f>
        <v>5206.2486263376359</v>
      </c>
      <c r="M56" s="2">
        <f>M12/'Output-Calculation-sheet'!M11*'Output-Calculation-sheet'!M47</f>
        <v>221.29021562487489</v>
      </c>
      <c r="N56" s="2">
        <f>N12/'Output-Calculation-sheet'!N11*'Output-Calculation-sheet'!N47</f>
        <v>149.93793844821525</v>
      </c>
      <c r="O56" s="2">
        <f>O12/'Output-Calculation-sheet'!O11*'Output-Calculation-sheet'!O47</f>
        <v>112.24308681584738</v>
      </c>
      <c r="P56" s="2">
        <f>P12/'Output-Calculation-sheet'!P11*'Output-Calculation-sheet'!P47</f>
        <v>1172.0611554846616</v>
      </c>
      <c r="Q56" s="2">
        <f>Q12/'Output-Calculation-sheet'!Q11*'Output-Calculation-sheet'!Q47</f>
        <v>1115.9112137988161</v>
      </c>
      <c r="R56" s="2">
        <f>R12/'Output-Calculation-sheet'!R11*'Output-Calculation-sheet'!R47</f>
        <v>8233.2022015521397</v>
      </c>
      <c r="S56" s="2">
        <f>S12/'Output-Calculation-sheet'!S11*'Output-Calculation-sheet'!S47</f>
        <v>78.393593426011464</v>
      </c>
      <c r="T56" s="2">
        <f>T12/'Output-Calculation-sheet'!T11*'Output-Calculation-sheet'!T47</f>
        <v>3604.7476186075405</v>
      </c>
      <c r="U56" s="2">
        <f>U12/'Output-Calculation-sheet'!U11*'Output-Calculation-sheet'!U47</f>
        <v>1449.9646206004793</v>
      </c>
      <c r="V56" s="2">
        <f>V12/'Output-Calculation-sheet'!V11*'Output-Calculation-sheet'!V47</f>
        <v>1956.5864322782481</v>
      </c>
      <c r="W56" s="2">
        <f>W12/'Output-Calculation-sheet'!W11*'Output-Calculation-sheet'!W47</f>
        <v>1047.8086794710007</v>
      </c>
      <c r="X56" s="2">
        <f>X12/'Output-Calculation-sheet'!X11*'Output-Calculation-sheet'!X47</f>
        <v>16.919634203401625</v>
      </c>
      <c r="Y56" s="2">
        <f>Y12/'Output-Calculation-sheet'!Y11*'Output-Calculation-sheet'!Y47</f>
        <v>343.41561092614705</v>
      </c>
      <c r="AA56" s="2">
        <f t="shared" si="3"/>
        <v>117.1851722119753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8.7778515642589756</v>
      </c>
      <c r="C63" s="2">
        <f>C8*'Output-Calculation-sheet'!C52/10^9</f>
        <v>4.6895797546322786</v>
      </c>
      <c r="D63" s="2">
        <f>D8*'Output-Calculation-sheet'!D52/10^9</f>
        <v>3.010113412663642</v>
      </c>
      <c r="E63" s="2">
        <f>E8*'Output-Calculation-sheet'!E52/10^9</f>
        <v>2.9928601598075537</v>
      </c>
      <c r="F63" s="2">
        <f>F8*'Output-Calculation-sheet'!F52/10^9</f>
        <v>1.2674760302600185</v>
      </c>
      <c r="G63" s="2">
        <f>G8*'Output-Calculation-sheet'!G52/10^9</f>
        <v>0.91125800607947871</v>
      </c>
      <c r="H63" s="2">
        <f>H8*'Output-Calculation-sheet'!H52/10^9</f>
        <v>1.4820736046378717</v>
      </c>
      <c r="I63" s="2">
        <f>I8*'Output-Calculation-sheet'!I52/10^9</f>
        <v>0.84768150556492117</v>
      </c>
      <c r="J63" s="2">
        <f>J8*'Output-Calculation-sheet'!J52/10^9</f>
        <v>1.166467209147166</v>
      </c>
      <c r="K63" s="2">
        <f>K8*'Output-Calculation-sheet'!K52/10^9</f>
        <v>1.0248451912251655</v>
      </c>
      <c r="L63" s="2">
        <f>L8*'Output-Calculation-sheet'!L52/10^9</f>
        <v>1.3784660918032652</v>
      </c>
      <c r="M63" s="2">
        <f>M8*'Output-Calculation-sheet'!M52/10^9</f>
        <v>1.214163551022585</v>
      </c>
      <c r="N63" s="2">
        <f>N8*'Output-Calculation-sheet'!N52/10^9</f>
        <v>1.0713233288139576</v>
      </c>
      <c r="O63" s="2">
        <f>O8*'Output-Calculation-sheet'!O52/10^9</f>
        <v>0.95944753431022323</v>
      </c>
      <c r="P63" s="2">
        <f>P8*'Output-Calculation-sheet'!P52/10^9</f>
        <v>0.70814038194302775</v>
      </c>
      <c r="Q63" s="2">
        <f>Q8*'Output-Calculation-sheet'!Q52/10^9</f>
        <v>0.80140739471996525</v>
      </c>
      <c r="R63" s="2">
        <f>R8*'Output-Calculation-sheet'!R52/10^9</f>
        <v>0.71950476088426962</v>
      </c>
      <c r="S63" s="2">
        <f>S8*'Output-Calculation-sheet'!S52/10^9</f>
        <v>0.53317852113484809</v>
      </c>
      <c r="T63" s="2">
        <f>T8*'Output-Calculation-sheet'!T52/10^9</f>
        <v>0.27354543199228909</v>
      </c>
      <c r="U63" s="2">
        <f>U8*'Output-Calculation-sheet'!U52/10^9</f>
        <v>0.18786807147166196</v>
      </c>
      <c r="V63" s="2">
        <f>V8*'Output-Calculation-sheet'!V52/10^9</f>
        <v>0.33342143015593378</v>
      </c>
      <c r="W63" s="2">
        <f>W8*'Output-Calculation-sheet'!W52/10^9</f>
        <v>0.12068293676448454</v>
      </c>
      <c r="X63" s="2">
        <f>X8*'Output-Calculation-sheet'!X52/10^9</f>
        <v>0.12434946109659213</v>
      </c>
      <c r="Y63" s="2">
        <f>Y8*'Output-Calculation-sheet'!Y52/10^9</f>
        <v>7.8742259134164647E-2</v>
      </c>
      <c r="AA63" s="2">
        <f t="shared" si="4"/>
        <v>34.674447593524341</v>
      </c>
    </row>
    <row r="64" spans="1:27" x14ac:dyDescent="0.25">
      <c r="A64" s="2">
        <v>2032</v>
      </c>
      <c r="B64" s="2">
        <f>B9*'Output-Calculation-sheet'!B53/10^9</f>
        <v>9.5985749620864986</v>
      </c>
      <c r="C64" s="2">
        <f>C9*'Output-Calculation-sheet'!C53/10^9</f>
        <v>5.0885010368176404</v>
      </c>
      <c r="D64" s="2">
        <f>D9*'Output-Calculation-sheet'!D53/10^9</f>
        <v>2.8427850885687653</v>
      </c>
      <c r="E64" s="2">
        <f>E9*'Output-Calculation-sheet'!E53/10^9</f>
        <v>2.9111370072696907</v>
      </c>
      <c r="F64" s="2">
        <f>F9*'Output-Calculation-sheet'!F53/10^9</f>
        <v>1.2278993353385377</v>
      </c>
      <c r="G64" s="2">
        <f>G9*'Output-Calculation-sheet'!G53/10^9</f>
        <v>0.87398118410140024</v>
      </c>
      <c r="H64" s="2">
        <f>H9*'Output-Calculation-sheet'!H53/10^9</f>
        <v>1.5969883000544205</v>
      </c>
      <c r="I64" s="2">
        <f>I9*'Output-Calculation-sheet'!I53/10^9</f>
        <v>0.81702956683608374</v>
      </c>
      <c r="J64" s="2">
        <f>J9*'Output-Calculation-sheet'!J53/10^9</f>
        <v>1.0815811383118819</v>
      </c>
      <c r="K64" s="2">
        <f>K9*'Output-Calculation-sheet'!K53/10^9</f>
        <v>1.0035601434420698</v>
      </c>
      <c r="L64" s="2">
        <f>L9*'Output-Calculation-sheet'!L53/10^9</f>
        <v>1.291077124968466</v>
      </c>
      <c r="M64" s="2">
        <f>M9*'Output-Calculation-sheet'!M53/10^9</f>
        <v>1.2670234345453757</v>
      </c>
      <c r="N64" s="2">
        <f>N9*'Output-Calculation-sheet'!N53/10^9</f>
        <v>1.1407304756124408</v>
      </c>
      <c r="O64" s="2">
        <f>O9*'Output-Calculation-sheet'!O53/10^9</f>
        <v>1.0304595663497691</v>
      </c>
      <c r="P64" s="2">
        <f>P9*'Output-Calculation-sheet'!P53/10^9</f>
        <v>0.76513129434624128</v>
      </c>
      <c r="Q64" s="2">
        <f>Q9*'Output-Calculation-sheet'!Q53/10^9</f>
        <v>0.84560194894530971</v>
      </c>
      <c r="R64" s="2">
        <f>R9*'Output-Calculation-sheet'!R53/10^9</f>
        <v>0.7248805606644475</v>
      </c>
      <c r="S64" s="2">
        <f>S9*'Output-Calculation-sheet'!S53/10^9</f>
        <v>0.58329110332260148</v>
      </c>
      <c r="T64" s="2">
        <f>T9*'Output-Calculation-sheet'!T53/10^9</f>
        <v>0.26057465822454462</v>
      </c>
      <c r="U64" s="2">
        <f>U9*'Output-Calculation-sheet'!U53/10^9</f>
        <v>0.1961291123779115</v>
      </c>
      <c r="V64" s="2">
        <f>V9*'Output-Calculation-sheet'!V53/10^9</f>
        <v>0.3092844987135086</v>
      </c>
      <c r="W64" s="2">
        <f>W9*'Output-Calculation-sheet'!W53/10^9</f>
        <v>0.114924346374511</v>
      </c>
      <c r="X64" s="2">
        <f>X9*'Output-Calculation-sheet'!X53/10^9</f>
        <v>0.13175911892240152</v>
      </c>
      <c r="Y64" s="2">
        <f>Y9*'Output-Calculation-sheet'!Y53/10^9</f>
        <v>8.0519789495283878E-2</v>
      </c>
      <c r="AA64" s="2">
        <f t="shared" si="4"/>
        <v>35.78342479568979</v>
      </c>
    </row>
    <row r="65" spans="1:27" x14ac:dyDescent="0.25">
      <c r="A65" s="2">
        <v>2033</v>
      </c>
      <c r="B65" s="2">
        <f>B10*'Output-Calculation-sheet'!B54/10^9</f>
        <v>10.304276374840839</v>
      </c>
      <c r="C65" s="2">
        <f>C10*'Output-Calculation-sheet'!C54/10^9</f>
        <v>5.3264651239882008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1.6726898222217614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0.97455153110055392</v>
      </c>
      <c r="L65" s="2">
        <f>L10*'Output-Calculation-sheet'!L54/10^9</f>
        <v>1.1510652639468597</v>
      </c>
      <c r="M65" s="2">
        <f>M10*'Output-Calculation-sheet'!M54/10^9</f>
        <v>1.2755325149551227</v>
      </c>
      <c r="N65" s="2">
        <f>N10*'Output-Calculation-sheet'!N54/10^9</f>
        <v>1.1704573853182512</v>
      </c>
      <c r="O65" s="2">
        <f>O10*'Output-Calculation-sheet'!O54/10^9</f>
        <v>1.0674471640860694</v>
      </c>
      <c r="P65" s="2">
        <f>P10*'Output-Calculation-sheet'!P54/10^9</f>
        <v>0.82452032572634104</v>
      </c>
      <c r="Q65" s="2">
        <f>Q10*'Output-Calculation-sheet'!Q54/10^9</f>
        <v>0.89817967826201572</v>
      </c>
      <c r="R65" s="2">
        <f>R10*'Output-Calculation-sheet'!R54/10^9</f>
        <v>0.72589914871446526</v>
      </c>
      <c r="S65" s="2">
        <f>S10*'Output-Calculation-sheet'!S54/10^9</f>
        <v>0.6174145787297296</v>
      </c>
      <c r="T65" s="2">
        <f>T10*'Output-Calculation-sheet'!T54/10^9</f>
        <v>0.24270101670768329</v>
      </c>
      <c r="U65" s="2">
        <f>U10*'Output-Calculation-sheet'!U54/10^9</f>
        <v>0.20956617016053902</v>
      </c>
      <c r="V65" s="2">
        <f>V10*'Output-Calculation-sheet'!V54/10^9</f>
        <v>0.26859670717626866</v>
      </c>
      <c r="W65" s="2">
        <f>W10*'Output-Calculation-sheet'!W54/10^9</f>
        <v>0.10225999366502159</v>
      </c>
      <c r="X65" s="2">
        <f>X10*'Output-Calculation-sheet'!X54/10^9</f>
        <v>0.13374048490456875</v>
      </c>
      <c r="Y65" s="2">
        <f>Y10*'Output-Calculation-sheet'!Y54/10^9</f>
        <v>8.4167115985701854E-2</v>
      </c>
      <c r="AA65" s="2">
        <f t="shared" si="4"/>
        <v>35.971206577353968</v>
      </c>
    </row>
    <row r="66" spans="1:27" x14ac:dyDescent="0.25">
      <c r="A66" s="2">
        <v>2034</v>
      </c>
      <c r="B66" s="2">
        <f>B11*'Output-Calculation-sheet'!B55/10^9</f>
        <v>10.903311850515902</v>
      </c>
      <c r="C66" s="2">
        <f>C11*'Output-Calculation-sheet'!C55/10^9</f>
        <v>5.484799654148615</v>
      </c>
      <c r="D66" s="2">
        <f>D11*'Output-Calculation-sheet'!D55/10^9</f>
        <v>2.4607044367901603</v>
      </c>
      <c r="E66" s="2">
        <f>E11*'Output-Calculation-sheet'!E55/10^9</f>
        <v>2.979741139526999</v>
      </c>
      <c r="F66" s="2">
        <f>F11*'Output-Calculation-sheet'!F55/10^9</f>
        <v>1.1451630860968429</v>
      </c>
      <c r="G66" s="2">
        <f>G11*'Output-Calculation-sheet'!G55/10^9</f>
        <v>0.81853034524302981</v>
      </c>
      <c r="H66" s="2">
        <f>H11*'Output-Calculation-sheet'!H55/10^9</f>
        <v>1.708081089428177</v>
      </c>
      <c r="I66" s="2">
        <f>I11*'Output-Calculation-sheet'!I55/10^9</f>
        <v>0.80049945208838003</v>
      </c>
      <c r="J66" s="2">
        <f>J11*'Output-Calculation-sheet'!J55/10^9</f>
        <v>0.82310312295567878</v>
      </c>
      <c r="K66" s="2">
        <f>K11*'Output-Calculation-sheet'!K55/10^9</f>
        <v>0.98450081868005102</v>
      </c>
      <c r="L66" s="2">
        <f>L11*'Output-Calculation-sheet'!L55/10^9</f>
        <v>1.0425936583132747</v>
      </c>
      <c r="M66" s="2">
        <f>M11*'Output-Calculation-sheet'!M55/10^9</f>
        <v>1.2450730947683759</v>
      </c>
      <c r="N66" s="2">
        <f>N11*'Output-Calculation-sheet'!N55/10^9</f>
        <v>1.1762341768182139</v>
      </c>
      <c r="O66" s="2">
        <f>O11*'Output-Calculation-sheet'!O55/10^9</f>
        <v>1.0810724767633548</v>
      </c>
      <c r="P66" s="2">
        <f>P11*'Output-Calculation-sheet'!P55/10^9</f>
        <v>0.90268508491846966</v>
      </c>
      <c r="Q66" s="2">
        <f>Q11*'Output-Calculation-sheet'!Q55/10^9</f>
        <v>0.95485741548857483</v>
      </c>
      <c r="R66" s="2">
        <f>R11*'Output-Calculation-sheet'!R55/10^9</f>
        <v>0.73753857329377803</v>
      </c>
      <c r="S66" s="2">
        <f>S11*'Output-Calculation-sheet'!S55/10^9</f>
        <v>0.6433217358137856</v>
      </c>
      <c r="T66" s="2">
        <f>T11*'Output-Calculation-sheet'!T55/10^9</f>
        <v>0.23116604251075043</v>
      </c>
      <c r="U66" s="2">
        <f>U11*'Output-Calculation-sheet'!U55/10^9</f>
        <v>0.23603049227110959</v>
      </c>
      <c r="V66" s="2">
        <f>V11*'Output-Calculation-sheet'!V55/10^9</f>
        <v>0.21929700566298124</v>
      </c>
      <c r="W66" s="2">
        <f>W11*'Output-Calculation-sheet'!W55/10^9</f>
        <v>9.9295596048063026E-2</v>
      </c>
      <c r="X66" s="2">
        <f>X11*'Output-Calculation-sheet'!X55/10^9</f>
        <v>0.1330259259389612</v>
      </c>
      <c r="Y66" s="2">
        <f>Y11*'Output-Calculation-sheet'!Y55/10^9</f>
        <v>9.7086967048114578E-2</v>
      </c>
      <c r="AA66" s="2">
        <f t="shared" si="4"/>
        <v>36.907713241131638</v>
      </c>
    </row>
    <row r="67" spans="1:27" x14ac:dyDescent="0.25">
      <c r="A67" s="2">
        <v>2035</v>
      </c>
      <c r="B67" s="2">
        <f>B12*'Output-Calculation-sheet'!B56/10^9</f>
        <v>11.842974751511694</v>
      </c>
      <c r="C67" s="2">
        <f>C12*'Output-Calculation-sheet'!C56/10^9</f>
        <v>5.5250359720896416</v>
      </c>
      <c r="D67" s="2">
        <f>D12*'Output-Calculation-sheet'!D56/10^9</f>
        <v>3.2403569769790539</v>
      </c>
      <c r="E67" s="2">
        <f>E12*'Output-Calculation-sheet'!E56/10^9</f>
        <v>3.6920538649771921</v>
      </c>
      <c r="F67" s="2">
        <f>F12*'Output-Calculation-sheet'!F56/10^9</f>
        <v>1.5803627550496469</v>
      </c>
      <c r="G67" s="2">
        <f>G12*'Output-Calculation-sheet'!G56/10^9</f>
        <v>1.1091543603507512</v>
      </c>
      <c r="H67" s="2">
        <f>H12*'Output-Calculation-sheet'!H56/10^9</f>
        <v>1.7520763795939769</v>
      </c>
      <c r="I67" s="2">
        <f>I12*'Output-Calculation-sheet'!I56/10^9</f>
        <v>1.1120837370638101</v>
      </c>
      <c r="J67" s="2">
        <f>J12*'Output-Calculation-sheet'!J56/10^9</f>
        <v>1.0059890441990689</v>
      </c>
      <c r="K67" s="2">
        <f>K12*'Output-Calculation-sheet'!K56/10^9</f>
        <v>1.2490384858515002</v>
      </c>
      <c r="L67" s="2">
        <f>L12*'Output-Calculation-sheet'!L56/10^9</f>
        <v>1.146379076318313</v>
      </c>
      <c r="M67" s="2">
        <f>M12*'Output-Calculation-sheet'!M56/10^9</f>
        <v>1.2187310012824024</v>
      </c>
      <c r="N67" s="2">
        <f>N12*'Output-Calculation-sheet'!N56/10^9</f>
        <v>1.1867110150797038</v>
      </c>
      <c r="O67" s="2">
        <f>O12*'Output-Calculation-sheet'!O56/10^9</f>
        <v>1.0739648028112798</v>
      </c>
      <c r="P67" s="2">
        <f>P12*'Output-Calculation-sheet'!P56/10^9</f>
        <v>1.0482611466089999</v>
      </c>
      <c r="Q67" s="2">
        <f>Q12*'Output-Calculation-sheet'!Q56/10^9</f>
        <v>1.0693633275263164</v>
      </c>
      <c r="R67" s="2">
        <f>R12*'Output-Calculation-sheet'!R56/10^9</f>
        <v>0.90464233538267425</v>
      </c>
      <c r="S67" s="2">
        <f>S12*'Output-Calculation-sheet'!S56/10^9</f>
        <v>0.68054875331021025</v>
      </c>
      <c r="T67" s="2">
        <f>T12*'Output-Calculation-sheet'!T56/10^9</f>
        <v>0.2753780719226111</v>
      </c>
      <c r="U67" s="2">
        <f>U12*'Output-Calculation-sheet'!U56/10^9</f>
        <v>0.30254740367052652</v>
      </c>
      <c r="V67" s="2">
        <f>V12*'Output-Calculation-sheet'!V56/10^9</f>
        <v>0.21102663618315931</v>
      </c>
      <c r="W67" s="2">
        <f>W12*'Output-Calculation-sheet'!W56/10^9</f>
        <v>0.13677310076433927</v>
      </c>
      <c r="X67" s="2">
        <f>X12*'Output-Calculation-sheet'!X56/10^9</f>
        <v>0.12947641143752472</v>
      </c>
      <c r="Y67" s="2">
        <f>Y12*'Output-Calculation-sheet'!Y56/10^9</f>
        <v>0.12079606858518027</v>
      </c>
      <c r="AA67" s="2">
        <f t="shared" si="4"/>
        <v>41.613725478549568</v>
      </c>
    </row>
    <row r="68" spans="1:27" x14ac:dyDescent="0.25">
      <c r="B68" s="2">
        <f>SUM(B60:B67)</f>
        <v>51.426989503213903</v>
      </c>
      <c r="C68" s="2">
        <f t="shared" ref="C68:Y68" si="5">SUM(C60:C67)</f>
        <v>26.114381541676373</v>
      </c>
      <c r="D68" s="2">
        <f t="shared" si="5"/>
        <v>14.054523806606536</v>
      </c>
      <c r="E68" s="2">
        <f t="shared" si="5"/>
        <v>15.391384493550367</v>
      </c>
      <c r="F68" s="2">
        <f t="shared" si="5"/>
        <v>6.3639823194723188</v>
      </c>
      <c r="G68" s="2">
        <f t="shared" si="5"/>
        <v>4.4977531325837177</v>
      </c>
      <c r="H68" s="2">
        <f t="shared" si="5"/>
        <v>8.2119091959362063</v>
      </c>
      <c r="I68" s="2">
        <f t="shared" si="5"/>
        <v>4.3415039418854828</v>
      </c>
      <c r="J68" s="2">
        <f t="shared" si="5"/>
        <v>4.9905404480352908</v>
      </c>
      <c r="K68" s="2">
        <f t="shared" si="5"/>
        <v>5.2364961702993407</v>
      </c>
      <c r="L68" s="2">
        <f t="shared" si="5"/>
        <v>6.0095812153501793</v>
      </c>
      <c r="M68" s="2">
        <f t="shared" si="5"/>
        <v>6.2205235965738614</v>
      </c>
      <c r="N68" s="2">
        <f t="shared" si="5"/>
        <v>5.7454563816425672</v>
      </c>
      <c r="O68" s="2">
        <f t="shared" si="5"/>
        <v>5.2123915443206963</v>
      </c>
      <c r="P68" s="2">
        <f t="shared" si="5"/>
        <v>4.2487382335430794</v>
      </c>
      <c r="Q68" s="2">
        <f t="shared" si="5"/>
        <v>4.5694097649421819</v>
      </c>
      <c r="R68" s="2">
        <f t="shared" si="5"/>
        <v>3.8124653789396348</v>
      </c>
      <c r="S68" s="2">
        <f t="shared" si="5"/>
        <v>3.0577546923111751</v>
      </c>
      <c r="T68" s="2">
        <f t="shared" si="5"/>
        <v>1.2833652213578786</v>
      </c>
      <c r="U68" s="2">
        <f t="shared" si="5"/>
        <v>1.1321412499517487</v>
      </c>
      <c r="V68" s="2">
        <f t="shared" si="5"/>
        <v>1.3416262778918515</v>
      </c>
      <c r="W68" s="2">
        <f t="shared" si="5"/>
        <v>0.57393597361641946</v>
      </c>
      <c r="X68" s="2">
        <f t="shared" si="5"/>
        <v>0.6523514023000484</v>
      </c>
      <c r="Y68" s="2">
        <f t="shared" si="5"/>
        <v>0.46131220024844527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53.967209161809414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5.3967209161809415E-2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647.18724753617118</v>
      </c>
      <c r="Q76" s="2">
        <f>Q10/'Output-Calculation-sheet'!Q9*'Output-Calculation-sheet'!Q63</f>
        <v>77.446323640036667</v>
      </c>
      <c r="R76" s="2">
        <f>R10/'Output-Calculation-sheet'!R9*'Output-Calculation-sheet'!R63</f>
        <v>493.03425635817911</v>
      </c>
      <c r="S76" s="2">
        <f>S10/'Output-Calculation-sheet'!S9*'Output-Calculation-sheet'!S63</f>
        <v>0</v>
      </c>
      <c r="T76" s="2">
        <f>T10/'Output-Calculation-sheet'!T9*'Output-Calculation-sheet'!T63</f>
        <v>32.447907565088776</v>
      </c>
      <c r="U76" s="2">
        <f>U10/'Output-Calculation-sheet'!U9*'Output-Calculation-sheet'!U63</f>
        <v>175.21142506399934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8.3212845415957748</v>
      </c>
      <c r="AA76" s="2">
        <f t="shared" si="6"/>
        <v>1.5698735936311934</v>
      </c>
    </row>
    <row r="77" spans="1:27" x14ac:dyDescent="0.25">
      <c r="A77" s="2">
        <v>2034</v>
      </c>
      <c r="B77" s="2">
        <f>B11/'Output-Calculation-sheet'!B10*'Output-Calculation-sheet'!B64</f>
        <v>696.78807612101355</v>
      </c>
      <c r="C77" s="2">
        <f>C11/'Output-Calculation-sheet'!C10*'Output-Calculation-sheet'!C64</f>
        <v>0</v>
      </c>
      <c r="D77" s="2">
        <f>D11/'Output-Calculation-sheet'!D10*'Output-Calculation-sheet'!D64</f>
        <v>2367.4374686434949</v>
      </c>
      <c r="E77" s="2">
        <f>E11/'Output-Calculation-sheet'!E10*'Output-Calculation-sheet'!E64</f>
        <v>2958.9934182271663</v>
      </c>
      <c r="F77" s="2">
        <f>F11/'Output-Calculation-sheet'!F10*'Output-Calculation-sheet'!F64</f>
        <v>192.52358323541935</v>
      </c>
      <c r="G77" s="2">
        <f>G11/'Output-Calculation-sheet'!G10*'Output-Calculation-sheet'!G64</f>
        <v>1253.8944741616997</v>
      </c>
      <c r="H77" s="2">
        <f>H11/'Output-Calculation-sheet'!H10*'Output-Calculation-sheet'!H64</f>
        <v>195.65235340702532</v>
      </c>
      <c r="I77" s="2">
        <f>I11/'Output-Calculation-sheet'!I10*'Output-Calculation-sheet'!I64</f>
        <v>745.5253809336499</v>
      </c>
      <c r="J77" s="2">
        <f>J11/'Output-Calculation-sheet'!J10*'Output-Calculation-sheet'!J64</f>
        <v>521.630086238069</v>
      </c>
      <c r="K77" s="2">
        <f>K11/'Output-Calculation-sheet'!K10*'Output-Calculation-sheet'!K64</f>
        <v>1134.1618963219969</v>
      </c>
      <c r="L77" s="2">
        <f>L11/'Output-Calculation-sheet'!L10*'Output-Calculation-sheet'!L64</f>
        <v>468.94743322404861</v>
      </c>
      <c r="M77" s="2">
        <f>M11/'Output-Calculation-sheet'!M10*'Output-Calculation-sheet'!M64</f>
        <v>140.91183398263613</v>
      </c>
      <c r="N77" s="2">
        <f>N11/'Output-Calculation-sheet'!N10*'Output-Calculation-sheet'!N64</f>
        <v>46.60351320054324</v>
      </c>
      <c r="O77" s="2">
        <f>O11/'Output-Calculation-sheet'!O10*'Output-Calculation-sheet'!O64</f>
        <v>0</v>
      </c>
      <c r="P77" s="2">
        <f>P11/'Output-Calculation-sheet'!P10*'Output-Calculation-sheet'!P64</f>
        <v>959.60589881366354</v>
      </c>
      <c r="Q77" s="2">
        <f>Q11/'Output-Calculation-sheet'!Q10*'Output-Calculation-sheet'!Q64</f>
        <v>215.87032567002649</v>
      </c>
      <c r="R77" s="2">
        <f>R11/'Output-Calculation-sheet'!R10*'Output-Calculation-sheet'!R64</f>
        <v>1192.2335227726828</v>
      </c>
      <c r="S77" s="2">
        <f>S11/'Output-Calculation-sheet'!S10*'Output-Calculation-sheet'!S64</f>
        <v>0</v>
      </c>
      <c r="T77" s="2">
        <f>T11/'Output-Calculation-sheet'!T10*'Output-Calculation-sheet'!T64</f>
        <v>331.04352394136811</v>
      </c>
      <c r="U77" s="2">
        <f>U11/'Output-Calculation-sheet'!U10*'Output-Calculation-sheet'!U64</f>
        <v>439.95888702022927</v>
      </c>
      <c r="V77" s="2">
        <f>V11/'Output-Calculation-sheet'!V10*'Output-Calculation-sheet'!V64</f>
        <v>171.30961214086571</v>
      </c>
      <c r="W77" s="2">
        <f>W11/'Output-Calculation-sheet'!W10*'Output-Calculation-sheet'!W64</f>
        <v>37.607678698899981</v>
      </c>
      <c r="X77" s="2">
        <f>X11/'Output-Calculation-sheet'!X10*'Output-Calculation-sheet'!X64</f>
        <v>14.04736340137991</v>
      </c>
      <c r="Y77" s="2">
        <f>Y11/'Output-Calculation-sheet'!Y10*'Output-Calculation-sheet'!Y64</f>
        <v>64.064947186814507</v>
      </c>
      <c r="AA77" s="2">
        <f t="shared" si="6"/>
        <v>14.148811277342691</v>
      </c>
    </row>
    <row r="78" spans="1:27" x14ac:dyDescent="0.25">
      <c r="A78" s="2">
        <v>2035</v>
      </c>
      <c r="B78" s="2">
        <f>B12/'Output-Calculation-sheet'!B11*'Output-Calculation-sheet'!B65</f>
        <v>149.64533833604625</v>
      </c>
      <c r="C78" s="2">
        <f>C12/'Output-Calculation-sheet'!C11*'Output-Calculation-sheet'!C65</f>
        <v>124.73325439413247</v>
      </c>
      <c r="D78" s="2">
        <f>D12/'Output-Calculation-sheet'!D11*'Output-Calculation-sheet'!D65</f>
        <v>6409.9874738469398</v>
      </c>
      <c r="E78" s="2">
        <f>E12/'Output-Calculation-sheet'!E11*'Output-Calculation-sheet'!E65</f>
        <v>2059.1270609582762</v>
      </c>
      <c r="F78" s="2">
        <f>F12/'Output-Calculation-sheet'!F11*'Output-Calculation-sheet'!F65</f>
        <v>1636.4372811837138</v>
      </c>
      <c r="G78" s="2">
        <f>G12/'Output-Calculation-sheet'!G11*'Output-Calculation-sheet'!G65</f>
        <v>2421.5623207299932</v>
      </c>
      <c r="H78" s="2">
        <f>H12/'Output-Calculation-sheet'!H11*'Output-Calculation-sheet'!H65</f>
        <v>55.036986391110126</v>
      </c>
      <c r="I78" s="2">
        <f>I12/'Output-Calculation-sheet'!I11*'Output-Calculation-sheet'!I65</f>
        <v>2013.3062182769847</v>
      </c>
      <c r="J78" s="2">
        <f>J12/'Output-Calculation-sheet'!J11*'Output-Calculation-sheet'!J65</f>
        <v>1909.6700265306376</v>
      </c>
      <c r="K78" s="2">
        <f>K12/'Output-Calculation-sheet'!K11*'Output-Calculation-sheet'!K65</f>
        <v>2566.7536863798541</v>
      </c>
      <c r="L78" s="2">
        <f>L12/'Output-Calculation-sheet'!L11*'Output-Calculation-sheet'!L65</f>
        <v>890.25083684014885</v>
      </c>
      <c r="M78" s="2">
        <f>M12/'Output-Calculation-sheet'!M11*'Output-Calculation-sheet'!M65</f>
        <v>49.198514832903058</v>
      </c>
      <c r="N78" s="2">
        <f>N12/'Output-Calculation-sheet'!N11*'Output-Calculation-sheet'!N65</f>
        <v>33.141227406015403</v>
      </c>
      <c r="O78" s="2">
        <f>O12/'Output-Calculation-sheet'!O11*'Output-Calculation-sheet'!O65</f>
        <v>21.61832603603855</v>
      </c>
      <c r="P78" s="2">
        <f>P12/'Output-Calculation-sheet'!P11*'Output-Calculation-sheet'!P65</f>
        <v>249.34002817724152</v>
      </c>
      <c r="Q78" s="2">
        <f>Q12/'Output-Calculation-sheet'!Q11*'Output-Calculation-sheet'!Q65</f>
        <v>200.92320653005567</v>
      </c>
      <c r="R78" s="2">
        <f>R12/'Output-Calculation-sheet'!R11*'Output-Calculation-sheet'!R65</f>
        <v>1664.4010222113941</v>
      </c>
      <c r="S78" s="2">
        <f>S12/'Output-Calculation-sheet'!S11*'Output-Calculation-sheet'!S65</f>
        <v>15.924288977862087</v>
      </c>
      <c r="T78" s="2">
        <f>T12/'Output-Calculation-sheet'!T11*'Output-Calculation-sheet'!T65</f>
        <v>661.88695746505766</v>
      </c>
      <c r="U78" s="2">
        <f>U12/'Output-Calculation-sheet'!U11*'Output-Calculation-sheet'!U65</f>
        <v>244.17072579867971</v>
      </c>
      <c r="V78" s="2">
        <f>V12/'Output-Calculation-sheet'!V11*'Output-Calculation-sheet'!V65</f>
        <v>346.41666446837189</v>
      </c>
      <c r="W78" s="2">
        <f>W12/'Output-Calculation-sheet'!W11*'Output-Calculation-sheet'!W65</f>
        <v>233.52816817298384</v>
      </c>
      <c r="X78" s="2">
        <f>X12/'Output-Calculation-sheet'!X11*'Output-Calculation-sheet'!X65</f>
        <v>3.2586847657616675</v>
      </c>
      <c r="Y78" s="2">
        <f>Y12/'Output-Calculation-sheet'!Y11*'Output-Calculation-sheet'!Y65</f>
        <v>56.049509645809373</v>
      </c>
      <c r="AA78" s="2">
        <f t="shared" si="6"/>
        <v>24.016367808356016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161.25119699796304</v>
      </c>
      <c r="E89" s="2">
        <f>E12/'Output-Calculation-sheet'!E11*'Output-Calculation-sheet'!E74</f>
        <v>78.005468253998302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60.359425851938383</v>
      </c>
      <c r="H89" s="2">
        <f>H12/'Output-Calculation-sheet'!H11*'Output-Calculation-sheet'!H74</f>
        <v>9.74537164959896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33.580433934125921</v>
      </c>
      <c r="K89" s="2">
        <f>K12/'Output-Calculation-sheet'!K11*'Output-Calculation-sheet'!K74</f>
        <v>42.241757325621997</v>
      </c>
      <c r="L89" s="2">
        <f>L12/'Output-Calculation-sheet'!L11*'Output-Calculation-sheet'!L74</f>
        <v>17.678263586885013</v>
      </c>
      <c r="M89" s="2">
        <f>M12/'Output-Calculation-sheet'!M11*'Output-Calculation-sheet'!M74</f>
        <v>5.0293230823835202</v>
      </c>
      <c r="N89" s="2">
        <f>N12/'Output-Calculation-sheet'!N11*'Output-Calculation-sheet'!N74</f>
        <v>4.9430089598312721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4.5664720343558249</v>
      </c>
      <c r="Q89" s="2">
        <f>Q12/'Output-Calculation-sheet'!Q11*'Output-Calculation-sheet'!Q74</f>
        <v>8.6616653076234105</v>
      </c>
      <c r="R89" s="2">
        <f>R12/'Output-Calculation-sheet'!R11*'Output-Calculation-sheet'!R74</f>
        <v>25.769020975124072</v>
      </c>
      <c r="S89" s="2">
        <f>S12/'Output-Calculation-sheet'!S11*'Output-Calculation-sheet'!S74</f>
        <v>4.7225056280729802</v>
      </c>
      <c r="T89" s="2">
        <f>T12/'Output-Calculation-sheet'!T11*'Output-Calculation-sheet'!T74</f>
        <v>7.9446391829434484</v>
      </c>
      <c r="U89" s="2">
        <f>U12/'Output-Calculation-sheet'!U11*'Output-Calculation-sheet'!U74</f>
        <v>9.2119734472711521</v>
      </c>
      <c r="V89" s="2">
        <f>V12/'Output-Calculation-sheet'!V11*'Output-Calculation-sheet'!V74</f>
        <v>2.841294510478487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3.19456382256881</v>
      </c>
      <c r="AA89" s="2">
        <f t="shared" si="7"/>
        <v>0.64461607858084624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22925209294.495956</v>
      </c>
      <c r="C96" s="2">
        <f>C8/'Output-Calculation-sheet'!C7*'Output-Calculation-sheet'!C79</f>
        <v>9490752888.9336586</v>
      </c>
      <c r="D96" s="2">
        <f>D8/'Output-Calculation-sheet'!D7*'Output-Calculation-sheet'!D79</f>
        <v>7565583120.3272028</v>
      </c>
      <c r="E96" s="2">
        <f>E8/'Output-Calculation-sheet'!E7*'Output-Calculation-sheet'!E79</f>
        <v>9141869939.1392937</v>
      </c>
      <c r="F96" s="2">
        <f>F8/'Output-Calculation-sheet'!F7*'Output-Calculation-sheet'!F79</f>
        <v>5396396049.7729282</v>
      </c>
      <c r="G96" s="2">
        <f>G8/'Output-Calculation-sheet'!G7*'Output-Calculation-sheet'!G79</f>
        <v>2744891921.2213902</v>
      </c>
      <c r="H96" s="2">
        <f>H8/'Output-Calculation-sheet'!H7*'Output-Calculation-sheet'!H79</f>
        <v>3427463019.5476751</v>
      </c>
      <c r="I96" s="2">
        <f>I8/'Output-Calculation-sheet'!I7*'Output-Calculation-sheet'!I79</f>
        <v>3280549931.7010865</v>
      </c>
      <c r="J96" s="2">
        <f>J8/'Output-Calculation-sheet'!J7*'Output-Calculation-sheet'!J79</f>
        <v>1851655288.3366573</v>
      </c>
      <c r="K96" s="2">
        <f>K8/'Output-Calculation-sheet'!K7*'Output-Calculation-sheet'!K79</f>
        <v>3154005832.5952868</v>
      </c>
      <c r="L96" s="2">
        <f>L8/'Output-Calculation-sheet'!L7*'Output-Calculation-sheet'!L79</f>
        <v>2268428602.3628721</v>
      </c>
      <c r="M96" s="2">
        <f>M8/'Output-Calculation-sheet'!M7*'Output-Calculation-sheet'!M79</f>
        <v>2293184322.8153057</v>
      </c>
      <c r="N96" s="2">
        <f>N8/'Output-Calculation-sheet'!N7*'Output-Calculation-sheet'!N79</f>
        <v>1632121432.50981</v>
      </c>
      <c r="O96" s="2">
        <f>O8/'Output-Calculation-sheet'!O7*'Output-Calculation-sheet'!O79</f>
        <v>1282704396.9572356</v>
      </c>
      <c r="P96" s="2">
        <f>P8/'Output-Calculation-sheet'!P7*'Output-Calculation-sheet'!P79</f>
        <v>2726724353.0831771</v>
      </c>
      <c r="Q96" s="2">
        <f>Q8/'Output-Calculation-sheet'!Q7*'Output-Calculation-sheet'!Q79</f>
        <v>1485144653.7442248</v>
      </c>
      <c r="R96" s="2">
        <f>R8/'Output-Calculation-sheet'!R7*'Output-Calculation-sheet'!R79</f>
        <v>1981327701.0077763</v>
      </c>
      <c r="S96" s="2">
        <f>S8/'Output-Calculation-sheet'!S7*'Output-Calculation-sheet'!S79</f>
        <v>1247136036.2218504</v>
      </c>
      <c r="T96" s="2">
        <f>T8/'Output-Calculation-sheet'!T7*'Output-Calculation-sheet'!T79</f>
        <v>800832960.27707589</v>
      </c>
      <c r="U96" s="2">
        <f>U8/'Output-Calculation-sheet'!U7*'Output-Calculation-sheet'!U79</f>
        <v>742603301.83054066</v>
      </c>
      <c r="V96" s="2">
        <f>V8/'Output-Calculation-sheet'!V7*'Output-Calculation-sheet'!V79</f>
        <v>478110986.19359809</v>
      </c>
      <c r="W96" s="2">
        <f>W8/'Output-Calculation-sheet'!W7*'Output-Calculation-sheet'!W79</f>
        <v>571933466.01200473</v>
      </c>
      <c r="X96" s="2">
        <f>X8/'Output-Calculation-sheet'!X7*'Output-Calculation-sheet'!X79</f>
        <v>261775765.65566567</v>
      </c>
      <c r="Y96" s="2">
        <f>Y8/'Output-Calculation-sheet'!Y7*'Output-Calculation-sheet'!Y79</f>
        <v>292998798.92031407</v>
      </c>
      <c r="AA96" s="2">
        <f t="shared" si="8"/>
        <v>87.043404063662592</v>
      </c>
    </row>
    <row r="97" spans="1:27" x14ac:dyDescent="0.25">
      <c r="A97" s="2">
        <v>2032</v>
      </c>
      <c r="B97" s="2">
        <f>B9/'Output-Calculation-sheet'!B8*'Output-Calculation-sheet'!B80</f>
        <v>33190529605.017612</v>
      </c>
      <c r="C97" s="2">
        <f>C9/'Output-Calculation-sheet'!C8*'Output-Calculation-sheet'!C80</f>
        <v>13752440582.569986</v>
      </c>
      <c r="D97" s="2">
        <f>D9/'Output-Calculation-sheet'!D8*'Output-Calculation-sheet'!D80</f>
        <v>10870146969.998936</v>
      </c>
      <c r="E97" s="2">
        <f>E9/'Output-Calculation-sheet'!E8*'Output-Calculation-sheet'!E80</f>
        <v>13116510296.243895</v>
      </c>
      <c r="F97" s="2">
        <f>F9/'Output-Calculation-sheet'!F8*'Output-Calculation-sheet'!F80</f>
        <v>7771902534.8736162</v>
      </c>
      <c r="G97" s="2">
        <f>G9/'Output-Calculation-sheet'!G8*'Output-Calculation-sheet'!G80</f>
        <v>3890489247.502542</v>
      </c>
      <c r="H97" s="2">
        <f>H9/'Output-Calculation-sheet'!H8*'Output-Calculation-sheet'!H80</f>
        <v>4951967190.110507</v>
      </c>
      <c r="I97" s="2">
        <f>I9/'Output-Calculation-sheet'!I8*'Output-Calculation-sheet'!I80</f>
        <v>4726836026.9255066</v>
      </c>
      <c r="J97" s="2">
        <f>J9/'Output-Calculation-sheet'!J8*'Output-Calculation-sheet'!J80</f>
        <v>2697194264.454596</v>
      </c>
      <c r="K97" s="2">
        <f>K9/'Output-Calculation-sheet'!K8*'Output-Calculation-sheet'!K80</f>
        <v>4543477994.6935263</v>
      </c>
      <c r="L97" s="2">
        <f>L9/'Output-Calculation-sheet'!L8*'Output-Calculation-sheet'!L80</f>
        <v>3287367596.4539461</v>
      </c>
      <c r="M97" s="2">
        <f>M9/'Output-Calculation-sheet'!M8*'Output-Calculation-sheet'!M80</f>
        <v>3313116712.9350047</v>
      </c>
      <c r="N97" s="2">
        <f>N9/'Output-Calculation-sheet'!N8*'Output-Calculation-sheet'!N80</f>
        <v>2368130349.9698038</v>
      </c>
      <c r="O97" s="2">
        <f>O9/'Output-Calculation-sheet'!O8*'Output-Calculation-sheet'!O80</f>
        <v>1868306638.14873</v>
      </c>
      <c r="P97" s="2">
        <f>P9/'Output-Calculation-sheet'!P8*'Output-Calculation-sheet'!P80</f>
        <v>3904350370.354466</v>
      </c>
      <c r="Q97" s="2">
        <f>Q9/'Output-Calculation-sheet'!Q8*'Output-Calculation-sheet'!Q80</f>
        <v>2161874888.9723845</v>
      </c>
      <c r="R97" s="2">
        <f>R9/'Output-Calculation-sheet'!R8*'Output-Calculation-sheet'!R80</f>
        <v>2866331043.6436677</v>
      </c>
      <c r="S97" s="2">
        <f>S9/'Output-Calculation-sheet'!S8*'Output-Calculation-sheet'!S80</f>
        <v>1808233900.940197</v>
      </c>
      <c r="T97" s="2">
        <f>T9/'Output-Calculation-sheet'!T8*'Output-Calculation-sheet'!T80</f>
        <v>1149358913.0579352</v>
      </c>
      <c r="U97" s="2">
        <f>U9/'Output-Calculation-sheet'!U8*'Output-Calculation-sheet'!U80</f>
        <v>1071823363.0161715</v>
      </c>
      <c r="V97" s="2">
        <f>V9/'Output-Calculation-sheet'!V8*'Output-Calculation-sheet'!V80</f>
        <v>694120289.18609023</v>
      </c>
      <c r="W97" s="2">
        <f>W9/'Output-Calculation-sheet'!W8*'Output-Calculation-sheet'!W80</f>
        <v>811975683.26675642</v>
      </c>
      <c r="X97" s="2">
        <f>X9/'Output-Calculation-sheet'!X8*'Output-Calculation-sheet'!X80</f>
        <v>378086534.27098352</v>
      </c>
      <c r="Y97" s="2">
        <f>Y9/'Output-Calculation-sheet'!Y8*'Output-Calculation-sheet'!Y80</f>
        <v>417803452.14593029</v>
      </c>
      <c r="AA97" s="2">
        <f t="shared" si="8"/>
        <v>125.61237444875277</v>
      </c>
    </row>
    <row r="98" spans="1:27" x14ac:dyDescent="0.25">
      <c r="A98" s="2">
        <v>2033</v>
      </c>
      <c r="B98" s="2">
        <f>B10/'Output-Calculation-sheet'!B9*'Output-Calculation-sheet'!B81</f>
        <v>44527339837.373863</v>
      </c>
      <c r="C98" s="2">
        <f>C10/'Output-Calculation-sheet'!C9*'Output-Calculation-sheet'!C81</f>
        <v>18468957243.437965</v>
      </c>
      <c r="D98" s="2">
        <f>D10/'Output-Calculation-sheet'!D9*'Output-Calculation-sheet'!D81</f>
        <v>14487598511.219339</v>
      </c>
      <c r="E98" s="2">
        <f>E10/'Output-Calculation-sheet'!E9*'Output-Calculation-sheet'!E81</f>
        <v>17448685131.800564</v>
      </c>
      <c r="F98" s="2">
        <f>F10/'Output-Calculation-sheet'!F9*'Output-Calculation-sheet'!F81</f>
        <v>10375392750.591152</v>
      </c>
      <c r="G98" s="2">
        <f>G10/'Output-Calculation-sheet'!G9*'Output-Calculation-sheet'!G81</f>
        <v>5114323279.0535069</v>
      </c>
      <c r="H98" s="2">
        <f>H10/'Output-Calculation-sheet'!H9*'Output-Calculation-sheet'!H81</f>
        <v>6630825143.0851831</v>
      </c>
      <c r="I98" s="2">
        <f>I10/'Output-Calculation-sheet'!I9*'Output-Calculation-sheet'!I81</f>
        <v>6314050873.4337225</v>
      </c>
      <c r="J98" s="2">
        <f>J10/'Output-Calculation-sheet'!J9*'Output-Calculation-sheet'!J81</f>
        <v>3643334118.3885713</v>
      </c>
      <c r="K98" s="2">
        <f>K10/'Output-Calculation-sheet'!K9*'Output-Calculation-sheet'!K81</f>
        <v>6067121756.6505308</v>
      </c>
      <c r="L98" s="2">
        <f>L10/'Output-Calculation-sheet'!L9*'Output-Calculation-sheet'!L81</f>
        <v>4415114717.8515177</v>
      </c>
      <c r="M98" s="2">
        <f>M10/'Output-Calculation-sheet'!M9*'Output-Calculation-sheet'!M81</f>
        <v>4437160946.7839975</v>
      </c>
      <c r="N98" s="2">
        <f>N10/'Output-Calculation-sheet'!N9*'Output-Calculation-sheet'!N81</f>
        <v>3186286384.3918014</v>
      </c>
      <c r="O98" s="2">
        <f>O10/'Output-Calculation-sheet'!O9*'Output-Calculation-sheet'!O81</f>
        <v>2522695074.6678386</v>
      </c>
      <c r="P98" s="2">
        <f>P10/'Output-Calculation-sheet'!P9*'Output-Calculation-sheet'!P81</f>
        <v>5181646219.8586693</v>
      </c>
      <c r="Q98" s="2">
        <f>Q10/'Output-Calculation-sheet'!Q9*'Output-Calculation-sheet'!Q81</f>
        <v>2917300093.5228305</v>
      </c>
      <c r="R98" s="2">
        <f>R10/'Output-Calculation-sheet'!R9*'Output-Calculation-sheet'!R81</f>
        <v>3842911026.7271032</v>
      </c>
      <c r="S98" s="2">
        <f>S10/'Output-Calculation-sheet'!S9*'Output-Calculation-sheet'!S81</f>
        <v>2429413908.5833507</v>
      </c>
      <c r="T98" s="2">
        <f>T10/'Output-Calculation-sheet'!T9*'Output-Calculation-sheet'!T81</f>
        <v>1529347504.7459502</v>
      </c>
      <c r="U98" s="2">
        <f>U10/'Output-Calculation-sheet'!U9*'Output-Calculation-sheet'!U81</f>
        <v>1432924223.630281</v>
      </c>
      <c r="V98" s="2">
        <f>V10/'Output-Calculation-sheet'!V9*'Output-Calculation-sheet'!V81</f>
        <v>933273201.86883759</v>
      </c>
      <c r="W98" s="2">
        <f>W10/'Output-Calculation-sheet'!W9*'Output-Calculation-sheet'!W81</f>
        <v>1068744616.4610075</v>
      </c>
      <c r="X98" s="2">
        <f>X10/'Output-Calculation-sheet'!X9*'Output-Calculation-sheet'!X81</f>
        <v>506164336.4834311</v>
      </c>
      <c r="Y98" s="2">
        <f>Y10/'Output-Calculation-sheet'!Y9*'Output-Calculation-sheet'!Y81</f>
        <v>552521812.11719239</v>
      </c>
      <c r="AA98" s="2">
        <f t="shared" si="8"/>
        <v>168.03313271272822</v>
      </c>
    </row>
    <row r="99" spans="1:27" x14ac:dyDescent="0.25">
      <c r="A99" s="2">
        <v>2034</v>
      </c>
      <c r="B99" s="2">
        <f>B11/'Output-Calculation-sheet'!B10*'Output-Calculation-sheet'!B82</f>
        <v>56781836942.971519</v>
      </c>
      <c r="C99" s="2">
        <f>C11/'Output-Calculation-sheet'!C10*'Output-Calculation-sheet'!C82</f>
        <v>23579784742.250576</v>
      </c>
      <c r="D99" s="2">
        <f>D11/'Output-Calculation-sheet'!D10*'Output-Calculation-sheet'!D82</f>
        <v>18372054268.810452</v>
      </c>
      <c r="E99" s="2">
        <f>E11/'Output-Calculation-sheet'!E10*'Output-Calculation-sheet'!E82</f>
        <v>22075393105.615124</v>
      </c>
      <c r="F99" s="2">
        <f>F11/'Output-Calculation-sheet'!F10*'Output-Calculation-sheet'!F82</f>
        <v>13170025815.180109</v>
      </c>
      <c r="G99" s="2">
        <f>G11/'Output-Calculation-sheet'!G10*'Output-Calculation-sheet'!G82</f>
        <v>6396338108.3603277</v>
      </c>
      <c r="H99" s="2">
        <f>H11/'Output-Calculation-sheet'!H10*'Output-Calculation-sheet'!H82</f>
        <v>8441016862.0743752</v>
      </c>
      <c r="I99" s="2">
        <f>I11/'Output-Calculation-sheet'!I10*'Output-Calculation-sheet'!I82</f>
        <v>8020455653.439271</v>
      </c>
      <c r="J99" s="2">
        <f>J11/'Output-Calculation-sheet'!J10*'Output-Calculation-sheet'!J82</f>
        <v>4681068106.1653547</v>
      </c>
      <c r="K99" s="2">
        <f>K11/'Output-Calculation-sheet'!K10*'Output-Calculation-sheet'!K82</f>
        <v>7703689333.2029924</v>
      </c>
      <c r="L99" s="2">
        <f>L11/'Output-Calculation-sheet'!L10*'Output-Calculation-sheet'!L82</f>
        <v>5637093621.127408</v>
      </c>
      <c r="M99" s="2">
        <f>M11/'Output-Calculation-sheet'!M10*'Output-Calculation-sheet'!M82</f>
        <v>5650459914.535861</v>
      </c>
      <c r="N99" s="2">
        <f>N11/'Output-Calculation-sheet'!N10*'Output-Calculation-sheet'!N82</f>
        <v>4077724799.3437858</v>
      </c>
      <c r="O99" s="2">
        <f>O11/'Output-Calculation-sheet'!O10*'Output-Calculation-sheet'!O82</f>
        <v>3239002163.7454782</v>
      </c>
      <c r="P99" s="2">
        <f>P11/'Output-Calculation-sheet'!P10*'Output-Calculation-sheet'!P82</f>
        <v>6538370375.5834246</v>
      </c>
      <c r="Q99" s="2">
        <f>Q11/'Output-Calculation-sheet'!Q10*'Output-Calculation-sheet'!Q82</f>
        <v>3743289552.7760038</v>
      </c>
      <c r="R99" s="2">
        <f>R11/'Output-Calculation-sheet'!R10*'Output-Calculation-sheet'!R82</f>
        <v>4897932215.7239914</v>
      </c>
      <c r="S99" s="2">
        <f>S11/'Output-Calculation-sheet'!S10*'Output-Calculation-sheet'!S82</f>
        <v>3102514237.561924</v>
      </c>
      <c r="T99" s="2">
        <f>T11/'Output-Calculation-sheet'!T10*'Output-Calculation-sheet'!T82</f>
        <v>1935290213.6652515</v>
      </c>
      <c r="U99" s="2">
        <f>U11/'Output-Calculation-sheet'!U10*'Output-Calculation-sheet'!U82</f>
        <v>1820360902.064275</v>
      </c>
      <c r="V99" s="2">
        <f>V11/'Output-Calculation-sheet'!V10*'Output-Calculation-sheet'!V82</f>
        <v>1192194658.471442</v>
      </c>
      <c r="W99" s="2">
        <f>W11/'Output-Calculation-sheet'!W10*'Output-Calculation-sheet'!W82</f>
        <v>1337794222.9945178</v>
      </c>
      <c r="X99" s="2">
        <f>X11/'Output-Calculation-sheet'!X10*'Output-Calculation-sheet'!X82</f>
        <v>644278481.77940881</v>
      </c>
      <c r="Y99" s="2">
        <f>Y11/'Output-Calculation-sheet'!Y10*'Output-Calculation-sheet'!Y82</f>
        <v>695094066.23253298</v>
      </c>
      <c r="AA99" s="2">
        <f t="shared" si="8"/>
        <v>213.7330623636754</v>
      </c>
    </row>
    <row r="100" spans="1:27" x14ac:dyDescent="0.25">
      <c r="A100" s="2">
        <v>2035</v>
      </c>
      <c r="B100" s="2">
        <f>B12/'Output-Calculation-sheet'!B11*'Output-Calculation-sheet'!B83</f>
        <v>69824741653.491913</v>
      </c>
      <c r="C100" s="2">
        <f>C12/'Output-Calculation-sheet'!C11*'Output-Calculation-sheet'!C83</f>
        <v>29034435051.54385</v>
      </c>
      <c r="D100" s="2">
        <f>D12/'Output-Calculation-sheet'!D11*'Output-Calculation-sheet'!D83</f>
        <v>22487524048.685627</v>
      </c>
      <c r="E100" s="2">
        <f>E12/'Output-Calculation-sheet'!E11*'Output-Calculation-sheet'!E83</f>
        <v>26945518048.085209</v>
      </c>
      <c r="F100" s="2">
        <f>F12/'Output-Calculation-sheet'!F11*'Output-Calculation-sheet'!F83</f>
        <v>16125530855.154451</v>
      </c>
      <c r="G100" s="2">
        <f>G12/'Output-Calculation-sheet'!G11*'Output-Calculation-sheet'!G83</f>
        <v>7721102305.6976433</v>
      </c>
      <c r="H100" s="2">
        <f>H12/'Output-Calculation-sheet'!H11*'Output-Calculation-sheet'!H83</f>
        <v>10363376829.101191</v>
      </c>
      <c r="I100" s="2">
        <f>I12/'Output-Calculation-sheet'!I11*'Output-Calculation-sheet'!I83</f>
        <v>9828211173.3747749</v>
      </c>
      <c r="J100" s="2">
        <f>J12/'Output-Calculation-sheet'!J11*'Output-Calculation-sheet'!J83</f>
        <v>5803191496.8479919</v>
      </c>
      <c r="K100" s="2">
        <f>K12/'Output-Calculation-sheet'!K11*'Output-Calculation-sheet'!K83</f>
        <v>9435788114.6169815</v>
      </c>
      <c r="L100" s="2">
        <f>L12/'Output-Calculation-sheet'!L11*'Output-Calculation-sheet'!L83</f>
        <v>6941089112.9993687</v>
      </c>
      <c r="M100" s="2">
        <f>M12/'Output-Calculation-sheet'!M11*'Output-Calculation-sheet'!M83</f>
        <v>6940702231.8741302</v>
      </c>
      <c r="N100" s="2">
        <f>N12/'Output-Calculation-sheet'!N11*'Output-Calculation-sheet'!N83</f>
        <v>5035276812.7451363</v>
      </c>
      <c r="O100" s="2">
        <f>O12/'Output-Calculation-sheet'!O11*'Output-Calculation-sheet'!O83</f>
        <v>4011564847.6453218</v>
      </c>
      <c r="P100" s="2">
        <f>P12/'Output-Calculation-sheet'!P11*'Output-Calculation-sheet'!P83</f>
        <v>7958156729.4224777</v>
      </c>
      <c r="Q100" s="2">
        <f>Q12/'Output-Calculation-sheet'!Q11*'Output-Calculation-sheet'!Q83</f>
        <v>4633100231.6627235</v>
      </c>
      <c r="R100" s="2">
        <f>R12/'Output-Calculation-sheet'!R11*'Output-Calculation-sheet'!R83</f>
        <v>6020434981.3778296</v>
      </c>
      <c r="S100" s="2">
        <f>S12/'Output-Calculation-sheet'!S11*'Output-Calculation-sheet'!S83</f>
        <v>3820669507.3046465</v>
      </c>
      <c r="T100" s="2">
        <f>T12/'Output-Calculation-sheet'!T11*'Output-Calculation-sheet'!T83</f>
        <v>2362741519.0761156</v>
      </c>
      <c r="U100" s="2">
        <f>U12/'Output-Calculation-sheet'!U11*'Output-Calculation-sheet'!U83</f>
        <v>2229512213.2209401</v>
      </c>
      <c r="V100" s="2">
        <f>V12/'Output-Calculation-sheet'!V11*'Output-Calculation-sheet'!V83</f>
        <v>1468014476.0234303</v>
      </c>
      <c r="W100" s="2">
        <f>W12/'Output-Calculation-sheet'!W11*'Output-Calculation-sheet'!W83</f>
        <v>1615590891.8536413</v>
      </c>
      <c r="X100" s="2">
        <f>X12/'Output-Calculation-sheet'!X11*'Output-Calculation-sheet'!X83</f>
        <v>790991795.55462146</v>
      </c>
      <c r="Y100" s="2">
        <f>Y12/'Output-Calculation-sheet'!Y11*'Output-Calculation-sheet'!Y83</f>
        <v>843898518.79230273</v>
      </c>
      <c r="AA100" s="2">
        <f t="shared" si="8"/>
        <v>262.24116344615237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2074.5804425500719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638.62020324652462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439.43285004718109</v>
      </c>
      <c r="N107" s="2">
        <f>N8/'Output-Calculation-sheet'!N7*'Output-Calculation-sheet'!N88</f>
        <v>172.75649064072346</v>
      </c>
      <c r="O107" s="2">
        <f>O8/'Output-Calculation-sheet'!O7*'Output-Calculation-sheet'!O88</f>
        <v>483.64001579537182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48.206697596703471</v>
      </c>
      <c r="Y107" s="2">
        <f>Y8/'Output-Calculation-sheet'!Y7*'Output-Calculation-sheet'!Y88</f>
        <v>0</v>
      </c>
      <c r="AA107" s="2">
        <f t="shared" si="9"/>
        <v>3.8572366998765761</v>
      </c>
    </row>
    <row r="108" spans="1:27" x14ac:dyDescent="0.25">
      <c r="A108" s="2">
        <v>2032</v>
      </c>
      <c r="B108" s="2">
        <f>B9/'Output-Calculation-sheet'!B8*'Output-Calculation-sheet'!B89</f>
        <v>1002.5938119072003</v>
      </c>
      <c r="C108" s="2">
        <f>C9/'Output-Calculation-sheet'!C8*'Output-Calculation-sheet'!C89</f>
        <v>3806.8338285517193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1025.3788310740192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705.56042515768206</v>
      </c>
      <c r="N108" s="2">
        <f>N9/'Output-Calculation-sheet'!N8*'Output-Calculation-sheet'!N89</f>
        <v>495.32248122344708</v>
      </c>
      <c r="O108" s="2">
        <f>O9/'Output-Calculation-sheet'!O8*'Output-Calculation-sheet'!O89</f>
        <v>739.56205602227124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227.14875648879081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77.401446086986951</v>
      </c>
      <c r="Y108" s="2">
        <f>Y9/'Output-Calculation-sheet'!Y8*'Output-Calculation-sheet'!Y89</f>
        <v>0</v>
      </c>
      <c r="AA108" s="2">
        <f t="shared" si="9"/>
        <v>8.0798016365121175</v>
      </c>
    </row>
    <row r="109" spans="1:27" x14ac:dyDescent="0.25">
      <c r="A109" s="2">
        <v>2033</v>
      </c>
      <c r="B109" s="2">
        <f>B10/'Output-Calculation-sheet'!B9*'Output-Calculation-sheet'!B90</f>
        <v>5552.5660821378651</v>
      </c>
      <c r="C109" s="2">
        <f>C10/'Output-Calculation-sheet'!C9*'Output-Calculation-sheet'!C90</f>
        <v>5270.7527579244152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1622.5011710755239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1116.4387067400319</v>
      </c>
      <c r="N109" s="2">
        <f>N10/'Output-Calculation-sheet'!N9*'Output-Calculation-sheet'!N90</f>
        <v>877.82255227922735</v>
      </c>
      <c r="O109" s="2">
        <f>O10/'Output-Calculation-sheet'!O9*'Output-Calculation-sheet'!O90</f>
        <v>1023.9608351695821</v>
      </c>
      <c r="P109" s="2">
        <f>P10/'Output-Calculation-sheet'!P9*'Output-Calculation-sheet'!P90</f>
        <v>0</v>
      </c>
      <c r="Q109" s="2">
        <f>Q10/'Output-Calculation-sheet'!Q9*'Output-Calculation-sheet'!Q90</f>
        <v>192.27673895380622</v>
      </c>
      <c r="R109" s="2">
        <f>R10/'Output-Calculation-sheet'!R9*'Output-Calculation-sheet'!R90</f>
        <v>0</v>
      </c>
      <c r="S109" s="2">
        <f>S10/'Output-Calculation-sheet'!S9*'Output-Calculation-sheet'!S90</f>
        <v>440.29841703099214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122.47564813439161</v>
      </c>
      <c r="Y109" s="2">
        <f>Y10/'Output-Calculation-sheet'!Y9*'Output-Calculation-sheet'!Y90</f>
        <v>0</v>
      </c>
      <c r="AA109" s="2">
        <f t="shared" si="9"/>
        <v>16.219092909445834</v>
      </c>
    </row>
    <row r="110" spans="1:27" x14ac:dyDescent="0.25">
      <c r="A110" s="2">
        <v>2034</v>
      </c>
      <c r="B110" s="2">
        <f>B11/'Output-Calculation-sheet'!B10*'Output-Calculation-sheet'!B91</f>
        <v>10829.202438929409</v>
      </c>
      <c r="C110" s="2">
        <f>C11/'Output-Calculation-sheet'!C10*'Output-Calculation-sheet'!C91</f>
        <v>7424.1412898905237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2109.5824139760475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1451.5980043698246</v>
      </c>
      <c r="N110" s="2">
        <f>N11/'Output-Calculation-sheet'!N10*'Output-Calculation-sheet'!N91</f>
        <v>1307.7949733578546</v>
      </c>
      <c r="O110" s="2">
        <f>O11/'Output-Calculation-sheet'!O10*'Output-Calculation-sheet'!O91</f>
        <v>1442.3044040879854</v>
      </c>
      <c r="P110" s="2">
        <f>P11/'Output-Calculation-sheet'!P10*'Output-Calculation-sheet'!P91</f>
        <v>329.50168360132631</v>
      </c>
      <c r="Q110" s="2">
        <f>Q11/'Output-Calculation-sheet'!Q10*'Output-Calculation-sheet'!Q91</f>
        <v>729.16367242463764</v>
      </c>
      <c r="R110" s="2">
        <f>R11/'Output-Calculation-sheet'!R10*'Output-Calculation-sheet'!R91</f>
        <v>0</v>
      </c>
      <c r="S110" s="2">
        <f>S11/'Output-Calculation-sheet'!S10*'Output-Calculation-sheet'!S91</f>
        <v>749.67322603342075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159.24332015943068</v>
      </c>
      <c r="Y110" s="2">
        <f>Y11/'Output-Calculation-sheet'!Y10*'Output-Calculation-sheet'!Y91</f>
        <v>38.418212498582974</v>
      </c>
      <c r="AA110" s="2">
        <f t="shared" si="9"/>
        <v>26.57062363932905</v>
      </c>
    </row>
    <row r="111" spans="1:27" x14ac:dyDescent="0.25">
      <c r="A111" s="2">
        <v>2035</v>
      </c>
      <c r="B111" s="2">
        <f>B12/'Output-Calculation-sheet'!B11*'Output-Calculation-sheet'!B92</f>
        <v>19260.125448867104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4290.3007539699065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952.85840733310215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1523.6795021300602</v>
      </c>
      <c r="Q111" s="2">
        <f>Q12/'Output-Calculation-sheet'!Q11*'Output-Calculation-sheet'!Q92</f>
        <v>1445.0544954885056</v>
      </c>
      <c r="R111" s="2">
        <f>R12/'Output-Calculation-sheet'!R11*'Output-Calculation-sheet'!R92</f>
        <v>220.46829056495039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319.19487994794542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150.32197542865455</v>
      </c>
      <c r="AA111" s="2">
        <f t="shared" si="9"/>
        <v>47.035843642307675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9752564940.7834778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3000664014.5722618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2084219735.3175449</v>
      </c>
      <c r="N118" s="2">
        <f>N8/'Output-Calculation-sheet'!N7*'Output-Calculation-sheet'!N97</f>
        <v>1635518228.9621482</v>
      </c>
      <c r="O118" s="2">
        <f>O8/'Output-Calculation-sheet'!O7*'Output-Calculation-sheet'!O97</f>
        <v>1088292625.8459675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592291841.17219579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224639329.22239012</v>
      </c>
      <c r="Y118" s="2">
        <f>Y8/'Output-Calculation-sheet'!Y7*'Output-Calculation-sheet'!Y97</f>
        <v>0</v>
      </c>
      <c r="AA118" s="2">
        <f t="shared" si="10"/>
        <v>20041.851091130575</v>
      </c>
    </row>
    <row r="119" spans="1:27" x14ac:dyDescent="0.25">
      <c r="A119" s="2">
        <v>2032</v>
      </c>
      <c r="B119" s="2">
        <f>B9/'Output-Calculation-sheet'!B8*'Output-Calculation-sheet'!B98</f>
        <v>7521510859.7232409</v>
      </c>
      <c r="C119" s="2">
        <f>C9/'Output-Calculation-sheet'!C8*'Output-Calculation-sheet'!C98</f>
        <v>5978248754.3950968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3573810481.8320408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2494533099.968483</v>
      </c>
      <c r="N119" s="2">
        <f>N9/'Output-Calculation-sheet'!N8*'Output-Calculation-sheet'!N98</f>
        <v>1684622635.8865261</v>
      </c>
      <c r="O119" s="2">
        <f>O9/'Output-Calculation-sheet'!O8*'Output-Calculation-sheet'!O98</f>
        <v>1168039339.0563068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700095182.37410212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266923984.69987261</v>
      </c>
      <c r="Y119" s="2">
        <f>Y9/'Output-Calculation-sheet'!Y8*'Output-Calculation-sheet'!Y98</f>
        <v>0</v>
      </c>
      <c r="AA119" s="2">
        <f t="shared" si="10"/>
        <v>23387.784337935667</v>
      </c>
    </row>
    <row r="120" spans="1:27" x14ac:dyDescent="0.25">
      <c r="A120" s="2">
        <v>2033</v>
      </c>
      <c r="B120" s="2">
        <f>B10/'Output-Calculation-sheet'!B9*'Output-Calculation-sheet'!B99</f>
        <v>7988106170.5579519</v>
      </c>
      <c r="C120" s="2">
        <f>C10/'Output-Calculation-sheet'!C9*'Output-Calculation-sheet'!C99</f>
        <v>6566719285.4227638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2153071696.8834882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1523962033.4265172</v>
      </c>
      <c r="N120" s="2">
        <f>N10/'Output-Calculation-sheet'!N9*'Output-Calculation-sheet'!N99</f>
        <v>1519228680.7463956</v>
      </c>
      <c r="O120" s="2">
        <f>O10/'Output-Calculation-sheet'!O9*'Output-Calculation-sheet'!O99</f>
        <v>1285622191.2056973</v>
      </c>
      <c r="P120" s="2">
        <f>P10/'Output-Calculation-sheet'!P9*'Output-Calculation-sheet'!P99</f>
        <v>0</v>
      </c>
      <c r="Q120" s="2">
        <f>Q10/'Output-Calculation-sheet'!Q9*'Output-Calculation-sheet'!Q99</f>
        <v>9409765.0171563867</v>
      </c>
      <c r="R120" s="2">
        <f>R10/'Output-Calculation-sheet'!R9*'Output-Calculation-sheet'!R99</f>
        <v>0</v>
      </c>
      <c r="S120" s="2">
        <f>S10/'Output-Calculation-sheet'!S9*'Output-Calculation-sheet'!S99</f>
        <v>636243057.37239385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152174370.40229198</v>
      </c>
      <c r="Y120" s="2">
        <f>Y10/'Output-Calculation-sheet'!Y9*'Output-Calculation-sheet'!Y99</f>
        <v>0</v>
      </c>
      <c r="AA120" s="2">
        <f t="shared" si="10"/>
        <v>21834.537251034653</v>
      </c>
    </row>
    <row r="121" spans="1:27" x14ac:dyDescent="0.25">
      <c r="A121" s="2">
        <v>2034</v>
      </c>
      <c r="B121" s="2">
        <f>B11/'Output-Calculation-sheet'!B10*'Output-Calculation-sheet'!B100</f>
        <v>8111299211.8019438</v>
      </c>
      <c r="C121" s="2">
        <f>C11/'Output-Calculation-sheet'!C10*'Output-Calculation-sheet'!C100</f>
        <v>974634000.14675391</v>
      </c>
      <c r="D121" s="2">
        <f>D11/'Output-Calculation-sheet'!D10*'Output-Calculation-sheet'!D100</f>
        <v>0</v>
      </c>
      <c r="E121" s="2">
        <f>E11/'Output-Calculation-sheet'!E10*'Output-Calculation-sheet'!E100</f>
        <v>1124804401.2437177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2566302440.4061608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935592646.7098974</v>
      </c>
      <c r="M121" s="2">
        <f>M11/'Output-Calculation-sheet'!M10*'Output-Calculation-sheet'!M100</f>
        <v>1826427630.1865063</v>
      </c>
      <c r="N121" s="2">
        <f>N11/'Output-Calculation-sheet'!N10*'Output-Calculation-sheet'!N100</f>
        <v>1217638490.6744342</v>
      </c>
      <c r="O121" s="2">
        <f>O11/'Output-Calculation-sheet'!O10*'Output-Calculation-sheet'!O100</f>
        <v>191177664.89139354</v>
      </c>
      <c r="P121" s="2">
        <f>P11/'Output-Calculation-sheet'!P10*'Output-Calculation-sheet'!P100</f>
        <v>0</v>
      </c>
      <c r="Q121" s="2">
        <f>Q11/'Output-Calculation-sheet'!Q10*'Output-Calculation-sheet'!Q100</f>
        <v>376140095.02647257</v>
      </c>
      <c r="R121" s="2">
        <f>R11/'Output-Calculation-sheet'!R10*'Output-Calculation-sheet'!R100</f>
        <v>0</v>
      </c>
      <c r="S121" s="2">
        <f>S11/'Output-Calculation-sheet'!S10*'Output-Calculation-sheet'!S100</f>
        <v>455266017.57105297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179459294.12192154</v>
      </c>
      <c r="Y121" s="2">
        <f>Y11/'Output-Calculation-sheet'!Y10*'Output-Calculation-sheet'!Y100</f>
        <v>12824845.863202833</v>
      </c>
      <c r="AA121" s="2">
        <f t="shared" si="10"/>
        <v>17971.566738643454</v>
      </c>
    </row>
    <row r="122" spans="1:27" x14ac:dyDescent="0.25">
      <c r="A122" s="2">
        <v>2035</v>
      </c>
      <c r="B122" s="2">
        <f>B12/'Output-Calculation-sheet'!B11*'Output-Calculation-sheet'!B101</f>
        <v>3386440322.1694822</v>
      </c>
      <c r="C122" s="2">
        <f>C12/'Output-Calculation-sheet'!C11*'Output-Calculation-sheet'!C101</f>
        <v>582399984.29642892</v>
      </c>
      <c r="D122" s="2">
        <f>D12/'Output-Calculation-sheet'!D11*'Output-Calculation-sheet'!D101</f>
        <v>0</v>
      </c>
      <c r="E122" s="2">
        <f>E12/'Output-Calculation-sheet'!E11*'Output-Calculation-sheet'!E101</f>
        <v>3384779290.3806124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908332469.92692792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1986686797.546855</v>
      </c>
      <c r="M122" s="2">
        <f>M12/'Output-Calculation-sheet'!M11*'Output-Calculation-sheet'!M101</f>
        <v>819346302.4229151</v>
      </c>
      <c r="N122" s="2">
        <f>N12/'Output-Calculation-sheet'!N11*'Output-Calculation-sheet'!N101</f>
        <v>686939182.09781027</v>
      </c>
      <c r="O122" s="2">
        <f>O12/'Output-Calculation-sheet'!O11*'Output-Calculation-sheet'!O101</f>
        <v>99263526.892942548</v>
      </c>
      <c r="P122" s="2">
        <f>P12/'Output-Calculation-sheet'!P11*'Output-Calculation-sheet'!P101</f>
        <v>42208753.42166397</v>
      </c>
      <c r="Q122" s="2">
        <f>Q12/'Output-Calculation-sheet'!Q11*'Output-Calculation-sheet'!Q101</f>
        <v>832003479.17818975</v>
      </c>
      <c r="R122" s="2">
        <f>R12/'Output-Calculation-sheet'!R11*'Output-Calculation-sheet'!R101</f>
        <v>0</v>
      </c>
      <c r="S122" s="2">
        <f>S12/'Output-Calculation-sheet'!S11*'Output-Calculation-sheet'!S101</f>
        <v>336347051.44351429</v>
      </c>
      <c r="T122" s="2">
        <f>T12/'Output-Calculation-sheet'!T11*'Output-Calculation-sheet'!T101</f>
        <v>0</v>
      </c>
      <c r="U122" s="2">
        <f>U12/'Output-Calculation-sheet'!U11*'Output-Calculation-sheet'!U101</f>
        <v>123670697.46974799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29059765.998850178</v>
      </c>
      <c r="Y122" s="2">
        <f>Y12/'Output-Calculation-sheet'!Y11*'Output-Calculation-sheet'!Y101</f>
        <v>120076626.04995191</v>
      </c>
      <c r="AA122" s="2">
        <f t="shared" si="10"/>
        <v>13337.554249295888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2714003346.1703715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2723419096.4002624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178395.78190545188</v>
      </c>
    </row>
    <row r="130" spans="1:27" x14ac:dyDescent="0.25">
      <c r="A130" s="2">
        <v>2032</v>
      </c>
      <c r="B130" s="2">
        <f>B9/'Output-Calculation-sheet'!B8*'Output-Calculation-sheet'!B107</f>
        <v>68065364731.243896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2476229013.6512494</v>
      </c>
      <c r="O130" s="2">
        <f>O9/'Output-Calculation-sheet'!O8*'Output-Calculation-sheet'!O107</f>
        <v>0</v>
      </c>
      <c r="P130" s="2">
        <f>P9/'Output-Calculation-sheet'!P8*'Output-Calculation-sheet'!P107</f>
        <v>7555881136.1977224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2199283760.1629777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239708.14483875906</v>
      </c>
    </row>
    <row r="131" spans="1:27" x14ac:dyDescent="0.25">
      <c r="A131" s="2">
        <v>2033</v>
      </c>
      <c r="B131" s="2">
        <f>B10/'Output-Calculation-sheet'!B9*'Output-Calculation-sheet'!B108</f>
        <v>59588841191.042809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2183496671.5613165</v>
      </c>
      <c r="O131" s="2">
        <f>O10/'Output-Calculation-sheet'!O9*'Output-Calculation-sheet'!O108</f>
        <v>0</v>
      </c>
      <c r="P131" s="2">
        <f>P10/'Output-Calculation-sheet'!P9*'Output-Calculation-sheet'!P108</f>
        <v>10042512799.471746</v>
      </c>
      <c r="Q131" s="2">
        <f>Q10/'Output-Calculation-sheet'!Q9*'Output-Calculation-sheet'!Q108</f>
        <v>8471478390.8571472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2117875413.047893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284408.15570075589</v>
      </c>
    </row>
    <row r="132" spans="1:27" x14ac:dyDescent="0.25">
      <c r="A132" s="2">
        <v>2034</v>
      </c>
      <c r="B132" s="2">
        <f>B11/'Output-Calculation-sheet'!B10*'Output-Calculation-sheet'!B109</f>
        <v>47198477207.71611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45560661388.628059</v>
      </c>
      <c r="F132" s="2">
        <f>F11/'Output-Calculation-sheet'!F10*'Output-Calculation-sheet'!F109</f>
        <v>30048338190.817539</v>
      </c>
      <c r="G132" s="2">
        <f>G11/'Output-Calculation-sheet'!G10*'Output-Calculation-sheet'!G109</f>
        <v>21113371714.907166</v>
      </c>
      <c r="H132" s="2">
        <f>H11/'Output-Calculation-sheet'!H10*'Output-Calculation-sheet'!H109</f>
        <v>0</v>
      </c>
      <c r="I132" s="2">
        <f>I11/'Output-Calculation-sheet'!I10*'Output-Calculation-sheet'!I109</f>
        <v>19234596799.78141</v>
      </c>
      <c r="J132" s="2">
        <f>J11/'Output-Calculation-sheet'!J10*'Output-Calculation-sheet'!J109</f>
        <v>18721757063.572159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13939267094.404932</v>
      </c>
      <c r="M132" s="2">
        <f>M11/'Output-Calculation-sheet'!M10*'Output-Calculation-sheet'!M109</f>
        <v>0</v>
      </c>
      <c r="N132" s="2">
        <f>N11/'Output-Calculation-sheet'!N10*'Output-Calculation-sheet'!N109</f>
        <v>1832778153.1706734</v>
      </c>
      <c r="O132" s="2">
        <f>O11/'Output-Calculation-sheet'!O10*'Output-Calculation-sheet'!O109</f>
        <v>0</v>
      </c>
      <c r="P132" s="2">
        <f>P11/'Output-Calculation-sheet'!P10*'Output-Calculation-sheet'!P109</f>
        <v>10413345835.090391</v>
      </c>
      <c r="Q132" s="2">
        <f>Q11/'Output-Calculation-sheet'!Q10*'Output-Calculation-sheet'!Q109</f>
        <v>6759744969.0158949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1257854313.1248548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3849128675.3031149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1241041480.1034136</v>
      </c>
      <c r="AA132" s="2">
        <f t="shared" si="11"/>
        <v>320504.54370299081</v>
      </c>
    </row>
    <row r="133" spans="1:27" x14ac:dyDescent="0.25">
      <c r="A133" s="2">
        <v>2035</v>
      </c>
      <c r="B133" s="2">
        <f>B12/'Output-Calculation-sheet'!B11*'Output-Calculation-sheet'!B110</f>
        <v>811441591.73573792</v>
      </c>
      <c r="C133" s="2">
        <f>C12/'Output-Calculation-sheet'!C11*'Output-Calculation-sheet'!C110</f>
        <v>0</v>
      </c>
      <c r="D133" s="2">
        <f>D12/'Output-Calculation-sheet'!D11*'Output-Calculation-sheet'!D110</f>
        <v>68600304504.701637</v>
      </c>
      <c r="E133" s="2">
        <f>E12/'Output-Calculation-sheet'!E11*'Output-Calculation-sheet'!E110</f>
        <v>26333041398.631458</v>
      </c>
      <c r="F133" s="2">
        <f>F12/'Output-Calculation-sheet'!F11*'Output-Calculation-sheet'!F110</f>
        <v>35922836717.430412</v>
      </c>
      <c r="G133" s="2">
        <f>G12/'Output-Calculation-sheet'!G11*'Output-Calculation-sheet'!G110</f>
        <v>24488500626.648315</v>
      </c>
      <c r="H133" s="2">
        <f>H12/'Output-Calculation-sheet'!H11*'Output-Calculation-sheet'!H110</f>
        <v>0</v>
      </c>
      <c r="I133" s="2">
        <f>I12/'Output-Calculation-sheet'!I11*'Output-Calculation-sheet'!I110</f>
        <v>22878531163.728664</v>
      </c>
      <c r="J133" s="2">
        <f>J12/'Output-Calculation-sheet'!J11*'Output-Calculation-sheet'!J110</f>
        <v>21903664112.208408</v>
      </c>
      <c r="K133" s="2">
        <f>K12/'Output-Calculation-sheet'!K11*'Output-Calculation-sheet'!K110</f>
        <v>22124211552.560329</v>
      </c>
      <c r="L133" s="2">
        <f>L12/'Output-Calculation-sheet'!L11*'Output-Calculation-sheet'!L110</f>
        <v>10443991079.255308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3810653937.7467651</v>
      </c>
      <c r="Q133" s="2">
        <f>Q12/'Output-Calculation-sheet'!Q11*'Output-Calculation-sheet'!Q110</f>
        <v>3268912487.097075</v>
      </c>
      <c r="R133" s="2">
        <f>R12/'Output-Calculation-sheet'!R11*'Output-Calculation-sheet'!R110</f>
        <v>13143471969.014715</v>
      </c>
      <c r="S133" s="2">
        <f>S12/'Output-Calculation-sheet'!S11*'Output-Calculation-sheet'!S110</f>
        <v>3382138.3109445954</v>
      </c>
      <c r="T133" s="2">
        <f>T12/'Output-Calculation-sheet'!T11*'Output-Calculation-sheet'!T110</f>
        <v>5306171546.0267096</v>
      </c>
      <c r="U133" s="2">
        <f>U12/'Output-Calculation-sheet'!U11*'Output-Calculation-sheet'!U110</f>
        <v>2491014806.4619884</v>
      </c>
      <c r="V133" s="2">
        <f>V12/'Output-Calculation-sheet'!V11*'Output-Calculation-sheet'!V110</f>
        <v>3578965597.7614641</v>
      </c>
      <c r="W133" s="2">
        <f>W12/'Output-Calculation-sheet'!W11*'Output-Calculation-sheet'!W110</f>
        <v>3087083640.3856797</v>
      </c>
      <c r="X133" s="2">
        <f>X12/'Output-Calculation-sheet'!X11*'Output-Calculation-sheet'!X110</f>
        <v>0</v>
      </c>
      <c r="Y133" s="2">
        <f>Y12/'Output-Calculation-sheet'!Y11*'Output-Calculation-sheet'!Y110</f>
        <v>706699989.02252877</v>
      </c>
      <c r="AA133" s="2">
        <f t="shared" si="11"/>
        <v>268902.8788587281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17652437941.519032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5549481842.1716499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3814630967.4576216</v>
      </c>
      <c r="N140" s="2">
        <f>N8/'Output-Calculation-sheet'!N7*'Output-Calculation-sheet'!N115</f>
        <v>1440174388.067847</v>
      </c>
      <c r="O140" s="2">
        <f>O8/'Output-Calculation-sheet'!O7*'Output-Calculation-sheet'!O115</f>
        <v>4236499154.0323329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414223123.58906209</v>
      </c>
      <c r="Y140" s="2">
        <f>Y8/'Output-Calculation-sheet'!Y7*'Output-Calculation-sheet'!Y115</f>
        <v>0</v>
      </c>
      <c r="AA140" s="2">
        <f t="shared" si="12"/>
        <v>33107.447416837545</v>
      </c>
    </row>
    <row r="141" spans="1:27" x14ac:dyDescent="0.25">
      <c r="A141" s="2">
        <v>2032</v>
      </c>
      <c r="B141" s="2">
        <f>B9/'Output-Calculation-sheet'!B8*'Output-Calculation-sheet'!B116</f>
        <v>7781441768.9144392</v>
      </c>
      <c r="C141" s="2">
        <f>C9/'Output-Calculation-sheet'!C8*'Output-Calculation-sheet'!C116</f>
        <v>33309171827.397861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8683556650.5911884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5961975120.442522</v>
      </c>
      <c r="N141" s="2">
        <f>N9/'Output-Calculation-sheet'!N8*'Output-Calculation-sheet'!N116</f>
        <v>4139173250.0348792</v>
      </c>
      <c r="O141" s="2">
        <f>O9/'Output-Calculation-sheet'!O8*'Output-Calculation-sheet'!O116</f>
        <v>6465506018.3503914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1853977088.0220711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648940042.47869349</v>
      </c>
      <c r="Y141" s="2">
        <f>Y9/'Output-Calculation-sheet'!Y8*'Output-Calculation-sheet'!Y116</f>
        <v>0</v>
      </c>
      <c r="AA141" s="2">
        <f t="shared" si="12"/>
        <v>68843.741766232037</v>
      </c>
    </row>
    <row r="142" spans="1:27" x14ac:dyDescent="0.25">
      <c r="A142" s="2">
        <v>2033</v>
      </c>
      <c r="B142" s="2">
        <f>B10/'Output-Calculation-sheet'!B9*'Output-Calculation-sheet'!B117</f>
        <v>43233577517.986176</v>
      </c>
      <c r="C142" s="2">
        <f>C10/'Output-Calculation-sheet'!C9*'Output-Calculation-sheet'!C117</f>
        <v>45652871437.566589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14139031490.867912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9716160176.0619297</v>
      </c>
      <c r="N142" s="2">
        <f>N10/'Output-Calculation-sheet'!N9*'Output-Calculation-sheet'!N117</f>
        <v>7329403625.8777933</v>
      </c>
      <c r="O142" s="2">
        <f>O10/'Output-Calculation-sheet'!O9*'Output-Calculation-sheet'!O117</f>
        <v>8860642954.6114769</v>
      </c>
      <c r="P142" s="2">
        <f>P10/'Output-Calculation-sheet'!P9*'Output-Calculation-sheet'!P117</f>
        <v>0</v>
      </c>
      <c r="Q142" s="2">
        <f>Q10/'Output-Calculation-sheet'!Q9*'Output-Calculation-sheet'!Q117</f>
        <v>1399812116.0912976</v>
      </c>
      <c r="R142" s="2">
        <f>R10/'Output-Calculation-sheet'!R9*'Output-Calculation-sheet'!R117</f>
        <v>0</v>
      </c>
      <c r="S142" s="2">
        <f>S10/'Output-Calculation-sheet'!S9*'Output-Calculation-sheet'!S117</f>
        <v>3563891384.434413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1065163076.9792057</v>
      </c>
      <c r="Y142" s="2">
        <f>Y10/'Output-Calculation-sheet'!Y9*'Output-Calculation-sheet'!Y117</f>
        <v>0</v>
      </c>
      <c r="AA142" s="2">
        <f t="shared" si="12"/>
        <v>134960.5537804768</v>
      </c>
    </row>
    <row r="143" spans="1:27" x14ac:dyDescent="0.25">
      <c r="A143" s="2">
        <v>2034</v>
      </c>
      <c r="B143" s="2">
        <f>B11/'Output-Calculation-sheet'!B10*'Output-Calculation-sheet'!B118</f>
        <v>84763745970.537308</v>
      </c>
      <c r="C143" s="2">
        <f>C11/'Output-Calculation-sheet'!C10*'Output-Calculation-sheet'!C118</f>
        <v>65035477699.440987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18028157977.553112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12381939316.066235</v>
      </c>
      <c r="N143" s="2">
        <f>N11/'Output-Calculation-sheet'!N10*'Output-Calculation-sheet'!N118</f>
        <v>10895113312.432936</v>
      </c>
      <c r="O143" s="2">
        <f>O11/'Output-Calculation-sheet'!O10*'Output-Calculation-sheet'!O118</f>
        <v>12634586579.810751</v>
      </c>
      <c r="P143" s="2">
        <f>P11/'Output-Calculation-sheet'!P10*'Output-Calculation-sheet'!P118</f>
        <v>2281137302.7435527</v>
      </c>
      <c r="Q143" s="2">
        <f>Q11/'Output-Calculation-sheet'!Q10*'Output-Calculation-sheet'!Q118</f>
        <v>5354072981.5354214</v>
      </c>
      <c r="R143" s="2">
        <f>R11/'Output-Calculation-sheet'!R10*'Output-Calculation-sheet'!R118</f>
        <v>0</v>
      </c>
      <c r="S143" s="2">
        <f>S11/'Output-Calculation-sheet'!S10*'Output-Calculation-sheet'!S118</f>
        <v>6273394778.9317274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1359348547.0674415</v>
      </c>
      <c r="Y143" s="2">
        <f>Y11/'Output-Calculation-sheet'!Y10*'Output-Calculation-sheet'!Y118</f>
        <v>242590721.79034877</v>
      </c>
      <c r="AA143" s="2">
        <f t="shared" si="12"/>
        <v>219249.56518790981</v>
      </c>
    </row>
    <row r="144" spans="1:27" x14ac:dyDescent="0.25">
      <c r="A144" s="2">
        <v>2035</v>
      </c>
      <c r="B144" s="2">
        <f>B12/'Output-Calculation-sheet'!B11*'Output-Calculation-sheet'!B119</f>
        <v>166276865209.25858</v>
      </c>
      <c r="C144" s="2">
        <f>C12/'Output-Calculation-sheet'!C11*'Output-Calculation-sheet'!C119</f>
        <v>79883101729.115356</v>
      </c>
      <c r="D144" s="2">
        <f>D12/'Output-Calculation-sheet'!D11*'Output-Calculation-sheet'!D119</f>
        <v>0</v>
      </c>
      <c r="E144" s="2">
        <f>E12/'Output-Calculation-sheet'!E11*'Output-Calculation-sheet'!E119</f>
        <v>26889721851.006958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24134081547.595737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5540617071.6463375</v>
      </c>
      <c r="M144" s="2">
        <f>M12/'Output-Calculation-sheet'!M11*'Output-Calculation-sheet'!M119</f>
        <v>16448121175.283716</v>
      </c>
      <c r="N144" s="2">
        <f>N12/'Output-Calculation-sheet'!N11*'Output-Calculation-sheet'!N119</f>
        <v>16250824090.681765</v>
      </c>
      <c r="O144" s="2">
        <f>O12/'Output-Calculation-sheet'!O11*'Output-Calculation-sheet'!O119</f>
        <v>15529369212.758589</v>
      </c>
      <c r="P144" s="2">
        <f>P12/'Output-Calculation-sheet'!P11*'Output-Calculation-sheet'!P119</f>
        <v>11599994284.688488</v>
      </c>
      <c r="Q144" s="2">
        <f>Q12/'Output-Calculation-sheet'!Q11*'Output-Calculation-sheet'!Q119</f>
        <v>10958529623.626871</v>
      </c>
      <c r="R144" s="2">
        <f>R12/'Output-Calculation-sheet'!R11*'Output-Calculation-sheet'!R119</f>
        <v>1233657663.6506591</v>
      </c>
      <c r="S144" s="2">
        <f>S12/'Output-Calculation-sheet'!S11*'Output-Calculation-sheet'!S119</f>
        <v>9365633492.5470581</v>
      </c>
      <c r="T144" s="2">
        <f>T12/'Output-Calculation-sheet'!T11*'Output-Calculation-sheet'!T119</f>
        <v>0</v>
      </c>
      <c r="U144" s="2">
        <f>U12/'Output-Calculation-sheet'!U11*'Output-Calculation-sheet'!U119</f>
        <v>2037379004.2285507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1845895309.7776315</v>
      </c>
      <c r="Y144" s="2">
        <f>Y12/'Output-Calculation-sheet'!Y11*'Output-Calculation-sheet'!Y119</f>
        <v>987845209.68571746</v>
      </c>
      <c r="AA144" s="2">
        <f t="shared" si="12"/>
        <v>388981.63647555205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720053213.62969446</v>
      </c>
      <c r="C155" s="2">
        <f>C12/'Output-Calculation-sheet'!C11*'Output-Calculation-sheet'!C128</f>
        <v>68790716.772027686</v>
      </c>
      <c r="D155" s="2">
        <f>D12/'Output-Calculation-sheet'!D11*'Output-Calculation-sheet'!D128</f>
        <v>5153214573.9331598</v>
      </c>
      <c r="E155" s="2">
        <f>E12/'Output-Calculation-sheet'!E11*'Output-Calculation-sheet'!E128</f>
        <v>768282543.01662254</v>
      </c>
      <c r="F155" s="2">
        <f>F12/'Output-Calculation-sheet'!F11*'Output-Calculation-sheet'!F128</f>
        <v>1591560981.14888</v>
      </c>
      <c r="G155" s="2">
        <f>G12/'Output-Calculation-sheet'!G11*'Output-Calculation-sheet'!G128</f>
        <v>2002388994.4705834</v>
      </c>
      <c r="H155" s="2">
        <f>H12/'Output-Calculation-sheet'!H11*'Output-Calculation-sheet'!H128</f>
        <v>151746010.31249562</v>
      </c>
      <c r="I155" s="2">
        <f>I12/'Output-Calculation-sheet'!I11*'Output-Calculation-sheet'!I128</f>
        <v>1203930561.879858</v>
      </c>
      <c r="J155" s="2">
        <f>J12/'Output-Calculation-sheet'!J11*'Output-Calculation-sheet'!J128</f>
        <v>1354660226.0324295</v>
      </c>
      <c r="K155" s="2">
        <f>K12/'Output-Calculation-sheet'!K11*'Output-Calculation-sheet'!K128</f>
        <v>1015481396.8311406</v>
      </c>
      <c r="L155" s="2">
        <f>L12/'Output-Calculation-sheet'!L11*'Output-Calculation-sheet'!L128</f>
        <v>322224185.35505527</v>
      </c>
      <c r="M155" s="2">
        <f>M12/'Output-Calculation-sheet'!M11*'Output-Calculation-sheet'!M128</f>
        <v>120639143.94000614</v>
      </c>
      <c r="N155" s="2">
        <f>N12/'Output-Calculation-sheet'!N11*'Output-Calculation-sheet'!N128</f>
        <v>110263552.5766874</v>
      </c>
      <c r="O155" s="2">
        <f>O12/'Output-Calculation-sheet'!O11*'Output-Calculation-sheet'!O128</f>
        <v>19478819.043675326</v>
      </c>
      <c r="P155" s="2">
        <f>P12/'Output-Calculation-sheet'!P11*'Output-Calculation-sheet'!P128</f>
        <v>82097647.720434487</v>
      </c>
      <c r="Q155" s="2">
        <f>Q12/'Output-Calculation-sheet'!Q11*'Output-Calculation-sheet'!Q128</f>
        <v>277731389.81193697</v>
      </c>
      <c r="R155" s="2">
        <f>R12/'Output-Calculation-sheet'!R11*'Output-Calculation-sheet'!R128</f>
        <v>562410171.23313165</v>
      </c>
      <c r="S155" s="2">
        <f>S12/'Output-Calculation-sheet'!S11*'Output-Calculation-sheet'!S128</f>
        <v>67612471.98754859</v>
      </c>
      <c r="T155" s="2">
        <f>T12/'Output-Calculation-sheet'!T11*'Output-Calculation-sheet'!T128</f>
        <v>175581769.40491095</v>
      </c>
      <c r="U155" s="2">
        <f>U12/'Output-Calculation-sheet'!U11*'Output-Calculation-sheet'!U128</f>
        <v>96644195.231338754</v>
      </c>
      <c r="V155" s="2">
        <f>V12/'Output-Calculation-sheet'!V11*'Output-Calculation-sheet'!V128</f>
        <v>71996023.31137234</v>
      </c>
      <c r="W155" s="2">
        <f>W12/'Output-Calculation-sheet'!W11*'Output-Calculation-sheet'!W128</f>
        <v>116372455.21286751</v>
      </c>
      <c r="X155" s="2">
        <f>X12/'Output-Calculation-sheet'!X11*'Output-Calculation-sheet'!X128</f>
        <v>3634565.4741342803</v>
      </c>
      <c r="Y155" s="2">
        <f>Y12/'Output-Calculation-sheet'!Y11*'Output-Calculation-sheet'!Y128</f>
        <v>24376403.209339976</v>
      </c>
      <c r="AA155" s="2">
        <f t="shared" si="13"/>
        <v>16081.172011539329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6090.6801647873244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1844.9402605949433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1281.5687544097866</v>
      </c>
      <c r="N19" s="2">
        <f>N8/'Output-Calculation-sheet'!N7*'Output-Calculation-sheet'!N25</f>
        <v>1066.1137596307999</v>
      </c>
      <c r="O19" s="2">
        <f>O8/'Output-Calculation-sheet'!O7*'Output-Calculation-sheet'!O25</f>
        <v>669.10162165560962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138.70138890720509</v>
      </c>
      <c r="Y19" s="2">
        <f>Y8/'Output-Calculation-sheet'!Y7*'Output-Calculation-sheet'!Y25</f>
        <v>0</v>
      </c>
      <c r="AA19" s="2">
        <f t="shared" si="0"/>
        <v>12.878674500239006</v>
      </c>
    </row>
    <row r="20" spans="1:27" x14ac:dyDescent="0.25">
      <c r="A20" s="2">
        <v>2032</v>
      </c>
      <c r="B20" s="2">
        <f>B9/'Output-Calculation-sheet'!B8*'Output-Calculation-sheet'!B26</f>
        <v>6704.5637751697514</v>
      </c>
      <c r="C20" s="2">
        <f>C9/'Output-Calculation-sheet'!C8*'Output-Calculation-sheet'!C26</f>
        <v>3676.6190914922663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2207.0925945712006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1542.3315371820477</v>
      </c>
      <c r="N20" s="2">
        <f>N9/'Output-Calculation-sheet'!N8*'Output-Calculation-sheet'!N26</f>
        <v>1068.8777835704943</v>
      </c>
      <c r="O20" s="2">
        <f>O9/'Output-Calculation-sheet'!O8*'Output-Calculation-sheet'!O26</f>
        <v>718.34323498058734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507.02560903357545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167.8281968902956</v>
      </c>
      <c r="Y20" s="2">
        <f>Y9/'Output-Calculation-sheet'!Y8*'Output-Calculation-sheet'!Y26</f>
        <v>0</v>
      </c>
      <c r="AA20" s="2">
        <f t="shared" si="0"/>
        <v>16.592681822890221</v>
      </c>
    </row>
    <row r="21" spans="1:27" x14ac:dyDescent="0.25">
      <c r="A21" s="2">
        <v>2033</v>
      </c>
      <c r="B21" s="2">
        <f>B10/'Output-Calculation-sheet'!B9*'Output-Calculation-sheet'!B27</f>
        <v>6566.0283345977568</v>
      </c>
      <c r="C21" s="2">
        <f>C10/'Output-Calculation-sheet'!C9*'Output-Calculation-sheet'!C27</f>
        <v>4035.7588901296867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1323.2316801888339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936.59429900683722</v>
      </c>
      <c r="N21" s="2">
        <f>N10/'Output-Calculation-sheet'!N9*'Output-Calculation-sheet'!N27</f>
        <v>948.48651017196335</v>
      </c>
      <c r="O21" s="2">
        <f>O10/'Output-Calculation-sheet'!O9*'Output-Calculation-sheet'!O27</f>
        <v>790.11506693849765</v>
      </c>
      <c r="P21" s="2">
        <f>P10/'Output-Calculation-sheet'!P9*'Output-Calculation-sheet'!P27</f>
        <v>0</v>
      </c>
      <c r="Q21" s="2">
        <f>Q10/'Output-Calculation-sheet'!Q9*'Output-Calculation-sheet'!Q27</f>
        <v>11.198011494607268</v>
      </c>
      <c r="R21" s="2">
        <f>R10/'Output-Calculation-sheet'!R9*'Output-Calculation-sheet'!R27</f>
        <v>0</v>
      </c>
      <c r="S21" s="2">
        <f>S10/'Output-Calculation-sheet'!S9*'Output-Calculation-sheet'!S27</f>
        <v>451.63415902330314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93.522965981286745</v>
      </c>
      <c r="Y21" s="2">
        <f>Y10/'Output-Calculation-sheet'!Y9*'Output-Calculation-sheet'!Y27</f>
        <v>0</v>
      </c>
      <c r="AA21" s="2">
        <f t="shared" si="0"/>
        <v>15.156569917532773</v>
      </c>
    </row>
    <row r="22" spans="1:27" x14ac:dyDescent="0.25">
      <c r="A22" s="2">
        <v>2034</v>
      </c>
      <c r="B22" s="2">
        <f>B11/'Output-Calculation-sheet'!B10*'Output-Calculation-sheet'!B28</f>
        <v>5932.7220534917142</v>
      </c>
      <c r="C22" s="2">
        <f>C11/'Output-Calculation-sheet'!C10*'Output-Calculation-sheet'!C28</f>
        <v>598.88481060013976</v>
      </c>
      <c r="D22" s="2">
        <f>D11/'Output-Calculation-sheet'!D10*'Output-Calculation-sheet'!D28</f>
        <v>0</v>
      </c>
      <c r="E22" s="2">
        <f>E11/'Output-Calculation-sheet'!E10*'Output-Calculation-sheet'!E28</f>
        <v>1988.6211804426196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1576.910626941901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1206.0631274175232</v>
      </c>
      <c r="M22" s="2">
        <f>M11/'Output-Calculation-sheet'!M10*'Output-Calculation-sheet'!M28</f>
        <v>1122.2812825118765</v>
      </c>
      <c r="N22" s="2">
        <f>N11/'Output-Calculation-sheet'!N10*'Output-Calculation-sheet'!N28</f>
        <v>750.25144017787238</v>
      </c>
      <c r="O22" s="2">
        <f>O11/'Output-Calculation-sheet'!O10*'Output-Calculation-sheet'!O28</f>
        <v>117.47264938330713</v>
      </c>
      <c r="P22" s="2">
        <f>P11/'Output-Calculation-sheet'!P10*'Output-Calculation-sheet'!P28</f>
        <v>0</v>
      </c>
      <c r="Q22" s="2">
        <f>Q11/'Output-Calculation-sheet'!Q10*'Output-Calculation-sheet'!Q28</f>
        <v>355.66500145792133</v>
      </c>
      <c r="R22" s="2">
        <f>R11/'Output-Calculation-sheet'!R10*'Output-Calculation-sheet'!R28</f>
        <v>0</v>
      </c>
      <c r="S22" s="2">
        <f>S11/'Output-Calculation-sheet'!S10*'Output-Calculation-sheet'!S28</f>
        <v>280.91794102706046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110.27194995337831</v>
      </c>
      <c r="Y22" s="2">
        <f>Y11/'Output-Calculation-sheet'!Y10*'Output-Calculation-sheet'!Y28</f>
        <v>20.974052675137479</v>
      </c>
      <c r="AA22" s="2">
        <f t="shared" si="0"/>
        <v>14.06103611608045</v>
      </c>
    </row>
    <row r="23" spans="1:27" x14ac:dyDescent="0.25">
      <c r="A23" s="2">
        <v>2035</v>
      </c>
      <c r="B23" s="2">
        <f>B12/'Output-Calculation-sheet'!B11*'Output-Calculation-sheet'!B29</f>
        <v>2084.8021495327603</v>
      </c>
      <c r="C23" s="2">
        <f>C12/'Output-Calculation-sheet'!C11*'Output-Calculation-sheet'!C29</f>
        <v>358.54558094304366</v>
      </c>
      <c r="D23" s="2">
        <f>D12/'Output-Calculation-sheet'!D11*'Output-Calculation-sheet'!D29</f>
        <v>0</v>
      </c>
      <c r="E23" s="2">
        <f>E12/'Output-Calculation-sheet'!E11*'Output-Calculation-sheet'!E29</f>
        <v>2919.1899454862087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559.20150693780215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1766.6309975115025</v>
      </c>
      <c r="M23" s="2">
        <f>M12/'Output-Calculation-sheet'!M11*'Output-Calculation-sheet'!M29</f>
        <v>504.41854530491077</v>
      </c>
      <c r="N23" s="2">
        <f>N12/'Output-Calculation-sheet'!N11*'Output-Calculation-sheet'!N29</f>
        <v>422.90427993043522</v>
      </c>
      <c r="O23" s="2">
        <f>O12/'Output-Calculation-sheet'!O11*'Output-Calculation-sheet'!O29</f>
        <v>61.109975660098044</v>
      </c>
      <c r="P23" s="2">
        <f>P12/'Output-Calculation-sheet'!P11*'Output-Calculation-sheet'!P29</f>
        <v>27.080737616042597</v>
      </c>
      <c r="Q23" s="2">
        <f>Q12/'Output-Calculation-sheet'!Q11*'Output-Calculation-sheet'!Q29</f>
        <v>545.23970033836724</v>
      </c>
      <c r="R23" s="2">
        <f>R12/'Output-Calculation-sheet'!R11*'Output-Calculation-sheet'!R29</f>
        <v>0</v>
      </c>
      <c r="S23" s="2">
        <f>S12/'Output-Calculation-sheet'!S11*'Output-Calculation-sheet'!S29</f>
        <v>207.06722750435739</v>
      </c>
      <c r="T23" s="2">
        <f>T12/'Output-Calculation-sheet'!T11*'Output-Calculation-sheet'!T29</f>
        <v>0</v>
      </c>
      <c r="U23" s="2">
        <f>U12/'Output-Calculation-sheet'!U11*'Output-Calculation-sheet'!U29</f>
        <v>148.46181712903666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17.890253564159245</v>
      </c>
      <c r="Y23" s="2">
        <f>Y12/'Output-Calculation-sheet'!Y11*'Output-Calculation-sheet'!Y29</f>
        <v>95.876096884271973</v>
      </c>
      <c r="AA23" s="2">
        <f t="shared" si="0"/>
        <v>9.7184188143429964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1215.3471344192919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47.650666808819636</v>
      </c>
    </row>
    <row r="31" spans="1:27" x14ac:dyDescent="0.25">
      <c r="A31" s="2">
        <v>2032</v>
      </c>
      <c r="B31" s="2">
        <f>B9/'Output-Calculation-sheet'!B8*'Output-Calculation-sheet'!B17</f>
        <v>28188.762384283404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1102.2103178984569</v>
      </c>
      <c r="O31" s="2">
        <f>O9/'Output-Calculation-sheet'!O8*'Output-Calculation-sheet'!O17</f>
        <v>0</v>
      </c>
      <c r="P31" s="2">
        <f>P9/'Output-Calculation-sheet'!P8*'Output-Calculation-sheet'!P17</f>
        <v>2755.5332088173968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912.26396384424254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64.584537043758317</v>
      </c>
    </row>
    <row r="32" spans="1:27" x14ac:dyDescent="0.25">
      <c r="A32" s="2">
        <v>2033</v>
      </c>
      <c r="B32" s="2">
        <f>B10/'Output-Calculation-sheet'!B9*'Output-Calculation-sheet'!B18</f>
        <v>23751.060440645633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3718.5583250648187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961.32871763525134</v>
      </c>
      <c r="O32" s="2">
        <f>O10/'Output-Calculation-sheet'!O9*'Output-Calculation-sheet'!O18</f>
        <v>0</v>
      </c>
      <c r="P32" s="2">
        <f>P10/'Output-Calculation-sheet'!P9*'Output-Calculation-sheet'!P18</f>
        <v>3827.1396800960474</v>
      </c>
      <c r="Q32" s="2">
        <f>Q10/'Output-Calculation-sheet'!Q9*'Output-Calculation-sheet'!Q18</f>
        <v>3543.402196058244</v>
      </c>
      <c r="R32" s="2">
        <f>R10/'Output-Calculation-sheet'!R9*'Output-Calculation-sheet'!R18</f>
        <v>2748.1688047836374</v>
      </c>
      <c r="S32" s="2">
        <f>S10/'Output-Calculation-sheet'!S9*'Output-Calculation-sheet'!S18</f>
        <v>874.52498230959986</v>
      </c>
      <c r="T32" s="2">
        <f>T10/'Output-Calculation-sheet'!T9*'Output-Calculation-sheet'!T18</f>
        <v>802.38210269747105</v>
      </c>
      <c r="U32" s="2">
        <f>U10/'Output-Calculation-sheet'!U9*'Output-Calculation-sheet'!U18</f>
        <v>887.02524700443041</v>
      </c>
      <c r="V32" s="2">
        <f>V10/'Output-Calculation-sheet'!V9*'Output-Calculation-sheet'!V18</f>
        <v>654.74427256461797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379.04537250605125</v>
      </c>
      <c r="AA32" s="2">
        <f t="shared" si="1"/>
        <v>75.506818882161937</v>
      </c>
    </row>
    <row r="33" spans="1:27" x14ac:dyDescent="0.25">
      <c r="A33" s="2">
        <v>2034</v>
      </c>
      <c r="B33" s="2">
        <f>B11/'Output-Calculation-sheet'!B10*'Output-Calculation-sheet'!B19</f>
        <v>17950.363412366602</v>
      </c>
      <c r="C33" s="2">
        <f>C11/'Output-Calculation-sheet'!C10*'Output-Calculation-sheet'!C19</f>
        <v>0</v>
      </c>
      <c r="D33" s="2">
        <f>D11/'Output-Calculation-sheet'!D10*'Output-Calculation-sheet'!D19</f>
        <v>11936.655509625363</v>
      </c>
      <c r="E33" s="2">
        <f>E11/'Output-Calculation-sheet'!E10*'Output-Calculation-sheet'!E19</f>
        <v>14796.760108096974</v>
      </c>
      <c r="F33" s="2">
        <f>F11/'Output-Calculation-sheet'!F10*'Output-Calculation-sheet'!F19</f>
        <v>6775.1800039395939</v>
      </c>
      <c r="G33" s="2">
        <f>G11/'Output-Calculation-sheet'!G10*'Output-Calculation-sheet'!G19</f>
        <v>4062.8190629973037</v>
      </c>
      <c r="H33" s="2">
        <f>H11/'Output-Calculation-sheet'!H10*'Output-Calculation-sheet'!H19</f>
        <v>0</v>
      </c>
      <c r="I33" s="2">
        <f>I11/'Output-Calculation-sheet'!I10*'Output-Calculation-sheet'!I19</f>
        <v>4433.6827821074367</v>
      </c>
      <c r="J33" s="2">
        <f>J11/'Output-Calculation-sheet'!J10*'Output-Calculation-sheet'!J19</f>
        <v>3748.5393202743508</v>
      </c>
      <c r="K33" s="2">
        <f>K11/'Output-Calculation-sheet'!K10*'Output-Calculation-sheet'!K19</f>
        <v>5200.0302926142849</v>
      </c>
      <c r="L33" s="2">
        <f>L11/'Output-Calculation-sheet'!L10*'Output-Calculation-sheet'!L19</f>
        <v>4229.1981130557015</v>
      </c>
      <c r="M33" s="2">
        <f>M11/'Output-Calculation-sheet'!M10*'Output-Calculation-sheet'!M19</f>
        <v>0</v>
      </c>
      <c r="N33" s="2">
        <f>N11/'Output-Calculation-sheet'!N10*'Output-Calculation-sheet'!N19</f>
        <v>802.78674587499586</v>
      </c>
      <c r="O33" s="2">
        <f>O11/'Output-Calculation-sheet'!O10*'Output-Calculation-sheet'!O19</f>
        <v>0</v>
      </c>
      <c r="P33" s="2">
        <f>P11/'Output-Calculation-sheet'!P10*'Output-Calculation-sheet'!P19</f>
        <v>3973.9251956254952</v>
      </c>
      <c r="Q33" s="2">
        <f>Q11/'Output-Calculation-sheet'!Q10*'Output-Calculation-sheet'!Q19</f>
        <v>2568.9065978775097</v>
      </c>
      <c r="R33" s="2">
        <f>R11/'Output-Calculation-sheet'!R10*'Output-Calculation-sheet'!R19</f>
        <v>3757.3974358553633</v>
      </c>
      <c r="S33" s="2">
        <f>S11/'Output-Calculation-sheet'!S10*'Output-Calculation-sheet'!S19</f>
        <v>510.33077614671822</v>
      </c>
      <c r="T33" s="2">
        <f>T11/'Output-Calculation-sheet'!T10*'Output-Calculation-sheet'!T19</f>
        <v>1102.0245868841114</v>
      </c>
      <c r="U33" s="2">
        <f>U11/'Output-Calculation-sheet'!U10*'Output-Calculation-sheet'!U19</f>
        <v>1267.6572053717823</v>
      </c>
      <c r="V33" s="2">
        <f>V11/'Output-Calculation-sheet'!V10*'Output-Calculation-sheet'!V19</f>
        <v>864.44594735470923</v>
      </c>
      <c r="W33" s="2">
        <f>W11/'Output-Calculation-sheet'!W10*'Output-Calculation-sheet'!W19</f>
        <v>538.17424125608159</v>
      </c>
      <c r="X33" s="2">
        <f>X11/'Output-Calculation-sheet'!X10*'Output-Calculation-sheet'!X19</f>
        <v>0</v>
      </c>
      <c r="Y33" s="2">
        <f>Y11/'Output-Calculation-sheet'!Y10*'Output-Calculation-sheet'!Y19</f>
        <v>410.92079641040715</v>
      </c>
      <c r="AA33" s="2">
        <f t="shared" si="1"/>
        <v>88.929798133734778</v>
      </c>
    </row>
    <row r="34" spans="1:27" x14ac:dyDescent="0.25">
      <c r="A34" s="2">
        <v>2035</v>
      </c>
      <c r="B34" s="2">
        <f>B12/'Output-Calculation-sheet'!B11*'Output-Calculation-sheet'!B20</f>
        <v>297.19125202980774</v>
      </c>
      <c r="C34" s="2">
        <f>C12/'Output-Calculation-sheet'!C11*'Output-Calculation-sheet'!C20</f>
        <v>0</v>
      </c>
      <c r="D34" s="2">
        <f>D12/'Output-Calculation-sheet'!D11*'Output-Calculation-sheet'!D20</f>
        <v>14724.456619890072</v>
      </c>
      <c r="E34" s="2">
        <f>E12/'Output-Calculation-sheet'!E11*'Output-Calculation-sheet'!E20</f>
        <v>5933.8105643028275</v>
      </c>
      <c r="F34" s="2">
        <f>F12/'Output-Calculation-sheet'!F11*'Output-Calculation-sheet'!F20</f>
        <v>9727.7191186599885</v>
      </c>
      <c r="G34" s="2">
        <f>G12/'Output-Calculation-sheet'!G11*'Output-Calculation-sheet'!G20</f>
        <v>4867.4043801550815</v>
      </c>
      <c r="H34" s="2">
        <f>H12/'Output-Calculation-sheet'!H11*'Output-Calculation-sheet'!H20</f>
        <v>0</v>
      </c>
      <c r="I34" s="2">
        <f>I12/'Output-Calculation-sheet'!I11*'Output-Calculation-sheet'!I20</f>
        <v>5900.3819875770105</v>
      </c>
      <c r="J34" s="2">
        <f>J12/'Output-Calculation-sheet'!J11*'Output-Calculation-sheet'!J20</f>
        <v>4944.4395919409908</v>
      </c>
      <c r="K34" s="2">
        <f>K12/'Output-Calculation-sheet'!K11*'Output-Calculation-sheet'!K20</f>
        <v>6975.8865630414803</v>
      </c>
      <c r="L34" s="2">
        <f>L12/'Output-Calculation-sheet'!L11*'Output-Calculation-sheet'!L20</f>
        <v>2664.7683887543835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1123.7109881722158</v>
      </c>
      <c r="Q34" s="2">
        <f>Q12/'Output-Calculation-sheet'!Q11*'Output-Calculation-sheet'!Q20</f>
        <v>1092.3260176145266</v>
      </c>
      <c r="R34" s="2">
        <f>R12/'Output-Calculation-sheet'!R11*'Output-Calculation-sheet'!R20</f>
        <v>4399.7566051569056</v>
      </c>
      <c r="S34" s="2">
        <f>S12/'Output-Calculation-sheet'!S11*'Output-Calculation-sheet'!S20</f>
        <v>1.3748176171799924</v>
      </c>
      <c r="T34" s="2">
        <f>T12/'Output-Calculation-sheet'!T11*'Output-Calculation-sheet'!T20</f>
        <v>1446.083288105111</v>
      </c>
      <c r="U34" s="2">
        <f>U12/'Output-Calculation-sheet'!U11*'Output-Calculation-sheet'!U20</f>
        <v>608.86355570552917</v>
      </c>
      <c r="V34" s="2">
        <f>V12/'Output-Calculation-sheet'!V11*'Output-Calculation-sheet'!V20</f>
        <v>1307.1589522048332</v>
      </c>
      <c r="W34" s="2">
        <f>W12/'Output-Calculation-sheet'!W11*'Output-Calculation-sheet'!W20</f>
        <v>774.14569764755709</v>
      </c>
      <c r="X34" s="2">
        <f>X12/'Output-Calculation-sheet'!X11*'Output-Calculation-sheet'!X20</f>
        <v>0</v>
      </c>
      <c r="Y34" s="2">
        <f>Y12/'Output-Calculation-sheet'!Y11*'Output-Calculation-sheet'!Y20</f>
        <v>164.63672472187648</v>
      </c>
      <c r="AA34" s="2">
        <f t="shared" si="1"/>
        <v>66.954115113297391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0.12735261059018638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1.7395639196646513E-2</v>
      </c>
      <c r="Q45" s="2">
        <f>Q12/'Output-Calculation-sheet'!Q11*'Output-Calculation-sheet'!Q38*0.0114</f>
        <v>1.6497988315697883E-2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1.5791550748036096E-2</v>
      </c>
      <c r="V45" s="2">
        <f>V12/'Output-Calculation-sheet'!V11*'Output-Calculation-sheet'!V38*0.0114</f>
        <v>8.1177767733776069E-3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6.0847279070117164E-3</v>
      </c>
      <c r="AA45" s="2">
        <f t="shared" si="2"/>
        <v>1.4412498790219126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0.17973037109779164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243.65233669364176</v>
      </c>
      <c r="R54" s="2">
        <f>R10/'Output-Calculation-sheet'!R9*'Output-Calculation-sheet'!R45</f>
        <v>1823.975688455718</v>
      </c>
      <c r="S54" s="2">
        <f>S10/'Output-Calculation-sheet'!S9*'Output-Calculation-sheet'!S45</f>
        <v>0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22.734562485773587</v>
      </c>
      <c r="AA54" s="2">
        <f t="shared" si="3"/>
        <v>6.0018347610133498</v>
      </c>
    </row>
    <row r="55" spans="1:27" x14ac:dyDescent="0.25">
      <c r="A55" s="2">
        <v>2034</v>
      </c>
      <c r="B55" s="2">
        <f>B11/'Output-Calculation-sheet'!B10*'Output-Calculation-sheet'!B46</f>
        <v>2345.344954152366</v>
      </c>
      <c r="C55" s="2">
        <f>C11/'Output-Calculation-sheet'!C10*'Output-Calculation-sheet'!C46</f>
        <v>0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799.54847749006979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592.6086311414017</v>
      </c>
      <c r="N55" s="2">
        <f>N11/'Output-Calculation-sheet'!N10*'Output-Calculation-sheet'!N46</f>
        <v>202.38567993892633</v>
      </c>
      <c r="O55" s="2">
        <f>O11/'Output-Calculation-sheet'!O10*'Output-Calculation-sheet'!O46</f>
        <v>0</v>
      </c>
      <c r="P55" s="2">
        <f>P11/'Output-Calculation-sheet'!P10*'Output-Calculation-sheet'!P46</f>
        <v>4401.6170827414307</v>
      </c>
      <c r="Q55" s="2">
        <f>Q11/'Output-Calculation-sheet'!Q10*'Output-Calculation-sheet'!Q46</f>
        <v>850.05716678429656</v>
      </c>
      <c r="R55" s="2">
        <f>R11/'Output-Calculation-sheet'!R10*'Output-Calculation-sheet'!R46</f>
        <v>5451.2580996568322</v>
      </c>
      <c r="S55" s="2">
        <f>S11/'Output-Calculation-sheet'!S10*'Output-Calculation-sheet'!S46</f>
        <v>0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2071.2866107741352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56.560771859272194</v>
      </c>
      <c r="Y55" s="2">
        <f>Y11/'Output-Calculation-sheet'!Y10*'Output-Calculation-sheet'!Y46</f>
        <v>293.71228724139075</v>
      </c>
      <c r="AA55" s="2">
        <f t="shared" si="3"/>
        <v>58.687939932438937</v>
      </c>
    </row>
    <row r="56" spans="1:27" x14ac:dyDescent="0.25">
      <c r="A56" s="2">
        <v>2035</v>
      </c>
      <c r="B56" s="2">
        <f>B12/'Output-Calculation-sheet'!B11*'Output-Calculation-sheet'!B47</f>
        <v>819.12314936779046</v>
      </c>
      <c r="C56" s="2">
        <f>C12/'Output-Calculation-sheet'!C11*'Output-Calculation-sheet'!C47</f>
        <v>618.8660171178891</v>
      </c>
      <c r="D56" s="2">
        <f>D12/'Output-Calculation-sheet'!D11*'Output-Calculation-sheet'!D47</f>
        <v>29237.78271269138</v>
      </c>
      <c r="E56" s="2">
        <f>E12/'Output-Calculation-sheet'!E11*'Output-Calculation-sheet'!E47</f>
        <v>13416.70923849244</v>
      </c>
      <c r="F56" s="2">
        <f>F12/'Output-Calculation-sheet'!F11*'Output-Calculation-sheet'!F47</f>
        <v>6878.4222731106893</v>
      </c>
      <c r="G56" s="2">
        <f>G12/'Output-Calculation-sheet'!G11*'Output-Calculation-sheet'!G47</f>
        <v>11045.442113199933</v>
      </c>
      <c r="H56" s="2">
        <f>H12/'Output-Calculation-sheet'!H11*'Output-Calculation-sheet'!H47</f>
        <v>239.35388601311433</v>
      </c>
      <c r="I56" s="2">
        <f>I12/'Output-Calculation-sheet'!I11*'Output-Calculation-sheet'!I47</f>
        <v>10061.682537665672</v>
      </c>
      <c r="J56" s="2">
        <f>J12/'Output-Calculation-sheet'!J11*'Output-Calculation-sheet'!J47</f>
        <v>8680.7550707292048</v>
      </c>
      <c r="K56" s="2">
        <f>K12/'Output-Calculation-sheet'!K11*'Output-Calculation-sheet'!K47</f>
        <v>11707.704962264974</v>
      </c>
      <c r="L56" s="2">
        <f>L12/'Output-Calculation-sheet'!L11*'Output-Calculation-sheet'!L47</f>
        <v>5219.1634333229085</v>
      </c>
      <c r="M56" s="2">
        <f>M12/'Output-Calculation-sheet'!M11*'Output-Calculation-sheet'!M47</f>
        <v>221.83915606695572</v>
      </c>
      <c r="N56" s="2">
        <f>N12/'Output-Calculation-sheet'!N11*'Output-Calculation-sheet'!N47</f>
        <v>150.30987987356943</v>
      </c>
      <c r="O56" s="2">
        <f>O12/'Output-Calculation-sheet'!O11*'Output-Calculation-sheet'!O47</f>
        <v>112.5215210408908</v>
      </c>
      <c r="P56" s="2">
        <f>P12/'Output-Calculation-sheet'!P11*'Output-Calculation-sheet'!P47</f>
        <v>1174.9686124050713</v>
      </c>
      <c r="Q56" s="2">
        <f>Q12/'Output-Calculation-sheet'!Q11*'Output-Calculation-sheet'!Q47</f>
        <v>1118.6793831609177</v>
      </c>
      <c r="R56" s="2">
        <f>R12/'Output-Calculation-sheet'!R11*'Output-Calculation-sheet'!R47</f>
        <v>8253.6257780916567</v>
      </c>
      <c r="S56" s="2">
        <f>S12/'Output-Calculation-sheet'!S11*'Output-Calculation-sheet'!S47</f>
        <v>78.588059384255772</v>
      </c>
      <c r="T56" s="2">
        <f>T12/'Output-Calculation-sheet'!T11*'Output-Calculation-sheet'!T47</f>
        <v>3613.6896847796056</v>
      </c>
      <c r="U56" s="2">
        <f>U12/'Output-Calculation-sheet'!U11*'Output-Calculation-sheet'!U47</f>
        <v>1453.5614548192291</v>
      </c>
      <c r="V56" s="2">
        <f>V12/'Output-Calculation-sheet'!V11*'Output-Calculation-sheet'!V47</f>
        <v>1961.4400107253175</v>
      </c>
      <c r="W56" s="2">
        <f>W12/'Output-Calculation-sheet'!W11*'Output-Calculation-sheet'!W47</f>
        <v>1050.4079112449892</v>
      </c>
      <c r="X56" s="2">
        <f>X12/'Output-Calculation-sheet'!X11*'Output-Calculation-sheet'!X47</f>
        <v>16.961605654571457</v>
      </c>
      <c r="Y56" s="2">
        <f>Y12/'Output-Calculation-sheet'!Y11*'Output-Calculation-sheet'!Y47</f>
        <v>344.26750000197865</v>
      </c>
      <c r="AA56" s="2">
        <f t="shared" si="3"/>
        <v>117.47586595122506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8.7879475797205853</v>
      </c>
      <c r="C63" s="2">
        <f>C8*'Output-Calculation-sheet'!C52/10^9</f>
        <v>4.6949735653346591</v>
      </c>
      <c r="D63" s="2">
        <f>D8*'Output-Calculation-sheet'!D52/10^9</f>
        <v>3.0135755527252472</v>
      </c>
      <c r="E63" s="2">
        <f>E8*'Output-Calculation-sheet'!E52/10^9</f>
        <v>2.9963024557072573</v>
      </c>
      <c r="F63" s="2">
        <f>F8*'Output-Calculation-sheet'!F52/10^9</f>
        <v>1.2689338422889698</v>
      </c>
      <c r="G63" s="2">
        <f>G8*'Output-Calculation-sheet'!G52/10^9</f>
        <v>0.91230610706997106</v>
      </c>
      <c r="H63" s="2">
        <f>H8*'Output-Calculation-sheet'!H52/10^9</f>
        <v>1.4837782402104978</v>
      </c>
      <c r="I63" s="2">
        <f>I8*'Output-Calculation-sheet'!I52/10^9</f>
        <v>0.84865648281579542</v>
      </c>
      <c r="J63" s="2">
        <f>J8*'Output-Calculation-sheet'!J52/10^9</f>
        <v>1.1678088439302103</v>
      </c>
      <c r="K63" s="2">
        <f>K8*'Output-Calculation-sheet'!K52/10^9</f>
        <v>1.0260239367098232</v>
      </c>
      <c r="L63" s="2">
        <f>L8*'Output-Calculation-sheet'!L52/10^9</f>
        <v>1.3800515611945245</v>
      </c>
      <c r="M63" s="2">
        <f>M8*'Output-Calculation-sheet'!M52/10^9</f>
        <v>1.2155600446741703</v>
      </c>
      <c r="N63" s="2">
        <f>N8*'Output-Calculation-sheet'!N52/10^9</f>
        <v>1.072555532025975</v>
      </c>
      <c r="O63" s="2">
        <f>O8*'Output-Calculation-sheet'!O52/10^9</f>
        <v>0.9605510614170657</v>
      </c>
      <c r="P63" s="2">
        <f>P8*'Output-Calculation-sheet'!P52/10^9</f>
        <v>0.708954863276273</v>
      </c>
      <c r="Q63" s="2">
        <f>Q8*'Output-Calculation-sheet'!Q52/10^9</f>
        <v>0.80232914890877893</v>
      </c>
      <c r="R63" s="2">
        <f>R8*'Output-Calculation-sheet'!R52/10^9</f>
        <v>0.72033231317738045</v>
      </c>
      <c r="S63" s="2">
        <f>S8*'Output-Calculation-sheet'!S52/10^9</f>
        <v>0.53379176670567707</v>
      </c>
      <c r="T63" s="2">
        <f>T8*'Output-Calculation-sheet'!T52/10^9</f>
        <v>0.27386005555257936</v>
      </c>
      <c r="U63" s="2">
        <f>U8*'Output-Calculation-sheet'!U52/10^9</f>
        <v>0.18808415156146935</v>
      </c>
      <c r="V63" s="2">
        <f>V8*'Output-Calculation-sheet'!V52/10^9</f>
        <v>0.33380492125161298</v>
      </c>
      <c r="W63" s="2">
        <f>W8*'Output-Calculation-sheet'!W52/10^9</f>
        <v>0.12082174257438087</v>
      </c>
      <c r="X63" s="2">
        <f>X8*'Output-Calculation-sheet'!X52/10^9</f>
        <v>0.12449248403024317</v>
      </c>
      <c r="Y63" s="2">
        <f>Y8*'Output-Calculation-sheet'!Y52/10^9</f>
        <v>7.8832826063883255E-2</v>
      </c>
      <c r="AA63" s="2">
        <f t="shared" si="4"/>
        <v>34.714329078927022</v>
      </c>
    </row>
    <row r="64" spans="1:27" x14ac:dyDescent="0.25">
      <c r="A64" s="2">
        <v>2032</v>
      </c>
      <c r="B64" s="2">
        <f>B9*'Output-Calculation-sheet'!B53/10^9</f>
        <v>9.6124605350157655</v>
      </c>
      <c r="C64" s="2">
        <f>C9*'Output-Calculation-sheet'!C53/10^9</f>
        <v>5.0958622078796445</v>
      </c>
      <c r="D64" s="2">
        <f>D9*'Output-Calculation-sheet'!D53/10^9</f>
        <v>2.8468975427430019</v>
      </c>
      <c r="E64" s="2">
        <f>E9*'Output-Calculation-sheet'!E53/10^9</f>
        <v>2.9153483412834582</v>
      </c>
      <c r="F64" s="2">
        <f>F9*'Output-Calculation-sheet'!F53/10^9</f>
        <v>1.2296756496183125</v>
      </c>
      <c r="G64" s="2">
        <f>G9*'Output-Calculation-sheet'!G53/10^9</f>
        <v>0.87524551026633468</v>
      </c>
      <c r="H64" s="2">
        <f>H9*'Output-Calculation-sheet'!H53/10^9</f>
        <v>1.5992985489814937</v>
      </c>
      <c r="I64" s="2">
        <f>I9*'Output-Calculation-sheet'!I53/10^9</f>
        <v>0.81821150516343788</v>
      </c>
      <c r="J64" s="2">
        <f>J9*'Output-Calculation-sheet'!J53/10^9</f>
        <v>1.0831457845051209</v>
      </c>
      <c r="K64" s="2">
        <f>K9*'Output-Calculation-sheet'!K53/10^9</f>
        <v>1.0050119222337877</v>
      </c>
      <c r="L64" s="2">
        <f>L9*'Output-Calculation-sheet'!L53/10^9</f>
        <v>1.2929448340447476</v>
      </c>
      <c r="M64" s="2">
        <f>M9*'Output-Calculation-sheet'!M53/10^9</f>
        <v>1.2688563468654819</v>
      </c>
      <c r="N64" s="2">
        <f>N9*'Output-Calculation-sheet'!N53/10^9</f>
        <v>1.1423806889278885</v>
      </c>
      <c r="O64" s="2">
        <f>O9*'Output-Calculation-sheet'!O53/10^9</f>
        <v>1.0319502586156239</v>
      </c>
      <c r="P64" s="2">
        <f>P9*'Output-Calculation-sheet'!P53/10^9</f>
        <v>0.76623815514902449</v>
      </c>
      <c r="Q64" s="2">
        <f>Q9*'Output-Calculation-sheet'!Q53/10^9</f>
        <v>0.84682522089740586</v>
      </c>
      <c r="R64" s="2">
        <f>R9*'Output-Calculation-sheet'!R53/10^9</f>
        <v>0.72592919360526154</v>
      </c>
      <c r="S64" s="2">
        <f>S9*'Output-Calculation-sheet'!S53/10^9</f>
        <v>0.58413490890688557</v>
      </c>
      <c r="T64" s="2">
        <f>T9*'Output-Calculation-sheet'!T53/10^9</f>
        <v>0.26095161297403485</v>
      </c>
      <c r="U64" s="2">
        <f>U9*'Output-Calculation-sheet'!U53/10^9</f>
        <v>0.19641283835851106</v>
      </c>
      <c r="V64" s="2">
        <f>V9*'Output-Calculation-sheet'!V53/10^9</f>
        <v>0.30973191851069115</v>
      </c>
      <c r="W64" s="2">
        <f>W9*'Output-Calculation-sheet'!W53/10^9</f>
        <v>0.11509059921925463</v>
      </c>
      <c r="X64" s="2">
        <f>X9*'Output-Calculation-sheet'!X53/10^9</f>
        <v>0.13194972543035915</v>
      </c>
      <c r="Y64" s="2">
        <f>Y9*'Output-Calculation-sheet'!Y53/10^9</f>
        <v>8.0636271724542102E-2</v>
      </c>
      <c r="AA64" s="2">
        <f t="shared" si="4"/>
        <v>35.835190120920075</v>
      </c>
    </row>
    <row r="65" spans="1:27" x14ac:dyDescent="0.25">
      <c r="A65" s="2">
        <v>2033</v>
      </c>
      <c r="B65" s="2">
        <f>B10*'Output-Calculation-sheet'!B54/10^9</f>
        <v>10.312107718907635</v>
      </c>
      <c r="C65" s="2">
        <f>C10*'Output-Calculation-sheet'!C54/10^9</f>
        <v>5.3305132860840461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1.6739610817491974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0.97529219915653753</v>
      </c>
      <c r="L65" s="2">
        <f>L10*'Output-Calculation-sheet'!L54/10^9</f>
        <v>1.1519400840504155</v>
      </c>
      <c r="M65" s="2">
        <f>M10*'Output-Calculation-sheet'!M54/10^9</f>
        <v>1.2765019313051527</v>
      </c>
      <c r="N65" s="2">
        <f>N10*'Output-Calculation-sheet'!N54/10^9</f>
        <v>1.1713469436109938</v>
      </c>
      <c r="O65" s="2">
        <f>O10*'Output-Calculation-sheet'!O54/10^9</f>
        <v>1.0682584336707532</v>
      </c>
      <c r="P65" s="2">
        <f>P10*'Output-Calculation-sheet'!P54/10^9</f>
        <v>0.82514696869727266</v>
      </c>
      <c r="Q65" s="2">
        <f>Q10*'Output-Calculation-sheet'!Q54/10^9</f>
        <v>0.89886230301298309</v>
      </c>
      <c r="R65" s="2">
        <f>R10*'Output-Calculation-sheet'!R54/10^9</f>
        <v>0.72645083869099369</v>
      </c>
      <c r="S65" s="2">
        <f>S10*'Output-Calculation-sheet'!S54/10^9</f>
        <v>0.61788381944319637</v>
      </c>
      <c r="T65" s="2">
        <f>T10*'Output-Calculation-sheet'!T54/10^9</f>
        <v>0.2428854716949195</v>
      </c>
      <c r="U65" s="2">
        <f>U10*'Output-Calculation-sheet'!U54/10^9</f>
        <v>0.20972544236205873</v>
      </c>
      <c r="V65" s="2">
        <f>V10*'Output-Calculation-sheet'!V54/10^9</f>
        <v>0.26880084312454755</v>
      </c>
      <c r="W65" s="2">
        <f>W10*'Output-Calculation-sheet'!W54/10^9</f>
        <v>0.10233771219328373</v>
      </c>
      <c r="X65" s="2">
        <f>X10*'Output-Calculation-sheet'!X54/10^9</f>
        <v>0.1338421288934184</v>
      </c>
      <c r="Y65" s="2">
        <f>Y10*'Output-Calculation-sheet'!Y54/10^9</f>
        <v>8.4231083761838313E-2</v>
      </c>
      <c r="AA65" s="2">
        <f t="shared" si="4"/>
        <v>35.998545022573921</v>
      </c>
    </row>
    <row r="66" spans="1:27" x14ac:dyDescent="0.25">
      <c r="A66" s="2">
        <v>2034</v>
      </c>
      <c r="B66" s="2">
        <f>B11*'Output-Calculation-sheet'!B55/10^9</f>
        <v>10.909646153797995</v>
      </c>
      <c r="C66" s="2">
        <f>C11*'Output-Calculation-sheet'!C55/10^9</f>
        <v>5.4879860607127124</v>
      </c>
      <c r="D66" s="2">
        <f>D11*'Output-Calculation-sheet'!D55/10^9</f>
        <v>2.4621339885083828</v>
      </c>
      <c r="E66" s="2">
        <f>E11*'Output-Calculation-sheet'!E55/10^9</f>
        <v>2.9814722267726608</v>
      </c>
      <c r="F66" s="2">
        <f>F11*'Output-Calculation-sheet'!F55/10^9</f>
        <v>1.1458283711399788</v>
      </c>
      <c r="G66" s="2">
        <f>G11*'Output-Calculation-sheet'!G55/10^9</f>
        <v>0.81900587226852906</v>
      </c>
      <c r="H66" s="2">
        <f>H11*'Output-Calculation-sheet'!H55/10^9</f>
        <v>1.7090734029379788</v>
      </c>
      <c r="I66" s="2">
        <f>I11*'Output-Calculation-sheet'!I55/10^9</f>
        <v>0.80096450402637787</v>
      </c>
      <c r="J66" s="2">
        <f>J11*'Output-Calculation-sheet'!J55/10^9</f>
        <v>0.82358130654656581</v>
      </c>
      <c r="K66" s="2">
        <f>K11*'Output-Calculation-sheet'!K55/10^9</f>
        <v>0.98507276662141818</v>
      </c>
      <c r="L66" s="2">
        <f>L11*'Output-Calculation-sheet'!L55/10^9</f>
        <v>1.0431993554190977</v>
      </c>
      <c r="M66" s="2">
        <f>M11*'Output-Calculation-sheet'!M55/10^9</f>
        <v>1.2457964227533735</v>
      </c>
      <c r="N66" s="2">
        <f>N11*'Output-Calculation-sheet'!N55/10^9</f>
        <v>1.1769175126806455</v>
      </c>
      <c r="O66" s="2">
        <f>O11*'Output-Calculation-sheet'!O55/10^9</f>
        <v>1.0817005282243812</v>
      </c>
      <c r="P66" s="2">
        <f>P11*'Output-Calculation-sheet'!P55/10^9</f>
        <v>0.90320950182724824</v>
      </c>
      <c r="Q66" s="2">
        <f>Q11*'Output-Calculation-sheet'!Q55/10^9</f>
        <v>0.95541214202889435</v>
      </c>
      <c r="R66" s="2">
        <f>R11*'Output-Calculation-sheet'!R55/10^9</f>
        <v>0.73796704796913692</v>
      </c>
      <c r="S66" s="2">
        <f>S11*'Output-Calculation-sheet'!S55/10^9</f>
        <v>0.64369547500775481</v>
      </c>
      <c r="T66" s="2">
        <f>T11*'Output-Calculation-sheet'!T55/10^9</f>
        <v>0.23130033893754806</v>
      </c>
      <c r="U66" s="2">
        <f>U11*'Output-Calculation-sheet'!U55/10^9</f>
        <v>0.23616761471082007</v>
      </c>
      <c r="V66" s="2">
        <f>V11*'Output-Calculation-sheet'!V55/10^9</f>
        <v>0.21942440674641064</v>
      </c>
      <c r="W66" s="2">
        <f>W11*'Output-Calculation-sheet'!W55/10^9</f>
        <v>9.9353282045544139E-2</v>
      </c>
      <c r="X66" s="2">
        <f>X11*'Output-Calculation-sheet'!X55/10^9</f>
        <v>0.13310320764665065</v>
      </c>
      <c r="Y66" s="2">
        <f>Y11*'Output-Calculation-sheet'!Y55/10^9</f>
        <v>9.7143369937663426E-2</v>
      </c>
      <c r="AA66" s="2">
        <f t="shared" si="4"/>
        <v>36.929154859267769</v>
      </c>
    </row>
    <row r="67" spans="1:27" x14ac:dyDescent="0.25">
      <c r="A67" s="2">
        <v>2035</v>
      </c>
      <c r="B67" s="2">
        <f>B12*'Output-Calculation-sheet'!B56/10^9</f>
        <v>11.872352859248126</v>
      </c>
      <c r="C67" s="2">
        <f>C12*'Output-Calculation-sheet'!C56/10^9</f>
        <v>5.5387415743932369</v>
      </c>
      <c r="D67" s="2">
        <f>D12*'Output-Calculation-sheet'!D56/10^9</f>
        <v>3.2483951226621772</v>
      </c>
      <c r="E67" s="2">
        <f>E12*'Output-Calculation-sheet'!E56/10^9</f>
        <v>3.7012125061539103</v>
      </c>
      <c r="F67" s="2">
        <f>F12*'Output-Calculation-sheet'!F56/10^9</f>
        <v>1.5842830595554531</v>
      </c>
      <c r="G67" s="2">
        <f>G12*'Output-Calculation-sheet'!G56/10^9</f>
        <v>1.111905768419958</v>
      </c>
      <c r="H67" s="2">
        <f>H12*'Output-Calculation-sheet'!H56/10^9</f>
        <v>1.7564226430727208</v>
      </c>
      <c r="I67" s="2">
        <f>I12*'Output-Calculation-sheet'!I56/10^9</f>
        <v>1.1148424118499092</v>
      </c>
      <c r="J67" s="2">
        <f>J12*'Output-Calculation-sheet'!J56/10^9</f>
        <v>1.0084845366865778</v>
      </c>
      <c r="K67" s="2">
        <f>K12*'Output-Calculation-sheet'!K56/10^9</f>
        <v>1.2521368954972372</v>
      </c>
      <c r="L67" s="2">
        <f>L12*'Output-Calculation-sheet'!L56/10^9</f>
        <v>1.1492228253524466</v>
      </c>
      <c r="M67" s="2">
        <f>M12*'Output-Calculation-sheet'!M56/10^9</f>
        <v>1.2217542290954011</v>
      </c>
      <c r="N67" s="2">
        <f>N12*'Output-Calculation-sheet'!N56/10^9</f>
        <v>1.1896548129670188</v>
      </c>
      <c r="O67" s="2">
        <f>O12*'Output-Calculation-sheet'!O56/10^9</f>
        <v>1.0766289184025168</v>
      </c>
      <c r="P67" s="2">
        <f>P12*'Output-Calculation-sheet'!P56/10^9</f>
        <v>1.0508615007891917</v>
      </c>
      <c r="Q67" s="2">
        <f>Q12*'Output-Calculation-sheet'!Q56/10^9</f>
        <v>1.0720160285329998</v>
      </c>
      <c r="R67" s="2">
        <f>R12*'Output-Calculation-sheet'!R56/10^9</f>
        <v>0.90688642359103766</v>
      </c>
      <c r="S67" s="2">
        <f>S12*'Output-Calculation-sheet'!S56/10^9</f>
        <v>0.68223694694518289</v>
      </c>
      <c r="T67" s="2">
        <f>T12*'Output-Calculation-sheet'!T56/10^9</f>
        <v>0.27606118464006096</v>
      </c>
      <c r="U67" s="2">
        <f>U12*'Output-Calculation-sheet'!U56/10^9</f>
        <v>0.3032979136063243</v>
      </c>
      <c r="V67" s="2">
        <f>V12*'Output-Calculation-sheet'!V56/10^9</f>
        <v>0.21155011642213015</v>
      </c>
      <c r="W67" s="2">
        <f>W12*'Output-Calculation-sheet'!W56/10^9</f>
        <v>0.13711238502137854</v>
      </c>
      <c r="X67" s="2">
        <f>X12*'Output-Calculation-sheet'!X56/10^9</f>
        <v>0.1297975952654353</v>
      </c>
      <c r="Y67" s="2">
        <f>Y12*'Output-Calculation-sheet'!Y56/10^9</f>
        <v>0.1210957196434231</v>
      </c>
      <c r="AA67" s="2">
        <f t="shared" si="4"/>
        <v>41.716953977813866</v>
      </c>
    </row>
    <row r="68" spans="1:27" x14ac:dyDescent="0.25">
      <c r="B68" s="2">
        <f>SUM(B60:B67)</f>
        <v>51.494514846690102</v>
      </c>
      <c r="C68" s="2">
        <f t="shared" ref="C68:Y68" si="5">SUM(C60:C67)</f>
        <v>26.148076694404295</v>
      </c>
      <c r="D68" s="2">
        <f t="shared" si="5"/>
        <v>14.073466549617871</v>
      </c>
      <c r="E68" s="2">
        <f t="shared" si="5"/>
        <v>15.412067727741936</v>
      </c>
      <c r="F68" s="2">
        <f t="shared" si="5"/>
        <v>6.3726707874057649</v>
      </c>
      <c r="G68" s="2">
        <f t="shared" si="5"/>
        <v>4.5038889722150426</v>
      </c>
      <c r="H68" s="2">
        <f t="shared" si="5"/>
        <v>8.222533916951889</v>
      </c>
      <c r="I68" s="2">
        <f t="shared" si="5"/>
        <v>4.3474653905179332</v>
      </c>
      <c r="J68" s="2">
        <f t="shared" si="5"/>
        <v>4.997114597373737</v>
      </c>
      <c r="K68" s="2">
        <f t="shared" si="5"/>
        <v>5.2435377202188036</v>
      </c>
      <c r="L68" s="2">
        <f t="shared" si="5"/>
        <v>6.0173586600612312</v>
      </c>
      <c r="M68" s="2">
        <f t="shared" si="5"/>
        <v>6.2284689746935795</v>
      </c>
      <c r="N68" s="2">
        <f t="shared" si="5"/>
        <v>5.7528554902125215</v>
      </c>
      <c r="O68" s="2">
        <f t="shared" si="5"/>
        <v>5.2190892003303411</v>
      </c>
      <c r="P68" s="2">
        <f t="shared" si="5"/>
        <v>4.2544109897390099</v>
      </c>
      <c r="Q68" s="2">
        <f t="shared" si="5"/>
        <v>4.5754448433810619</v>
      </c>
      <c r="R68" s="2">
        <f t="shared" si="5"/>
        <v>3.8175658170338105</v>
      </c>
      <c r="S68" s="2">
        <f t="shared" si="5"/>
        <v>3.0617429170086967</v>
      </c>
      <c r="T68" s="2">
        <f t="shared" si="5"/>
        <v>1.2850586637991426</v>
      </c>
      <c r="U68" s="2">
        <f t="shared" si="5"/>
        <v>1.1336879605991834</v>
      </c>
      <c r="V68" s="2">
        <f t="shared" si="5"/>
        <v>1.3433122060553924</v>
      </c>
      <c r="W68" s="2">
        <f t="shared" si="5"/>
        <v>0.57471572105384194</v>
      </c>
      <c r="X68" s="2">
        <f t="shared" si="5"/>
        <v>0.65318514126610672</v>
      </c>
      <c r="Y68" s="2">
        <f t="shared" si="5"/>
        <v>0.46193927113135019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54.045279669313423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5.4045279669313426E-2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647.67911574959328</v>
      </c>
      <c r="Q76" s="2">
        <f>Q10/'Output-Calculation-sheet'!Q9*'Output-Calculation-sheet'!Q63</f>
        <v>77.505183552666182</v>
      </c>
      <c r="R76" s="2">
        <f>R10/'Output-Calculation-sheet'!R9*'Output-Calculation-sheet'!R63</f>
        <v>493.40896689172871</v>
      </c>
      <c r="S76" s="2">
        <f>S10/'Output-Calculation-sheet'!S9*'Output-Calculation-sheet'!S63</f>
        <v>0</v>
      </c>
      <c r="T76" s="2">
        <f>T10/'Output-Calculation-sheet'!T9*'Output-Calculation-sheet'!T63</f>
        <v>32.472568270910905</v>
      </c>
      <c r="U76" s="2">
        <f>U10/'Output-Calculation-sheet'!U9*'Output-Calculation-sheet'!U63</f>
        <v>175.34458734577396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8.32760879377539</v>
      </c>
      <c r="AA76" s="2">
        <f t="shared" si="6"/>
        <v>1.571066711886749</v>
      </c>
    </row>
    <row r="77" spans="1:27" x14ac:dyDescent="0.25">
      <c r="A77" s="2">
        <v>2034</v>
      </c>
      <c r="B77" s="2">
        <f>B11/'Output-Calculation-sheet'!B10*'Output-Calculation-sheet'!B64</f>
        <v>697.19287670436006</v>
      </c>
      <c r="C77" s="2">
        <f>C11/'Output-Calculation-sheet'!C10*'Output-Calculation-sheet'!C64</f>
        <v>0</v>
      </c>
      <c r="D77" s="2">
        <f>D11/'Output-Calculation-sheet'!D10*'Output-Calculation-sheet'!D64</f>
        <v>2368.8128367090308</v>
      </c>
      <c r="E77" s="2">
        <f>E11/'Output-Calculation-sheet'!E10*'Output-Calculation-sheet'!E64</f>
        <v>2960.7124520379703</v>
      </c>
      <c r="F77" s="2">
        <f>F11/'Output-Calculation-sheet'!F10*'Output-Calculation-sheet'!F64</f>
        <v>192.63543023951203</v>
      </c>
      <c r="G77" s="2">
        <f>G11/'Output-Calculation-sheet'!G10*'Output-Calculation-sheet'!G64</f>
        <v>1254.622926946686</v>
      </c>
      <c r="H77" s="2">
        <f>H11/'Output-Calculation-sheet'!H10*'Output-Calculation-sheet'!H64</f>
        <v>195.76601807711148</v>
      </c>
      <c r="I77" s="2">
        <f>I11/'Output-Calculation-sheet'!I10*'Output-Calculation-sheet'!I64</f>
        <v>745.95849556267979</v>
      </c>
      <c r="J77" s="2">
        <f>J11/'Output-Calculation-sheet'!J10*'Output-Calculation-sheet'!J64</f>
        <v>521.93312839742362</v>
      </c>
      <c r="K77" s="2">
        <f>K11/'Output-Calculation-sheet'!K10*'Output-Calculation-sheet'!K64</f>
        <v>1134.8207901994526</v>
      </c>
      <c r="L77" s="2">
        <f>L11/'Output-Calculation-sheet'!L10*'Output-Calculation-sheet'!L64</f>
        <v>469.21986927890293</v>
      </c>
      <c r="M77" s="2">
        <f>M11/'Output-Calculation-sheet'!M10*'Output-Calculation-sheet'!M64</f>
        <v>140.99369702615164</v>
      </c>
      <c r="N77" s="2">
        <f>N11/'Output-Calculation-sheet'!N10*'Output-Calculation-sheet'!N64</f>
        <v>46.630587615241325</v>
      </c>
      <c r="O77" s="2">
        <f>O11/'Output-Calculation-sheet'!O10*'Output-Calculation-sheet'!O64</f>
        <v>0</v>
      </c>
      <c r="P77" s="2">
        <f>P11/'Output-Calculation-sheet'!P10*'Output-Calculation-sheet'!P64</f>
        <v>960.16338399593724</v>
      </c>
      <c r="Q77" s="2">
        <f>Q11/'Output-Calculation-sheet'!Q10*'Output-Calculation-sheet'!Q64</f>
        <v>215.99573601608881</v>
      </c>
      <c r="R77" s="2">
        <f>R11/'Output-Calculation-sheet'!R10*'Output-Calculation-sheet'!R64</f>
        <v>1192.9261534907487</v>
      </c>
      <c r="S77" s="2">
        <f>S11/'Output-Calculation-sheet'!S10*'Output-Calculation-sheet'!S64</f>
        <v>0</v>
      </c>
      <c r="T77" s="2">
        <f>T11/'Output-Calculation-sheet'!T10*'Output-Calculation-sheet'!T64</f>
        <v>331.23584441325465</v>
      </c>
      <c r="U77" s="2">
        <f>U11/'Output-Calculation-sheet'!U10*'Output-Calculation-sheet'!U64</f>
        <v>440.2144821146598</v>
      </c>
      <c r="V77" s="2">
        <f>V11/'Output-Calculation-sheet'!V10*'Output-Calculation-sheet'!V64</f>
        <v>171.40913484124476</v>
      </c>
      <c r="W77" s="2">
        <f>W11/'Output-Calculation-sheet'!W10*'Output-Calculation-sheet'!W64</f>
        <v>37.629526963526381</v>
      </c>
      <c r="X77" s="2">
        <f>X11/'Output-Calculation-sheet'!X10*'Output-Calculation-sheet'!X64</f>
        <v>14.05552424840676</v>
      </c>
      <c r="Y77" s="2">
        <f>Y11/'Output-Calculation-sheet'!Y10*'Output-Calculation-sheet'!Y64</f>
        <v>64.102165860442867</v>
      </c>
      <c r="AA77" s="2">
        <f t="shared" si="6"/>
        <v>14.157031060738833</v>
      </c>
    </row>
    <row r="78" spans="1:27" x14ac:dyDescent="0.25">
      <c r="A78" s="2">
        <v>2035</v>
      </c>
      <c r="B78" s="2">
        <f>B12/'Output-Calculation-sheet'!B11*'Output-Calculation-sheet'!B65</f>
        <v>150.01655392707249</v>
      </c>
      <c r="C78" s="2">
        <f>C12/'Output-Calculation-sheet'!C11*'Output-Calculation-sheet'!C65</f>
        <v>125.04267217664014</v>
      </c>
      <c r="D78" s="2">
        <f>D12/'Output-Calculation-sheet'!D11*'Output-Calculation-sheet'!D65</f>
        <v>6425.8883185710938</v>
      </c>
      <c r="E78" s="2">
        <f>E12/'Output-Calculation-sheet'!E11*'Output-Calculation-sheet'!E65</f>
        <v>2064.2350053649061</v>
      </c>
      <c r="F78" s="2">
        <f>F12/'Output-Calculation-sheet'!F11*'Output-Calculation-sheet'!F65</f>
        <v>1640.4966861693069</v>
      </c>
      <c r="G78" s="2">
        <f>G12/'Output-Calculation-sheet'!G11*'Output-Calculation-sheet'!G65</f>
        <v>2427.5693350352312</v>
      </c>
      <c r="H78" s="2">
        <f>H12/'Output-Calculation-sheet'!H11*'Output-Calculation-sheet'!H65</f>
        <v>55.17351311261482</v>
      </c>
      <c r="I78" s="2">
        <f>I12/'Output-Calculation-sheet'!I11*'Output-Calculation-sheet'!I65</f>
        <v>2018.3004978585932</v>
      </c>
      <c r="J78" s="2">
        <f>J12/'Output-Calculation-sheet'!J11*'Output-Calculation-sheet'!J65</f>
        <v>1914.4072224596671</v>
      </c>
      <c r="K78" s="2">
        <f>K12/'Output-Calculation-sheet'!K11*'Output-Calculation-sheet'!K65</f>
        <v>2573.1208675917997</v>
      </c>
      <c r="L78" s="2">
        <f>L12/'Output-Calculation-sheet'!L11*'Output-Calculation-sheet'!L65</f>
        <v>892.45922498129607</v>
      </c>
      <c r="M78" s="2">
        <f>M12/'Output-Calculation-sheet'!M11*'Output-Calculation-sheet'!M65</f>
        <v>49.320558432552652</v>
      </c>
      <c r="N78" s="2">
        <f>N12/'Output-Calculation-sheet'!N11*'Output-Calculation-sheet'!N65</f>
        <v>33.223438722823907</v>
      </c>
      <c r="O78" s="2">
        <f>O12/'Output-Calculation-sheet'!O11*'Output-Calculation-sheet'!O65</f>
        <v>21.671953230615408</v>
      </c>
      <c r="P78" s="2">
        <f>P12/'Output-Calculation-sheet'!P11*'Output-Calculation-sheet'!P65</f>
        <v>249.95854998991882</v>
      </c>
      <c r="Q78" s="2">
        <f>Q12/'Output-Calculation-sheet'!Q11*'Output-Calculation-sheet'!Q65</f>
        <v>201.42162383922343</v>
      </c>
      <c r="R78" s="2">
        <f>R12/'Output-Calculation-sheet'!R11*'Output-Calculation-sheet'!R65</f>
        <v>1668.5297950554736</v>
      </c>
      <c r="S78" s="2">
        <f>S12/'Output-Calculation-sheet'!S11*'Output-Calculation-sheet'!S65</f>
        <v>15.963791339982556</v>
      </c>
      <c r="T78" s="2">
        <f>T12/'Output-Calculation-sheet'!T11*'Output-Calculation-sheet'!T65</f>
        <v>663.5288579802359</v>
      </c>
      <c r="U78" s="2">
        <f>U12/'Output-Calculation-sheet'!U11*'Output-Calculation-sheet'!U65</f>
        <v>244.77642445455857</v>
      </c>
      <c r="V78" s="2">
        <f>V12/'Output-Calculation-sheet'!V11*'Output-Calculation-sheet'!V65</f>
        <v>347.27599806520743</v>
      </c>
      <c r="W78" s="2">
        <f>W12/'Output-Calculation-sheet'!W11*'Output-Calculation-sheet'!W65</f>
        <v>234.1074665188832</v>
      </c>
      <c r="X78" s="2">
        <f>X12/'Output-Calculation-sheet'!X11*'Output-Calculation-sheet'!X65</f>
        <v>3.2667683760146922</v>
      </c>
      <c r="Y78" s="2">
        <f>Y12/'Output-Calculation-sheet'!Y11*'Output-Calculation-sheet'!Y65</f>
        <v>56.188548068798397</v>
      </c>
      <c r="AA78" s="2">
        <f t="shared" si="6"/>
        <v>24.075943671322509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161.65120249805332</v>
      </c>
      <c r="E89" s="2">
        <f>E12/'Output-Calculation-sheet'!E11*'Output-Calculation-sheet'!E74</f>
        <v>78.198971415026719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60.50915560757781</v>
      </c>
      <c r="H89" s="2">
        <f>H12/'Output-Calculation-sheet'!H11*'Output-Calculation-sheet'!H74</f>
        <v>9.7695463678822172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33.663734762393503</v>
      </c>
      <c r="K89" s="2">
        <f>K12/'Output-Calculation-sheet'!K11*'Output-Calculation-sheet'!K74</f>
        <v>42.346543743200932</v>
      </c>
      <c r="L89" s="2">
        <f>L12/'Output-Calculation-sheet'!L11*'Output-Calculation-sheet'!L74</f>
        <v>17.722116921300199</v>
      </c>
      <c r="M89" s="2">
        <f>M12/'Output-Calculation-sheet'!M11*'Output-Calculation-sheet'!M74</f>
        <v>5.0417990015217207</v>
      </c>
      <c r="N89" s="2">
        <f>N12/'Output-Calculation-sheet'!N11*'Output-Calculation-sheet'!N74</f>
        <v>4.9552707650627283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4.5777997885911867</v>
      </c>
      <c r="Q89" s="2">
        <f>Q12/'Output-Calculation-sheet'!Q11*'Output-Calculation-sheet'!Q74</f>
        <v>8.6831517451041478</v>
      </c>
      <c r="R89" s="2">
        <f>R12/'Output-Calculation-sheet'!R11*'Output-Calculation-sheet'!R74</f>
        <v>25.832944532368252</v>
      </c>
      <c r="S89" s="2">
        <f>S12/'Output-Calculation-sheet'!S11*'Output-Calculation-sheet'!S74</f>
        <v>4.7342204448346852</v>
      </c>
      <c r="T89" s="2">
        <f>T12/'Output-Calculation-sheet'!T11*'Output-Calculation-sheet'!T74</f>
        <v>7.9643469397140878</v>
      </c>
      <c r="U89" s="2">
        <f>U12/'Output-Calculation-sheet'!U11*'Output-Calculation-sheet'!U74</f>
        <v>9.2348249988515185</v>
      </c>
      <c r="V89" s="2">
        <f>V12/'Output-Calculation-sheet'!V11*'Output-Calculation-sheet'!V74</f>
        <v>2.8483427275009148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3.2024883721114294</v>
      </c>
      <c r="AA89" s="2">
        <f t="shared" si="7"/>
        <v>0.64621513633470773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22951577166.611759</v>
      </c>
      <c r="C96" s="2">
        <f>C8/'Output-Calculation-sheet'!C7*'Output-Calculation-sheet'!C79</f>
        <v>9501668861.6187229</v>
      </c>
      <c r="D96" s="2">
        <f>D8/'Output-Calculation-sheet'!D7*'Output-Calculation-sheet'!D79</f>
        <v>7574284821.8312378</v>
      </c>
      <c r="E96" s="2">
        <f>E8/'Output-Calculation-sheet'!E7*'Output-Calculation-sheet'!E79</f>
        <v>9152384637.3633327</v>
      </c>
      <c r="F96" s="2">
        <f>F8/'Output-Calculation-sheet'!F7*'Output-Calculation-sheet'!F79</f>
        <v>5402602818.8845539</v>
      </c>
      <c r="G96" s="2">
        <f>G8/'Output-Calculation-sheet'!G7*'Output-Calculation-sheet'!G79</f>
        <v>2748049011.66365</v>
      </c>
      <c r="H96" s="2">
        <f>H8/'Output-Calculation-sheet'!H7*'Output-Calculation-sheet'!H79</f>
        <v>3431405182.3179302</v>
      </c>
      <c r="I96" s="2">
        <f>I8/'Output-Calculation-sheet'!I7*'Output-Calculation-sheet'!I79</f>
        <v>3284323119.5467205</v>
      </c>
      <c r="J96" s="2">
        <f>J8/'Output-Calculation-sheet'!J7*'Output-Calculation-sheet'!J79</f>
        <v>1853785005.418766</v>
      </c>
      <c r="K96" s="2">
        <f>K8/'Output-Calculation-sheet'!K7*'Output-Calculation-sheet'!K79</f>
        <v>3157633473.3019886</v>
      </c>
      <c r="L96" s="2">
        <f>L8/'Output-Calculation-sheet'!L7*'Output-Calculation-sheet'!L79</f>
        <v>2271037679.319273</v>
      </c>
      <c r="M96" s="2">
        <f>M8/'Output-Calculation-sheet'!M7*'Output-Calculation-sheet'!M79</f>
        <v>2295821873.0415745</v>
      </c>
      <c r="N96" s="2">
        <f>N8/'Output-Calculation-sheet'!N7*'Output-Calculation-sheet'!N79</f>
        <v>1633998648.4888248</v>
      </c>
      <c r="O96" s="2">
        <f>O8/'Output-Calculation-sheet'!O7*'Output-Calculation-sheet'!O79</f>
        <v>1284179724.1861768</v>
      </c>
      <c r="P96" s="2">
        <f>P8/'Output-Calculation-sheet'!P7*'Output-Calculation-sheet'!P79</f>
        <v>2729860547.7461591</v>
      </c>
      <c r="Q96" s="2">
        <f>Q8/'Output-Calculation-sheet'!Q7*'Output-Calculation-sheet'!Q79</f>
        <v>1486852821.543277</v>
      </c>
      <c r="R96" s="2">
        <f>R8/'Output-Calculation-sheet'!R7*'Output-Calculation-sheet'!R79</f>
        <v>1983606563.3190665</v>
      </c>
      <c r="S96" s="2">
        <f>S8/'Output-Calculation-sheet'!S7*'Output-Calculation-sheet'!S79</f>
        <v>1248570453.8139291</v>
      </c>
      <c r="T96" s="2">
        <f>T8/'Output-Calculation-sheet'!T7*'Output-Calculation-sheet'!T79</f>
        <v>801754053.7690239</v>
      </c>
      <c r="U96" s="2">
        <f>U8/'Output-Calculation-sheet'!U7*'Output-Calculation-sheet'!U79</f>
        <v>743457421.35651338</v>
      </c>
      <c r="V96" s="2">
        <f>V8/'Output-Calculation-sheet'!V7*'Output-Calculation-sheet'!V79</f>
        <v>478660894.77585655</v>
      </c>
      <c r="W96" s="2">
        <f>W8/'Output-Calculation-sheet'!W7*'Output-Calculation-sheet'!W79</f>
        <v>572591286.33097434</v>
      </c>
      <c r="X96" s="2">
        <f>X8/'Output-Calculation-sheet'!X7*'Output-Calculation-sheet'!X79</f>
        <v>262076852.10696715</v>
      </c>
      <c r="Y96" s="2">
        <f>Y8/'Output-Calculation-sheet'!Y7*'Output-Calculation-sheet'!Y79</f>
        <v>293335797.14618719</v>
      </c>
      <c r="AA96" s="2">
        <f t="shared" si="8"/>
        <v>87.143518715502481</v>
      </c>
    </row>
    <row r="97" spans="1:27" x14ac:dyDescent="0.25">
      <c r="A97" s="2">
        <v>2032</v>
      </c>
      <c r="B97" s="2">
        <f>B9/'Output-Calculation-sheet'!B8*'Output-Calculation-sheet'!B80</f>
        <v>33238543973.943409</v>
      </c>
      <c r="C97" s="2">
        <f>C9/'Output-Calculation-sheet'!C8*'Output-Calculation-sheet'!C80</f>
        <v>13772335256.25009</v>
      </c>
      <c r="D97" s="2">
        <f>D9/'Output-Calculation-sheet'!D8*'Output-Calculation-sheet'!D80</f>
        <v>10885872035.344572</v>
      </c>
      <c r="E97" s="2">
        <f>E9/'Output-Calculation-sheet'!E8*'Output-Calculation-sheet'!E80</f>
        <v>13135485014.992811</v>
      </c>
      <c r="F97" s="2">
        <f>F9/'Output-Calculation-sheet'!F8*'Output-Calculation-sheet'!F80</f>
        <v>7783145591.2516117</v>
      </c>
      <c r="G97" s="2">
        <f>G9/'Output-Calculation-sheet'!G8*'Output-Calculation-sheet'!G80</f>
        <v>3896117340.4632277</v>
      </c>
      <c r="H97" s="2">
        <f>H9/'Output-Calculation-sheet'!H8*'Output-Calculation-sheet'!H80</f>
        <v>4959130847.406848</v>
      </c>
      <c r="I97" s="2">
        <f>I9/'Output-Calculation-sheet'!I8*'Output-Calculation-sheet'!I80</f>
        <v>4733674003.0454845</v>
      </c>
      <c r="J97" s="2">
        <f>J9/'Output-Calculation-sheet'!J8*'Output-Calculation-sheet'!J80</f>
        <v>2701096102.7807455</v>
      </c>
      <c r="K97" s="2">
        <f>K9/'Output-Calculation-sheet'!K8*'Output-Calculation-sheet'!K80</f>
        <v>4550050719.8425226</v>
      </c>
      <c r="L97" s="2">
        <f>L9/'Output-Calculation-sheet'!L8*'Output-Calculation-sheet'!L80</f>
        <v>3292123196.3931217</v>
      </c>
      <c r="M97" s="2">
        <f>M9/'Output-Calculation-sheet'!M8*'Output-Calculation-sheet'!M80</f>
        <v>3317909562.2821579</v>
      </c>
      <c r="N97" s="2">
        <f>N9/'Output-Calculation-sheet'!N8*'Output-Calculation-sheet'!N80</f>
        <v>2371556155.0304933</v>
      </c>
      <c r="O97" s="2">
        <f>O9/'Output-Calculation-sheet'!O8*'Output-Calculation-sheet'!O80</f>
        <v>1871009383.9397163</v>
      </c>
      <c r="P97" s="2">
        <f>P9/'Output-Calculation-sheet'!P8*'Output-Calculation-sheet'!P80</f>
        <v>3909998515.2117095</v>
      </c>
      <c r="Q97" s="2">
        <f>Q9/'Output-Calculation-sheet'!Q8*'Output-Calculation-sheet'!Q80</f>
        <v>2165002318.9870844</v>
      </c>
      <c r="R97" s="2">
        <f>R9/'Output-Calculation-sheet'!R8*'Output-Calculation-sheet'!R80</f>
        <v>2870477560.069612</v>
      </c>
      <c r="S97" s="2">
        <f>S9/'Output-Calculation-sheet'!S8*'Output-Calculation-sheet'!S80</f>
        <v>1810849743.7922719</v>
      </c>
      <c r="T97" s="2">
        <f>T9/'Output-Calculation-sheet'!T8*'Output-Calculation-sheet'!T80</f>
        <v>1151021608.5176475</v>
      </c>
      <c r="U97" s="2">
        <f>U9/'Output-Calculation-sheet'!U8*'Output-Calculation-sheet'!U80</f>
        <v>1073373893.332728</v>
      </c>
      <c r="V97" s="2">
        <f>V9/'Output-Calculation-sheet'!V8*'Output-Calculation-sheet'!V80</f>
        <v>695124423.43885672</v>
      </c>
      <c r="W97" s="2">
        <f>W9/'Output-Calculation-sheet'!W8*'Output-Calculation-sheet'!W80</f>
        <v>813150310.50166655</v>
      </c>
      <c r="X97" s="2">
        <f>X9/'Output-Calculation-sheet'!X8*'Output-Calculation-sheet'!X80</f>
        <v>378633485.05960894</v>
      </c>
      <c r="Y97" s="2">
        <f>Y9/'Output-Calculation-sheet'!Y8*'Output-Calculation-sheet'!Y80</f>
        <v>418407858.56331903</v>
      </c>
      <c r="AA97" s="2">
        <f t="shared" si="8"/>
        <v>125.79408890044135</v>
      </c>
    </row>
    <row r="98" spans="1:27" x14ac:dyDescent="0.25">
      <c r="A98" s="2">
        <v>2033</v>
      </c>
      <c r="B98" s="2">
        <f>B10/'Output-Calculation-sheet'!B9*'Output-Calculation-sheet'!B81</f>
        <v>44561181021.942345</v>
      </c>
      <c r="C98" s="2">
        <f>C10/'Output-Calculation-sheet'!C9*'Output-Calculation-sheet'!C81</f>
        <v>18482993819.463959</v>
      </c>
      <c r="D98" s="2">
        <f>D10/'Output-Calculation-sheet'!D9*'Output-Calculation-sheet'!D81</f>
        <v>14498609218.280727</v>
      </c>
      <c r="E98" s="2">
        <f>E10/'Output-Calculation-sheet'!E9*'Output-Calculation-sheet'!E81</f>
        <v>17461946291.712193</v>
      </c>
      <c r="F98" s="2">
        <f>F10/'Output-Calculation-sheet'!F9*'Output-Calculation-sheet'!F81</f>
        <v>10383278143.752424</v>
      </c>
      <c r="G98" s="2">
        <f>G10/'Output-Calculation-sheet'!G9*'Output-Calculation-sheet'!G81</f>
        <v>5118210211.4115019</v>
      </c>
      <c r="H98" s="2">
        <f>H10/'Output-Calculation-sheet'!H9*'Output-Calculation-sheet'!H81</f>
        <v>6635864630.6972446</v>
      </c>
      <c r="I98" s="2">
        <f>I10/'Output-Calculation-sheet'!I9*'Output-Calculation-sheet'!I81</f>
        <v>6318849609.7104254</v>
      </c>
      <c r="J98" s="2">
        <f>J10/'Output-Calculation-sheet'!J9*'Output-Calculation-sheet'!J81</f>
        <v>3646103085.5623431</v>
      </c>
      <c r="K98" s="2">
        <f>K10/'Output-Calculation-sheet'!K9*'Output-Calculation-sheet'!K81</f>
        <v>6071732824.5453596</v>
      </c>
      <c r="L98" s="2">
        <f>L10/'Output-Calculation-sheet'!L9*'Output-Calculation-sheet'!L81</f>
        <v>4418470245.3230343</v>
      </c>
      <c r="M98" s="2">
        <f>M10/'Output-Calculation-sheet'!M9*'Output-Calculation-sheet'!M81</f>
        <v>4440533229.5906639</v>
      </c>
      <c r="N98" s="2">
        <f>N10/'Output-Calculation-sheet'!N9*'Output-Calculation-sheet'!N81</f>
        <v>3188707991.1173787</v>
      </c>
      <c r="O98" s="2">
        <f>O10/'Output-Calculation-sheet'!O9*'Output-Calculation-sheet'!O81</f>
        <v>2524612345.9430518</v>
      </c>
      <c r="P98" s="2">
        <f>P10/'Output-Calculation-sheet'!P9*'Output-Calculation-sheet'!P81</f>
        <v>5185584318.2659693</v>
      </c>
      <c r="Q98" s="2">
        <f>Q10/'Output-Calculation-sheet'!Q9*'Output-Calculation-sheet'!Q81</f>
        <v>2919517268.2129674</v>
      </c>
      <c r="R98" s="2">
        <f>R10/'Output-Calculation-sheet'!R9*'Output-Calculation-sheet'!R81</f>
        <v>3845831674.1722622</v>
      </c>
      <c r="S98" s="2">
        <f>S10/'Output-Calculation-sheet'!S9*'Output-Calculation-sheet'!S81</f>
        <v>2431260285.3211904</v>
      </c>
      <c r="T98" s="2">
        <f>T10/'Output-Calculation-sheet'!T9*'Output-Calculation-sheet'!T81</f>
        <v>1530509822.8041701</v>
      </c>
      <c r="U98" s="2">
        <f>U10/'Output-Calculation-sheet'!U9*'Output-Calculation-sheet'!U81</f>
        <v>1434013259.1150334</v>
      </c>
      <c r="V98" s="2">
        <f>V10/'Output-Calculation-sheet'!V9*'Output-Calculation-sheet'!V81</f>
        <v>933982498.017959</v>
      </c>
      <c r="W98" s="2">
        <f>W10/'Output-Calculation-sheet'!W9*'Output-Calculation-sheet'!W81</f>
        <v>1069556872.1213348</v>
      </c>
      <c r="X98" s="2">
        <f>X10/'Output-Calculation-sheet'!X9*'Output-Calculation-sheet'!X81</f>
        <v>506549025.99768186</v>
      </c>
      <c r="Y98" s="2">
        <f>Y10/'Output-Calculation-sheet'!Y9*'Output-Calculation-sheet'!Y81</f>
        <v>552941733.73591602</v>
      </c>
      <c r="AA98" s="2">
        <f t="shared" si="8"/>
        <v>168.16083942681712</v>
      </c>
    </row>
    <row r="99" spans="1:27" x14ac:dyDescent="0.25">
      <c r="A99" s="2">
        <v>2034</v>
      </c>
      <c r="B99" s="2">
        <f>B11/'Output-Calculation-sheet'!B10*'Output-Calculation-sheet'!B82</f>
        <v>56814824477.497017</v>
      </c>
      <c r="C99" s="2">
        <f>C11/'Output-Calculation-sheet'!C10*'Output-Calculation-sheet'!C82</f>
        <v>23593483470.667374</v>
      </c>
      <c r="D99" s="2">
        <f>D11/'Output-Calculation-sheet'!D10*'Output-Calculation-sheet'!D82</f>
        <v>18382727554.620232</v>
      </c>
      <c r="E99" s="2">
        <f>E11/'Output-Calculation-sheet'!E10*'Output-Calculation-sheet'!E82</f>
        <v>22088217854.362984</v>
      </c>
      <c r="F99" s="2">
        <f>F11/'Output-Calculation-sheet'!F10*'Output-Calculation-sheet'!F82</f>
        <v>13177676970.983969</v>
      </c>
      <c r="G99" s="2">
        <f>G11/'Output-Calculation-sheet'!G10*'Output-Calculation-sheet'!G82</f>
        <v>6400054075.2177963</v>
      </c>
      <c r="H99" s="2">
        <f>H11/'Output-Calculation-sheet'!H10*'Output-Calculation-sheet'!H82</f>
        <v>8445920689.6037254</v>
      </c>
      <c r="I99" s="2">
        <f>I11/'Output-Calculation-sheet'!I10*'Output-Calculation-sheet'!I82</f>
        <v>8025115154.9986134</v>
      </c>
      <c r="J99" s="2">
        <f>J11/'Output-Calculation-sheet'!J10*'Output-Calculation-sheet'!J82</f>
        <v>4683787583.0981522</v>
      </c>
      <c r="K99" s="2">
        <f>K11/'Output-Calculation-sheet'!K10*'Output-Calculation-sheet'!K82</f>
        <v>7708164808.6637096</v>
      </c>
      <c r="L99" s="2">
        <f>L11/'Output-Calculation-sheet'!L10*'Output-Calculation-sheet'!L82</f>
        <v>5640368503.2105141</v>
      </c>
      <c r="M99" s="2">
        <f>M11/'Output-Calculation-sheet'!M10*'Output-Calculation-sheet'!M82</f>
        <v>5653742561.7968655</v>
      </c>
      <c r="N99" s="2">
        <f>N11/'Output-Calculation-sheet'!N10*'Output-Calculation-sheet'!N82</f>
        <v>4080093762.6399002</v>
      </c>
      <c r="O99" s="2">
        <f>O11/'Output-Calculation-sheet'!O10*'Output-Calculation-sheet'!O82</f>
        <v>3240883869.2600784</v>
      </c>
      <c r="P99" s="2">
        <f>P11/'Output-Calculation-sheet'!P10*'Output-Calculation-sheet'!P82</f>
        <v>6542168856.4025936</v>
      </c>
      <c r="Q99" s="2">
        <f>Q11/'Output-Calculation-sheet'!Q10*'Output-Calculation-sheet'!Q82</f>
        <v>3745464225.1714244</v>
      </c>
      <c r="R99" s="2">
        <f>R11/'Output-Calculation-sheet'!R10*'Output-Calculation-sheet'!R82</f>
        <v>4900777680.3438129</v>
      </c>
      <c r="S99" s="2">
        <f>S11/'Output-Calculation-sheet'!S10*'Output-Calculation-sheet'!S82</f>
        <v>3104316650.1120892</v>
      </c>
      <c r="T99" s="2">
        <f>T11/'Output-Calculation-sheet'!T10*'Output-Calculation-sheet'!T82</f>
        <v>1936414524.8213744</v>
      </c>
      <c r="U99" s="2">
        <f>U11/'Output-Calculation-sheet'!U10*'Output-Calculation-sheet'!U82</f>
        <v>1821418444.7810774</v>
      </c>
      <c r="V99" s="2">
        <f>V11/'Output-Calculation-sheet'!V10*'Output-Calculation-sheet'!V82</f>
        <v>1192887266.6112058</v>
      </c>
      <c r="W99" s="2">
        <f>W11/'Output-Calculation-sheet'!W10*'Output-Calculation-sheet'!W82</f>
        <v>1338571417.5252857</v>
      </c>
      <c r="X99" s="2">
        <f>X11/'Output-Calculation-sheet'!X10*'Output-Calculation-sheet'!X82</f>
        <v>644652776.79707575</v>
      </c>
      <c r="Y99" s="2">
        <f>Y11/'Output-Calculation-sheet'!Y10*'Output-Calculation-sheet'!Y82</f>
        <v>695497882.67706513</v>
      </c>
      <c r="AA99" s="2">
        <f t="shared" si="8"/>
        <v>213.85723106186393</v>
      </c>
    </row>
    <row r="100" spans="1:27" x14ac:dyDescent="0.25">
      <c r="A100" s="2">
        <v>2035</v>
      </c>
      <c r="B100" s="2">
        <f>B12/'Output-Calculation-sheet'!B11*'Output-Calculation-sheet'!B83</f>
        <v>69997951410.837967</v>
      </c>
      <c r="C100" s="2">
        <f>C12/'Output-Calculation-sheet'!C11*'Output-Calculation-sheet'!C83</f>
        <v>29106458912.010319</v>
      </c>
      <c r="D100" s="2">
        <f>D12/'Output-Calculation-sheet'!D11*'Output-Calculation-sheet'!D83</f>
        <v>22543307407.013195</v>
      </c>
      <c r="E100" s="2">
        <f>E12/'Output-Calculation-sheet'!E11*'Output-Calculation-sheet'!E83</f>
        <v>27012360066.145725</v>
      </c>
      <c r="F100" s="2">
        <f>F12/'Output-Calculation-sheet'!F11*'Output-Calculation-sheet'!F83</f>
        <v>16165532425.090206</v>
      </c>
      <c r="G100" s="2">
        <f>G12/'Output-Calculation-sheet'!G11*'Output-Calculation-sheet'!G83</f>
        <v>7740255548.8768444</v>
      </c>
      <c r="H100" s="2">
        <f>H12/'Output-Calculation-sheet'!H11*'Output-Calculation-sheet'!H83</f>
        <v>10389084593.188061</v>
      </c>
      <c r="I100" s="2">
        <f>I12/'Output-Calculation-sheet'!I11*'Output-Calculation-sheet'!I83</f>
        <v>9852591386.3504906</v>
      </c>
      <c r="J100" s="2">
        <f>J12/'Output-Calculation-sheet'!J11*'Output-Calculation-sheet'!J83</f>
        <v>5817587101.7181129</v>
      </c>
      <c r="K100" s="2">
        <f>K12/'Output-Calculation-sheet'!K11*'Output-Calculation-sheet'!K83</f>
        <v>9459194868.8848705</v>
      </c>
      <c r="L100" s="2">
        <f>L12/'Output-Calculation-sheet'!L11*'Output-Calculation-sheet'!L83</f>
        <v>6958307427.4894743</v>
      </c>
      <c r="M100" s="2">
        <f>M12/'Output-Calculation-sheet'!M11*'Output-Calculation-sheet'!M83</f>
        <v>6957919586.6530466</v>
      </c>
      <c r="N100" s="2">
        <f>N12/'Output-Calculation-sheet'!N11*'Output-Calculation-sheet'!N83</f>
        <v>5047767500.920311</v>
      </c>
      <c r="O100" s="2">
        <f>O12/'Output-Calculation-sheet'!O11*'Output-Calculation-sheet'!O83</f>
        <v>4021516079.2200389</v>
      </c>
      <c r="P100" s="2">
        <f>P12/'Output-Calculation-sheet'!P11*'Output-Calculation-sheet'!P83</f>
        <v>7977898018.3035135</v>
      </c>
      <c r="Q100" s="2">
        <f>Q12/'Output-Calculation-sheet'!Q11*'Output-Calculation-sheet'!Q83</f>
        <v>4644593266.1929312</v>
      </c>
      <c r="R100" s="2">
        <f>R12/'Output-Calculation-sheet'!R11*'Output-Calculation-sheet'!R83</f>
        <v>6035369488.2238016</v>
      </c>
      <c r="S100" s="2">
        <f>S12/'Output-Calculation-sheet'!S11*'Output-Calculation-sheet'!S83</f>
        <v>3830147197.0545621</v>
      </c>
      <c r="T100" s="2">
        <f>T12/'Output-Calculation-sheet'!T11*'Output-Calculation-sheet'!T83</f>
        <v>2368602620.3920588</v>
      </c>
      <c r="U100" s="2">
        <f>U12/'Output-Calculation-sheet'!U11*'Output-Calculation-sheet'!U83</f>
        <v>2235042821.1445408</v>
      </c>
      <c r="V100" s="2">
        <f>V12/'Output-Calculation-sheet'!V11*'Output-Calculation-sheet'!V83</f>
        <v>1471656085.360625</v>
      </c>
      <c r="W100" s="2">
        <f>W12/'Output-Calculation-sheet'!W11*'Output-Calculation-sheet'!W83</f>
        <v>1619598584.5385239</v>
      </c>
      <c r="X100" s="2">
        <f>X12/'Output-Calculation-sheet'!X11*'Output-Calculation-sheet'!X83</f>
        <v>792953958.15954256</v>
      </c>
      <c r="Y100" s="2">
        <f>Y12/'Output-Calculation-sheet'!Y11*'Output-Calculation-sheet'!Y83</f>
        <v>845991923.71158063</v>
      </c>
      <c r="AA100" s="2">
        <f t="shared" si="8"/>
        <v>262.89168827748034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2076.9665613025945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639.35472460392896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439.93827222434339</v>
      </c>
      <c r="N107" s="2">
        <f>N8/'Output-Calculation-sheet'!N7*'Output-Calculation-sheet'!N88</f>
        <v>172.95518985405994</v>
      </c>
      <c r="O107" s="2">
        <f>O8/'Output-Calculation-sheet'!O7*'Output-Calculation-sheet'!O88</f>
        <v>484.19628369778258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48.262143460731409</v>
      </c>
      <c r="Y107" s="2">
        <f>Y8/'Output-Calculation-sheet'!Y7*'Output-Calculation-sheet'!Y88</f>
        <v>0</v>
      </c>
      <c r="AA107" s="2">
        <f t="shared" si="9"/>
        <v>3.8616731751434408</v>
      </c>
    </row>
    <row r="108" spans="1:27" x14ac:dyDescent="0.25">
      <c r="A108" s="2">
        <v>2032</v>
      </c>
      <c r="B108" s="2">
        <f>B9/'Output-Calculation-sheet'!B8*'Output-Calculation-sheet'!B89</f>
        <v>1004.044192776096</v>
      </c>
      <c r="C108" s="2">
        <f>C9/'Output-Calculation-sheet'!C8*'Output-Calculation-sheet'!C89</f>
        <v>3812.3409031919405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1026.8621734029841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706.58110903817783</v>
      </c>
      <c r="N108" s="2">
        <f>N9/'Output-Calculation-sheet'!N8*'Output-Calculation-sheet'!N89</f>
        <v>496.03902888429269</v>
      </c>
      <c r="O108" s="2">
        <f>O9/'Output-Calculation-sheet'!O8*'Output-Calculation-sheet'!O89</f>
        <v>740.63192763396137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227.47735637330243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77.513417231528379</v>
      </c>
      <c r="Y108" s="2">
        <f>Y9/'Output-Calculation-sheet'!Y8*'Output-Calculation-sheet'!Y89</f>
        <v>0</v>
      </c>
      <c r="AA108" s="2">
        <f t="shared" si="9"/>
        <v>8.0914901085322821</v>
      </c>
    </row>
    <row r="109" spans="1:27" x14ac:dyDescent="0.25">
      <c r="A109" s="2">
        <v>2033</v>
      </c>
      <c r="B109" s="2">
        <f>B10/'Output-Calculation-sheet'!B9*'Output-Calculation-sheet'!B90</f>
        <v>5556.7860830249738</v>
      </c>
      <c r="C109" s="2">
        <f>C10/'Output-Calculation-sheet'!C9*'Output-Calculation-sheet'!C90</f>
        <v>5274.7585781137004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1623.7342867701395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1117.2872103441587</v>
      </c>
      <c r="N109" s="2">
        <f>N10/'Output-Calculation-sheet'!N9*'Output-Calculation-sheet'!N90</f>
        <v>878.48970542869813</v>
      </c>
      <c r="O109" s="2">
        <f>O10/'Output-Calculation-sheet'!O9*'Output-Calculation-sheet'!O90</f>
        <v>1024.7390547474961</v>
      </c>
      <c r="P109" s="2">
        <f>P10/'Output-Calculation-sheet'!P9*'Output-Calculation-sheet'!P90</f>
        <v>0</v>
      </c>
      <c r="Q109" s="2">
        <f>Q10/'Output-Calculation-sheet'!Q9*'Output-Calculation-sheet'!Q90</f>
        <v>192.4228710298504</v>
      </c>
      <c r="R109" s="2">
        <f>R10/'Output-Calculation-sheet'!R9*'Output-Calculation-sheet'!R90</f>
        <v>0</v>
      </c>
      <c r="S109" s="2">
        <f>S10/'Output-Calculation-sheet'!S9*'Output-Calculation-sheet'!S90</f>
        <v>440.63304784546199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122.5687307445093</v>
      </c>
      <c r="Y109" s="2">
        <f>Y10/'Output-Calculation-sheet'!Y9*'Output-Calculation-sheet'!Y90</f>
        <v>0</v>
      </c>
      <c r="AA109" s="2">
        <f t="shared" si="9"/>
        <v>16.231419568048988</v>
      </c>
    </row>
    <row r="110" spans="1:27" x14ac:dyDescent="0.25">
      <c r="A110" s="2">
        <v>2034</v>
      </c>
      <c r="B110" s="2">
        <f>B11/'Output-Calculation-sheet'!B10*'Output-Calculation-sheet'!B91</f>
        <v>10835.493688183931</v>
      </c>
      <c r="C110" s="2">
        <f>C11/'Output-Calculation-sheet'!C10*'Output-Calculation-sheet'!C91</f>
        <v>7428.4543612934158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2110.8079805737843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1452.4413134606236</v>
      </c>
      <c r="N110" s="2">
        <f>N11/'Output-Calculation-sheet'!N10*'Output-Calculation-sheet'!N91</f>
        <v>1308.5547397577909</v>
      </c>
      <c r="O110" s="2">
        <f>O11/'Output-Calculation-sheet'!O10*'Output-Calculation-sheet'!O91</f>
        <v>1443.1423140410204</v>
      </c>
      <c r="P110" s="2">
        <f>P11/'Output-Calculation-sheet'!P10*'Output-Calculation-sheet'!P91</f>
        <v>329.69310833763637</v>
      </c>
      <c r="Q110" s="2">
        <f>Q11/'Output-Calculation-sheet'!Q10*'Output-Calculation-sheet'!Q91</f>
        <v>729.58728168270034</v>
      </c>
      <c r="R110" s="2">
        <f>R11/'Output-Calculation-sheet'!R10*'Output-Calculation-sheet'!R91</f>
        <v>0</v>
      </c>
      <c r="S110" s="2">
        <f>S11/'Output-Calculation-sheet'!S10*'Output-Calculation-sheet'!S91</f>
        <v>750.10875036229129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159.33583292063264</v>
      </c>
      <c r="Y110" s="2">
        <f>Y11/'Output-Calculation-sheet'!Y10*'Output-Calculation-sheet'!Y91</f>
        <v>38.440531644623945</v>
      </c>
      <c r="AA110" s="2">
        <f t="shared" si="9"/>
        <v>26.586059902258445</v>
      </c>
    </row>
    <row r="111" spans="1:27" x14ac:dyDescent="0.25">
      <c r="A111" s="2">
        <v>2035</v>
      </c>
      <c r="B111" s="2">
        <f>B12/'Output-Calculation-sheet'!B11*'Output-Calculation-sheet'!B92</f>
        <v>19307.90280652649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4300.9434278264689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955.22210205808074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1527.4591961265928</v>
      </c>
      <c r="Q111" s="2">
        <f>Q12/'Output-Calculation-sheet'!Q11*'Output-Calculation-sheet'!Q92</f>
        <v>1448.6391494748752</v>
      </c>
      <c r="R111" s="2">
        <f>R12/'Output-Calculation-sheet'!R11*'Output-Calculation-sheet'!R92</f>
        <v>221.01519211026172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319.98668621020511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150.69486950991003</v>
      </c>
      <c r="AA111" s="2">
        <f t="shared" si="9"/>
        <v>47.152522442270637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9763782041.6551094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3004115286.2262015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2086616940.888762</v>
      </c>
      <c r="N118" s="2">
        <f>N8/'Output-Calculation-sheet'!N7*'Output-Calculation-sheet'!N97</f>
        <v>1637399351.8321891</v>
      </c>
      <c r="O118" s="2">
        <f>O8/'Output-Calculation-sheet'!O7*'Output-Calculation-sheet'!O97</f>
        <v>1089544346.6226134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592973077.0694406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224897702.48428816</v>
      </c>
      <c r="Y118" s="2">
        <f>Y8/'Output-Calculation-sheet'!Y7*'Output-Calculation-sheet'!Y97</f>
        <v>0</v>
      </c>
      <c r="AA118" s="2">
        <f t="shared" si="10"/>
        <v>20064.902613136161</v>
      </c>
    </row>
    <row r="119" spans="1:27" x14ac:dyDescent="0.25">
      <c r="A119" s="2">
        <v>2032</v>
      </c>
      <c r="B119" s="2">
        <f>B9/'Output-Calculation-sheet'!B8*'Output-Calculation-sheet'!B98</f>
        <v>7532391692.3461561</v>
      </c>
      <c r="C119" s="2">
        <f>C9/'Output-Calculation-sheet'!C8*'Output-Calculation-sheet'!C98</f>
        <v>5986897059.9400721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3578980458.2375875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2498141762.8607249</v>
      </c>
      <c r="N119" s="2">
        <f>N9/'Output-Calculation-sheet'!N8*'Output-Calculation-sheet'!N98</f>
        <v>1687059659.1489685</v>
      </c>
      <c r="O119" s="2">
        <f>O9/'Output-Calculation-sheet'!O8*'Output-Calculation-sheet'!O98</f>
        <v>1169729058.1542754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701107960.0781554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267310124.56654662</v>
      </c>
      <c r="Y119" s="2">
        <f>Y9/'Output-Calculation-sheet'!Y8*'Output-Calculation-sheet'!Y98</f>
        <v>0</v>
      </c>
      <c r="AA119" s="2">
        <f t="shared" si="10"/>
        <v>23421.617775332485</v>
      </c>
    </row>
    <row r="120" spans="1:27" x14ac:dyDescent="0.25">
      <c r="A120" s="2">
        <v>2033</v>
      </c>
      <c r="B120" s="2">
        <f>B10/'Output-Calculation-sheet'!B9*'Output-Calculation-sheet'!B99</f>
        <v>7994177204.1354752</v>
      </c>
      <c r="C120" s="2">
        <f>C10/'Output-Calculation-sheet'!C9*'Output-Calculation-sheet'!C99</f>
        <v>6571710051.9980631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2154708051.0189371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1525120258.4773941</v>
      </c>
      <c r="N120" s="2">
        <f>N10/'Output-Calculation-sheet'!N9*'Output-Calculation-sheet'!N99</f>
        <v>1520383308.4060459</v>
      </c>
      <c r="O120" s="2">
        <f>O10/'Output-Calculation-sheet'!O9*'Output-Calculation-sheet'!O99</f>
        <v>1286599275.8017418</v>
      </c>
      <c r="P120" s="2">
        <f>P10/'Output-Calculation-sheet'!P9*'Output-Calculation-sheet'!P99</f>
        <v>0</v>
      </c>
      <c r="Q120" s="2">
        <f>Q10/'Output-Calculation-sheet'!Q9*'Output-Calculation-sheet'!Q99</f>
        <v>9416916.5244293269</v>
      </c>
      <c r="R120" s="2">
        <f>R10/'Output-Calculation-sheet'!R9*'Output-Calculation-sheet'!R99</f>
        <v>0</v>
      </c>
      <c r="S120" s="2">
        <f>S10/'Output-Calculation-sheet'!S9*'Output-Calculation-sheet'!S99</f>
        <v>636726607.90143049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152290024.31232086</v>
      </c>
      <c r="Y120" s="2">
        <f>Y10/'Output-Calculation-sheet'!Y9*'Output-Calculation-sheet'!Y99</f>
        <v>0</v>
      </c>
      <c r="AA120" s="2">
        <f t="shared" si="10"/>
        <v>21851.131698575835</v>
      </c>
    </row>
    <row r="121" spans="1:27" x14ac:dyDescent="0.25">
      <c r="A121" s="2">
        <v>2034</v>
      </c>
      <c r="B121" s="2">
        <f>B11/'Output-Calculation-sheet'!B10*'Output-Calculation-sheet'!B100</f>
        <v>8116011489.1286659</v>
      </c>
      <c r="C121" s="2">
        <f>C11/'Output-Calculation-sheet'!C10*'Output-Calculation-sheet'!C100</f>
        <v>975200215.93793821</v>
      </c>
      <c r="D121" s="2">
        <f>D11/'Output-Calculation-sheet'!D10*'Output-Calculation-sheet'!D100</f>
        <v>0</v>
      </c>
      <c r="E121" s="2">
        <f>E11/'Output-Calculation-sheet'!E10*'Output-Calculation-sheet'!E100</f>
        <v>1125457858.8635855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2567793339.5195661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936136181.33992612</v>
      </c>
      <c r="M121" s="2">
        <f>M11/'Output-Calculation-sheet'!M10*'Output-Calculation-sheet'!M100</f>
        <v>1827488697.3825111</v>
      </c>
      <c r="N121" s="2">
        <f>N11/'Output-Calculation-sheet'!N10*'Output-Calculation-sheet'!N100</f>
        <v>1218345880.4651351</v>
      </c>
      <c r="O121" s="2">
        <f>O11/'Output-Calculation-sheet'!O10*'Output-Calculation-sheet'!O100</f>
        <v>191288729.98122928</v>
      </c>
      <c r="P121" s="2">
        <f>P11/'Output-Calculation-sheet'!P10*'Output-Calculation-sheet'!P100</f>
        <v>0</v>
      </c>
      <c r="Q121" s="2">
        <f>Q11/'Output-Calculation-sheet'!Q10*'Output-Calculation-sheet'!Q100</f>
        <v>376358614.45168197</v>
      </c>
      <c r="R121" s="2">
        <f>R11/'Output-Calculation-sheet'!R10*'Output-Calculation-sheet'!R100</f>
        <v>0</v>
      </c>
      <c r="S121" s="2">
        <f>S11/'Output-Calculation-sheet'!S10*'Output-Calculation-sheet'!S100</f>
        <v>455530505.37703919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179563551.39818248</v>
      </c>
      <c r="Y121" s="2">
        <f>Y11/'Output-Calculation-sheet'!Y10*'Output-Calculation-sheet'!Y100</f>
        <v>12832296.485945478</v>
      </c>
      <c r="AA121" s="2">
        <f t="shared" si="10"/>
        <v>17982.007360331409</v>
      </c>
    </row>
    <row r="122" spans="1:27" x14ac:dyDescent="0.25">
      <c r="A122" s="2">
        <v>2035</v>
      </c>
      <c r="B122" s="2">
        <f>B12/'Output-Calculation-sheet'!B11*'Output-Calculation-sheet'!B101</f>
        <v>3394840847.4357376</v>
      </c>
      <c r="C122" s="2">
        <f>C12/'Output-Calculation-sheet'!C11*'Output-Calculation-sheet'!C101</f>
        <v>583844706.57637596</v>
      </c>
      <c r="D122" s="2">
        <f>D12/'Output-Calculation-sheet'!D11*'Output-Calculation-sheet'!D101</f>
        <v>0</v>
      </c>
      <c r="E122" s="2">
        <f>E12/'Output-Calculation-sheet'!E11*'Output-Calculation-sheet'!E101</f>
        <v>3393175695.2318654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910585712.01533222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1991615044.0391006</v>
      </c>
      <c r="M122" s="2">
        <f>M12/'Output-Calculation-sheet'!M11*'Output-Calculation-sheet'!M101</f>
        <v>821378802.23407602</v>
      </c>
      <c r="N122" s="2">
        <f>N12/'Output-Calculation-sheet'!N11*'Output-Calculation-sheet'!N101</f>
        <v>688643228.05952883</v>
      </c>
      <c r="O122" s="2">
        <f>O12/'Output-Calculation-sheet'!O11*'Output-Calculation-sheet'!O101</f>
        <v>99509763.556327075</v>
      </c>
      <c r="P122" s="2">
        <f>P12/'Output-Calculation-sheet'!P11*'Output-Calculation-sheet'!P101</f>
        <v>42313457.968575545</v>
      </c>
      <c r="Q122" s="2">
        <f>Q12/'Output-Calculation-sheet'!Q11*'Output-Calculation-sheet'!Q101</f>
        <v>834067376.83576655</v>
      </c>
      <c r="R122" s="2">
        <f>R12/'Output-Calculation-sheet'!R11*'Output-Calculation-sheet'!R101</f>
        <v>0</v>
      </c>
      <c r="S122" s="2">
        <f>S12/'Output-Calculation-sheet'!S11*'Output-Calculation-sheet'!S101</f>
        <v>337181405.99728709</v>
      </c>
      <c r="T122" s="2">
        <f>T12/'Output-Calculation-sheet'!T11*'Output-Calculation-sheet'!T101</f>
        <v>0</v>
      </c>
      <c r="U122" s="2">
        <f>U12/'Output-Calculation-sheet'!U11*'Output-Calculation-sheet'!U101</f>
        <v>123977479.43545665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29131852.696172643</v>
      </c>
      <c r="Y122" s="2">
        <f>Y12/'Output-Calculation-sheet'!Y11*'Output-Calculation-sheet'!Y101</f>
        <v>120374492.43325</v>
      </c>
      <c r="AA122" s="2">
        <f t="shared" si="10"/>
        <v>13370.639864514855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2717124909.5216331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2726551489.4584517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178600.96725852133</v>
      </c>
    </row>
    <row r="130" spans="1:27" x14ac:dyDescent="0.25">
      <c r="A130" s="2">
        <v>2032</v>
      </c>
      <c r="B130" s="2">
        <f>B9/'Output-Calculation-sheet'!B8*'Output-Calculation-sheet'!B107</f>
        <v>68163830033.610771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2479811197.3289766</v>
      </c>
      <c r="O130" s="2">
        <f>O9/'Output-Calculation-sheet'!O8*'Output-Calculation-sheet'!O107</f>
        <v>0</v>
      </c>
      <c r="P130" s="2">
        <f>P9/'Output-Calculation-sheet'!P8*'Output-Calculation-sheet'!P107</f>
        <v>7566811689.8451099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2202465306.9201288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240054.91349348609</v>
      </c>
    </row>
    <row r="131" spans="1:27" x14ac:dyDescent="0.25">
      <c r="A131" s="2">
        <v>2033</v>
      </c>
      <c r="B131" s="2">
        <f>B10/'Output-Calculation-sheet'!B9*'Output-Calculation-sheet'!B108</f>
        <v>59634129254.06955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2185156148.9551349</v>
      </c>
      <c r="O131" s="2">
        <f>O10/'Output-Calculation-sheet'!O9*'Output-Calculation-sheet'!O108</f>
        <v>0</v>
      </c>
      <c r="P131" s="2">
        <f>P10/'Output-Calculation-sheet'!P9*'Output-Calculation-sheet'!P108</f>
        <v>10050145200.832788</v>
      </c>
      <c r="Q131" s="2">
        <f>Q10/'Output-Calculation-sheet'!Q9*'Output-Calculation-sheet'!Q108</f>
        <v>8477916791.7326536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2119485017.6864762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284624.30849418585</v>
      </c>
    </row>
    <row r="132" spans="1:27" x14ac:dyDescent="0.25">
      <c r="A132" s="2">
        <v>2034</v>
      </c>
      <c r="B132" s="2">
        <f>B11/'Output-Calculation-sheet'!B10*'Output-Calculation-sheet'!B109</f>
        <v>47225897268.078094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45587129956.245407</v>
      </c>
      <c r="F132" s="2">
        <f>F11/'Output-Calculation-sheet'!F10*'Output-Calculation-sheet'!F109</f>
        <v>30065794839.754402</v>
      </c>
      <c r="G132" s="2">
        <f>G11/'Output-Calculation-sheet'!G10*'Output-Calculation-sheet'!G109</f>
        <v>21125637575.187355</v>
      </c>
      <c r="H132" s="2">
        <f>H11/'Output-Calculation-sheet'!H10*'Output-Calculation-sheet'!H109</f>
        <v>0</v>
      </c>
      <c r="I132" s="2">
        <f>I11/'Output-Calculation-sheet'!I10*'Output-Calculation-sheet'!I109</f>
        <v>19245771181.593929</v>
      </c>
      <c r="J132" s="2">
        <f>J11/'Output-Calculation-sheet'!J10*'Output-Calculation-sheet'!J109</f>
        <v>18732633509.99873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13947365142.641706</v>
      </c>
      <c r="M132" s="2">
        <f>M11/'Output-Calculation-sheet'!M10*'Output-Calculation-sheet'!M109</f>
        <v>0</v>
      </c>
      <c r="N132" s="2">
        <f>N11/'Output-Calculation-sheet'!N10*'Output-Calculation-sheet'!N109</f>
        <v>1833842909.7171378</v>
      </c>
      <c r="O132" s="2">
        <f>O11/'Output-Calculation-sheet'!O10*'Output-Calculation-sheet'!O109</f>
        <v>0</v>
      </c>
      <c r="P132" s="2">
        <f>P11/'Output-Calculation-sheet'!P10*'Output-Calculation-sheet'!P109</f>
        <v>10419395491.525528</v>
      </c>
      <c r="Q132" s="2">
        <f>Q11/'Output-Calculation-sheet'!Q10*'Output-Calculation-sheet'!Q109</f>
        <v>6763672057.8977318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1258585066.3870983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3851364835.1722851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1241762465.9129004</v>
      </c>
      <c r="AA132" s="2">
        <f t="shared" si="11"/>
        <v>320690.741530856</v>
      </c>
    </row>
    <row r="133" spans="1:27" x14ac:dyDescent="0.25">
      <c r="A133" s="2">
        <v>2035</v>
      </c>
      <c r="B133" s="2">
        <f>B12/'Output-Calculation-sheet'!B11*'Output-Calculation-sheet'!B110</f>
        <v>813454482.83818603</v>
      </c>
      <c r="C133" s="2">
        <f>C12/'Output-Calculation-sheet'!C11*'Output-Calculation-sheet'!C110</f>
        <v>0</v>
      </c>
      <c r="D133" s="2">
        <f>D12/'Output-Calculation-sheet'!D11*'Output-Calculation-sheet'!D110</f>
        <v>68770476879.360626</v>
      </c>
      <c r="E133" s="2">
        <f>E12/'Output-Calculation-sheet'!E11*'Output-Calculation-sheet'!E110</f>
        <v>26398364085.158195</v>
      </c>
      <c r="F133" s="2">
        <f>F12/'Output-Calculation-sheet'!F11*'Output-Calculation-sheet'!F110</f>
        <v>36011948194.016846</v>
      </c>
      <c r="G133" s="2">
        <f>G12/'Output-Calculation-sheet'!G11*'Output-Calculation-sheet'!G110</f>
        <v>24549247679.209721</v>
      </c>
      <c r="H133" s="2">
        <f>H12/'Output-Calculation-sheet'!H11*'Output-Calculation-sheet'!H110</f>
        <v>0</v>
      </c>
      <c r="I133" s="2">
        <f>I12/'Output-Calculation-sheet'!I11*'Output-Calculation-sheet'!I110</f>
        <v>22935284468.32333</v>
      </c>
      <c r="J133" s="2">
        <f>J12/'Output-Calculation-sheet'!J11*'Output-Calculation-sheet'!J110</f>
        <v>21957999126.646317</v>
      </c>
      <c r="K133" s="2">
        <f>K12/'Output-Calculation-sheet'!K11*'Output-Calculation-sheet'!K110</f>
        <v>22179093664.885357</v>
      </c>
      <c r="L133" s="2">
        <f>L12/'Output-Calculation-sheet'!L11*'Output-Calculation-sheet'!L110</f>
        <v>10469898817.941114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3820106782.5157795</v>
      </c>
      <c r="Q133" s="2">
        <f>Q12/'Output-Calculation-sheet'!Q11*'Output-Calculation-sheet'!Q110</f>
        <v>3277021468.6023054</v>
      </c>
      <c r="R133" s="2">
        <f>R12/'Output-Calculation-sheet'!R11*'Output-Calculation-sheet'!R110</f>
        <v>13176076136.771406</v>
      </c>
      <c r="S133" s="2">
        <f>S12/'Output-Calculation-sheet'!S11*'Output-Calculation-sheet'!S110</f>
        <v>3390528.1644875812</v>
      </c>
      <c r="T133" s="2">
        <f>T12/'Output-Calculation-sheet'!T11*'Output-Calculation-sheet'!T110</f>
        <v>5319334225.3887749</v>
      </c>
      <c r="U133" s="2">
        <f>U12/'Output-Calculation-sheet'!U11*'Output-Calculation-sheet'!U110</f>
        <v>2497194107.0931883</v>
      </c>
      <c r="V133" s="2">
        <f>V12/'Output-Calculation-sheet'!V11*'Output-Calculation-sheet'!V110</f>
        <v>3587843708.1283398</v>
      </c>
      <c r="W133" s="2">
        <f>W12/'Output-Calculation-sheet'!W11*'Output-Calculation-sheet'!W110</f>
        <v>3094741570.7352371</v>
      </c>
      <c r="X133" s="2">
        <f>X12/'Output-Calculation-sheet'!X11*'Output-Calculation-sheet'!X110</f>
        <v>0</v>
      </c>
      <c r="Y133" s="2">
        <f>Y12/'Output-Calculation-sheet'!Y11*'Output-Calculation-sheet'!Y110</f>
        <v>708453054.35032511</v>
      </c>
      <c r="AA133" s="2">
        <f t="shared" si="11"/>
        <v>269569.92898012948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17672741233.855206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5555864685.8632221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3819018438.9187021</v>
      </c>
      <c r="N140" s="2">
        <f>N8/'Output-Calculation-sheet'!N7*'Output-Calculation-sheet'!N115</f>
        <v>1441830832.447535</v>
      </c>
      <c r="O140" s="2">
        <f>O8/'Output-Calculation-sheet'!O7*'Output-Calculation-sheet'!O115</f>
        <v>4241371845.3337402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414699550.31258279</v>
      </c>
      <c r="Y140" s="2">
        <f>Y8/'Output-Calculation-sheet'!Y7*'Output-Calculation-sheet'!Y115</f>
        <v>0</v>
      </c>
      <c r="AA140" s="2">
        <f t="shared" si="12"/>
        <v>33145.526586730994</v>
      </c>
    </row>
    <row r="141" spans="1:27" x14ac:dyDescent="0.25">
      <c r="A141" s="2">
        <v>2032</v>
      </c>
      <c r="B141" s="2">
        <f>B9/'Output-Calculation-sheet'!B8*'Output-Calculation-sheet'!B116</f>
        <v>7792698625.0210905</v>
      </c>
      <c r="C141" s="2">
        <f>C9/'Output-Calculation-sheet'!C8*'Output-Calculation-sheet'!C116</f>
        <v>33357357827.554115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8696118531.8739281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5970599884.083415</v>
      </c>
      <c r="N141" s="2">
        <f>N9/'Output-Calculation-sheet'!N8*'Output-Calculation-sheet'!N116</f>
        <v>4145161096.3826194</v>
      </c>
      <c r="O141" s="2">
        <f>O9/'Output-Calculation-sheet'!O8*'Output-Calculation-sheet'!O116</f>
        <v>6474859204.182354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1856659104.2762139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649878817.69503045</v>
      </c>
      <c r="Y141" s="2">
        <f>Y9/'Output-Calculation-sheet'!Y8*'Output-Calculation-sheet'!Y116</f>
        <v>0</v>
      </c>
      <c r="AA141" s="2">
        <f t="shared" si="12"/>
        <v>68943.333091068765</v>
      </c>
    </row>
    <row r="142" spans="1:27" x14ac:dyDescent="0.25">
      <c r="A142" s="2">
        <v>2033</v>
      </c>
      <c r="B142" s="2">
        <f>B10/'Output-Calculation-sheet'!B9*'Output-Calculation-sheet'!B117</f>
        <v>43266435431.386917</v>
      </c>
      <c r="C142" s="2">
        <f>C10/'Output-Calculation-sheet'!C9*'Output-Calculation-sheet'!C117</f>
        <v>45687568036.421181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14149777283.813316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9723544546.4513569</v>
      </c>
      <c r="N142" s="2">
        <f>N10/'Output-Calculation-sheet'!N9*'Output-Calculation-sheet'!N117</f>
        <v>7334974039.510994</v>
      </c>
      <c r="O142" s="2">
        <f>O10/'Output-Calculation-sheet'!O9*'Output-Calculation-sheet'!O117</f>
        <v>8867377124.10639</v>
      </c>
      <c r="P142" s="2">
        <f>P10/'Output-Calculation-sheet'!P9*'Output-Calculation-sheet'!P117</f>
        <v>0</v>
      </c>
      <c r="Q142" s="2">
        <f>Q10/'Output-Calculation-sheet'!Q9*'Output-Calculation-sheet'!Q117</f>
        <v>1400875986.0721869</v>
      </c>
      <c r="R142" s="2">
        <f>R10/'Output-Calculation-sheet'!R9*'Output-Calculation-sheet'!R117</f>
        <v>0</v>
      </c>
      <c r="S142" s="2">
        <f>S10/'Output-Calculation-sheet'!S9*'Output-Calculation-sheet'!S117</f>
        <v>3566599974.4054999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1065972610.636847</v>
      </c>
      <c r="Y142" s="2">
        <f>Y10/'Output-Calculation-sheet'!Y9*'Output-Calculation-sheet'!Y117</f>
        <v>0</v>
      </c>
      <c r="AA142" s="2">
        <f t="shared" si="12"/>
        <v>135063.12503280467</v>
      </c>
    </row>
    <row r="143" spans="1:27" x14ac:dyDescent="0.25">
      <c r="A143" s="2">
        <v>2034</v>
      </c>
      <c r="B143" s="2">
        <f>B11/'Output-Calculation-sheet'!B10*'Output-Calculation-sheet'!B118</f>
        <v>84812989657.378967</v>
      </c>
      <c r="C143" s="2">
        <f>C11/'Output-Calculation-sheet'!C10*'Output-Calculation-sheet'!C118</f>
        <v>65073260204.930321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18038631476.047237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12389132631.264746</v>
      </c>
      <c r="N143" s="2">
        <f>N11/'Output-Calculation-sheet'!N10*'Output-Calculation-sheet'!N118</f>
        <v>10901442852.756086</v>
      </c>
      <c r="O143" s="2">
        <f>O11/'Output-Calculation-sheet'!O10*'Output-Calculation-sheet'!O118</f>
        <v>12641926670.99934</v>
      </c>
      <c r="P143" s="2">
        <f>P11/'Output-Calculation-sheet'!P10*'Output-Calculation-sheet'!P118</f>
        <v>2282462534.5356703</v>
      </c>
      <c r="Q143" s="2">
        <f>Q11/'Output-Calculation-sheet'!Q10*'Output-Calculation-sheet'!Q118</f>
        <v>5357183442.1481676</v>
      </c>
      <c r="R143" s="2">
        <f>R11/'Output-Calculation-sheet'!R10*'Output-Calculation-sheet'!R118</f>
        <v>0</v>
      </c>
      <c r="S143" s="2">
        <f>S11/'Output-Calculation-sheet'!S10*'Output-Calculation-sheet'!S118</f>
        <v>6277039321.5883865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1360138263.6307433</v>
      </c>
      <c r="Y143" s="2">
        <f>Y11/'Output-Calculation-sheet'!Y10*'Output-Calculation-sheet'!Y118</f>
        <v>242731655.40999657</v>
      </c>
      <c r="AA143" s="2">
        <f t="shared" si="12"/>
        <v>219376.93871068963</v>
      </c>
    </row>
    <row r="144" spans="1:27" x14ac:dyDescent="0.25">
      <c r="A144" s="2">
        <v>2035</v>
      </c>
      <c r="B144" s="2">
        <f>B12/'Output-Calculation-sheet'!B11*'Output-Calculation-sheet'!B119</f>
        <v>166689337562.08279</v>
      </c>
      <c r="C144" s="2">
        <f>C12/'Output-Calculation-sheet'!C11*'Output-Calculation-sheet'!C119</f>
        <v>80081262615.05484</v>
      </c>
      <c r="D144" s="2">
        <f>D12/'Output-Calculation-sheet'!D11*'Output-Calculation-sheet'!D119</f>
        <v>0</v>
      </c>
      <c r="E144" s="2">
        <f>E12/'Output-Calculation-sheet'!E11*'Output-Calculation-sheet'!E119</f>
        <v>26956425459.020718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24193949415.483803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5554361324.9840727</v>
      </c>
      <c r="M144" s="2">
        <f>M12/'Output-Calculation-sheet'!M11*'Output-Calculation-sheet'!M119</f>
        <v>16488922974.332371</v>
      </c>
      <c r="N144" s="2">
        <f>N12/'Output-Calculation-sheet'!N11*'Output-Calculation-sheet'!N119</f>
        <v>16291136467.5093</v>
      </c>
      <c r="O144" s="2">
        <f>O12/'Output-Calculation-sheet'!O11*'Output-Calculation-sheet'!O119</f>
        <v>15567891922.751961</v>
      </c>
      <c r="P144" s="2">
        <f>P12/'Output-Calculation-sheet'!P11*'Output-Calculation-sheet'!P119</f>
        <v>11628769646.368128</v>
      </c>
      <c r="Q144" s="2">
        <f>Q12/'Output-Calculation-sheet'!Q11*'Output-Calculation-sheet'!Q119</f>
        <v>10985713745.071928</v>
      </c>
      <c r="R144" s="2">
        <f>R12/'Output-Calculation-sheet'!R11*'Output-Calculation-sheet'!R119</f>
        <v>1236717919.0774455</v>
      </c>
      <c r="S144" s="2">
        <f>S12/'Output-Calculation-sheet'!S11*'Output-Calculation-sheet'!S119</f>
        <v>9388866218.7444096</v>
      </c>
      <c r="T144" s="2">
        <f>T12/'Output-Calculation-sheet'!T11*'Output-Calculation-sheet'!T119</f>
        <v>0</v>
      </c>
      <c r="U144" s="2">
        <f>U12/'Output-Calculation-sheet'!U11*'Output-Calculation-sheet'!U119</f>
        <v>2042432999.6259944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1850474303.8579752</v>
      </c>
      <c r="Y144" s="2">
        <f>Y12/'Output-Calculation-sheet'!Y11*'Output-Calculation-sheet'!Y119</f>
        <v>990295693.92688036</v>
      </c>
      <c r="AA144" s="2">
        <f t="shared" si="12"/>
        <v>389946.55826789251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721839403.44516098</v>
      </c>
      <c r="C155" s="2">
        <f>C12/'Output-Calculation-sheet'!C11*'Output-Calculation-sheet'!C128</f>
        <v>68961361.490183249</v>
      </c>
      <c r="D155" s="2">
        <f>D12/'Output-Calculation-sheet'!D11*'Output-Calculation-sheet'!D128</f>
        <v>5165997822.7467775</v>
      </c>
      <c r="E155" s="2">
        <f>E12/'Output-Calculation-sheet'!E11*'Output-Calculation-sheet'!E128</f>
        <v>770188372.23557651</v>
      </c>
      <c r="F155" s="2">
        <f>F12/'Output-Calculation-sheet'!F11*'Output-Calculation-sheet'!F128</f>
        <v>1595509064.3758018</v>
      </c>
      <c r="G155" s="2">
        <f>G12/'Output-Calculation-sheet'!G11*'Output-Calculation-sheet'!G128</f>
        <v>2007356192.395438</v>
      </c>
      <c r="H155" s="2">
        <f>H12/'Output-Calculation-sheet'!H11*'Output-Calculation-sheet'!H128</f>
        <v>152122436.90573528</v>
      </c>
      <c r="I155" s="2">
        <f>I12/'Output-Calculation-sheet'!I11*'Output-Calculation-sheet'!I128</f>
        <v>1206917075.1922824</v>
      </c>
      <c r="J155" s="2">
        <f>J12/'Output-Calculation-sheet'!J11*'Output-Calculation-sheet'!J128</f>
        <v>1358020644.7533734</v>
      </c>
      <c r="K155" s="2">
        <f>K12/'Output-Calculation-sheet'!K11*'Output-Calculation-sheet'!K128</f>
        <v>1018000436.3888876</v>
      </c>
      <c r="L155" s="2">
        <f>L12/'Output-Calculation-sheet'!L11*'Output-Calculation-sheet'!L128</f>
        <v>323023506.22090769</v>
      </c>
      <c r="M155" s="2">
        <f>M12/'Output-Calculation-sheet'!M11*'Output-Calculation-sheet'!M128</f>
        <v>120938405.72534841</v>
      </c>
      <c r="N155" s="2">
        <f>N12/'Output-Calculation-sheet'!N11*'Output-Calculation-sheet'!N128</f>
        <v>110537076.29813133</v>
      </c>
      <c r="O155" s="2">
        <f>O12/'Output-Calculation-sheet'!O11*'Output-Calculation-sheet'!O128</f>
        <v>19527138.900506109</v>
      </c>
      <c r="P155" s="2">
        <f>P12/'Output-Calculation-sheet'!P11*'Output-Calculation-sheet'!P128</f>
        <v>82301302.088551</v>
      </c>
      <c r="Q155" s="2">
        <f>Q12/'Output-Calculation-sheet'!Q11*'Output-Calculation-sheet'!Q128</f>
        <v>278420340.25410897</v>
      </c>
      <c r="R155" s="2">
        <f>R12/'Output-Calculation-sheet'!R11*'Output-Calculation-sheet'!R128</f>
        <v>563805306.06616378</v>
      </c>
      <c r="S155" s="2">
        <f>S12/'Output-Calculation-sheet'!S11*'Output-Calculation-sheet'!S128</f>
        <v>67780193.909451991</v>
      </c>
      <c r="T155" s="2">
        <f>T12/'Output-Calculation-sheet'!T11*'Output-Calculation-sheet'!T128</f>
        <v>176017323.83666155</v>
      </c>
      <c r="U155" s="2">
        <f>U12/'Output-Calculation-sheet'!U11*'Output-Calculation-sheet'!U128</f>
        <v>96883934.286701113</v>
      </c>
      <c r="V155" s="2">
        <f>V12/'Output-Calculation-sheet'!V11*'Output-Calculation-sheet'!V128</f>
        <v>72174619.227838904</v>
      </c>
      <c r="W155" s="2">
        <f>W12/'Output-Calculation-sheet'!W11*'Output-Calculation-sheet'!W128</f>
        <v>116661132.89719348</v>
      </c>
      <c r="X155" s="2">
        <f>X12/'Output-Calculation-sheet'!X11*'Output-Calculation-sheet'!X128</f>
        <v>3643581.5075477283</v>
      </c>
      <c r="Y155" s="2">
        <f>Y12/'Output-Calculation-sheet'!Y11*'Output-Calculation-sheet'!Y128</f>
        <v>24436872.18902934</v>
      </c>
      <c r="AA155" s="2">
        <f t="shared" si="13"/>
        <v>16121.063543337359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5922.8652290752007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1794.1070986413049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1246.2580218949963</v>
      </c>
      <c r="N19" s="2">
        <f>N8/'Output-Calculation-sheet'!N7*'Output-Calculation-sheet'!N25</f>
        <v>1036.7394028769183</v>
      </c>
      <c r="O19" s="2">
        <f>O8/'Output-Calculation-sheet'!O7*'Output-Calculation-sheet'!O25</f>
        <v>650.6660376838588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134.87978540268784</v>
      </c>
      <c r="Y19" s="2">
        <f>Y8/'Output-Calculation-sheet'!Y7*'Output-Calculation-sheet'!Y25</f>
        <v>0</v>
      </c>
      <c r="AA19" s="2">
        <f t="shared" si="0"/>
        <v>12.523831711775092</v>
      </c>
    </row>
    <row r="20" spans="1:27" x14ac:dyDescent="0.25">
      <c r="A20" s="2">
        <v>2032</v>
      </c>
      <c r="B20" s="2">
        <f>B9/'Output-Calculation-sheet'!B8*'Output-Calculation-sheet'!B26</f>
        <v>6060.8962722300912</v>
      </c>
      <c r="C20" s="2">
        <f>C9/'Output-Calculation-sheet'!C8*'Output-Calculation-sheet'!C26</f>
        <v>3323.6475471472818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1995.2020336423066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1394.2609508570006</v>
      </c>
      <c r="N20" s="2">
        <f>N9/'Output-Calculation-sheet'!N8*'Output-Calculation-sheet'!N26</f>
        <v>966.26083234594125</v>
      </c>
      <c r="O20" s="2">
        <f>O9/'Output-Calculation-sheet'!O8*'Output-Calculation-sheet'!O26</f>
        <v>649.37913652187081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458.34892869506393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151.71595453750999</v>
      </c>
      <c r="Y20" s="2">
        <f>Y9/'Output-Calculation-sheet'!Y8*'Output-Calculation-sheet'!Y26</f>
        <v>0</v>
      </c>
      <c r="AA20" s="2">
        <f t="shared" si="0"/>
        <v>14.999711655977068</v>
      </c>
    </row>
    <row r="21" spans="1:27" x14ac:dyDescent="0.25">
      <c r="A21" s="2">
        <v>2033</v>
      </c>
      <c r="B21" s="2">
        <f>B10/'Output-Calculation-sheet'!B9*'Output-Calculation-sheet'!B27</f>
        <v>5250.9045853247426</v>
      </c>
      <c r="C21" s="2">
        <f>C10/'Output-Calculation-sheet'!C9*'Output-Calculation-sheet'!C27</f>
        <v>3227.4281775156669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1058.1987988597623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749.00183925954639</v>
      </c>
      <c r="N21" s="2">
        <f>N10/'Output-Calculation-sheet'!N9*'Output-Calculation-sheet'!N27</f>
        <v>758.51213421328202</v>
      </c>
      <c r="O21" s="2">
        <f>O10/'Output-Calculation-sheet'!O9*'Output-Calculation-sheet'!O27</f>
        <v>631.86124343395556</v>
      </c>
      <c r="P21" s="2">
        <f>P10/'Output-Calculation-sheet'!P9*'Output-Calculation-sheet'!P27</f>
        <v>0</v>
      </c>
      <c r="Q21" s="2">
        <f>Q10/'Output-Calculation-sheet'!Q9*'Output-Calculation-sheet'!Q27</f>
        <v>8.9551380084250916</v>
      </c>
      <c r="R21" s="2">
        <f>R10/'Output-Calculation-sheet'!R9*'Output-Calculation-sheet'!R27</f>
        <v>0</v>
      </c>
      <c r="S21" s="2">
        <f>S10/'Output-Calculation-sheet'!S9*'Output-Calculation-sheet'!S27</f>
        <v>361.17539487438523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74.791052654571388</v>
      </c>
      <c r="Y21" s="2">
        <f>Y10/'Output-Calculation-sheet'!Y9*'Output-Calculation-sheet'!Y27</f>
        <v>0</v>
      </c>
      <c r="AA21" s="2">
        <f t="shared" si="0"/>
        <v>12.120828364144337</v>
      </c>
    </row>
    <row r="22" spans="1:27" x14ac:dyDescent="0.25">
      <c r="A22" s="2">
        <v>2034</v>
      </c>
      <c r="B22" s="2">
        <f>B11/'Output-Calculation-sheet'!B10*'Output-Calculation-sheet'!B28</f>
        <v>3950.4284556260322</v>
      </c>
      <c r="C22" s="2">
        <f>C11/'Output-Calculation-sheet'!C10*'Output-Calculation-sheet'!C28</f>
        <v>398.78011747483987</v>
      </c>
      <c r="D22" s="2">
        <f>D11/'Output-Calculation-sheet'!D10*'Output-Calculation-sheet'!D28</f>
        <v>0</v>
      </c>
      <c r="E22" s="2">
        <f>E11/'Output-Calculation-sheet'!E10*'Output-Calculation-sheet'!E28</f>
        <v>1324.1654720799784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1050.019292406258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803.08264147102136</v>
      </c>
      <c r="M22" s="2">
        <f>M11/'Output-Calculation-sheet'!M10*'Output-Calculation-sheet'!M28</f>
        <v>747.29472806535</v>
      </c>
      <c r="N22" s="2">
        <f>N11/'Output-Calculation-sheet'!N10*'Output-Calculation-sheet'!N28</f>
        <v>499.57078916392516</v>
      </c>
      <c r="O22" s="2">
        <f>O11/'Output-Calculation-sheet'!O10*'Output-Calculation-sheet'!O28</f>
        <v>78.221648123304334</v>
      </c>
      <c r="P22" s="2">
        <f>P11/'Output-Calculation-sheet'!P10*'Output-Calculation-sheet'!P28</f>
        <v>0</v>
      </c>
      <c r="Q22" s="2">
        <f>Q11/'Output-Calculation-sheet'!Q10*'Output-Calculation-sheet'!Q28</f>
        <v>236.82706348980463</v>
      </c>
      <c r="R22" s="2">
        <f>R11/'Output-Calculation-sheet'!R10*'Output-Calculation-sheet'!R28</f>
        <v>0</v>
      </c>
      <c r="S22" s="2">
        <f>S11/'Output-Calculation-sheet'!S10*'Output-Calculation-sheet'!S28</f>
        <v>187.0551524111992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73.426910114019179</v>
      </c>
      <c r="Y22" s="2">
        <f>Y11/'Output-Calculation-sheet'!Y10*'Output-Calculation-sheet'!Y28</f>
        <v>13.966016572257429</v>
      </c>
      <c r="AA22" s="2">
        <f t="shared" si="0"/>
        <v>9.3628382869979898</v>
      </c>
    </row>
    <row r="23" spans="1:27" x14ac:dyDescent="0.25">
      <c r="A23" s="2">
        <v>2035</v>
      </c>
      <c r="B23" s="2">
        <f>B12/'Output-Calculation-sheet'!B11*'Output-Calculation-sheet'!B29</f>
        <v>1077.3465932806046</v>
      </c>
      <c r="C23" s="2">
        <f>C12/'Output-Calculation-sheet'!C11*'Output-Calculation-sheet'!C29</f>
        <v>185.28274265803816</v>
      </c>
      <c r="D23" s="2">
        <f>D12/'Output-Calculation-sheet'!D11*'Output-Calculation-sheet'!D29</f>
        <v>0</v>
      </c>
      <c r="E23" s="2">
        <f>E12/'Output-Calculation-sheet'!E11*'Output-Calculation-sheet'!E29</f>
        <v>1508.5265254611352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288.97410653180771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912.92782251758956</v>
      </c>
      <c r="M23" s="2">
        <f>M12/'Output-Calculation-sheet'!M11*'Output-Calculation-sheet'!M29</f>
        <v>260.6643520075018</v>
      </c>
      <c r="N23" s="2">
        <f>N12/'Output-Calculation-sheet'!N11*'Output-Calculation-sheet'!N29</f>
        <v>218.5408746671489</v>
      </c>
      <c r="O23" s="2">
        <f>O12/'Output-Calculation-sheet'!O11*'Output-Calculation-sheet'!O29</f>
        <v>31.579315143944189</v>
      </c>
      <c r="P23" s="2">
        <f>P12/'Output-Calculation-sheet'!P11*'Output-Calculation-sheet'!P29</f>
        <v>13.994296974755187</v>
      </c>
      <c r="Q23" s="2">
        <f>Q12/'Output-Calculation-sheet'!Q11*'Output-Calculation-sheet'!Q29</f>
        <v>281.75917499534751</v>
      </c>
      <c r="R23" s="2">
        <f>R12/'Output-Calculation-sheet'!R11*'Output-Calculation-sheet'!R29</f>
        <v>0</v>
      </c>
      <c r="S23" s="2">
        <f>S12/'Output-Calculation-sheet'!S11*'Output-Calculation-sheet'!S29</f>
        <v>107.004481064007</v>
      </c>
      <c r="T23" s="2">
        <f>T12/'Output-Calculation-sheet'!T11*'Output-Calculation-sheet'!T29</f>
        <v>0</v>
      </c>
      <c r="U23" s="2">
        <f>U12/'Output-Calculation-sheet'!U11*'Output-Calculation-sheet'!U29</f>
        <v>76.71943016370264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9.2450037691071962</v>
      </c>
      <c r="Y23" s="2">
        <f>Y12/'Output-Calculation-sheet'!Y11*'Output-Calculation-sheet'!Y29</f>
        <v>49.545126561991054</v>
      </c>
      <c r="AA23" s="2">
        <f t="shared" si="0"/>
        <v>5.0221098457966811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1181.8609890771634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46.337760307277684</v>
      </c>
    </row>
    <row r="31" spans="1:27" x14ac:dyDescent="0.25">
      <c r="A31" s="2">
        <v>2032</v>
      </c>
      <c r="B31" s="2">
        <f>B9/'Output-Calculation-sheet'!B8*'Output-Calculation-sheet'!B17</f>
        <v>25482.517667505876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996.39329730966142</v>
      </c>
      <c r="O31" s="2">
        <f>O9/'Output-Calculation-sheet'!O8*'Output-Calculation-sheet'!O17</f>
        <v>0</v>
      </c>
      <c r="P31" s="2">
        <f>P9/'Output-Calculation-sheet'!P8*'Output-Calculation-sheet'!P17</f>
        <v>2490.9899455620789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824.68262562144469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58.384138467280117</v>
      </c>
    </row>
    <row r="32" spans="1:27" x14ac:dyDescent="0.25">
      <c r="A32" s="2">
        <v>2033</v>
      </c>
      <c r="B32" s="2">
        <f>B10/'Output-Calculation-sheet'!B9*'Output-Calculation-sheet'!B18</f>
        <v>18993.910141533292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2973.7603867767239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768.78214869058047</v>
      </c>
      <c r="O32" s="2">
        <f>O10/'Output-Calculation-sheet'!O9*'Output-Calculation-sheet'!O18</f>
        <v>0</v>
      </c>
      <c r="P32" s="2">
        <f>P10/'Output-Calculation-sheet'!P9*'Output-Calculation-sheet'!P18</f>
        <v>3060.5937517821735</v>
      </c>
      <c r="Q32" s="2">
        <f>Q10/'Output-Calculation-sheet'!Q9*'Output-Calculation-sheet'!Q18</f>
        <v>2833.6866505575058</v>
      </c>
      <c r="R32" s="2">
        <f>R10/'Output-Calculation-sheet'!R9*'Output-Calculation-sheet'!R18</f>
        <v>2197.7322428306024</v>
      </c>
      <c r="S32" s="2">
        <f>S10/'Output-Calculation-sheet'!S9*'Output-Calculation-sheet'!S18</f>
        <v>699.36451772437147</v>
      </c>
      <c r="T32" s="2">
        <f>T10/'Output-Calculation-sheet'!T9*'Output-Calculation-sheet'!T18</f>
        <v>641.67128856820057</v>
      </c>
      <c r="U32" s="2">
        <f>U10/'Output-Calculation-sheet'!U9*'Output-Calculation-sheet'!U18</f>
        <v>709.36107787596234</v>
      </c>
      <c r="V32" s="2">
        <f>V10/'Output-Calculation-sheet'!V9*'Output-Calculation-sheet'!V18</f>
        <v>523.60415274316381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303.12557045340253</v>
      </c>
      <c r="AA32" s="2">
        <f t="shared" si="1"/>
        <v>60.383397891004947</v>
      </c>
    </row>
    <row r="33" spans="1:27" x14ac:dyDescent="0.25">
      <c r="A33" s="2">
        <v>2034</v>
      </c>
      <c r="B33" s="2">
        <f>B11/'Output-Calculation-sheet'!B10*'Output-Calculation-sheet'!B19</f>
        <v>11952.629126002332</v>
      </c>
      <c r="C33" s="2">
        <f>C11/'Output-Calculation-sheet'!C10*'Output-Calculation-sheet'!C19</f>
        <v>0</v>
      </c>
      <c r="D33" s="2">
        <f>D11/'Output-Calculation-sheet'!D10*'Output-Calculation-sheet'!D19</f>
        <v>7948.2745298132058</v>
      </c>
      <c r="E33" s="2">
        <f>E11/'Output-Calculation-sheet'!E10*'Output-Calculation-sheet'!E19</f>
        <v>9852.7356675500196</v>
      </c>
      <c r="F33" s="2">
        <f>F11/'Output-Calculation-sheet'!F10*'Output-Calculation-sheet'!F19</f>
        <v>4511.3968998090777</v>
      </c>
      <c r="G33" s="2">
        <f>G11/'Output-Calculation-sheet'!G10*'Output-Calculation-sheet'!G19</f>
        <v>2705.3140011975211</v>
      </c>
      <c r="H33" s="2">
        <f>H11/'Output-Calculation-sheet'!H10*'Output-Calculation-sheet'!H19</f>
        <v>0</v>
      </c>
      <c r="I33" s="2">
        <f>I11/'Output-Calculation-sheet'!I10*'Output-Calculation-sheet'!I19</f>
        <v>2952.2614522869744</v>
      </c>
      <c r="J33" s="2">
        <f>J11/'Output-Calculation-sheet'!J10*'Output-Calculation-sheet'!J19</f>
        <v>2496.0441875292959</v>
      </c>
      <c r="K33" s="2">
        <f>K11/'Output-Calculation-sheet'!K10*'Output-Calculation-sheet'!K19</f>
        <v>3462.5501503092664</v>
      </c>
      <c r="L33" s="2">
        <f>L11/'Output-Calculation-sheet'!L10*'Output-Calculation-sheet'!L19</f>
        <v>2816.1010105744194</v>
      </c>
      <c r="M33" s="2">
        <f>M11/'Output-Calculation-sheet'!M10*'Output-Calculation-sheet'!M19</f>
        <v>0</v>
      </c>
      <c r="N33" s="2">
        <f>N11/'Output-Calculation-sheet'!N10*'Output-Calculation-sheet'!N19</f>
        <v>534.5525335773151</v>
      </c>
      <c r="O33" s="2">
        <f>O11/'Output-Calculation-sheet'!O10*'Output-Calculation-sheet'!O19</f>
        <v>0</v>
      </c>
      <c r="P33" s="2">
        <f>P11/'Output-Calculation-sheet'!P10*'Output-Calculation-sheet'!P19</f>
        <v>2646.1221395141374</v>
      </c>
      <c r="Q33" s="2">
        <f>Q11/'Output-Calculation-sheet'!Q10*'Output-Calculation-sheet'!Q19</f>
        <v>1710.5607902409624</v>
      </c>
      <c r="R33" s="2">
        <f>R11/'Output-Calculation-sheet'!R10*'Output-Calculation-sheet'!R19</f>
        <v>2501.9425511369182</v>
      </c>
      <c r="S33" s="2">
        <f>S11/'Output-Calculation-sheet'!S10*'Output-Calculation-sheet'!S19</f>
        <v>339.81454072758709</v>
      </c>
      <c r="T33" s="2">
        <f>T11/'Output-Calculation-sheet'!T10*'Output-Calculation-sheet'!T19</f>
        <v>733.80637885509452</v>
      </c>
      <c r="U33" s="2">
        <f>U11/'Output-Calculation-sheet'!U10*'Output-Calculation-sheet'!U19</f>
        <v>844.09636098369356</v>
      </c>
      <c r="V33" s="2">
        <f>V11/'Output-Calculation-sheet'!V10*'Output-Calculation-sheet'!V19</f>
        <v>575.6096169667652</v>
      </c>
      <c r="W33" s="2">
        <f>W11/'Output-Calculation-sheet'!W10*'Output-Calculation-sheet'!W19</f>
        <v>358.35470085636354</v>
      </c>
      <c r="X33" s="2">
        <f>X11/'Output-Calculation-sheet'!X10*'Output-Calculation-sheet'!X19</f>
        <v>0</v>
      </c>
      <c r="Y33" s="2">
        <f>Y11/'Output-Calculation-sheet'!Y10*'Output-Calculation-sheet'!Y19</f>
        <v>273.62030321187558</v>
      </c>
      <c r="AA33" s="2">
        <f t="shared" si="1"/>
        <v>59.215786941142824</v>
      </c>
    </row>
    <row r="34" spans="1:27" x14ac:dyDescent="0.25">
      <c r="A34" s="2">
        <v>2035</v>
      </c>
      <c r="B34" s="2">
        <f>B12/'Output-Calculation-sheet'!B11*'Output-Calculation-sheet'!B20</f>
        <v>153.57715503069116</v>
      </c>
      <c r="C34" s="2">
        <f>C12/'Output-Calculation-sheet'!C11*'Output-Calculation-sheet'!C20</f>
        <v>0</v>
      </c>
      <c r="D34" s="2">
        <f>D12/'Output-Calculation-sheet'!D11*'Output-Calculation-sheet'!D20</f>
        <v>7609.0401100660138</v>
      </c>
      <c r="E34" s="2">
        <f>E12/'Output-Calculation-sheet'!E11*'Output-Calculation-sheet'!E20</f>
        <v>3066.3679995038574</v>
      </c>
      <c r="F34" s="2">
        <f>F12/'Output-Calculation-sheet'!F11*'Output-Calculation-sheet'!F20</f>
        <v>5026.9158899455842</v>
      </c>
      <c r="G34" s="2">
        <f>G12/'Output-Calculation-sheet'!G11*'Output-Calculation-sheet'!G20</f>
        <v>2515.2897737823287</v>
      </c>
      <c r="H34" s="2">
        <f>H12/'Output-Calculation-sheet'!H11*'Output-Calculation-sheet'!H20</f>
        <v>0</v>
      </c>
      <c r="I34" s="2">
        <f>I12/'Output-Calculation-sheet'!I11*'Output-Calculation-sheet'!I20</f>
        <v>3049.0933802974978</v>
      </c>
      <c r="J34" s="2">
        <f>J12/'Output-Calculation-sheet'!J11*'Output-Calculation-sheet'!J20</f>
        <v>2555.098646292749</v>
      </c>
      <c r="K34" s="2">
        <f>K12/'Output-Calculation-sheet'!K11*'Output-Calculation-sheet'!K20</f>
        <v>3604.873309195802</v>
      </c>
      <c r="L34" s="2">
        <f>L12/'Output-Calculation-sheet'!L11*'Output-Calculation-sheet'!L20</f>
        <v>1377.0511250431093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580.69117264227714</v>
      </c>
      <c r="Q34" s="2">
        <f>Q12/'Output-Calculation-sheet'!Q11*'Output-Calculation-sheet'!Q20</f>
        <v>564.47261151017324</v>
      </c>
      <c r="R34" s="2">
        <f>R12/'Output-Calculation-sheet'!R11*'Output-Calculation-sheet'!R20</f>
        <v>2273.6271597244659</v>
      </c>
      <c r="S34" s="2">
        <f>S12/'Output-Calculation-sheet'!S11*'Output-Calculation-sheet'!S20</f>
        <v>0.71045354427659968</v>
      </c>
      <c r="T34" s="2">
        <f>T12/'Output-Calculation-sheet'!T11*'Output-Calculation-sheet'!T20</f>
        <v>747.28093713315468</v>
      </c>
      <c r="U34" s="2">
        <f>U12/'Output-Calculation-sheet'!U11*'Output-Calculation-sheet'!U20</f>
        <v>314.63756772271103</v>
      </c>
      <c r="V34" s="2">
        <f>V12/'Output-Calculation-sheet'!V11*'Output-Calculation-sheet'!V20</f>
        <v>675.49011514101596</v>
      </c>
      <c r="W34" s="2">
        <f>W12/'Output-Calculation-sheet'!W11*'Output-Calculation-sheet'!W20</f>
        <v>400.04910310091122</v>
      </c>
      <c r="X34" s="2">
        <f>X12/'Output-Calculation-sheet'!X11*'Output-Calculation-sheet'!X20</f>
        <v>0</v>
      </c>
      <c r="Y34" s="2">
        <f>Y12/'Output-Calculation-sheet'!Y11*'Output-Calculation-sheet'!Y20</f>
        <v>85.078008264593421</v>
      </c>
      <c r="AA34" s="2">
        <f t="shared" si="1"/>
        <v>34.599344517941219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6.5810993717307045E-2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8.9894058439290662E-3</v>
      </c>
      <c r="Q45" s="2">
        <f>Q12/'Output-Calculation-sheet'!Q11*'Output-Calculation-sheet'!Q38*0.0114</f>
        <v>8.5255339514513639E-3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8.1604738391253904E-3</v>
      </c>
      <c r="V45" s="2">
        <f>V12/'Output-Calculation-sheet'!V11*'Output-Calculation-sheet'!V38*0.0114</f>
        <v>4.1949588136077258E-3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3.1443563520536775E-3</v>
      </c>
      <c r="AA45" s="2">
        <f t="shared" si="2"/>
        <v>0.7447832148380763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0.16247546786376207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194.85069310900391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0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18.181008719209796</v>
      </c>
      <c r="AA54" s="2">
        <f t="shared" si="3"/>
        <v>4.7997145399003331</v>
      </c>
    </row>
    <row r="55" spans="1:27" x14ac:dyDescent="0.25">
      <c r="A55" s="2">
        <v>2034</v>
      </c>
      <c r="B55" s="2">
        <f>B11/'Output-Calculation-sheet'!B10*'Output-Calculation-sheet'!B46</f>
        <v>1561.6975414665578</v>
      </c>
      <c r="C55" s="2">
        <f>C11/'Output-Calculation-sheet'!C10*'Output-Calculation-sheet'!C46</f>
        <v>0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532.39626408425227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394.60099064185061</v>
      </c>
      <c r="N55" s="2">
        <f>N11/'Output-Calculation-sheet'!N10*'Output-Calculation-sheet'!N46</f>
        <v>134.7627854184411</v>
      </c>
      <c r="O55" s="2">
        <f>O11/'Output-Calculation-sheet'!O10*'Output-Calculation-sheet'!O46</f>
        <v>0</v>
      </c>
      <c r="P55" s="2">
        <f>P11/'Output-Calculation-sheet'!P10*'Output-Calculation-sheet'!P46</f>
        <v>2930.909828178701</v>
      </c>
      <c r="Q55" s="2">
        <f>Q11/'Output-Calculation-sheet'!Q10*'Output-Calculation-sheet'!Q46</f>
        <v>566.02854310309681</v>
      </c>
      <c r="R55" s="2">
        <f>R11/'Output-Calculation-sheet'!R10*'Output-Calculation-sheet'!R46</f>
        <v>3629.8354990643616</v>
      </c>
      <c r="S55" s="2">
        <f>S11/'Output-Calculation-sheet'!S10*'Output-Calculation-sheet'!S46</f>
        <v>0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1379.20999722944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37.662186195548365</v>
      </c>
      <c r="Y55" s="2">
        <f>Y11/'Output-Calculation-sheet'!Y10*'Output-Calculation-sheet'!Y46</f>
        <v>195.57453843678832</v>
      </c>
      <c r="AA55" s="2">
        <f t="shared" si="3"/>
        <v>39.078606046397674</v>
      </c>
    </row>
    <row r="56" spans="1:27" x14ac:dyDescent="0.25">
      <c r="A56" s="2">
        <v>2035</v>
      </c>
      <c r="B56" s="2">
        <f>B12/'Output-Calculation-sheet'!B11*'Output-Calculation-sheet'!B47</f>
        <v>423.29174240656249</v>
      </c>
      <c r="C56" s="2">
        <f>C12/'Output-Calculation-sheet'!C11*'Output-Calculation-sheet'!C47</f>
        <v>319.80645999838413</v>
      </c>
      <c r="D56" s="2">
        <f>D12/'Output-Calculation-sheet'!D11*'Output-Calculation-sheet'!D47</f>
        <v>15108.975980121724</v>
      </c>
      <c r="E56" s="2">
        <f>E12/'Output-Calculation-sheet'!E11*'Output-Calculation-sheet'!E47</f>
        <v>6933.2459170601551</v>
      </c>
      <c r="F56" s="2">
        <f>F12/'Output-Calculation-sheet'!F11*'Output-Calculation-sheet'!F47</f>
        <v>3554.5074647692782</v>
      </c>
      <c r="G56" s="2">
        <f>G12/'Output-Calculation-sheet'!G11*'Output-Calculation-sheet'!G47</f>
        <v>5707.8651010605536</v>
      </c>
      <c r="H56" s="2">
        <f>H12/'Output-Calculation-sheet'!H11*'Output-Calculation-sheet'!H47</f>
        <v>123.68900029314305</v>
      </c>
      <c r="I56" s="2">
        <f>I12/'Output-Calculation-sheet'!I11*'Output-Calculation-sheet'!I47</f>
        <v>5199.4955046714958</v>
      </c>
      <c r="J56" s="2">
        <f>J12/'Output-Calculation-sheet'!J11*'Output-Calculation-sheet'!J47</f>
        <v>4485.8846220248888</v>
      </c>
      <c r="K56" s="2">
        <f>K12/'Output-Calculation-sheet'!K11*'Output-Calculation-sheet'!K47</f>
        <v>6050.0973960802194</v>
      </c>
      <c r="L56" s="2">
        <f>L12/'Output-Calculation-sheet'!L11*'Output-Calculation-sheet'!L47</f>
        <v>2697.0654965629783</v>
      </c>
      <c r="M56" s="2">
        <f>M12/'Output-Calculation-sheet'!M11*'Output-Calculation-sheet'!M47</f>
        <v>114.63805287160824</v>
      </c>
      <c r="N56" s="2">
        <f>N12/'Output-Calculation-sheet'!N11*'Output-Calculation-sheet'!N47</f>
        <v>77.674438821208781</v>
      </c>
      <c r="O56" s="2">
        <f>O12/'Output-Calculation-sheet'!O11*'Output-Calculation-sheet'!O47</f>
        <v>58.146849758056945</v>
      </c>
      <c r="P56" s="2">
        <f>P12/'Output-Calculation-sheet'!P11*'Output-Calculation-sheet'!P47</f>
        <v>607.17916665134919</v>
      </c>
      <c r="Q56" s="2">
        <f>Q12/'Output-Calculation-sheet'!Q11*'Output-Calculation-sheet'!Q47</f>
        <v>578.0910302168337</v>
      </c>
      <c r="R56" s="2">
        <f>R12/'Output-Calculation-sheet'!R11*'Output-Calculation-sheet'!R47</f>
        <v>4265.1604212096954</v>
      </c>
      <c r="S56" s="2">
        <f>S12/'Output-Calculation-sheet'!S11*'Output-Calculation-sheet'!S47</f>
        <v>40.611325189364862</v>
      </c>
      <c r="T56" s="2">
        <f>T12/'Output-Calculation-sheet'!T11*'Output-Calculation-sheet'!T47</f>
        <v>1867.4176213522715</v>
      </c>
      <c r="U56" s="2">
        <f>U12/'Output-Calculation-sheet'!U11*'Output-Calculation-sheet'!U47</f>
        <v>751.14536975341309</v>
      </c>
      <c r="V56" s="2">
        <f>V12/'Output-Calculation-sheet'!V11*'Output-Calculation-sheet'!V47</f>
        <v>1013.5977238668842</v>
      </c>
      <c r="W56" s="2">
        <f>W12/'Output-Calculation-sheet'!W11*'Output-Calculation-sheet'!W47</f>
        <v>542.81092572185207</v>
      </c>
      <c r="X56" s="2">
        <f>X12/'Output-Calculation-sheet'!X11*'Output-Calculation-sheet'!X47</f>
        <v>8.7651137891511688</v>
      </c>
      <c r="Y56" s="2">
        <f>Y12/'Output-Calculation-sheet'!Y11*'Output-Calculation-sheet'!Y47</f>
        <v>177.90437255040544</v>
      </c>
      <c r="AA56" s="2">
        <f t="shared" si="3"/>
        <v>60.707067096801495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8.5458155323577252</v>
      </c>
      <c r="C63" s="2">
        <f>C8*'Output-Calculation-sheet'!C52/10^9</f>
        <v>4.5656141726691502</v>
      </c>
      <c r="D63" s="2">
        <f>D8*'Output-Calculation-sheet'!D52/10^9</f>
        <v>2.9305432847417796</v>
      </c>
      <c r="E63" s="2">
        <f>E8*'Output-Calculation-sheet'!E52/10^9</f>
        <v>2.9137461088996179</v>
      </c>
      <c r="F63" s="2">
        <f>F8*'Output-Calculation-sheet'!F52/10^9</f>
        <v>1.2339712362408328</v>
      </c>
      <c r="G63" s="2">
        <f>G8*'Output-Calculation-sheet'!G52/10^9</f>
        <v>0.8871695727970258</v>
      </c>
      <c r="H63" s="2">
        <f>H8*'Output-Calculation-sheet'!H52/10^9</f>
        <v>1.4428960820187835</v>
      </c>
      <c r="I63" s="2">
        <f>I8*'Output-Calculation-sheet'!I52/10^9</f>
        <v>0.82527367018203068</v>
      </c>
      <c r="J63" s="2">
        <f>J8*'Output-Calculation-sheet'!J52/10^9</f>
        <v>1.1356325088139434</v>
      </c>
      <c r="K63" s="2">
        <f>K8*'Output-Calculation-sheet'!K52/10^9</f>
        <v>0.99775416448085075</v>
      </c>
      <c r="L63" s="2">
        <f>L8*'Output-Calculation-sheet'!L52/10^9</f>
        <v>1.3420273573691113</v>
      </c>
      <c r="M63" s="2">
        <f>M8*'Output-Calculation-sheet'!M52/10^9</f>
        <v>1.1820680330708415</v>
      </c>
      <c r="N63" s="2">
        <f>N8*'Output-Calculation-sheet'!N52/10^9</f>
        <v>1.0430036867829393</v>
      </c>
      <c r="O63" s="2">
        <f>O8*'Output-Calculation-sheet'!O52/10^9</f>
        <v>0.93408524639170154</v>
      </c>
      <c r="P63" s="2">
        <f>P8*'Output-Calculation-sheet'!P52/10^9</f>
        <v>0.68942121324300787</v>
      </c>
      <c r="Q63" s="2">
        <f>Q8*'Output-Calculation-sheet'!Q52/10^9</f>
        <v>0.78022278132728706</v>
      </c>
      <c r="R63" s="2">
        <f>R8*'Output-Calculation-sheet'!R52/10^9</f>
        <v>0.70048518320885944</v>
      </c>
      <c r="S63" s="2">
        <f>S8*'Output-Calculation-sheet'!S52/10^9</f>
        <v>0.51908434018026839</v>
      </c>
      <c r="T63" s="2">
        <f>T8*'Output-Calculation-sheet'!T52/10^9</f>
        <v>0.26631446025398275</v>
      </c>
      <c r="U63" s="2">
        <f>U8*'Output-Calculation-sheet'!U52/10^9</f>
        <v>0.18290191756644894</v>
      </c>
      <c r="V63" s="2">
        <f>V8*'Output-Calculation-sheet'!V52/10^9</f>
        <v>0.32460768056836564</v>
      </c>
      <c r="W63" s="2">
        <f>W8*'Output-Calculation-sheet'!W52/10^9</f>
        <v>0.11749277234212857</v>
      </c>
      <c r="X63" s="2">
        <f>X8*'Output-Calculation-sheet'!X52/10^9</f>
        <v>0.1210623748078018</v>
      </c>
      <c r="Y63" s="2">
        <f>Y8*'Output-Calculation-sheet'!Y52/10^9</f>
        <v>7.6660765591163055E-2</v>
      </c>
      <c r="AA63" s="2">
        <f t="shared" si="4"/>
        <v>33.757854145905647</v>
      </c>
    </row>
    <row r="64" spans="1:27" x14ac:dyDescent="0.25">
      <c r="A64" s="2">
        <v>2032</v>
      </c>
      <c r="B64" s="2">
        <f>B9*'Output-Calculation-sheet'!B53/10^9</f>
        <v>8.6896222002393948</v>
      </c>
      <c r="C64" s="2">
        <f>C9*'Output-Calculation-sheet'!C53/10^9</f>
        <v>4.6066371050000132</v>
      </c>
      <c r="D64" s="2">
        <f>D9*'Output-Calculation-sheet'!D53/10^9</f>
        <v>2.5735829030569848</v>
      </c>
      <c r="E64" s="2">
        <f>E9*'Output-Calculation-sheet'!E53/10^9</f>
        <v>2.6354621249746737</v>
      </c>
      <c r="F64" s="2">
        <f>F9*'Output-Calculation-sheet'!F53/10^9</f>
        <v>1.1116213986099412</v>
      </c>
      <c r="G64" s="2">
        <f>G9*'Output-Calculation-sheet'!G53/10^9</f>
        <v>0.7912181058080906</v>
      </c>
      <c r="H64" s="2">
        <f>H9*'Output-Calculation-sheet'!H53/10^9</f>
        <v>1.4457588798846961</v>
      </c>
      <c r="I64" s="2">
        <f>I9*'Output-Calculation-sheet'!I53/10^9</f>
        <v>0.73965961512765155</v>
      </c>
      <c r="J64" s="2">
        <f>J9*'Output-Calculation-sheet'!J53/10^9</f>
        <v>0.97915904266607012</v>
      </c>
      <c r="K64" s="2">
        <f>K9*'Output-Calculation-sheet'!K53/10^9</f>
        <v>0.90852637356847843</v>
      </c>
      <c r="L64" s="2">
        <f>L9*'Output-Calculation-sheet'!L53/10^9</f>
        <v>1.168816464075257</v>
      </c>
      <c r="M64" s="2">
        <f>M9*'Output-Calculation-sheet'!M53/10^9</f>
        <v>1.1470405772249932</v>
      </c>
      <c r="N64" s="2">
        <f>N9*'Output-Calculation-sheet'!N53/10^9</f>
        <v>1.0327071366869618</v>
      </c>
      <c r="O64" s="2">
        <f>O9*'Output-Calculation-sheet'!O53/10^9</f>
        <v>0.93287851160934876</v>
      </c>
      <c r="P64" s="2">
        <f>P9*'Output-Calculation-sheet'!P53/10^9</f>
        <v>0.69267593447056175</v>
      </c>
      <c r="Q64" s="2">
        <f>Q9*'Output-Calculation-sheet'!Q53/10^9</f>
        <v>0.76552628876105533</v>
      </c>
      <c r="R64" s="2">
        <f>R9*'Output-Calculation-sheet'!R53/10^9</f>
        <v>0.65623680987563249</v>
      </c>
      <c r="S64" s="2">
        <f>S9*'Output-Calculation-sheet'!S53/10^9</f>
        <v>0.52805539787464684</v>
      </c>
      <c r="T64" s="2">
        <f>T9*'Output-Calculation-sheet'!T53/10^9</f>
        <v>0.23589911459477661</v>
      </c>
      <c r="U64" s="2">
        <f>U9*'Output-Calculation-sheet'!U53/10^9</f>
        <v>0.17755634516208191</v>
      </c>
      <c r="V64" s="2">
        <f>V9*'Output-Calculation-sheet'!V53/10^9</f>
        <v>0.27999629703643064</v>
      </c>
      <c r="W64" s="2">
        <f>W9*'Output-Calculation-sheet'!W53/10^9</f>
        <v>0.10404139734789034</v>
      </c>
      <c r="X64" s="2">
        <f>X9*'Output-Calculation-sheet'!X53/10^9</f>
        <v>0.11928197356320912</v>
      </c>
      <c r="Y64" s="2">
        <f>Y9*'Output-Calculation-sheet'!Y53/10^9</f>
        <v>7.2894836277314093E-2</v>
      </c>
      <c r="AA64" s="2">
        <f t="shared" si="4"/>
        <v>32.394854833496154</v>
      </c>
    </row>
    <row r="65" spans="1:27" x14ac:dyDescent="0.25">
      <c r="A65" s="2">
        <v>2033</v>
      </c>
      <c r="B65" s="2">
        <f>B10*'Output-Calculation-sheet'!B54/10^9</f>
        <v>8.2466737799863523</v>
      </c>
      <c r="C65" s="2">
        <f>C10*'Output-Calculation-sheet'!C54/10^9</f>
        <v>4.2628534678335175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1.3386798642790965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0.77994885486528198</v>
      </c>
      <c r="L65" s="2">
        <f>L10*'Output-Calculation-sheet'!L54/10^9</f>
        <v>0.92121556001939608</v>
      </c>
      <c r="M65" s="2">
        <f>M10*'Output-Calculation-sheet'!M54/10^9</f>
        <v>1.0208286505478108</v>
      </c>
      <c r="N65" s="2">
        <f>N10*'Output-Calculation-sheet'!N54/10^9</f>
        <v>0.93673537849420285</v>
      </c>
      <c r="O65" s="2">
        <f>O10*'Output-Calculation-sheet'!O54/10^9</f>
        <v>0.85429468497979288</v>
      </c>
      <c r="P65" s="2">
        <f>P10*'Output-Calculation-sheet'!P54/10^9</f>
        <v>0.65987653124630496</v>
      </c>
      <c r="Q65" s="2">
        <f>Q10*'Output-Calculation-sheet'!Q54/10^9</f>
        <v>0.71882726481648274</v>
      </c>
      <c r="R65" s="2">
        <f>R10*'Output-Calculation-sheet'!R54/10^9</f>
        <v>0.58094845856756805</v>
      </c>
      <c r="S65" s="2">
        <f>S10*'Output-Calculation-sheet'!S54/10^9</f>
        <v>0.49412655800106364</v>
      </c>
      <c r="T65" s="2">
        <f>T10*'Output-Calculation-sheet'!T54/10^9</f>
        <v>0.19423742512828288</v>
      </c>
      <c r="U65" s="2">
        <f>U10*'Output-Calculation-sheet'!U54/10^9</f>
        <v>0.16771908844125599</v>
      </c>
      <c r="V65" s="2">
        <f>V10*'Output-Calculation-sheet'!V54/10^9</f>
        <v>0.21496215181780978</v>
      </c>
      <c r="W65" s="2">
        <f>W10*'Output-Calculation-sheet'!W54/10^9</f>
        <v>8.184027464150094E-2</v>
      </c>
      <c r="X65" s="2">
        <f>X10*'Output-Calculation-sheet'!X54/10^9</f>
        <v>0.10703460486347866</v>
      </c>
      <c r="Y65" s="2">
        <f>Y10*'Output-Calculation-sheet'!Y54/10^9</f>
        <v>6.73602612436799E-2</v>
      </c>
      <c r="AA65" s="2">
        <f t="shared" si="4"/>
        <v>28.788320045474268</v>
      </c>
    </row>
    <row r="66" spans="1:27" x14ac:dyDescent="0.25">
      <c r="A66" s="2">
        <v>2034</v>
      </c>
      <c r="B66" s="2">
        <f>B11*'Output-Calculation-sheet'!B55/10^9</f>
        <v>7.264418629119735</v>
      </c>
      <c r="C66" s="2">
        <f>C11*'Output-Calculation-sheet'!C55/10^9</f>
        <v>3.6542915887250733</v>
      </c>
      <c r="D66" s="2">
        <f>D11*'Output-Calculation-sheet'!D55/10^9</f>
        <v>1.639463990065571</v>
      </c>
      <c r="E66" s="2">
        <f>E11*'Output-Calculation-sheet'!E55/10^9</f>
        <v>1.9852763399508004</v>
      </c>
      <c r="F66" s="2">
        <f>F11*'Output-Calculation-sheet'!F55/10^9</f>
        <v>0.76297405504626858</v>
      </c>
      <c r="G66" s="2">
        <f>G11*'Output-Calculation-sheet'!G55/10^9</f>
        <v>0.54535238191888691</v>
      </c>
      <c r="H66" s="2">
        <f>H11*'Output-Calculation-sheet'!H55/10^9</f>
        <v>1.1380226720289646</v>
      </c>
      <c r="I66" s="2">
        <f>I11*'Output-Calculation-sheet'!I55/10^9</f>
        <v>0.53333915530223219</v>
      </c>
      <c r="J66" s="2">
        <f>J11*'Output-Calculation-sheet'!J55/10^9</f>
        <v>0.54839903160276438</v>
      </c>
      <c r="K66" s="2">
        <f>K11*'Output-Calculation-sheet'!K55/10^9</f>
        <v>0.65593153581722019</v>
      </c>
      <c r="L66" s="2">
        <f>L11*'Output-Calculation-sheet'!L55/10^9</f>
        <v>0.69463635433803383</v>
      </c>
      <c r="M66" s="2">
        <f>M11*'Output-Calculation-sheet'!M55/10^9</f>
        <v>0.82953989652448479</v>
      </c>
      <c r="N66" s="2">
        <f>N11*'Output-Calculation-sheet'!N55/10^9</f>
        <v>0.78367541747246727</v>
      </c>
      <c r="O66" s="2">
        <f>O11*'Output-Calculation-sheet'!O55/10^9</f>
        <v>0.72027317454528617</v>
      </c>
      <c r="P66" s="2">
        <f>P11*'Output-Calculation-sheet'!P55/10^9</f>
        <v>0.60142114955649795</v>
      </c>
      <c r="Q66" s="2">
        <f>Q11*'Output-Calculation-sheet'!Q55/10^9</f>
        <v>0.63618138161389171</v>
      </c>
      <c r="R66" s="2">
        <f>R11*'Output-Calculation-sheet'!R55/10^9</f>
        <v>0.49139096679842309</v>
      </c>
      <c r="S66" s="2">
        <f>S11*'Output-Calculation-sheet'!S55/10^9</f>
        <v>0.42861824611044053</v>
      </c>
      <c r="T66" s="2">
        <f>T11*'Output-Calculation-sheet'!T55/10^9</f>
        <v>0.1540162226539932</v>
      </c>
      <c r="U66" s="2">
        <f>U11*'Output-Calculation-sheet'!U55/10^9</f>
        <v>0.15725720116988312</v>
      </c>
      <c r="V66" s="2">
        <f>V11*'Output-Calculation-sheet'!V55/10^9</f>
        <v>0.14610838203008558</v>
      </c>
      <c r="W66" s="2">
        <f>W11*'Output-Calculation-sheet'!W55/10^9</f>
        <v>6.6156484159165516E-2</v>
      </c>
      <c r="X66" s="2">
        <f>X11*'Output-Calculation-sheet'!X55/10^9</f>
        <v>8.8629585927249011E-2</v>
      </c>
      <c r="Y66" s="2">
        <f>Y11*'Output-Calculation-sheet'!Y55/10^9</f>
        <v>6.4684967442776228E-2</v>
      </c>
      <c r="AA66" s="2">
        <f t="shared" si="4"/>
        <v>24.59005880992019</v>
      </c>
    </row>
    <row r="67" spans="1:27" x14ac:dyDescent="0.25">
      <c r="A67" s="2">
        <v>2035</v>
      </c>
      <c r="B67" s="2">
        <f>B12*'Output-Calculation-sheet'!B56/10^9</f>
        <v>6.1351811777452436</v>
      </c>
      <c r="C67" s="2">
        <f>C12*'Output-Calculation-sheet'!C56/10^9</f>
        <v>2.8622113458447576</v>
      </c>
      <c r="D67" s="2">
        <f>D12*'Output-Calculation-sheet'!D56/10^9</f>
        <v>1.6786472614745522</v>
      </c>
      <c r="E67" s="2">
        <f>E12*'Output-Calculation-sheet'!E56/10^9</f>
        <v>1.9126460922952078</v>
      </c>
      <c r="F67" s="2">
        <f>F12*'Output-Calculation-sheet'!F56/10^9</f>
        <v>0.8186973317284657</v>
      </c>
      <c r="G67" s="2">
        <f>G12*'Output-Calculation-sheet'!G56/10^9</f>
        <v>0.57459068330525576</v>
      </c>
      <c r="H67" s="2">
        <f>H12*'Output-Calculation-sheet'!H56/10^9</f>
        <v>0.90765253254338885</v>
      </c>
      <c r="I67" s="2">
        <f>I12*'Output-Calculation-sheet'!I56/10^9</f>
        <v>0.576108229128799</v>
      </c>
      <c r="J67" s="2">
        <f>J12*'Output-Calculation-sheet'!J56/10^9</f>
        <v>0.52114651753354813</v>
      </c>
      <c r="K67" s="2">
        <f>K12*'Output-Calculation-sheet'!K56/10^9</f>
        <v>0.64705680536027432</v>
      </c>
      <c r="L67" s="2">
        <f>L12*'Output-Calculation-sheet'!L56/10^9</f>
        <v>0.59387472144119335</v>
      </c>
      <c r="M67" s="2">
        <f>M12*'Output-Calculation-sheet'!M56/10^9</f>
        <v>0.63135619695955147</v>
      </c>
      <c r="N67" s="2">
        <f>N12*'Output-Calculation-sheet'!N56/10^9</f>
        <v>0.61476843748321008</v>
      </c>
      <c r="O67" s="2">
        <f>O12*'Output-Calculation-sheet'!O56/10^9</f>
        <v>0.55636094663864732</v>
      </c>
      <c r="P67" s="2">
        <f>P12*'Output-Calculation-sheet'!P56/10^9</f>
        <v>0.5430453235760101</v>
      </c>
      <c r="Q67" s="2">
        <f>Q12*'Output-Calculation-sheet'!Q56/10^9</f>
        <v>0.55397718030033238</v>
      </c>
      <c r="R67" s="2">
        <f>R12*'Output-Calculation-sheet'!R56/10^9</f>
        <v>0.46864447025210754</v>
      </c>
      <c r="S67" s="2">
        <f>S12*'Output-Calculation-sheet'!S56/10^9</f>
        <v>0.35255415041004284</v>
      </c>
      <c r="T67" s="2">
        <f>T12*'Output-Calculation-sheet'!T56/10^9</f>
        <v>0.14265793848861535</v>
      </c>
      <c r="U67" s="2">
        <f>U12*'Output-Calculation-sheet'!U56/10^9</f>
        <v>0.15673284587034816</v>
      </c>
      <c r="V67" s="2">
        <f>V12*'Output-Calculation-sheet'!V56/10^9</f>
        <v>0.10932106784645074</v>
      </c>
      <c r="W67" s="2">
        <f>W12*'Output-Calculation-sheet'!W56/10^9</f>
        <v>7.085447457566503E-2</v>
      </c>
      <c r="X67" s="2">
        <f>X12*'Output-Calculation-sheet'!X56/10^9</f>
        <v>6.7074468964151493E-2</v>
      </c>
      <c r="Y67" s="2">
        <f>Y12*'Output-Calculation-sheet'!Y56/10^9</f>
        <v>6.2577670043147182E-2</v>
      </c>
      <c r="AA67" s="2">
        <f t="shared" si="4"/>
        <v>21.557737869808967</v>
      </c>
    </row>
    <row r="68" spans="1:27" x14ac:dyDescent="0.25">
      <c r="B68" s="2">
        <f>SUM(B60:B67)</f>
        <v>38.881711319448449</v>
      </c>
      <c r="C68" s="2">
        <f t="shared" ref="C68:Y68" si="5">SUM(C60:C67)</f>
        <v>19.951607680072513</v>
      </c>
      <c r="D68" s="2">
        <f t="shared" si="5"/>
        <v>10.823477888442952</v>
      </c>
      <c r="E68" s="2">
        <f t="shared" si="5"/>
        <v>11.70049330237536</v>
      </c>
      <c r="F68" s="2">
        <f t="shared" si="5"/>
        <v>4.8420897403670855</v>
      </c>
      <c r="G68" s="2">
        <f t="shared" si="5"/>
        <v>3.4264418749284511</v>
      </c>
      <c r="H68" s="2">
        <f t="shared" si="5"/>
        <v>6.2730100307549286</v>
      </c>
      <c r="I68" s="2">
        <f t="shared" si="5"/>
        <v>3.2859896468247913</v>
      </c>
      <c r="J68" s="2">
        <f t="shared" si="5"/>
        <v>3.9153453740337465</v>
      </c>
      <c r="K68" s="2">
        <f t="shared" si="5"/>
        <v>3.9892177340921053</v>
      </c>
      <c r="L68" s="2">
        <f t="shared" si="5"/>
        <v>4.7205704572429914</v>
      </c>
      <c r="M68" s="2">
        <f t="shared" si="5"/>
        <v>4.8108333543276816</v>
      </c>
      <c r="N68" s="2">
        <f t="shared" si="5"/>
        <v>4.4108900569197811</v>
      </c>
      <c r="O68" s="2">
        <f t="shared" si="5"/>
        <v>3.9978925641647765</v>
      </c>
      <c r="P68" s="2">
        <f t="shared" si="5"/>
        <v>3.1864401520923828</v>
      </c>
      <c r="Q68" s="2">
        <f t="shared" si="5"/>
        <v>3.4547348968190494</v>
      </c>
      <c r="R68" s="2">
        <f t="shared" si="5"/>
        <v>2.8977058887025908</v>
      </c>
      <c r="S68" s="2">
        <f t="shared" si="5"/>
        <v>2.322438692576462</v>
      </c>
      <c r="T68" s="2">
        <f t="shared" si="5"/>
        <v>0.99312516111965077</v>
      </c>
      <c r="U68" s="2">
        <f t="shared" si="5"/>
        <v>0.84216739821001829</v>
      </c>
      <c r="V68" s="2">
        <f t="shared" si="5"/>
        <v>1.0749955792991424</v>
      </c>
      <c r="W68" s="2">
        <f t="shared" si="5"/>
        <v>0.44038540306635038</v>
      </c>
      <c r="X68" s="2">
        <f t="shared" si="5"/>
        <v>0.50308300812589013</v>
      </c>
      <c r="Y68" s="2">
        <f t="shared" si="5"/>
        <v>0.34417850059808047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48.856695985576032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4.8856695985576029E-2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517.95409117998531</v>
      </c>
      <c r="Q76" s="2">
        <f>Q10/'Output-Calculation-sheet'!Q9*'Output-Calculation-sheet'!Q63</f>
        <v>61.981505860812327</v>
      </c>
      <c r="R76" s="2">
        <f>R10/'Output-Calculation-sheet'!R9*'Output-Calculation-sheet'!R63</f>
        <v>394.58303782218445</v>
      </c>
      <c r="S76" s="2">
        <f>S10/'Output-Calculation-sheet'!S9*'Output-Calculation-sheet'!S63</f>
        <v>0</v>
      </c>
      <c r="T76" s="2">
        <f>T10/'Output-Calculation-sheet'!T9*'Output-Calculation-sheet'!T63</f>
        <v>25.968568660074549</v>
      </c>
      <c r="U76" s="2">
        <f>U10/'Output-Calculation-sheet'!U9*'Output-Calculation-sheet'!U63</f>
        <v>140.2244478377207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6.659654355985146</v>
      </c>
      <c r="AA76" s="2">
        <f t="shared" si="6"/>
        <v>1.2563944261143016</v>
      </c>
    </row>
    <row r="77" spans="1:27" x14ac:dyDescent="0.25">
      <c r="A77" s="2">
        <v>2034</v>
      </c>
      <c r="B77" s="2">
        <f>B11/'Output-Calculation-sheet'!B10*'Output-Calculation-sheet'!B64</f>
        <v>464.24062249329211</v>
      </c>
      <c r="C77" s="2">
        <f>C11/'Output-Calculation-sheet'!C10*'Output-Calculation-sheet'!C64</f>
        <v>0</v>
      </c>
      <c r="D77" s="2">
        <f>D11/'Output-Calculation-sheet'!D10*'Output-Calculation-sheet'!D64</f>
        <v>1577.3241274096117</v>
      </c>
      <c r="E77" s="2">
        <f>E11/'Output-Calculation-sheet'!E10*'Output-Calculation-sheet'!E64</f>
        <v>1971.4530048771405</v>
      </c>
      <c r="F77" s="2">
        <f>F11/'Output-Calculation-sheet'!F10*'Output-Calculation-sheet'!F64</f>
        <v>128.27037543955868</v>
      </c>
      <c r="G77" s="2">
        <f>G11/'Output-Calculation-sheet'!G10*'Output-Calculation-sheet'!G64</f>
        <v>835.41721102103054</v>
      </c>
      <c r="H77" s="2">
        <f>H11/'Output-Calculation-sheet'!H10*'Output-Calculation-sheet'!H64</f>
        <v>130.3549435627545</v>
      </c>
      <c r="I77" s="2">
        <f>I11/'Output-Calculation-sheet'!I10*'Output-Calculation-sheet'!I64</f>
        <v>496.71224119667266</v>
      </c>
      <c r="J77" s="2">
        <f>J11/'Output-Calculation-sheet'!J10*'Output-Calculation-sheet'!J64</f>
        <v>347.54021236197752</v>
      </c>
      <c r="K77" s="2">
        <f>K11/'Output-Calculation-sheet'!K10*'Output-Calculation-sheet'!K64</f>
        <v>755.64442446809767</v>
      </c>
      <c r="L77" s="2">
        <f>L11/'Output-Calculation-sheet'!L10*'Output-Calculation-sheet'!L64</f>
        <v>312.43997389925823</v>
      </c>
      <c r="M77" s="2">
        <f>M11/'Output-Calculation-sheet'!M10*'Output-Calculation-sheet'!M64</f>
        <v>93.883635163425538</v>
      </c>
      <c r="N77" s="2">
        <f>N11/'Output-Calculation-sheet'!N10*'Output-Calculation-sheet'!N64</f>
        <v>31.049962994540515</v>
      </c>
      <c r="O77" s="2">
        <f>O11/'Output-Calculation-sheet'!O10*'Output-Calculation-sheet'!O64</f>
        <v>0</v>
      </c>
      <c r="P77" s="2">
        <f>P11/'Output-Calculation-sheet'!P10*'Output-Calculation-sheet'!P64</f>
        <v>639.34509656580394</v>
      </c>
      <c r="Q77" s="2">
        <f>Q11/'Output-Calculation-sheet'!Q10*'Output-Calculation-sheet'!Q64</f>
        <v>143.8253291083557</v>
      </c>
      <c r="R77" s="2">
        <f>R11/'Output-Calculation-sheet'!R10*'Output-Calculation-sheet'!R64</f>
        <v>794.33510953656946</v>
      </c>
      <c r="S77" s="2">
        <f>S11/'Output-Calculation-sheet'!S10*'Output-Calculation-sheet'!S64</f>
        <v>0</v>
      </c>
      <c r="T77" s="2">
        <f>T11/'Output-Calculation-sheet'!T10*'Output-Calculation-sheet'!T64</f>
        <v>220.5603925980831</v>
      </c>
      <c r="U77" s="2">
        <f>U11/'Output-Calculation-sheet'!U10*'Output-Calculation-sheet'!U64</f>
        <v>293.12612339573809</v>
      </c>
      <c r="V77" s="2">
        <f>V11/'Output-Calculation-sheet'!V10*'Output-Calculation-sheet'!V64</f>
        <v>114.13639771520411</v>
      </c>
      <c r="W77" s="2">
        <f>W11/'Output-Calculation-sheet'!W10*'Output-Calculation-sheet'!W64</f>
        <v>25.056416388320741</v>
      </c>
      <c r="X77" s="2">
        <f>X11/'Output-Calculation-sheet'!X10*'Output-Calculation-sheet'!X64</f>
        <v>9.359168093332169</v>
      </c>
      <c r="Y77" s="2">
        <f>Y11/'Output-Calculation-sheet'!Y10*'Output-Calculation-sheet'!Y64</f>
        <v>42.683782890741277</v>
      </c>
      <c r="AA77" s="2">
        <f t="shared" si="6"/>
        <v>9.4267585511795069</v>
      </c>
    </row>
    <row r="78" spans="1:27" x14ac:dyDescent="0.25">
      <c r="A78" s="2">
        <v>2035</v>
      </c>
      <c r="B78" s="2">
        <f>B12/'Output-Calculation-sheet'!B11*'Output-Calculation-sheet'!B65</f>
        <v>77.522859109316158</v>
      </c>
      <c r="C78" s="2">
        <f>C12/'Output-Calculation-sheet'!C11*'Output-Calculation-sheet'!C65</f>
        <v>64.617305250955553</v>
      </c>
      <c r="D78" s="2">
        <f>D12/'Output-Calculation-sheet'!D11*'Output-Calculation-sheet'!D65</f>
        <v>3320.6550992696084</v>
      </c>
      <c r="E78" s="2">
        <f>E12/'Output-Calculation-sheet'!E11*'Output-Calculation-sheet'!E65</f>
        <v>1066.7182740860399</v>
      </c>
      <c r="F78" s="2">
        <f>F12/'Output-Calculation-sheet'!F11*'Output-Calculation-sheet'!F65</f>
        <v>847.74639959418914</v>
      </c>
      <c r="G78" s="2">
        <f>G12/'Output-Calculation-sheet'!G11*'Output-Calculation-sheet'!G65</f>
        <v>1254.475660262922</v>
      </c>
      <c r="H78" s="2">
        <f>H12/'Output-Calculation-sheet'!H11*'Output-Calculation-sheet'!H65</f>
        <v>28.511576700225525</v>
      </c>
      <c r="I78" s="2">
        <f>I12/'Output-Calculation-sheet'!I11*'Output-Calculation-sheet'!I65</f>
        <v>1042.9810646884769</v>
      </c>
      <c r="J78" s="2">
        <f>J12/'Output-Calculation-sheet'!J11*'Output-Calculation-sheet'!J65</f>
        <v>989.29296467338338</v>
      </c>
      <c r="K78" s="2">
        <f>K12/'Output-Calculation-sheet'!K11*'Output-Calculation-sheet'!K65</f>
        <v>1329.6911658598124</v>
      </c>
      <c r="L78" s="2">
        <f>L12/'Output-Calculation-sheet'!L11*'Output-Calculation-sheet'!L65</f>
        <v>461.18904179513322</v>
      </c>
      <c r="M78" s="2">
        <f>M12/'Output-Calculation-sheet'!M11*'Output-Calculation-sheet'!M65</f>
        <v>25.486991951690054</v>
      </c>
      <c r="N78" s="2">
        <f>N12/'Output-Calculation-sheet'!N11*'Output-Calculation-sheet'!N65</f>
        <v>17.168611675272459</v>
      </c>
      <c r="O78" s="2">
        <f>O12/'Output-Calculation-sheet'!O11*'Output-Calculation-sheet'!O65</f>
        <v>11.199242569839461</v>
      </c>
      <c r="P78" s="2">
        <f>P12/'Output-Calculation-sheet'!P11*'Output-Calculation-sheet'!P65</f>
        <v>129.16908798916566</v>
      </c>
      <c r="Q78" s="2">
        <f>Q12/'Output-Calculation-sheet'!Q11*'Output-Calculation-sheet'!Q65</f>
        <v>104.08704744710109</v>
      </c>
      <c r="R78" s="2">
        <f>R12/'Output-Calculation-sheet'!R11*'Output-Calculation-sheet'!R65</f>
        <v>862.2328458808762</v>
      </c>
      <c r="S78" s="2">
        <f>S12/'Output-Calculation-sheet'!S11*'Output-Calculation-sheet'!S65</f>
        <v>8.2494812372613442</v>
      </c>
      <c r="T78" s="2">
        <f>T12/'Output-Calculation-sheet'!T11*'Output-Calculation-sheet'!T65</f>
        <v>342.88652035810088</v>
      </c>
      <c r="U78" s="2">
        <f>U12/'Output-Calculation-sheet'!U11*'Output-Calculation-sheet'!U65</f>
        <v>126.49116227198232</v>
      </c>
      <c r="V78" s="2">
        <f>V12/'Output-Calculation-sheet'!V11*'Output-Calculation-sheet'!V65</f>
        <v>179.45905012018693</v>
      </c>
      <c r="W78" s="2">
        <f>W12/'Output-Calculation-sheet'!W11*'Output-Calculation-sheet'!W65</f>
        <v>120.97784989918475</v>
      </c>
      <c r="X78" s="2">
        <f>X12/'Output-Calculation-sheet'!X11*'Output-Calculation-sheet'!X65</f>
        <v>1.6881418611953214</v>
      </c>
      <c r="Y78" s="2">
        <f>Y12/'Output-Calculation-sheet'!Y11*'Output-Calculation-sheet'!Y65</f>
        <v>29.036108225843044</v>
      </c>
      <c r="AA78" s="2">
        <f t="shared" si="6"/>
        <v>12.441533552777761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83.535203736249926</v>
      </c>
      <c r="E89" s="2">
        <f>E12/'Output-Calculation-sheet'!E11*'Output-Calculation-sheet'!E74</f>
        <v>40.410259300100819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31.268834153264844</v>
      </c>
      <c r="H89" s="2">
        <f>H12/'Output-Calculation-sheet'!H11*'Output-Calculation-sheet'!H74</f>
        <v>5.0485306242099206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17.396139950975524</v>
      </c>
      <c r="K89" s="2">
        <f>K12/'Output-Calculation-sheet'!K11*'Output-Calculation-sheet'!K74</f>
        <v>21.883085955744178</v>
      </c>
      <c r="L89" s="2">
        <f>L12/'Output-Calculation-sheet'!L11*'Output-Calculation-sheet'!L74</f>
        <v>9.1581171360372764</v>
      </c>
      <c r="M89" s="2">
        <f>M12/'Output-Calculation-sheet'!M11*'Output-Calculation-sheet'!M74</f>
        <v>2.605410292536551</v>
      </c>
      <c r="N89" s="2">
        <f>N12/'Output-Calculation-sheet'!N11*'Output-Calculation-sheet'!N74</f>
        <v>2.5606957853145755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2.3656331168234384</v>
      </c>
      <c r="Q89" s="2">
        <f>Q12/'Output-Calculation-sheet'!Q11*'Output-Calculation-sheet'!Q74</f>
        <v>4.4871231323428233</v>
      </c>
      <c r="R89" s="2">
        <f>R12/'Output-Calculation-sheet'!R11*'Output-Calculation-sheet'!R74</f>
        <v>13.349484886415322</v>
      </c>
      <c r="S89" s="2">
        <f>S12/'Output-Calculation-sheet'!S11*'Output-Calculation-sheet'!S74</f>
        <v>2.4464653728533046</v>
      </c>
      <c r="T89" s="2">
        <f>T12/'Output-Calculation-sheet'!T11*'Output-Calculation-sheet'!T74</f>
        <v>4.1156721011290145</v>
      </c>
      <c r="U89" s="2">
        <f>U12/'Output-Calculation-sheet'!U11*'Output-Calculation-sheet'!U74</f>
        <v>4.7722069234651405</v>
      </c>
      <c r="V89" s="2">
        <f>V12/'Output-Calculation-sheet'!V11*'Output-Calculation-sheet'!V74</f>
        <v>1.4719153731956931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1.6549243958177249</v>
      </c>
      <c r="AA89" s="2">
        <f t="shared" si="7"/>
        <v>0.33393944639427214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22319198295.533527</v>
      </c>
      <c r="C96" s="2">
        <f>C8/'Output-Calculation-sheet'!C7*'Output-Calculation-sheet'!C79</f>
        <v>9239871836.3227615</v>
      </c>
      <c r="D96" s="2">
        <f>D8/'Output-Calculation-sheet'!D7*'Output-Calculation-sheet'!D79</f>
        <v>7365592510.6195078</v>
      </c>
      <c r="E96" s="2">
        <f>E8/'Output-Calculation-sheet'!E7*'Output-Calculation-sheet'!E79</f>
        <v>8900211349.9837952</v>
      </c>
      <c r="F96" s="2">
        <f>F8/'Output-Calculation-sheet'!F7*'Output-Calculation-sheet'!F79</f>
        <v>5253746300.3678083</v>
      </c>
      <c r="G96" s="2">
        <f>G8/'Output-Calculation-sheet'!G7*'Output-Calculation-sheet'!G79</f>
        <v>2672332727.8088074</v>
      </c>
      <c r="H96" s="2">
        <f>H8/'Output-Calculation-sheet'!H7*'Output-Calculation-sheet'!H79</f>
        <v>3336860562.5885777</v>
      </c>
      <c r="I96" s="2">
        <f>I8/'Output-Calculation-sheet'!I7*'Output-Calculation-sheet'!I79</f>
        <v>3193831013.8618674</v>
      </c>
      <c r="J96" s="2">
        <f>J8/'Output-Calculation-sheet'!J7*'Output-Calculation-sheet'!J79</f>
        <v>1802708146.4979842</v>
      </c>
      <c r="K96" s="2">
        <f>K8/'Output-Calculation-sheet'!K7*'Output-Calculation-sheet'!K79</f>
        <v>3070632014.681952</v>
      </c>
      <c r="L96" s="2">
        <f>L8/'Output-Calculation-sheet'!L7*'Output-Calculation-sheet'!L79</f>
        <v>2208464365.3636088</v>
      </c>
      <c r="M96" s="2">
        <f>M8/'Output-Calculation-sheet'!M7*'Output-Calculation-sheet'!M79</f>
        <v>2232565686.6047335</v>
      </c>
      <c r="N96" s="2">
        <f>N8/'Output-Calculation-sheet'!N7*'Output-Calculation-sheet'!N79</f>
        <v>1588977506.2303355</v>
      </c>
      <c r="O96" s="2">
        <f>O8/'Output-Calculation-sheet'!O7*'Output-Calculation-sheet'!O79</f>
        <v>1248797052.2962565</v>
      </c>
      <c r="P96" s="2">
        <f>P8/'Output-Calculation-sheet'!P7*'Output-Calculation-sheet'!P79</f>
        <v>2654645405.9346399</v>
      </c>
      <c r="Q96" s="2">
        <f>Q8/'Output-Calculation-sheet'!Q7*'Output-Calculation-sheet'!Q79</f>
        <v>1445885950.2070954</v>
      </c>
      <c r="R96" s="2">
        <f>R8/'Output-Calculation-sheet'!R7*'Output-Calculation-sheet'!R79</f>
        <v>1928952764.5814412</v>
      </c>
      <c r="S96" s="2">
        <f>S8/'Output-Calculation-sheet'!S7*'Output-Calculation-sheet'!S79</f>
        <v>1214168914.9430799</v>
      </c>
      <c r="T96" s="2">
        <f>T8/'Output-Calculation-sheet'!T7*'Output-Calculation-sheet'!T79</f>
        <v>779663531.63521528</v>
      </c>
      <c r="U96" s="2">
        <f>U8/'Output-Calculation-sheet'!U7*'Output-Calculation-sheet'!U79</f>
        <v>722973131.26179588</v>
      </c>
      <c r="V96" s="2">
        <f>V8/'Output-Calculation-sheet'!V7*'Output-Calculation-sheet'!V79</f>
        <v>465472474.90953076</v>
      </c>
      <c r="W96" s="2">
        <f>W8/'Output-Calculation-sheet'!W7*'Output-Calculation-sheet'!W79</f>
        <v>556814826.67372847</v>
      </c>
      <c r="X96" s="2">
        <f>X8/'Output-Calculation-sheet'!X7*'Output-Calculation-sheet'!X79</f>
        <v>254855916.36612248</v>
      </c>
      <c r="Y96" s="2">
        <f>Y8/'Output-Calculation-sheet'!Y7*'Output-Calculation-sheet'!Y79</f>
        <v>285253591.77530795</v>
      </c>
      <c r="AA96" s="2">
        <f t="shared" si="8"/>
        <v>84.742475877049472</v>
      </c>
    </row>
    <row r="97" spans="1:27" x14ac:dyDescent="0.25">
      <c r="A97" s="2">
        <v>2032</v>
      </c>
      <c r="B97" s="2">
        <f>B9/'Output-Calculation-sheet'!B8*'Output-Calculation-sheet'!B80</f>
        <v>30047498095.568336</v>
      </c>
      <c r="C97" s="2">
        <f>C9/'Output-Calculation-sheet'!C8*'Output-Calculation-sheet'!C80</f>
        <v>12450130718.966248</v>
      </c>
      <c r="D97" s="2">
        <f>D9/'Output-Calculation-sheet'!D8*'Output-Calculation-sheet'!D80</f>
        <v>9840780616.2337875</v>
      </c>
      <c r="E97" s="2">
        <f>E9/'Output-Calculation-sheet'!E8*'Output-Calculation-sheet'!E80</f>
        <v>11874420891.654276</v>
      </c>
      <c r="F97" s="2">
        <f>F9/'Output-Calculation-sheet'!F8*'Output-Calculation-sheet'!F80</f>
        <v>7035929507.4416084</v>
      </c>
      <c r="G97" s="2">
        <f>G9/'Output-Calculation-sheet'!G8*'Output-Calculation-sheet'!G80</f>
        <v>3522073002.3388758</v>
      </c>
      <c r="H97" s="2">
        <f>H9/'Output-Calculation-sheet'!H8*'Output-Calculation-sheet'!H80</f>
        <v>4483032554.3123665</v>
      </c>
      <c r="I97" s="2">
        <f>I9/'Output-Calculation-sheet'!I8*'Output-Calculation-sheet'!I80</f>
        <v>4279220554.9994144</v>
      </c>
      <c r="J97" s="2">
        <f>J9/'Output-Calculation-sheet'!J8*'Output-Calculation-sheet'!J80</f>
        <v>2441779040.2574778</v>
      </c>
      <c r="K97" s="2">
        <f>K9/'Output-Calculation-sheet'!K8*'Output-Calculation-sheet'!K80</f>
        <v>4113225911.6519728</v>
      </c>
      <c r="L97" s="2">
        <f>L9/'Output-Calculation-sheet'!L8*'Output-Calculation-sheet'!L80</f>
        <v>2976064942.9031782</v>
      </c>
      <c r="M97" s="2">
        <f>M9/'Output-Calculation-sheet'!M8*'Output-Calculation-sheet'!M80</f>
        <v>2999375704.6666856</v>
      </c>
      <c r="N97" s="2">
        <f>N9/'Output-Calculation-sheet'!N8*'Output-Calculation-sheet'!N80</f>
        <v>2143876371.5905914</v>
      </c>
      <c r="O97" s="2">
        <f>O9/'Output-Calculation-sheet'!O8*'Output-Calculation-sheet'!O80</f>
        <v>1691384284.004463</v>
      </c>
      <c r="P97" s="2">
        <f>P9/'Output-Calculation-sheet'!P8*'Output-Calculation-sheet'!P80</f>
        <v>3534621523.4818664</v>
      </c>
      <c r="Q97" s="2">
        <f>Q9/'Output-Calculation-sheet'!Q8*'Output-Calculation-sheet'!Q80</f>
        <v>1957152608.9609153</v>
      </c>
      <c r="R97" s="2">
        <f>R9/'Output-Calculation-sheet'!R8*'Output-Calculation-sheet'!R80</f>
        <v>2594899135.388648</v>
      </c>
      <c r="S97" s="2">
        <f>S9/'Output-Calculation-sheet'!S8*'Output-Calculation-sheet'!S80</f>
        <v>1637000232.9408095</v>
      </c>
      <c r="T97" s="2">
        <f>T9/'Output-Calculation-sheet'!T8*'Output-Calculation-sheet'!T80</f>
        <v>1040518490.130145</v>
      </c>
      <c r="U97" s="2">
        <f>U9/'Output-Calculation-sheet'!U8*'Output-Calculation-sheet'!U80</f>
        <v>970325295.86829329</v>
      </c>
      <c r="V97" s="2">
        <f>V9/'Output-Calculation-sheet'!V8*'Output-Calculation-sheet'!V80</f>
        <v>628389432.63687384</v>
      </c>
      <c r="W97" s="2">
        <f>W9/'Output-Calculation-sheet'!W8*'Output-Calculation-sheet'!W80</f>
        <v>735084317.33241439</v>
      </c>
      <c r="X97" s="2">
        <f>X9/'Output-Calculation-sheet'!X8*'Output-Calculation-sheet'!X80</f>
        <v>342283011.25842726</v>
      </c>
      <c r="Y97" s="2">
        <f>Y9/'Output-Calculation-sheet'!Y8*'Output-Calculation-sheet'!Y80</f>
        <v>378238870.60780317</v>
      </c>
      <c r="AA97" s="2">
        <f t="shared" si="8"/>
        <v>113.71730511519549</v>
      </c>
    </row>
    <row r="98" spans="1:27" x14ac:dyDescent="0.25">
      <c r="A98" s="2">
        <v>2033</v>
      </c>
      <c r="B98" s="2">
        <f>B10/'Output-Calculation-sheet'!B9*'Output-Calculation-sheet'!B81</f>
        <v>35635927509.279823</v>
      </c>
      <c r="C98" s="2">
        <f>C10/'Output-Calculation-sheet'!C9*'Output-Calculation-sheet'!C81</f>
        <v>14780995763.567282</v>
      </c>
      <c r="D98" s="2">
        <f>D10/'Output-Calculation-sheet'!D9*'Output-Calculation-sheet'!D81</f>
        <v>11594652009.64073</v>
      </c>
      <c r="E98" s="2">
        <f>E10/'Output-Calculation-sheet'!E9*'Output-Calculation-sheet'!E81</f>
        <v>13964456011.97105</v>
      </c>
      <c r="F98" s="2">
        <f>F10/'Output-Calculation-sheet'!F9*'Output-Calculation-sheet'!F81</f>
        <v>8303589329.404233</v>
      </c>
      <c r="G98" s="2">
        <f>G10/'Output-Calculation-sheet'!G9*'Output-Calculation-sheet'!G81</f>
        <v>4093073026.5273805</v>
      </c>
      <c r="H98" s="2">
        <f>H10/'Output-Calculation-sheet'!H9*'Output-Calculation-sheet'!H81</f>
        <v>5306753221.4749489</v>
      </c>
      <c r="I98" s="2">
        <f>I10/'Output-Calculation-sheet'!I9*'Output-Calculation-sheet'!I81</f>
        <v>5053233811.7969084</v>
      </c>
      <c r="J98" s="2">
        <f>J10/'Output-Calculation-sheet'!J9*'Output-Calculation-sheet'!J81</f>
        <v>2915817360.9555197</v>
      </c>
      <c r="K98" s="2">
        <f>K10/'Output-Calculation-sheet'!K9*'Output-Calculation-sheet'!K81</f>
        <v>4855612571.9529238</v>
      </c>
      <c r="L98" s="2">
        <f>L10/'Output-Calculation-sheet'!L9*'Output-Calculation-sheet'!L81</f>
        <v>3533485463.2041397</v>
      </c>
      <c r="M98" s="2">
        <f>M10/'Output-Calculation-sheet'!M9*'Output-Calculation-sheet'!M81</f>
        <v>3551129405.5317121</v>
      </c>
      <c r="N98" s="2">
        <f>N10/'Output-Calculation-sheet'!N9*'Output-Calculation-sheet'!N81</f>
        <v>2550034900.6406822</v>
      </c>
      <c r="O98" s="2">
        <f>O10/'Output-Calculation-sheet'!O9*'Output-Calculation-sheet'!O81</f>
        <v>2018952381.5528791</v>
      </c>
      <c r="P98" s="2">
        <f>P10/'Output-Calculation-sheet'!P9*'Output-Calculation-sheet'!P81</f>
        <v>4146952630.5416012</v>
      </c>
      <c r="Q98" s="2">
        <f>Q10/'Output-Calculation-sheet'!Q9*'Output-Calculation-sheet'!Q81</f>
        <v>2334760958.8915029</v>
      </c>
      <c r="R98" s="2">
        <f>R10/'Output-Calculation-sheet'!R9*'Output-Calculation-sheet'!R81</f>
        <v>3075541886.6975346</v>
      </c>
      <c r="S98" s="2">
        <f>S10/'Output-Calculation-sheet'!S9*'Output-Calculation-sheet'!S81</f>
        <v>1944298003.2606063</v>
      </c>
      <c r="T98" s="2">
        <f>T10/'Output-Calculation-sheet'!T9*'Output-Calculation-sheet'!T81</f>
        <v>1223960762.4141183</v>
      </c>
      <c r="U98" s="2">
        <f>U10/'Output-Calculation-sheet'!U9*'Output-Calculation-sheet'!U81</f>
        <v>1146791700.2470407</v>
      </c>
      <c r="V98" s="2">
        <f>V10/'Output-Calculation-sheet'!V9*'Output-Calculation-sheet'!V81</f>
        <v>746913161.43337953</v>
      </c>
      <c r="W98" s="2">
        <f>W10/'Output-Calculation-sheet'!W9*'Output-Calculation-sheet'!W81</f>
        <v>855333056.43761885</v>
      </c>
      <c r="X98" s="2">
        <f>X10/'Output-Calculation-sheet'!X9*'Output-Calculation-sheet'!X81</f>
        <v>405091246.60455108</v>
      </c>
      <c r="Y98" s="2">
        <f>Y10/'Output-Calculation-sheet'!Y9*'Output-Calculation-sheet'!Y81</f>
        <v>442191860.45733124</v>
      </c>
      <c r="AA98" s="2">
        <f t="shared" si="8"/>
        <v>134.4795480344855</v>
      </c>
    </row>
    <row r="99" spans="1:27" x14ac:dyDescent="0.25">
      <c r="A99" s="2">
        <v>2034</v>
      </c>
      <c r="B99" s="2">
        <f>B11/'Output-Calculation-sheet'!B10*'Output-Calculation-sheet'!B82</f>
        <v>37831352504.57357</v>
      </c>
      <c r="C99" s="2">
        <f>C11/'Output-Calculation-sheet'!C10*'Output-Calculation-sheet'!C82</f>
        <v>15710219968.085514</v>
      </c>
      <c r="D99" s="2">
        <f>D11/'Output-Calculation-sheet'!D10*'Output-Calculation-sheet'!D82</f>
        <v>12240527934.567926</v>
      </c>
      <c r="E99" s="2">
        <f>E11/'Output-Calculation-sheet'!E10*'Output-Calculation-sheet'!E82</f>
        <v>14707907021.295004</v>
      </c>
      <c r="F99" s="2">
        <f>F11/'Output-Calculation-sheet'!F10*'Output-Calculation-sheet'!F82</f>
        <v>8774634917.3031635</v>
      </c>
      <c r="G99" s="2">
        <f>G11/'Output-Calculation-sheet'!G10*'Output-Calculation-sheet'!G82</f>
        <v>4261611366.304512</v>
      </c>
      <c r="H99" s="2">
        <f>H11/'Output-Calculation-sheet'!H10*'Output-Calculation-sheet'!H82</f>
        <v>5623894921.3092098</v>
      </c>
      <c r="I99" s="2">
        <f>I11/'Output-Calculation-sheet'!I10*'Output-Calculation-sheet'!I82</f>
        <v>5343692656.1094484</v>
      </c>
      <c r="J99" s="2">
        <f>J11/'Output-Calculation-sheet'!J10*'Output-Calculation-sheet'!J82</f>
        <v>3118799023.7110248</v>
      </c>
      <c r="K99" s="2">
        <f>K11/'Output-Calculation-sheet'!K10*'Output-Calculation-sheet'!K82</f>
        <v>5132644564.5432825</v>
      </c>
      <c r="L99" s="2">
        <f>L11/'Output-Calculation-sheet'!L10*'Output-Calculation-sheet'!L82</f>
        <v>3755758660.9312987</v>
      </c>
      <c r="M99" s="2">
        <f>M11/'Output-Calculation-sheet'!M10*'Output-Calculation-sheet'!M82</f>
        <v>3764664060.7006412</v>
      </c>
      <c r="N99" s="2">
        <f>N11/'Output-Calculation-sheet'!N10*'Output-Calculation-sheet'!N82</f>
        <v>2716816725.3122196</v>
      </c>
      <c r="O99" s="2">
        <f>O11/'Output-Calculation-sheet'!O10*'Output-Calculation-sheet'!O82</f>
        <v>2158011068.62393</v>
      </c>
      <c r="P99" s="2">
        <f>P11/'Output-Calculation-sheet'!P10*'Output-Calculation-sheet'!P82</f>
        <v>4356241499.0657568</v>
      </c>
      <c r="Q99" s="2">
        <f>Q11/'Output-Calculation-sheet'!Q10*'Output-Calculation-sheet'!Q82</f>
        <v>2493996570.4171453</v>
      </c>
      <c r="R99" s="2">
        <f>R11/'Output-Calculation-sheet'!R10*'Output-Calculation-sheet'!R82</f>
        <v>3263286469.2747025</v>
      </c>
      <c r="S99" s="2">
        <f>S11/'Output-Calculation-sheet'!S10*'Output-Calculation-sheet'!S82</f>
        <v>2067074897.3751168</v>
      </c>
      <c r="T99" s="2">
        <f>T11/'Output-Calculation-sheet'!T10*'Output-Calculation-sheet'!T82</f>
        <v>1289402566.2705188</v>
      </c>
      <c r="U99" s="2">
        <f>U11/'Output-Calculation-sheet'!U10*'Output-Calculation-sheet'!U82</f>
        <v>1212829994.223381</v>
      </c>
      <c r="V99" s="2">
        <f>V11/'Output-Calculation-sheet'!V10*'Output-Calculation-sheet'!V82</f>
        <v>794309215.88537323</v>
      </c>
      <c r="W99" s="2">
        <f>W11/'Output-Calculation-sheet'!W10*'Output-Calculation-sheet'!W82</f>
        <v>891316088.97257233</v>
      </c>
      <c r="X99" s="2">
        <f>X11/'Output-Calculation-sheet'!X10*'Output-Calculation-sheet'!X82</f>
        <v>429255685.75366968</v>
      </c>
      <c r="Y99" s="2">
        <f>Y11/'Output-Calculation-sheet'!Y10*'Output-Calculation-sheet'!Y82</f>
        <v>463111974.87131208</v>
      </c>
      <c r="AA99" s="2">
        <f t="shared" si="8"/>
        <v>142.40136035548031</v>
      </c>
    </row>
    <row r="100" spans="1:27" x14ac:dyDescent="0.25">
      <c r="A100" s="2">
        <v>2035</v>
      </c>
      <c r="B100" s="2">
        <f>B12/'Output-Calculation-sheet'!B11*'Output-Calculation-sheet'!B83</f>
        <v>36172283545.461952</v>
      </c>
      <c r="C100" s="2">
        <f>C12/'Output-Calculation-sheet'!C11*'Output-Calculation-sheet'!C83</f>
        <v>15041112826.147079</v>
      </c>
      <c r="D100" s="2">
        <f>D12/'Output-Calculation-sheet'!D11*'Output-Calculation-sheet'!D83</f>
        <v>11649525323.861647</v>
      </c>
      <c r="E100" s="2">
        <f>E12/'Output-Calculation-sheet'!E11*'Output-Calculation-sheet'!E83</f>
        <v>13958962053.187311</v>
      </c>
      <c r="F100" s="2">
        <f>F12/'Output-Calculation-sheet'!F11*'Output-Calculation-sheet'!F83</f>
        <v>8353733370.1623821</v>
      </c>
      <c r="G100" s="2">
        <f>G12/'Output-Calculation-sheet'!G11*'Output-Calculation-sheet'!G83</f>
        <v>3999870178.8429475</v>
      </c>
      <c r="H100" s="2">
        <f>H12/'Output-Calculation-sheet'!H11*'Output-Calculation-sheet'!H83</f>
        <v>5368684455.8768492</v>
      </c>
      <c r="I100" s="2">
        <f>I12/'Output-Calculation-sheet'!I11*'Output-Calculation-sheet'!I83</f>
        <v>5091445136.62817</v>
      </c>
      <c r="J100" s="2">
        <f>J12/'Output-Calculation-sheet'!J11*'Output-Calculation-sheet'!J83</f>
        <v>3006308126.9145184</v>
      </c>
      <c r="K100" s="2">
        <f>K12/'Output-Calculation-sheet'!K11*'Output-Calculation-sheet'!K83</f>
        <v>4888152753.2262125</v>
      </c>
      <c r="L100" s="2">
        <f>L12/'Output-Calculation-sheet'!L11*'Output-Calculation-sheet'!L83</f>
        <v>3595789079.4025741</v>
      </c>
      <c r="M100" s="2">
        <f>M12/'Output-Calculation-sheet'!M11*'Output-Calculation-sheet'!M83</f>
        <v>3595588657.9841895</v>
      </c>
      <c r="N100" s="2">
        <f>N12/'Output-Calculation-sheet'!N11*'Output-Calculation-sheet'!N83</f>
        <v>2608494586.4085193</v>
      </c>
      <c r="O100" s="2">
        <f>O12/'Output-Calculation-sheet'!O11*'Output-Calculation-sheet'!O83</f>
        <v>2078166817.2885783</v>
      </c>
      <c r="P100" s="2">
        <f>P12/'Output-Calculation-sheet'!P11*'Output-Calculation-sheet'!P83</f>
        <v>4122674784.0247841</v>
      </c>
      <c r="Q100" s="2">
        <f>Q12/'Output-Calculation-sheet'!Q11*'Output-Calculation-sheet'!Q83</f>
        <v>2400149449.9746346</v>
      </c>
      <c r="R100" s="2">
        <f>R12/'Output-Calculation-sheet'!R11*'Output-Calculation-sheet'!R83</f>
        <v>3118849795.3078518</v>
      </c>
      <c r="S100" s="2">
        <f>S12/'Output-Calculation-sheet'!S11*'Output-Calculation-sheet'!S83</f>
        <v>1979274645.0471497</v>
      </c>
      <c r="T100" s="2">
        <f>T12/'Output-Calculation-sheet'!T11*'Output-Calculation-sheet'!T83</f>
        <v>1224003901.0353096</v>
      </c>
      <c r="U100" s="2">
        <f>U12/'Output-Calculation-sheet'!U11*'Output-Calculation-sheet'!U83</f>
        <v>1154985267.8998806</v>
      </c>
      <c r="V100" s="2">
        <f>V12/'Output-Calculation-sheet'!V11*'Output-Calculation-sheet'!V83</f>
        <v>760495987.784392</v>
      </c>
      <c r="W100" s="2">
        <f>W12/'Output-Calculation-sheet'!W11*'Output-Calculation-sheet'!W83</f>
        <v>836947054.14886618</v>
      </c>
      <c r="X100" s="2">
        <f>X12/'Output-Calculation-sheet'!X11*'Output-Calculation-sheet'!X83</f>
        <v>409768498.00496131</v>
      </c>
      <c r="Y100" s="2">
        <f>Y12/'Output-Calculation-sheet'!Y11*'Output-Calculation-sheet'!Y83</f>
        <v>437176504.81022519</v>
      </c>
      <c r="AA100" s="2">
        <f t="shared" si="8"/>
        <v>135.85244279943097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2019.74043868064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621.73874919498269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427.81676676466401</v>
      </c>
      <c r="N107" s="2">
        <f>N8/'Output-Calculation-sheet'!N7*'Output-Calculation-sheet'!N88</f>
        <v>168.18980022906544</v>
      </c>
      <c r="O107" s="2">
        <f>O8/'Output-Calculation-sheet'!O7*'Output-Calculation-sheet'!O88</f>
        <v>470.85534869177746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46.93238910110896</v>
      </c>
      <c r="Y107" s="2">
        <f>Y8/'Output-Calculation-sheet'!Y7*'Output-Calculation-sheet'!Y88</f>
        <v>0</v>
      </c>
      <c r="AA107" s="2">
        <f t="shared" si="9"/>
        <v>3.7552734926622389</v>
      </c>
    </row>
    <row r="108" spans="1:27" x14ac:dyDescent="0.25">
      <c r="A108" s="2">
        <v>2032</v>
      </c>
      <c r="B108" s="2">
        <f>B9/'Output-Calculation-sheet'!B8*'Output-Calculation-sheet'!B89</f>
        <v>907.65155037947807</v>
      </c>
      <c r="C108" s="2">
        <f>C9/'Output-Calculation-sheet'!C8*'Output-Calculation-sheet'!C89</f>
        <v>3446.3394701680363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928.2789048739653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638.74622621354195</v>
      </c>
      <c r="N108" s="2">
        <f>N9/'Output-Calculation-sheet'!N8*'Output-Calculation-sheet'!N89</f>
        <v>448.4171083851499</v>
      </c>
      <c r="O108" s="2">
        <f>O9/'Output-Calculation-sheet'!O8*'Output-Calculation-sheet'!O89</f>
        <v>669.52801700773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205.63853331752327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70.071789500502035</v>
      </c>
      <c r="Y108" s="2">
        <f>Y9/'Output-Calculation-sheet'!Y8*'Output-Calculation-sheet'!Y89</f>
        <v>0</v>
      </c>
      <c r="AA108" s="2">
        <f t="shared" si="9"/>
        <v>7.3146715998459264</v>
      </c>
    </row>
    <row r="109" spans="1:27" x14ac:dyDescent="0.25">
      <c r="A109" s="2">
        <v>2033</v>
      </c>
      <c r="B109" s="2">
        <f>B10/'Output-Calculation-sheet'!B9*'Output-Calculation-sheet'!B90</f>
        <v>4443.805606088973</v>
      </c>
      <c r="C109" s="2">
        <f>C10/'Output-Calculation-sheet'!C9*'Output-Calculation-sheet'!C90</f>
        <v>4218.26598864274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1298.5131006554884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893.50338392656954</v>
      </c>
      <c r="N109" s="2">
        <f>N10/'Output-Calculation-sheet'!N9*'Output-Calculation-sheet'!N90</f>
        <v>702.53513803618455</v>
      </c>
      <c r="O109" s="2">
        <f>O10/'Output-Calculation-sheet'!O9*'Output-Calculation-sheet'!O90</f>
        <v>819.49189481598614</v>
      </c>
      <c r="P109" s="2">
        <f>P10/'Output-Calculation-sheet'!P9*'Output-Calculation-sheet'!P90</f>
        <v>0</v>
      </c>
      <c r="Q109" s="2">
        <f>Q10/'Output-Calculation-sheet'!Q9*'Output-Calculation-sheet'!Q90</f>
        <v>153.88208583993128</v>
      </c>
      <c r="R109" s="2">
        <f>R10/'Output-Calculation-sheet'!R9*'Output-Calculation-sheet'!R90</f>
        <v>0</v>
      </c>
      <c r="S109" s="2">
        <f>S10/'Output-Calculation-sheet'!S9*'Output-Calculation-sheet'!S90</f>
        <v>352.37771960042795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98.019179553724115</v>
      </c>
      <c r="Y109" s="2">
        <f>Y10/'Output-Calculation-sheet'!Y9*'Output-Calculation-sheet'!Y90</f>
        <v>0</v>
      </c>
      <c r="AA109" s="2">
        <f t="shared" si="9"/>
        <v>12.980394097160026</v>
      </c>
    </row>
    <row r="110" spans="1:27" x14ac:dyDescent="0.25">
      <c r="A110" s="2">
        <v>2034</v>
      </c>
      <c r="B110" s="2">
        <f>B11/'Output-Calculation-sheet'!B10*'Output-Calculation-sheet'!B91</f>
        <v>7215.0426415754973</v>
      </c>
      <c r="C110" s="2">
        <f>C11/'Output-Calculation-sheet'!C10*'Output-Calculation-sheet'!C91</f>
        <v>4946.3934473217769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1405.5261371824258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967.13876751477437</v>
      </c>
      <c r="N110" s="2">
        <f>N11/'Output-Calculation-sheet'!N10*'Output-Calculation-sheet'!N91</f>
        <v>871.3288492322107</v>
      </c>
      <c r="O110" s="2">
        <f>O11/'Output-Calculation-sheet'!O10*'Output-Calculation-sheet'!O91</f>
        <v>960.94683207858952</v>
      </c>
      <c r="P110" s="2">
        <f>P11/'Output-Calculation-sheet'!P10*'Output-Calculation-sheet'!P91</f>
        <v>219.53312915346302</v>
      </c>
      <c r="Q110" s="2">
        <f>Q11/'Output-Calculation-sheet'!Q10*'Output-Calculation-sheet'!Q91</f>
        <v>485.81112218561975</v>
      </c>
      <c r="R110" s="2">
        <f>R11/'Output-Calculation-sheet'!R10*'Output-Calculation-sheet'!R91</f>
        <v>0</v>
      </c>
      <c r="S110" s="2">
        <f>S11/'Output-Calculation-sheet'!S10*'Output-Calculation-sheet'!S91</f>
        <v>499.47577613234927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106.09713428258137</v>
      </c>
      <c r="Y110" s="2">
        <f>Y11/'Output-Calculation-sheet'!Y10*'Output-Calculation-sheet'!Y91</f>
        <v>25.596441007874276</v>
      </c>
      <c r="AA110" s="2">
        <f t="shared" si="9"/>
        <v>17.702890277667155</v>
      </c>
    </row>
    <row r="111" spans="1:27" x14ac:dyDescent="0.25">
      <c r="A111" s="2">
        <v>2035</v>
      </c>
      <c r="B111" s="2">
        <f>B12/'Output-Calculation-sheet'!B11*'Output-Calculation-sheet'!B92</f>
        <v>9977.5910710118296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2222.5642615055449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493.62251363240921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789.33291664675392</v>
      </c>
      <c r="Q111" s="2">
        <f>Q12/'Output-Calculation-sheet'!Q11*'Output-Calculation-sheet'!Q92</f>
        <v>748.601709245861</v>
      </c>
      <c r="R111" s="2">
        <f>R12/'Output-Calculation-sheet'!R11*'Output-Calculation-sheet'!R92</f>
        <v>114.21225958377553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165.35696989806712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77.873386847645165</v>
      </c>
      <c r="AA111" s="2">
        <f t="shared" si="9"/>
        <v>24.366633269805764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9494763079.6842575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2921343674.5194392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2029124923.8533704</v>
      </c>
      <c r="N118" s="2">
        <f>N8/'Output-Calculation-sheet'!N7*'Output-Calculation-sheet'!N97</f>
        <v>1592284510.8738003</v>
      </c>
      <c r="O118" s="2">
        <f>O8/'Output-Calculation-sheet'!O7*'Output-Calculation-sheet'!O97</f>
        <v>1059524412.9637976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576635043.20210123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218701154.2395778</v>
      </c>
      <c r="Y118" s="2">
        <f>Y8/'Output-Calculation-sheet'!Y7*'Output-Calculation-sheet'!Y97</f>
        <v>0</v>
      </c>
      <c r="AA118" s="2">
        <f t="shared" si="10"/>
        <v>19512.059539621896</v>
      </c>
    </row>
    <row r="119" spans="1:27" x14ac:dyDescent="0.25">
      <c r="A119" s="2">
        <v>2032</v>
      </c>
      <c r="B119" s="2">
        <f>B9/'Output-Calculation-sheet'!B8*'Output-Calculation-sheet'!B98</f>
        <v>6809249081.676734</v>
      </c>
      <c r="C119" s="2">
        <f>C9/'Output-Calculation-sheet'!C8*'Output-Calculation-sheet'!C98</f>
        <v>5412128706.5984182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3235382650.5539246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2258309206.3497491</v>
      </c>
      <c r="N119" s="2">
        <f>N9/'Output-Calculation-sheet'!N8*'Output-Calculation-sheet'!N98</f>
        <v>1525094538.8921838</v>
      </c>
      <c r="O119" s="2">
        <f>O9/'Output-Calculation-sheet'!O8*'Output-Calculation-sheet'!O98</f>
        <v>1057429942.6224735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633798523.53793848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241647181.21034262</v>
      </c>
      <c r="Y119" s="2">
        <f>Y9/'Output-Calculation-sheet'!Y8*'Output-Calculation-sheet'!Y98</f>
        <v>0</v>
      </c>
      <c r="AA119" s="2">
        <f t="shared" si="10"/>
        <v>21173.039831441765</v>
      </c>
    </row>
    <row r="120" spans="1:27" x14ac:dyDescent="0.25">
      <c r="A120" s="2">
        <v>2033</v>
      </c>
      <c r="B120" s="2">
        <f>B10/'Output-Calculation-sheet'!B9*'Output-Calculation-sheet'!B99</f>
        <v>6393006487.028059</v>
      </c>
      <c r="C120" s="2">
        <f>C10/'Output-Calculation-sheet'!C9*'Output-Calculation-sheet'!C99</f>
        <v>5255448299.4894514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1723137002.8537343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1219650685.3638492</v>
      </c>
      <c r="N120" s="2">
        <f>N10/'Output-Calculation-sheet'!N9*'Output-Calculation-sheet'!N99</f>
        <v>1215862509.0748382</v>
      </c>
      <c r="O120" s="2">
        <f>O10/'Output-Calculation-sheet'!O9*'Output-Calculation-sheet'!O99</f>
        <v>1028903576.4870375</v>
      </c>
      <c r="P120" s="2">
        <f>P10/'Output-Calculation-sheet'!P9*'Output-Calculation-sheet'!P99</f>
        <v>0</v>
      </c>
      <c r="Q120" s="2">
        <f>Q10/'Output-Calculation-sheet'!Q9*'Output-Calculation-sheet'!Q99</f>
        <v>7530782.3295854684</v>
      </c>
      <c r="R120" s="2">
        <f>R10/'Output-Calculation-sheet'!R9*'Output-Calculation-sheet'!R99</f>
        <v>0</v>
      </c>
      <c r="S120" s="2">
        <f>S10/'Output-Calculation-sheet'!S9*'Output-Calculation-sheet'!S99</f>
        <v>509195284.37166148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121787532.1596172</v>
      </c>
      <c r="Y120" s="2">
        <f>Y10/'Output-Calculation-sheet'!Y9*'Output-Calculation-sheet'!Y99</f>
        <v>0</v>
      </c>
      <c r="AA120" s="2">
        <f t="shared" si="10"/>
        <v>17474.522159157837</v>
      </c>
    </row>
    <row r="121" spans="1:27" x14ac:dyDescent="0.25">
      <c r="A121" s="2">
        <v>2034</v>
      </c>
      <c r="B121" s="2">
        <f>B11/'Output-Calculation-sheet'!B10*'Output-Calculation-sheet'!B100</f>
        <v>5404217902.6357222</v>
      </c>
      <c r="C121" s="2">
        <f>C11/'Output-Calculation-sheet'!C10*'Output-Calculation-sheet'!C100</f>
        <v>649357689.14144742</v>
      </c>
      <c r="D121" s="2">
        <f>D11/'Output-Calculation-sheet'!D10*'Output-Calculation-sheet'!D100</f>
        <v>0</v>
      </c>
      <c r="E121" s="2">
        <f>E11/'Output-Calculation-sheet'!E10*'Output-Calculation-sheet'!E100</f>
        <v>749409918.61331654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1709819503.6180549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623346075.50505233</v>
      </c>
      <c r="M121" s="2">
        <f>M11/'Output-Calculation-sheet'!M10*'Output-Calculation-sheet'!M100</f>
        <v>1216872000.3031077</v>
      </c>
      <c r="N121" s="2">
        <f>N11/'Output-Calculation-sheet'!N10*'Output-Calculation-sheet'!N100</f>
        <v>811261372.36642134</v>
      </c>
      <c r="O121" s="2">
        <f>O11/'Output-Calculation-sheet'!O10*'Output-Calculation-sheet'!O100</f>
        <v>127373646.59004383</v>
      </c>
      <c r="P121" s="2">
        <f>P11/'Output-Calculation-sheet'!P10*'Output-Calculation-sheet'!P100</f>
        <v>0</v>
      </c>
      <c r="Q121" s="2">
        <f>Q11/'Output-Calculation-sheet'!Q10*'Output-Calculation-sheet'!Q100</f>
        <v>250606343.36895406</v>
      </c>
      <c r="R121" s="2">
        <f>R11/'Output-Calculation-sheet'!R10*'Output-Calculation-sheet'!R100</f>
        <v>0</v>
      </c>
      <c r="S121" s="2">
        <f>S11/'Output-Calculation-sheet'!S10*'Output-Calculation-sheet'!S100</f>
        <v>303324621.41691601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119566188.44450274</v>
      </c>
      <c r="Y121" s="2">
        <f>Y11/'Output-Calculation-sheet'!Y10*'Output-Calculation-sheet'!Y100</f>
        <v>8544656.0165874381</v>
      </c>
      <c r="AA121" s="2">
        <f t="shared" si="10"/>
        <v>11973.699918020126</v>
      </c>
    </row>
    <row r="122" spans="1:27" x14ac:dyDescent="0.25">
      <c r="A122" s="2">
        <v>2035</v>
      </c>
      <c r="B122" s="2">
        <f>B12/'Output-Calculation-sheet'!B11*'Output-Calculation-sheet'!B101</f>
        <v>1754324851.6577091</v>
      </c>
      <c r="C122" s="2">
        <f>C12/'Output-Calculation-sheet'!C11*'Output-Calculation-sheet'!C101</f>
        <v>301708776.43038839</v>
      </c>
      <c r="D122" s="2">
        <f>D12/'Output-Calculation-sheet'!D11*'Output-Calculation-sheet'!D101</f>
        <v>0</v>
      </c>
      <c r="E122" s="2">
        <f>E12/'Output-Calculation-sheet'!E11*'Output-Calculation-sheet'!E101</f>
        <v>1753464364.2227082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470556122.0519532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1029191035.3712964</v>
      </c>
      <c r="M122" s="2">
        <f>M12/'Output-Calculation-sheet'!M11*'Output-Calculation-sheet'!M101</f>
        <v>424457378.16325086</v>
      </c>
      <c r="N122" s="2">
        <f>N12/'Output-Calculation-sheet'!N11*'Output-Calculation-sheet'!N101</f>
        <v>355864673.25063246</v>
      </c>
      <c r="O122" s="2">
        <f>O12/'Output-Calculation-sheet'!O11*'Output-Calculation-sheet'!O101</f>
        <v>51422867.531863511</v>
      </c>
      <c r="P122" s="2">
        <f>P12/'Output-Calculation-sheet'!P11*'Output-Calculation-sheet'!P101</f>
        <v>21865988.483647514</v>
      </c>
      <c r="Q122" s="2">
        <f>Q12/'Output-Calculation-sheet'!Q11*'Output-Calculation-sheet'!Q101</f>
        <v>431014351.74646688</v>
      </c>
      <c r="R122" s="2">
        <f>R12/'Output-Calculation-sheet'!R11*'Output-Calculation-sheet'!R101</f>
        <v>0</v>
      </c>
      <c r="S122" s="2">
        <f>S12/'Output-Calculation-sheet'!S11*'Output-Calculation-sheet'!S101</f>
        <v>174242548.21981773</v>
      </c>
      <c r="T122" s="2">
        <f>T12/'Output-Calculation-sheet'!T11*'Output-Calculation-sheet'!T101</f>
        <v>0</v>
      </c>
      <c r="U122" s="2">
        <f>U12/'Output-Calculation-sheet'!U11*'Output-Calculation-sheet'!U101</f>
        <v>64066854.086484894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15054235.369628683</v>
      </c>
      <c r="Y122" s="2">
        <f>Y12/'Output-Calculation-sheet'!Y11*'Output-Calculation-sheet'!Y101</f>
        <v>62204967.205117479</v>
      </c>
      <c r="AA122" s="2">
        <f t="shared" si="10"/>
        <v>6909.439013790965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2642260669.457058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2651427521.2743101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173680.02098853138</v>
      </c>
    </row>
    <row r="130" spans="1:27" x14ac:dyDescent="0.25">
      <c r="A130" s="2">
        <v>2032</v>
      </c>
      <c r="B130" s="2">
        <f>B9/'Output-Calculation-sheet'!B8*'Output-Calculation-sheet'!B107</f>
        <v>61619803645.044304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2241738455.4366617</v>
      </c>
      <c r="O130" s="2">
        <f>O9/'Output-Calculation-sheet'!O8*'Output-Calculation-sheet'!O107</f>
        <v>0</v>
      </c>
      <c r="P130" s="2">
        <f>P9/'Output-Calculation-sheet'!P8*'Output-Calculation-sheet'!P107</f>
        <v>6840364608.5815849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1991018985.8832886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217008.58983720373</v>
      </c>
    </row>
    <row r="131" spans="1:27" x14ac:dyDescent="0.25">
      <c r="A131" s="2">
        <v>2033</v>
      </c>
      <c r="B131" s="2">
        <f>B10/'Output-Calculation-sheet'!B9*'Output-Calculation-sheet'!B108</f>
        <v>47689882952.846733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1747486586.6386776</v>
      </c>
      <c r="O131" s="2">
        <f>O10/'Output-Calculation-sheet'!O9*'Output-Calculation-sheet'!O108</f>
        <v>0</v>
      </c>
      <c r="P131" s="2">
        <f>P10/'Output-Calculation-sheet'!P9*'Output-Calculation-sheet'!P108</f>
        <v>8037180290.5820456</v>
      </c>
      <c r="Q131" s="2">
        <f>Q10/'Output-Calculation-sheet'!Q9*'Output-Calculation-sheet'!Q108</f>
        <v>6779856846.0545292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1694968865.616204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227616.30172870113</v>
      </c>
    </row>
    <row r="132" spans="1:27" x14ac:dyDescent="0.25">
      <c r="A132" s="2">
        <v>2034</v>
      </c>
      <c r="B132" s="2">
        <f>B11/'Output-Calculation-sheet'!B10*'Output-Calculation-sheet'!B109</f>
        <v>31446362517.604496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30355154643.302773</v>
      </c>
      <c r="F132" s="2">
        <f>F11/'Output-Calculation-sheet'!F10*'Output-Calculation-sheet'!F109</f>
        <v>20019945381.745327</v>
      </c>
      <c r="G132" s="2">
        <f>G11/'Output-Calculation-sheet'!G10*'Output-Calculation-sheet'!G109</f>
        <v>14066952583.956783</v>
      </c>
      <c r="H132" s="2">
        <f>H11/'Output-Calculation-sheet'!H10*'Output-Calculation-sheet'!H109</f>
        <v>0</v>
      </c>
      <c r="I132" s="2">
        <f>I11/'Output-Calculation-sheet'!I10*'Output-Calculation-sheet'!I109</f>
        <v>12815203786.850098</v>
      </c>
      <c r="J132" s="2">
        <f>J11/'Output-Calculation-sheet'!J10*'Output-Calculation-sheet'!J109</f>
        <v>12473520215.422663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9287148065.2073288</v>
      </c>
      <c r="M132" s="2">
        <f>M11/'Output-Calculation-sheet'!M10*'Output-Calculation-sheet'!M109</f>
        <v>0</v>
      </c>
      <c r="N132" s="2">
        <f>N11/'Output-Calculation-sheet'!N10*'Output-Calculation-sheet'!N109</f>
        <v>1221103086.9768925</v>
      </c>
      <c r="O132" s="2">
        <f>O11/'Output-Calculation-sheet'!O10*'Output-Calculation-sheet'!O109</f>
        <v>0</v>
      </c>
      <c r="P132" s="2">
        <f>P11/'Output-Calculation-sheet'!P10*'Output-Calculation-sheet'!P109</f>
        <v>6937974856.9071436</v>
      </c>
      <c r="Q132" s="2">
        <f>Q11/'Output-Calculation-sheet'!Q10*'Output-Calculation-sheet'!Q109</f>
        <v>4503734090.5455236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838055485.36616874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2564512731.3705029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826853801.04458725</v>
      </c>
      <c r="AA132" s="2">
        <f t="shared" si="11"/>
        <v>213538.71281626806</v>
      </c>
    </row>
    <row r="133" spans="1:27" x14ac:dyDescent="0.25">
      <c r="A133" s="2">
        <v>2035</v>
      </c>
      <c r="B133" s="2">
        <f>B12/'Output-Calculation-sheet'!B11*'Output-Calculation-sheet'!B110</f>
        <v>420362390.77696931</v>
      </c>
      <c r="C133" s="2">
        <f>C12/'Output-Calculation-sheet'!C11*'Output-Calculation-sheet'!C110</f>
        <v>0</v>
      </c>
      <c r="D133" s="2">
        <f>D12/'Output-Calculation-sheet'!D11*'Output-Calculation-sheet'!D110</f>
        <v>35537971313.424881</v>
      </c>
      <c r="E133" s="2">
        <f>E12/'Output-Calculation-sheet'!E11*'Output-Calculation-sheet'!E110</f>
        <v>13641672242.951292</v>
      </c>
      <c r="F133" s="2">
        <f>F12/'Output-Calculation-sheet'!F11*'Output-Calculation-sheet'!F110</f>
        <v>18609607493.409779</v>
      </c>
      <c r="G133" s="2">
        <f>G12/'Output-Calculation-sheet'!G11*'Output-Calculation-sheet'!G110</f>
        <v>12686119093.231861</v>
      </c>
      <c r="H133" s="2">
        <f>H12/'Output-Calculation-sheet'!H11*'Output-Calculation-sheet'!H110</f>
        <v>0</v>
      </c>
      <c r="I133" s="2">
        <f>I12/'Output-Calculation-sheet'!I11*'Output-Calculation-sheet'!I110</f>
        <v>11852084186.217604</v>
      </c>
      <c r="J133" s="2">
        <f>J12/'Output-Calculation-sheet'!J11*'Output-Calculation-sheet'!J110</f>
        <v>11347060228.06658</v>
      </c>
      <c r="K133" s="2">
        <f>K12/'Output-Calculation-sheet'!K11*'Output-Calculation-sheet'!K110</f>
        <v>11461313490.717022</v>
      </c>
      <c r="L133" s="2">
        <f>L12/'Output-Calculation-sheet'!L11*'Output-Calculation-sheet'!L110</f>
        <v>5410446178.8038063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1974086140.0367794</v>
      </c>
      <c r="Q133" s="2">
        <f>Q12/'Output-Calculation-sheet'!Q11*'Output-Calculation-sheet'!Q110</f>
        <v>1693440270.1461816</v>
      </c>
      <c r="R133" s="2">
        <f>R12/'Output-Calculation-sheet'!R11*'Output-Calculation-sheet'!R110</f>
        <v>6808895866.659544</v>
      </c>
      <c r="S133" s="2">
        <f>S12/'Output-Calculation-sheet'!S11*'Output-Calculation-sheet'!S110</f>
        <v>1752096.2208578333</v>
      </c>
      <c r="T133" s="2">
        <f>T12/'Output-Calculation-sheet'!T11*'Output-Calculation-sheet'!T110</f>
        <v>2748829958.5300612</v>
      </c>
      <c r="U133" s="2">
        <f>U12/'Output-Calculation-sheet'!U11*'Output-Calculation-sheet'!U110</f>
        <v>1290455098.8880165</v>
      </c>
      <c r="V133" s="2">
        <f>V12/'Output-Calculation-sheet'!V11*'Output-Calculation-sheet'!V110</f>
        <v>1854061401.9616249</v>
      </c>
      <c r="W133" s="2">
        <f>W12/'Output-Calculation-sheet'!W11*'Output-Calculation-sheet'!W110</f>
        <v>1599244939.8916368</v>
      </c>
      <c r="X133" s="2">
        <f>X12/'Output-Calculation-sheet'!X11*'Output-Calculation-sheet'!X110</f>
        <v>0</v>
      </c>
      <c r="Y133" s="2">
        <f>Y12/'Output-Calculation-sheet'!Y11*'Output-Calculation-sheet'!Y110</f>
        <v>366101639.3208434</v>
      </c>
      <c r="AA133" s="2">
        <f t="shared" si="11"/>
        <v>139303.5040292553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17185808764.282658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5402785382.7545605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3713794011.3554578</v>
      </c>
      <c r="N140" s="2">
        <f>N8/'Output-Calculation-sheet'!N7*'Output-Calculation-sheet'!N115</f>
        <v>1402104440.3355646</v>
      </c>
      <c r="O140" s="2">
        <f>O8/'Output-Calculation-sheet'!O7*'Output-Calculation-sheet'!O115</f>
        <v>4124510423.571538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403273440.83175719</v>
      </c>
      <c r="Y140" s="2">
        <f>Y8/'Output-Calculation-sheet'!Y7*'Output-Calculation-sheet'!Y115</f>
        <v>0</v>
      </c>
      <c r="AA140" s="2">
        <f t="shared" si="12"/>
        <v>32232.276463131529</v>
      </c>
    </row>
    <row r="141" spans="1:27" x14ac:dyDescent="0.25">
      <c r="A141" s="2">
        <v>2032</v>
      </c>
      <c r="B141" s="2">
        <f>B9/'Output-Calculation-sheet'!B8*'Output-Calculation-sheet'!B116</f>
        <v>7044565408.1062202</v>
      </c>
      <c r="C141" s="2">
        <f>C9/'Output-Calculation-sheet'!C8*'Output-Calculation-sheet'!C116</f>
        <v>30154905298.570179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7861253044.9635763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5397396131.0409603</v>
      </c>
      <c r="N141" s="2">
        <f>N9/'Output-Calculation-sheet'!N8*'Output-Calculation-sheet'!N116</f>
        <v>3747207466.3384824</v>
      </c>
      <c r="O141" s="2">
        <f>O9/'Output-Calculation-sheet'!O8*'Output-Calculation-sheet'!O116</f>
        <v>5853244346.6614552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1678411694.0739894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587487603.31829071</v>
      </c>
      <c r="Y141" s="2">
        <f>Y9/'Output-Calculation-sheet'!Y8*'Output-Calculation-sheet'!Y116</f>
        <v>0</v>
      </c>
      <c r="AA141" s="2">
        <f t="shared" si="12"/>
        <v>62324.470993073155</v>
      </c>
    </row>
    <row r="142" spans="1:27" x14ac:dyDescent="0.25">
      <c r="A142" s="2">
        <v>2033</v>
      </c>
      <c r="B142" s="2">
        <f>B10/'Output-Calculation-sheet'!B9*'Output-Calculation-sheet'!B117</f>
        <v>34600509260.70887</v>
      </c>
      <c r="C142" s="2">
        <f>C10/'Output-Calculation-sheet'!C9*'Output-Calculation-sheet'!C117</f>
        <v>36536708078.259735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11315688363.603579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7775995174.3642111</v>
      </c>
      <c r="N142" s="2">
        <f>N10/'Output-Calculation-sheet'!N9*'Output-Calculation-sheet'!N117</f>
        <v>5865836523.1781664</v>
      </c>
      <c r="O142" s="2">
        <f>O10/'Output-Calculation-sheet'!O9*'Output-Calculation-sheet'!O117</f>
        <v>7091311341.9615488</v>
      </c>
      <c r="P142" s="2">
        <f>P10/'Output-Calculation-sheet'!P9*'Output-Calculation-sheet'!P117</f>
        <v>0</v>
      </c>
      <c r="Q142" s="2">
        <f>Q10/'Output-Calculation-sheet'!Q9*'Output-Calculation-sheet'!Q117</f>
        <v>1120291561.9444089</v>
      </c>
      <c r="R142" s="2">
        <f>R10/'Output-Calculation-sheet'!R9*'Output-Calculation-sheet'!R117</f>
        <v>0</v>
      </c>
      <c r="S142" s="2">
        <f>S10/'Output-Calculation-sheet'!S9*'Output-Calculation-sheet'!S117</f>
        <v>2852238096.6502857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852466694.29222095</v>
      </c>
      <c r="Y142" s="2">
        <f>Y10/'Output-Calculation-sheet'!Y9*'Output-Calculation-sheet'!Y117</f>
        <v>0</v>
      </c>
      <c r="AA142" s="2">
        <f t="shared" si="12"/>
        <v>108011.04509496302</v>
      </c>
    </row>
    <row r="143" spans="1:27" x14ac:dyDescent="0.25">
      <c r="A143" s="2">
        <v>2034</v>
      </c>
      <c r="B143" s="2">
        <f>B11/'Output-Calculation-sheet'!B10*'Output-Calculation-sheet'!B118</f>
        <v>56474522947.191391</v>
      </c>
      <c r="C143" s="2">
        <f>C11/'Output-Calculation-sheet'!C10*'Output-Calculation-sheet'!C118</f>
        <v>43330406598.538765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12011404283.062279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8249565991.0897303</v>
      </c>
      <c r="N143" s="2">
        <f>N11/'Output-Calculation-sheet'!N10*'Output-Calculation-sheet'!N118</f>
        <v>7258956287.6222162</v>
      </c>
      <c r="O143" s="2">
        <f>O11/'Output-Calculation-sheet'!O10*'Output-Calculation-sheet'!O118</f>
        <v>8417894249.0084448</v>
      </c>
      <c r="P143" s="2">
        <f>P11/'Output-Calculation-sheet'!P10*'Output-Calculation-sheet'!P118</f>
        <v>1519825952.4096916</v>
      </c>
      <c r="Q143" s="2">
        <f>Q11/'Output-Calculation-sheet'!Q10*'Output-Calculation-sheet'!Q118</f>
        <v>3567193898.6953063</v>
      </c>
      <c r="R143" s="2">
        <f>R11/'Output-Calculation-sheet'!R10*'Output-Calculation-sheet'!R118</f>
        <v>0</v>
      </c>
      <c r="S143" s="2">
        <f>S11/'Output-Calculation-sheet'!S10*'Output-Calculation-sheet'!S118</f>
        <v>4179699390.854147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905676829.58791316</v>
      </c>
      <c r="Y143" s="2">
        <f>Y11/'Output-Calculation-sheet'!Y10*'Output-Calculation-sheet'!Y118</f>
        <v>161628006.49804658</v>
      </c>
      <c r="AA143" s="2">
        <f t="shared" si="12"/>
        <v>146076.77443455797</v>
      </c>
    </row>
    <row r="144" spans="1:27" x14ac:dyDescent="0.25">
      <c r="A144" s="2">
        <v>2035</v>
      </c>
      <c r="B144" s="2">
        <f>B12/'Output-Calculation-sheet'!B11*'Output-Calculation-sheet'!B119</f>
        <v>86138720645.006073</v>
      </c>
      <c r="C144" s="2">
        <f>C12/'Output-Calculation-sheet'!C11*'Output-Calculation-sheet'!C119</f>
        <v>41382955923.790901</v>
      </c>
      <c r="D144" s="2">
        <f>D12/'Output-Calculation-sheet'!D11*'Output-Calculation-sheet'!D119</f>
        <v>0</v>
      </c>
      <c r="E144" s="2">
        <f>E12/'Output-Calculation-sheet'!E11*'Output-Calculation-sheet'!E119</f>
        <v>13930057171.999369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12502514440.814646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2870283039.8857007</v>
      </c>
      <c r="M144" s="2">
        <f>M12/'Output-Calculation-sheet'!M11*'Output-Calculation-sheet'!M119</f>
        <v>8520849327.2345047</v>
      </c>
      <c r="N144" s="2">
        <f>N12/'Output-Calculation-sheet'!N11*'Output-Calculation-sheet'!N119</f>
        <v>8418640770.2400398</v>
      </c>
      <c r="O144" s="2">
        <f>O12/'Output-Calculation-sheet'!O11*'Output-Calculation-sheet'!O119</f>
        <v>8044895450.2931414</v>
      </c>
      <c r="P144" s="2">
        <f>P12/'Output-Calculation-sheet'!P11*'Output-Calculation-sheet'!P119</f>
        <v>6009306621.9100904</v>
      </c>
      <c r="Q144" s="2">
        <f>Q12/'Output-Calculation-sheet'!Q11*'Output-Calculation-sheet'!Q119</f>
        <v>5676999748.2311087</v>
      </c>
      <c r="R144" s="2">
        <f>R12/'Output-Calculation-sheet'!R11*'Output-Calculation-sheet'!R119</f>
        <v>639088863.78775656</v>
      </c>
      <c r="S144" s="2">
        <f>S12/'Output-Calculation-sheet'!S11*'Output-Calculation-sheet'!S119</f>
        <v>4851809577.1335421</v>
      </c>
      <c r="T144" s="2">
        <f>T12/'Output-Calculation-sheet'!T11*'Output-Calculation-sheet'!T119</f>
        <v>0</v>
      </c>
      <c r="U144" s="2">
        <f>U12/'Output-Calculation-sheet'!U11*'Output-Calculation-sheet'!U119</f>
        <v>1055451825.3178606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956254859.80119872</v>
      </c>
      <c r="Y144" s="2">
        <f>Y12/'Output-Calculation-sheet'!Y11*'Output-Calculation-sheet'!Y119</f>
        <v>511747214.2052834</v>
      </c>
      <c r="AA144" s="2">
        <f t="shared" si="12"/>
        <v>201509.57547965125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373019196.26840252</v>
      </c>
      <c r="C155" s="2">
        <f>C12/'Output-Calculation-sheet'!C11*'Output-Calculation-sheet'!C128</f>
        <v>35636613.232623547</v>
      </c>
      <c r="D155" s="2">
        <f>D12/'Output-Calculation-sheet'!D11*'Output-Calculation-sheet'!D128</f>
        <v>2669591527.6558022</v>
      </c>
      <c r="E155" s="2">
        <f>E12/'Output-Calculation-sheet'!E11*'Output-Calculation-sheet'!E128</f>
        <v>398004107.58320439</v>
      </c>
      <c r="F155" s="2">
        <f>F12/'Output-Calculation-sheet'!F11*'Output-Calculation-sheet'!F128</f>
        <v>824498504.78081739</v>
      </c>
      <c r="G155" s="2">
        <f>G12/'Output-Calculation-sheet'!G11*'Output-Calculation-sheet'!G128</f>
        <v>1037325463.1681141</v>
      </c>
      <c r="H155" s="2">
        <f>H12/'Output-Calculation-sheet'!H11*'Output-Calculation-sheet'!H128</f>
        <v>78611099.47467573</v>
      </c>
      <c r="I155" s="2">
        <f>I12/'Output-Calculation-sheet'!I11*'Output-Calculation-sheet'!I128</f>
        <v>623688919.17250228</v>
      </c>
      <c r="J155" s="2">
        <f>J12/'Output-Calculation-sheet'!J11*'Output-Calculation-sheet'!J128</f>
        <v>701773506.68871534</v>
      </c>
      <c r="K155" s="2">
        <f>K12/'Output-Calculation-sheet'!K11*'Output-Calculation-sheet'!K128</f>
        <v>526063973.1916694</v>
      </c>
      <c r="L155" s="2">
        <f>L12/'Output-Calculation-sheet'!L11*'Output-Calculation-sheet'!L128</f>
        <v>166926283.17495048</v>
      </c>
      <c r="M155" s="2">
        <f>M12/'Output-Calculation-sheet'!M11*'Output-Calculation-sheet'!M128</f>
        <v>62496376.183319099</v>
      </c>
      <c r="N155" s="2">
        <f>N12/'Output-Calculation-sheet'!N11*'Output-Calculation-sheet'!N128</f>
        <v>57121364.062138677</v>
      </c>
      <c r="O155" s="2">
        <f>O12/'Output-Calculation-sheet'!O11*'Output-Calculation-sheet'!O128</f>
        <v>10090883.960232049</v>
      </c>
      <c r="P155" s="2">
        <f>P12/'Output-Calculation-sheet'!P11*'Output-Calculation-sheet'!P128</f>
        <v>42530188.031286389</v>
      </c>
      <c r="Q155" s="2">
        <f>Q12/'Output-Calculation-sheet'!Q11*'Output-Calculation-sheet'!Q128</f>
        <v>143877060.53546432</v>
      </c>
      <c r="R155" s="2">
        <f>R12/'Output-Calculation-sheet'!R11*'Output-Calculation-sheet'!R128</f>
        <v>291353175.12025869</v>
      </c>
      <c r="S155" s="2">
        <f>S12/'Output-Calculation-sheet'!S11*'Output-Calculation-sheet'!S128</f>
        <v>35026230.674509101</v>
      </c>
      <c r="T155" s="2">
        <f>T12/'Output-Calculation-sheet'!T11*'Output-Calculation-sheet'!T128</f>
        <v>90959069.778537959</v>
      </c>
      <c r="U155" s="2">
        <f>U12/'Output-Calculation-sheet'!U11*'Output-Calculation-sheet'!U128</f>
        <v>50065938.665111311</v>
      </c>
      <c r="V155" s="2">
        <f>V12/'Output-Calculation-sheet'!V11*'Output-Calculation-sheet'!V128</f>
        <v>37297102.82765381</v>
      </c>
      <c r="W155" s="2">
        <f>W12/'Output-Calculation-sheet'!W11*'Output-Calculation-sheet'!W128</f>
        <v>60286043.9889777</v>
      </c>
      <c r="X155" s="2">
        <f>X12/'Output-Calculation-sheet'!X11*'Output-Calculation-sheet'!X128</f>
        <v>1882864.5803998727</v>
      </c>
      <c r="Y155" s="2">
        <f>Y12/'Output-Calculation-sheet'!Y11*'Output-Calculation-sheet'!Y128</f>
        <v>12628047.706677889</v>
      </c>
      <c r="AA155" s="2">
        <f t="shared" si="13"/>
        <v>8330.7535405060426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6038.1744506921323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1829.0356484293679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1270.520779341025</v>
      </c>
      <c r="N19" s="2">
        <f>N8/'Output-Calculation-sheet'!N7*'Output-Calculation-sheet'!N25</f>
        <v>1056.9231499219284</v>
      </c>
      <c r="O19" s="2">
        <f>O8/'Output-Calculation-sheet'!O7*'Output-Calculation-sheet'!O25</f>
        <v>663.33352063950485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137.50569068081137</v>
      </c>
      <c r="Y19" s="2">
        <f>Y8/'Output-Calculation-sheet'!Y7*'Output-Calculation-sheet'!Y25</f>
        <v>0</v>
      </c>
      <c r="AA19" s="2">
        <f t="shared" si="0"/>
        <v>12.767651760095136</v>
      </c>
    </row>
    <row r="20" spans="1:27" x14ac:dyDescent="0.25">
      <c r="A20" s="2">
        <v>2032</v>
      </c>
      <c r="B20" s="2">
        <f>B9/'Output-Calculation-sheet'!B8*'Output-Calculation-sheet'!B26</f>
        <v>6507.3378098620306</v>
      </c>
      <c r="C20" s="2">
        <f>C9/'Output-Calculation-sheet'!C8*'Output-Calculation-sheet'!C26</f>
        <v>3568.4651871213596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2142.1672717485681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1496.9612735160019</v>
      </c>
      <c r="N20" s="2">
        <f>N9/'Output-Calculation-sheet'!N8*'Output-Calculation-sheet'!N26</f>
        <v>1037.4349545170367</v>
      </c>
      <c r="O20" s="2">
        <f>O9/'Output-Calculation-sheet'!O8*'Output-Calculation-sheet'!O26</f>
        <v>697.21196638619926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492.11060210236775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162.89124957388282</v>
      </c>
      <c r="Y20" s="2">
        <f>Y9/'Output-Calculation-sheet'!Y8*'Output-Calculation-sheet'!Y26</f>
        <v>0</v>
      </c>
      <c r="AA20" s="2">
        <f t="shared" si="0"/>
        <v>16.104580314827448</v>
      </c>
    </row>
    <row r="21" spans="1:27" x14ac:dyDescent="0.25">
      <c r="A21" s="2">
        <v>2033</v>
      </c>
      <c r="B21" s="2">
        <f>B10/'Output-Calculation-sheet'!B9*'Output-Calculation-sheet'!B27</f>
        <v>6159.5781656747904</v>
      </c>
      <c r="C21" s="2">
        <f>C10/'Output-Calculation-sheet'!C9*'Output-Calculation-sheet'!C27</f>
        <v>3785.9374152538758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1241.3210163095678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878.61725540534349</v>
      </c>
      <c r="N21" s="2">
        <f>N10/'Output-Calculation-sheet'!N9*'Output-Calculation-sheet'!N27</f>
        <v>889.77331512691535</v>
      </c>
      <c r="O21" s="2">
        <f>O10/'Output-Calculation-sheet'!O9*'Output-Calculation-sheet'!O27</f>
        <v>741.20537814937552</v>
      </c>
      <c r="P21" s="2">
        <f>P10/'Output-Calculation-sheet'!P9*'Output-Calculation-sheet'!P27</f>
        <v>0</v>
      </c>
      <c r="Q21" s="2">
        <f>Q10/'Output-Calculation-sheet'!Q9*'Output-Calculation-sheet'!Q27</f>
        <v>10.504832386682615</v>
      </c>
      <c r="R21" s="2">
        <f>R10/'Output-Calculation-sheet'!R9*'Output-Calculation-sheet'!R27</f>
        <v>0</v>
      </c>
      <c r="S21" s="2">
        <f>S10/'Output-Calculation-sheet'!S9*'Output-Calculation-sheet'!S27</f>
        <v>423.6771093622238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87.733709008243295</v>
      </c>
      <c r="Y21" s="2">
        <f>Y10/'Output-Calculation-sheet'!Y9*'Output-Calculation-sheet'!Y27</f>
        <v>0</v>
      </c>
      <c r="AA21" s="2">
        <f t="shared" si="0"/>
        <v>14.21834819667702</v>
      </c>
    </row>
    <row r="22" spans="1:27" x14ac:dyDescent="0.25">
      <c r="A22" s="2">
        <v>2034</v>
      </c>
      <c r="B22" s="2">
        <f>B11/'Output-Calculation-sheet'!B10*'Output-Calculation-sheet'!B28</f>
        <v>5297.3547107613213</v>
      </c>
      <c r="C22" s="2">
        <f>C11/'Output-Calculation-sheet'!C10*'Output-Calculation-sheet'!C28</f>
        <v>534.74699202685019</v>
      </c>
      <c r="D22" s="2">
        <f>D11/'Output-Calculation-sheet'!D10*'Output-Calculation-sheet'!D28</f>
        <v>0</v>
      </c>
      <c r="E22" s="2">
        <f>E11/'Output-Calculation-sheet'!E10*'Output-Calculation-sheet'!E28</f>
        <v>1775.6489657116822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1408.0307256538044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1076.8992937635639</v>
      </c>
      <c r="M22" s="2">
        <f>M11/'Output-Calculation-sheet'!M10*'Output-Calculation-sheet'!M28</f>
        <v>1002.0901004817061</v>
      </c>
      <c r="N22" s="2">
        <f>N11/'Output-Calculation-sheet'!N10*'Output-Calculation-sheet'!N28</f>
        <v>669.90294927816626</v>
      </c>
      <c r="O22" s="2">
        <f>O11/'Output-Calculation-sheet'!O10*'Output-Calculation-sheet'!O28</f>
        <v>104.89186700226799</v>
      </c>
      <c r="P22" s="2">
        <f>P11/'Output-Calculation-sheet'!P10*'Output-Calculation-sheet'!P28</f>
        <v>0</v>
      </c>
      <c r="Q22" s="2">
        <f>Q11/'Output-Calculation-sheet'!Q10*'Output-Calculation-sheet'!Q28</f>
        <v>317.57490978650696</v>
      </c>
      <c r="R22" s="2">
        <f>R11/'Output-Calculation-sheet'!R10*'Output-Calculation-sheet'!R28</f>
        <v>0</v>
      </c>
      <c r="S22" s="2">
        <f>S11/'Output-Calculation-sheet'!S10*'Output-Calculation-sheet'!S28</f>
        <v>250.83291696789215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98.462329481045387</v>
      </c>
      <c r="Y22" s="2">
        <f>Y11/'Output-Calculation-sheet'!Y10*'Output-Calculation-sheet'!Y28</f>
        <v>18.727827756064084</v>
      </c>
      <c r="AA22" s="2">
        <f t="shared" si="0"/>
        <v>12.555163588670872</v>
      </c>
    </row>
    <row r="23" spans="1:27" x14ac:dyDescent="0.25">
      <c r="A23" s="2">
        <v>2035</v>
      </c>
      <c r="B23" s="2">
        <f>B12/'Output-Calculation-sheet'!B11*'Output-Calculation-sheet'!B29</f>
        <v>1743.1286618198085</v>
      </c>
      <c r="C23" s="2">
        <f>C12/'Output-Calculation-sheet'!C11*'Output-Calculation-sheet'!C29</f>
        <v>299.78436028125003</v>
      </c>
      <c r="D23" s="2">
        <f>D12/'Output-Calculation-sheet'!D11*'Output-Calculation-sheet'!D29</f>
        <v>0</v>
      </c>
      <c r="E23" s="2">
        <f>E12/'Output-Calculation-sheet'!E11*'Output-Calculation-sheet'!E29</f>
        <v>2440.7705375848923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467.55524244570245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1477.101857033186</v>
      </c>
      <c r="M23" s="2">
        <f>M12/'Output-Calculation-sheet'!M11*'Output-Calculation-sheet'!M29</f>
        <v>421.75053593047289</v>
      </c>
      <c r="N23" s="2">
        <f>N12/'Output-Calculation-sheet'!N11*'Output-Calculation-sheet'!N29</f>
        <v>353.59545831158272</v>
      </c>
      <c r="O23" s="2">
        <f>O12/'Output-Calculation-sheet'!O11*'Output-Calculation-sheet'!O29</f>
        <v>51.094800588200322</v>
      </c>
      <c r="P23" s="2">
        <f>P12/'Output-Calculation-sheet'!P11*'Output-Calculation-sheet'!P29</f>
        <v>22.642537054331598</v>
      </c>
      <c r="Q23" s="2">
        <f>Q12/'Output-Calculation-sheet'!Q11*'Output-Calculation-sheet'!Q29</f>
        <v>455.88160460927065</v>
      </c>
      <c r="R23" s="2">
        <f>R12/'Output-Calculation-sheet'!R11*'Output-Calculation-sheet'!R29</f>
        <v>0</v>
      </c>
      <c r="S23" s="2">
        <f>S12/'Output-Calculation-sheet'!S11*'Output-Calculation-sheet'!S29</f>
        <v>173.13145003582338</v>
      </c>
      <c r="T23" s="2">
        <f>T12/'Output-Calculation-sheet'!T11*'Output-Calculation-sheet'!T29</f>
        <v>0</v>
      </c>
      <c r="U23" s="2">
        <f>U12/'Output-Calculation-sheet'!U11*'Output-Calculation-sheet'!U29</f>
        <v>124.13074721813464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14.958260553357093</v>
      </c>
      <c r="Y23" s="2">
        <f>Y12/'Output-Calculation-sheet'!Y11*'Output-Calculation-sheet'!Y29</f>
        <v>80.163181191962394</v>
      </c>
      <c r="AA23" s="2">
        <f t="shared" si="0"/>
        <v>8.1256892346579761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1204.8700337606238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47.239886367191147</v>
      </c>
    </row>
    <row r="31" spans="1:27" x14ac:dyDescent="0.25">
      <c r="A31" s="2">
        <v>2032</v>
      </c>
      <c r="B31" s="2">
        <f>B9/'Output-Calculation-sheet'!B8*'Output-Calculation-sheet'!B17</f>
        <v>27359.542757398802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1069.7869565569281</v>
      </c>
      <c r="O31" s="2">
        <f>O9/'Output-Calculation-sheet'!O8*'Output-Calculation-sheet'!O17</f>
        <v>0</v>
      </c>
      <c r="P31" s="2">
        <f>P9/'Output-Calculation-sheet'!P8*'Output-Calculation-sheet'!P17</f>
        <v>2674.47458736626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885.42819243269059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62.684674787308232</v>
      </c>
    </row>
    <row r="32" spans="1:27" x14ac:dyDescent="0.25">
      <c r="A32" s="2">
        <v>2033</v>
      </c>
      <c r="B32" s="2">
        <f>B10/'Output-Calculation-sheet'!B9*'Output-Calculation-sheet'!B18</f>
        <v>22280.822720632597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3488.3721939132702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901.82056449273466</v>
      </c>
      <c r="O32" s="2">
        <f>O10/'Output-Calculation-sheet'!O9*'Output-Calculation-sheet'!O18</f>
        <v>0</v>
      </c>
      <c r="P32" s="2">
        <f>P10/'Output-Calculation-sheet'!P9*'Output-Calculation-sheet'!P18</f>
        <v>3590.2321478409144</v>
      </c>
      <c r="Q32" s="2">
        <f>Q10/'Output-Calculation-sheet'!Q9*'Output-Calculation-sheet'!Q18</f>
        <v>3324.0585764821462</v>
      </c>
      <c r="R32" s="2">
        <f>R10/'Output-Calculation-sheet'!R9*'Output-Calculation-sheet'!R18</f>
        <v>2578.0517084184776</v>
      </c>
      <c r="S32" s="2">
        <f>S10/'Output-Calculation-sheet'!S9*'Output-Calculation-sheet'!S18</f>
        <v>820.3901524438578</v>
      </c>
      <c r="T32" s="2">
        <f>T10/'Output-Calculation-sheet'!T9*'Output-Calculation-sheet'!T18</f>
        <v>752.71306007946771</v>
      </c>
      <c r="U32" s="2">
        <f>U10/'Output-Calculation-sheet'!U9*'Output-Calculation-sheet'!U18</f>
        <v>832.11662597637724</v>
      </c>
      <c r="V32" s="2">
        <f>V10/'Output-Calculation-sheet'!V9*'Output-Calculation-sheet'!V18</f>
        <v>614.21430427572272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355.58171261400304</v>
      </c>
      <c r="AA32" s="2">
        <f t="shared" si="1"/>
        <v>70.832797125694611</v>
      </c>
    </row>
    <row r="33" spans="1:27" x14ac:dyDescent="0.25">
      <c r="A33" s="2">
        <v>2034</v>
      </c>
      <c r="B33" s="2">
        <f>B11/'Output-Calculation-sheet'!B10*'Output-Calculation-sheet'!B19</f>
        <v>16027.961756005883</v>
      </c>
      <c r="C33" s="2">
        <f>C11/'Output-Calculation-sheet'!C10*'Output-Calculation-sheet'!C19</f>
        <v>0</v>
      </c>
      <c r="D33" s="2">
        <f>D11/'Output-Calculation-sheet'!D10*'Output-Calculation-sheet'!D19</f>
        <v>10658.294409297887</v>
      </c>
      <c r="E33" s="2">
        <f>E11/'Output-Calculation-sheet'!E10*'Output-Calculation-sheet'!E19</f>
        <v>13212.094912907614</v>
      </c>
      <c r="F33" s="2">
        <f>F11/'Output-Calculation-sheet'!F10*'Output-Calculation-sheet'!F19</f>
        <v>6049.5892756347612</v>
      </c>
      <c r="G33" s="2">
        <f>G11/'Output-Calculation-sheet'!G10*'Output-Calculation-sheet'!G19</f>
        <v>3627.7097609305224</v>
      </c>
      <c r="H33" s="2">
        <f>H11/'Output-Calculation-sheet'!H10*'Output-Calculation-sheet'!H19</f>
        <v>0</v>
      </c>
      <c r="I33" s="2">
        <f>I11/'Output-Calculation-sheet'!I10*'Output-Calculation-sheet'!I19</f>
        <v>3958.855675363217</v>
      </c>
      <c r="J33" s="2">
        <f>J11/'Output-Calculation-sheet'!J10*'Output-Calculation-sheet'!J19</f>
        <v>3347.0879383338561</v>
      </c>
      <c r="K33" s="2">
        <f>K11/'Output-Calculation-sheet'!K10*'Output-Calculation-sheet'!K19</f>
        <v>4643.1308796051508</v>
      </c>
      <c r="L33" s="2">
        <f>L11/'Output-Calculation-sheet'!L10*'Output-Calculation-sheet'!L19</f>
        <v>3776.2703772297668</v>
      </c>
      <c r="M33" s="2">
        <f>M11/'Output-Calculation-sheet'!M10*'Output-Calculation-sheet'!M19</f>
        <v>0</v>
      </c>
      <c r="N33" s="2">
        <f>N11/'Output-Calculation-sheet'!N10*'Output-Calculation-sheet'!N19</f>
        <v>716.811964500302</v>
      </c>
      <c r="O33" s="2">
        <f>O11/'Output-Calculation-sheet'!O10*'Output-Calculation-sheet'!O19</f>
        <v>0</v>
      </c>
      <c r="P33" s="2">
        <f>P11/'Output-Calculation-sheet'!P10*'Output-Calculation-sheet'!P19</f>
        <v>3548.3360193606322</v>
      </c>
      <c r="Q33" s="2">
        <f>Q11/'Output-Calculation-sheet'!Q10*'Output-Calculation-sheet'!Q19</f>
        <v>2293.7884743417244</v>
      </c>
      <c r="R33" s="2">
        <f>R11/'Output-Calculation-sheet'!R10*'Output-Calculation-sheet'!R19</f>
        <v>3354.9973903321879</v>
      </c>
      <c r="S33" s="2">
        <f>S11/'Output-Calculation-sheet'!S10*'Output-Calculation-sheet'!S19</f>
        <v>455.67668882721478</v>
      </c>
      <c r="T33" s="2">
        <f>T11/'Output-Calculation-sheet'!T10*'Output-Calculation-sheet'!T19</f>
        <v>984.0028041208318</v>
      </c>
      <c r="U33" s="2">
        <f>U11/'Output-Calculation-sheet'!U10*'Output-Calculation-sheet'!U19</f>
        <v>1131.8969282497371</v>
      </c>
      <c r="V33" s="2">
        <f>V11/'Output-Calculation-sheet'!V10*'Output-Calculation-sheet'!V19</f>
        <v>771.86774808080906</v>
      </c>
      <c r="W33" s="2">
        <f>W11/'Output-Calculation-sheet'!W10*'Output-Calculation-sheet'!W19</f>
        <v>480.53824642777624</v>
      </c>
      <c r="X33" s="2">
        <f>X11/'Output-Calculation-sheet'!X10*'Output-Calculation-sheet'!X19</f>
        <v>0</v>
      </c>
      <c r="Y33" s="2">
        <f>Y11/'Output-Calculation-sheet'!Y10*'Output-Calculation-sheet'!Y19</f>
        <v>366.91306233254414</v>
      </c>
      <c r="AA33" s="2">
        <f t="shared" si="1"/>
        <v>79.405824311882412</v>
      </c>
    </row>
    <row r="34" spans="1:27" x14ac:dyDescent="0.25">
      <c r="A34" s="2">
        <v>2035</v>
      </c>
      <c r="B34" s="2">
        <f>B12/'Output-Calculation-sheet'!B11*'Output-Calculation-sheet'!B20</f>
        <v>248.48525293940932</v>
      </c>
      <c r="C34" s="2">
        <f>C12/'Output-Calculation-sheet'!C11*'Output-Calculation-sheet'!C20</f>
        <v>0</v>
      </c>
      <c r="D34" s="2">
        <f>D12/'Output-Calculation-sheet'!D11*'Output-Calculation-sheet'!D20</f>
        <v>12311.29887774009</v>
      </c>
      <c r="E34" s="2">
        <f>E12/'Output-Calculation-sheet'!E11*'Output-Calculation-sheet'!E20</f>
        <v>4961.3318322621462</v>
      </c>
      <c r="F34" s="2">
        <f>F12/'Output-Calculation-sheet'!F11*'Output-Calculation-sheet'!F20</f>
        <v>8133.4653332303142</v>
      </c>
      <c r="G34" s="2">
        <f>G12/'Output-Calculation-sheet'!G11*'Output-Calculation-sheet'!G20</f>
        <v>4069.6965348088906</v>
      </c>
      <c r="H34" s="2">
        <f>H12/'Output-Calculation-sheet'!H11*'Output-Calculation-sheet'!H20</f>
        <v>0</v>
      </c>
      <c r="I34" s="2">
        <f>I12/'Output-Calculation-sheet'!I11*'Output-Calculation-sheet'!I20</f>
        <v>4933.3817890277433</v>
      </c>
      <c r="J34" s="2">
        <f>J12/'Output-Calculation-sheet'!J11*'Output-Calculation-sheet'!J20</f>
        <v>4134.1066207556432</v>
      </c>
      <c r="K34" s="2">
        <f>K12/'Output-Calculation-sheet'!K11*'Output-Calculation-sheet'!K20</f>
        <v>5832.6243631159477</v>
      </c>
      <c r="L34" s="2">
        <f>L12/'Output-Calculation-sheet'!L11*'Output-Calculation-sheet'!L20</f>
        <v>2228.0455517518467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939.54854734001674</v>
      </c>
      <c r="Q34" s="2">
        <f>Q12/'Output-Calculation-sheet'!Q11*'Output-Calculation-sheet'!Q20</f>
        <v>913.30718830182684</v>
      </c>
      <c r="R34" s="2">
        <f>R12/'Output-Calculation-sheet'!R11*'Output-Calculation-sheet'!R20</f>
        <v>3678.6904911810693</v>
      </c>
      <c r="S34" s="2">
        <f>S12/'Output-Calculation-sheet'!S11*'Output-Calculation-sheet'!S20</f>
        <v>1.1495018814223454</v>
      </c>
      <c r="T34" s="2">
        <f>T12/'Output-Calculation-sheet'!T11*'Output-Calculation-sheet'!T20</f>
        <v>1209.0879834518519</v>
      </c>
      <c r="U34" s="2">
        <f>U12/'Output-Calculation-sheet'!U11*'Output-Calculation-sheet'!U20</f>
        <v>509.07829087076249</v>
      </c>
      <c r="V34" s="2">
        <f>V12/'Output-Calculation-sheet'!V11*'Output-Calculation-sheet'!V20</f>
        <v>1092.9316413326103</v>
      </c>
      <c r="W34" s="2">
        <f>W12/'Output-Calculation-sheet'!W11*'Output-Calculation-sheet'!W20</f>
        <v>647.27271808328646</v>
      </c>
      <c r="X34" s="2">
        <f>X12/'Output-Calculation-sheet'!X11*'Output-Calculation-sheet'!X20</f>
        <v>0</v>
      </c>
      <c r="Y34" s="2">
        <f>Y12/'Output-Calculation-sheet'!Y11*'Output-Calculation-sheet'!Y20</f>
        <v>137.65478595422522</v>
      </c>
      <c r="AA34" s="2">
        <f t="shared" si="1"/>
        <v>55.981157304029104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0.10648108057979647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1.4544707410795077E-2</v>
      </c>
      <c r="Q45" s="2">
        <f>Q12/'Output-Calculation-sheet'!Q11*'Output-Calculation-sheet'!Q38*0.0114</f>
        <v>1.3794170493303868E-2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1.3203509373612725E-2</v>
      </c>
      <c r="V45" s="2">
        <f>V12/'Output-Calculation-sheet'!V11*'Output-Calculation-sheet'!V38*0.0114</f>
        <v>6.7873727812017854E-3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5.0875156745516913E-3</v>
      </c>
      <c r="AA45" s="2">
        <f t="shared" si="2"/>
        <v>1.2050467108020166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0.17444330140562822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228.56977409095182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0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21.327248004043057</v>
      </c>
      <c r="AA54" s="2">
        <f t="shared" si="3"/>
        <v>5.6303092926251503</v>
      </c>
    </row>
    <row r="55" spans="1:27" x14ac:dyDescent="0.25">
      <c r="A55" s="2">
        <v>2034</v>
      </c>
      <c r="B55" s="2">
        <f>B11/'Output-Calculation-sheet'!B10*'Output-Calculation-sheet'!B46</f>
        <v>2094.169258094114</v>
      </c>
      <c r="C55" s="2">
        <f>C11/'Output-Calculation-sheet'!C10*'Output-Calculation-sheet'!C46</f>
        <v>0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713.92049981867217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529.14296262490609</v>
      </c>
      <c r="N55" s="2">
        <f>N11/'Output-Calculation-sheet'!N10*'Output-Calculation-sheet'!N46</f>
        <v>180.71110113512111</v>
      </c>
      <c r="O55" s="2">
        <f>O11/'Output-Calculation-sheet'!O10*'Output-Calculation-sheet'!O46</f>
        <v>0</v>
      </c>
      <c r="P55" s="2">
        <f>P11/'Output-Calculation-sheet'!P10*'Output-Calculation-sheet'!P46</f>
        <v>3930.2240654447323</v>
      </c>
      <c r="Q55" s="2">
        <f>Q11/'Output-Calculation-sheet'!Q10*'Output-Calculation-sheet'!Q46</f>
        <v>759.01993996683768</v>
      </c>
      <c r="R55" s="2">
        <f>R11/'Output-Calculation-sheet'!R10*'Output-Calculation-sheet'!R46</f>
        <v>4867.4533398707226</v>
      </c>
      <c r="S55" s="2">
        <f>S11/'Output-Calculation-sheet'!S10*'Output-Calculation-sheet'!S46</f>
        <v>0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1849.4613073038586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50.50337240671314</v>
      </c>
      <c r="Y55" s="2">
        <f>Y11/'Output-Calculation-sheet'!Y10*'Output-Calculation-sheet'!Y46</f>
        <v>262.25704733815019</v>
      </c>
      <c r="AA55" s="2">
        <f t="shared" si="3"/>
        <v>52.402730527887712</v>
      </c>
    </row>
    <row r="56" spans="1:27" x14ac:dyDescent="0.25">
      <c r="A56" s="2">
        <v>2035</v>
      </c>
      <c r="B56" s="2">
        <f>B12/'Output-Calculation-sheet'!B11*'Output-Calculation-sheet'!B47</f>
        <v>684.87891742777913</v>
      </c>
      <c r="C56" s="2">
        <f>C12/'Output-Calculation-sheet'!C11*'Output-Calculation-sheet'!C47</f>
        <v>517.44147160737998</v>
      </c>
      <c r="D56" s="2">
        <f>D12/'Output-Calculation-sheet'!D11*'Output-Calculation-sheet'!D47</f>
        <v>24446.068930797213</v>
      </c>
      <c r="E56" s="2">
        <f>E12/'Output-Calculation-sheet'!E11*'Output-Calculation-sheet'!E47</f>
        <v>11217.875243538207</v>
      </c>
      <c r="F56" s="2">
        <f>F12/'Output-Calculation-sheet'!F11*'Output-Calculation-sheet'!F47</f>
        <v>5751.1332742275599</v>
      </c>
      <c r="G56" s="2">
        <f>G12/'Output-Calculation-sheet'!G11*'Output-Calculation-sheet'!G47</f>
        <v>9235.2297000007511</v>
      </c>
      <c r="H56" s="2">
        <f>H12/'Output-Calculation-sheet'!H11*'Output-Calculation-sheet'!H47</f>
        <v>200.12672143537364</v>
      </c>
      <c r="I56" s="2">
        <f>I12/'Output-Calculation-sheet'!I11*'Output-Calculation-sheet'!I47</f>
        <v>8412.6962462445845</v>
      </c>
      <c r="J56" s="2">
        <f>J12/'Output-Calculation-sheet'!J11*'Output-Calculation-sheet'!J47</f>
        <v>7258.0858444610594</v>
      </c>
      <c r="K56" s="2">
        <f>K12/'Output-Calculation-sheet'!K11*'Output-Calculation-sheet'!K47</f>
        <v>9788.9557953630556</v>
      </c>
      <c r="L56" s="2">
        <f>L12/'Output-Calculation-sheet'!L11*'Output-Calculation-sheet'!L47</f>
        <v>4363.8065959333271</v>
      </c>
      <c r="M56" s="2">
        <f>M12/'Output-Calculation-sheet'!M11*'Output-Calculation-sheet'!M47</f>
        <v>185.48244078743534</v>
      </c>
      <c r="N56" s="2">
        <f>N12/'Output-Calculation-sheet'!N11*'Output-Calculation-sheet'!N47</f>
        <v>125.67593515817893</v>
      </c>
      <c r="O56" s="2">
        <f>O12/'Output-Calculation-sheet'!O11*'Output-Calculation-sheet'!O47</f>
        <v>94.080624601186088</v>
      </c>
      <c r="P56" s="2">
        <f>P12/'Output-Calculation-sheet'!P11*'Output-Calculation-sheet'!P47</f>
        <v>982.40567599229905</v>
      </c>
      <c r="Q56" s="2">
        <f>Q12/'Output-Calculation-sheet'!Q11*'Output-Calculation-sheet'!Q47</f>
        <v>935.34156064244655</v>
      </c>
      <c r="R56" s="2">
        <f>R12/'Output-Calculation-sheet'!R11*'Output-Calculation-sheet'!R47</f>
        <v>6900.9578011758977</v>
      </c>
      <c r="S56" s="2">
        <f>S12/'Output-Calculation-sheet'!S11*'Output-Calculation-sheet'!S47</f>
        <v>65.708440880202943</v>
      </c>
      <c r="T56" s="2">
        <f>T12/'Output-Calculation-sheet'!T11*'Output-Calculation-sheet'!T47</f>
        <v>3021.4502924767526</v>
      </c>
      <c r="U56" s="2">
        <f>U12/'Output-Calculation-sheet'!U11*'Output-Calculation-sheet'!U47</f>
        <v>1215.3405704132413</v>
      </c>
      <c r="V56" s="2">
        <f>V12/'Output-Calculation-sheet'!V11*'Output-Calculation-sheet'!V47</f>
        <v>1639.9840636684489</v>
      </c>
      <c r="W56" s="2">
        <f>W12/'Output-Calculation-sheet'!W11*'Output-Calculation-sheet'!W47</f>
        <v>878.2589451491956</v>
      </c>
      <c r="X56" s="2">
        <f>X12/'Output-Calculation-sheet'!X11*'Output-Calculation-sheet'!X47</f>
        <v>14.181806639826586</v>
      </c>
      <c r="Y56" s="2">
        <f>Y12/'Output-Calculation-sheet'!Y11*'Output-Calculation-sheet'!Y47</f>
        <v>287.84628158647729</v>
      </c>
      <c r="AA56" s="2">
        <f t="shared" si="3"/>
        <v>98.223013180207928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8.7121896264837719</v>
      </c>
      <c r="C63" s="2">
        <f>C8*'Output-Calculation-sheet'!C52/10^9</f>
        <v>4.6544997704486404</v>
      </c>
      <c r="D63" s="2">
        <f>D8*'Output-Calculation-sheet'!D52/10^9</f>
        <v>2.9875965270508344</v>
      </c>
      <c r="E63" s="2">
        <f>E8*'Output-Calculation-sheet'!E52/10^9</f>
        <v>2.9704723356179397</v>
      </c>
      <c r="F63" s="2">
        <f>F8*'Output-Calculation-sheet'!F52/10^9</f>
        <v>1.2579947885665086</v>
      </c>
      <c r="G63" s="2">
        <f>G8*'Output-Calculation-sheet'!G52/10^9</f>
        <v>0.90444142162776886</v>
      </c>
      <c r="H63" s="2">
        <f>H8*'Output-Calculation-sheet'!H52/10^9</f>
        <v>1.4709870848791822</v>
      </c>
      <c r="I63" s="2">
        <f>I8*'Output-Calculation-sheet'!I52/10^9</f>
        <v>0.84134049946973632</v>
      </c>
      <c r="J63" s="2">
        <f>J8*'Output-Calculation-sheet'!J52/10^9</f>
        <v>1.1577415549545502</v>
      </c>
      <c r="K63" s="2">
        <f>K8*'Output-Calculation-sheet'!K52/10^9</f>
        <v>1.0171789279393471</v>
      </c>
      <c r="L63" s="2">
        <f>L8*'Output-Calculation-sheet'!L52/10^9</f>
        <v>1.3681545988277226</v>
      </c>
      <c r="M63" s="2">
        <f>M8*'Output-Calculation-sheet'!M52/10^9</f>
        <v>1.2050811085874926</v>
      </c>
      <c r="N63" s="2">
        <f>N8*'Output-Calculation-sheet'!N52/10^9</f>
        <v>1.0633093899544614</v>
      </c>
      <c r="O63" s="2">
        <f>O8*'Output-Calculation-sheet'!O52/10^9</f>
        <v>0.95227047237937845</v>
      </c>
      <c r="P63" s="2">
        <f>P8*'Output-Calculation-sheet'!P52/10^9</f>
        <v>0.70284320080993845</v>
      </c>
      <c r="Q63" s="2">
        <f>Q8*'Output-Calculation-sheet'!Q52/10^9</f>
        <v>0.79541253799455058</v>
      </c>
      <c r="R63" s="2">
        <f>R8*'Output-Calculation-sheet'!R52/10^9</f>
        <v>0.71412256952545128</v>
      </c>
      <c r="S63" s="2">
        <f>S8*'Output-Calculation-sheet'!S52/10^9</f>
        <v>0.52919012663745424</v>
      </c>
      <c r="T63" s="2">
        <f>T8*'Output-Calculation-sheet'!T52/10^9</f>
        <v>0.27149919972204839</v>
      </c>
      <c r="U63" s="2">
        <f>U8*'Output-Calculation-sheet'!U52/10^9</f>
        <v>0.186462741075196</v>
      </c>
      <c r="V63" s="2">
        <f>V8*'Output-Calculation-sheet'!V52/10^9</f>
        <v>0.33092730080781851</v>
      </c>
      <c r="W63" s="2">
        <f>W8*'Output-Calculation-sheet'!W52/10^9</f>
        <v>0.11978017879160838</v>
      </c>
      <c r="X63" s="2">
        <f>X8*'Output-Calculation-sheet'!X52/10^9</f>
        <v>0.12341927601461258</v>
      </c>
      <c r="Y63" s="2">
        <f>Y8*'Output-Calculation-sheet'!Y52/10^9</f>
        <v>7.8153234669385743E-2</v>
      </c>
      <c r="AA63" s="2">
        <f t="shared" si="4"/>
        <v>34.415068472835401</v>
      </c>
    </row>
    <row r="64" spans="1:27" x14ac:dyDescent="0.25">
      <c r="A64" s="2">
        <v>2032</v>
      </c>
      <c r="B64" s="2">
        <f>B9*'Output-Calculation-sheet'!B53/10^9</f>
        <v>9.3296939193826915</v>
      </c>
      <c r="C64" s="2">
        <f>C9*'Output-Calculation-sheet'!C53/10^9</f>
        <v>4.9459588917614008</v>
      </c>
      <c r="D64" s="2">
        <f>D9*'Output-Calculation-sheet'!D53/10^9</f>
        <v>2.7631512864870609</v>
      </c>
      <c r="E64" s="2">
        <f>E9*'Output-Calculation-sheet'!E53/10^9</f>
        <v>2.8295884902179305</v>
      </c>
      <c r="F64" s="2">
        <f>F9*'Output-Calculation-sheet'!F53/10^9</f>
        <v>1.1935026821972921</v>
      </c>
      <c r="G64" s="2">
        <f>G9*'Output-Calculation-sheet'!G53/10^9</f>
        <v>0.8494986986269516</v>
      </c>
      <c r="H64" s="2">
        <f>H9*'Output-Calculation-sheet'!H53/10^9</f>
        <v>1.5522525053140033</v>
      </c>
      <c r="I64" s="2">
        <f>I9*'Output-Calculation-sheet'!I53/10^9</f>
        <v>0.79414244424565195</v>
      </c>
      <c r="J64" s="2">
        <f>J9*'Output-Calculation-sheet'!J53/10^9</f>
        <v>1.0512832383228972</v>
      </c>
      <c r="K64" s="2">
        <f>K9*'Output-Calculation-sheet'!K53/10^9</f>
        <v>0.97544781438796313</v>
      </c>
      <c r="L64" s="2">
        <f>L9*'Output-Calculation-sheet'!L53/10^9</f>
        <v>1.254910697666106</v>
      </c>
      <c r="M64" s="2">
        <f>M9*'Output-Calculation-sheet'!M53/10^9</f>
        <v>1.2315308136556742</v>
      </c>
      <c r="N64" s="2">
        <f>N9*'Output-Calculation-sheet'!N53/10^9</f>
        <v>1.1087756488867864</v>
      </c>
      <c r="O64" s="2">
        <f>O9*'Output-Calculation-sheet'!O53/10^9</f>
        <v>1.0015937145166955</v>
      </c>
      <c r="P64" s="2">
        <f>P9*'Output-Calculation-sheet'!P53/10^9</f>
        <v>0.74369797731306275</v>
      </c>
      <c r="Q64" s="2">
        <f>Q9*'Output-Calculation-sheet'!Q53/10^9</f>
        <v>0.82191443963868238</v>
      </c>
      <c r="R64" s="2">
        <f>R9*'Output-Calculation-sheet'!R53/10^9</f>
        <v>0.70457477134082003</v>
      </c>
      <c r="S64" s="2">
        <f>S9*'Output-Calculation-sheet'!S53/10^9</f>
        <v>0.56695160285709267</v>
      </c>
      <c r="T64" s="2">
        <f>T9*'Output-Calculation-sheet'!T53/10^9</f>
        <v>0.25327528450684722</v>
      </c>
      <c r="U64" s="2">
        <f>U9*'Output-Calculation-sheet'!U53/10^9</f>
        <v>0.19063502596935145</v>
      </c>
      <c r="V64" s="2">
        <f>V9*'Output-Calculation-sheet'!V53/10^9</f>
        <v>0.30062063570939718</v>
      </c>
      <c r="W64" s="2">
        <f>W9*'Output-Calculation-sheet'!W53/10^9</f>
        <v>0.11170501660865639</v>
      </c>
      <c r="X64" s="2">
        <f>X9*'Output-Calculation-sheet'!X53/10^9</f>
        <v>0.12806820340405367</v>
      </c>
      <c r="Y64" s="2">
        <f>Y9*'Output-Calculation-sheet'!Y53/10^9</f>
        <v>7.8264220825632475E-2</v>
      </c>
      <c r="AA64" s="2">
        <f t="shared" si="4"/>
        <v>34.781038023842711</v>
      </c>
    </row>
    <row r="65" spans="1:27" x14ac:dyDescent="0.25">
      <c r="A65" s="2">
        <v>2033</v>
      </c>
      <c r="B65" s="2">
        <f>B10*'Output-Calculation-sheet'!B54/10^9</f>
        <v>9.6737678107143203</v>
      </c>
      <c r="C65" s="2">
        <f>C10*'Output-Calculation-sheet'!C54/10^9</f>
        <v>5.0005439476700193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1.5703395727066054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0.91491967882980141</v>
      </c>
      <c r="L65" s="2">
        <f>L10*'Output-Calculation-sheet'!L54/10^9</f>
        <v>1.0806327095018846</v>
      </c>
      <c r="M65" s="2">
        <f>M10*'Output-Calculation-sheet'!M54/10^9</f>
        <v>1.197483931508285</v>
      </c>
      <c r="N65" s="2">
        <f>N10*'Output-Calculation-sheet'!N54/10^9</f>
        <v>1.0988382459878885</v>
      </c>
      <c r="O65" s="2">
        <f>O10*'Output-Calculation-sheet'!O54/10^9</f>
        <v>1.0021311191523241</v>
      </c>
      <c r="P65" s="2">
        <f>P10*'Output-Calculation-sheet'!P54/10^9</f>
        <v>0.7740687357499535</v>
      </c>
      <c r="Q65" s="2">
        <f>Q10*'Output-Calculation-sheet'!Q54/10^9</f>
        <v>0.8432209447548944</v>
      </c>
      <c r="R65" s="2">
        <f>R10*'Output-Calculation-sheet'!R54/10^9</f>
        <v>0.68148209182397712</v>
      </c>
      <c r="S65" s="2">
        <f>S10*'Output-Calculation-sheet'!S54/10^9</f>
        <v>0.57963558626635314</v>
      </c>
      <c r="T65" s="2">
        <f>T10*'Output-Calculation-sheet'!T54/10^9</f>
        <v>0.22785037955571044</v>
      </c>
      <c r="U65" s="2">
        <f>U10*'Output-Calculation-sheet'!U54/10^9</f>
        <v>0.19674302176750535</v>
      </c>
      <c r="V65" s="2">
        <f>V10*'Output-Calculation-sheet'!V54/10^9</f>
        <v>0.25216153812506625</v>
      </c>
      <c r="W65" s="2">
        <f>W10*'Output-Calculation-sheet'!W54/10^9</f>
        <v>9.6002804957355956E-2</v>
      </c>
      <c r="X65" s="2">
        <f>X10*'Output-Calculation-sheet'!X54/10^9</f>
        <v>0.12555703581651315</v>
      </c>
      <c r="Y65" s="2">
        <f>Y10*'Output-Calculation-sheet'!Y54/10^9</f>
        <v>7.9017012716307095E-2</v>
      </c>
      <c r="AA65" s="2">
        <f t="shared" si="4"/>
        <v>33.770163730292687</v>
      </c>
    </row>
    <row r="66" spans="1:27" x14ac:dyDescent="0.25">
      <c r="A66" s="2">
        <v>2034</v>
      </c>
      <c r="B66" s="2">
        <f>B11*'Output-Calculation-sheet'!B55/10^9</f>
        <v>9.741273048776522</v>
      </c>
      <c r="C66" s="2">
        <f>C11*'Output-Calculation-sheet'!C55/10^9</f>
        <v>4.9002479046188743</v>
      </c>
      <c r="D66" s="2">
        <f>D11*'Output-Calculation-sheet'!D55/10^9</f>
        <v>2.1984507221055609</v>
      </c>
      <c r="E66" s="2">
        <f>E11*'Output-Calculation-sheet'!E55/10^9</f>
        <v>2.6621702151380346</v>
      </c>
      <c r="F66" s="2">
        <f>F11*'Output-Calculation-sheet'!F55/10^9</f>
        <v>1.0231154038321939</v>
      </c>
      <c r="G66" s="2">
        <f>G11*'Output-Calculation-sheet'!G55/10^9</f>
        <v>0.73129409678806845</v>
      </c>
      <c r="H66" s="2">
        <f>H11*'Output-Calculation-sheet'!H55/10^9</f>
        <v>1.5260394740323104</v>
      </c>
      <c r="I66" s="2">
        <f>I11*'Output-Calculation-sheet'!I55/10^9</f>
        <v>0.71518487640247996</v>
      </c>
      <c r="J66" s="2">
        <f>J11*'Output-Calculation-sheet'!J55/10^9</f>
        <v>0.73537952302378295</v>
      </c>
      <c r="K66" s="2">
        <f>K11*'Output-Calculation-sheet'!K55/10^9</f>
        <v>0.87957598782727908</v>
      </c>
      <c r="L66" s="2">
        <f>L11*'Output-Calculation-sheet'!L55/10^9</f>
        <v>0.93147748535431196</v>
      </c>
      <c r="M66" s="2">
        <f>M11*'Output-Calculation-sheet'!M55/10^9</f>
        <v>1.1123773352635125</v>
      </c>
      <c r="N66" s="2">
        <f>N11*'Output-Calculation-sheet'!N55/10^9</f>
        <v>1.0508750407929459</v>
      </c>
      <c r="O66" s="2">
        <f>O11*'Output-Calculation-sheet'!O55/10^9</f>
        <v>0.96585535899999664</v>
      </c>
      <c r="P66" s="2">
        <f>P11*'Output-Calculation-sheet'!P55/10^9</f>
        <v>0.80647990351966059</v>
      </c>
      <c r="Q66" s="2">
        <f>Q11*'Output-Calculation-sheet'!Q55/10^9</f>
        <v>0.85309188019630455</v>
      </c>
      <c r="R66" s="2">
        <f>R11*'Output-Calculation-sheet'!R55/10^9</f>
        <v>0.65893415917658293</v>
      </c>
      <c r="S66" s="2">
        <f>S11*'Output-Calculation-sheet'!S55/10^9</f>
        <v>0.57475863964016027</v>
      </c>
      <c r="T66" s="2">
        <f>T11*'Output-Calculation-sheet'!T55/10^9</f>
        <v>0.20652913266859854</v>
      </c>
      <c r="U66" s="2">
        <f>U11*'Output-Calculation-sheet'!U55/10^9</f>
        <v>0.21087514551289518</v>
      </c>
      <c r="V66" s="2">
        <f>V11*'Output-Calculation-sheet'!V55/10^9</f>
        <v>0.19592505838866875</v>
      </c>
      <c r="W66" s="2">
        <f>W11*'Output-Calculation-sheet'!W55/10^9</f>
        <v>8.8713000866743968E-2</v>
      </c>
      <c r="X66" s="2">
        <f>X11*'Output-Calculation-sheet'!X55/10^9</f>
        <v>0.11884846410922661</v>
      </c>
      <c r="Y66" s="2">
        <f>Y11*'Output-Calculation-sheet'!Y55/10^9</f>
        <v>8.6739760217763903E-2</v>
      </c>
      <c r="AA66" s="2">
        <f t="shared" si="4"/>
        <v>32.974211617252479</v>
      </c>
    </row>
    <row r="67" spans="1:27" x14ac:dyDescent="0.25">
      <c r="A67" s="2">
        <v>2035</v>
      </c>
      <c r="B67" s="2">
        <f>B12*'Output-Calculation-sheet'!B56/10^9</f>
        <v>9.9266199225820451</v>
      </c>
      <c r="C67" s="2">
        <f>C12*'Output-Calculation-sheet'!C56/10^9</f>
        <v>4.6310098015303822</v>
      </c>
      <c r="D67" s="2">
        <f>D12*'Output-Calculation-sheet'!D56/10^9</f>
        <v>2.7160230262124139</v>
      </c>
      <c r="E67" s="2">
        <f>E12*'Output-Calculation-sheet'!E56/10^9</f>
        <v>3.0946291975038198</v>
      </c>
      <c r="F67" s="2">
        <f>F12*'Output-Calculation-sheet'!F56/10^9</f>
        <v>1.3246385083426799</v>
      </c>
      <c r="G67" s="2">
        <f>G12*'Output-Calculation-sheet'!G56/10^9</f>
        <v>0.92967805823204375</v>
      </c>
      <c r="H67" s="2">
        <f>H12*'Output-Calculation-sheet'!H56/10^9</f>
        <v>1.4685665266104677</v>
      </c>
      <c r="I67" s="2">
        <f>I12*'Output-Calculation-sheet'!I56/10^9</f>
        <v>0.93213342184217785</v>
      </c>
      <c r="J67" s="2">
        <f>J12*'Output-Calculation-sheet'!J56/10^9</f>
        <v>0.84320629719919638</v>
      </c>
      <c r="K67" s="2">
        <f>K12*'Output-Calculation-sheet'!K56/10^9</f>
        <v>1.0469270244912565</v>
      </c>
      <c r="L67" s="2">
        <f>L12*'Output-Calculation-sheet'!L56/10^9</f>
        <v>0.96087930748649231</v>
      </c>
      <c r="M67" s="2">
        <f>M12*'Output-Calculation-sheet'!M56/10^9</f>
        <v>1.0215237042580056</v>
      </c>
      <c r="N67" s="2">
        <f>N12*'Output-Calculation-sheet'!N56/10^9</f>
        <v>0.99468498851051679</v>
      </c>
      <c r="O67" s="2">
        <f>O12*'Output-Calculation-sheet'!O56/10^9</f>
        <v>0.90018265101659067</v>
      </c>
      <c r="P67" s="2">
        <f>P12*'Output-Calculation-sheet'!P56/10^9</f>
        <v>0.87863819693353351</v>
      </c>
      <c r="Q67" s="2">
        <f>Q12*'Output-Calculation-sheet'!Q56/10^9</f>
        <v>0.89632575718751661</v>
      </c>
      <c r="R67" s="2">
        <f>R12*'Output-Calculation-sheet'!R56/10^9</f>
        <v>0.75825886803267439</v>
      </c>
      <c r="S67" s="2">
        <f>S12*'Output-Calculation-sheet'!S56/10^9</f>
        <v>0.57042668372109762</v>
      </c>
      <c r="T67" s="2">
        <f>T12*'Output-Calculation-sheet'!T56/10^9</f>
        <v>0.23081814428763325</v>
      </c>
      <c r="U67" s="2">
        <f>U12*'Output-Calculation-sheet'!U56/10^9</f>
        <v>0.253591107624203</v>
      </c>
      <c r="V67" s="2">
        <f>V12*'Output-Calculation-sheet'!V56/10^9</f>
        <v>0.17687964847377849</v>
      </c>
      <c r="W67" s="2">
        <f>W12*'Output-Calculation-sheet'!W56/10^9</f>
        <v>0.11464134775321622</v>
      </c>
      <c r="X67" s="2">
        <f>X12*'Output-Calculation-sheet'!X56/10^9</f>
        <v>0.10852536227151087</v>
      </c>
      <c r="Y67" s="2">
        <f>Y12*'Output-Calculation-sheet'!Y56/10^9</f>
        <v>0.10124961727493163</v>
      </c>
      <c r="AA67" s="2">
        <f t="shared" si="4"/>
        <v>34.880057169378183</v>
      </c>
    </row>
    <row r="68" spans="1:27" x14ac:dyDescent="0.25">
      <c r="B68" s="2">
        <f>SUM(B60:B67)</f>
        <v>47.383544327939347</v>
      </c>
      <c r="C68" s="2">
        <f t="shared" ref="C68:Y68" si="5">SUM(C60:C67)</f>
        <v>24.132260316029317</v>
      </c>
      <c r="D68" s="2">
        <f t="shared" si="5"/>
        <v>13.012778401684496</v>
      </c>
      <c r="E68" s="2">
        <f t="shared" si="5"/>
        <v>14.20016922802122</v>
      </c>
      <c r="F68" s="2">
        <f t="shared" si="5"/>
        <v>5.8723884836026121</v>
      </c>
      <c r="G68" s="2">
        <f t="shared" si="5"/>
        <v>4.1517185809061896</v>
      </c>
      <c r="H68" s="2">
        <f t="shared" si="5"/>
        <v>7.588185163542569</v>
      </c>
      <c r="I68" s="2">
        <f t="shared" si="5"/>
        <v>4.0002496815501534</v>
      </c>
      <c r="J68" s="2">
        <f t="shared" si="5"/>
        <v>4.6451205009308234</v>
      </c>
      <c r="K68" s="2">
        <f t="shared" si="5"/>
        <v>4.8340494334756476</v>
      </c>
      <c r="L68" s="2">
        <f t="shared" si="5"/>
        <v>5.5960547988365184</v>
      </c>
      <c r="M68" s="2">
        <f t="shared" si="5"/>
        <v>5.7679968932729704</v>
      </c>
      <c r="N68" s="2">
        <f t="shared" si="5"/>
        <v>5.316483314132598</v>
      </c>
      <c r="O68" s="2">
        <f t="shared" si="5"/>
        <v>4.8220333160649851</v>
      </c>
      <c r="P68" s="2">
        <f t="shared" si="5"/>
        <v>3.9057280143261486</v>
      </c>
      <c r="Q68" s="2">
        <f t="shared" si="5"/>
        <v>4.2099655597719483</v>
      </c>
      <c r="R68" s="2">
        <f t="shared" si="5"/>
        <v>3.5173724598995055</v>
      </c>
      <c r="S68" s="2">
        <f t="shared" si="5"/>
        <v>2.8209626391221576</v>
      </c>
      <c r="T68" s="2">
        <f t="shared" si="5"/>
        <v>1.1899721407408377</v>
      </c>
      <c r="U68" s="2">
        <f t="shared" si="5"/>
        <v>1.0383070419491509</v>
      </c>
      <c r="V68" s="2">
        <f t="shared" si="5"/>
        <v>1.2565141815047292</v>
      </c>
      <c r="W68" s="2">
        <f t="shared" si="5"/>
        <v>0.53084234897758087</v>
      </c>
      <c r="X68" s="2">
        <f t="shared" si="5"/>
        <v>0.60441834161591679</v>
      </c>
      <c r="Y68" s="2">
        <f t="shared" si="5"/>
        <v>0.42342384570402086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52.455447308767916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5.2455447308767916E-2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607.5864946719189</v>
      </c>
      <c r="Q76" s="2">
        <f>Q10/'Output-Calculation-sheet'!Q9*'Output-Calculation-sheet'!Q63</f>
        <v>72.707459061987947</v>
      </c>
      <c r="R76" s="2">
        <f>R10/'Output-Calculation-sheet'!R9*'Output-Calculation-sheet'!R63</f>
        <v>462.86597381865124</v>
      </c>
      <c r="S76" s="2">
        <f>S10/'Output-Calculation-sheet'!S9*'Output-Calculation-sheet'!S63</f>
        <v>0</v>
      </c>
      <c r="T76" s="2">
        <f>T10/'Output-Calculation-sheet'!T9*'Output-Calculation-sheet'!T63</f>
        <v>30.462451928657426</v>
      </c>
      <c r="U76" s="2">
        <f>U10/'Output-Calculation-sheet'!U9*'Output-Calculation-sheet'!U63</f>
        <v>164.49040982556932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7.8121133026701495</v>
      </c>
      <c r="AA76" s="2">
        <f t="shared" si="6"/>
        <v>1.4738145682931985</v>
      </c>
    </row>
    <row r="77" spans="1:27" x14ac:dyDescent="0.25">
      <c r="A77" s="2">
        <v>2034</v>
      </c>
      <c r="B77" s="2">
        <f>B11/'Output-Calculation-sheet'!B10*'Output-Calculation-sheet'!B64</f>
        <v>622.52671478944364</v>
      </c>
      <c r="C77" s="2">
        <f>C11/'Output-Calculation-sheet'!C10*'Output-Calculation-sheet'!C64</f>
        <v>0</v>
      </c>
      <c r="D77" s="2">
        <f>D11/'Output-Calculation-sheet'!D10*'Output-Calculation-sheet'!D64</f>
        <v>2115.1238379804204</v>
      </c>
      <c r="E77" s="2">
        <f>E11/'Output-Calculation-sheet'!E10*'Output-Calculation-sheet'!E64</f>
        <v>2643.6337171370142</v>
      </c>
      <c r="F77" s="2">
        <f>F11/'Output-Calculation-sheet'!F10*'Output-Calculation-sheet'!F64</f>
        <v>172.00505849388654</v>
      </c>
      <c r="G77" s="2">
        <f>G11/'Output-Calculation-sheet'!G10*'Output-Calculation-sheet'!G64</f>
        <v>1120.2585613088954</v>
      </c>
      <c r="H77" s="2">
        <f>H11/'Output-Calculation-sheet'!H10*'Output-Calculation-sheet'!H64</f>
        <v>174.80037472131693</v>
      </c>
      <c r="I77" s="2">
        <f>I11/'Output-Calculation-sheet'!I10*'Output-Calculation-sheet'!I64</f>
        <v>666.06975935703326</v>
      </c>
      <c r="J77" s="2">
        <f>J11/'Output-Calculation-sheet'!J10*'Output-Calculation-sheet'!J64</f>
        <v>466.0364823245377</v>
      </c>
      <c r="K77" s="2">
        <f>K11/'Output-Calculation-sheet'!K10*'Output-Calculation-sheet'!K64</f>
        <v>1013.2866843635206</v>
      </c>
      <c r="L77" s="2">
        <f>L11/'Output-Calculation-sheet'!L10*'Output-Calculation-sheet'!L64</f>
        <v>418.96857167688978</v>
      </c>
      <c r="M77" s="2">
        <f>M11/'Output-Calculation-sheet'!M10*'Output-Calculation-sheet'!M64</f>
        <v>125.89391823767528</v>
      </c>
      <c r="N77" s="2">
        <f>N11/'Output-Calculation-sheet'!N10*'Output-Calculation-sheet'!N64</f>
        <v>41.636665385964584</v>
      </c>
      <c r="O77" s="2">
        <f>O11/'Output-Calculation-sheet'!O10*'Output-Calculation-sheet'!O64</f>
        <v>0</v>
      </c>
      <c r="P77" s="2">
        <f>P11/'Output-Calculation-sheet'!P10*'Output-Calculation-sheet'!P64</f>
        <v>857.3342859232456</v>
      </c>
      <c r="Q77" s="2">
        <f>Q11/'Output-Calculation-sheet'!Q10*'Output-Calculation-sheet'!Q64</f>
        <v>192.86358258023603</v>
      </c>
      <c r="R77" s="2">
        <f>R11/'Output-Calculation-sheet'!R10*'Output-Calculation-sheet'!R64</f>
        <v>1065.169229538629</v>
      </c>
      <c r="S77" s="2">
        <f>S11/'Output-Calculation-sheet'!S10*'Output-Calculation-sheet'!S64</f>
        <v>0</v>
      </c>
      <c r="T77" s="2">
        <f>T11/'Output-Calculation-sheet'!T10*'Output-Calculation-sheet'!T64</f>
        <v>295.76200350441877</v>
      </c>
      <c r="U77" s="2">
        <f>U11/'Output-Calculation-sheet'!U10*'Output-Calculation-sheet'!U64</f>
        <v>393.06952854852898</v>
      </c>
      <c r="V77" s="2">
        <f>V11/'Output-Calculation-sheet'!V10*'Output-Calculation-sheet'!V64</f>
        <v>153.05200205433133</v>
      </c>
      <c r="W77" s="2">
        <f>W11/'Output-Calculation-sheet'!W10*'Output-Calculation-sheet'!W64</f>
        <v>33.599577078895273</v>
      </c>
      <c r="X77" s="2">
        <f>X11/'Output-Calculation-sheet'!X10*'Output-Calculation-sheet'!X64</f>
        <v>12.550242016764578</v>
      </c>
      <c r="Y77" s="2">
        <f>Y11/'Output-Calculation-sheet'!Y10*'Output-Calculation-sheet'!Y64</f>
        <v>57.237117671974026</v>
      </c>
      <c r="AA77" s="2">
        <f t="shared" si="6"/>
        <v>12.64087791469362</v>
      </c>
    </row>
    <row r="78" spans="1:27" x14ac:dyDescent="0.25">
      <c r="A78" s="2">
        <v>2035</v>
      </c>
      <c r="B78" s="2">
        <f>B12/'Output-Calculation-sheet'!B11*'Output-Calculation-sheet'!B65</f>
        <v>125.43068173463041</v>
      </c>
      <c r="C78" s="2">
        <f>C12/'Output-Calculation-sheet'!C11*'Output-Calculation-sheet'!C65</f>
        <v>104.54971272477319</v>
      </c>
      <c r="D78" s="2">
        <f>D12/'Output-Calculation-sheet'!D11*'Output-Calculation-sheet'!D65</f>
        <v>5372.7640813612643</v>
      </c>
      <c r="E78" s="2">
        <f>E12/'Output-Calculation-sheet'!E11*'Output-Calculation-sheet'!E65</f>
        <v>1725.9322201820244</v>
      </c>
      <c r="F78" s="2">
        <f>F12/'Output-Calculation-sheet'!F11*'Output-Calculation-sheet'!F65</f>
        <v>1371.6394114055465</v>
      </c>
      <c r="G78" s="2">
        <f>G12/'Output-Calculation-sheet'!G11*'Output-Calculation-sheet'!G65</f>
        <v>2029.7205120414569</v>
      </c>
      <c r="H78" s="2">
        <f>H12/'Output-Calculation-sheet'!H11*'Output-Calculation-sheet'!H65</f>
        <v>46.131251400256026</v>
      </c>
      <c r="I78" s="2">
        <f>I12/'Output-Calculation-sheet'!I11*'Output-Calculation-sheet'!I65</f>
        <v>1687.5258147498464</v>
      </c>
      <c r="J78" s="2">
        <f>J12/'Output-Calculation-sheet'!J11*'Output-Calculation-sheet'!J65</f>
        <v>1600.6593722153384</v>
      </c>
      <c r="K78" s="2">
        <f>K12/'Output-Calculation-sheet'!K11*'Output-Calculation-sheet'!K65</f>
        <v>2151.4179346136734</v>
      </c>
      <c r="L78" s="2">
        <f>L12/'Output-Calculation-sheet'!L11*'Output-Calculation-sheet'!L65</f>
        <v>746.19611022515596</v>
      </c>
      <c r="M78" s="2">
        <f>M12/'Output-Calculation-sheet'!M11*'Output-Calculation-sheet'!M65</f>
        <v>41.237524165067164</v>
      </c>
      <c r="N78" s="2">
        <f>N12/'Output-Calculation-sheet'!N11*'Output-Calculation-sheet'!N65</f>
        <v>27.778524832655069</v>
      </c>
      <c r="O78" s="2">
        <f>O12/'Output-Calculation-sheet'!O11*'Output-Calculation-sheet'!O65</f>
        <v>18.120186053324336</v>
      </c>
      <c r="P78" s="2">
        <f>P12/'Output-Calculation-sheet'!P11*'Output-Calculation-sheet'!P65</f>
        <v>208.99341112632533</v>
      </c>
      <c r="Q78" s="2">
        <f>Q12/'Output-Calculation-sheet'!Q11*'Output-Calculation-sheet'!Q65</f>
        <v>168.41109152881805</v>
      </c>
      <c r="R78" s="2">
        <f>R12/'Output-Calculation-sheet'!R11*'Output-Calculation-sheet'!R65</f>
        <v>1395.0782377662852</v>
      </c>
      <c r="S78" s="2">
        <f>S12/'Output-Calculation-sheet'!S11*'Output-Calculation-sheet'!S65</f>
        <v>13.347521846267728</v>
      </c>
      <c r="T78" s="2">
        <f>T12/'Output-Calculation-sheet'!T11*'Output-Calculation-sheet'!T65</f>
        <v>554.7846209527039</v>
      </c>
      <c r="U78" s="2">
        <f>U12/'Output-Calculation-sheet'!U11*'Output-Calculation-sheet'!U65</f>
        <v>204.66057237140592</v>
      </c>
      <c r="V78" s="2">
        <f>V12/'Output-Calculation-sheet'!V11*'Output-Calculation-sheet'!V65</f>
        <v>290.36172373729181</v>
      </c>
      <c r="W78" s="2">
        <f>W12/'Output-Calculation-sheet'!W11*'Output-Calculation-sheet'!W65</f>
        <v>195.7401257124298</v>
      </c>
      <c r="X78" s="2">
        <f>X12/'Output-Calculation-sheet'!X11*'Output-Calculation-sheet'!X65</f>
        <v>2.7313851288161661</v>
      </c>
      <c r="Y78" s="2">
        <f>Y12/'Output-Calculation-sheet'!Y11*'Output-Calculation-sheet'!Y65</f>
        <v>46.979934583583109</v>
      </c>
      <c r="AA78" s="2">
        <f t="shared" si="6"/>
        <v>20.130191962458934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135.15855418469613</v>
      </c>
      <c r="E89" s="2">
        <f>E12/'Output-Calculation-sheet'!E11*'Output-Calculation-sheet'!E74</f>
        <v>65.38311965426098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50.592447569052275</v>
      </c>
      <c r="H89" s="2">
        <f>H12/'Output-Calculation-sheet'!H11*'Output-Calculation-sheet'!H74</f>
        <v>8.1684376096070874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28.146661754631822</v>
      </c>
      <c r="K89" s="2">
        <f>K12/'Output-Calculation-sheet'!K11*'Output-Calculation-sheet'!K74</f>
        <v>35.406464898514763</v>
      </c>
      <c r="L89" s="2">
        <f>L12/'Output-Calculation-sheet'!L11*'Output-Calculation-sheet'!L74</f>
        <v>14.817679442897544</v>
      </c>
      <c r="M89" s="2">
        <f>M12/'Output-Calculation-sheet'!M11*'Output-Calculation-sheet'!M74</f>
        <v>4.2155100178962579</v>
      </c>
      <c r="N89" s="2">
        <f>N12/'Output-Calculation-sheet'!N11*'Output-Calculation-sheet'!N74</f>
        <v>4.1431626975223823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3.8275545817881778</v>
      </c>
      <c r="Q89" s="2">
        <f>Q12/'Output-Calculation-sheet'!Q11*'Output-Calculation-sheet'!Q74</f>
        <v>7.2600897333178249</v>
      </c>
      <c r="R89" s="2">
        <f>R12/'Output-Calculation-sheet'!R11*'Output-Calculation-sheet'!R74</f>
        <v>21.599241944212512</v>
      </c>
      <c r="S89" s="2">
        <f>S12/'Output-Calculation-sheet'!S11*'Output-Calculation-sheet'!S74</f>
        <v>3.9583398120604181</v>
      </c>
      <c r="T89" s="2">
        <f>T12/'Output-Calculation-sheet'!T11*'Output-Calculation-sheet'!T74</f>
        <v>6.6590882143919021</v>
      </c>
      <c r="U89" s="2">
        <f>U12/'Output-Calculation-sheet'!U11*'Output-Calculation-sheet'!U74</f>
        <v>7.7213505108846334</v>
      </c>
      <c r="V89" s="2">
        <f>V12/'Output-Calculation-sheet'!V11*'Output-Calculation-sheet'!V74</f>
        <v>2.3815343091936088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2.6776398287114165</v>
      </c>
      <c r="AA89" s="2">
        <f t="shared" si="7"/>
        <v>0.54030840581168704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22753719305.726051</v>
      </c>
      <c r="C96" s="2">
        <f>C8/'Output-Calculation-sheet'!C7*'Output-Calculation-sheet'!C79</f>
        <v>9419758156.2167816</v>
      </c>
      <c r="D96" s="2">
        <f>D8/'Output-Calculation-sheet'!D7*'Output-Calculation-sheet'!D79</f>
        <v>7508989448.8070831</v>
      </c>
      <c r="E96" s="2">
        <f>E8/'Output-Calculation-sheet'!E7*'Output-Calculation-sheet'!E79</f>
        <v>9073484994.292778</v>
      </c>
      <c r="F96" s="2">
        <f>F8/'Output-Calculation-sheet'!F7*'Output-Calculation-sheet'!F79</f>
        <v>5356028789.1697416</v>
      </c>
      <c r="G96" s="2">
        <f>G8/'Output-Calculation-sheet'!G7*'Output-Calculation-sheet'!G79</f>
        <v>2724359001.3820114</v>
      </c>
      <c r="H96" s="2">
        <f>H8/'Output-Calculation-sheet'!H7*'Output-Calculation-sheet'!H79</f>
        <v>3401824187.3267355</v>
      </c>
      <c r="I96" s="2">
        <f>I8/'Output-Calculation-sheet'!I7*'Output-Calculation-sheet'!I79</f>
        <v>3256010069.7648377</v>
      </c>
      <c r="J96" s="2">
        <f>J8/'Output-Calculation-sheet'!J7*'Output-Calculation-sheet'!J79</f>
        <v>1837804145.6699326</v>
      </c>
      <c r="K96" s="2">
        <f>K8/'Output-Calculation-sheet'!K7*'Output-Calculation-sheet'!K79</f>
        <v>3130412572.5354171</v>
      </c>
      <c r="L96" s="2">
        <f>L8/'Output-Calculation-sheet'!L7*'Output-Calculation-sheet'!L79</f>
        <v>2251459823.9954729</v>
      </c>
      <c r="M96" s="2">
        <f>M8/'Output-Calculation-sheet'!M7*'Output-Calculation-sheet'!M79</f>
        <v>2276030361.4832559</v>
      </c>
      <c r="N96" s="2">
        <f>N8/'Output-Calculation-sheet'!N7*'Output-Calculation-sheet'!N79</f>
        <v>1619912493.3225272</v>
      </c>
      <c r="O96" s="2">
        <f>O8/'Output-Calculation-sheet'!O7*'Output-Calculation-sheet'!O79</f>
        <v>1273109240.8213167</v>
      </c>
      <c r="P96" s="2">
        <f>P8/'Output-Calculation-sheet'!P7*'Output-Calculation-sheet'!P79</f>
        <v>2706327334.1211243</v>
      </c>
      <c r="Q96" s="2">
        <f>Q8/'Output-Calculation-sheet'!Q7*'Output-Calculation-sheet'!Q79</f>
        <v>1474035161.2758861</v>
      </c>
      <c r="R96" s="2">
        <f>R8/'Output-Calculation-sheet'!R7*'Output-Calculation-sheet'!R79</f>
        <v>1966506555.3933325</v>
      </c>
      <c r="S96" s="2">
        <f>S8/'Output-Calculation-sheet'!S7*'Output-Calculation-sheet'!S79</f>
        <v>1237806946.0443585</v>
      </c>
      <c r="T96" s="2">
        <f>T8/'Output-Calculation-sheet'!T7*'Output-Calculation-sheet'!T79</f>
        <v>794842400.55741131</v>
      </c>
      <c r="U96" s="2">
        <f>U8/'Output-Calculation-sheet'!U7*'Output-Calculation-sheet'!U79</f>
        <v>737048323.89095032</v>
      </c>
      <c r="V96" s="2">
        <f>V8/'Output-Calculation-sheet'!V7*'Output-Calculation-sheet'!V79</f>
        <v>474534519.49269021</v>
      </c>
      <c r="W96" s="2">
        <f>W8/'Output-Calculation-sheet'!W7*'Output-Calculation-sheet'!W79</f>
        <v>567655168.59698045</v>
      </c>
      <c r="X96" s="2">
        <f>X8/'Output-Calculation-sheet'!X7*'Output-Calculation-sheet'!X79</f>
        <v>259817575.32746208</v>
      </c>
      <c r="Y96" s="2">
        <f>Y8/'Output-Calculation-sheet'!Y7*'Output-Calculation-sheet'!Y79</f>
        <v>290807047.46928138</v>
      </c>
      <c r="AA96" s="2">
        <f t="shared" si="8"/>
        <v>86.392283622683422</v>
      </c>
    </row>
    <row r="97" spans="1:27" x14ac:dyDescent="0.25">
      <c r="A97" s="2">
        <v>2032</v>
      </c>
      <c r="B97" s="2">
        <f>B9/'Output-Calculation-sheet'!B8*'Output-Calculation-sheet'!B80</f>
        <v>32260776569.453598</v>
      </c>
      <c r="C97" s="2">
        <f>C9/'Output-Calculation-sheet'!C8*'Output-Calculation-sheet'!C80</f>
        <v>13367198963.041111</v>
      </c>
      <c r="D97" s="2">
        <f>D9/'Output-Calculation-sheet'!D8*'Output-Calculation-sheet'!D80</f>
        <v>10565645889.038315</v>
      </c>
      <c r="E97" s="2">
        <f>E9/'Output-Calculation-sheet'!E8*'Output-Calculation-sheet'!E80</f>
        <v>12749082737.567768</v>
      </c>
      <c r="F97" s="2">
        <f>F9/'Output-Calculation-sheet'!F8*'Output-Calculation-sheet'!F80</f>
        <v>7554191336.5318451</v>
      </c>
      <c r="G97" s="2">
        <f>G9/'Output-Calculation-sheet'!G8*'Output-Calculation-sheet'!G80</f>
        <v>3781506527.710454</v>
      </c>
      <c r="H97" s="2">
        <f>H9/'Output-Calculation-sheet'!H8*'Output-Calculation-sheet'!H80</f>
        <v>4813249713.1130152</v>
      </c>
      <c r="I97" s="2">
        <f>I9/'Output-Calculation-sheet'!I8*'Output-Calculation-sheet'!I80</f>
        <v>4594425059.1902122</v>
      </c>
      <c r="J97" s="2">
        <f>J9/'Output-Calculation-sheet'!J8*'Output-Calculation-sheet'!J80</f>
        <v>2621638839.9185739</v>
      </c>
      <c r="K97" s="2">
        <f>K9/'Output-Calculation-sheet'!K8*'Output-Calculation-sheet'!K80</f>
        <v>4416203362.2048054</v>
      </c>
      <c r="L97" s="2">
        <f>L9/'Output-Calculation-sheet'!L8*'Output-Calculation-sheet'!L80</f>
        <v>3195279882.3321509</v>
      </c>
      <c r="M97" s="2">
        <f>M9/'Output-Calculation-sheet'!M8*'Output-Calculation-sheet'!M80</f>
        <v>3220307699.1082559</v>
      </c>
      <c r="N97" s="2">
        <f>N9/'Output-Calculation-sheet'!N8*'Output-Calculation-sheet'!N80</f>
        <v>2301792861.3036747</v>
      </c>
      <c r="O97" s="2">
        <f>O9/'Output-Calculation-sheet'!O8*'Output-Calculation-sheet'!O80</f>
        <v>1815970511.2819691</v>
      </c>
      <c r="P97" s="2">
        <f>P9/'Output-Calculation-sheet'!P8*'Output-Calculation-sheet'!P80</f>
        <v>3794979364.4698915</v>
      </c>
      <c r="Q97" s="2">
        <f>Q9/'Output-Calculation-sheet'!Q8*'Output-Calculation-sheet'!Q80</f>
        <v>2101315152.0699687</v>
      </c>
      <c r="R97" s="2">
        <f>R9/'Output-Calculation-sheet'!R8*'Output-Calculation-sheet'!R80</f>
        <v>2786037658.1366119</v>
      </c>
      <c r="S97" s="2">
        <f>S9/'Output-Calculation-sheet'!S8*'Output-Calculation-sheet'!S80</f>
        <v>1757580567.6425345</v>
      </c>
      <c r="T97" s="2">
        <f>T9/'Output-Calculation-sheet'!T8*'Output-Calculation-sheet'!T80</f>
        <v>1117162381.3639481</v>
      </c>
      <c r="U97" s="2">
        <f>U9/'Output-Calculation-sheet'!U8*'Output-Calculation-sheet'!U80</f>
        <v>1041798803.685185</v>
      </c>
      <c r="V97" s="2">
        <f>V9/'Output-Calculation-sheet'!V8*'Output-Calculation-sheet'!V80</f>
        <v>674676175.04879212</v>
      </c>
      <c r="W97" s="2">
        <f>W9/'Output-Calculation-sheet'!W8*'Output-Calculation-sheet'!W80</f>
        <v>789230133.09610462</v>
      </c>
      <c r="X97" s="2">
        <f>X9/'Output-Calculation-sheet'!X8*'Output-Calculation-sheet'!X80</f>
        <v>367495347.35327959</v>
      </c>
      <c r="Y97" s="2">
        <f>Y9/'Output-Calculation-sheet'!Y8*'Output-Calculation-sheet'!Y80</f>
        <v>406099691.08744216</v>
      </c>
      <c r="AA97" s="2">
        <f t="shared" si="8"/>
        <v>122.09364522574953</v>
      </c>
    </row>
    <row r="98" spans="1:27" x14ac:dyDescent="0.25">
      <c r="A98" s="2">
        <v>2033</v>
      </c>
      <c r="B98" s="2">
        <f>B10/'Output-Calculation-sheet'!B9*'Output-Calculation-sheet'!B81</f>
        <v>41802755588.664818</v>
      </c>
      <c r="C98" s="2">
        <f>C10/'Output-Calculation-sheet'!C9*'Output-Calculation-sheet'!C81</f>
        <v>17338859865.527328</v>
      </c>
      <c r="D98" s="2">
        <f>D10/'Output-Calculation-sheet'!D9*'Output-Calculation-sheet'!D81</f>
        <v>13601116568.901339</v>
      </c>
      <c r="E98" s="2">
        <f>E10/'Output-Calculation-sheet'!E9*'Output-Calculation-sheet'!E81</f>
        <v>16381017203.637367</v>
      </c>
      <c r="F98" s="2">
        <f>F10/'Output-Calculation-sheet'!F9*'Output-Calculation-sheet'!F81</f>
        <v>9740532645.189043</v>
      </c>
      <c r="G98" s="2">
        <f>G10/'Output-Calculation-sheet'!G9*'Output-Calculation-sheet'!G81</f>
        <v>4801382854.1413631</v>
      </c>
      <c r="H98" s="2">
        <f>H10/'Output-Calculation-sheet'!H9*'Output-Calculation-sheet'!H81</f>
        <v>6225091456.6180191</v>
      </c>
      <c r="I98" s="2">
        <f>I10/'Output-Calculation-sheet'!I9*'Output-Calculation-sheet'!I81</f>
        <v>5927700293.8092527</v>
      </c>
      <c r="J98" s="2">
        <f>J10/'Output-Calculation-sheet'!J9*'Output-Calculation-sheet'!J81</f>
        <v>3420402077.3548975</v>
      </c>
      <c r="K98" s="2">
        <f>K10/'Output-Calculation-sheet'!K9*'Output-Calculation-sheet'!K81</f>
        <v>5695880527.4743977</v>
      </c>
      <c r="L98" s="2">
        <f>L10/'Output-Calculation-sheet'!L9*'Output-Calculation-sheet'!L81</f>
        <v>4144958178.9602156</v>
      </c>
      <c r="M98" s="2">
        <f>M10/'Output-Calculation-sheet'!M9*'Output-Calculation-sheet'!M81</f>
        <v>4165655420.769002</v>
      </c>
      <c r="N98" s="2">
        <f>N10/'Output-Calculation-sheet'!N9*'Output-Calculation-sheet'!N81</f>
        <v>2991320645.8927908</v>
      </c>
      <c r="O98" s="2">
        <f>O10/'Output-Calculation-sheet'!O9*'Output-Calculation-sheet'!O81</f>
        <v>2368333837.5079484</v>
      </c>
      <c r="P98" s="2">
        <f>P10/'Output-Calculation-sheet'!P9*'Output-Calculation-sheet'!P81</f>
        <v>4864586370.2343273</v>
      </c>
      <c r="Q98" s="2">
        <f>Q10/'Output-Calculation-sheet'!Q9*'Output-Calculation-sheet'!Q81</f>
        <v>2738793362.3190436</v>
      </c>
      <c r="R98" s="2">
        <f>R10/'Output-Calculation-sheet'!R9*'Output-Calculation-sheet'!R81</f>
        <v>3607767070.4330258</v>
      </c>
      <c r="S98" s="2">
        <f>S10/'Output-Calculation-sheet'!S9*'Output-Calculation-sheet'!S81</f>
        <v>2280760454.4786181</v>
      </c>
      <c r="T98" s="2">
        <f>T10/'Output-Calculation-sheet'!T9*'Output-Calculation-sheet'!T81</f>
        <v>1435768231.0356469</v>
      </c>
      <c r="U98" s="2">
        <f>U10/'Output-Calculation-sheet'!U9*'Output-Calculation-sheet'!U81</f>
        <v>1345244995.9118583</v>
      </c>
      <c r="V98" s="2">
        <f>V10/'Output-Calculation-sheet'!V9*'Output-Calculation-sheet'!V81</f>
        <v>876167130.0747211</v>
      </c>
      <c r="W98" s="2">
        <f>W10/'Output-Calculation-sheet'!W9*'Output-Calculation-sheet'!W81</f>
        <v>1003349181.6890839</v>
      </c>
      <c r="X98" s="2">
        <f>X10/'Output-Calculation-sheet'!X9*'Output-Calculation-sheet'!X81</f>
        <v>475192637.22006083</v>
      </c>
      <c r="Y98" s="2">
        <f>Y10/'Output-Calculation-sheet'!Y9*'Output-Calculation-sheet'!Y81</f>
        <v>518713544.39087427</v>
      </c>
      <c r="AA98" s="2">
        <f t="shared" si="8"/>
        <v>157.751350142235</v>
      </c>
    </row>
    <row r="99" spans="1:27" x14ac:dyDescent="0.25">
      <c r="A99" s="2">
        <v>2034</v>
      </c>
      <c r="B99" s="2">
        <f>B11/'Output-Calculation-sheet'!B10*'Output-Calculation-sheet'!B82</f>
        <v>50730217153.829247</v>
      </c>
      <c r="C99" s="2">
        <f>C11/'Output-Calculation-sheet'!C10*'Output-Calculation-sheet'!C82</f>
        <v>21066729518.038044</v>
      </c>
      <c r="D99" s="2">
        <f>D11/'Output-Calculation-sheet'!D10*'Output-Calculation-sheet'!D82</f>
        <v>16414021680.115013</v>
      </c>
      <c r="E99" s="2">
        <f>E11/'Output-Calculation-sheet'!E10*'Output-Calculation-sheet'!E82</f>
        <v>19722670950.725918</v>
      </c>
      <c r="F99" s="2">
        <f>F11/'Output-Calculation-sheet'!F10*'Output-Calculation-sheet'!F82</f>
        <v>11766408159.648733</v>
      </c>
      <c r="G99" s="2">
        <f>G11/'Output-Calculation-sheet'!G10*'Output-Calculation-sheet'!G82</f>
        <v>5714637614.70644</v>
      </c>
      <c r="H99" s="2">
        <f>H11/'Output-Calculation-sheet'!H10*'Output-Calculation-sheet'!H82</f>
        <v>7541401290.7374249</v>
      </c>
      <c r="I99" s="2">
        <f>I11/'Output-Calculation-sheet'!I10*'Output-Calculation-sheet'!I82</f>
        <v>7165662100.3698521</v>
      </c>
      <c r="J99" s="2">
        <f>J11/'Output-Calculation-sheet'!J10*'Output-Calculation-sheet'!J82</f>
        <v>4182175398.3784609</v>
      </c>
      <c r="K99" s="2">
        <f>K11/'Output-Calculation-sheet'!K10*'Output-Calculation-sheet'!K82</f>
        <v>6882655683.5689077</v>
      </c>
      <c r="L99" s="2">
        <f>L11/'Output-Calculation-sheet'!L10*'Output-Calculation-sheet'!L82</f>
        <v>5036310885.8819103</v>
      </c>
      <c r="M99" s="2">
        <f>M11/'Output-Calculation-sheet'!M10*'Output-Calculation-sheet'!M82</f>
        <v>5048252644.0859222</v>
      </c>
      <c r="N99" s="2">
        <f>N11/'Output-Calculation-sheet'!N10*'Output-Calculation-sheet'!N82</f>
        <v>3643134419.409987</v>
      </c>
      <c r="O99" s="2">
        <f>O11/'Output-Calculation-sheet'!O10*'Output-Calculation-sheet'!O82</f>
        <v>2893800059.5782056</v>
      </c>
      <c r="P99" s="2">
        <f>P11/'Output-Calculation-sheet'!P10*'Output-Calculation-sheet'!P82</f>
        <v>5841532554.1272116</v>
      </c>
      <c r="Q99" s="2">
        <f>Q11/'Output-Calculation-sheet'!Q10*'Output-Calculation-sheet'!Q82</f>
        <v>3344342171.8235321</v>
      </c>
      <c r="R99" s="2">
        <f>R11/'Output-Calculation-sheet'!R10*'Output-Calculation-sheet'!R82</f>
        <v>4375926850.6576605</v>
      </c>
      <c r="S99" s="2">
        <f>S11/'Output-Calculation-sheet'!S10*'Output-Calculation-sheet'!S82</f>
        <v>2771858563.7241406</v>
      </c>
      <c r="T99" s="2">
        <f>T11/'Output-Calculation-sheet'!T10*'Output-Calculation-sheet'!T82</f>
        <v>1729033403.6484759</v>
      </c>
      <c r="U99" s="2">
        <f>U11/'Output-Calculation-sheet'!U10*'Output-Calculation-sheet'!U82</f>
        <v>1626352876.7625043</v>
      </c>
      <c r="V99" s="2">
        <f>V11/'Output-Calculation-sheet'!V10*'Output-Calculation-sheet'!V82</f>
        <v>1065134507.2656697</v>
      </c>
      <c r="W99" s="2">
        <f>W11/'Output-Calculation-sheet'!W10*'Output-Calculation-sheet'!W82</f>
        <v>1195216553.2758574</v>
      </c>
      <c r="X99" s="2">
        <f>X11/'Output-Calculation-sheet'!X10*'Output-Calculation-sheet'!X82</f>
        <v>575613418.79508388</v>
      </c>
      <c r="Y99" s="2">
        <f>Y11/'Output-Calculation-sheet'!Y10*'Output-Calculation-sheet'!Y82</f>
        <v>621013246.85444784</v>
      </c>
      <c r="AA99" s="2">
        <f t="shared" si="8"/>
        <v>190.95410170600854</v>
      </c>
    </row>
    <row r="100" spans="1:27" x14ac:dyDescent="0.25">
      <c r="A100" s="2">
        <v>2035</v>
      </c>
      <c r="B100" s="2">
        <f>B12/'Output-Calculation-sheet'!B11*'Output-Calculation-sheet'!B83</f>
        <v>58526146186.220932</v>
      </c>
      <c r="C100" s="2">
        <f>C12/'Output-Calculation-sheet'!C11*'Output-Calculation-sheet'!C83</f>
        <v>24336267489.448174</v>
      </c>
      <c r="D100" s="2">
        <f>D12/'Output-Calculation-sheet'!D11*'Output-Calculation-sheet'!D83</f>
        <v>18848735973.428638</v>
      </c>
      <c r="E100" s="2">
        <f>E12/'Output-Calculation-sheet'!E11*'Output-Calculation-sheet'!E83</f>
        <v>22585365745.736691</v>
      </c>
      <c r="F100" s="2">
        <f>F12/'Output-Calculation-sheet'!F11*'Output-Calculation-sheet'!F83</f>
        <v>13516200043.283491</v>
      </c>
      <c r="G100" s="2">
        <f>G12/'Output-Calculation-sheet'!G11*'Output-Calculation-sheet'!G83</f>
        <v>6471722652.4737053</v>
      </c>
      <c r="H100" s="2">
        <f>H12/'Output-Calculation-sheet'!H11*'Output-Calculation-sheet'!H83</f>
        <v>8686441122.729723</v>
      </c>
      <c r="I100" s="2">
        <f>I12/'Output-Calculation-sheet'!I11*'Output-Calculation-sheet'!I83</f>
        <v>8237872568.6730318</v>
      </c>
      <c r="J100" s="2">
        <f>J12/'Output-Calculation-sheet'!J11*'Output-Calculation-sheet'!J83</f>
        <v>4864155968.9061136</v>
      </c>
      <c r="K100" s="2">
        <f>K12/'Output-Calculation-sheet'!K11*'Output-Calculation-sheet'!K83</f>
        <v>7908948912.6761761</v>
      </c>
      <c r="L100" s="2">
        <f>L12/'Output-Calculation-sheet'!L11*'Output-Calculation-sheet'!L83</f>
        <v>5817926232.1505785</v>
      </c>
      <c r="M100" s="2">
        <f>M12/'Output-Calculation-sheet'!M11*'Output-Calculation-sheet'!M83</f>
        <v>5817601953.6676769</v>
      </c>
      <c r="N100" s="2">
        <f>N12/'Output-Calculation-sheet'!N11*'Output-Calculation-sheet'!N83</f>
        <v>4220500353.4885678</v>
      </c>
      <c r="O100" s="2">
        <f>O12/'Output-Calculation-sheet'!O11*'Output-Calculation-sheet'!O83</f>
        <v>3362438945.6950316</v>
      </c>
      <c r="P100" s="2">
        <f>P12/'Output-Calculation-sheet'!P11*'Output-Calculation-sheet'!P83</f>
        <v>6670418437.4987297</v>
      </c>
      <c r="Q100" s="2">
        <f>Q12/'Output-Calculation-sheet'!Q11*'Output-Calculation-sheet'!Q83</f>
        <v>3883401428.0974603</v>
      </c>
      <c r="R100" s="2">
        <f>R12/'Output-Calculation-sheet'!R11*'Output-Calculation-sheet'!R83</f>
        <v>5046246494.8788843</v>
      </c>
      <c r="S100" s="2">
        <f>S12/'Output-Calculation-sheet'!S11*'Output-Calculation-sheet'!S83</f>
        <v>3202433074.8464131</v>
      </c>
      <c r="T100" s="2">
        <f>T12/'Output-Calculation-sheet'!T11*'Output-Calculation-sheet'!T83</f>
        <v>1980417718.2915089</v>
      </c>
      <c r="U100" s="2">
        <f>U12/'Output-Calculation-sheet'!U11*'Output-Calculation-sheet'!U83</f>
        <v>1868746731.1009851</v>
      </c>
      <c r="V100" s="2">
        <f>V12/'Output-Calculation-sheet'!V11*'Output-Calculation-sheet'!V83</f>
        <v>1230469713.065371</v>
      </c>
      <c r="W100" s="2">
        <f>W12/'Output-Calculation-sheet'!W11*'Output-Calculation-sheet'!W83</f>
        <v>1354166252.1715131</v>
      </c>
      <c r="X100" s="2">
        <f>X12/'Output-Calculation-sheet'!X11*'Output-Calculation-sheet'!X83</f>
        <v>662998535.51145983</v>
      </c>
      <c r="Y100" s="2">
        <f>Y12/'Output-Calculation-sheet'!Y11*'Output-Calculation-sheet'!Y83</f>
        <v>707344229.38897705</v>
      </c>
      <c r="AA100" s="2">
        <f t="shared" si="8"/>
        <v>219.80696676342981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2059.0617280980036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633.84306162586881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436.14571170302588</v>
      </c>
      <c r="N107" s="2">
        <f>N8/'Output-Calculation-sheet'!N7*'Output-Calculation-sheet'!N88</f>
        <v>171.46420108038262</v>
      </c>
      <c r="O107" s="2">
        <f>O8/'Output-Calculation-sheet'!O7*'Output-Calculation-sheet'!O88</f>
        <v>480.02218968037363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47.846091683653938</v>
      </c>
      <c r="Y107" s="2">
        <f>Y8/'Output-Calculation-sheet'!Y7*'Output-Calculation-sheet'!Y88</f>
        <v>0</v>
      </c>
      <c r="AA107" s="2">
        <f t="shared" si="9"/>
        <v>3.8283829838713088</v>
      </c>
    </row>
    <row r="108" spans="1:27" x14ac:dyDescent="0.25">
      <c r="A108" s="2">
        <v>2032</v>
      </c>
      <c r="B108" s="2">
        <f>B9/'Output-Calculation-sheet'!B8*'Output-Calculation-sheet'!B89</f>
        <v>974.5085523120207</v>
      </c>
      <c r="C108" s="2">
        <f>C9/'Output-Calculation-sheet'!C8*'Output-Calculation-sheet'!C89</f>
        <v>3700.1945145635318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996.65530384684223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685.79584306541494</v>
      </c>
      <c r="N108" s="2">
        <f>N9/'Output-Calculation-sheet'!N8*'Output-Calculation-sheet'!N89</f>
        <v>481.4472105971243</v>
      </c>
      <c r="O108" s="2">
        <f>O9/'Output-Calculation-sheet'!O8*'Output-Calculation-sheet'!O89</f>
        <v>718.84499983915077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220.78572919204905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75.233230324453842</v>
      </c>
      <c r="Y108" s="2">
        <f>Y9/'Output-Calculation-sheet'!Y8*'Output-Calculation-sheet'!Y89</f>
        <v>0</v>
      </c>
      <c r="AA108" s="2">
        <f t="shared" si="9"/>
        <v>7.8534653837405877</v>
      </c>
    </row>
    <row r="109" spans="1:27" x14ac:dyDescent="0.25">
      <c r="A109" s="2">
        <v>2033</v>
      </c>
      <c r="B109" s="2">
        <f>B10/'Output-Calculation-sheet'!B9*'Output-Calculation-sheet'!B90</f>
        <v>5212.8100099682242</v>
      </c>
      <c r="C109" s="2">
        <f>C10/'Output-Calculation-sheet'!C9*'Output-Calculation-sheet'!C90</f>
        <v>4948.2405666385757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1523.2219158950038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1048.124917366074</v>
      </c>
      <c r="N109" s="2">
        <f>N10/'Output-Calculation-sheet'!N9*'Output-Calculation-sheet'!N90</f>
        <v>824.10945134311237</v>
      </c>
      <c r="O109" s="2">
        <f>O10/'Output-Calculation-sheet'!O9*'Output-Calculation-sheet'!O90</f>
        <v>961.30567604740293</v>
      </c>
      <c r="P109" s="2">
        <f>P10/'Output-Calculation-sheet'!P9*'Output-Calculation-sheet'!P90</f>
        <v>0</v>
      </c>
      <c r="Q109" s="2">
        <f>Q10/'Output-Calculation-sheet'!Q9*'Output-Calculation-sheet'!Q90</f>
        <v>180.51151389746963</v>
      </c>
      <c r="R109" s="2">
        <f>R10/'Output-Calculation-sheet'!R9*'Output-Calculation-sheet'!R90</f>
        <v>0</v>
      </c>
      <c r="S109" s="2">
        <f>S10/'Output-Calculation-sheet'!S9*'Output-Calculation-sheet'!S90</f>
        <v>413.35698877240878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114.98148335885946</v>
      </c>
      <c r="Y109" s="2">
        <f>Y10/'Output-Calculation-sheet'!Y9*'Output-Calculation-sheet'!Y90</f>
        <v>0</v>
      </c>
      <c r="AA109" s="2">
        <f t="shared" si="9"/>
        <v>15.22666252328713</v>
      </c>
    </row>
    <row r="110" spans="1:27" x14ac:dyDescent="0.25">
      <c r="A110" s="2">
        <v>2034</v>
      </c>
      <c r="B110" s="2">
        <f>B11/'Output-Calculation-sheet'!B10*'Output-Calculation-sheet'!B91</f>
        <v>9675.0619723948057</v>
      </c>
      <c r="C110" s="2">
        <f>C11/'Output-Calculation-sheet'!C10*'Output-Calculation-sheet'!C91</f>
        <v>6632.9009432209896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1884.7501195212944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1296.8915052132979</v>
      </c>
      <c r="N110" s="2">
        <f>N11/'Output-Calculation-sheet'!N10*'Output-Calculation-sheet'!N91</f>
        <v>1168.4145241331876</v>
      </c>
      <c r="O110" s="2">
        <f>O11/'Output-Calculation-sheet'!O10*'Output-Calculation-sheet'!O91</f>
        <v>1288.5883860149513</v>
      </c>
      <c r="P110" s="2">
        <f>P11/'Output-Calculation-sheet'!P10*'Output-Calculation-sheet'!P91</f>
        <v>294.38448739226106</v>
      </c>
      <c r="Q110" s="2">
        <f>Q11/'Output-Calculation-sheet'!Q10*'Output-Calculation-sheet'!Q91</f>
        <v>651.45182745561385</v>
      </c>
      <c r="R110" s="2">
        <f>R11/'Output-Calculation-sheet'!R10*'Output-Calculation-sheet'!R91</f>
        <v>0</v>
      </c>
      <c r="S110" s="2">
        <f>S11/'Output-Calculation-sheet'!S10*'Output-Calculation-sheet'!S91</f>
        <v>669.77554088789748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142.27169543842362</v>
      </c>
      <c r="Y110" s="2">
        <f>Y11/'Output-Calculation-sheet'!Y10*'Output-Calculation-sheet'!Y91</f>
        <v>34.323726875417954</v>
      </c>
      <c r="AA110" s="2">
        <f t="shared" si="9"/>
        <v>23.738814728548139</v>
      </c>
    </row>
    <row r="111" spans="1:27" x14ac:dyDescent="0.25">
      <c r="A111" s="2">
        <v>2035</v>
      </c>
      <c r="B111" s="2">
        <f>B12/'Output-Calculation-sheet'!B11*'Output-Calculation-sheet'!B92</f>
        <v>16143.574482226222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3596.0715809843541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798.67292197217762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1277.1273787899888</v>
      </c>
      <c r="Q111" s="2">
        <f>Q12/'Output-Calculation-sheet'!Q11*'Output-Calculation-sheet'!Q92</f>
        <v>1211.2249705085239</v>
      </c>
      <c r="R111" s="2">
        <f>R12/'Output-Calculation-sheet'!R11*'Output-Calculation-sheet'!R92</f>
        <v>184.79351441159594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267.54479520215256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125.99782971769832</v>
      </c>
      <c r="AA111" s="2">
        <f t="shared" si="9"/>
        <v>39.42480266755507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9679611746.3027496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2978217814.3412871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2068628914.993412</v>
      </c>
      <c r="N118" s="2">
        <f>N8/'Output-Calculation-sheet'!N7*'Output-Calculation-sheet'!N97</f>
        <v>1623283880.3411727</v>
      </c>
      <c r="O118" s="2">
        <f>O8/'Output-Calculation-sheet'!O7*'Output-Calculation-sheet'!O97</f>
        <v>1080151749.6695607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587861254.74280548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222958934.70338011</v>
      </c>
      <c r="Y118" s="2">
        <f>Y8/'Output-Calculation-sheet'!Y7*'Output-Calculation-sheet'!Y97</f>
        <v>0</v>
      </c>
      <c r="AA118" s="2">
        <f t="shared" si="10"/>
        <v>19891.929806906079</v>
      </c>
    </row>
    <row r="119" spans="1:27" x14ac:dyDescent="0.25">
      <c r="A119" s="2">
        <v>2032</v>
      </c>
      <c r="B119" s="2">
        <f>B9/'Output-Calculation-sheet'!B8*'Output-Calculation-sheet'!B98</f>
        <v>7310813783.2656784</v>
      </c>
      <c r="C119" s="2">
        <f>C9/'Output-Calculation-sheet'!C8*'Output-Calculation-sheet'!C98</f>
        <v>5810782462.2659321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3473698757.6879492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2424654741.6050782</v>
      </c>
      <c r="N119" s="2">
        <f>N9/'Output-Calculation-sheet'!N8*'Output-Calculation-sheet'!N98</f>
        <v>1637431975.5344675</v>
      </c>
      <c r="O119" s="2">
        <f>O9/'Output-Calculation-sheet'!O8*'Output-Calculation-sheet'!O98</f>
        <v>1135319520.0576484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680483695.94281435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259446749.83821401</v>
      </c>
      <c r="Y119" s="2">
        <f>Y9/'Output-Calculation-sheet'!Y8*'Output-Calculation-sheet'!Y98</f>
        <v>0</v>
      </c>
      <c r="AA119" s="2">
        <f t="shared" si="10"/>
        <v>22732.631686197779</v>
      </c>
    </row>
    <row r="120" spans="1:27" x14ac:dyDescent="0.25">
      <c r="A120" s="2">
        <v>2033</v>
      </c>
      <c r="B120" s="2">
        <f>B10/'Output-Calculation-sheet'!B9*'Output-Calculation-sheet'!B99</f>
        <v>7499321789.3484106</v>
      </c>
      <c r="C120" s="2">
        <f>C10/'Output-Calculation-sheet'!C9*'Output-Calculation-sheet'!C99</f>
        <v>6164908173.5058641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2021327351.6543524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1430712291.4237533</v>
      </c>
      <c r="N120" s="2">
        <f>N10/'Output-Calculation-sheet'!N9*'Output-Calculation-sheet'!N99</f>
        <v>1426268567.9512815</v>
      </c>
      <c r="O120" s="2">
        <f>O10/'Output-Calculation-sheet'!O9*'Output-Calculation-sheet'!O99</f>
        <v>1206956230.3658404</v>
      </c>
      <c r="P120" s="2">
        <f>P10/'Output-Calculation-sheet'!P9*'Output-Calculation-sheet'!P99</f>
        <v>0</v>
      </c>
      <c r="Q120" s="2">
        <f>Q10/'Output-Calculation-sheet'!Q9*'Output-Calculation-sheet'!Q99</f>
        <v>8833990.7255990244</v>
      </c>
      <c r="R120" s="2">
        <f>R10/'Output-Calculation-sheet'!R9*'Output-Calculation-sheet'!R99</f>
        <v>0</v>
      </c>
      <c r="S120" s="2">
        <f>S10/'Output-Calculation-sheet'!S9*'Output-Calculation-sheet'!S99</f>
        <v>597311968.76933515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142862969.94204488</v>
      </c>
      <c r="Y120" s="2">
        <f>Y10/'Output-Calculation-sheet'!Y9*'Output-Calculation-sheet'!Y99</f>
        <v>0</v>
      </c>
      <c r="AA120" s="2">
        <f t="shared" si="10"/>
        <v>20498.50333368648</v>
      </c>
    </row>
    <row r="121" spans="1:27" x14ac:dyDescent="0.25">
      <c r="A121" s="2">
        <v>2034</v>
      </c>
      <c r="B121" s="2">
        <f>B11/'Output-Calculation-sheet'!B10*'Output-Calculation-sheet'!B100</f>
        <v>7246823853.6853256</v>
      </c>
      <c r="C121" s="2">
        <f>C11/'Output-Calculation-sheet'!C10*'Output-Calculation-sheet'!C100</f>
        <v>870760742.07687628</v>
      </c>
      <c r="D121" s="2">
        <f>D11/'Output-Calculation-sheet'!D10*'Output-Calculation-sheet'!D100</f>
        <v>0</v>
      </c>
      <c r="E121" s="2">
        <f>E11/'Output-Calculation-sheet'!E10*'Output-Calculation-sheet'!E100</f>
        <v>1004926480.0641464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2292794440.8519416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835880286.55691314</v>
      </c>
      <c r="M121" s="2">
        <f>M11/'Output-Calculation-sheet'!M10*'Output-Calculation-sheet'!M100</f>
        <v>1631773033.1298146</v>
      </c>
      <c r="N121" s="2">
        <f>N11/'Output-Calculation-sheet'!N10*'Output-Calculation-sheet'!N100</f>
        <v>1087866620.250668</v>
      </c>
      <c r="O121" s="2">
        <f>O11/'Output-Calculation-sheet'!O10*'Output-Calculation-sheet'!O100</f>
        <v>170802583.66144454</v>
      </c>
      <c r="P121" s="2">
        <f>P11/'Output-Calculation-sheet'!P10*'Output-Calculation-sheet'!P100</f>
        <v>0</v>
      </c>
      <c r="Q121" s="2">
        <f>Q11/'Output-Calculation-sheet'!Q10*'Output-Calculation-sheet'!Q100</f>
        <v>336052331.66583663</v>
      </c>
      <c r="R121" s="2">
        <f>R11/'Output-Calculation-sheet'!R10*'Output-Calculation-sheet'!R100</f>
        <v>0</v>
      </c>
      <c r="S121" s="2">
        <f>S11/'Output-Calculation-sheet'!S10*'Output-Calculation-sheet'!S100</f>
        <v>406745275.91163743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160333117.96907076</v>
      </c>
      <c r="Y121" s="2">
        <f>Y11/'Output-Calculation-sheet'!Y10*'Output-Calculation-sheet'!Y100</f>
        <v>11458016.34170627</v>
      </c>
      <c r="AA121" s="2">
        <f t="shared" si="10"/>
        <v>16056.21678216538</v>
      </c>
    </row>
    <row r="122" spans="1:27" x14ac:dyDescent="0.25">
      <c r="A122" s="2">
        <v>2035</v>
      </c>
      <c r="B122" s="2">
        <f>B12/'Output-Calculation-sheet'!B11*'Output-Calculation-sheet'!B101</f>
        <v>2838468093.8707433</v>
      </c>
      <c r="C122" s="2">
        <f>C12/'Output-Calculation-sheet'!C11*'Output-Calculation-sheet'!C101</f>
        <v>488159724.08371919</v>
      </c>
      <c r="D122" s="2">
        <f>D12/'Output-Calculation-sheet'!D11*'Output-Calculation-sheet'!D101</f>
        <v>0</v>
      </c>
      <c r="E122" s="2">
        <f>E12/'Output-Calculation-sheet'!E11*'Output-Calculation-sheet'!E101</f>
        <v>2837075839.6784148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761351888.48172343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1665213779.3287146</v>
      </c>
      <c r="M122" s="2">
        <f>M12/'Output-Calculation-sheet'!M11*'Output-Calculation-sheet'!M101</f>
        <v>686764896.47054803</v>
      </c>
      <c r="N122" s="2">
        <f>N12/'Output-Calculation-sheet'!N11*'Output-Calculation-sheet'!N101</f>
        <v>575783053.97838759</v>
      </c>
      <c r="O122" s="2">
        <f>O12/'Output-Calculation-sheet'!O11*'Output-Calculation-sheet'!O101</f>
        <v>83201334.488656849</v>
      </c>
      <c r="P122" s="2">
        <f>P12/'Output-Calculation-sheet'!P11*'Output-Calculation-sheet'!P101</f>
        <v>35378801.476323396</v>
      </c>
      <c r="Q122" s="2">
        <f>Q12/'Output-Calculation-sheet'!Q11*'Output-Calculation-sheet'!Q101</f>
        <v>697373969.40862143</v>
      </c>
      <c r="R122" s="2">
        <f>R12/'Output-Calculation-sheet'!R11*'Output-Calculation-sheet'!R101</f>
        <v>0</v>
      </c>
      <c r="S122" s="2">
        <f>S12/'Output-Calculation-sheet'!S11*'Output-Calculation-sheet'!S101</f>
        <v>281921511.42893702</v>
      </c>
      <c r="T122" s="2">
        <f>T12/'Output-Calculation-sheet'!T11*'Output-Calculation-sheet'!T101</f>
        <v>0</v>
      </c>
      <c r="U122" s="2">
        <f>U12/'Output-Calculation-sheet'!U11*'Output-Calculation-sheet'!U101</f>
        <v>103659092.00187366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24357499.544017639</v>
      </c>
      <c r="Y122" s="2">
        <f>Y12/'Output-Calculation-sheet'!Y11*'Output-Calculation-sheet'!Y101</f>
        <v>100646590.35363898</v>
      </c>
      <c r="AA122" s="2">
        <f t="shared" si="10"/>
        <v>11179.356074594321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2693701485.5689077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2703046802.1168003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177061.30812845961</v>
      </c>
    </row>
    <row r="130" spans="1:27" x14ac:dyDescent="0.25">
      <c r="A130" s="2">
        <v>2032</v>
      </c>
      <c r="B130" s="2">
        <f>B9/'Output-Calculation-sheet'!B8*'Output-Calculation-sheet'!B107</f>
        <v>66158676882.970497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2406863400.3394971</v>
      </c>
      <c r="O130" s="2">
        <f>O9/'Output-Calculation-sheet'!O8*'Output-Calculation-sheet'!O107</f>
        <v>0</v>
      </c>
      <c r="P130" s="2">
        <f>P9/'Output-Calculation-sheet'!P8*'Output-Calculation-sheet'!P107</f>
        <v>7344221258.9272299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2137676103.5087426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232993.29641767329</v>
      </c>
    </row>
    <row r="131" spans="1:27" x14ac:dyDescent="0.25">
      <c r="A131" s="2">
        <v>2033</v>
      </c>
      <c r="B131" s="2">
        <f>B10/'Output-Calculation-sheet'!B9*'Output-Calculation-sheet'!B108</f>
        <v>55942658448.01561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2049890651.9748688</v>
      </c>
      <c r="O131" s="2">
        <f>O10/'Output-Calculation-sheet'!O9*'Output-Calculation-sheet'!O108</f>
        <v>0</v>
      </c>
      <c r="P131" s="2">
        <f>P10/'Output-Calculation-sheet'!P9*'Output-Calculation-sheet'!P108</f>
        <v>9428021291.7636242</v>
      </c>
      <c r="Q131" s="2">
        <f>Q10/'Output-Calculation-sheet'!Q9*'Output-Calculation-sheet'!Q108</f>
        <v>7953116937.6172352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1988284693.9033563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267005.49962346052</v>
      </c>
    </row>
    <row r="132" spans="1:27" x14ac:dyDescent="0.25">
      <c r="A132" s="2">
        <v>2034</v>
      </c>
      <c r="B132" s="2">
        <f>B11/'Output-Calculation-sheet'!B10*'Output-Calculation-sheet'!B109</f>
        <v>42168220103.239853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40704957260.162735</v>
      </c>
      <c r="F132" s="2">
        <f>F11/'Output-Calculation-sheet'!F10*'Output-Calculation-sheet'!F109</f>
        <v>26845886001.589813</v>
      </c>
      <c r="G132" s="2">
        <f>G11/'Output-Calculation-sheet'!G10*'Output-Calculation-sheet'!G109</f>
        <v>18863178608.02029</v>
      </c>
      <c r="H132" s="2">
        <f>H11/'Output-Calculation-sheet'!H10*'Output-Calculation-sheet'!H109</f>
        <v>0</v>
      </c>
      <c r="I132" s="2">
        <f>I11/'Output-Calculation-sheet'!I10*'Output-Calculation-sheet'!I109</f>
        <v>17184637289.90089</v>
      </c>
      <c r="J132" s="2">
        <f>J11/'Output-Calculation-sheet'!J10*'Output-Calculation-sheet'!J109</f>
        <v>16726454311.26395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12453666255.542286</v>
      </c>
      <c r="M132" s="2">
        <f>M11/'Output-Calculation-sheet'!M10*'Output-Calculation-sheet'!M109</f>
        <v>0</v>
      </c>
      <c r="N132" s="2">
        <f>N11/'Output-Calculation-sheet'!N10*'Output-Calculation-sheet'!N109</f>
        <v>1637446738.4442582</v>
      </c>
      <c r="O132" s="2">
        <f>O11/'Output-Calculation-sheet'!O10*'Output-Calculation-sheet'!O109</f>
        <v>0</v>
      </c>
      <c r="P132" s="2">
        <f>P11/'Output-Calculation-sheet'!P10*'Output-Calculation-sheet'!P109</f>
        <v>9303525985.6532097</v>
      </c>
      <c r="Q132" s="2">
        <f>Q11/'Output-Calculation-sheet'!Q10*'Output-Calculation-sheet'!Q109</f>
        <v>6039313777.873971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1123796373.7734129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3438901311.8274679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1108775396.7133472</v>
      </c>
      <c r="AA132" s="2">
        <f t="shared" si="11"/>
        <v>286346.23281334789</v>
      </c>
    </row>
    <row r="133" spans="1:27" x14ac:dyDescent="0.25">
      <c r="A133" s="2">
        <v>2035</v>
      </c>
      <c r="B133" s="2">
        <f>B12/'Output-Calculation-sheet'!B11*'Output-Calculation-sheet'!B110</f>
        <v>680139275.77676356</v>
      </c>
      <c r="C133" s="2">
        <f>C12/'Output-Calculation-sheet'!C11*'Output-Calculation-sheet'!C110</f>
        <v>0</v>
      </c>
      <c r="D133" s="2">
        <f>D12/'Output-Calculation-sheet'!D11*'Output-Calculation-sheet'!D110</f>
        <v>57499839666.942108</v>
      </c>
      <c r="E133" s="2">
        <f>E12/'Output-Calculation-sheet'!E11*'Output-Calculation-sheet'!E110</f>
        <v>22071996171.102764</v>
      </c>
      <c r="F133" s="2">
        <f>F12/'Output-Calculation-sheet'!F11*'Output-Calculation-sheet'!F110</f>
        <v>30110031821.978622</v>
      </c>
      <c r="G133" s="2">
        <f>G12/'Output-Calculation-sheet'!G11*'Output-Calculation-sheet'!G110</f>
        <v>20525927251.81831</v>
      </c>
      <c r="H133" s="2">
        <f>H12/'Output-Calculation-sheet'!H11*'Output-Calculation-sheet'!H110</f>
        <v>0</v>
      </c>
      <c r="I133" s="2">
        <f>I12/'Output-Calculation-sheet'!I11*'Output-Calculation-sheet'!I110</f>
        <v>19176472804.714386</v>
      </c>
      <c r="J133" s="2">
        <f>J12/'Output-Calculation-sheet'!J11*'Output-Calculation-sheet'!J110</f>
        <v>18359352537.337772</v>
      </c>
      <c r="K133" s="2">
        <f>K12/'Output-Calculation-sheet'!K11*'Output-Calculation-sheet'!K110</f>
        <v>18544212394.021362</v>
      </c>
      <c r="L133" s="2">
        <f>L12/'Output-Calculation-sheet'!L11*'Output-Calculation-sheet'!L110</f>
        <v>8754010887.7941761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3194038161.0350351</v>
      </c>
      <c r="Q133" s="2">
        <f>Q12/'Output-Calculation-sheet'!Q11*'Output-Calculation-sheet'!Q110</f>
        <v>2739957865.3541474</v>
      </c>
      <c r="R133" s="2">
        <f>R12/'Output-Calculation-sheet'!R11*'Output-Calculation-sheet'!R110</f>
        <v>11016678954.150963</v>
      </c>
      <c r="S133" s="2">
        <f>S12/'Output-Calculation-sheet'!S11*'Output-Calculation-sheet'!S110</f>
        <v>2834862.2067327439</v>
      </c>
      <c r="T133" s="2">
        <f>T12/'Output-Calculation-sheet'!T11*'Output-Calculation-sheet'!T110</f>
        <v>4447560624.4709225</v>
      </c>
      <c r="U133" s="2">
        <f>U12/'Output-Calculation-sheet'!U11*'Output-Calculation-sheet'!U110</f>
        <v>2087934638.3910947</v>
      </c>
      <c r="V133" s="2">
        <f>V12/'Output-Calculation-sheet'!V11*'Output-Calculation-sheet'!V110</f>
        <v>2999840154.2179995</v>
      </c>
      <c r="W133" s="2">
        <f>W12/'Output-Calculation-sheet'!W11*'Output-Calculation-sheet'!W110</f>
        <v>2587551405.8170223</v>
      </c>
      <c r="X133" s="2">
        <f>X12/'Output-Calculation-sheet'!X11*'Output-Calculation-sheet'!X110</f>
        <v>0</v>
      </c>
      <c r="Y133" s="2">
        <f>Y12/'Output-Calculation-sheet'!Y11*'Output-Calculation-sheet'!Y110</f>
        <v>592346292.84539342</v>
      </c>
      <c r="AA133" s="2">
        <f t="shared" si="11"/>
        <v>225390.72576997554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17520390449.80521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5507969436.9164753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3786095959.843636</v>
      </c>
      <c r="N140" s="2">
        <f>N8/'Output-Calculation-sheet'!N7*'Output-Calculation-sheet'!N115</f>
        <v>1429401291.6714816</v>
      </c>
      <c r="O140" s="2">
        <f>O8/'Output-Calculation-sheet'!O7*'Output-Calculation-sheet'!O115</f>
        <v>4204808398.9767985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411124564.36109555</v>
      </c>
      <c r="Y140" s="2">
        <f>Y8/'Output-Calculation-sheet'!Y7*'Output-Calculation-sheet'!Y115</f>
        <v>0</v>
      </c>
      <c r="AA140" s="2">
        <f t="shared" si="12"/>
        <v>32859.790101574697</v>
      </c>
    </row>
    <row r="141" spans="1:27" x14ac:dyDescent="0.25">
      <c r="A141" s="2">
        <v>2032</v>
      </c>
      <c r="B141" s="2">
        <f>B9/'Output-Calculation-sheet'!B8*'Output-Calculation-sheet'!B116</f>
        <v>7563463351.8234663</v>
      </c>
      <c r="C141" s="2">
        <f>C9/'Output-Calculation-sheet'!C8*'Output-Calculation-sheet'!C116</f>
        <v>32376095314.693935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8440307650.0040245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5794964695.1147327</v>
      </c>
      <c r="N141" s="2">
        <f>N9/'Output-Calculation-sheet'!N8*'Output-Calculation-sheet'!N116</f>
        <v>4023224244.7088695</v>
      </c>
      <c r="O141" s="2">
        <f>O9/'Output-Calculation-sheet'!O8*'Output-Calculation-sheet'!O116</f>
        <v>6284390383.3015928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1802042369.1137581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630761544.52841079</v>
      </c>
      <c r="Y141" s="2">
        <f>Y9/'Output-Calculation-sheet'!Y8*'Output-Calculation-sheet'!Y116</f>
        <v>0</v>
      </c>
      <c r="AA141" s="2">
        <f t="shared" si="12"/>
        <v>66915.249553288784</v>
      </c>
    </row>
    <row r="142" spans="1:27" x14ac:dyDescent="0.25">
      <c r="A142" s="2">
        <v>2033</v>
      </c>
      <c r="B142" s="2">
        <f>B10/'Output-Calculation-sheet'!B9*'Output-Calculation-sheet'!B117</f>
        <v>40588157316.575958</v>
      </c>
      <c r="C142" s="2">
        <f>C10/'Output-Calculation-sheet'!C9*'Output-Calculation-sheet'!C117</f>
        <v>42859417014.252235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13273878022.623085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9121637865.267765</v>
      </c>
      <c r="N142" s="2">
        <f>N10/'Output-Calculation-sheet'!N9*'Output-Calculation-sheet'!N117</f>
        <v>6880924607.2696295</v>
      </c>
      <c r="O142" s="2">
        <f>O10/'Output-Calculation-sheet'!O9*'Output-Calculation-sheet'!O117</f>
        <v>8318468903.4388514</v>
      </c>
      <c r="P142" s="2">
        <f>P10/'Output-Calculation-sheet'!P9*'Output-Calculation-sheet'!P117</f>
        <v>0</v>
      </c>
      <c r="Q142" s="2">
        <f>Q10/'Output-Calculation-sheet'!Q9*'Output-Calculation-sheet'!Q117</f>
        <v>1314158985.7542083</v>
      </c>
      <c r="R142" s="2">
        <f>R10/'Output-Calculation-sheet'!R9*'Output-Calculation-sheet'!R117</f>
        <v>0</v>
      </c>
      <c r="S142" s="2">
        <f>S10/'Output-Calculation-sheet'!S9*'Output-Calculation-sheet'!S117</f>
        <v>3345820366.367672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999986793.09511602</v>
      </c>
      <c r="Y142" s="2">
        <f>Y10/'Output-Calculation-sheet'!Y9*'Output-Calculation-sheet'!Y117</f>
        <v>0</v>
      </c>
      <c r="AA142" s="2">
        <f t="shared" si="12"/>
        <v>126702.44987464452</v>
      </c>
    </row>
    <row r="143" spans="1:27" x14ac:dyDescent="0.25">
      <c r="A143" s="2">
        <v>2034</v>
      </c>
      <c r="B143" s="2">
        <f>B11/'Output-Calculation-sheet'!B10*'Output-Calculation-sheet'!B118</f>
        <v>75729907156.334839</v>
      </c>
      <c r="C143" s="2">
        <f>C11/'Output-Calculation-sheet'!C10*'Output-Calculation-sheet'!C118</f>
        <v>58104212262.615868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16106776714.591915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11062313304.876751</v>
      </c>
      <c r="N143" s="2">
        <f>N11/'Output-Calculation-sheet'!N10*'Output-Calculation-sheet'!N118</f>
        <v>9733948283.6811199</v>
      </c>
      <c r="O143" s="2">
        <f>O11/'Output-Calculation-sheet'!O10*'Output-Calculation-sheet'!O118</f>
        <v>11288034261.490973</v>
      </c>
      <c r="P143" s="2">
        <f>P11/'Output-Calculation-sheet'!P10*'Output-Calculation-sheet'!P118</f>
        <v>2038021257.433183</v>
      </c>
      <c r="Q143" s="2">
        <f>Q11/'Output-Calculation-sheet'!Q10*'Output-Calculation-sheet'!Q118</f>
        <v>4783453647.0444775</v>
      </c>
      <c r="R143" s="2">
        <f>R11/'Output-Calculation-sheet'!R10*'Output-Calculation-sheet'!R118</f>
        <v>0</v>
      </c>
      <c r="S143" s="2">
        <f>S11/'Output-Calculation-sheet'!S10*'Output-Calculation-sheet'!S118</f>
        <v>5604797177.4237986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1214473689.0025799</v>
      </c>
      <c r="Y143" s="2">
        <f>Y11/'Output-Calculation-sheet'!Y10*'Output-Calculation-sheet'!Y118</f>
        <v>216736207.53567216</v>
      </c>
      <c r="AA143" s="2">
        <f t="shared" si="12"/>
        <v>195882.6739620312</v>
      </c>
    </row>
    <row r="144" spans="1:27" x14ac:dyDescent="0.25">
      <c r="A144" s="2">
        <v>2035</v>
      </c>
      <c r="B144" s="2">
        <f>B12/'Output-Calculation-sheet'!B11*'Output-Calculation-sheet'!B119</f>
        <v>139371000739.49146</v>
      </c>
      <c r="C144" s="2">
        <f>C12/'Output-Calculation-sheet'!C11*'Output-Calculation-sheet'!C119</f>
        <v>66956926425.994972</v>
      </c>
      <c r="D144" s="2">
        <f>D12/'Output-Calculation-sheet'!D11*'Output-Calculation-sheet'!D119</f>
        <v>0</v>
      </c>
      <c r="E144" s="2">
        <f>E12/'Output-Calculation-sheet'!E11*'Output-Calculation-sheet'!E119</f>
        <v>22538598134.292564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20228858013.313225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4644069666.6842356</v>
      </c>
      <c r="M144" s="2">
        <f>M12/'Output-Calculation-sheet'!M11*'Output-Calculation-sheet'!M119</f>
        <v>13786590850.138716</v>
      </c>
      <c r="N144" s="2">
        <f>N12/'Output-Calculation-sheet'!N11*'Output-Calculation-sheet'!N119</f>
        <v>13621219124.557091</v>
      </c>
      <c r="O144" s="2">
        <f>O12/'Output-Calculation-sheet'!O11*'Output-Calculation-sheet'!O119</f>
        <v>13016505485.061909</v>
      </c>
      <c r="P144" s="2">
        <f>P12/'Output-Calculation-sheet'!P11*'Output-Calculation-sheet'!P119</f>
        <v>9722957009.0511646</v>
      </c>
      <c r="Q144" s="2">
        <f>Q12/'Output-Calculation-sheet'!Q11*'Output-Calculation-sheet'!Q119</f>
        <v>9185290078.4251575</v>
      </c>
      <c r="R144" s="2">
        <f>R12/'Output-Calculation-sheet'!R11*'Output-Calculation-sheet'!R119</f>
        <v>1034035029.0857037</v>
      </c>
      <c r="S144" s="2">
        <f>S12/'Output-Calculation-sheet'!S11*'Output-Calculation-sheet'!S119</f>
        <v>7850146265.2237997</v>
      </c>
      <c r="T144" s="2">
        <f>T12/'Output-Calculation-sheet'!T11*'Output-Calculation-sheet'!T119</f>
        <v>0</v>
      </c>
      <c r="U144" s="2">
        <f>U12/'Output-Calculation-sheet'!U11*'Output-Calculation-sheet'!U119</f>
        <v>1707703295.6305153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1547204274.3906462</v>
      </c>
      <c r="Y144" s="2">
        <f>Y12/'Output-Calculation-sheet'!Y11*'Output-Calculation-sheet'!Y119</f>
        <v>827998382.55517697</v>
      </c>
      <c r="AA144" s="2">
        <f t="shared" si="12"/>
        <v>326039.10277389624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603538783.60024226</v>
      </c>
      <c r="C155" s="2">
        <f>C12/'Output-Calculation-sheet'!C11*'Output-Calculation-sheet'!C128</f>
        <v>57659440.632578008</v>
      </c>
      <c r="D155" s="2">
        <f>D12/'Output-Calculation-sheet'!D11*'Output-Calculation-sheet'!D128</f>
        <v>4319354176.4847126</v>
      </c>
      <c r="E155" s="2">
        <f>E12/'Output-Calculation-sheet'!E11*'Output-Calculation-sheet'!E128</f>
        <v>643963949.74221539</v>
      </c>
      <c r="F155" s="2">
        <f>F12/'Output-Calculation-sheet'!F11*'Output-Calculation-sheet'!F128</f>
        <v>1334024708.7379851</v>
      </c>
      <c r="G155" s="2">
        <f>G12/'Output-Calculation-sheet'!G11*'Output-Calculation-sheet'!G128</f>
        <v>1678375146.6440921</v>
      </c>
      <c r="H155" s="2">
        <f>H12/'Output-Calculation-sheet'!H11*'Output-Calculation-sheet'!H128</f>
        <v>127191436.33638878</v>
      </c>
      <c r="I155" s="2">
        <f>I12/'Output-Calculation-sheet'!I11*'Output-Calculation-sheet'!I128</f>
        <v>1009118177.7987424</v>
      </c>
      <c r="J155" s="2">
        <f>J12/'Output-Calculation-sheet'!J11*'Output-Calculation-sheet'!J128</f>
        <v>1135457726.6447814</v>
      </c>
      <c r="K155" s="2">
        <f>K12/'Output-Calculation-sheet'!K11*'Output-Calculation-sheet'!K128</f>
        <v>851162657.71897793</v>
      </c>
      <c r="L155" s="2">
        <f>L12/'Output-Calculation-sheet'!L11*'Output-Calculation-sheet'!L128</f>
        <v>270083917.68081558</v>
      </c>
      <c r="M155" s="2">
        <f>M12/'Output-Calculation-sheet'!M11*'Output-Calculation-sheet'!M128</f>
        <v>101118085.17748028</v>
      </c>
      <c r="N155" s="2">
        <f>N12/'Output-Calculation-sheet'!N11*'Output-Calculation-sheet'!N128</f>
        <v>92421405.998750865</v>
      </c>
      <c r="O155" s="2">
        <f>O12/'Output-Calculation-sheet'!O11*'Output-Calculation-sheet'!O128</f>
        <v>16326880.47085778</v>
      </c>
      <c r="P155" s="2">
        <f>P12/'Output-Calculation-sheet'!P11*'Output-Calculation-sheet'!P128</f>
        <v>68813128.67400676</v>
      </c>
      <c r="Q155" s="2">
        <f>Q12/'Output-Calculation-sheet'!Q11*'Output-Calculation-sheet'!Q128</f>
        <v>232790663.24798718</v>
      </c>
      <c r="R155" s="2">
        <f>R12/'Output-Calculation-sheet'!R11*'Output-Calculation-sheet'!R128</f>
        <v>471404535.3945353</v>
      </c>
      <c r="S155" s="2">
        <f>S12/'Output-Calculation-sheet'!S11*'Output-Calculation-sheet'!S128</f>
        <v>56671851.92309472</v>
      </c>
      <c r="T155" s="2">
        <f>T12/'Output-Calculation-sheet'!T11*'Output-Calculation-sheet'!T128</f>
        <v>147170244.53628254</v>
      </c>
      <c r="U155" s="2">
        <f>U12/'Output-Calculation-sheet'!U11*'Output-Calculation-sheet'!U128</f>
        <v>81005846.412267327</v>
      </c>
      <c r="V155" s="2">
        <f>V12/'Output-Calculation-sheet'!V11*'Output-Calculation-sheet'!V128</f>
        <v>60346084.859982096</v>
      </c>
      <c r="W155" s="2">
        <f>W12/'Output-Calculation-sheet'!W11*'Output-Calculation-sheet'!W128</f>
        <v>97541804.875365779</v>
      </c>
      <c r="X155" s="2">
        <f>X12/'Output-Calculation-sheet'!X11*'Output-Calculation-sheet'!X128</f>
        <v>3046443.212324244</v>
      </c>
      <c r="Y155" s="2">
        <f>Y12/'Output-Calculation-sheet'!Y11*'Output-Calculation-sheet'!Y128</f>
        <v>20431968.725411683</v>
      </c>
      <c r="AA155" s="2">
        <f t="shared" si="13"/>
        <v>13479.019065529879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6054.7848326899111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1834.0671328715712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1274.0158481988899</v>
      </c>
      <c r="N19" s="2">
        <f>N8/'Output-Calculation-sheet'!N7*'Output-Calculation-sheet'!N25</f>
        <v>1059.8306341964983</v>
      </c>
      <c r="O19" s="2">
        <f>O8/'Output-Calculation-sheet'!O7*'Output-Calculation-sheet'!O25</f>
        <v>665.15828129518457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137.88395435433188</v>
      </c>
      <c r="Y19" s="2">
        <f>Y8/'Output-Calculation-sheet'!Y7*'Output-Calculation-sheet'!Y25</f>
        <v>0</v>
      </c>
      <c r="AA19" s="2">
        <f t="shared" si="0"/>
        <v>12.80277422544979</v>
      </c>
    </row>
    <row r="20" spans="1:27" x14ac:dyDescent="0.25">
      <c r="A20" s="2">
        <v>2032</v>
      </c>
      <c r="B20" s="2">
        <f>B9/'Output-Calculation-sheet'!B8*'Output-Calculation-sheet'!B26</f>
        <v>6562.0990754947097</v>
      </c>
      <c r="C20" s="2">
        <f>C9/'Output-Calculation-sheet'!C8*'Output-Calculation-sheet'!C26</f>
        <v>3598.4949282724592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2160.1942736386609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1509.5586668488959</v>
      </c>
      <c r="N20" s="2">
        <f>N9/'Output-Calculation-sheet'!N8*'Output-Calculation-sheet'!N26</f>
        <v>1046.165291373813</v>
      </c>
      <c r="O20" s="2">
        <f>O9/'Output-Calculation-sheet'!O8*'Output-Calculation-sheet'!O26</f>
        <v>703.07922129275948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496.25186542537267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164.26202995255562</v>
      </c>
      <c r="Y20" s="2">
        <f>Y9/'Output-Calculation-sheet'!Y8*'Output-Calculation-sheet'!Y26</f>
        <v>0</v>
      </c>
      <c r="AA20" s="2">
        <f t="shared" si="0"/>
        <v>16.240105352299224</v>
      </c>
    </row>
    <row r="21" spans="1:27" x14ac:dyDescent="0.25">
      <c r="A21" s="2">
        <v>2033</v>
      </c>
      <c r="B21" s="2">
        <f>B10/'Output-Calculation-sheet'!B9*'Output-Calculation-sheet'!B27</f>
        <v>6268.0447937248809</v>
      </c>
      <c r="C21" s="2">
        <f>C10/'Output-Calculation-sheet'!C9*'Output-Calculation-sheet'!C27</f>
        <v>3852.6055951837388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1263.179965306615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894.08919982704458</v>
      </c>
      <c r="N21" s="2">
        <f>N10/'Output-Calculation-sheet'!N9*'Output-Calculation-sheet'!N27</f>
        <v>905.44171134251769</v>
      </c>
      <c r="O21" s="2">
        <f>O10/'Output-Calculation-sheet'!O9*'Output-Calculation-sheet'!O27</f>
        <v>754.25757846212991</v>
      </c>
      <c r="P21" s="2">
        <f>P10/'Output-Calculation-sheet'!P9*'Output-Calculation-sheet'!P27</f>
        <v>0</v>
      </c>
      <c r="Q21" s="2">
        <f>Q10/'Output-Calculation-sheet'!Q9*'Output-Calculation-sheet'!Q27</f>
        <v>10.689816441851274</v>
      </c>
      <c r="R21" s="2">
        <f>R10/'Output-Calculation-sheet'!R9*'Output-Calculation-sheet'!R27</f>
        <v>0</v>
      </c>
      <c r="S21" s="2">
        <f>S10/'Output-Calculation-sheet'!S9*'Output-Calculation-sheet'!S27</f>
        <v>431.13781952751083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89.278649152924388</v>
      </c>
      <c r="Y21" s="2">
        <f>Y10/'Output-Calculation-sheet'!Y9*'Output-Calculation-sheet'!Y27</f>
        <v>0</v>
      </c>
      <c r="AA21" s="2">
        <f t="shared" si="0"/>
        <v>14.468725128969211</v>
      </c>
    </row>
    <row r="22" spans="1:27" x14ac:dyDescent="0.25">
      <c r="A22" s="2">
        <v>2034</v>
      </c>
      <c r="B22" s="2">
        <f>B11/'Output-Calculation-sheet'!B10*'Output-Calculation-sheet'!B28</f>
        <v>5468.3981407834053</v>
      </c>
      <c r="C22" s="2">
        <f>C11/'Output-Calculation-sheet'!C10*'Output-Calculation-sheet'!C28</f>
        <v>552.01314932691878</v>
      </c>
      <c r="D22" s="2">
        <f>D11/'Output-Calculation-sheet'!D10*'Output-Calculation-sheet'!D28</f>
        <v>0</v>
      </c>
      <c r="E22" s="2">
        <f>E11/'Output-Calculation-sheet'!E10*'Output-Calculation-sheet'!E28</f>
        <v>1832.9819377691342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1453.4938705708453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1111.6707144161196</v>
      </c>
      <c r="M22" s="2">
        <f>M11/'Output-Calculation-sheet'!M10*'Output-Calculation-sheet'!M28</f>
        <v>1034.4460474280893</v>
      </c>
      <c r="N22" s="2">
        <f>N11/'Output-Calculation-sheet'!N10*'Output-Calculation-sheet'!N28</f>
        <v>691.53308440838111</v>
      </c>
      <c r="O22" s="2">
        <f>O11/'Output-Calculation-sheet'!O10*'Output-Calculation-sheet'!O28</f>
        <v>108.27866394018905</v>
      </c>
      <c r="P22" s="2">
        <f>P11/'Output-Calculation-sheet'!P10*'Output-Calculation-sheet'!P28</f>
        <v>0</v>
      </c>
      <c r="Q22" s="2">
        <f>Q11/'Output-Calculation-sheet'!Q10*'Output-Calculation-sheet'!Q28</f>
        <v>327.82891481820536</v>
      </c>
      <c r="R22" s="2">
        <f>R11/'Output-Calculation-sheet'!R10*'Output-Calculation-sheet'!R28</f>
        <v>0</v>
      </c>
      <c r="S22" s="2">
        <f>S11/'Output-Calculation-sheet'!S10*'Output-Calculation-sheet'!S28</f>
        <v>258.93192577949333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101.64152654862899</v>
      </c>
      <c r="Y22" s="2">
        <f>Y11/'Output-Calculation-sheet'!Y10*'Output-Calculation-sheet'!Y28</f>
        <v>19.33252048878834</v>
      </c>
      <c r="AA22" s="2">
        <f t="shared" si="0"/>
        <v>12.960550496278199</v>
      </c>
    </row>
    <row r="23" spans="1:27" x14ac:dyDescent="0.25">
      <c r="A23" s="2">
        <v>2035</v>
      </c>
      <c r="B23" s="2">
        <f>B12/'Output-Calculation-sheet'!B11*'Output-Calculation-sheet'!B29</f>
        <v>1837.2852156454151</v>
      </c>
      <c r="C23" s="2">
        <f>C12/'Output-Calculation-sheet'!C11*'Output-Calculation-sheet'!C29</f>
        <v>315.97746344864805</v>
      </c>
      <c r="D23" s="2">
        <f>D12/'Output-Calculation-sheet'!D11*'Output-Calculation-sheet'!D29</f>
        <v>0</v>
      </c>
      <c r="E23" s="2">
        <f>E12/'Output-Calculation-sheet'!E11*'Output-Calculation-sheet'!E29</f>
        <v>2572.6108013197236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492.81063025271806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1556.8887503095846</v>
      </c>
      <c r="M23" s="2">
        <f>M12/'Output-Calculation-sheet'!M11*'Output-Calculation-sheet'!M29</f>
        <v>444.53174417235829</v>
      </c>
      <c r="N23" s="2">
        <f>N12/'Output-Calculation-sheet'!N11*'Output-Calculation-sheet'!N29</f>
        <v>372.69521298387804</v>
      </c>
      <c r="O23" s="2">
        <f>O12/'Output-Calculation-sheet'!O11*'Output-Calculation-sheet'!O29</f>
        <v>53.85472901297247</v>
      </c>
      <c r="P23" s="2">
        <f>P12/'Output-Calculation-sheet'!P11*'Output-Calculation-sheet'!P29</f>
        <v>23.865592647186542</v>
      </c>
      <c r="Q23" s="2">
        <f>Q12/'Output-Calculation-sheet'!Q11*'Output-Calculation-sheet'!Q29</f>
        <v>480.50643109665361</v>
      </c>
      <c r="R23" s="2">
        <f>R12/'Output-Calculation-sheet'!R11*'Output-Calculation-sheet'!R29</f>
        <v>0</v>
      </c>
      <c r="S23" s="2">
        <f>S12/'Output-Calculation-sheet'!S11*'Output-Calculation-sheet'!S29</f>
        <v>182.48329023629648</v>
      </c>
      <c r="T23" s="2">
        <f>T12/'Output-Calculation-sheet'!T11*'Output-Calculation-sheet'!T29</f>
        <v>0</v>
      </c>
      <c r="U23" s="2">
        <f>U12/'Output-Calculation-sheet'!U11*'Output-Calculation-sheet'!U29</f>
        <v>130.8357734378603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15.766243518572775</v>
      </c>
      <c r="Y23" s="2">
        <f>Y12/'Output-Calculation-sheet'!Y11*'Output-Calculation-sheet'!Y29</f>
        <v>84.493262527928124</v>
      </c>
      <c r="AA23" s="2">
        <f t="shared" si="0"/>
        <v>8.5646051406097978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1208.1845043314672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47.369838319473814</v>
      </c>
    </row>
    <row r="31" spans="1:27" x14ac:dyDescent="0.25">
      <c r="A31" s="2">
        <v>2032</v>
      </c>
      <c r="B31" s="2">
        <f>B9/'Output-Calculation-sheet'!B8*'Output-Calculation-sheet'!B17</f>
        <v>27589.781794053077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1078.7895455434111</v>
      </c>
      <c r="O31" s="2">
        <f>O9/'Output-Calculation-sheet'!O8*'Output-Calculation-sheet'!O17</f>
        <v>0</v>
      </c>
      <c r="P31" s="2">
        <f>P9/'Output-Calculation-sheet'!P8*'Output-Calculation-sheet'!P17</f>
        <v>2696.9811203888207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892.87934524836055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63.212185764519781</v>
      </c>
    </row>
    <row r="32" spans="1:27" x14ac:dyDescent="0.25">
      <c r="A32" s="2">
        <v>2033</v>
      </c>
      <c r="B32" s="2">
        <f>B10/'Output-Calculation-sheet'!B9*'Output-Calculation-sheet'!B18</f>
        <v>22673.175191156708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3549.8004214769708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917.70110583919541</v>
      </c>
      <c r="O32" s="2">
        <f>O10/'Output-Calculation-sheet'!O9*'Output-Calculation-sheet'!O18</f>
        <v>0</v>
      </c>
      <c r="P32" s="2">
        <f>P10/'Output-Calculation-sheet'!P9*'Output-Calculation-sheet'!P18</f>
        <v>3653.4540705958602</v>
      </c>
      <c r="Q32" s="2">
        <f>Q10/'Output-Calculation-sheet'!Q9*'Output-Calculation-sheet'!Q18</f>
        <v>3382.5933357682966</v>
      </c>
      <c r="R32" s="2">
        <f>R10/'Output-Calculation-sheet'!R9*'Output-Calculation-sheet'!R18</f>
        <v>2623.4497159166567</v>
      </c>
      <c r="S32" s="2">
        <f>S10/'Output-Calculation-sheet'!S9*'Output-Calculation-sheet'!S18</f>
        <v>834.83675107896681</v>
      </c>
      <c r="T32" s="2">
        <f>T10/'Output-Calculation-sheet'!T9*'Output-Calculation-sheet'!T18</f>
        <v>765.96790405093634</v>
      </c>
      <c r="U32" s="2">
        <f>U10/'Output-Calculation-sheet'!U9*'Output-Calculation-sheet'!U18</f>
        <v>846.76972106445419</v>
      </c>
      <c r="V32" s="2">
        <f>V10/'Output-Calculation-sheet'!V9*'Output-Calculation-sheet'!V18</f>
        <v>625.03026483227188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361.84330201609026</v>
      </c>
      <c r="AA32" s="2">
        <f t="shared" si="1"/>
        <v>72.080121934785438</v>
      </c>
    </row>
    <row r="33" spans="1:27" x14ac:dyDescent="0.25">
      <c r="A33" s="2">
        <v>2034</v>
      </c>
      <c r="B33" s="2">
        <f>B11/'Output-Calculation-sheet'!B10*'Output-Calculation-sheet'!B19</f>
        <v>16545.479971171058</v>
      </c>
      <c r="C33" s="2">
        <f>C11/'Output-Calculation-sheet'!C10*'Output-Calculation-sheet'!C19</f>
        <v>0</v>
      </c>
      <c r="D33" s="2">
        <f>D11/'Output-Calculation-sheet'!D10*'Output-Calculation-sheet'!D19</f>
        <v>11002.434330728502</v>
      </c>
      <c r="E33" s="2">
        <f>E11/'Output-Calculation-sheet'!E10*'Output-Calculation-sheet'!E19</f>
        <v>13638.693121838251</v>
      </c>
      <c r="F33" s="2">
        <f>F11/'Output-Calculation-sheet'!F10*'Output-Calculation-sheet'!F19</f>
        <v>6244.9212019313636</v>
      </c>
      <c r="G33" s="2">
        <f>G11/'Output-Calculation-sheet'!G10*'Output-Calculation-sheet'!G19</f>
        <v>3744.8429254085681</v>
      </c>
      <c r="H33" s="2">
        <f>H11/'Output-Calculation-sheet'!H10*'Output-Calculation-sheet'!H19</f>
        <v>0</v>
      </c>
      <c r="I33" s="2">
        <f>I11/'Output-Calculation-sheet'!I10*'Output-Calculation-sheet'!I19</f>
        <v>4086.68103172475</v>
      </c>
      <c r="J33" s="2">
        <f>J11/'Output-Calculation-sheet'!J10*'Output-Calculation-sheet'!J19</f>
        <v>3455.1602560880674</v>
      </c>
      <c r="K33" s="2">
        <f>K11/'Output-Calculation-sheet'!K10*'Output-Calculation-sheet'!K19</f>
        <v>4793.0504290881763</v>
      </c>
      <c r="L33" s="2">
        <f>L11/'Output-Calculation-sheet'!L10*'Output-Calculation-sheet'!L19</f>
        <v>3898.2003353464165</v>
      </c>
      <c r="M33" s="2">
        <f>M11/'Output-Calculation-sheet'!M10*'Output-Calculation-sheet'!M19</f>
        <v>0</v>
      </c>
      <c r="N33" s="2">
        <f>N11/'Output-Calculation-sheet'!N10*'Output-Calculation-sheet'!N19</f>
        <v>739.95671953056865</v>
      </c>
      <c r="O33" s="2">
        <f>O11/'Output-Calculation-sheet'!O10*'Output-Calculation-sheet'!O19</f>
        <v>0</v>
      </c>
      <c r="P33" s="2">
        <f>P11/'Output-Calculation-sheet'!P10*'Output-Calculation-sheet'!P19</f>
        <v>3662.9063278939493</v>
      </c>
      <c r="Q33" s="2">
        <f>Q11/'Output-Calculation-sheet'!Q10*'Output-Calculation-sheet'!Q19</f>
        <v>2367.8513736222872</v>
      </c>
      <c r="R33" s="2">
        <f>R11/'Output-Calculation-sheet'!R10*'Output-Calculation-sheet'!R19</f>
        <v>3463.3250921173462</v>
      </c>
      <c r="S33" s="2">
        <f>S11/'Output-Calculation-sheet'!S10*'Output-Calculation-sheet'!S19</f>
        <v>470.3897877404857</v>
      </c>
      <c r="T33" s="2">
        <f>T11/'Output-Calculation-sheet'!T10*'Output-Calculation-sheet'!T19</f>
        <v>1015.7747401073476</v>
      </c>
      <c r="U33" s="2">
        <f>U11/'Output-Calculation-sheet'!U10*'Output-Calculation-sheet'!U19</f>
        <v>1168.4441378685303</v>
      </c>
      <c r="V33" s="2">
        <f>V11/'Output-Calculation-sheet'!V10*'Output-Calculation-sheet'!V19</f>
        <v>796.7901696220672</v>
      </c>
      <c r="W33" s="2">
        <f>W11/'Output-Calculation-sheet'!W10*'Output-Calculation-sheet'!W19</f>
        <v>496.05408676952891</v>
      </c>
      <c r="X33" s="2">
        <f>X11/'Output-Calculation-sheet'!X10*'Output-Calculation-sheet'!X19</f>
        <v>0</v>
      </c>
      <c r="Y33" s="2">
        <f>Y11/'Output-Calculation-sheet'!Y10*'Output-Calculation-sheet'!Y19</f>
        <v>378.76012036960077</v>
      </c>
      <c r="AA33" s="2">
        <f t="shared" si="1"/>
        <v>81.969716158966833</v>
      </c>
    </row>
    <row r="34" spans="1:27" x14ac:dyDescent="0.25">
      <c r="A34" s="2">
        <v>2035</v>
      </c>
      <c r="B34" s="2">
        <f>B12/'Output-Calculation-sheet'!B11*'Output-Calculation-sheet'!B20</f>
        <v>261.90739188171392</v>
      </c>
      <c r="C34" s="2">
        <f>C12/'Output-Calculation-sheet'!C11*'Output-Calculation-sheet'!C20</f>
        <v>0</v>
      </c>
      <c r="D34" s="2">
        <f>D12/'Output-Calculation-sheet'!D11*'Output-Calculation-sheet'!D20</f>
        <v>12976.303992299385</v>
      </c>
      <c r="E34" s="2">
        <f>E12/'Output-Calculation-sheet'!E11*'Output-Calculation-sheet'!E20</f>
        <v>5229.3223242682807</v>
      </c>
      <c r="F34" s="2">
        <f>F12/'Output-Calculation-sheet'!F11*'Output-Calculation-sheet'!F20</f>
        <v>8572.8012716558242</v>
      </c>
      <c r="G34" s="2">
        <f>G12/'Output-Calculation-sheet'!G11*'Output-Calculation-sheet'!G20</f>
        <v>4289.5245998431574</v>
      </c>
      <c r="H34" s="2">
        <f>H12/'Output-Calculation-sheet'!H11*'Output-Calculation-sheet'!H20</f>
        <v>0</v>
      </c>
      <c r="I34" s="2">
        <f>I12/'Output-Calculation-sheet'!I11*'Output-Calculation-sheet'!I20</f>
        <v>5199.8625360518417</v>
      </c>
      <c r="J34" s="2">
        <f>J12/'Output-Calculation-sheet'!J11*'Output-Calculation-sheet'!J20</f>
        <v>4357.4138504994298</v>
      </c>
      <c r="K34" s="2">
        <f>K12/'Output-Calculation-sheet'!K11*'Output-Calculation-sheet'!K20</f>
        <v>6147.6784505273354</v>
      </c>
      <c r="L34" s="2">
        <f>L12/'Output-Calculation-sheet'!L11*'Output-Calculation-sheet'!L20</f>
        <v>2348.395297306723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990.29904861227214</v>
      </c>
      <c r="Q34" s="2">
        <f>Q12/'Output-Calculation-sheet'!Q11*'Output-Calculation-sheet'!Q20</f>
        <v>962.64024059922758</v>
      </c>
      <c r="R34" s="2">
        <f>R12/'Output-Calculation-sheet'!R11*'Output-Calculation-sheet'!R20</f>
        <v>3877.3980374611178</v>
      </c>
      <c r="S34" s="2">
        <f>S12/'Output-Calculation-sheet'!S11*'Output-Calculation-sheet'!S20</f>
        <v>1.2115931877851154</v>
      </c>
      <c r="T34" s="2">
        <f>T12/'Output-Calculation-sheet'!T11*'Output-Calculation-sheet'!T20</f>
        <v>1274.3978829947387</v>
      </c>
      <c r="U34" s="2">
        <f>U12/'Output-Calculation-sheet'!U11*'Output-Calculation-sheet'!U20</f>
        <v>536.57658089703011</v>
      </c>
      <c r="V34" s="2">
        <f>V12/'Output-Calculation-sheet'!V11*'Output-Calculation-sheet'!V20</f>
        <v>1151.9672588224914</v>
      </c>
      <c r="W34" s="2">
        <f>W12/'Output-Calculation-sheet'!W11*'Output-Calculation-sheet'!W20</f>
        <v>682.23569577675767</v>
      </c>
      <c r="X34" s="2">
        <f>X12/'Output-Calculation-sheet'!X11*'Output-Calculation-sheet'!X20</f>
        <v>0</v>
      </c>
      <c r="Y34" s="2">
        <f>Y12/'Output-Calculation-sheet'!Y11*'Output-Calculation-sheet'!Y20</f>
        <v>145.09032444713262</v>
      </c>
      <c r="AA34" s="2">
        <f t="shared" si="1"/>
        <v>59.005026377132239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0.11223274528167419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1.5330351956833637E-2</v>
      </c>
      <c r="Q45" s="2">
        <f>Q12/'Output-Calculation-sheet'!Q11*'Output-Calculation-sheet'!Q38*0.0114</f>
        <v>1.4539274159476404E-2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1.3916707984968002E-2</v>
      </c>
      <c r="V45" s="2">
        <f>V12/'Output-Calculation-sheet'!V11*'Output-Calculation-sheet'!V38*0.0114</f>
        <v>7.1539984036274387E-3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5.3623220924264624E-3</v>
      </c>
      <c r="AA45" s="2">
        <f t="shared" si="2"/>
        <v>1.2701383176198096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0.17591129588282256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232.59475632236092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0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21.702808572375112</v>
      </c>
      <c r="AA54" s="2">
        <f t="shared" si="3"/>
        <v>5.7294558002956544</v>
      </c>
    </row>
    <row r="55" spans="1:27" x14ac:dyDescent="0.25">
      <c r="A55" s="2">
        <v>2034</v>
      </c>
      <c r="B55" s="2">
        <f>B11/'Output-Calculation-sheet'!B10*'Output-Calculation-sheet'!B46</f>
        <v>2161.7867601321718</v>
      </c>
      <c r="C55" s="2">
        <f>C11/'Output-Calculation-sheet'!C10*'Output-Calculation-sheet'!C46</f>
        <v>0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736.97189390485687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546.22817444120233</v>
      </c>
      <c r="N55" s="2">
        <f>N11/'Output-Calculation-sheet'!N10*'Output-Calculation-sheet'!N46</f>
        <v>186.54598444365769</v>
      </c>
      <c r="O55" s="2">
        <f>O11/'Output-Calculation-sheet'!O10*'Output-Calculation-sheet'!O46</f>
        <v>0</v>
      </c>
      <c r="P55" s="2">
        <f>P11/'Output-Calculation-sheet'!P10*'Output-Calculation-sheet'!P46</f>
        <v>4057.1249511912315</v>
      </c>
      <c r="Q55" s="2">
        <f>Q11/'Output-Calculation-sheet'!Q10*'Output-Calculation-sheet'!Q46</f>
        <v>783.52752555919938</v>
      </c>
      <c r="R55" s="2">
        <f>R11/'Output-Calculation-sheet'!R10*'Output-Calculation-sheet'!R46</f>
        <v>5024.6159163228249</v>
      </c>
      <c r="S55" s="2">
        <f>S11/'Output-Calculation-sheet'!S10*'Output-Calculation-sheet'!S46</f>
        <v>0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1909.177566260759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52.1340485678882</v>
      </c>
      <c r="Y55" s="2">
        <f>Y11/'Output-Calculation-sheet'!Y10*'Output-Calculation-sheet'!Y46</f>
        <v>270.72492373560107</v>
      </c>
      <c r="AA55" s="2">
        <f t="shared" si="3"/>
        <v>54.094734039339315</v>
      </c>
    </row>
    <row r="56" spans="1:27" x14ac:dyDescent="0.25">
      <c r="A56" s="2">
        <v>2035</v>
      </c>
      <c r="B56" s="2">
        <f>B12/'Output-Calculation-sheet'!B11*'Output-Calculation-sheet'!B47</f>
        <v>721.87322545865584</v>
      </c>
      <c r="C56" s="2">
        <f>C12/'Output-Calculation-sheet'!C11*'Output-Calculation-sheet'!C47</f>
        <v>545.39150584187985</v>
      </c>
      <c r="D56" s="2">
        <f>D12/'Output-Calculation-sheet'!D11*'Output-Calculation-sheet'!D47</f>
        <v>25766.543807679849</v>
      </c>
      <c r="E56" s="2">
        <f>E12/'Output-Calculation-sheet'!E11*'Output-Calculation-sheet'!E47</f>
        <v>11823.818165200939</v>
      </c>
      <c r="F56" s="2">
        <f>F12/'Output-Calculation-sheet'!F11*'Output-Calculation-sheet'!F47</f>
        <v>6061.7855522571799</v>
      </c>
      <c r="G56" s="2">
        <f>G12/'Output-Calculation-sheet'!G11*'Output-Calculation-sheet'!G47</f>
        <v>9734.0783629744619</v>
      </c>
      <c r="H56" s="2">
        <f>H12/'Output-Calculation-sheet'!H11*'Output-Calculation-sheet'!H47</f>
        <v>210.93673381799366</v>
      </c>
      <c r="I56" s="2">
        <f>I12/'Output-Calculation-sheet'!I11*'Output-Calculation-sheet'!I47</f>
        <v>8867.1150761782592</v>
      </c>
      <c r="J56" s="2">
        <f>J12/'Output-Calculation-sheet'!J11*'Output-Calculation-sheet'!J47</f>
        <v>7650.1374270283568</v>
      </c>
      <c r="K56" s="2">
        <f>K12/'Output-Calculation-sheet'!K11*'Output-Calculation-sheet'!K47</f>
        <v>10317.714436896922</v>
      </c>
      <c r="L56" s="2">
        <f>L12/'Output-Calculation-sheet'!L11*'Output-Calculation-sheet'!L47</f>
        <v>4599.5212621161299</v>
      </c>
      <c r="M56" s="2">
        <f>M12/'Output-Calculation-sheet'!M11*'Output-Calculation-sheet'!M47</f>
        <v>195.50143009226065</v>
      </c>
      <c r="N56" s="2">
        <f>N12/'Output-Calculation-sheet'!N11*'Output-Calculation-sheet'!N47</f>
        <v>132.46442599794909</v>
      </c>
      <c r="O56" s="2">
        <f>O12/'Output-Calculation-sheet'!O11*'Output-Calculation-sheet'!O47</f>
        <v>99.162468293068414</v>
      </c>
      <c r="P56" s="2">
        <f>P12/'Output-Calculation-sheet'!P11*'Output-Calculation-sheet'!P47</f>
        <v>1035.4711409440265</v>
      </c>
      <c r="Q56" s="2">
        <f>Q12/'Output-Calculation-sheet'!Q11*'Output-Calculation-sheet'!Q47</f>
        <v>985.86481800660169</v>
      </c>
      <c r="R56" s="2">
        <f>R12/'Output-Calculation-sheet'!R11*'Output-Calculation-sheet'!R47</f>
        <v>7273.7188135364577</v>
      </c>
      <c r="S56" s="2">
        <f>S12/'Output-Calculation-sheet'!S11*'Output-Calculation-sheet'!S47</f>
        <v>69.25773731829517</v>
      </c>
      <c r="T56" s="2">
        <f>T12/'Output-Calculation-sheet'!T11*'Output-Calculation-sheet'!T47</f>
        <v>3184.6564592538953</v>
      </c>
      <c r="U56" s="2">
        <f>U12/'Output-Calculation-sheet'!U11*'Output-Calculation-sheet'!U47</f>
        <v>1280.9882086748323</v>
      </c>
      <c r="V56" s="2">
        <f>V12/'Output-Calculation-sheet'!V11*'Output-Calculation-sheet'!V47</f>
        <v>1728.5691756834894</v>
      </c>
      <c r="W56" s="2">
        <f>W12/'Output-Calculation-sheet'!W11*'Output-Calculation-sheet'!W47</f>
        <v>925.69883725413638</v>
      </c>
      <c r="X56" s="2">
        <f>X12/'Output-Calculation-sheet'!X11*'Output-Calculation-sheet'!X47</f>
        <v>14.947848796940294</v>
      </c>
      <c r="Y56" s="2">
        <f>Y12/'Output-Calculation-sheet'!Y11*'Output-Calculation-sheet'!Y47</f>
        <v>303.39453943991828</v>
      </c>
      <c r="AA56" s="2">
        <f t="shared" si="3"/>
        <v>103.52861145874252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8.7361559426137045</v>
      </c>
      <c r="C63" s="2">
        <f>C8*'Output-Calculation-sheet'!C52/10^9</f>
        <v>4.6673038091240828</v>
      </c>
      <c r="D63" s="2">
        <f>D8*'Output-Calculation-sheet'!D52/10^9</f>
        <v>2.9958150904551855</v>
      </c>
      <c r="E63" s="2">
        <f>E8*'Output-Calculation-sheet'!E52/10^9</f>
        <v>2.978643792175109</v>
      </c>
      <c r="F63" s="2">
        <f>F8*'Output-Calculation-sheet'!F52/10^9</f>
        <v>1.261455399742939</v>
      </c>
      <c r="G63" s="2">
        <f>G8*'Output-Calculation-sheet'!G52/10^9</f>
        <v>0.90692944472655956</v>
      </c>
      <c r="H63" s="2">
        <f>H8*'Output-Calculation-sheet'!H52/10^9</f>
        <v>1.4750336154312831</v>
      </c>
      <c r="I63" s="2">
        <f>I8*'Output-Calculation-sheet'!I52/10^9</f>
        <v>0.84365493857720386</v>
      </c>
      <c r="J63" s="2">
        <f>J8*'Output-Calculation-sheet'!J52/10^9</f>
        <v>1.1609263800435787</v>
      </c>
      <c r="K63" s="2">
        <f>K8*'Output-Calculation-sheet'!K52/10^9</f>
        <v>1.0199770800449435</v>
      </c>
      <c r="L63" s="2">
        <f>L8*'Output-Calculation-sheet'!L52/10^9</f>
        <v>1.3719182480405965</v>
      </c>
      <c r="M63" s="2">
        <f>M8*'Output-Calculation-sheet'!M52/10^9</f>
        <v>1.2083961598029556</v>
      </c>
      <c r="N63" s="2">
        <f>N8*'Output-Calculation-sheet'!N52/10^9</f>
        <v>1.0662344421027878</v>
      </c>
      <c r="O63" s="2">
        <f>O8*'Output-Calculation-sheet'!O52/10^9</f>
        <v>0.95489006815962507</v>
      </c>
      <c r="P63" s="2">
        <f>P8*'Output-Calculation-sheet'!P52/10^9</f>
        <v>0.70477664843476728</v>
      </c>
      <c r="Q63" s="2">
        <f>Q8*'Output-Calculation-sheet'!Q52/10^9</f>
        <v>0.79760063411694659</v>
      </c>
      <c r="R63" s="2">
        <f>R8*'Output-Calculation-sheet'!R52/10^9</f>
        <v>0.71608704550571911</v>
      </c>
      <c r="S63" s="2">
        <f>S8*'Output-Calculation-sheet'!S52/10^9</f>
        <v>0.53064587294367305</v>
      </c>
      <c r="T63" s="2">
        <f>T8*'Output-Calculation-sheet'!T52/10^9</f>
        <v>0.27224606542728774</v>
      </c>
      <c r="U63" s="2">
        <f>U8*'Output-Calculation-sheet'!U52/10^9</f>
        <v>0.18697568043839319</v>
      </c>
      <c r="V63" s="2">
        <f>V8*'Output-Calculation-sheet'!V52/10^9</f>
        <v>0.33183764696041784</v>
      </c>
      <c r="W63" s="2">
        <f>W8*'Output-Calculation-sheet'!W52/10^9</f>
        <v>0.12010968144870078</v>
      </c>
      <c r="X63" s="2">
        <f>X8*'Output-Calculation-sheet'!X52/10^9</f>
        <v>0.12375878944491053</v>
      </c>
      <c r="Y63" s="2">
        <f>Y8*'Output-Calculation-sheet'!Y52/10^9</f>
        <v>7.8368225987179102E-2</v>
      </c>
      <c r="AA63" s="2">
        <f t="shared" si="4"/>
        <v>34.509740701748548</v>
      </c>
    </row>
    <row r="64" spans="1:27" x14ac:dyDescent="0.25">
      <c r="A64" s="2">
        <v>2032</v>
      </c>
      <c r="B64" s="2">
        <f>B9*'Output-Calculation-sheet'!B53/10^9</f>
        <v>9.4082061869057672</v>
      </c>
      <c r="C64" s="2">
        <f>C9*'Output-Calculation-sheet'!C53/10^9</f>
        <v>4.9875806696057268</v>
      </c>
      <c r="D64" s="2">
        <f>D9*'Output-Calculation-sheet'!D53/10^9</f>
        <v>2.7864040614318748</v>
      </c>
      <c r="E64" s="2">
        <f>E9*'Output-Calculation-sheet'!E53/10^9</f>
        <v>2.8534003548346965</v>
      </c>
      <c r="F64" s="2">
        <f>F9*'Output-Calculation-sheet'!F53/10^9</f>
        <v>1.2035463773799935</v>
      </c>
      <c r="G64" s="2">
        <f>G9*'Output-Calculation-sheet'!G53/10^9</f>
        <v>0.85664749361030479</v>
      </c>
      <c r="H64" s="2">
        <f>H9*'Output-Calculation-sheet'!H53/10^9</f>
        <v>1.5653151915086048</v>
      </c>
      <c r="I64" s="2">
        <f>I9*'Output-Calculation-sheet'!I53/10^9</f>
        <v>0.80082539918209528</v>
      </c>
      <c r="J64" s="2">
        <f>J9*'Output-Calculation-sheet'!J53/10^9</f>
        <v>1.0601301127823324</v>
      </c>
      <c r="K64" s="2">
        <f>K9*'Output-Calculation-sheet'!K53/10^9</f>
        <v>0.98365651023798684</v>
      </c>
      <c r="L64" s="2">
        <f>L9*'Output-Calculation-sheet'!L53/10^9</f>
        <v>1.2654711603419546</v>
      </c>
      <c r="M64" s="2">
        <f>M9*'Output-Calculation-sheet'!M53/10^9</f>
        <v>1.2418945273573392</v>
      </c>
      <c r="N64" s="2">
        <f>N9*'Output-Calculation-sheet'!N53/10^9</f>
        <v>1.1181063398098419</v>
      </c>
      <c r="O64" s="2">
        <f>O9*'Output-Calculation-sheet'!O53/10^9</f>
        <v>1.0100224362242958</v>
      </c>
      <c r="P64" s="2">
        <f>P9*'Output-Calculation-sheet'!P53/10^9</f>
        <v>0.74995642641715066</v>
      </c>
      <c r="Q64" s="2">
        <f>Q9*'Output-Calculation-sheet'!Q53/10^9</f>
        <v>0.82883110452861275</v>
      </c>
      <c r="R64" s="2">
        <f>R9*'Output-Calculation-sheet'!R53/10^9</f>
        <v>0.71050398653432134</v>
      </c>
      <c r="S64" s="2">
        <f>S9*'Output-Calculation-sheet'!S53/10^9</f>
        <v>0.57172267641007124</v>
      </c>
      <c r="T64" s="2">
        <f>T9*'Output-Calculation-sheet'!T53/10^9</f>
        <v>0.2554066745680873</v>
      </c>
      <c r="U64" s="2">
        <f>U9*'Output-Calculation-sheet'!U53/10^9</f>
        <v>0.19223927882989594</v>
      </c>
      <c r="V64" s="2">
        <f>V9*'Output-Calculation-sheet'!V53/10^9</f>
        <v>0.30315045158307108</v>
      </c>
      <c r="W64" s="2">
        <f>W9*'Output-Calculation-sheet'!W53/10^9</f>
        <v>0.11264504896378308</v>
      </c>
      <c r="X64" s="2">
        <f>X9*'Output-Calculation-sheet'!X53/10^9</f>
        <v>0.12914593705038149</v>
      </c>
      <c r="Y64" s="2">
        <f>Y9*'Output-Calculation-sheet'!Y53/10^9</f>
        <v>7.8922838514062871E-2</v>
      </c>
      <c r="AA64" s="2">
        <f t="shared" si="4"/>
        <v>35.07373124461224</v>
      </c>
    </row>
    <row r="65" spans="1:27" x14ac:dyDescent="0.25">
      <c r="A65" s="2">
        <v>2033</v>
      </c>
      <c r="B65" s="2">
        <f>B10*'Output-Calculation-sheet'!B54/10^9</f>
        <v>9.8441172967903263</v>
      </c>
      <c r="C65" s="2">
        <f>C10*'Output-Calculation-sheet'!C54/10^9</f>
        <v>5.0886006499037233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1.5979923492058623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0.93103088804415357</v>
      </c>
      <c r="L65" s="2">
        <f>L10*'Output-Calculation-sheet'!L54/10^9</f>
        <v>1.0996620298559128</v>
      </c>
      <c r="M65" s="2">
        <f>M10*'Output-Calculation-sheet'!M54/10^9</f>
        <v>1.2185709346603328</v>
      </c>
      <c r="N65" s="2">
        <f>N10*'Output-Calculation-sheet'!N54/10^9</f>
        <v>1.1181881553662565</v>
      </c>
      <c r="O65" s="2">
        <f>O10*'Output-Calculation-sheet'!O54/10^9</f>
        <v>1.0197780716602494</v>
      </c>
      <c r="P65" s="2">
        <f>P10*'Output-Calculation-sheet'!P54/10^9</f>
        <v>0.78769964088460687</v>
      </c>
      <c r="Q65" s="2">
        <f>Q10*'Output-Calculation-sheet'!Q54/10^9</f>
        <v>0.85806958050863114</v>
      </c>
      <c r="R65" s="2">
        <f>R10*'Output-Calculation-sheet'!R54/10^9</f>
        <v>0.69348259942181689</v>
      </c>
      <c r="S65" s="2">
        <f>S10*'Output-Calculation-sheet'!S54/10^9</f>
        <v>0.58984263549100746</v>
      </c>
      <c r="T65" s="2">
        <f>T10*'Output-Calculation-sheet'!T54/10^9</f>
        <v>0.23186269366320314</v>
      </c>
      <c r="U65" s="2">
        <f>U10*'Output-Calculation-sheet'!U54/10^9</f>
        <v>0.20020755319961339</v>
      </c>
      <c r="V65" s="2">
        <f>V10*'Output-Calculation-sheet'!V54/10^9</f>
        <v>0.25660195774937894</v>
      </c>
      <c r="W65" s="2">
        <f>W10*'Output-Calculation-sheet'!W54/10^9</f>
        <v>9.7693359124701951E-2</v>
      </c>
      <c r="X65" s="2">
        <f>X10*'Output-Calculation-sheet'!X54/10^9</f>
        <v>0.1277680229874974</v>
      </c>
      <c r="Y65" s="2">
        <f>Y10*'Output-Calculation-sheet'!Y54/10^9</f>
        <v>8.040845685377912E-2</v>
      </c>
      <c r="AA65" s="2">
        <f t="shared" si="4"/>
        <v>34.364836886473519</v>
      </c>
    </row>
    <row r="66" spans="1:27" x14ac:dyDescent="0.25">
      <c r="A66" s="2">
        <v>2034</v>
      </c>
      <c r="B66" s="2">
        <f>B11*'Output-Calculation-sheet'!B55/10^9</f>
        <v>10.055803761937877</v>
      </c>
      <c r="C66" s="2">
        <f>C11*'Output-Calculation-sheet'!C55/10^9</f>
        <v>5.0584693670899199</v>
      </c>
      <c r="D66" s="2">
        <f>D11*'Output-Calculation-sheet'!D55/10^9</f>
        <v>2.2694353121084867</v>
      </c>
      <c r="E66" s="2">
        <f>E11*'Output-Calculation-sheet'!E55/10^9</f>
        <v>2.7481275938226872</v>
      </c>
      <c r="F66" s="2">
        <f>F11*'Output-Calculation-sheet'!F55/10^9</f>
        <v>1.0561502254620143</v>
      </c>
      <c r="G66" s="2">
        <f>G11*'Output-Calculation-sheet'!G55/10^9</f>
        <v>0.75490645757928243</v>
      </c>
      <c r="H66" s="2">
        <f>H11*'Output-Calculation-sheet'!H55/10^9</f>
        <v>1.5753129397976546</v>
      </c>
      <c r="I66" s="2">
        <f>I11*'Output-Calculation-sheet'!I55/10^9</f>
        <v>0.738277095262451</v>
      </c>
      <c r="J66" s="2">
        <f>J11*'Output-Calculation-sheet'!J55/10^9</f>
        <v>0.75912379593993706</v>
      </c>
      <c r="K66" s="2">
        <f>K11*'Output-Calculation-sheet'!K55/10^9</f>
        <v>0.90797614264746085</v>
      </c>
      <c r="L66" s="2">
        <f>L11*'Output-Calculation-sheet'!L55/10^9</f>
        <v>0.96155345964383598</v>
      </c>
      <c r="M66" s="2">
        <f>M11*'Output-Calculation-sheet'!M55/10^9</f>
        <v>1.1482942872689694</v>
      </c>
      <c r="N66" s="2">
        <f>N11*'Output-Calculation-sheet'!N55/10^9</f>
        <v>1.0848061783731193</v>
      </c>
      <c r="O66" s="2">
        <f>O11*'Output-Calculation-sheet'!O55/10^9</f>
        <v>0.99704134191576543</v>
      </c>
      <c r="P66" s="2">
        <f>P11*'Output-Calculation-sheet'!P55/10^9</f>
        <v>0.83251989828566264</v>
      </c>
      <c r="Q66" s="2">
        <f>Q11*'Output-Calculation-sheet'!Q55/10^9</f>
        <v>0.88063690394492067</v>
      </c>
      <c r="R66" s="2">
        <f>R11*'Output-Calculation-sheet'!R55/10^9</f>
        <v>0.68021012895737243</v>
      </c>
      <c r="S66" s="2">
        <f>S11*'Output-Calculation-sheet'!S55/10^9</f>
        <v>0.59331671145648979</v>
      </c>
      <c r="T66" s="2">
        <f>T11*'Output-Calculation-sheet'!T55/10^9</f>
        <v>0.21319764047672421</v>
      </c>
      <c r="U66" s="2">
        <f>U11*'Output-Calculation-sheet'!U55/10^9</f>
        <v>0.21768397938646222</v>
      </c>
      <c r="V66" s="2">
        <f>V11*'Output-Calculation-sheet'!V55/10^9</f>
        <v>0.20225117695988645</v>
      </c>
      <c r="W66" s="2">
        <f>W11*'Output-Calculation-sheet'!W55/10^9</f>
        <v>9.1577407119354387E-2</v>
      </c>
      <c r="X66" s="2">
        <f>X11*'Output-Calculation-sheet'!X55/10^9</f>
        <v>0.12268589808600049</v>
      </c>
      <c r="Y66" s="2">
        <f>Y11*'Output-Calculation-sheet'!Y55/10^9</f>
        <v>8.9540453566993514E-2</v>
      </c>
      <c r="AA66" s="2">
        <f t="shared" si="4"/>
        <v>34.038898157089328</v>
      </c>
    </row>
    <row r="67" spans="1:27" x14ac:dyDescent="0.25">
      <c r="A67" s="2">
        <v>2035</v>
      </c>
      <c r="B67" s="2">
        <f>B12*'Output-Calculation-sheet'!B56/10^9</f>
        <v>10.462814607185052</v>
      </c>
      <c r="C67" s="2">
        <f>C12*'Output-Calculation-sheet'!C56/10^9</f>
        <v>4.8811576725369248</v>
      </c>
      <c r="D67" s="2">
        <f>D12*'Output-Calculation-sheet'!D56/10^9</f>
        <v>2.8627312835318568</v>
      </c>
      <c r="E67" s="2">
        <f>E12*'Output-Calculation-sheet'!E56/10^9</f>
        <v>3.2617881840934073</v>
      </c>
      <c r="F67" s="2">
        <f>F12*'Output-Calculation-sheet'!F56/10^9</f>
        <v>1.3961899662138557</v>
      </c>
      <c r="G67" s="2">
        <f>G12*'Output-Calculation-sheet'!G56/10^9</f>
        <v>0.97989539677263382</v>
      </c>
      <c r="H67" s="2">
        <f>H12*'Output-Calculation-sheet'!H56/10^9</f>
        <v>1.5478923768692345</v>
      </c>
      <c r="I67" s="2">
        <f>I12*'Output-Calculation-sheet'!I56/10^9</f>
        <v>0.98248338890353226</v>
      </c>
      <c r="J67" s="2">
        <f>J12*'Output-Calculation-sheet'!J56/10^9</f>
        <v>0.88875279118285944</v>
      </c>
      <c r="K67" s="2">
        <f>K12*'Output-Calculation-sheet'!K56/10^9</f>
        <v>1.1034776640923989</v>
      </c>
      <c r="L67" s="2">
        <f>L12*'Output-Calculation-sheet'!L56/10^9</f>
        <v>1.0127820076238478</v>
      </c>
      <c r="M67" s="2">
        <f>M12*'Output-Calculation-sheet'!M56/10^9</f>
        <v>1.0767021622518569</v>
      </c>
      <c r="N67" s="2">
        <f>N12*'Output-Calculation-sheet'!N56/10^9</f>
        <v>1.0484137308068184</v>
      </c>
      <c r="O67" s="2">
        <f>O12*'Output-Calculation-sheet'!O56/10^9</f>
        <v>0.94880677044609651</v>
      </c>
      <c r="P67" s="2">
        <f>P12*'Output-Calculation-sheet'!P56/10^9</f>
        <v>0.92609857464107326</v>
      </c>
      <c r="Q67" s="2">
        <f>Q12*'Output-Calculation-sheet'!Q56/10^9</f>
        <v>0.94474154326827364</v>
      </c>
      <c r="R67" s="2">
        <f>R12*'Output-Calculation-sheet'!R56/10^9</f>
        <v>0.79921685552117483</v>
      </c>
      <c r="S67" s="2">
        <f>S12*'Output-Calculation-sheet'!S56/10^9</f>
        <v>0.60123875854136688</v>
      </c>
      <c r="T67" s="2">
        <f>T12*'Output-Calculation-sheet'!T56/10^9</f>
        <v>0.24328597956713352</v>
      </c>
      <c r="U67" s="2">
        <f>U12*'Output-Calculation-sheet'!U56/10^9</f>
        <v>0.26728904358137207</v>
      </c>
      <c r="V67" s="2">
        <f>V12*'Output-Calculation-sheet'!V56/10^9</f>
        <v>0.1864339507504611</v>
      </c>
      <c r="W67" s="2">
        <f>W12*'Output-Calculation-sheet'!W56/10^9</f>
        <v>0.12083379611735291</v>
      </c>
      <c r="X67" s="2">
        <f>X12*'Output-Calculation-sheet'!X56/10^9</f>
        <v>0.11438745056021646</v>
      </c>
      <c r="Y67" s="2">
        <f>Y12*'Output-Calculation-sheet'!Y56/10^9</f>
        <v>0.10671870010718597</v>
      </c>
      <c r="AA67" s="2">
        <f t="shared" si="4"/>
        <v>36.76413265516598</v>
      </c>
    </row>
    <row r="68" spans="1:27" x14ac:dyDescent="0.25">
      <c r="B68" s="2">
        <f>SUM(B60:B67)</f>
        <v>48.507097795432728</v>
      </c>
      <c r="C68" s="2">
        <f t="shared" ref="C68:Y68" si="5">SUM(C60:C67)</f>
        <v>24.683112168260376</v>
      </c>
      <c r="D68" s="2">
        <f t="shared" si="5"/>
        <v>13.303281712816133</v>
      </c>
      <c r="E68" s="2">
        <f t="shared" si="5"/>
        <v>14.531816065147343</v>
      </c>
      <c r="F68" s="2">
        <f t="shared" si="5"/>
        <v>6.0093763964571618</v>
      </c>
      <c r="G68" s="2">
        <f t="shared" si="5"/>
        <v>4.2481598334965227</v>
      </c>
      <c r="H68" s="2">
        <f t="shared" si="5"/>
        <v>7.7615464728126389</v>
      </c>
      <c r="I68" s="2">
        <f t="shared" si="5"/>
        <v>4.095323115806873</v>
      </c>
      <c r="J68" s="2">
        <f t="shared" si="5"/>
        <v>4.741543223193295</v>
      </c>
      <c r="K68" s="2">
        <f t="shared" si="5"/>
        <v>4.9461182850669436</v>
      </c>
      <c r="L68" s="2">
        <f t="shared" si="5"/>
        <v>5.7113869055061475</v>
      </c>
      <c r="M68" s="2">
        <f t="shared" si="5"/>
        <v>5.8938580713414535</v>
      </c>
      <c r="N68" s="2">
        <f t="shared" si="5"/>
        <v>5.4357488464588242</v>
      </c>
      <c r="O68" s="2">
        <f t="shared" si="5"/>
        <v>4.930538688406032</v>
      </c>
      <c r="P68" s="2">
        <f t="shared" si="5"/>
        <v>4.0010511886632614</v>
      </c>
      <c r="Q68" s="2">
        <f t="shared" si="5"/>
        <v>4.3098797663673851</v>
      </c>
      <c r="R68" s="2">
        <f t="shared" si="5"/>
        <v>3.5995006159404048</v>
      </c>
      <c r="S68" s="2">
        <f t="shared" si="5"/>
        <v>2.8867666548426087</v>
      </c>
      <c r="T68" s="2">
        <f t="shared" si="5"/>
        <v>1.2159990537024359</v>
      </c>
      <c r="U68" s="2">
        <f t="shared" si="5"/>
        <v>1.0643955354357368</v>
      </c>
      <c r="V68" s="2">
        <f t="shared" si="5"/>
        <v>1.2802751840032154</v>
      </c>
      <c r="W68" s="2">
        <f t="shared" si="5"/>
        <v>0.54285929277389311</v>
      </c>
      <c r="X68" s="2">
        <f t="shared" si="5"/>
        <v>0.61774609812900638</v>
      </c>
      <c r="Y68" s="2">
        <f t="shared" si="5"/>
        <v>0.4339586750292006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52.896876164605565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5.2896876164605568E-2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618.28574331415416</v>
      </c>
      <c r="Q76" s="2">
        <f>Q10/'Output-Calculation-sheet'!Q9*'Output-Calculation-sheet'!Q63</f>
        <v>73.987795589331924</v>
      </c>
      <c r="R76" s="2">
        <f>R10/'Output-Calculation-sheet'!R9*'Output-Calculation-sheet'!R63</f>
        <v>471.01677734266661</v>
      </c>
      <c r="S76" s="2">
        <f>S10/'Output-Calculation-sheet'!S9*'Output-Calculation-sheet'!S63</f>
        <v>0</v>
      </c>
      <c r="T76" s="2">
        <f>T10/'Output-Calculation-sheet'!T9*'Output-Calculation-sheet'!T63</f>
        <v>30.998878182853268</v>
      </c>
      <c r="U76" s="2">
        <f>U10/'Output-Calculation-sheet'!U9*'Output-Calculation-sheet'!U63</f>
        <v>167.38699131548086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7.9496801238216195</v>
      </c>
      <c r="AA76" s="2">
        <f t="shared" si="6"/>
        <v>1.4997675949930958</v>
      </c>
    </row>
    <row r="77" spans="1:27" x14ac:dyDescent="0.25">
      <c r="A77" s="2">
        <v>2034</v>
      </c>
      <c r="B77" s="2">
        <f>B11/'Output-Calculation-sheet'!B10*'Output-Calculation-sheet'!B64</f>
        <v>642.62714422862371</v>
      </c>
      <c r="C77" s="2">
        <f>C11/'Output-Calculation-sheet'!C10*'Output-Calculation-sheet'!C64</f>
        <v>0</v>
      </c>
      <c r="D77" s="2">
        <f>D11/'Output-Calculation-sheet'!D10*'Output-Calculation-sheet'!D64</f>
        <v>2183.417931150113</v>
      </c>
      <c r="E77" s="2">
        <f>E11/'Output-Calculation-sheet'!E10*'Output-Calculation-sheet'!E64</f>
        <v>2728.9925808322419</v>
      </c>
      <c r="F77" s="2">
        <f>F11/'Output-Calculation-sheet'!F10*'Output-Calculation-sheet'!F64</f>
        <v>177.5588370857142</v>
      </c>
      <c r="G77" s="2">
        <f>G11/'Output-Calculation-sheet'!G10*'Output-Calculation-sheet'!G64</f>
        <v>1156.4299859727239</v>
      </c>
      <c r="H77" s="2">
        <f>H11/'Output-Calculation-sheet'!H10*'Output-Calculation-sheet'!H64</f>
        <v>180.44440977163032</v>
      </c>
      <c r="I77" s="2">
        <f>I11/'Output-Calculation-sheet'!I10*'Output-Calculation-sheet'!I64</f>
        <v>687.57612668466811</v>
      </c>
      <c r="J77" s="2">
        <f>J11/'Output-Calculation-sheet'!J10*'Output-Calculation-sheet'!J64</f>
        <v>481.08408302423845</v>
      </c>
      <c r="K77" s="2">
        <f>K11/'Output-Calculation-sheet'!K10*'Output-Calculation-sheet'!K64</f>
        <v>1046.0041517698767</v>
      </c>
      <c r="L77" s="2">
        <f>L11/'Output-Calculation-sheet'!L10*'Output-Calculation-sheet'!L64</f>
        <v>432.49642198781771</v>
      </c>
      <c r="M77" s="2">
        <f>M11/'Output-Calculation-sheet'!M10*'Output-Calculation-sheet'!M64</f>
        <v>129.95883908402675</v>
      </c>
      <c r="N77" s="2">
        <f>N11/'Output-Calculation-sheet'!N10*'Output-Calculation-sheet'!N64</f>
        <v>42.981049224907785</v>
      </c>
      <c r="O77" s="2">
        <f>O11/'Output-Calculation-sheet'!O10*'Output-Calculation-sheet'!O64</f>
        <v>0</v>
      </c>
      <c r="P77" s="2">
        <f>P11/'Output-Calculation-sheet'!P10*'Output-Calculation-sheet'!P64</f>
        <v>885.01629042295372</v>
      </c>
      <c r="Q77" s="2">
        <f>Q11/'Output-Calculation-sheet'!Q10*'Output-Calculation-sheet'!Q64</f>
        <v>199.09085080976524</v>
      </c>
      <c r="R77" s="2">
        <f>R11/'Output-Calculation-sheet'!R10*'Output-Calculation-sheet'!R64</f>
        <v>1099.5619044720549</v>
      </c>
      <c r="S77" s="2">
        <f>S11/'Output-Calculation-sheet'!S10*'Output-Calculation-sheet'!S64</f>
        <v>0</v>
      </c>
      <c r="T77" s="2">
        <f>T11/'Output-Calculation-sheet'!T10*'Output-Calculation-sheet'!T64</f>
        <v>305.3117033662823</v>
      </c>
      <c r="U77" s="2">
        <f>U11/'Output-Calculation-sheet'!U10*'Output-Calculation-sheet'!U64</f>
        <v>405.76113862016064</v>
      </c>
      <c r="V77" s="2">
        <f>V11/'Output-Calculation-sheet'!V10*'Output-Calculation-sheet'!V64</f>
        <v>157.9938156259125</v>
      </c>
      <c r="W77" s="2">
        <f>W11/'Output-Calculation-sheet'!W10*'Output-Calculation-sheet'!W64</f>
        <v>34.684455706937847</v>
      </c>
      <c r="X77" s="2">
        <f>X11/'Output-Calculation-sheet'!X10*'Output-Calculation-sheet'!X64</f>
        <v>12.955470014390242</v>
      </c>
      <c r="Y77" s="2">
        <f>Y11/'Output-Calculation-sheet'!Y10*'Output-Calculation-sheet'!Y64</f>
        <v>59.085216103310721</v>
      </c>
      <c r="AA77" s="2">
        <f t="shared" si="6"/>
        <v>13.04903240595835</v>
      </c>
    </row>
    <row r="78" spans="1:27" x14ac:dyDescent="0.25">
      <c r="A78" s="2">
        <v>2035</v>
      </c>
      <c r="B78" s="2">
        <f>B12/'Output-Calculation-sheet'!B11*'Output-Calculation-sheet'!B65</f>
        <v>132.20592500542813</v>
      </c>
      <c r="C78" s="2">
        <f>C12/'Output-Calculation-sheet'!C11*'Output-Calculation-sheet'!C65</f>
        <v>110.1970529752311</v>
      </c>
      <c r="D78" s="2">
        <f>D12/'Output-Calculation-sheet'!D11*'Output-Calculation-sheet'!D65</f>
        <v>5662.9784307087448</v>
      </c>
      <c r="E78" s="2">
        <f>E12/'Output-Calculation-sheet'!E11*'Output-Calculation-sheet'!E65</f>
        <v>1819.1598938175787</v>
      </c>
      <c r="F78" s="2">
        <f>F12/'Output-Calculation-sheet'!F11*'Output-Calculation-sheet'!F65</f>
        <v>1445.7296623996988</v>
      </c>
      <c r="G78" s="2">
        <f>G12/'Output-Calculation-sheet'!G11*'Output-Calculation-sheet'!G65</f>
        <v>2139.3575645602605</v>
      </c>
      <c r="H78" s="2">
        <f>H12/'Output-Calculation-sheet'!H11*'Output-Calculation-sheet'!H65</f>
        <v>48.623069560698738</v>
      </c>
      <c r="I78" s="2">
        <f>I12/'Output-Calculation-sheet'!I11*'Output-Calculation-sheet'!I65</f>
        <v>1778.6789342463233</v>
      </c>
      <c r="J78" s="2">
        <f>J12/'Output-Calculation-sheet'!J11*'Output-Calculation-sheet'!J65</f>
        <v>1687.1203281031917</v>
      </c>
      <c r="K78" s="2">
        <f>K12/'Output-Calculation-sheet'!K11*'Output-Calculation-sheet'!K65</f>
        <v>2267.6285752845388</v>
      </c>
      <c r="L78" s="2">
        <f>L12/'Output-Calculation-sheet'!L11*'Output-Calculation-sheet'!L65</f>
        <v>786.50251775305651</v>
      </c>
      <c r="M78" s="2">
        <f>M12/'Output-Calculation-sheet'!M11*'Output-Calculation-sheet'!M65</f>
        <v>43.465003552405861</v>
      </c>
      <c r="N78" s="2">
        <f>N12/'Output-Calculation-sheet'!N11*'Output-Calculation-sheet'!N65</f>
        <v>29.279005104645581</v>
      </c>
      <c r="O78" s="2">
        <f>O12/'Output-Calculation-sheet'!O11*'Output-Calculation-sheet'!O65</f>
        <v>19.098963071240298</v>
      </c>
      <c r="P78" s="2">
        <f>P12/'Output-Calculation-sheet'!P11*'Output-Calculation-sheet'!P65</f>
        <v>220.28236517482873</v>
      </c>
      <c r="Q78" s="2">
        <f>Q12/'Output-Calculation-sheet'!Q11*'Output-Calculation-sheet'!Q65</f>
        <v>177.50795761316539</v>
      </c>
      <c r="R78" s="2">
        <f>R12/'Output-Calculation-sheet'!R11*'Output-Calculation-sheet'!R65</f>
        <v>1470.4345565867443</v>
      </c>
      <c r="S78" s="2">
        <f>S12/'Output-Calculation-sheet'!S11*'Output-Calculation-sheet'!S65</f>
        <v>14.068499411885018</v>
      </c>
      <c r="T78" s="2">
        <f>T12/'Output-Calculation-sheet'!T11*'Output-Calculation-sheet'!T65</f>
        <v>584.75177665870751</v>
      </c>
      <c r="U78" s="2">
        <f>U12/'Output-Calculation-sheet'!U11*'Output-Calculation-sheet'!U65</f>
        <v>215.71548450758178</v>
      </c>
      <c r="V78" s="2">
        <f>V12/'Output-Calculation-sheet'!V11*'Output-Calculation-sheet'!V65</f>
        <v>306.04585530416313</v>
      </c>
      <c r="W78" s="2">
        <f>W12/'Output-Calculation-sheet'!W11*'Output-Calculation-sheet'!W65</f>
        <v>206.31319245509505</v>
      </c>
      <c r="X78" s="2">
        <f>X12/'Output-Calculation-sheet'!X11*'Output-Calculation-sheet'!X65</f>
        <v>2.8789231829672293</v>
      </c>
      <c r="Y78" s="2">
        <f>Y12/'Output-Calculation-sheet'!Y11*'Output-Calculation-sheet'!Y65</f>
        <v>49.51759507659834</v>
      </c>
      <c r="AA78" s="2">
        <f t="shared" si="6"/>
        <v>21.217541132114782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142.45925662899919</v>
      </c>
      <c r="E89" s="2">
        <f>E12/'Output-Calculation-sheet'!E11*'Output-Calculation-sheet'!E74</f>
        <v>68.914843594010463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53.325240974979934</v>
      </c>
      <c r="H89" s="2">
        <f>H12/'Output-Calculation-sheet'!H11*'Output-Calculation-sheet'!H74</f>
        <v>8.6096626048160676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29.667027250627033</v>
      </c>
      <c r="K89" s="2">
        <f>K12/'Output-Calculation-sheet'!K11*'Output-Calculation-sheet'!K74</f>
        <v>37.318974738443082</v>
      </c>
      <c r="L89" s="2">
        <f>L12/'Output-Calculation-sheet'!L11*'Output-Calculation-sheet'!L74</f>
        <v>15.618068801752564</v>
      </c>
      <c r="M89" s="2">
        <f>M12/'Output-Calculation-sheet'!M11*'Output-Calculation-sheet'!M74</f>
        <v>4.4432143202786509</v>
      </c>
      <c r="N89" s="2">
        <f>N12/'Output-Calculation-sheet'!N11*'Output-Calculation-sheet'!N74</f>
        <v>4.3669590988334868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4.0343031465351675</v>
      </c>
      <c r="Q89" s="2">
        <f>Q12/'Output-Calculation-sheet'!Q11*'Output-Calculation-sheet'!Q74</f>
        <v>7.6522495576191591</v>
      </c>
      <c r="R89" s="2">
        <f>R12/'Output-Calculation-sheet'!R11*'Output-Calculation-sheet'!R74</f>
        <v>22.765943078361371</v>
      </c>
      <c r="S89" s="2">
        <f>S12/'Output-Calculation-sheet'!S11*'Output-Calculation-sheet'!S74</f>
        <v>4.1721528504997094</v>
      </c>
      <c r="T89" s="2">
        <f>T12/'Output-Calculation-sheet'!T11*'Output-Calculation-sheet'!T74</f>
        <v>7.0187844385554552</v>
      </c>
      <c r="U89" s="2">
        <f>U12/'Output-Calculation-sheet'!U11*'Output-Calculation-sheet'!U74</f>
        <v>8.1384257222035092</v>
      </c>
      <c r="V89" s="2">
        <f>V12/'Output-Calculation-sheet'!V11*'Output-Calculation-sheet'!V74</f>
        <v>2.5101748784657678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2.8222747854876116</v>
      </c>
      <c r="AA89" s="2">
        <f t="shared" si="7"/>
        <v>0.56949361663893849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22816312391.206543</v>
      </c>
      <c r="C96" s="2">
        <f>C8/'Output-Calculation-sheet'!C7*'Output-Calculation-sheet'!C79</f>
        <v>9445670918.8537598</v>
      </c>
      <c r="D96" s="2">
        <f>D8/'Output-Calculation-sheet'!D7*'Output-Calculation-sheet'!D79</f>
        <v>7529645887.9643946</v>
      </c>
      <c r="E96" s="2">
        <f>E8/'Output-Calculation-sheet'!E7*'Output-Calculation-sheet'!E79</f>
        <v>9098445195.92939</v>
      </c>
      <c r="F96" s="2">
        <f>F8/'Output-Calculation-sheet'!F7*'Output-Calculation-sheet'!F79</f>
        <v>5370762660.2934885</v>
      </c>
      <c r="G96" s="2">
        <f>G8/'Output-Calculation-sheet'!G7*'Output-Calculation-sheet'!G79</f>
        <v>2731853426.0763578</v>
      </c>
      <c r="H96" s="2">
        <f>H8/'Output-Calculation-sheet'!H7*'Output-Calculation-sheet'!H79</f>
        <v>3411182247.3997269</v>
      </c>
      <c r="I96" s="2">
        <f>I8/'Output-Calculation-sheet'!I7*'Output-Calculation-sheet'!I79</f>
        <v>3264967010.5569687</v>
      </c>
      <c r="J96" s="2">
        <f>J8/'Output-Calculation-sheet'!J7*'Output-Calculation-sheet'!J79</f>
        <v>1842859751.3245811</v>
      </c>
      <c r="K96" s="2">
        <f>K8/'Output-Calculation-sheet'!K7*'Output-Calculation-sheet'!K79</f>
        <v>3139024007.8400893</v>
      </c>
      <c r="L96" s="2">
        <f>L8/'Output-Calculation-sheet'!L7*'Output-Calculation-sheet'!L79</f>
        <v>2257653352.8566551</v>
      </c>
      <c r="M96" s="2">
        <f>M8/'Output-Calculation-sheet'!M7*'Output-Calculation-sheet'!M79</f>
        <v>2282291481.305398</v>
      </c>
      <c r="N96" s="2">
        <f>N8/'Output-Calculation-sheet'!N7*'Output-Calculation-sheet'!N79</f>
        <v>1624368701.9890347</v>
      </c>
      <c r="O96" s="2">
        <f>O8/'Output-Calculation-sheet'!O7*'Output-Calculation-sheet'!O79</f>
        <v>1276611430.2641075</v>
      </c>
      <c r="P96" s="2">
        <f>P8/'Output-Calculation-sheet'!P7*'Output-Calculation-sheet'!P79</f>
        <v>2713772155.5978575</v>
      </c>
      <c r="Q96" s="2">
        <f>Q8/'Output-Calculation-sheet'!Q7*'Output-Calculation-sheet'!Q79</f>
        <v>1478090076.7651429</v>
      </c>
      <c r="R96" s="2">
        <f>R8/'Output-Calculation-sheet'!R7*'Output-Calculation-sheet'!R79</f>
        <v>1971916207.8227136</v>
      </c>
      <c r="S96" s="2">
        <f>S8/'Output-Calculation-sheet'!S7*'Output-Calculation-sheet'!S79</f>
        <v>1241212022.5921123</v>
      </c>
      <c r="T96" s="2">
        <f>T8/'Output-Calculation-sheet'!T7*'Output-Calculation-sheet'!T79</f>
        <v>797028928.29176247</v>
      </c>
      <c r="U96" s="2">
        <f>U8/'Output-Calculation-sheet'!U7*'Output-Calculation-sheet'!U79</f>
        <v>739075866.20703006</v>
      </c>
      <c r="V96" s="2">
        <f>V8/'Output-Calculation-sheet'!V7*'Output-Calculation-sheet'!V79</f>
        <v>475839913.979761</v>
      </c>
      <c r="W96" s="2">
        <f>W8/'Output-Calculation-sheet'!W7*'Output-Calculation-sheet'!W79</f>
        <v>569216728.18264735</v>
      </c>
      <c r="X96" s="2">
        <f>X8/'Output-Calculation-sheet'!X7*'Output-Calculation-sheet'!X79</f>
        <v>260532306.11425325</v>
      </c>
      <c r="Y96" s="2">
        <f>Y8/'Output-Calculation-sheet'!Y7*'Output-Calculation-sheet'!Y79</f>
        <v>291607027.030249</v>
      </c>
      <c r="AA96" s="2">
        <f t="shared" si="8"/>
        <v>86.629939696444026</v>
      </c>
    </row>
    <row r="97" spans="1:27" x14ac:dyDescent="0.25">
      <c r="A97" s="2">
        <v>2032</v>
      </c>
      <c r="B97" s="2">
        <f>B9/'Output-Calculation-sheet'!B8*'Output-Calculation-sheet'!B80</f>
        <v>32532261008.536964</v>
      </c>
      <c r="C97" s="2">
        <f>C9/'Output-Calculation-sheet'!C8*'Output-Calculation-sheet'!C80</f>
        <v>13479688087.559988</v>
      </c>
      <c r="D97" s="2">
        <f>D9/'Output-Calculation-sheet'!D8*'Output-Calculation-sheet'!D80</f>
        <v>10654559075.661818</v>
      </c>
      <c r="E97" s="2">
        <f>E9/'Output-Calculation-sheet'!E8*'Output-Calculation-sheet'!E80</f>
        <v>12856370222.367908</v>
      </c>
      <c r="F97" s="2">
        <f>F9/'Output-Calculation-sheet'!F8*'Output-Calculation-sheet'!F80</f>
        <v>7617762199.2267208</v>
      </c>
      <c r="G97" s="2">
        <f>G9/'Output-Calculation-sheet'!G8*'Output-Calculation-sheet'!G80</f>
        <v>3813329077.80795</v>
      </c>
      <c r="H97" s="2">
        <f>H9/'Output-Calculation-sheet'!H8*'Output-Calculation-sheet'!H80</f>
        <v>4853754702.0651388</v>
      </c>
      <c r="I97" s="2">
        <f>I9/'Output-Calculation-sheet'!I8*'Output-Calculation-sheet'!I80</f>
        <v>4633088570.8207998</v>
      </c>
      <c r="J97" s="2">
        <f>J9/'Output-Calculation-sheet'!J8*'Output-Calculation-sheet'!J80</f>
        <v>2643700743.7416949</v>
      </c>
      <c r="K97" s="2">
        <f>K9/'Output-Calculation-sheet'!K8*'Output-Calculation-sheet'!K80</f>
        <v>4453367082.9876919</v>
      </c>
      <c r="L97" s="2">
        <f>L9/'Output-Calculation-sheet'!L8*'Output-Calculation-sheet'!L80</f>
        <v>3222169153.4165516</v>
      </c>
      <c r="M97" s="2">
        <f>M9/'Output-Calculation-sheet'!M8*'Output-Calculation-sheet'!M80</f>
        <v>3247407587.0320969</v>
      </c>
      <c r="N97" s="2">
        <f>N9/'Output-Calculation-sheet'!N8*'Output-Calculation-sheet'!N80</f>
        <v>2321163162.0306821</v>
      </c>
      <c r="O97" s="2">
        <f>O9/'Output-Calculation-sheet'!O8*'Output-Calculation-sheet'!O80</f>
        <v>1831252466.2772536</v>
      </c>
      <c r="P97" s="2">
        <f>P9/'Output-Calculation-sheet'!P8*'Output-Calculation-sheet'!P80</f>
        <v>3826915292.6667218</v>
      </c>
      <c r="Q97" s="2">
        <f>Q9/'Output-Calculation-sheet'!Q8*'Output-Calculation-sheet'!Q80</f>
        <v>2118998370.7044904</v>
      </c>
      <c r="R97" s="2">
        <f>R9/'Output-Calculation-sheet'!R8*'Output-Calculation-sheet'!R80</f>
        <v>2809483028.9960513</v>
      </c>
      <c r="S97" s="2">
        <f>S9/'Output-Calculation-sheet'!S8*'Output-Calculation-sheet'!S80</f>
        <v>1772371153.1550372</v>
      </c>
      <c r="T97" s="2">
        <f>T9/'Output-Calculation-sheet'!T8*'Output-Calculation-sheet'!T80</f>
        <v>1126563649.2415729</v>
      </c>
      <c r="U97" s="2">
        <f>U9/'Output-Calculation-sheet'!U8*'Output-Calculation-sheet'!U80</f>
        <v>1050565863.6859663</v>
      </c>
      <c r="V97" s="2">
        <f>V9/'Output-Calculation-sheet'!V8*'Output-Calculation-sheet'!V80</f>
        <v>680353784.28277016</v>
      </c>
      <c r="W97" s="2">
        <f>W9/'Output-Calculation-sheet'!W8*'Output-Calculation-sheet'!W80</f>
        <v>795871749.41088879</v>
      </c>
      <c r="X97" s="2">
        <f>X9/'Output-Calculation-sheet'!X8*'Output-Calculation-sheet'!X80</f>
        <v>370587934.66366756</v>
      </c>
      <c r="Y97" s="2">
        <f>Y9/'Output-Calculation-sheet'!Y8*'Output-Calculation-sheet'!Y80</f>
        <v>409517145.92178088</v>
      </c>
      <c r="AA97" s="2">
        <f t="shared" si="8"/>
        <v>123.1211011122622</v>
      </c>
    </row>
    <row r="98" spans="1:27" x14ac:dyDescent="0.25">
      <c r="A98" s="2">
        <v>2033</v>
      </c>
      <c r="B98" s="2">
        <f>B10/'Output-Calculation-sheet'!B9*'Output-Calculation-sheet'!B81</f>
        <v>42538878066.527359</v>
      </c>
      <c r="C98" s="2">
        <f>C10/'Output-Calculation-sheet'!C9*'Output-Calculation-sheet'!C81</f>
        <v>17644187213.157593</v>
      </c>
      <c r="D98" s="2">
        <f>D10/'Output-Calculation-sheet'!D9*'Output-Calculation-sheet'!D81</f>
        <v>13840624407.305937</v>
      </c>
      <c r="E98" s="2">
        <f>E10/'Output-Calculation-sheet'!E9*'Output-Calculation-sheet'!E81</f>
        <v>16669477493.014082</v>
      </c>
      <c r="F98" s="2">
        <f>F10/'Output-Calculation-sheet'!F9*'Output-Calculation-sheet'!F81</f>
        <v>9912057821.5920506</v>
      </c>
      <c r="G98" s="2">
        <f>G10/'Output-Calculation-sheet'!G9*'Output-Calculation-sheet'!G81</f>
        <v>4885932444.0903006</v>
      </c>
      <c r="H98" s="2">
        <f>H10/'Output-Calculation-sheet'!H9*'Output-Calculation-sheet'!H81</f>
        <v>6334711736.0335035</v>
      </c>
      <c r="I98" s="2">
        <f>I10/'Output-Calculation-sheet'!I9*'Output-Calculation-sheet'!I81</f>
        <v>6032083685.9291868</v>
      </c>
      <c r="J98" s="2">
        <f>J10/'Output-Calculation-sheet'!J9*'Output-Calculation-sheet'!J81</f>
        <v>3480633390.2674708</v>
      </c>
      <c r="K98" s="2">
        <f>K10/'Output-Calculation-sheet'!K9*'Output-Calculation-sheet'!K81</f>
        <v>5796181706.8691473</v>
      </c>
      <c r="L98" s="2">
        <f>L10/'Output-Calculation-sheet'!L9*'Output-Calculation-sheet'!L81</f>
        <v>4217948508.0035038</v>
      </c>
      <c r="M98" s="2">
        <f>M10/'Output-Calculation-sheet'!M9*'Output-Calculation-sheet'!M81</f>
        <v>4239010216.3339515</v>
      </c>
      <c r="N98" s="2">
        <f>N10/'Output-Calculation-sheet'!N9*'Output-Calculation-sheet'!N81</f>
        <v>3043996081.6368656</v>
      </c>
      <c r="O98" s="2">
        <f>O10/'Output-Calculation-sheet'!O9*'Output-Calculation-sheet'!O81</f>
        <v>2410038833.9447098</v>
      </c>
      <c r="P98" s="2">
        <f>P10/'Output-Calculation-sheet'!P9*'Output-Calculation-sheet'!P81</f>
        <v>4950248937.7422991</v>
      </c>
      <c r="Q98" s="2">
        <f>Q10/'Output-Calculation-sheet'!Q9*'Output-Calculation-sheet'!Q81</f>
        <v>2787021937.8718586</v>
      </c>
      <c r="R98" s="2">
        <f>R10/'Output-Calculation-sheet'!R9*'Output-Calculation-sheet'!R81</f>
        <v>3671297773.0874262</v>
      </c>
      <c r="S98" s="2">
        <f>S10/'Output-Calculation-sheet'!S9*'Output-Calculation-sheet'!S81</f>
        <v>2320923334.0189557</v>
      </c>
      <c r="T98" s="2">
        <f>T10/'Output-Calculation-sheet'!T9*'Output-Calculation-sheet'!T81</f>
        <v>1461051283.6235213</v>
      </c>
      <c r="U98" s="2">
        <f>U10/'Output-Calculation-sheet'!U9*'Output-Calculation-sheet'!U81</f>
        <v>1368933986.4048998</v>
      </c>
      <c r="V98" s="2">
        <f>V10/'Output-Calculation-sheet'!V9*'Output-Calculation-sheet'!V81</f>
        <v>891595929.19884408</v>
      </c>
      <c r="W98" s="2">
        <f>W10/'Output-Calculation-sheet'!W9*'Output-Calculation-sheet'!W81</f>
        <v>1021017583.5775613</v>
      </c>
      <c r="X98" s="2">
        <f>X10/'Output-Calculation-sheet'!X9*'Output-Calculation-sheet'!X81</f>
        <v>483560506.19536167</v>
      </c>
      <c r="Y98" s="2">
        <f>Y10/'Output-Calculation-sheet'!Y9*'Output-Calculation-sheet'!Y81</f>
        <v>527847791.50499058</v>
      </c>
      <c r="AA98" s="2">
        <f t="shared" si="8"/>
        <v>160.52926066793145</v>
      </c>
    </row>
    <row r="99" spans="1:27" x14ac:dyDescent="0.25">
      <c r="A99" s="2">
        <v>2034</v>
      </c>
      <c r="B99" s="2">
        <f>B11/'Output-Calculation-sheet'!B10*'Output-Calculation-sheet'!B82</f>
        <v>52368217782.733536</v>
      </c>
      <c r="C99" s="2">
        <f>C11/'Output-Calculation-sheet'!C10*'Output-Calculation-sheet'!C82</f>
        <v>21746941788.662987</v>
      </c>
      <c r="D99" s="2">
        <f>D11/'Output-Calculation-sheet'!D10*'Output-Calculation-sheet'!D82</f>
        <v>16944005176.013519</v>
      </c>
      <c r="E99" s="2">
        <f>E11/'Output-Calculation-sheet'!E10*'Output-Calculation-sheet'!E82</f>
        <v>20359485638.961937</v>
      </c>
      <c r="F99" s="2">
        <f>F11/'Output-Calculation-sheet'!F10*'Output-Calculation-sheet'!F82</f>
        <v>12146327368.490408</v>
      </c>
      <c r="G99" s="2">
        <f>G11/'Output-Calculation-sheet'!G10*'Output-Calculation-sheet'!G82</f>
        <v>5899154467.4229431</v>
      </c>
      <c r="H99" s="2">
        <f>H11/'Output-Calculation-sheet'!H10*'Output-Calculation-sheet'!H82</f>
        <v>7784901530.8327913</v>
      </c>
      <c r="I99" s="2">
        <f>I11/'Output-Calculation-sheet'!I10*'Output-Calculation-sheet'!I82</f>
        <v>7397030300.3389187</v>
      </c>
      <c r="J99" s="2">
        <f>J11/'Output-Calculation-sheet'!J10*'Output-Calculation-sheet'!J82</f>
        <v>4317211404.8666544</v>
      </c>
      <c r="K99" s="2">
        <f>K11/'Output-Calculation-sheet'!K10*'Output-Calculation-sheet'!K82</f>
        <v>7104886041.9376087</v>
      </c>
      <c r="L99" s="2">
        <f>L11/'Output-Calculation-sheet'!L10*'Output-Calculation-sheet'!L82</f>
        <v>5198925612.5923662</v>
      </c>
      <c r="M99" s="2">
        <f>M11/'Output-Calculation-sheet'!M10*'Output-Calculation-sheet'!M82</f>
        <v>5211252951.7882576</v>
      </c>
      <c r="N99" s="2">
        <f>N11/'Output-Calculation-sheet'!N10*'Output-Calculation-sheet'!N82</f>
        <v>3760765622.3689904</v>
      </c>
      <c r="O99" s="2">
        <f>O11/'Output-Calculation-sheet'!O10*'Output-Calculation-sheet'!O82</f>
        <v>2987236409.4195457</v>
      </c>
      <c r="P99" s="2">
        <f>P11/'Output-Calculation-sheet'!P10*'Output-Calculation-sheet'!P82</f>
        <v>6030146649.123312</v>
      </c>
      <c r="Q99" s="2">
        <f>Q11/'Output-Calculation-sheet'!Q10*'Output-Calculation-sheet'!Q82</f>
        <v>3452325833.0033569</v>
      </c>
      <c r="R99" s="2">
        <f>R11/'Output-Calculation-sheet'!R10*'Output-Calculation-sheet'!R82</f>
        <v>4517218793.3213701</v>
      </c>
      <c r="S99" s="2">
        <f>S11/'Output-Calculation-sheet'!S10*'Output-Calculation-sheet'!S82</f>
        <v>2861357610.3544025</v>
      </c>
      <c r="T99" s="2">
        <f>T11/'Output-Calculation-sheet'!T10*'Output-Calculation-sheet'!T82</f>
        <v>1784861230.9567008</v>
      </c>
      <c r="U99" s="2">
        <f>U11/'Output-Calculation-sheet'!U10*'Output-Calculation-sheet'!U82</f>
        <v>1678865307.9015102</v>
      </c>
      <c r="V99" s="2">
        <f>V11/'Output-Calculation-sheet'!V10*'Output-Calculation-sheet'!V82</f>
        <v>1099526061.0703456</v>
      </c>
      <c r="W99" s="2">
        <f>W11/'Output-Calculation-sheet'!W10*'Output-Calculation-sheet'!W82</f>
        <v>1233808256.1263721</v>
      </c>
      <c r="X99" s="2">
        <f>X11/'Output-Calculation-sheet'!X10*'Output-Calculation-sheet'!X82</f>
        <v>594199090.11466599</v>
      </c>
      <c r="Y99" s="2">
        <f>Y11/'Output-Calculation-sheet'!Y10*'Output-Calculation-sheet'!Y82</f>
        <v>641064808.7435081</v>
      </c>
      <c r="AA99" s="2">
        <f t="shared" si="8"/>
        <v>197.11971573714607</v>
      </c>
    </row>
    <row r="100" spans="1:27" x14ac:dyDescent="0.25">
      <c r="A100" s="2">
        <v>2035</v>
      </c>
      <c r="B100" s="2">
        <f>B12/'Output-Calculation-sheet'!B11*'Output-Calculation-sheet'!B83</f>
        <v>61687484964.18309</v>
      </c>
      <c r="C100" s="2">
        <f>C12/'Output-Calculation-sheet'!C11*'Output-Calculation-sheet'!C83</f>
        <v>25650811349.562534</v>
      </c>
      <c r="D100" s="2">
        <f>D12/'Output-Calculation-sheet'!D11*'Output-Calculation-sheet'!D83</f>
        <v>19866866225.141663</v>
      </c>
      <c r="E100" s="2">
        <f>E12/'Output-Calculation-sheet'!E11*'Output-Calculation-sheet'!E83</f>
        <v>23805333182.500286</v>
      </c>
      <c r="F100" s="2">
        <f>F12/'Output-Calculation-sheet'!F11*'Output-Calculation-sheet'!F83</f>
        <v>14246288902.911598</v>
      </c>
      <c r="G100" s="2">
        <f>G12/'Output-Calculation-sheet'!G11*'Output-Calculation-sheet'!G83</f>
        <v>6821298168.968214</v>
      </c>
      <c r="H100" s="2">
        <f>H12/'Output-Calculation-sheet'!H11*'Output-Calculation-sheet'!H83</f>
        <v>9155646511.3161297</v>
      </c>
      <c r="I100" s="2">
        <f>I12/'Output-Calculation-sheet'!I11*'Output-Calculation-sheet'!I83</f>
        <v>8682848151.3193417</v>
      </c>
      <c r="J100" s="2">
        <f>J12/'Output-Calculation-sheet'!J11*'Output-Calculation-sheet'!J83</f>
        <v>5126897425.3080273</v>
      </c>
      <c r="K100" s="2">
        <f>K12/'Output-Calculation-sheet'!K11*'Output-Calculation-sheet'!K83</f>
        <v>8336157408.7047672</v>
      </c>
      <c r="L100" s="2">
        <f>L12/'Output-Calculation-sheet'!L11*'Output-Calculation-sheet'!L83</f>
        <v>6132186387.7141972</v>
      </c>
      <c r="M100" s="2">
        <f>M12/'Output-Calculation-sheet'!M11*'Output-Calculation-sheet'!M83</f>
        <v>6131844593.0575914</v>
      </c>
      <c r="N100" s="2">
        <f>N12/'Output-Calculation-sheet'!N11*'Output-Calculation-sheet'!N83</f>
        <v>4448474213.0253448</v>
      </c>
      <c r="O100" s="2">
        <f>O12/'Output-Calculation-sheet'!O11*'Output-Calculation-sheet'!O83</f>
        <v>3544063900.0143118</v>
      </c>
      <c r="P100" s="2">
        <f>P12/'Output-Calculation-sheet'!P11*'Output-Calculation-sheet'!P83</f>
        <v>7030726673.1478271</v>
      </c>
      <c r="Q100" s="2">
        <f>Q12/'Output-Calculation-sheet'!Q11*'Output-Calculation-sheet'!Q83</f>
        <v>4093166606.9967418</v>
      </c>
      <c r="R100" s="2">
        <f>R12/'Output-Calculation-sheet'!R11*'Output-Calculation-sheet'!R83</f>
        <v>5318823723.4675674</v>
      </c>
      <c r="S100" s="2">
        <f>S12/'Output-Calculation-sheet'!S11*'Output-Calculation-sheet'!S83</f>
        <v>3375415178.1123219</v>
      </c>
      <c r="T100" s="2">
        <f>T12/'Output-Calculation-sheet'!T11*'Output-Calculation-sheet'!T83</f>
        <v>2087391639.1349807</v>
      </c>
      <c r="U100" s="2">
        <f>U12/'Output-Calculation-sheet'!U11*'Output-Calculation-sheet'!U83</f>
        <v>1969688650.0925767</v>
      </c>
      <c r="V100" s="2">
        <f>V12/'Output-Calculation-sheet'!V11*'Output-Calculation-sheet'!V83</f>
        <v>1296934564.6317868</v>
      </c>
      <c r="W100" s="2">
        <f>W12/'Output-Calculation-sheet'!W11*'Output-Calculation-sheet'!W83</f>
        <v>1427312675.843014</v>
      </c>
      <c r="X100" s="2">
        <f>X12/'Output-Calculation-sheet'!X11*'Output-Calculation-sheet'!X83</f>
        <v>698810956.39725459</v>
      </c>
      <c r="Y100" s="2">
        <f>Y12/'Output-Calculation-sheet'!Y11*'Output-Calculation-sheet'!Y83</f>
        <v>745552020.05094957</v>
      </c>
      <c r="AA100" s="2">
        <f t="shared" si="8"/>
        <v>231.68002407160211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2064.7259900599602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635.58669713461768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437.34550262282113</v>
      </c>
      <c r="N107" s="2">
        <f>N8/'Output-Calculation-sheet'!N7*'Output-Calculation-sheet'!N88</f>
        <v>171.93588103963955</v>
      </c>
      <c r="O107" s="2">
        <f>O8/'Output-Calculation-sheet'!O7*'Output-Calculation-sheet'!O88</f>
        <v>481.34268017019161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47.977711242919092</v>
      </c>
      <c r="Y107" s="2">
        <f>Y8/'Output-Calculation-sheet'!Y7*'Output-Calculation-sheet'!Y88</f>
        <v>0</v>
      </c>
      <c r="AA107" s="2">
        <f t="shared" si="9"/>
        <v>3.8389144622701497</v>
      </c>
    </row>
    <row r="108" spans="1:27" x14ac:dyDescent="0.25">
      <c r="A108" s="2">
        <v>2032</v>
      </c>
      <c r="B108" s="2">
        <f>B9/'Output-Calculation-sheet'!B8*'Output-Calculation-sheet'!B89</f>
        <v>982.70934398040458</v>
      </c>
      <c r="C108" s="2">
        <f>C9/'Output-Calculation-sheet'!C8*'Output-Calculation-sheet'!C89</f>
        <v>3731.3327988550755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1005.0424672972262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691.56702775402573</v>
      </c>
      <c r="N108" s="2">
        <f>N9/'Output-Calculation-sheet'!N8*'Output-Calculation-sheet'!N89</f>
        <v>485.49873817383394</v>
      </c>
      <c r="O108" s="2">
        <f>O9/'Output-Calculation-sheet'!O8*'Output-Calculation-sheet'!O89</f>
        <v>724.89430343074514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222.64370957011809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75.866341287889355</v>
      </c>
      <c r="Y108" s="2">
        <f>Y9/'Output-Calculation-sheet'!Y8*'Output-Calculation-sheet'!Y89</f>
        <v>0</v>
      </c>
      <c r="AA108" s="2">
        <f t="shared" si="9"/>
        <v>7.9195547303493186</v>
      </c>
    </row>
    <row r="109" spans="1:27" x14ac:dyDescent="0.25">
      <c r="A109" s="2">
        <v>2033</v>
      </c>
      <c r="B109" s="2">
        <f>B10/'Output-Calculation-sheet'!B9*'Output-Calculation-sheet'!B90</f>
        <v>5304.604595447775</v>
      </c>
      <c r="C109" s="2">
        <f>C10/'Output-Calculation-sheet'!C9*'Output-Calculation-sheet'!C90</f>
        <v>5035.3762364211116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1550.0449775633886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1066.5817942014903</v>
      </c>
      <c r="N109" s="2">
        <f>N10/'Output-Calculation-sheet'!N9*'Output-Calculation-sheet'!N90</f>
        <v>838.6215446922198</v>
      </c>
      <c r="O109" s="2">
        <f>O10/'Output-Calculation-sheet'!O9*'Output-Calculation-sheet'!O90</f>
        <v>978.2337159880816</v>
      </c>
      <c r="P109" s="2">
        <f>P10/'Output-Calculation-sheet'!P9*'Output-Calculation-sheet'!P90</f>
        <v>0</v>
      </c>
      <c r="Q109" s="2">
        <f>Q10/'Output-Calculation-sheet'!Q9*'Output-Calculation-sheet'!Q90</f>
        <v>183.69021781355681</v>
      </c>
      <c r="R109" s="2">
        <f>R10/'Output-Calculation-sheet'!R9*'Output-Calculation-sheet'!R90</f>
        <v>0</v>
      </c>
      <c r="S109" s="2">
        <f>S10/'Output-Calculation-sheet'!S9*'Output-Calculation-sheet'!S90</f>
        <v>420.63596755101003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117.00624113490871</v>
      </c>
      <c r="Y109" s="2">
        <f>Y10/'Output-Calculation-sheet'!Y9*'Output-Calculation-sheet'!Y90</f>
        <v>0</v>
      </c>
      <c r="AA109" s="2">
        <f t="shared" si="9"/>
        <v>15.494795290813542</v>
      </c>
    </row>
    <row r="110" spans="1:27" x14ac:dyDescent="0.25">
      <c r="A110" s="2">
        <v>2034</v>
      </c>
      <c r="B110" s="2">
        <f>B11/'Output-Calculation-sheet'!B10*'Output-Calculation-sheet'!B91</f>
        <v>9987.4548318106336</v>
      </c>
      <c r="C110" s="2">
        <f>C11/'Output-Calculation-sheet'!C10*'Output-Calculation-sheet'!C91</f>
        <v>6847.0671054416389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1945.6057999088221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1338.7661357657053</v>
      </c>
      <c r="N110" s="2">
        <f>N11/'Output-Calculation-sheet'!N10*'Output-Calculation-sheet'!N91</f>
        <v>1206.1408307158631</v>
      </c>
      <c r="O110" s="2">
        <f>O11/'Output-Calculation-sheet'!O10*'Output-Calculation-sheet'!O91</f>
        <v>1330.1949216284484</v>
      </c>
      <c r="P110" s="2">
        <f>P11/'Output-Calculation-sheet'!P10*'Output-Calculation-sheet'!P91</f>
        <v>303.88970937910977</v>
      </c>
      <c r="Q110" s="2">
        <f>Q11/'Output-Calculation-sheet'!Q10*'Output-Calculation-sheet'!Q91</f>
        <v>672.48620426179696</v>
      </c>
      <c r="R110" s="2">
        <f>R11/'Output-Calculation-sheet'!R10*'Output-Calculation-sheet'!R91</f>
        <v>0</v>
      </c>
      <c r="S110" s="2">
        <f>S11/'Output-Calculation-sheet'!S10*'Output-Calculation-sheet'!S91</f>
        <v>691.40156219729522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146.86542950222164</v>
      </c>
      <c r="Y110" s="2">
        <f>Y11/'Output-Calculation-sheet'!Y10*'Output-Calculation-sheet'!Y91</f>
        <v>35.431987185792551</v>
      </c>
      <c r="AA110" s="2">
        <f t="shared" si="9"/>
        <v>24.505304517797324</v>
      </c>
    </row>
    <row r="111" spans="1:27" x14ac:dyDescent="0.25">
      <c r="A111" s="2">
        <v>2035</v>
      </c>
      <c r="B111" s="2">
        <f>B12/'Output-Calculation-sheet'!B11*'Output-Calculation-sheet'!B92</f>
        <v>17015.583171525461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3790.3163976705755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841.8139084144633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1346.1124832272344</v>
      </c>
      <c r="Q111" s="2">
        <f>Q12/'Output-Calculation-sheet'!Q11*'Output-Calculation-sheet'!Q92</f>
        <v>1276.6503011961297</v>
      </c>
      <c r="R111" s="2">
        <f>R12/'Output-Calculation-sheet'!R11*'Output-Calculation-sheet'!R92</f>
        <v>194.77529078153617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281.99645127435161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132.80370796155594</v>
      </c>
      <c r="AA111" s="2">
        <f t="shared" si="9"/>
        <v>41.554366385792697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9706239338.7993279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2986410577.8947029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2074319495.2789404</v>
      </c>
      <c r="N118" s="2">
        <f>N8/'Output-Calculation-sheet'!N7*'Output-Calculation-sheet'!N97</f>
        <v>1627749363.3383076</v>
      </c>
      <c r="O118" s="2">
        <f>O8/'Output-Calculation-sheet'!O7*'Output-Calculation-sheet'!O97</f>
        <v>1083123133.3756945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589478399.14343655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223572271.25161716</v>
      </c>
      <c r="Y118" s="2">
        <f>Y8/'Output-Calculation-sheet'!Y7*'Output-Calculation-sheet'!Y97</f>
        <v>0</v>
      </c>
      <c r="AA118" s="2">
        <f t="shared" si="10"/>
        <v>19946.650410867402</v>
      </c>
    </row>
    <row r="119" spans="1:27" x14ac:dyDescent="0.25">
      <c r="A119" s="2">
        <v>2032</v>
      </c>
      <c r="B119" s="2">
        <f>B9/'Output-Calculation-sheet'!B8*'Output-Calculation-sheet'!B98</f>
        <v>7372336548.3770466</v>
      </c>
      <c r="C119" s="2">
        <f>C9/'Output-Calculation-sheet'!C8*'Output-Calculation-sheet'!C98</f>
        <v>5859681998.6427908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3502931009.9477553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2445058963.154995</v>
      </c>
      <c r="N119" s="2">
        <f>N9/'Output-Calculation-sheet'!N8*'Output-Calculation-sheet'!N98</f>
        <v>1651211473.3856149</v>
      </c>
      <c r="O119" s="2">
        <f>O9/'Output-Calculation-sheet'!O8*'Output-Calculation-sheet'!O98</f>
        <v>1144873585.8880134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686210177.26606095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261630074.69402432</v>
      </c>
      <c r="Y119" s="2">
        <f>Y9/'Output-Calculation-sheet'!Y8*'Output-Calculation-sheet'!Y98</f>
        <v>0</v>
      </c>
      <c r="AA119" s="2">
        <f t="shared" si="10"/>
        <v>22923.933831356302</v>
      </c>
    </row>
    <row r="120" spans="1:27" x14ac:dyDescent="0.25">
      <c r="A120" s="2">
        <v>2033</v>
      </c>
      <c r="B120" s="2">
        <f>B10/'Output-Calculation-sheet'!B9*'Output-Calculation-sheet'!B99</f>
        <v>7631380531.8912258</v>
      </c>
      <c r="C120" s="2">
        <f>C10/'Output-Calculation-sheet'!C9*'Output-Calculation-sheet'!C99</f>
        <v>6273468659.9276428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2056921763.4991689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1455906311.8236151</v>
      </c>
      <c r="N120" s="2">
        <f>N10/'Output-Calculation-sheet'!N9*'Output-Calculation-sheet'!N99</f>
        <v>1451384336.9371529</v>
      </c>
      <c r="O120" s="2">
        <f>O10/'Output-Calculation-sheet'!O9*'Output-Calculation-sheet'!O99</f>
        <v>1228210035.2515991</v>
      </c>
      <c r="P120" s="2">
        <f>P10/'Output-Calculation-sheet'!P9*'Output-Calculation-sheet'!P99</f>
        <v>0</v>
      </c>
      <c r="Q120" s="2">
        <f>Q10/'Output-Calculation-sheet'!Q9*'Output-Calculation-sheet'!Q99</f>
        <v>8989552.2203083839</v>
      </c>
      <c r="R120" s="2">
        <f>R10/'Output-Calculation-sheet'!R9*'Output-Calculation-sheet'!R99</f>
        <v>0</v>
      </c>
      <c r="S120" s="2">
        <f>S10/'Output-Calculation-sheet'!S9*'Output-Calculation-sheet'!S99</f>
        <v>607830288.92109728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145378704.65731943</v>
      </c>
      <c r="Y120" s="2">
        <f>Y10/'Output-Calculation-sheet'!Y9*'Output-Calculation-sheet'!Y99</f>
        <v>0</v>
      </c>
      <c r="AA120" s="2">
        <f t="shared" si="10"/>
        <v>20859.470185129128</v>
      </c>
    </row>
    <row r="121" spans="1:27" x14ac:dyDescent="0.25">
      <c r="A121" s="2">
        <v>2034</v>
      </c>
      <c r="B121" s="2">
        <f>B11/'Output-Calculation-sheet'!B10*'Output-Calculation-sheet'!B100</f>
        <v>7480812641.7463112</v>
      </c>
      <c r="C121" s="2">
        <f>C11/'Output-Calculation-sheet'!C10*'Output-Calculation-sheet'!C100</f>
        <v>898876266.18003738</v>
      </c>
      <c r="D121" s="2">
        <f>D11/'Output-Calculation-sheet'!D10*'Output-Calculation-sheet'!D100</f>
        <v>0</v>
      </c>
      <c r="E121" s="2">
        <f>E11/'Output-Calculation-sheet'!E10*'Output-Calculation-sheet'!E100</f>
        <v>1037374009.3415445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2366825244.3211169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862869574.43867338</v>
      </c>
      <c r="M121" s="2">
        <f>M11/'Output-Calculation-sheet'!M10*'Output-Calculation-sheet'!M100</f>
        <v>1684460472.7753186</v>
      </c>
      <c r="N121" s="2">
        <f>N11/'Output-Calculation-sheet'!N10*'Output-Calculation-sheet'!N100</f>
        <v>1122992158.9947906</v>
      </c>
      <c r="O121" s="2">
        <f>O11/'Output-Calculation-sheet'!O10*'Output-Calculation-sheet'!O100</f>
        <v>176317536.19175917</v>
      </c>
      <c r="P121" s="2">
        <f>P11/'Output-Calculation-sheet'!P10*'Output-Calculation-sheet'!P100</f>
        <v>0</v>
      </c>
      <c r="Q121" s="2">
        <f>Q11/'Output-Calculation-sheet'!Q10*'Output-Calculation-sheet'!Q100</f>
        <v>346902944.20991957</v>
      </c>
      <c r="R121" s="2">
        <f>R11/'Output-Calculation-sheet'!R10*'Output-Calculation-sheet'!R100</f>
        <v>0</v>
      </c>
      <c r="S121" s="2">
        <f>S11/'Output-Calculation-sheet'!S10*'Output-Calculation-sheet'!S100</f>
        <v>419878454.81617165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165510027.56658268</v>
      </c>
      <c r="Y121" s="2">
        <f>Y11/'Output-Calculation-sheet'!Y10*'Output-Calculation-sheet'!Y100</f>
        <v>11827978.053417448</v>
      </c>
      <c r="AA121" s="2">
        <f t="shared" si="10"/>
        <v>16574.647308635642</v>
      </c>
    </row>
    <row r="122" spans="1:27" x14ac:dyDescent="0.25">
      <c r="A122" s="2">
        <v>2035</v>
      </c>
      <c r="B122" s="2">
        <f>B12/'Output-Calculation-sheet'!B11*'Output-Calculation-sheet'!B101</f>
        <v>2991790324.0174212</v>
      </c>
      <c r="C122" s="2">
        <f>C12/'Output-Calculation-sheet'!C11*'Output-Calculation-sheet'!C101</f>
        <v>514528080.21423954</v>
      </c>
      <c r="D122" s="2">
        <f>D12/'Output-Calculation-sheet'!D11*'Output-Calculation-sheet'!D101</f>
        <v>0</v>
      </c>
      <c r="E122" s="2">
        <f>E12/'Output-Calculation-sheet'!E11*'Output-Calculation-sheet'!E101</f>
        <v>2990322866.0494504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802476948.05891907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1755161695.5547135</v>
      </c>
      <c r="M122" s="2">
        <f>M12/'Output-Calculation-sheet'!M11*'Output-Calculation-sheet'!M101</f>
        <v>723861077.23815608</v>
      </c>
      <c r="N122" s="2">
        <f>N12/'Output-Calculation-sheet'!N11*'Output-Calculation-sheet'!N101</f>
        <v>606884457.62187409</v>
      </c>
      <c r="O122" s="2">
        <f>O12/'Output-Calculation-sheet'!O11*'Output-Calculation-sheet'!O101</f>
        <v>87695524.218154475</v>
      </c>
      <c r="P122" s="2">
        <f>P12/'Output-Calculation-sheet'!P11*'Output-Calculation-sheet'!P101</f>
        <v>37289817.053345241</v>
      </c>
      <c r="Q122" s="2">
        <f>Q12/'Output-Calculation-sheet'!Q11*'Output-Calculation-sheet'!Q101</f>
        <v>735043208.13173974</v>
      </c>
      <c r="R122" s="2">
        <f>R12/'Output-Calculation-sheet'!R11*'Output-Calculation-sheet'!R101</f>
        <v>0</v>
      </c>
      <c r="S122" s="2">
        <f>S12/'Output-Calculation-sheet'!S11*'Output-Calculation-sheet'!S101</f>
        <v>297149737.86274636</v>
      </c>
      <c r="T122" s="2">
        <f>T12/'Output-Calculation-sheet'!T11*'Output-Calculation-sheet'!T101</f>
        <v>0</v>
      </c>
      <c r="U122" s="2">
        <f>U12/'Output-Calculation-sheet'!U11*'Output-Calculation-sheet'!U101</f>
        <v>109258324.62845351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25673190.271332726</v>
      </c>
      <c r="Y122" s="2">
        <f>Y12/'Output-Calculation-sheet'!Y11*'Output-Calculation-sheet'!Y101</f>
        <v>106083100.18195125</v>
      </c>
      <c r="AA122" s="2">
        <f t="shared" si="10"/>
        <v>11783.218351102498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2701111574.6659775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2710482599.1954823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177548.38513974109</v>
      </c>
    </row>
    <row r="130" spans="1:27" x14ac:dyDescent="0.25">
      <c r="A130" s="2">
        <v>2032</v>
      </c>
      <c r="B130" s="2">
        <f>B9/'Output-Calculation-sheet'!B8*'Output-Calculation-sheet'!B107</f>
        <v>66715422665.124954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2427117902.235466</v>
      </c>
      <c r="O130" s="2">
        <f>O9/'Output-Calculation-sheet'!O8*'Output-Calculation-sheet'!O107</f>
        <v>0</v>
      </c>
      <c r="P130" s="2">
        <f>P9/'Output-Calculation-sheet'!P8*'Output-Calculation-sheet'!P107</f>
        <v>7406025158.3061409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2155665310.8253598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234954.00725958249</v>
      </c>
    </row>
    <row r="131" spans="1:27" x14ac:dyDescent="0.25">
      <c r="A131" s="2">
        <v>2033</v>
      </c>
      <c r="B131" s="2">
        <f>B10/'Output-Calculation-sheet'!B9*'Output-Calculation-sheet'!B108</f>
        <v>56927776480.907623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2085988047.1065946</v>
      </c>
      <c r="O131" s="2">
        <f>O10/'Output-Calculation-sheet'!O9*'Output-Calculation-sheet'!O108</f>
        <v>0</v>
      </c>
      <c r="P131" s="2">
        <f>P10/'Output-Calculation-sheet'!P9*'Output-Calculation-sheet'!P108</f>
        <v>9594043323.0125847</v>
      </c>
      <c r="Q131" s="2">
        <f>Q10/'Output-Calculation-sheet'!Q9*'Output-Calculation-sheet'!Q108</f>
        <v>8093166751.6643467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2023297243.553772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271707.31287040928</v>
      </c>
    </row>
    <row r="132" spans="1:27" x14ac:dyDescent="0.25">
      <c r="A132" s="2">
        <v>2034</v>
      </c>
      <c r="B132" s="2">
        <f>B11/'Output-Calculation-sheet'!B10*'Output-Calculation-sheet'!B109</f>
        <v>43529767025.844879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42019257677.791359</v>
      </c>
      <c r="F132" s="2">
        <f>F11/'Output-Calculation-sheet'!F10*'Output-Calculation-sheet'!F109</f>
        <v>27712698339.900055</v>
      </c>
      <c r="G132" s="2">
        <f>G11/'Output-Calculation-sheet'!G10*'Output-Calculation-sheet'!G109</f>
        <v>19472241611.424744</v>
      </c>
      <c r="H132" s="2">
        <f>H11/'Output-Calculation-sheet'!H10*'Output-Calculation-sheet'!H109</f>
        <v>0</v>
      </c>
      <c r="I132" s="2">
        <f>I11/'Output-Calculation-sheet'!I10*'Output-Calculation-sheet'!I109</f>
        <v>17739502777.722378</v>
      </c>
      <c r="J132" s="2">
        <f>J11/'Output-Calculation-sheet'!J10*'Output-Calculation-sheet'!J109</f>
        <v>17266525775.931847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12855775970.485668</v>
      </c>
      <c r="M132" s="2">
        <f>M11/'Output-Calculation-sheet'!M10*'Output-Calculation-sheet'!M109</f>
        <v>0</v>
      </c>
      <c r="N132" s="2">
        <f>N11/'Output-Calculation-sheet'!N10*'Output-Calculation-sheet'!N109</f>
        <v>1690317373.3015053</v>
      </c>
      <c r="O132" s="2">
        <f>O11/'Output-Calculation-sheet'!O10*'Output-Calculation-sheet'!O109</f>
        <v>0</v>
      </c>
      <c r="P132" s="2">
        <f>P11/'Output-Calculation-sheet'!P10*'Output-Calculation-sheet'!P109</f>
        <v>9603922519.9183292</v>
      </c>
      <c r="Q132" s="2">
        <f>Q11/'Output-Calculation-sheet'!Q10*'Output-Calculation-sheet'!Q109</f>
        <v>6234313924.1637278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1160082028.9563863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3549938142.0943766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1144576047.6670551</v>
      </c>
      <c r="AA132" s="2">
        <f t="shared" si="11"/>
        <v>295591.9119321733</v>
      </c>
    </row>
    <row r="133" spans="1:27" x14ac:dyDescent="0.25">
      <c r="A133" s="2">
        <v>2035</v>
      </c>
      <c r="B133" s="2">
        <f>B12/'Output-Calculation-sheet'!B11*'Output-Calculation-sheet'!B110</f>
        <v>716877568.09634912</v>
      </c>
      <c r="C133" s="2">
        <f>C12/'Output-Calculation-sheet'!C11*'Output-Calculation-sheet'!C110</f>
        <v>0</v>
      </c>
      <c r="D133" s="2">
        <f>D12/'Output-Calculation-sheet'!D11*'Output-Calculation-sheet'!D110</f>
        <v>60605741639.153419</v>
      </c>
      <c r="E133" s="2">
        <f>E12/'Output-Calculation-sheet'!E11*'Output-Calculation-sheet'!E110</f>
        <v>23264233520.555428</v>
      </c>
      <c r="F133" s="2">
        <f>F12/'Output-Calculation-sheet'!F11*'Output-Calculation-sheet'!F110</f>
        <v>31736450395.681091</v>
      </c>
      <c r="G133" s="2">
        <f>G12/'Output-Calculation-sheet'!G11*'Output-Calculation-sheet'!G110</f>
        <v>21634652394.395367</v>
      </c>
      <c r="H133" s="2">
        <f>H12/'Output-Calculation-sheet'!H11*'Output-Calculation-sheet'!H110</f>
        <v>0</v>
      </c>
      <c r="I133" s="2">
        <f>I12/'Output-Calculation-sheet'!I11*'Output-Calculation-sheet'!I110</f>
        <v>20212306035.714878</v>
      </c>
      <c r="J133" s="2">
        <f>J12/'Output-Calculation-sheet'!J11*'Output-Calculation-sheet'!J110</f>
        <v>19351048333.091846</v>
      </c>
      <c r="K133" s="2">
        <f>K12/'Output-Calculation-sheet'!K11*'Output-Calculation-sheet'!K110</f>
        <v>19545893549.678738</v>
      </c>
      <c r="L133" s="2">
        <f>L12/'Output-Calculation-sheet'!L11*'Output-Calculation-sheet'!L110</f>
        <v>9226866113.8025837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3366566806.0041151</v>
      </c>
      <c r="Q133" s="2">
        <f>Q12/'Output-Calculation-sheet'!Q11*'Output-Calculation-sheet'!Q110</f>
        <v>2887958983.0454707</v>
      </c>
      <c r="R133" s="2">
        <f>R12/'Output-Calculation-sheet'!R11*'Output-Calculation-sheet'!R110</f>
        <v>11611754089.82283</v>
      </c>
      <c r="S133" s="2">
        <f>S12/'Output-Calculation-sheet'!S11*'Output-Calculation-sheet'!S110</f>
        <v>2987989.6618672069</v>
      </c>
      <c r="T133" s="2">
        <f>T12/'Output-Calculation-sheet'!T11*'Output-Calculation-sheet'!T110</f>
        <v>4687799334.6149321</v>
      </c>
      <c r="U133" s="2">
        <f>U12/'Output-Calculation-sheet'!U11*'Output-Calculation-sheet'!U110</f>
        <v>2200716175.6751981</v>
      </c>
      <c r="V133" s="2">
        <f>V12/'Output-Calculation-sheet'!V11*'Output-Calculation-sheet'!V110</f>
        <v>3161879031.2874427</v>
      </c>
      <c r="W133" s="2">
        <f>W12/'Output-Calculation-sheet'!W11*'Output-Calculation-sheet'!W110</f>
        <v>2727320161.0183654</v>
      </c>
      <c r="X133" s="2">
        <f>X12/'Output-Calculation-sheet'!X11*'Output-Calculation-sheet'!X110</f>
        <v>0</v>
      </c>
      <c r="Y133" s="2">
        <f>Y12/'Output-Calculation-sheet'!Y11*'Output-Calculation-sheet'!Y110</f>
        <v>624342373.70122039</v>
      </c>
      <c r="AA133" s="2">
        <f t="shared" si="11"/>
        <v>237565.39449500115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17568587198.756069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5523121280.7604008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3796511111.0928745</v>
      </c>
      <c r="N140" s="2">
        <f>N8/'Output-Calculation-sheet'!N7*'Output-Calculation-sheet'!N115</f>
        <v>1433333424.0861151</v>
      </c>
      <c r="O140" s="2">
        <f>O8/'Output-Calculation-sheet'!O7*'Output-Calculation-sheet'!O115</f>
        <v>4216375384.0489945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412255524.73967898</v>
      </c>
      <c r="Y140" s="2">
        <f>Y8/'Output-Calculation-sheet'!Y7*'Output-Calculation-sheet'!Y115</f>
        <v>0</v>
      </c>
      <c r="AA140" s="2">
        <f t="shared" si="12"/>
        <v>32950.183923484132</v>
      </c>
    </row>
    <row r="141" spans="1:27" x14ac:dyDescent="0.25">
      <c r="A141" s="2">
        <v>2032</v>
      </c>
      <c r="B141" s="2">
        <f>B9/'Output-Calculation-sheet'!B8*'Output-Calculation-sheet'!B116</f>
        <v>7627112241.4023247</v>
      </c>
      <c r="C141" s="2">
        <f>C9/'Output-Calculation-sheet'!C8*'Output-Calculation-sheet'!C116</f>
        <v>32648550196.779503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8511335456.2665071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5843731120.0758362</v>
      </c>
      <c r="N141" s="2">
        <f>N9/'Output-Calculation-sheet'!N8*'Output-Calculation-sheet'!N116</f>
        <v>4057080924.3529534</v>
      </c>
      <c r="O141" s="2">
        <f>O9/'Output-Calculation-sheet'!O8*'Output-Calculation-sheet'!O116</f>
        <v>6337275477.2024946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1817207114.4735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636069598.52838171</v>
      </c>
      <c r="Y141" s="2">
        <f>Y9/'Output-Calculation-sheet'!Y8*'Output-Calculation-sheet'!Y116</f>
        <v>0</v>
      </c>
      <c r="AA141" s="2">
        <f t="shared" si="12"/>
        <v>67478.362129081492</v>
      </c>
    </row>
    <row r="142" spans="1:27" x14ac:dyDescent="0.25">
      <c r="A142" s="2">
        <v>2033</v>
      </c>
      <c r="B142" s="2">
        <f>B10/'Output-Calculation-sheet'!B9*'Output-Calculation-sheet'!B117</f>
        <v>41302891417.594276</v>
      </c>
      <c r="C142" s="2">
        <f>C10/'Output-Calculation-sheet'!C9*'Output-Calculation-sheet'!C117</f>
        <v>43614146691.949135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13507623378.479675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9282264660.6306648</v>
      </c>
      <c r="N142" s="2">
        <f>N10/'Output-Calculation-sheet'!N9*'Output-Calculation-sheet'!N117</f>
        <v>7002093731.1840849</v>
      </c>
      <c r="O142" s="2">
        <f>O10/'Output-Calculation-sheet'!O9*'Output-Calculation-sheet'!O117</f>
        <v>8464952355.4264612</v>
      </c>
      <c r="P142" s="2">
        <f>P10/'Output-Calculation-sheet'!P9*'Output-Calculation-sheet'!P117</f>
        <v>0</v>
      </c>
      <c r="Q142" s="2">
        <f>Q10/'Output-Calculation-sheet'!Q9*'Output-Calculation-sheet'!Q117</f>
        <v>1337300569.4913588</v>
      </c>
      <c r="R142" s="2">
        <f>R10/'Output-Calculation-sheet'!R9*'Output-Calculation-sheet'!R117</f>
        <v>0</v>
      </c>
      <c r="S142" s="2">
        <f>S10/'Output-Calculation-sheet'!S9*'Output-Calculation-sheet'!S117</f>
        <v>3404738338.2547069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1017595985.2547498</v>
      </c>
      <c r="Y142" s="2">
        <f>Y10/'Output-Calculation-sheet'!Y9*'Output-Calculation-sheet'!Y117</f>
        <v>0</v>
      </c>
      <c r="AA142" s="2">
        <f t="shared" si="12"/>
        <v>128933.60712826511</v>
      </c>
    </row>
    <row r="143" spans="1:27" x14ac:dyDescent="0.25">
      <c r="A143" s="2">
        <v>2034</v>
      </c>
      <c r="B143" s="2">
        <f>B11/'Output-Calculation-sheet'!B10*'Output-Calculation-sheet'!B118</f>
        <v>78175109296.368973</v>
      </c>
      <c r="C143" s="2">
        <f>C11/'Output-Calculation-sheet'!C10*'Output-Calculation-sheet'!C118</f>
        <v>59980307843.668755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16626839743.459335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11419498374.587351</v>
      </c>
      <c r="N143" s="2">
        <f>N11/'Output-Calculation-sheet'!N10*'Output-Calculation-sheet'!N118</f>
        <v>10048242491.451683</v>
      </c>
      <c r="O143" s="2">
        <f>O11/'Output-Calculation-sheet'!O10*'Output-Calculation-sheet'!O118</f>
        <v>11652507513.465208</v>
      </c>
      <c r="P143" s="2">
        <f>P11/'Output-Calculation-sheet'!P10*'Output-Calculation-sheet'!P118</f>
        <v>2103825826.9518418</v>
      </c>
      <c r="Q143" s="2">
        <f>Q11/'Output-Calculation-sheet'!Q10*'Output-Calculation-sheet'!Q118</f>
        <v>4937904002.7059631</v>
      </c>
      <c r="R143" s="2">
        <f>R11/'Output-Calculation-sheet'!R10*'Output-Calculation-sheet'!R118</f>
        <v>0</v>
      </c>
      <c r="S143" s="2">
        <f>S11/'Output-Calculation-sheet'!S10*'Output-Calculation-sheet'!S118</f>
        <v>5785767451.4847717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1253687175.1254907</v>
      </c>
      <c r="Y143" s="2">
        <f>Y11/'Output-Calculation-sheet'!Y10*'Output-Calculation-sheet'!Y118</f>
        <v>223734286.08071861</v>
      </c>
      <c r="AA143" s="2">
        <f t="shared" si="12"/>
        <v>202207.4240053501</v>
      </c>
    </row>
    <row r="144" spans="1:27" x14ac:dyDescent="0.25">
      <c r="A144" s="2">
        <v>2035</v>
      </c>
      <c r="B144" s="2">
        <f>B12/'Output-Calculation-sheet'!B11*'Output-Calculation-sheet'!B119</f>
        <v>146899242010.65308</v>
      </c>
      <c r="C144" s="2">
        <f>C12/'Output-Calculation-sheet'!C11*'Output-Calculation-sheet'!C119</f>
        <v>70573660855.939255</v>
      </c>
      <c r="D144" s="2">
        <f>D12/'Output-Calculation-sheet'!D11*'Output-Calculation-sheet'!D119</f>
        <v>0</v>
      </c>
      <c r="E144" s="2">
        <f>E12/'Output-Calculation-sheet'!E11*'Output-Calculation-sheet'!E119</f>
        <v>23756039379.375256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21321536712.298428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4894922977.2393589</v>
      </c>
      <c r="M144" s="2">
        <f>M12/'Output-Calculation-sheet'!M11*'Output-Calculation-sheet'!M119</f>
        <v>14531285095.540833</v>
      </c>
      <c r="N144" s="2">
        <f>N12/'Output-Calculation-sheet'!N11*'Output-Calculation-sheet'!N119</f>
        <v>14356980677.770725</v>
      </c>
      <c r="O144" s="2">
        <f>O12/'Output-Calculation-sheet'!O11*'Output-Calculation-sheet'!O119</f>
        <v>13719602924.837831</v>
      </c>
      <c r="P144" s="2">
        <f>P12/'Output-Calculation-sheet'!P11*'Output-Calculation-sheet'!P119</f>
        <v>10248150670.895399</v>
      </c>
      <c r="Q144" s="2">
        <f>Q12/'Output-Calculation-sheet'!Q11*'Output-Calculation-sheet'!Q119</f>
        <v>9681441210.9354515</v>
      </c>
      <c r="R144" s="2">
        <f>R12/'Output-Calculation-sheet'!R11*'Output-Calculation-sheet'!R119</f>
        <v>1089889296.7632411</v>
      </c>
      <c r="S144" s="2">
        <f>S12/'Output-Calculation-sheet'!S11*'Output-Calculation-sheet'!S119</f>
        <v>8274178487.0270786</v>
      </c>
      <c r="T144" s="2">
        <f>T12/'Output-Calculation-sheet'!T11*'Output-Calculation-sheet'!T119</f>
        <v>0</v>
      </c>
      <c r="U144" s="2">
        <f>U12/'Output-Calculation-sheet'!U11*'Output-Calculation-sheet'!U119</f>
        <v>1799946318.6471503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1630777808.4227145</v>
      </c>
      <c r="Y144" s="2">
        <f>Y12/'Output-Calculation-sheet'!Y11*'Output-Calculation-sheet'!Y119</f>
        <v>872723408.2989341</v>
      </c>
      <c r="AA144" s="2">
        <f t="shared" si="12"/>
        <v>343650.37783464475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636139436.2133261</v>
      </c>
      <c r="C155" s="2">
        <f>C12/'Output-Calculation-sheet'!C11*'Output-Calculation-sheet'!C128</f>
        <v>60773963.584548675</v>
      </c>
      <c r="D155" s="2">
        <f>D12/'Output-Calculation-sheet'!D11*'Output-Calculation-sheet'!D128</f>
        <v>4552667708.020278</v>
      </c>
      <c r="E155" s="2">
        <f>E12/'Output-Calculation-sheet'!E11*'Output-Calculation-sheet'!E128</f>
        <v>678748201.54400289</v>
      </c>
      <c r="F155" s="2">
        <f>F12/'Output-Calculation-sheet'!F11*'Output-Calculation-sheet'!F128</f>
        <v>1406083170.0806177</v>
      </c>
      <c r="G155" s="2">
        <f>G12/'Output-Calculation-sheet'!G11*'Output-Calculation-sheet'!G128</f>
        <v>1769033985.1428947</v>
      </c>
      <c r="H155" s="2">
        <f>H12/'Output-Calculation-sheet'!H11*'Output-Calculation-sheet'!H128</f>
        <v>134061788.24091239</v>
      </c>
      <c r="I155" s="2">
        <f>I12/'Output-Calculation-sheet'!I11*'Output-Calculation-sheet'!I128</f>
        <v>1063626540.8963412</v>
      </c>
      <c r="J155" s="2">
        <f>J12/'Output-Calculation-sheet'!J11*'Output-Calculation-sheet'!J128</f>
        <v>1196790426.231005</v>
      </c>
      <c r="K155" s="2">
        <f>K12/'Output-Calculation-sheet'!K11*'Output-Calculation-sheet'!K128</f>
        <v>897138921.17631543</v>
      </c>
      <c r="L155" s="2">
        <f>L12/'Output-Calculation-sheet'!L11*'Output-Calculation-sheet'!L128</f>
        <v>284672726.57917625</v>
      </c>
      <c r="M155" s="2">
        <f>M12/'Output-Calculation-sheet'!M11*'Output-Calculation-sheet'!M128</f>
        <v>106580063.19338645</v>
      </c>
      <c r="N155" s="2">
        <f>N12/'Output-Calculation-sheet'!N11*'Output-Calculation-sheet'!N128</f>
        <v>97413625.608905613</v>
      </c>
      <c r="O155" s="2">
        <f>O12/'Output-Calculation-sheet'!O11*'Output-Calculation-sheet'!O128</f>
        <v>17208790.586576752</v>
      </c>
      <c r="P155" s="2">
        <f>P12/'Output-Calculation-sheet'!P11*'Output-Calculation-sheet'!P128</f>
        <v>72530127.422187686</v>
      </c>
      <c r="Q155" s="2">
        <f>Q12/'Output-Calculation-sheet'!Q11*'Output-Calculation-sheet'!Q128</f>
        <v>245365045.79030904</v>
      </c>
      <c r="R155" s="2">
        <f>R12/'Output-Calculation-sheet'!R11*'Output-Calculation-sheet'!R128</f>
        <v>496867845.98239082</v>
      </c>
      <c r="S155" s="2">
        <f>S12/'Output-Calculation-sheet'!S11*'Output-Calculation-sheet'!S128</f>
        <v>59733029.444220975</v>
      </c>
      <c r="T155" s="2">
        <f>T12/'Output-Calculation-sheet'!T11*'Output-Calculation-sheet'!T128</f>
        <v>155119768.48980501</v>
      </c>
      <c r="U155" s="2">
        <f>U12/'Output-Calculation-sheet'!U11*'Output-Calculation-sheet'!U128</f>
        <v>85381445.015495345</v>
      </c>
      <c r="V155" s="2">
        <f>V12/'Output-Calculation-sheet'!V11*'Output-Calculation-sheet'!V128</f>
        <v>63605729.14886184</v>
      </c>
      <c r="W155" s="2">
        <f>W12/'Output-Calculation-sheet'!W11*'Output-Calculation-sheet'!W128</f>
        <v>102810607.11708102</v>
      </c>
      <c r="X155" s="2">
        <f>X12/'Output-Calculation-sheet'!X11*'Output-Calculation-sheet'!X128</f>
        <v>3210999.3925882988</v>
      </c>
      <c r="Y155" s="2">
        <f>Y12/'Output-Calculation-sheet'!Y11*'Output-Calculation-sheet'!Y128</f>
        <v>21535618.619533043</v>
      </c>
      <c r="AA155" s="2">
        <f t="shared" si="13"/>
        <v>14207.099563520758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5858.1932021321054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1774.5171640176791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1232.6500755290399</v>
      </c>
      <c r="N19" s="2">
        <f>N8/'Output-Calculation-sheet'!N7*'Output-Calculation-sheet'!N25</f>
        <v>1025.4191995627032</v>
      </c>
      <c r="O19" s="2">
        <f>O8/'Output-Calculation-sheet'!O7*'Output-Calculation-sheet'!O25</f>
        <v>643.56138649012928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133.40702707065273</v>
      </c>
      <c r="Y19" s="2">
        <f>Y8/'Output-Calculation-sheet'!Y7*'Output-Calculation-sheet'!Y25</f>
        <v>0</v>
      </c>
      <c r="AA19" s="2">
        <f t="shared" si="0"/>
        <v>12.387083440360991</v>
      </c>
    </row>
    <row r="20" spans="1:27" x14ac:dyDescent="0.25">
      <c r="A20" s="2">
        <v>2032</v>
      </c>
      <c r="B20" s="2">
        <f>B9/'Output-Calculation-sheet'!B8*'Output-Calculation-sheet'!B26</f>
        <v>5803.7451777111264</v>
      </c>
      <c r="C20" s="2">
        <f>C9/'Output-Calculation-sheet'!C8*'Output-Calculation-sheet'!C26</f>
        <v>3182.6321649074998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1910.5498033957067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1335.1053881392099</v>
      </c>
      <c r="N20" s="2">
        <f>N9/'Output-Calculation-sheet'!N8*'Output-Calculation-sheet'!N26</f>
        <v>925.26441540229041</v>
      </c>
      <c r="O20" s="2">
        <f>O9/'Output-Calculation-sheet'!O8*'Output-Calculation-sheet'!O26</f>
        <v>621.82734414431593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438.9021466695134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145.27896535093302</v>
      </c>
      <c r="Y20" s="2">
        <f>Y9/'Output-Calculation-sheet'!Y8*'Output-Calculation-sheet'!Y26</f>
        <v>0</v>
      </c>
      <c r="AA20" s="2">
        <f t="shared" si="0"/>
        <v>14.363305405720597</v>
      </c>
    </row>
    <row r="21" spans="1:27" x14ac:dyDescent="0.25">
      <c r="A21" s="2">
        <v>2033</v>
      </c>
      <c r="B21" s="2">
        <f>B10/'Output-Calculation-sheet'!B9*'Output-Calculation-sheet'!B27</f>
        <v>4776.7548467730021</v>
      </c>
      <c r="C21" s="2">
        <f>C10/'Output-Calculation-sheet'!C9*'Output-Calculation-sheet'!C27</f>
        <v>2935.995682086133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962.64484702879577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681.36796389791198</v>
      </c>
      <c r="N21" s="2">
        <f>N10/'Output-Calculation-sheet'!N9*'Output-Calculation-sheet'!N27</f>
        <v>690.01949179683083</v>
      </c>
      <c r="O21" s="2">
        <f>O10/'Output-Calculation-sheet'!O9*'Output-Calculation-sheet'!O27</f>
        <v>574.80500893057069</v>
      </c>
      <c r="P21" s="2">
        <f>P10/'Output-Calculation-sheet'!P9*'Output-Calculation-sheet'!P27</f>
        <v>0</v>
      </c>
      <c r="Q21" s="2">
        <f>Q10/'Output-Calculation-sheet'!Q9*'Output-Calculation-sheet'!Q27</f>
        <v>8.146500891449767</v>
      </c>
      <c r="R21" s="2">
        <f>R10/'Output-Calculation-sheet'!R9*'Output-Calculation-sheet'!R27</f>
        <v>0</v>
      </c>
      <c r="S21" s="2">
        <f>S10/'Output-Calculation-sheet'!S9*'Output-Calculation-sheet'!S27</f>
        <v>328.56173445297412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68.037519527863211</v>
      </c>
      <c r="Y21" s="2">
        <f>Y10/'Output-Calculation-sheet'!Y9*'Output-Calculation-sheet'!Y27</f>
        <v>0</v>
      </c>
      <c r="AA21" s="2">
        <f t="shared" si="0"/>
        <v>11.02633359538553</v>
      </c>
    </row>
    <row r="22" spans="1:27" x14ac:dyDescent="0.25">
      <c r="A22" s="2">
        <v>2034</v>
      </c>
      <c r="B22" s="2">
        <f>B11/'Output-Calculation-sheet'!B10*'Output-Calculation-sheet'!B28</f>
        <v>3355.8788885989293</v>
      </c>
      <c r="C22" s="2">
        <f>C11/'Output-Calculation-sheet'!C10*'Output-Calculation-sheet'!C28</f>
        <v>338.76269180901784</v>
      </c>
      <c r="D22" s="2">
        <f>D11/'Output-Calculation-sheet'!D10*'Output-Calculation-sheet'!D28</f>
        <v>0</v>
      </c>
      <c r="E22" s="2">
        <f>E11/'Output-Calculation-sheet'!E10*'Output-Calculation-sheet'!E28</f>
        <v>1124.8751882688193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891.9887084625949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682.21665386059351</v>
      </c>
      <c r="M22" s="2">
        <f>M11/'Output-Calculation-sheet'!M10*'Output-Calculation-sheet'!M28</f>
        <v>634.82496383505952</v>
      </c>
      <c r="N22" s="2">
        <f>N11/'Output-Calculation-sheet'!N10*'Output-Calculation-sheet'!N28</f>
        <v>424.38411011553075</v>
      </c>
      <c r="O22" s="2">
        <f>O11/'Output-Calculation-sheet'!O10*'Output-Calculation-sheet'!O28</f>
        <v>66.449090400451709</v>
      </c>
      <c r="P22" s="2">
        <f>P11/'Output-Calculation-sheet'!P10*'Output-Calculation-sheet'!P28</f>
        <v>0</v>
      </c>
      <c r="Q22" s="2">
        <f>Q11/'Output-Calculation-sheet'!Q10*'Output-Calculation-sheet'!Q28</f>
        <v>201.18398587435402</v>
      </c>
      <c r="R22" s="2">
        <f>R11/'Output-Calculation-sheet'!R10*'Output-Calculation-sheet'!R28</f>
        <v>0</v>
      </c>
      <c r="S22" s="2">
        <f>S11/'Output-Calculation-sheet'!S10*'Output-Calculation-sheet'!S28</f>
        <v>158.90287446831394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62.375972701330404</v>
      </c>
      <c r="Y22" s="2">
        <f>Y11/'Output-Calculation-sheet'!Y10*'Output-Calculation-sheet'!Y28</f>
        <v>11.864095426386905</v>
      </c>
      <c r="AA22" s="2">
        <f t="shared" si="0"/>
        <v>7.9537072238213815</v>
      </c>
    </row>
    <row r="23" spans="1:27" x14ac:dyDescent="0.25">
      <c r="A23" s="2">
        <v>2035</v>
      </c>
      <c r="B23" s="2">
        <f>B12/'Output-Calculation-sheet'!B11*'Output-Calculation-sheet'!B29</f>
        <v>834.09322987587029</v>
      </c>
      <c r="C23" s="2">
        <f>C12/'Output-Calculation-sheet'!C11*'Output-Calculation-sheet'!C29</f>
        <v>143.44787668869589</v>
      </c>
      <c r="D23" s="2">
        <f>D12/'Output-Calculation-sheet'!D11*'Output-Calculation-sheet'!D29</f>
        <v>0</v>
      </c>
      <c r="E23" s="2">
        <f>E12/'Output-Calculation-sheet'!E11*'Output-Calculation-sheet'!E29</f>
        <v>1167.9173348883271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223.72683718584005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706.79846288696683</v>
      </c>
      <c r="M23" s="2">
        <f>M12/'Output-Calculation-sheet'!M11*'Output-Calculation-sheet'!M29</f>
        <v>201.80912311365094</v>
      </c>
      <c r="N23" s="2">
        <f>N12/'Output-Calculation-sheet'!N11*'Output-Calculation-sheet'!N29</f>
        <v>169.19667741831583</v>
      </c>
      <c r="O23" s="2">
        <f>O12/'Output-Calculation-sheet'!O11*'Output-Calculation-sheet'!O29</f>
        <v>24.449042796406633</v>
      </c>
      <c r="P23" s="2">
        <f>P12/'Output-Calculation-sheet'!P11*'Output-Calculation-sheet'!P29</f>
        <v>10.834534063891036</v>
      </c>
      <c r="Q23" s="2">
        <f>Q12/'Output-Calculation-sheet'!Q11*'Output-Calculation-sheet'!Q29</f>
        <v>218.14096019313121</v>
      </c>
      <c r="R23" s="2">
        <f>R12/'Output-Calculation-sheet'!R11*'Output-Calculation-sheet'!R29</f>
        <v>0</v>
      </c>
      <c r="S23" s="2">
        <f>S12/'Output-Calculation-sheet'!S11*'Output-Calculation-sheet'!S29</f>
        <v>82.844011183151878</v>
      </c>
      <c r="T23" s="2">
        <f>T12/'Output-Calculation-sheet'!T11*'Output-Calculation-sheet'!T29</f>
        <v>0</v>
      </c>
      <c r="U23" s="2">
        <f>U12/'Output-Calculation-sheet'!U11*'Output-Calculation-sheet'!U29</f>
        <v>59.39700157645732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7.1575805799951748</v>
      </c>
      <c r="Y23" s="2">
        <f>Y12/'Output-Calculation-sheet'!Y11*'Output-Calculation-sheet'!Y29</f>
        <v>38.358365725983553</v>
      </c>
      <c r="AA23" s="2">
        <f t="shared" si="0"/>
        <v>3.8881710381766839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1168.9561967558079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45.831796256573988</v>
      </c>
    </row>
    <row r="31" spans="1:27" x14ac:dyDescent="0.25">
      <c r="A31" s="2">
        <v>2032</v>
      </c>
      <c r="B31" s="2">
        <f>B9/'Output-Calculation-sheet'!B8*'Output-Calculation-sheet'!B17</f>
        <v>24401.347983193351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954.11842318774177</v>
      </c>
      <c r="O31" s="2">
        <f>O9/'Output-Calculation-sheet'!O8*'Output-Calculation-sheet'!O17</f>
        <v>0</v>
      </c>
      <c r="P31" s="2">
        <f>P9/'Output-Calculation-sheet'!P8*'Output-Calculation-sheet'!P17</f>
        <v>2385.3024758932847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789.69307452468956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55.907022140739905</v>
      </c>
    </row>
    <row r="32" spans="1:27" x14ac:dyDescent="0.25">
      <c r="A32" s="2">
        <v>2033</v>
      </c>
      <c r="B32" s="2">
        <f>B10/'Output-Calculation-sheet'!B9*'Output-Calculation-sheet'!B18</f>
        <v>17278.785179473769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2705.2337573181721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699.36213755123481</v>
      </c>
      <c r="O32" s="2">
        <f>O10/'Output-Calculation-sheet'!O9*'Output-Calculation-sheet'!O18</f>
        <v>0</v>
      </c>
      <c r="P32" s="2">
        <f>P10/'Output-Calculation-sheet'!P9*'Output-Calculation-sheet'!P18</f>
        <v>2784.2261843202978</v>
      </c>
      <c r="Q32" s="2">
        <f>Q10/'Output-Calculation-sheet'!Q9*'Output-Calculation-sheet'!Q18</f>
        <v>2577.8084942005084</v>
      </c>
      <c r="R32" s="2">
        <f>R10/'Output-Calculation-sheet'!R9*'Output-Calculation-sheet'!R18</f>
        <v>1999.2799282985129</v>
      </c>
      <c r="S32" s="2">
        <f>S10/'Output-Calculation-sheet'!S9*'Output-Calculation-sheet'!S18</f>
        <v>636.2128268408344</v>
      </c>
      <c r="T32" s="2">
        <f>T10/'Output-Calculation-sheet'!T9*'Output-Calculation-sheet'!T18</f>
        <v>583.72921996518596</v>
      </c>
      <c r="U32" s="2">
        <f>U10/'Output-Calculation-sheet'!U9*'Output-Calculation-sheet'!U18</f>
        <v>645.30671083343759</v>
      </c>
      <c r="V32" s="2">
        <f>V10/'Output-Calculation-sheet'!V9*'Output-Calculation-sheet'!V18</f>
        <v>476.32339033479059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275.75373239324875</v>
      </c>
      <c r="AA32" s="2">
        <f t="shared" si="1"/>
        <v>54.930856932080808</v>
      </c>
    </row>
    <row r="33" spans="1:27" x14ac:dyDescent="0.25">
      <c r="A33" s="2">
        <v>2034</v>
      </c>
      <c r="B33" s="2">
        <f>B11/'Output-Calculation-sheet'!B10*'Output-Calculation-sheet'!B19</f>
        <v>10153.727930467569</v>
      </c>
      <c r="C33" s="2">
        <f>C11/'Output-Calculation-sheet'!C10*'Output-Calculation-sheet'!C19</f>
        <v>0</v>
      </c>
      <c r="D33" s="2">
        <f>D11/'Output-Calculation-sheet'!D10*'Output-Calculation-sheet'!D19</f>
        <v>6752.0389231202344</v>
      </c>
      <c r="E33" s="2">
        <f>E11/'Output-Calculation-sheet'!E10*'Output-Calculation-sheet'!E19</f>
        <v>8369.8737980148999</v>
      </c>
      <c r="F33" s="2">
        <f>F11/'Output-Calculation-sheet'!F10*'Output-Calculation-sheet'!F19</f>
        <v>3832.4201499203518</v>
      </c>
      <c r="G33" s="2">
        <f>G11/'Output-Calculation-sheet'!G10*'Output-Calculation-sheet'!G19</f>
        <v>2298.1573380275631</v>
      </c>
      <c r="H33" s="2">
        <f>H11/'Output-Calculation-sheet'!H10*'Output-Calculation-sheet'!H19</f>
        <v>0</v>
      </c>
      <c r="I33" s="2">
        <f>I11/'Output-Calculation-sheet'!I10*'Output-Calculation-sheet'!I19</f>
        <v>2507.9385673330016</v>
      </c>
      <c r="J33" s="2">
        <f>J11/'Output-Calculation-sheet'!J10*'Output-Calculation-sheet'!J19</f>
        <v>2120.3831655298782</v>
      </c>
      <c r="K33" s="2">
        <f>K11/'Output-Calculation-sheet'!K10*'Output-Calculation-sheet'!K19</f>
        <v>2941.4275136635752</v>
      </c>
      <c r="L33" s="2">
        <f>L11/'Output-Calculation-sheet'!L10*'Output-Calculation-sheet'!L19</f>
        <v>2392.2706196817244</v>
      </c>
      <c r="M33" s="2">
        <f>M11/'Output-Calculation-sheet'!M10*'Output-Calculation-sheet'!M19</f>
        <v>0</v>
      </c>
      <c r="N33" s="2">
        <f>N11/'Output-Calculation-sheet'!N10*'Output-Calculation-sheet'!N19</f>
        <v>454.10101269506498</v>
      </c>
      <c r="O33" s="2">
        <f>O11/'Output-Calculation-sheet'!O10*'Output-Calculation-sheet'!O19</f>
        <v>0</v>
      </c>
      <c r="P33" s="2">
        <f>P11/'Output-Calculation-sheet'!P10*'Output-Calculation-sheet'!P19</f>
        <v>2247.8740026295418</v>
      </c>
      <c r="Q33" s="2">
        <f>Q11/'Output-Calculation-sheet'!Q10*'Output-Calculation-sheet'!Q19</f>
        <v>1453.1170246760109</v>
      </c>
      <c r="R33" s="2">
        <f>R11/'Output-Calculation-sheet'!R10*'Output-Calculation-sheet'!R19</f>
        <v>2125.393810357506</v>
      </c>
      <c r="S33" s="2">
        <f>S11/'Output-Calculation-sheet'!S10*'Output-Calculation-sheet'!S19</f>
        <v>288.67158488659004</v>
      </c>
      <c r="T33" s="2">
        <f>T11/'Output-Calculation-sheet'!T10*'Output-Calculation-sheet'!T19</f>
        <v>623.36664561332816</v>
      </c>
      <c r="U33" s="2">
        <f>U11/'Output-Calculation-sheet'!U10*'Output-Calculation-sheet'!U19</f>
        <v>717.05770388884503</v>
      </c>
      <c r="V33" s="2">
        <f>V11/'Output-Calculation-sheet'!V10*'Output-Calculation-sheet'!V19</f>
        <v>488.97890022594203</v>
      </c>
      <c r="W33" s="2">
        <f>W11/'Output-Calculation-sheet'!W10*'Output-Calculation-sheet'!W19</f>
        <v>304.42140358759582</v>
      </c>
      <c r="X33" s="2">
        <f>X11/'Output-Calculation-sheet'!X10*'Output-Calculation-sheet'!X19</f>
        <v>0</v>
      </c>
      <c r="Y33" s="2">
        <f>Y11/'Output-Calculation-sheet'!Y10*'Output-Calculation-sheet'!Y19</f>
        <v>232.43974909431853</v>
      </c>
      <c r="AA33" s="2">
        <f t="shared" si="1"/>
        <v>50.303659843413541</v>
      </c>
    </row>
    <row r="34" spans="1:27" x14ac:dyDescent="0.25">
      <c r="A34" s="2">
        <v>2035</v>
      </c>
      <c r="B34" s="2">
        <f>B12/'Output-Calculation-sheet'!B11*'Output-Calculation-sheet'!B20</f>
        <v>118.90107238806878</v>
      </c>
      <c r="C34" s="2">
        <f>C12/'Output-Calculation-sheet'!C11*'Output-Calculation-sheet'!C20</f>
        <v>0</v>
      </c>
      <c r="D34" s="2">
        <f>D12/'Output-Calculation-sheet'!D11*'Output-Calculation-sheet'!D20</f>
        <v>5891.0000562901178</v>
      </c>
      <c r="E34" s="2">
        <f>E12/'Output-Calculation-sheet'!E11*'Output-Calculation-sheet'!E20</f>
        <v>2374.0148292537683</v>
      </c>
      <c r="F34" s="2">
        <f>F12/'Output-Calculation-sheet'!F11*'Output-Calculation-sheet'!F20</f>
        <v>3891.8919288464899</v>
      </c>
      <c r="G34" s="2">
        <f>G12/'Output-Calculation-sheet'!G11*'Output-Calculation-sheet'!G20</f>
        <v>1947.3641858367216</v>
      </c>
      <c r="H34" s="2">
        <f>H12/'Output-Calculation-sheet'!H11*'Output-Calculation-sheet'!H20</f>
        <v>0</v>
      </c>
      <c r="I34" s="2">
        <f>I12/'Output-Calculation-sheet'!I11*'Output-Calculation-sheet'!I20</f>
        <v>2360.6406347108286</v>
      </c>
      <c r="J34" s="2">
        <f>J12/'Output-Calculation-sheet'!J11*'Output-Calculation-sheet'!J20</f>
        <v>1978.1846397714419</v>
      </c>
      <c r="K34" s="2">
        <f>K12/'Output-Calculation-sheet'!K11*'Output-Calculation-sheet'!K20</f>
        <v>2790.9313869035414</v>
      </c>
      <c r="L34" s="2">
        <f>L12/'Output-Calculation-sheet'!L11*'Output-Calculation-sheet'!L20</f>
        <v>1066.1276767895693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449.57730295012868</v>
      </c>
      <c r="Q34" s="2">
        <f>Q12/'Output-Calculation-sheet'!Q11*'Output-Calculation-sheet'!Q20</f>
        <v>437.02071983844627</v>
      </c>
      <c r="R34" s="2">
        <f>R12/'Output-Calculation-sheet'!R11*'Output-Calculation-sheet'!R20</f>
        <v>1760.2664110287319</v>
      </c>
      <c r="S34" s="2">
        <f>S12/'Output-Calculation-sheet'!S11*'Output-Calculation-sheet'!S20</f>
        <v>0.55004071588323544</v>
      </c>
      <c r="T34" s="2">
        <f>T12/'Output-Calculation-sheet'!T11*'Output-Calculation-sheet'!T20</f>
        <v>578.5528764518175</v>
      </c>
      <c r="U34" s="2">
        <f>U12/'Output-Calculation-sheet'!U11*'Output-Calculation-sheet'!U20</f>
        <v>243.59576271827484</v>
      </c>
      <c r="V34" s="2">
        <f>V12/'Output-Calculation-sheet'!V11*'Output-Calculation-sheet'!V20</f>
        <v>522.97165591950329</v>
      </c>
      <c r="W34" s="2">
        <f>W12/'Output-Calculation-sheet'!W11*'Output-Calculation-sheet'!W20</f>
        <v>309.72228491325865</v>
      </c>
      <c r="X34" s="2">
        <f>X12/'Output-Calculation-sheet'!X11*'Output-Calculation-sheet'!X20</f>
        <v>0</v>
      </c>
      <c r="Y34" s="2">
        <f>Y12/'Output-Calculation-sheet'!Y11*'Output-Calculation-sheet'!Y20</f>
        <v>65.868301944254398</v>
      </c>
      <c r="AA34" s="2">
        <f t="shared" si="1"/>
        <v>26.787181767270845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5.0951573665682898E-2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6.9596939386013306E-3</v>
      </c>
      <c r="Q45" s="2">
        <f>Q12/'Output-Calculation-sheet'!Q11*'Output-Calculation-sheet'!Q38*0.0114</f>
        <v>6.6005593690407769E-3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6.3179259341852303E-3</v>
      </c>
      <c r="V45" s="2">
        <f>V12/'Output-Calculation-sheet'!V11*'Output-Calculation-sheet'!V38*0.0114</f>
        <v>3.2477818817652992E-3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2.434394244083397E-3</v>
      </c>
      <c r="AA45" s="2">
        <f t="shared" si="2"/>
        <v>0.5766191131954721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0.15558197513314417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177.25593325515564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0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16.539287680341008</v>
      </c>
      <c r="AA54" s="2">
        <f t="shared" si="3"/>
        <v>4.3663066656500371</v>
      </c>
    </row>
    <row r="55" spans="1:27" x14ac:dyDescent="0.25">
      <c r="A55" s="2">
        <v>2034</v>
      </c>
      <c r="B55" s="2">
        <f>B11/'Output-Calculation-sheet'!B10*'Output-Calculation-sheet'!B46</f>
        <v>1326.6580748527799</v>
      </c>
      <c r="C55" s="2">
        <f>C11/'Output-Calculation-sheet'!C10*'Output-Calculation-sheet'!C46</f>
        <v>0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452.26926726512443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335.21253423265864</v>
      </c>
      <c r="N55" s="2">
        <f>N11/'Output-Calculation-sheet'!N10*'Output-Calculation-sheet'!N46</f>
        <v>114.48064219729444</v>
      </c>
      <c r="O55" s="2">
        <f>O11/'Output-Calculation-sheet'!O10*'Output-Calculation-sheet'!O46</f>
        <v>0</v>
      </c>
      <c r="P55" s="2">
        <f>P11/'Output-Calculation-sheet'!P10*'Output-Calculation-sheet'!P46</f>
        <v>2489.800417158378</v>
      </c>
      <c r="Q55" s="2">
        <f>Q11/'Output-Calculation-sheet'!Q10*'Output-Calculation-sheet'!Q46</f>
        <v>480.83980243684005</v>
      </c>
      <c r="R55" s="2">
        <f>R11/'Output-Calculation-sheet'!R10*'Output-Calculation-sheet'!R46</f>
        <v>3083.5359903933904</v>
      </c>
      <c r="S55" s="2">
        <f>S11/'Output-Calculation-sheet'!S10*'Output-Calculation-sheet'!S46</f>
        <v>0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1171.6353718683877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31.993931030980683</v>
      </c>
      <c r="Y55" s="2">
        <f>Y11/'Output-Calculation-sheet'!Y10*'Output-Calculation-sheet'!Y46</f>
        <v>166.14007114919104</v>
      </c>
      <c r="AA55" s="2">
        <f t="shared" si="3"/>
        <v>33.197176078511696</v>
      </c>
    </row>
    <row r="56" spans="1:27" x14ac:dyDescent="0.25">
      <c r="A56" s="2">
        <v>2035</v>
      </c>
      <c r="B56" s="2">
        <f>B12/'Output-Calculation-sheet'!B11*'Output-Calculation-sheet'!B47</f>
        <v>327.71698430731078</v>
      </c>
      <c r="C56" s="2">
        <f>C12/'Output-Calculation-sheet'!C11*'Output-Calculation-sheet'!C47</f>
        <v>247.59757428011241</v>
      </c>
      <c r="D56" s="2">
        <f>D12/'Output-Calculation-sheet'!D11*'Output-Calculation-sheet'!D47</f>
        <v>11697.530445612401</v>
      </c>
      <c r="E56" s="2">
        <f>E12/'Output-Calculation-sheet'!E11*'Output-Calculation-sheet'!E47</f>
        <v>5367.7929800425582</v>
      </c>
      <c r="F56" s="2">
        <f>F12/'Output-Calculation-sheet'!F11*'Output-Calculation-sheet'!F47</f>
        <v>2751.9376126481998</v>
      </c>
      <c r="G56" s="2">
        <f>G12/'Output-Calculation-sheet'!G11*'Output-Calculation-sheet'!G47</f>
        <v>4419.0900751280715</v>
      </c>
      <c r="H56" s="2">
        <f>H12/'Output-Calculation-sheet'!H11*'Output-Calculation-sheet'!H47</f>
        <v>95.761344026224691</v>
      </c>
      <c r="I56" s="2">
        <f>I12/'Output-Calculation-sheet'!I11*'Output-Calculation-sheet'!I47</f>
        <v>4025.5049083233525</v>
      </c>
      <c r="J56" s="2">
        <f>J12/'Output-Calculation-sheet'!J11*'Output-Calculation-sheet'!J47</f>
        <v>3473.0197473791909</v>
      </c>
      <c r="K56" s="2">
        <f>K12/'Output-Calculation-sheet'!K11*'Output-Calculation-sheet'!K47</f>
        <v>4684.0499702084044</v>
      </c>
      <c r="L56" s="2">
        <f>L12/'Output-Calculation-sheet'!L11*'Output-Calculation-sheet'!L47</f>
        <v>2088.0968903097023</v>
      </c>
      <c r="M56" s="2">
        <f>M12/'Output-Calculation-sheet'!M11*'Output-Calculation-sheet'!M47</f>
        <v>88.754003941474124</v>
      </c>
      <c r="N56" s="2">
        <f>N12/'Output-Calculation-sheet'!N11*'Output-Calculation-sheet'!N47</f>
        <v>60.136379470875788</v>
      </c>
      <c r="O56" s="2">
        <f>O12/'Output-Calculation-sheet'!O11*'Output-Calculation-sheet'!O47</f>
        <v>45.017911621290523</v>
      </c>
      <c r="P56" s="2">
        <f>P12/'Output-Calculation-sheet'!P11*'Output-Calculation-sheet'!P47</f>
        <v>470.08459058973898</v>
      </c>
      <c r="Q56" s="2">
        <f>Q12/'Output-Calculation-sheet'!Q11*'Output-Calculation-sheet'!Q47</f>
        <v>447.56424493583512</v>
      </c>
      <c r="R56" s="2">
        <f>R12/'Output-Calculation-sheet'!R11*'Output-Calculation-sheet'!R47</f>
        <v>3302.1327155567742</v>
      </c>
      <c r="S56" s="2">
        <f>S12/'Output-Calculation-sheet'!S11*'Output-Calculation-sheet'!S47</f>
        <v>31.441721362471448</v>
      </c>
      <c r="T56" s="2">
        <f>T12/'Output-Calculation-sheet'!T11*'Output-Calculation-sheet'!T47</f>
        <v>1445.7746513847658</v>
      </c>
      <c r="U56" s="2">
        <f>U12/'Output-Calculation-sheet'!U11*'Output-Calculation-sheet'!U47</f>
        <v>581.54476142734222</v>
      </c>
      <c r="V56" s="2">
        <f>V12/'Output-Calculation-sheet'!V11*'Output-Calculation-sheet'!V47</f>
        <v>784.73817485285224</v>
      </c>
      <c r="W56" s="2">
        <f>W12/'Output-Calculation-sheet'!W11*'Output-Calculation-sheet'!W47</f>
        <v>420.25001152932271</v>
      </c>
      <c r="X56" s="2">
        <f>X12/'Output-Calculation-sheet'!X11*'Output-Calculation-sheet'!X47</f>
        <v>6.7860446361651334</v>
      </c>
      <c r="Y56" s="2">
        <f>Y12/'Output-Calculation-sheet'!Y11*'Output-Calculation-sheet'!Y47</f>
        <v>137.7354638099817</v>
      </c>
      <c r="AA56" s="2">
        <f t="shared" si="3"/>
        <v>47.000059207384403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8.4525033952443724</v>
      </c>
      <c r="C63" s="2">
        <f>C8*'Output-Calculation-sheet'!C52/10^9</f>
        <v>4.5157620299364103</v>
      </c>
      <c r="D63" s="2">
        <f>D8*'Output-Calculation-sheet'!D52/10^9</f>
        <v>2.8985445532261007</v>
      </c>
      <c r="E63" s="2">
        <f>E8*'Output-Calculation-sheet'!E52/10^9</f>
        <v>2.8819307864885899</v>
      </c>
      <c r="F63" s="2">
        <f>F8*'Output-Calculation-sheet'!F52/10^9</f>
        <v>1.2204974498299215</v>
      </c>
      <c r="G63" s="2">
        <f>G8*'Output-Calculation-sheet'!G52/10^9</f>
        <v>0.87748252906127255</v>
      </c>
      <c r="H63" s="2">
        <f>H8*'Output-Calculation-sheet'!H52/10^9</f>
        <v>1.4271410359923562</v>
      </c>
      <c r="I63" s="2">
        <f>I8*'Output-Calculation-sheet'!I52/10^9</f>
        <v>0.81626247053976342</v>
      </c>
      <c r="J63" s="2">
        <f>J8*'Output-Calculation-sheet'!J52/10^9</f>
        <v>1.1232324873096657</v>
      </c>
      <c r="K63" s="2">
        <f>K8*'Output-Calculation-sheet'!K52/10^9</f>
        <v>0.98685964270596183</v>
      </c>
      <c r="L63" s="2">
        <f>L8*'Output-Calculation-sheet'!L52/10^9</f>
        <v>1.3273737014006977</v>
      </c>
      <c r="M63" s="2">
        <f>M8*'Output-Calculation-sheet'!M52/10^9</f>
        <v>1.1691609800269778</v>
      </c>
      <c r="N63" s="2">
        <f>N8*'Output-Calculation-sheet'!N52/10^9</f>
        <v>1.0316150834761733</v>
      </c>
      <c r="O63" s="2">
        <f>O8*'Output-Calculation-sheet'!O52/10^9</f>
        <v>0.92388592834454319</v>
      </c>
      <c r="P63" s="2">
        <f>P8*'Output-Calculation-sheet'!P52/10^9</f>
        <v>0.6818933925762265</v>
      </c>
      <c r="Q63" s="2">
        <f>Q8*'Output-Calculation-sheet'!Q52/10^9</f>
        <v>0.77170349432951535</v>
      </c>
      <c r="R63" s="2">
        <f>R8*'Output-Calculation-sheet'!R52/10^9</f>
        <v>0.69283655456552362</v>
      </c>
      <c r="S63" s="2">
        <f>S8*'Output-Calculation-sheet'!S52/10^9</f>
        <v>0.51341643535118631</v>
      </c>
      <c r="T63" s="2">
        <f>T8*'Output-Calculation-sheet'!T52/10^9</f>
        <v>0.263406560904132</v>
      </c>
      <c r="U63" s="2">
        <f>U8*'Output-Calculation-sheet'!U52/10^9</f>
        <v>0.18090480345304066</v>
      </c>
      <c r="V63" s="2">
        <f>V8*'Output-Calculation-sheet'!V52/10^9</f>
        <v>0.32106327497213499</v>
      </c>
      <c r="W63" s="2">
        <f>W8*'Output-Calculation-sheet'!W52/10^9</f>
        <v>0.11620986357337451</v>
      </c>
      <c r="X63" s="2">
        <f>X8*'Output-Calculation-sheet'!X52/10^9</f>
        <v>0.11974048939211968</v>
      </c>
      <c r="Y63" s="2">
        <f>Y8*'Output-Calculation-sheet'!Y52/10^9</f>
        <v>7.5823703306940826E-2</v>
      </c>
      <c r="AA63" s="2">
        <f t="shared" si="4"/>
        <v>33.389250646006992</v>
      </c>
    </row>
    <row r="64" spans="1:27" x14ac:dyDescent="0.25">
      <c r="A64" s="2">
        <v>2032</v>
      </c>
      <c r="B64" s="2">
        <f>B9*'Output-Calculation-sheet'!B53/10^9</f>
        <v>8.3209397877080793</v>
      </c>
      <c r="C64" s="2">
        <f>C9*'Output-Calculation-sheet'!C53/10^9</f>
        <v>4.4111871714596464</v>
      </c>
      <c r="D64" s="2">
        <f>D9*'Output-Calculation-sheet'!D53/10^9</f>
        <v>2.4643911877345106</v>
      </c>
      <c r="E64" s="2">
        <f>E9*'Output-Calculation-sheet'!E53/10^9</f>
        <v>2.5236450042782406</v>
      </c>
      <c r="F64" s="2">
        <f>F9*'Output-Calculation-sheet'!F53/10^9</f>
        <v>1.0644576382511011</v>
      </c>
      <c r="G64" s="2">
        <f>G9*'Output-Calculation-sheet'!G53/10^9</f>
        <v>0.75764838397602408</v>
      </c>
      <c r="H64" s="2">
        <f>H9*'Output-Calculation-sheet'!H53/10^9</f>
        <v>1.3844183682385423</v>
      </c>
      <c r="I64" s="2">
        <f>I9*'Output-Calculation-sheet'!I53/10^9</f>
        <v>0.70827741172763092</v>
      </c>
      <c r="J64" s="2">
        <f>J9*'Output-Calculation-sheet'!J53/10^9</f>
        <v>0.93761538175846049</v>
      </c>
      <c r="K64" s="2">
        <f>K9*'Output-Calculation-sheet'!K53/10^9</f>
        <v>0.86997950840714533</v>
      </c>
      <c r="L64" s="2">
        <f>L9*'Output-Calculation-sheet'!L53/10^9</f>
        <v>1.1192260372590352</v>
      </c>
      <c r="M64" s="2">
        <f>M9*'Output-Calculation-sheet'!M53/10^9</f>
        <v>1.0983740555353652</v>
      </c>
      <c r="N64" s="2">
        <f>N9*'Output-Calculation-sheet'!N53/10^9</f>
        <v>0.98889154265784884</v>
      </c>
      <c r="O64" s="2">
        <f>O9*'Output-Calculation-sheet'!O53/10^9</f>
        <v>0.89329843639626494</v>
      </c>
      <c r="P64" s="2">
        <f>P9*'Output-Calculation-sheet'!P53/10^9</f>
        <v>0.66328714992525029</v>
      </c>
      <c r="Q64" s="2">
        <f>Q9*'Output-Calculation-sheet'!Q53/10^9</f>
        <v>0.73304661674622418</v>
      </c>
      <c r="R64" s="2">
        <f>R9*'Output-Calculation-sheet'!R53/10^9</f>
        <v>0.62839406082606664</v>
      </c>
      <c r="S64" s="2">
        <f>S9*'Output-Calculation-sheet'!S53/10^9</f>
        <v>0.50565111681933872</v>
      </c>
      <c r="T64" s="2">
        <f>T9*'Output-Calculation-sheet'!T53/10^9</f>
        <v>0.22589041080090999</v>
      </c>
      <c r="U64" s="2">
        <f>U9*'Output-Calculation-sheet'!U53/10^9</f>
        <v>0.17002300249353688</v>
      </c>
      <c r="V64" s="2">
        <f>V9*'Output-Calculation-sheet'!V53/10^9</f>
        <v>0.26811664244242744</v>
      </c>
      <c r="W64" s="2">
        <f>W9*'Output-Calculation-sheet'!W53/10^9</f>
        <v>9.9627139455724115E-2</v>
      </c>
      <c r="X64" s="2">
        <f>X9*'Output-Calculation-sheet'!X53/10^9</f>
        <v>0.11422109004360469</v>
      </c>
      <c r="Y64" s="2">
        <f>Y9*'Output-Calculation-sheet'!Y53/10^9</f>
        <v>6.9802061530552947E-2</v>
      </c>
      <c r="AA64" s="2">
        <f t="shared" si="4"/>
        <v>31.020409206471538</v>
      </c>
    </row>
    <row r="65" spans="1:27" x14ac:dyDescent="0.25">
      <c r="A65" s="2">
        <v>2033</v>
      </c>
      <c r="B65" s="2">
        <f>B10*'Output-Calculation-sheet'!B54/10^9</f>
        <v>7.5020100457356573</v>
      </c>
      <c r="C65" s="2">
        <f>C10*'Output-Calculation-sheet'!C54/10^9</f>
        <v>3.8779234382712602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1.2177988432400981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0.709520504928843</v>
      </c>
      <c r="L65" s="2">
        <f>L10*'Output-Calculation-sheet'!L54/10^9</f>
        <v>0.83803101346455167</v>
      </c>
      <c r="M65" s="2">
        <f>M10*'Output-Calculation-sheet'!M54/10^9</f>
        <v>0.92864917367898159</v>
      </c>
      <c r="N65" s="2">
        <f>N10*'Output-Calculation-sheet'!N54/10^9</f>
        <v>0.85214941285953616</v>
      </c>
      <c r="O65" s="2">
        <f>O10*'Output-Calculation-sheet'!O54/10^9</f>
        <v>0.77715300492310635</v>
      </c>
      <c r="P65" s="2">
        <f>P10*'Output-Calculation-sheet'!P54/10^9</f>
        <v>0.60029055330998815</v>
      </c>
      <c r="Q65" s="2">
        <f>Q10*'Output-Calculation-sheet'!Q54/10^9</f>
        <v>0.65391811361439145</v>
      </c>
      <c r="R65" s="2">
        <f>R10*'Output-Calculation-sheet'!R54/10^9</f>
        <v>0.52848958119400158</v>
      </c>
      <c r="S65" s="2">
        <f>S10*'Output-Calculation-sheet'!S54/10^9</f>
        <v>0.4495075834071488</v>
      </c>
      <c r="T65" s="2">
        <f>T10*'Output-Calculation-sheet'!T54/10^9</f>
        <v>0.17669804256190882</v>
      </c>
      <c r="U65" s="2">
        <f>U10*'Output-Calculation-sheet'!U54/10^9</f>
        <v>0.15257427660125197</v>
      </c>
      <c r="V65" s="2">
        <f>V10*'Output-Calculation-sheet'!V54/10^9</f>
        <v>0.19555135384448674</v>
      </c>
      <c r="W65" s="2">
        <f>W10*'Output-Calculation-sheet'!W54/10^9</f>
        <v>7.4450206093555599E-2</v>
      </c>
      <c r="X65" s="2">
        <f>X10*'Output-Calculation-sheet'!X54/10^9</f>
        <v>9.736952162166071E-2</v>
      </c>
      <c r="Y65" s="2">
        <f>Y10*'Output-Calculation-sheet'!Y54/10^9</f>
        <v>6.1277718752481218E-2</v>
      </c>
      <c r="AA65" s="2">
        <f t="shared" si="4"/>
        <v>26.18877282440031</v>
      </c>
    </row>
    <row r="66" spans="1:27" x14ac:dyDescent="0.25">
      <c r="A66" s="2">
        <v>2034</v>
      </c>
      <c r="B66" s="2">
        <f>B11*'Output-Calculation-sheet'!B55/10^9</f>
        <v>6.1711050811941321</v>
      </c>
      <c r="C66" s="2">
        <f>C11*'Output-Calculation-sheet'!C55/10^9</f>
        <v>3.1043113761298877</v>
      </c>
      <c r="D66" s="2">
        <f>D11*'Output-Calculation-sheet'!D55/10^9</f>
        <v>1.3927204744193571</v>
      </c>
      <c r="E66" s="2">
        <f>E11*'Output-Calculation-sheet'!E55/10^9</f>
        <v>1.6864871828744581</v>
      </c>
      <c r="F66" s="2">
        <f>F11*'Output-Calculation-sheet'!F55/10^9</f>
        <v>0.64814451207995127</v>
      </c>
      <c r="G66" s="2">
        <f>G11*'Output-Calculation-sheet'!G55/10^9</f>
        <v>0.46327545629191957</v>
      </c>
      <c r="H66" s="2">
        <f>H11*'Output-Calculation-sheet'!H55/10^9</f>
        <v>0.96674735480147589</v>
      </c>
      <c r="I66" s="2">
        <f>I11*'Output-Calculation-sheet'!I55/10^9</f>
        <v>0.45307025094783299</v>
      </c>
      <c r="J66" s="2">
        <f>J11*'Output-Calculation-sheet'!J55/10^9</f>
        <v>0.46586357742103918</v>
      </c>
      <c r="K66" s="2">
        <f>K11*'Output-Calculation-sheet'!K55/10^9</f>
        <v>0.5572121652476425</v>
      </c>
      <c r="L66" s="2">
        <f>L11*'Output-Calculation-sheet'!L55/10^9</f>
        <v>0.59009180977735665</v>
      </c>
      <c r="M66" s="2">
        <f>M11*'Output-Calculation-sheet'!M55/10^9</f>
        <v>0.70469202448975854</v>
      </c>
      <c r="N66" s="2">
        <f>N11*'Output-Calculation-sheet'!N55/10^9</f>
        <v>0.66573026661560897</v>
      </c>
      <c r="O66" s="2">
        <f>O11*'Output-Calculation-sheet'!O55/10^9</f>
        <v>0.61187022309903016</v>
      </c>
      <c r="P66" s="2">
        <f>P11*'Output-Calculation-sheet'!P55/10^9</f>
        <v>0.51090573127053573</v>
      </c>
      <c r="Q66" s="2">
        <f>Q11*'Output-Calculation-sheet'!Q55/10^9</f>
        <v>0.54043445966911696</v>
      </c>
      <c r="R66" s="2">
        <f>R11*'Output-Calculation-sheet'!R55/10^9</f>
        <v>0.4174353718970763</v>
      </c>
      <c r="S66" s="2">
        <f>S11*'Output-Calculation-sheet'!S55/10^9</f>
        <v>0.36411010591568432</v>
      </c>
      <c r="T66" s="2">
        <f>T11*'Output-Calculation-sheet'!T55/10^9</f>
        <v>0.13083638797968822</v>
      </c>
      <c r="U66" s="2">
        <f>U11*'Output-Calculation-sheet'!U55/10^9</f>
        <v>0.1335895909555295</v>
      </c>
      <c r="V66" s="2">
        <f>V11*'Output-Calculation-sheet'!V55/10^9</f>
        <v>0.12411869755641712</v>
      </c>
      <c r="W66" s="2">
        <f>W11*'Output-Calculation-sheet'!W55/10^9</f>
        <v>5.6199764412260489E-2</v>
      </c>
      <c r="X66" s="2">
        <f>X11*'Output-Calculation-sheet'!X55/10^9</f>
        <v>7.5290606996041773E-2</v>
      </c>
      <c r="Y66" s="2">
        <f>Y11*'Output-Calculation-sheet'!Y55/10^9</f>
        <v>5.4949714718101769E-2</v>
      </c>
      <c r="AA66" s="2">
        <f t="shared" si="4"/>
        <v>20.889192186759907</v>
      </c>
    </row>
    <row r="67" spans="1:27" x14ac:dyDescent="0.25">
      <c r="A67" s="2">
        <v>2035</v>
      </c>
      <c r="B67" s="2">
        <f>B12*'Output-Calculation-sheet'!B56/10^9</f>
        <v>4.7499227419808863</v>
      </c>
      <c r="C67" s="2">
        <f>C12*'Output-Calculation-sheet'!C56/10^9</f>
        <v>2.2159545692471578</v>
      </c>
      <c r="D67" s="2">
        <f>D12*'Output-Calculation-sheet'!D56/10^9</f>
        <v>1.2996266242250163</v>
      </c>
      <c r="E67" s="2">
        <f>E12*'Output-Calculation-sheet'!E56/10^9</f>
        <v>1.4807910162634681</v>
      </c>
      <c r="F67" s="2">
        <f>F12*'Output-Calculation-sheet'!F56/10^9</f>
        <v>0.63384421129764801</v>
      </c>
      <c r="G67" s="2">
        <f>G12*'Output-Calculation-sheet'!G56/10^9</f>
        <v>0.44485423900146492</v>
      </c>
      <c r="H67" s="2">
        <f>H12*'Output-Calculation-sheet'!H56/10^9</f>
        <v>0.70271427709146128</v>
      </c>
      <c r="I67" s="2">
        <f>I12*'Output-Calculation-sheet'!I56/10^9</f>
        <v>0.44602913917318165</v>
      </c>
      <c r="J67" s="2">
        <f>J12*'Output-Calculation-sheet'!J56/10^9</f>
        <v>0.40347719550907929</v>
      </c>
      <c r="K67" s="2">
        <f>K12*'Output-Calculation-sheet'!K56/10^9</f>
        <v>0.50095828404920972</v>
      </c>
      <c r="L67" s="2">
        <f>L12*'Output-Calculation-sheet'!L56/10^9</f>
        <v>0.45978414712404458</v>
      </c>
      <c r="M67" s="2">
        <f>M12*'Output-Calculation-sheet'!M56/10^9</f>
        <v>0.48880270546971327</v>
      </c>
      <c r="N67" s="2">
        <f>N12*'Output-Calculation-sheet'!N56/10^9</f>
        <v>0.47596028505986654</v>
      </c>
      <c r="O67" s="2">
        <f>O12*'Output-Calculation-sheet'!O56/10^9</f>
        <v>0.43074058232786222</v>
      </c>
      <c r="P67" s="2">
        <f>P12*'Output-Calculation-sheet'!P56/10^9</f>
        <v>0.42043148484948728</v>
      </c>
      <c r="Q67" s="2">
        <f>Q12*'Output-Calculation-sheet'!Q56/10^9</f>
        <v>0.42889504498937203</v>
      </c>
      <c r="R67" s="2">
        <f>R12*'Output-Calculation-sheet'!R56/10^9</f>
        <v>0.36282955020607283</v>
      </c>
      <c r="S67" s="2">
        <f>S12*'Output-Calculation-sheet'!S56/10^9</f>
        <v>0.27295118567759247</v>
      </c>
      <c r="T67" s="2">
        <f>T12*'Output-Calculation-sheet'!T56/10^9</f>
        <v>0.11044729841217442</v>
      </c>
      <c r="U67" s="2">
        <f>U12*'Output-Calculation-sheet'!U56/10^9</f>
        <v>0.1213442419134154</v>
      </c>
      <c r="V67" s="2">
        <f>V12*'Output-Calculation-sheet'!V56/10^9</f>
        <v>8.4637537392551573E-2</v>
      </c>
      <c r="W67" s="2">
        <f>W12*'Output-Calculation-sheet'!W56/10^9</f>
        <v>5.4856290369854295E-2</v>
      </c>
      <c r="X67" s="2">
        <f>X12*'Output-Calculation-sheet'!X56/10^9</f>
        <v>5.1929769685498228E-2</v>
      </c>
      <c r="Y67" s="2">
        <f>Y12*'Output-Calculation-sheet'!Y56/10^9</f>
        <v>4.8448299971372628E-2</v>
      </c>
      <c r="AA67" s="2">
        <f t="shared" si="4"/>
        <v>16.690230721287453</v>
      </c>
    </row>
    <row r="68" spans="1:27" x14ac:dyDescent="0.25">
      <c r="B68" s="2">
        <f>SUM(B60:B67)</f>
        <v>35.196481051863124</v>
      </c>
      <c r="C68" s="2">
        <f t="shared" ref="C68:Y68" si="5">SUM(C60:C67)</f>
        <v>18.125138585044361</v>
      </c>
      <c r="D68" s="2">
        <f t="shared" si="5"/>
        <v>9.8758139232458451</v>
      </c>
      <c r="E68" s="2">
        <f t="shared" si="5"/>
        <v>10.622740960685213</v>
      </c>
      <c r="F68" s="2">
        <f t="shared" si="5"/>
        <v>4.3991619778607385</v>
      </c>
      <c r="G68" s="2">
        <f t="shared" si="5"/>
        <v>3.1146541351099497</v>
      </c>
      <c r="H68" s="2">
        <f t="shared" si="5"/>
        <v>5.698819879363934</v>
      </c>
      <c r="I68" s="2">
        <f t="shared" si="5"/>
        <v>2.9800207678323156</v>
      </c>
      <c r="J68" s="2">
        <f t="shared" si="5"/>
        <v>3.595187835249035</v>
      </c>
      <c r="K68" s="2">
        <f t="shared" si="5"/>
        <v>3.6245301053388026</v>
      </c>
      <c r="L68" s="2">
        <f t="shared" si="5"/>
        <v>4.3345067090256855</v>
      </c>
      <c r="M68" s="2">
        <f t="shared" si="5"/>
        <v>4.3896789392007962</v>
      </c>
      <c r="N68" s="2">
        <f t="shared" si="5"/>
        <v>4.0143465906690334</v>
      </c>
      <c r="O68" s="2">
        <f t="shared" si="5"/>
        <v>3.6369481750908066</v>
      </c>
      <c r="P68" s="2">
        <f t="shared" si="5"/>
        <v>2.8768083119314882</v>
      </c>
      <c r="Q68" s="2">
        <f t="shared" si="5"/>
        <v>3.1279977293486199</v>
      </c>
      <c r="R68" s="2">
        <f t="shared" si="5"/>
        <v>2.6299851186887411</v>
      </c>
      <c r="S68" s="2">
        <f t="shared" si="5"/>
        <v>2.1056364271709507</v>
      </c>
      <c r="T68" s="2">
        <f t="shared" si="5"/>
        <v>0.90727870065881344</v>
      </c>
      <c r="U68" s="2">
        <f t="shared" si="5"/>
        <v>0.75843591541677446</v>
      </c>
      <c r="V68" s="2">
        <f t="shared" si="5"/>
        <v>0.99348750620801785</v>
      </c>
      <c r="W68" s="2">
        <f t="shared" si="5"/>
        <v>0.40134326390476904</v>
      </c>
      <c r="X68" s="2">
        <f t="shared" si="5"/>
        <v>0.45855147773892507</v>
      </c>
      <c r="Y68" s="2">
        <f t="shared" si="5"/>
        <v>0.31030149827944942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46.783809025798305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4.6783809025798304E-2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471.18352185728912</v>
      </c>
      <c r="Q76" s="2">
        <f>Q10/'Output-Calculation-sheet'!Q9*'Output-Calculation-sheet'!Q63</f>
        <v>56.384657866072047</v>
      </c>
      <c r="R76" s="2">
        <f>R10/'Output-Calculation-sheet'!R9*'Output-Calculation-sheet'!R63</f>
        <v>358.95271143171374</v>
      </c>
      <c r="S76" s="2">
        <f>S10/'Output-Calculation-sheet'!S9*'Output-Calculation-sheet'!S63</f>
        <v>0</v>
      </c>
      <c r="T76" s="2">
        <f>T10/'Output-Calculation-sheet'!T9*'Output-Calculation-sheet'!T63</f>
        <v>23.623641259346364</v>
      </c>
      <c r="U76" s="2">
        <f>U10/'Output-Calculation-sheet'!U9*'Output-Calculation-sheet'!U63</f>
        <v>127.56236567636576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6.0582963765313975</v>
      </c>
      <c r="AA76" s="2">
        <f t="shared" si="6"/>
        <v>1.1429436713005736</v>
      </c>
    </row>
    <row r="77" spans="1:27" x14ac:dyDescent="0.25">
      <c r="A77" s="2">
        <v>2034</v>
      </c>
      <c r="B77" s="2">
        <f>B11/'Output-Calculation-sheet'!B10*'Output-Calculation-sheet'!B64</f>
        <v>394.37122371790309</v>
      </c>
      <c r="C77" s="2">
        <f>C11/'Output-Calculation-sheet'!C10*'Output-Calculation-sheet'!C64</f>
        <v>0</v>
      </c>
      <c r="D77" s="2">
        <f>D11/'Output-Calculation-sheet'!D10*'Output-Calculation-sheet'!D64</f>
        <v>1339.9328197206405</v>
      </c>
      <c r="E77" s="2">
        <f>E11/'Output-Calculation-sheet'!E10*'Output-Calculation-sheet'!E64</f>
        <v>1674.7442950168995</v>
      </c>
      <c r="F77" s="2">
        <f>F11/'Output-Calculation-sheet'!F10*'Output-Calculation-sheet'!F64</f>
        <v>108.96535649373196</v>
      </c>
      <c r="G77" s="2">
        <f>G11/'Output-Calculation-sheet'!G10*'Output-Calculation-sheet'!G64</f>
        <v>709.68478815126093</v>
      </c>
      <c r="H77" s="2">
        <f>H11/'Output-Calculation-sheet'!H10*'Output-Calculation-sheet'!H64</f>
        <v>110.73619179300601</v>
      </c>
      <c r="I77" s="2">
        <f>I11/'Output-Calculation-sheet'!I10*'Output-Calculation-sheet'!I64</f>
        <v>421.95578091450727</v>
      </c>
      <c r="J77" s="2">
        <f>J11/'Output-Calculation-sheet'!J10*'Output-Calculation-sheet'!J64</f>
        <v>295.23452321829808</v>
      </c>
      <c r="K77" s="2">
        <f>K11/'Output-Calculation-sheet'!K10*'Output-Calculation-sheet'!K64</f>
        <v>641.91800961450804</v>
      </c>
      <c r="L77" s="2">
        <f>L11/'Output-Calculation-sheet'!L10*'Output-Calculation-sheet'!L64</f>
        <v>265.41696024634416</v>
      </c>
      <c r="M77" s="2">
        <f>M11/'Output-Calculation-sheet'!M10*'Output-Calculation-sheet'!M64</f>
        <v>79.75390840990066</v>
      </c>
      <c r="N77" s="2">
        <f>N11/'Output-Calculation-sheet'!N10*'Output-Calculation-sheet'!N64</f>
        <v>26.376864301075862</v>
      </c>
      <c r="O77" s="2">
        <f>O11/'Output-Calculation-sheet'!O10*'Output-Calculation-sheet'!O64</f>
        <v>0</v>
      </c>
      <c r="P77" s="2">
        <f>P11/'Output-Calculation-sheet'!P10*'Output-Calculation-sheet'!P64</f>
        <v>543.12202744459375</v>
      </c>
      <c r="Q77" s="2">
        <f>Q11/'Output-Calculation-sheet'!Q10*'Output-Calculation-sheet'!Q64</f>
        <v>122.17924992747045</v>
      </c>
      <c r="R77" s="2">
        <f>R11/'Output-Calculation-sheet'!R10*'Output-Calculation-sheet'!R64</f>
        <v>674.78564781253669</v>
      </c>
      <c r="S77" s="2">
        <f>S11/'Output-Calculation-sheet'!S10*'Output-Calculation-sheet'!S64</f>
        <v>0</v>
      </c>
      <c r="T77" s="2">
        <f>T11/'Output-Calculation-sheet'!T10*'Output-Calculation-sheet'!T64</f>
        <v>187.36549047657715</v>
      </c>
      <c r="U77" s="2">
        <f>U11/'Output-Calculation-sheet'!U10*'Output-Calculation-sheet'!U64</f>
        <v>249.00989354703151</v>
      </c>
      <c r="V77" s="2">
        <f>V11/'Output-Calculation-sheet'!V10*'Output-Calculation-sheet'!V64</f>
        <v>96.958578497401362</v>
      </c>
      <c r="W77" s="2">
        <f>W11/'Output-Calculation-sheet'!W10*'Output-Calculation-sheet'!W64</f>
        <v>21.285361759116963</v>
      </c>
      <c r="X77" s="2">
        <f>X11/'Output-Calculation-sheet'!X10*'Output-Calculation-sheet'!X64</f>
        <v>7.9505894036713549</v>
      </c>
      <c r="Y77" s="2">
        <f>Y11/'Output-Calculation-sheet'!Y10*'Output-Calculation-sheet'!Y64</f>
        <v>36.25976460466719</v>
      </c>
      <c r="AA77" s="2">
        <f t="shared" si="6"/>
        <v>8.0080073250711443</v>
      </c>
    </row>
    <row r="78" spans="1:27" x14ac:dyDescent="0.25">
      <c r="A78" s="2">
        <v>2035</v>
      </c>
      <c r="B78" s="2">
        <f>B12/'Output-Calculation-sheet'!B11*'Output-Calculation-sheet'!B65</f>
        <v>60.019024840281773</v>
      </c>
      <c r="C78" s="2">
        <f>C12/'Output-Calculation-sheet'!C11*'Output-Calculation-sheet'!C65</f>
        <v>50.027407316084251</v>
      </c>
      <c r="D78" s="2">
        <f>D12/'Output-Calculation-sheet'!D11*'Output-Calculation-sheet'!D65</f>
        <v>2570.8866156243216</v>
      </c>
      <c r="E78" s="2">
        <f>E12/'Output-Calculation-sheet'!E11*'Output-Calculation-sheet'!E65</f>
        <v>825.86467173085248</v>
      </c>
      <c r="F78" s="2">
        <f>F12/'Output-Calculation-sheet'!F11*'Output-Calculation-sheet'!F65</f>
        <v>656.33430964865636</v>
      </c>
      <c r="G78" s="2">
        <f>G12/'Output-Calculation-sheet'!G11*'Output-Calculation-sheet'!G65</f>
        <v>971.22844384103848</v>
      </c>
      <c r="H78" s="2">
        <f>H12/'Output-Calculation-sheet'!H11*'Output-Calculation-sheet'!H65</f>
        <v>22.073966954616488</v>
      </c>
      <c r="I78" s="2">
        <f>I12/'Output-Calculation-sheet'!I11*'Output-Calculation-sheet'!I65</f>
        <v>807.48707089362938</v>
      </c>
      <c r="J78" s="2">
        <f>J12/'Output-Calculation-sheet'!J11*'Output-Calculation-sheet'!J65</f>
        <v>765.92117090676743</v>
      </c>
      <c r="K78" s="2">
        <f>K12/'Output-Calculation-sheet'!K11*'Output-Calculation-sheet'!K65</f>
        <v>1029.4610909681048</v>
      </c>
      <c r="L78" s="2">
        <f>L12/'Output-Calculation-sheet'!L11*'Output-Calculation-sheet'!L65</f>
        <v>357.05747793093769</v>
      </c>
      <c r="M78" s="2">
        <f>M12/'Output-Calculation-sheet'!M11*'Output-Calculation-sheet'!M65</f>
        <v>19.732301164170011</v>
      </c>
      <c r="N78" s="2">
        <f>N12/'Output-Calculation-sheet'!N11*'Output-Calculation-sheet'!N65</f>
        <v>13.292122381068083</v>
      </c>
      <c r="O78" s="2">
        <f>O12/'Output-Calculation-sheet'!O11*'Output-Calculation-sheet'!O65</f>
        <v>8.6705731150047232</v>
      </c>
      <c r="P78" s="2">
        <f>P12/'Output-Calculation-sheet'!P11*'Output-Calculation-sheet'!P65</f>
        <v>100.00408640354983</v>
      </c>
      <c r="Q78" s="2">
        <f>Q12/'Output-Calculation-sheet'!Q11*'Output-Calculation-sheet'!Q65</f>
        <v>80.585302942321434</v>
      </c>
      <c r="R78" s="2">
        <f>R12/'Output-Calculation-sheet'!R11*'Output-Calculation-sheet'!R65</f>
        <v>667.54987096202376</v>
      </c>
      <c r="S78" s="2">
        <f>S12/'Output-Calculation-sheet'!S11*'Output-Calculation-sheet'!S65</f>
        <v>6.3868364117020313</v>
      </c>
      <c r="T78" s="2">
        <f>T12/'Output-Calculation-sheet'!T11*'Output-Calculation-sheet'!T65</f>
        <v>265.46640331919224</v>
      </c>
      <c r="U78" s="2">
        <f>U12/'Output-Calculation-sheet'!U11*'Output-Calculation-sheet'!U65</f>
        <v>97.930807734694085</v>
      </c>
      <c r="V78" s="2">
        <f>V12/'Output-Calculation-sheet'!V11*'Output-Calculation-sheet'!V65</f>
        <v>138.93911177590314</v>
      </c>
      <c r="W78" s="2">
        <f>W12/'Output-Calculation-sheet'!W11*'Output-Calculation-sheet'!W65</f>
        <v>93.662342458038609</v>
      </c>
      <c r="X78" s="2">
        <f>X12/'Output-Calculation-sheet'!X11*'Output-Calculation-sheet'!X65</f>
        <v>1.3069774446544566</v>
      </c>
      <c r="Y78" s="2">
        <f>Y12/'Output-Calculation-sheet'!Y11*'Output-Calculation-sheet'!Y65</f>
        <v>22.480064859508715</v>
      </c>
      <c r="AA78" s="2">
        <f t="shared" si="6"/>
        <v>9.6323680516271235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64.673846213722413</v>
      </c>
      <c r="E89" s="2">
        <f>E12/'Output-Calculation-sheet'!E11*'Output-Calculation-sheet'!E74</f>
        <v>31.286054005243884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24.208665099994001</v>
      </c>
      <c r="H89" s="2">
        <f>H12/'Output-Calculation-sheet'!H11*'Output-Calculation-sheet'!H74</f>
        <v>3.9086262867846813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13.468277200281246</v>
      </c>
      <c r="K89" s="2">
        <f>K12/'Output-Calculation-sheet'!K11*'Output-Calculation-sheet'!K74</f>
        <v>16.942118681507651</v>
      </c>
      <c r="L89" s="2">
        <f>L12/'Output-Calculation-sheet'!L11*'Output-Calculation-sheet'!L74</f>
        <v>7.0903120214251363</v>
      </c>
      <c r="M89" s="2">
        <f>M12/'Output-Calculation-sheet'!M11*'Output-Calculation-sheet'!M74</f>
        <v>2.0171364532153211</v>
      </c>
      <c r="N89" s="2">
        <f>N12/'Output-Calculation-sheet'!N11*'Output-Calculation-sheet'!N74</f>
        <v>1.9825180045343664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1.8314984048950871</v>
      </c>
      <c r="Q89" s="2">
        <f>Q12/'Output-Calculation-sheet'!Q11*'Output-Calculation-sheet'!Q74</f>
        <v>3.4739786152846195</v>
      </c>
      <c r="R89" s="2">
        <f>R12/'Output-Calculation-sheet'!R11*'Output-Calculation-sheet'!R74</f>
        <v>10.335313663714473</v>
      </c>
      <c r="S89" s="2">
        <f>S12/'Output-Calculation-sheet'!S11*'Output-Calculation-sheet'!S74</f>
        <v>1.8940796001488824</v>
      </c>
      <c r="T89" s="2">
        <f>T12/'Output-Calculation-sheet'!T11*'Output-Calculation-sheet'!T74</f>
        <v>3.1863972628227279</v>
      </c>
      <c r="U89" s="2">
        <f>U12/'Output-Calculation-sheet'!U11*'Output-Calculation-sheet'!U74</f>
        <v>3.6946935287632927</v>
      </c>
      <c r="V89" s="2">
        <f>V12/'Output-Calculation-sheet'!V11*'Output-Calculation-sheet'!V74</f>
        <v>1.1395725900930873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1.2812601284649459</v>
      </c>
      <c r="AA89" s="2">
        <f t="shared" si="7"/>
        <v>0.25853948317392711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22075493983.905552</v>
      </c>
      <c r="C96" s="2">
        <f>C8/'Output-Calculation-sheet'!C7*'Output-Calculation-sheet'!C79</f>
        <v>9138981267.7823868</v>
      </c>
      <c r="D96" s="2">
        <f>D8/'Output-Calculation-sheet'!D7*'Output-Calculation-sheet'!D79</f>
        <v>7285167280.7898169</v>
      </c>
      <c r="E96" s="2">
        <f>E8/'Output-Calculation-sheet'!E7*'Output-Calculation-sheet'!E79</f>
        <v>8803029549.290472</v>
      </c>
      <c r="F96" s="2">
        <f>F8/'Output-Calculation-sheet'!F7*'Output-Calculation-sheet'!F79</f>
        <v>5196380412.5502605</v>
      </c>
      <c r="G96" s="2">
        <f>G8/'Output-Calculation-sheet'!G7*'Output-Calculation-sheet'!G79</f>
        <v>2643153408.7648125</v>
      </c>
      <c r="H96" s="2">
        <f>H8/'Output-Calculation-sheet'!H7*'Output-Calculation-sheet'!H79</f>
        <v>3300425234.7763357</v>
      </c>
      <c r="I96" s="2">
        <f>I8/'Output-Calculation-sheet'!I7*'Output-Calculation-sheet'!I79</f>
        <v>3158957432.007225</v>
      </c>
      <c r="J96" s="2">
        <f>J8/'Output-Calculation-sheet'!J7*'Output-Calculation-sheet'!J79</f>
        <v>1783024296.6530569</v>
      </c>
      <c r="K96" s="2">
        <f>K8/'Output-Calculation-sheet'!K7*'Output-Calculation-sheet'!K79</f>
        <v>3037103648.1388469</v>
      </c>
      <c r="L96" s="2">
        <f>L8/'Output-Calculation-sheet'!L7*'Output-Calculation-sheet'!L79</f>
        <v>2184350045.4499068</v>
      </c>
      <c r="M96" s="2">
        <f>M8/'Output-Calculation-sheet'!M7*'Output-Calculation-sheet'!M79</f>
        <v>2208188203.3002758</v>
      </c>
      <c r="N96" s="2">
        <f>N8/'Output-Calculation-sheet'!N7*'Output-Calculation-sheet'!N79</f>
        <v>1571627390.6831431</v>
      </c>
      <c r="O96" s="2">
        <f>O8/'Output-Calculation-sheet'!O7*'Output-Calculation-sheet'!O79</f>
        <v>1235161382.1452453</v>
      </c>
      <c r="P96" s="2">
        <f>P8/'Output-Calculation-sheet'!P7*'Output-Calculation-sheet'!P79</f>
        <v>2625659215.5391216</v>
      </c>
      <c r="Q96" s="2">
        <f>Q8/'Output-Calculation-sheet'!Q7*'Output-Calculation-sheet'!Q79</f>
        <v>1430098257.677911</v>
      </c>
      <c r="R96" s="2">
        <f>R8/'Output-Calculation-sheet'!R7*'Output-Calculation-sheet'!R79</f>
        <v>1907890444.1776981</v>
      </c>
      <c r="S96" s="2">
        <f>S8/'Output-Calculation-sheet'!S7*'Output-Calculation-sheet'!S79</f>
        <v>1200911350.9527323</v>
      </c>
      <c r="T96" s="2">
        <f>T8/'Output-Calculation-sheet'!T7*'Output-Calculation-sheet'!T79</f>
        <v>771150351.1095233</v>
      </c>
      <c r="U96" s="2">
        <f>U8/'Output-Calculation-sheet'!U7*'Output-Calculation-sheet'!U79</f>
        <v>715078955.72078037</v>
      </c>
      <c r="V96" s="2">
        <f>V8/'Output-Calculation-sheet'!V7*'Output-Calculation-sheet'!V79</f>
        <v>460389960.40441519</v>
      </c>
      <c r="W96" s="2">
        <f>W8/'Output-Calculation-sheet'!W7*'Output-Calculation-sheet'!W79</f>
        <v>550734940.99674487</v>
      </c>
      <c r="X96" s="2">
        <f>X8/'Output-Calculation-sheet'!X7*'Output-Calculation-sheet'!X79</f>
        <v>252073133.36290181</v>
      </c>
      <c r="Y96" s="2">
        <f>Y8/'Output-Calculation-sheet'!Y7*'Output-Calculation-sheet'!Y79</f>
        <v>282138895.21217376</v>
      </c>
      <c r="AA96" s="2">
        <f t="shared" si="8"/>
        <v>83.817169041391338</v>
      </c>
    </row>
    <row r="97" spans="1:27" x14ac:dyDescent="0.25">
      <c r="A97" s="2">
        <v>2032</v>
      </c>
      <c r="B97" s="2">
        <f>B9/'Output-Calculation-sheet'!B8*'Output-Calculation-sheet'!B80</f>
        <v>28772645882.99469</v>
      </c>
      <c r="C97" s="2">
        <f>C9/'Output-Calculation-sheet'!C8*'Output-Calculation-sheet'!C80</f>
        <v>11921897831.042503</v>
      </c>
      <c r="D97" s="2">
        <f>D9/'Output-Calculation-sheet'!D8*'Output-Calculation-sheet'!D80</f>
        <v>9423256970.7656879</v>
      </c>
      <c r="E97" s="2">
        <f>E9/'Output-Calculation-sheet'!E8*'Output-Calculation-sheet'!E80</f>
        <v>11370614162.102013</v>
      </c>
      <c r="F97" s="2">
        <f>F9/'Output-Calculation-sheet'!F8*'Output-Calculation-sheet'!F80</f>
        <v>6737409801.3567591</v>
      </c>
      <c r="G97" s="2">
        <f>G9/'Output-Calculation-sheet'!G8*'Output-Calculation-sheet'!G80</f>
        <v>3372638844.9392657</v>
      </c>
      <c r="H97" s="2">
        <f>H9/'Output-Calculation-sheet'!H8*'Output-Calculation-sheet'!H80</f>
        <v>4292826902.1569977</v>
      </c>
      <c r="I97" s="2">
        <f>I9/'Output-Calculation-sheet'!I8*'Output-Calculation-sheet'!I80</f>
        <v>4097662217.7534852</v>
      </c>
      <c r="J97" s="2">
        <f>J9/'Output-Calculation-sheet'!J8*'Output-Calculation-sheet'!J80</f>
        <v>2338179485.9056525</v>
      </c>
      <c r="K97" s="2">
        <f>K9/'Output-Calculation-sheet'!K8*'Output-Calculation-sheet'!K80</f>
        <v>3938710378.3584313</v>
      </c>
      <c r="L97" s="2">
        <f>L9/'Output-Calculation-sheet'!L8*'Output-Calculation-sheet'!L80</f>
        <v>2849796760.269279</v>
      </c>
      <c r="M97" s="2">
        <f>M9/'Output-Calculation-sheet'!M8*'Output-Calculation-sheet'!M80</f>
        <v>2872118495.3884883</v>
      </c>
      <c r="N97" s="2">
        <f>N9/'Output-Calculation-sheet'!N8*'Output-Calculation-sheet'!N80</f>
        <v>2052916201.5586736</v>
      </c>
      <c r="O97" s="2">
        <f>O9/'Output-Calculation-sheet'!O8*'Output-Calculation-sheet'!O80</f>
        <v>1619622402.5354228</v>
      </c>
      <c r="P97" s="2">
        <f>P9/'Output-Calculation-sheet'!P8*'Output-Calculation-sheet'!P80</f>
        <v>3384654958.6953659</v>
      </c>
      <c r="Q97" s="2">
        <f>Q9/'Output-Calculation-sheet'!Q8*'Output-Calculation-sheet'!Q80</f>
        <v>1874114735.8593907</v>
      </c>
      <c r="R97" s="2">
        <f>R9/'Output-Calculation-sheet'!R8*'Output-Calculation-sheet'!R80</f>
        <v>2484803017.1150417</v>
      </c>
      <c r="S97" s="2">
        <f>S9/'Output-Calculation-sheet'!S8*'Output-Calculation-sheet'!S80</f>
        <v>1567545752.4942009</v>
      </c>
      <c r="T97" s="2">
        <f>T9/'Output-Calculation-sheet'!T8*'Output-Calculation-sheet'!T80</f>
        <v>996371476.78656638</v>
      </c>
      <c r="U97" s="2">
        <f>U9/'Output-Calculation-sheet'!U8*'Output-Calculation-sheet'!U80</f>
        <v>929156432.27707422</v>
      </c>
      <c r="V97" s="2">
        <f>V9/'Output-Calculation-sheet'!V8*'Output-Calculation-sheet'!V80</f>
        <v>601728189.29451501</v>
      </c>
      <c r="W97" s="2">
        <f>W9/'Output-Calculation-sheet'!W8*'Output-Calculation-sheet'!W80</f>
        <v>703896234.20486677</v>
      </c>
      <c r="X97" s="2">
        <f>X9/'Output-Calculation-sheet'!X8*'Output-Calculation-sheet'!X80</f>
        <v>327760662.24816036</v>
      </c>
      <c r="Y97" s="2">
        <f>Y9/'Output-Calculation-sheet'!Y8*'Output-Calculation-sheet'!Y80</f>
        <v>362190990.03078991</v>
      </c>
      <c r="AA97" s="2">
        <f t="shared" si="8"/>
        <v>108.89251878613327</v>
      </c>
    </row>
    <row r="98" spans="1:27" x14ac:dyDescent="0.25">
      <c r="A98" s="2">
        <v>2033</v>
      </c>
      <c r="B98" s="2">
        <f>B10/'Output-Calculation-sheet'!B9*'Output-Calculation-sheet'!B81</f>
        <v>32418050391.726212</v>
      </c>
      <c r="C98" s="2">
        <f>C10/'Output-Calculation-sheet'!C9*'Output-Calculation-sheet'!C81</f>
        <v>13446291397.310669</v>
      </c>
      <c r="D98" s="2">
        <f>D10/'Output-Calculation-sheet'!D9*'Output-Calculation-sheet'!D81</f>
        <v>10547670269.706949</v>
      </c>
      <c r="E98" s="2">
        <f>E10/'Output-Calculation-sheet'!E9*'Output-Calculation-sheet'!E81</f>
        <v>12703484105.225985</v>
      </c>
      <c r="F98" s="2">
        <f>F10/'Output-Calculation-sheet'!F9*'Output-Calculation-sheet'!F81</f>
        <v>7553786196.3247271</v>
      </c>
      <c r="G98" s="2">
        <f>G10/'Output-Calculation-sheet'!G9*'Output-Calculation-sheet'!G81</f>
        <v>3723473946.2422233</v>
      </c>
      <c r="H98" s="2">
        <f>H10/'Output-Calculation-sheet'!H9*'Output-Calculation-sheet'!H81</f>
        <v>4827560424.9512358</v>
      </c>
      <c r="I98" s="2">
        <f>I10/'Output-Calculation-sheet'!I9*'Output-Calculation-sheet'!I81</f>
        <v>4596933482.6306458</v>
      </c>
      <c r="J98" s="2">
        <f>J10/'Output-Calculation-sheet'!J9*'Output-Calculation-sheet'!J81</f>
        <v>2652522910.0859313</v>
      </c>
      <c r="K98" s="2">
        <f>K10/'Output-Calculation-sheet'!K9*'Output-Calculation-sheet'!K81</f>
        <v>4417157179.3460054</v>
      </c>
      <c r="L98" s="2">
        <f>L10/'Output-Calculation-sheet'!L9*'Output-Calculation-sheet'!L81</f>
        <v>3214416399.7065778</v>
      </c>
      <c r="M98" s="2">
        <f>M10/'Output-Calculation-sheet'!M9*'Output-Calculation-sheet'!M81</f>
        <v>3230467117.3800545</v>
      </c>
      <c r="N98" s="2">
        <f>N10/'Output-Calculation-sheet'!N9*'Output-Calculation-sheet'!N81</f>
        <v>2319770122.1078954</v>
      </c>
      <c r="O98" s="2">
        <f>O10/'Output-Calculation-sheet'!O9*'Output-Calculation-sheet'!O81</f>
        <v>1836643652.0175645</v>
      </c>
      <c r="P98" s="2">
        <f>P10/'Output-Calculation-sheet'!P9*'Output-Calculation-sheet'!P81</f>
        <v>3772488293.2818627</v>
      </c>
      <c r="Q98" s="2">
        <f>Q10/'Output-Calculation-sheet'!Q9*'Output-Calculation-sheet'!Q81</f>
        <v>2123935132.5504301</v>
      </c>
      <c r="R98" s="2">
        <f>R10/'Output-Calculation-sheet'!R9*'Output-Calculation-sheet'!R81</f>
        <v>2797824522.4250751</v>
      </c>
      <c r="S98" s="2">
        <f>S10/'Output-Calculation-sheet'!S9*'Output-Calculation-sheet'!S81</f>
        <v>1768730465.3378668</v>
      </c>
      <c r="T98" s="2">
        <f>T10/'Output-Calculation-sheet'!T9*'Output-Calculation-sheet'!T81</f>
        <v>1113438724.5316968</v>
      </c>
      <c r="U98" s="2">
        <f>U10/'Output-Calculation-sheet'!U9*'Output-Calculation-sheet'!U81</f>
        <v>1043237926.6048539</v>
      </c>
      <c r="V98" s="2">
        <f>V10/'Output-Calculation-sheet'!V9*'Output-Calculation-sheet'!V81</f>
        <v>679467890.91670167</v>
      </c>
      <c r="W98" s="2">
        <f>W10/'Output-Calculation-sheet'!W9*'Output-Calculation-sheet'!W81</f>
        <v>778097612.81177044</v>
      </c>
      <c r="X98" s="2">
        <f>X10/'Output-Calculation-sheet'!X9*'Output-Calculation-sheet'!X81</f>
        <v>368512042.86050367</v>
      </c>
      <c r="Y98" s="2">
        <f>Y10/'Output-Calculation-sheet'!Y9*'Output-Calculation-sheet'!Y81</f>
        <v>402262520.35628957</v>
      </c>
      <c r="AA98" s="2">
        <f t="shared" si="8"/>
        <v>122.33622272643971</v>
      </c>
    </row>
    <row r="99" spans="1:27" x14ac:dyDescent="0.25">
      <c r="A99" s="2">
        <v>2034</v>
      </c>
      <c r="B99" s="2">
        <f>B11/'Output-Calculation-sheet'!B10*'Output-Calculation-sheet'!B82</f>
        <v>32137637378.658337</v>
      </c>
      <c r="C99" s="2">
        <f>C11/'Output-Calculation-sheet'!C10*'Output-Calculation-sheet'!C82</f>
        <v>13345791758.628021</v>
      </c>
      <c r="D99" s="2">
        <f>D11/'Output-Calculation-sheet'!D10*'Output-Calculation-sheet'!D82</f>
        <v>10398297233.410419</v>
      </c>
      <c r="E99" s="2">
        <f>E11/'Output-Calculation-sheet'!E10*'Output-Calculation-sheet'!E82</f>
        <v>12494329468.983641</v>
      </c>
      <c r="F99" s="2">
        <f>F11/'Output-Calculation-sheet'!F10*'Output-Calculation-sheet'!F82</f>
        <v>7454029962.801651</v>
      </c>
      <c r="G99" s="2">
        <f>G11/'Output-Calculation-sheet'!G10*'Output-Calculation-sheet'!G82</f>
        <v>3620227976.8481903</v>
      </c>
      <c r="H99" s="2">
        <f>H11/'Output-Calculation-sheet'!H10*'Output-Calculation-sheet'!H82</f>
        <v>4777484379.2556314</v>
      </c>
      <c r="I99" s="2">
        <f>I11/'Output-Calculation-sheet'!I10*'Output-Calculation-sheet'!I82</f>
        <v>4539453270.2547054</v>
      </c>
      <c r="J99" s="2">
        <f>J11/'Output-Calculation-sheet'!J10*'Output-Calculation-sheet'!J82</f>
        <v>2649411809.128983</v>
      </c>
      <c r="K99" s="2">
        <f>K11/'Output-Calculation-sheet'!K10*'Output-Calculation-sheet'!K82</f>
        <v>4360168455.2222176</v>
      </c>
      <c r="L99" s="2">
        <f>L11/'Output-Calculation-sheet'!L10*'Output-Calculation-sheet'!L82</f>
        <v>3190507394.9490294</v>
      </c>
      <c r="M99" s="2">
        <f>M11/'Output-Calculation-sheet'!M10*'Output-Calculation-sheet'!M82</f>
        <v>3198072509.3198285</v>
      </c>
      <c r="N99" s="2">
        <f>N11/'Output-Calculation-sheet'!N10*'Output-Calculation-sheet'!N82</f>
        <v>2307928872.7994242</v>
      </c>
      <c r="O99" s="2">
        <f>O11/'Output-Calculation-sheet'!O10*'Output-Calculation-sheet'!O82</f>
        <v>1833224893.9337404</v>
      </c>
      <c r="P99" s="2">
        <f>P11/'Output-Calculation-sheet'!P10*'Output-Calculation-sheet'!P82</f>
        <v>3700616033.0618181</v>
      </c>
      <c r="Q99" s="2">
        <f>Q11/'Output-Calculation-sheet'!Q10*'Output-Calculation-sheet'!Q82</f>
        <v>2118643720.0201604</v>
      </c>
      <c r="R99" s="2">
        <f>R11/'Output-Calculation-sheet'!R10*'Output-Calculation-sheet'!R82</f>
        <v>2772153525.2950315</v>
      </c>
      <c r="S99" s="2">
        <f>S11/'Output-Calculation-sheet'!S10*'Output-Calculation-sheet'!S82</f>
        <v>1755974848.5951653</v>
      </c>
      <c r="T99" s="2">
        <f>T11/'Output-Calculation-sheet'!T10*'Output-Calculation-sheet'!T82</f>
        <v>1095344188.524684</v>
      </c>
      <c r="U99" s="2">
        <f>U11/'Output-Calculation-sheet'!U10*'Output-Calculation-sheet'!U82</f>
        <v>1030295984.0412571</v>
      </c>
      <c r="V99" s="2">
        <f>V11/'Output-Calculation-sheet'!V10*'Output-Calculation-sheet'!V82</f>
        <v>674763651.22194576</v>
      </c>
      <c r="W99" s="2">
        <f>W11/'Output-Calculation-sheet'!W10*'Output-Calculation-sheet'!W82</f>
        <v>757170742.27524722</v>
      </c>
      <c r="X99" s="2">
        <f>X11/'Output-Calculation-sheet'!X10*'Output-Calculation-sheet'!X82</f>
        <v>364651609.2653836</v>
      </c>
      <c r="Y99" s="2">
        <f>Y11/'Output-Calculation-sheet'!Y10*'Output-Calculation-sheet'!Y82</f>
        <v>393412440.44418609</v>
      </c>
      <c r="AA99" s="2">
        <f t="shared" si="8"/>
        <v>120.96959210693869</v>
      </c>
    </row>
    <row r="100" spans="1:27" x14ac:dyDescent="0.25">
      <c r="A100" s="2">
        <v>2035</v>
      </c>
      <c r="B100" s="2">
        <f>B12/'Output-Calculation-sheet'!B11*'Output-Calculation-sheet'!B83</f>
        <v>28004967948.658875</v>
      </c>
      <c r="C100" s="2">
        <f>C12/'Output-Calculation-sheet'!C11*'Output-Calculation-sheet'!C83</f>
        <v>11644990067.574995</v>
      </c>
      <c r="D100" s="2">
        <f>D12/'Output-Calculation-sheet'!D11*'Output-Calculation-sheet'!D83</f>
        <v>9019186828.5508003</v>
      </c>
      <c r="E100" s="2">
        <f>E12/'Output-Calculation-sheet'!E11*'Output-Calculation-sheet'!E83</f>
        <v>10807177390.521687</v>
      </c>
      <c r="F100" s="2">
        <f>F12/'Output-Calculation-sheet'!F11*'Output-Calculation-sheet'!F83</f>
        <v>6467549525.5645695</v>
      </c>
      <c r="G100" s="2">
        <f>G12/'Output-Calculation-sheet'!G11*'Output-Calculation-sheet'!G83</f>
        <v>3096742178.7598577</v>
      </c>
      <c r="H100" s="2">
        <f>H12/'Output-Calculation-sheet'!H11*'Output-Calculation-sheet'!H83</f>
        <v>4156492799.9177036</v>
      </c>
      <c r="I100" s="2">
        <f>I12/'Output-Calculation-sheet'!I11*'Output-Calculation-sheet'!I83</f>
        <v>3941851160.2791886</v>
      </c>
      <c r="J100" s="2">
        <f>J12/'Output-Calculation-sheet'!J11*'Output-Calculation-sheet'!J83</f>
        <v>2327515834.9408703</v>
      </c>
      <c r="K100" s="2">
        <f>K12/'Output-Calculation-sheet'!K11*'Output-Calculation-sheet'!K83</f>
        <v>3784460027.5290823</v>
      </c>
      <c r="L100" s="2">
        <f>L12/'Output-Calculation-sheet'!L11*'Output-Calculation-sheet'!L83</f>
        <v>2783898279.2514391</v>
      </c>
      <c r="M100" s="2">
        <f>M12/'Output-Calculation-sheet'!M11*'Output-Calculation-sheet'!M83</f>
        <v>2783743110.8504438</v>
      </c>
      <c r="N100" s="2">
        <f>N12/'Output-Calculation-sheet'!N11*'Output-Calculation-sheet'!N83</f>
        <v>2019524346.4463398</v>
      </c>
      <c r="O100" s="2">
        <f>O12/'Output-Calculation-sheet'!O11*'Output-Calculation-sheet'!O83</f>
        <v>1608938927.9774816</v>
      </c>
      <c r="P100" s="2">
        <f>P12/'Output-Calculation-sheet'!P11*'Output-Calculation-sheet'!P83</f>
        <v>3191818814.6527128</v>
      </c>
      <c r="Q100" s="2">
        <f>Q12/'Output-Calculation-sheet'!Q11*'Output-Calculation-sheet'!Q83</f>
        <v>1858221318.3763328</v>
      </c>
      <c r="R100" s="2">
        <f>R12/'Output-Calculation-sheet'!R11*'Output-Calculation-sheet'!R83</f>
        <v>2414646795.6468139</v>
      </c>
      <c r="S100" s="2">
        <f>S12/'Output-Calculation-sheet'!S11*'Output-Calculation-sheet'!S83</f>
        <v>1532375552.858691</v>
      </c>
      <c r="T100" s="2">
        <f>T12/'Output-Calculation-sheet'!T11*'Output-Calculation-sheet'!T83</f>
        <v>947636882.6548053</v>
      </c>
      <c r="U100" s="2">
        <f>U12/'Output-Calculation-sheet'!U11*'Output-Calculation-sheet'!U83</f>
        <v>894201920.31993699</v>
      </c>
      <c r="V100" s="2">
        <f>V12/'Output-Calculation-sheet'!V11*'Output-Calculation-sheet'!V83</f>
        <v>588784109.69598556</v>
      </c>
      <c r="W100" s="2">
        <f>W12/'Output-Calculation-sheet'!W11*'Output-Calculation-sheet'!W83</f>
        <v>647973341.15512288</v>
      </c>
      <c r="X100" s="2">
        <f>X12/'Output-Calculation-sheet'!X11*'Output-Calculation-sheet'!X83</f>
        <v>317247144.17259157</v>
      </c>
      <c r="Y100" s="2">
        <f>Y12/'Output-Calculation-sheet'!Y11*'Output-Calculation-sheet'!Y83</f>
        <v>338466715.53731763</v>
      </c>
      <c r="AA100" s="2">
        <f t="shared" si="8"/>
        <v>105.17841102189364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1997.6868036549433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614.94995634146323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423.14541659936015</v>
      </c>
      <c r="N107" s="2">
        <f>N8/'Output-Calculation-sheet'!N7*'Output-Calculation-sheet'!N88</f>
        <v>166.3533283744346</v>
      </c>
      <c r="O107" s="2">
        <f>O8/'Output-Calculation-sheet'!O7*'Output-Calculation-sheet'!O88</f>
        <v>465.71405835016856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46.419932272351325</v>
      </c>
      <c r="Y107" s="2">
        <f>Y8/'Output-Calculation-sheet'!Y7*'Output-Calculation-sheet'!Y88</f>
        <v>0</v>
      </c>
      <c r="AA107" s="2">
        <f t="shared" si="9"/>
        <v>3.7142694955927209</v>
      </c>
    </row>
    <row r="108" spans="1:27" x14ac:dyDescent="0.25">
      <c r="A108" s="2">
        <v>2032</v>
      </c>
      <c r="B108" s="2">
        <f>B9/'Output-Calculation-sheet'!B8*'Output-Calculation-sheet'!B89</f>
        <v>869.14180212799749</v>
      </c>
      <c r="C108" s="2">
        <f>C9/'Output-Calculation-sheet'!C8*'Output-Calculation-sheet'!C89</f>
        <v>3300.1185274176778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888.89398131061034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611.64556587997811</v>
      </c>
      <c r="N108" s="2">
        <f>N9/'Output-Calculation-sheet'!N8*'Output-Calculation-sheet'!N89</f>
        <v>429.39171262799039</v>
      </c>
      <c r="O108" s="2">
        <f>O9/'Output-Calculation-sheet'!O8*'Output-Calculation-sheet'!O89</f>
        <v>641.12134996518375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196.91372240792847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67.098790697088035</v>
      </c>
      <c r="Y108" s="2">
        <f>Y9/'Output-Calculation-sheet'!Y8*'Output-Calculation-sheet'!Y89</f>
        <v>0</v>
      </c>
      <c r="AA108" s="2">
        <f t="shared" si="9"/>
        <v>7.004325452434454</v>
      </c>
    </row>
    <row r="109" spans="1:27" x14ac:dyDescent="0.25">
      <c r="A109" s="2">
        <v>2033</v>
      </c>
      <c r="B109" s="2">
        <f>B10/'Output-Calculation-sheet'!B9*'Output-Calculation-sheet'!B90</f>
        <v>4042.5358377921762</v>
      </c>
      <c r="C109" s="2">
        <f>C10/'Output-Calculation-sheet'!C9*'Output-Calculation-sheet'!C90</f>
        <v>3837.3621494744348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1181.2590852421172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812.82121021731734</v>
      </c>
      <c r="N109" s="2">
        <f>N10/'Output-Calculation-sheet'!N9*'Output-Calculation-sheet'!N90</f>
        <v>639.09714433234967</v>
      </c>
      <c r="O109" s="2">
        <f>O10/'Output-Calculation-sheet'!O9*'Output-Calculation-sheet'!O90</f>
        <v>745.49286067656851</v>
      </c>
      <c r="P109" s="2">
        <f>P10/'Output-Calculation-sheet'!P9*'Output-Calculation-sheet'!P90</f>
        <v>0</v>
      </c>
      <c r="Q109" s="2">
        <f>Q10/'Output-Calculation-sheet'!Q9*'Output-Calculation-sheet'!Q90</f>
        <v>139.98673703227675</v>
      </c>
      <c r="R109" s="2">
        <f>R10/'Output-Calculation-sheet'!R9*'Output-Calculation-sheet'!R90</f>
        <v>0</v>
      </c>
      <c r="S109" s="2">
        <f>S10/'Output-Calculation-sheet'!S9*'Output-Calculation-sheet'!S90</f>
        <v>320.55847761934967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89.168177292447993</v>
      </c>
      <c r="Y109" s="2">
        <f>Y10/'Output-Calculation-sheet'!Y9*'Output-Calculation-sheet'!Y90</f>
        <v>0</v>
      </c>
      <c r="AA109" s="2">
        <f t="shared" si="9"/>
        <v>11.808281679679039</v>
      </c>
    </row>
    <row r="110" spans="1:27" x14ac:dyDescent="0.25">
      <c r="A110" s="2">
        <v>2034</v>
      </c>
      <c r="B110" s="2">
        <f>B11/'Output-Calculation-sheet'!B10*'Output-Calculation-sheet'!B91</f>
        <v>6129.1603058198434</v>
      </c>
      <c r="C110" s="2">
        <f>C11/'Output-Calculation-sheet'!C10*'Output-Calculation-sheet'!C91</f>
        <v>4201.9486065950468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1193.9908655799286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821.58191414052146</v>
      </c>
      <c r="N110" s="2">
        <f>N11/'Output-Calculation-sheet'!N10*'Output-Calculation-sheet'!N91</f>
        <v>740.19163313823196</v>
      </c>
      <c r="O110" s="2">
        <f>O11/'Output-Calculation-sheet'!O10*'Output-Calculation-sheet'!O91</f>
        <v>816.32188079394416</v>
      </c>
      <c r="P110" s="2">
        <f>P11/'Output-Calculation-sheet'!P10*'Output-Calculation-sheet'!P91</f>
        <v>186.49283280271897</v>
      </c>
      <c r="Q110" s="2">
        <f>Q11/'Output-Calculation-sheet'!Q10*'Output-Calculation-sheet'!Q91</f>
        <v>412.69530814244712</v>
      </c>
      <c r="R110" s="2">
        <f>R11/'Output-Calculation-sheet'!R10*'Output-Calculation-sheet'!R91</f>
        <v>0</v>
      </c>
      <c r="S110" s="2">
        <f>S11/'Output-Calculation-sheet'!S10*'Output-Calculation-sheet'!S91</f>
        <v>424.30339678775141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90.129244733616318</v>
      </c>
      <c r="Y110" s="2">
        <f>Y11/'Output-Calculation-sheet'!Y10*'Output-Calculation-sheet'!Y91</f>
        <v>21.744111294879961</v>
      </c>
      <c r="AA110" s="2">
        <f t="shared" si="9"/>
        <v>15.038560099828928</v>
      </c>
    </row>
    <row r="111" spans="1:27" x14ac:dyDescent="0.25">
      <c r="A111" s="2">
        <v>2035</v>
      </c>
      <c r="B111" s="2">
        <f>B12/'Output-Calculation-sheet'!B11*'Output-Calculation-sheet'!B92</f>
        <v>7724.7574872437535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1720.7329702884138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382.16781795481484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611.1099677666607</v>
      </c>
      <c r="Q111" s="2">
        <f>Q12/'Output-Calculation-sheet'!Q11*'Output-Calculation-sheet'!Q92</f>
        <v>579.57543231665068</v>
      </c>
      <c r="R111" s="2">
        <f>R12/'Output-Calculation-sheet'!R11*'Output-Calculation-sheet'!R92</f>
        <v>88.424350234001594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128.02113077164807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60.290407156100514</v>
      </c>
      <c r="AA111" s="2">
        <f t="shared" si="9"/>
        <v>18.86490751627554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9391089342.4036407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2889445393.9539595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2006968819.219728</v>
      </c>
      <c r="N118" s="2">
        <f>N8/'Output-Calculation-sheet'!N7*'Output-Calculation-sheet'!N97</f>
        <v>1574898285.9968948</v>
      </c>
      <c r="O118" s="2">
        <f>O8/'Output-Calculation-sheet'!O7*'Output-Calculation-sheet'!O97</f>
        <v>1047955419.1184384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570338739.70574033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216313146.68032485</v>
      </c>
      <c r="Y118" s="2">
        <f>Y8/'Output-Calculation-sheet'!Y7*'Output-Calculation-sheet'!Y97</f>
        <v>0</v>
      </c>
      <c r="AA118" s="2">
        <f t="shared" si="10"/>
        <v>19299.006500010732</v>
      </c>
    </row>
    <row r="119" spans="1:27" x14ac:dyDescent="0.25">
      <c r="A119" s="2">
        <v>2032</v>
      </c>
      <c r="B119" s="2">
        <f>B9/'Output-Calculation-sheet'!B8*'Output-Calculation-sheet'!B98</f>
        <v>6520346949.7877245</v>
      </c>
      <c r="C119" s="2">
        <f>C9/'Output-Calculation-sheet'!C8*'Output-Calculation-sheet'!C98</f>
        <v>5182503456.7890854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3098112162.4266825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2162493891.5693469</v>
      </c>
      <c r="N119" s="2">
        <f>N9/'Output-Calculation-sheet'!N8*'Output-Calculation-sheet'!N98</f>
        <v>1460387981.9233875</v>
      </c>
      <c r="O119" s="2">
        <f>O9/'Output-Calculation-sheet'!O8*'Output-Calculation-sheet'!O98</f>
        <v>1012565411.8816358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606907783.83347631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231394599.02701521</v>
      </c>
      <c r="Y119" s="2">
        <f>Y9/'Output-Calculation-sheet'!Y8*'Output-Calculation-sheet'!Y98</f>
        <v>0</v>
      </c>
      <c r="AA119" s="2">
        <f t="shared" si="10"/>
        <v>20274.712237238353</v>
      </c>
    </row>
    <row r="120" spans="1:27" x14ac:dyDescent="0.25">
      <c r="A120" s="2">
        <v>2033</v>
      </c>
      <c r="B120" s="2">
        <f>B10/'Output-Calculation-sheet'!B9*'Output-Calculation-sheet'!B99</f>
        <v>5815726457.4393148</v>
      </c>
      <c r="C120" s="2">
        <f>C10/'Output-Calculation-sheet'!C9*'Output-Calculation-sheet'!C99</f>
        <v>4780888269.5587225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1567540010.732538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1109517841.7380195</v>
      </c>
      <c r="N120" s="2">
        <f>N10/'Output-Calculation-sheet'!N9*'Output-Calculation-sheet'!N99</f>
        <v>1106071732.7571905</v>
      </c>
      <c r="O120" s="2">
        <f>O10/'Output-Calculation-sheet'!O9*'Output-Calculation-sheet'!O99</f>
        <v>935994944.48680329</v>
      </c>
      <c r="P120" s="2">
        <f>P10/'Output-Calculation-sheet'!P9*'Output-Calculation-sheet'!P99</f>
        <v>0</v>
      </c>
      <c r="Q120" s="2">
        <f>Q10/'Output-Calculation-sheet'!Q9*'Output-Calculation-sheet'!Q99</f>
        <v>6850762.646378411</v>
      </c>
      <c r="R120" s="2">
        <f>R10/'Output-Calculation-sheet'!R9*'Output-Calculation-sheet'!R99</f>
        <v>0</v>
      </c>
      <c r="S120" s="2">
        <f>S10/'Output-Calculation-sheet'!S9*'Output-Calculation-sheet'!S99</f>
        <v>463215623.71826357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110790279.09702457</v>
      </c>
      <c r="Y120" s="2">
        <f>Y10/'Output-Calculation-sheet'!Y9*'Output-Calculation-sheet'!Y99</f>
        <v>0</v>
      </c>
      <c r="AA120" s="2">
        <f t="shared" si="10"/>
        <v>15896.595922174256</v>
      </c>
    </row>
    <row r="121" spans="1:27" x14ac:dyDescent="0.25">
      <c r="A121" s="2">
        <v>2034</v>
      </c>
      <c r="B121" s="2">
        <f>B11/'Output-Calculation-sheet'!B10*'Output-Calculation-sheet'!B100</f>
        <v>4590869312.672965</v>
      </c>
      <c r="C121" s="2">
        <f>C11/'Output-Calculation-sheet'!C10*'Output-Calculation-sheet'!C100</f>
        <v>551627699.27795923</v>
      </c>
      <c r="D121" s="2">
        <f>D11/'Output-Calculation-sheet'!D10*'Output-Calculation-sheet'!D100</f>
        <v>0</v>
      </c>
      <c r="E121" s="2">
        <f>E11/'Output-Calculation-sheet'!E10*'Output-Calculation-sheet'!E100</f>
        <v>636621812.80600488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1452487303.58217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529530899.89498264</v>
      </c>
      <c r="M121" s="2">
        <f>M11/'Output-Calculation-sheet'!M10*'Output-Calculation-sheet'!M100</f>
        <v>1033729657.8877547</v>
      </c>
      <c r="N121" s="2">
        <f>N11/'Output-Calculation-sheet'!N10*'Output-Calculation-sheet'!N100</f>
        <v>689164464.8779825</v>
      </c>
      <c r="O121" s="2">
        <f>O11/'Output-Calculation-sheet'!O10*'Output-Calculation-sheet'!O100</f>
        <v>108203587.62519346</v>
      </c>
      <c r="P121" s="2">
        <f>P11/'Output-Calculation-sheet'!P10*'Output-Calculation-sheet'!P100</f>
        <v>0</v>
      </c>
      <c r="Q121" s="2">
        <f>Q11/'Output-Calculation-sheet'!Q10*'Output-Calculation-sheet'!Q100</f>
        <v>212889448.95663774</v>
      </c>
      <c r="R121" s="2">
        <f>R11/'Output-Calculation-sheet'!R10*'Output-Calculation-sheet'!R100</f>
        <v>0</v>
      </c>
      <c r="S121" s="2">
        <f>S11/'Output-Calculation-sheet'!S10*'Output-Calculation-sheet'!S100</f>
        <v>257673491.58180854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101571171.86104344</v>
      </c>
      <c r="Y121" s="2">
        <f>Y11/'Output-Calculation-sheet'!Y10*'Output-Calculation-sheet'!Y100</f>
        <v>7258663.4737222334</v>
      </c>
      <c r="AA121" s="2">
        <f t="shared" si="10"/>
        <v>10171.627514498225</v>
      </c>
    </row>
    <row r="122" spans="1:27" x14ac:dyDescent="0.25">
      <c r="A122" s="2">
        <v>2035</v>
      </c>
      <c r="B122" s="2">
        <f>B12/'Output-Calculation-sheet'!B11*'Output-Calculation-sheet'!B101</f>
        <v>1358217022.1701009</v>
      </c>
      <c r="C122" s="2">
        <f>C12/'Output-Calculation-sheet'!C11*'Output-Calculation-sheet'!C101</f>
        <v>233586154.52471587</v>
      </c>
      <c r="D122" s="2">
        <f>D12/'Output-Calculation-sheet'!D11*'Output-Calculation-sheet'!D101</f>
        <v>0</v>
      </c>
      <c r="E122" s="2">
        <f>E12/'Output-Calculation-sheet'!E11*'Output-Calculation-sheet'!E101</f>
        <v>1357550823.6148689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364309571.43051076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796810683.03016102</v>
      </c>
      <c r="M122" s="2">
        <f>M12/'Output-Calculation-sheet'!M11*'Output-Calculation-sheet'!M101</f>
        <v>328619431.94971192</v>
      </c>
      <c r="N122" s="2">
        <f>N12/'Output-Calculation-sheet'!N11*'Output-Calculation-sheet'!N101</f>
        <v>275514227.79041606</v>
      </c>
      <c r="O122" s="2">
        <f>O12/'Output-Calculation-sheet'!O11*'Output-Calculation-sheet'!O101</f>
        <v>39812132.823962614</v>
      </c>
      <c r="P122" s="2">
        <f>P12/'Output-Calculation-sheet'!P11*'Output-Calculation-sheet'!P101</f>
        <v>16928881.636147536</v>
      </c>
      <c r="Q122" s="2">
        <f>Q12/'Output-Calculation-sheet'!Q11*'Output-Calculation-sheet'!Q101</f>
        <v>333695910.87334353</v>
      </c>
      <c r="R122" s="2">
        <f>R12/'Output-Calculation-sheet'!R11*'Output-Calculation-sheet'!R101</f>
        <v>0</v>
      </c>
      <c r="S122" s="2">
        <f>S12/'Output-Calculation-sheet'!S11*'Output-Calculation-sheet'!S101</f>
        <v>134900440.33453974</v>
      </c>
      <c r="T122" s="2">
        <f>T12/'Output-Calculation-sheet'!T11*'Output-Calculation-sheet'!T101</f>
        <v>0</v>
      </c>
      <c r="U122" s="2">
        <f>U12/'Output-Calculation-sheet'!U11*'Output-Calculation-sheet'!U101</f>
        <v>49601242.150179558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11655149.680781202</v>
      </c>
      <c r="Y122" s="2">
        <f>Y12/'Output-Calculation-sheet'!Y11*'Output-Calculation-sheet'!Y101</f>
        <v>48159749.456714697</v>
      </c>
      <c r="AA122" s="2">
        <f t="shared" si="10"/>
        <v>5349.3614214661529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2613409708.5459495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2622476467.1034737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171783.60117102333</v>
      </c>
    </row>
    <row r="130" spans="1:27" x14ac:dyDescent="0.25">
      <c r="A130" s="2">
        <v>2032</v>
      </c>
      <c r="B130" s="2">
        <f>B9/'Output-Calculation-sheet'!B8*'Output-Calculation-sheet'!B107</f>
        <v>59005404843.340935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2146626202.8013463</v>
      </c>
      <c r="O130" s="2">
        <f>O9/'Output-Calculation-sheet'!O8*'Output-Calculation-sheet'!O107</f>
        <v>0</v>
      </c>
      <c r="P130" s="2">
        <f>P9/'Output-Calculation-sheet'!P8*'Output-Calculation-sheet'!P107</f>
        <v>6550142310.2616167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1906544233.5642657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207801.37131865928</v>
      </c>
    </row>
    <row r="131" spans="1:27" x14ac:dyDescent="0.25">
      <c r="A131" s="2">
        <v>2033</v>
      </c>
      <c r="B131" s="2">
        <f>B10/'Output-Calculation-sheet'!B9*'Output-Calculation-sheet'!B108</f>
        <v>43383549602.807968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1589690859.3095052</v>
      </c>
      <c r="O131" s="2">
        <f>O10/'Output-Calculation-sheet'!O9*'Output-Calculation-sheet'!O108</f>
        <v>0</v>
      </c>
      <c r="P131" s="2">
        <f>P10/'Output-Calculation-sheet'!P9*'Output-Calculation-sheet'!P108</f>
        <v>7311433541.3222713</v>
      </c>
      <c r="Q131" s="2">
        <f>Q10/'Output-Calculation-sheet'!Q9*'Output-Calculation-sheet'!Q108</f>
        <v>6167644740.7423601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1541915419.0288556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207062.85075638589</v>
      </c>
    </row>
    <row r="132" spans="1:27" x14ac:dyDescent="0.25">
      <c r="A132" s="2">
        <v>2034</v>
      </c>
      <c r="B132" s="2">
        <f>B11/'Output-Calculation-sheet'!B10*'Output-Calculation-sheet'!B109</f>
        <v>26713604684.009911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25786626380.371262</v>
      </c>
      <c r="F132" s="2">
        <f>F11/'Output-Calculation-sheet'!F10*'Output-Calculation-sheet'!F109</f>
        <v>17006892495.881414</v>
      </c>
      <c r="G132" s="2">
        <f>G11/'Output-Calculation-sheet'!G10*'Output-Calculation-sheet'!G109</f>
        <v>11949840310.661125</v>
      </c>
      <c r="H132" s="2">
        <f>H11/'Output-Calculation-sheet'!H10*'Output-Calculation-sheet'!H109</f>
        <v>0</v>
      </c>
      <c r="I132" s="2">
        <f>I11/'Output-Calculation-sheet'!I10*'Output-Calculation-sheet'!I109</f>
        <v>10886482902.920467</v>
      </c>
      <c r="J132" s="2">
        <f>J11/'Output-Calculation-sheet'!J10*'Output-Calculation-sheet'!J109</f>
        <v>10596223581.225525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7889408573.6284132</v>
      </c>
      <c r="M132" s="2">
        <f>M11/'Output-Calculation-sheet'!M10*'Output-Calculation-sheet'!M109</f>
        <v>0</v>
      </c>
      <c r="N132" s="2">
        <f>N11/'Output-Calculation-sheet'!N10*'Output-Calculation-sheet'!N109</f>
        <v>1037323955.2162297</v>
      </c>
      <c r="O132" s="2">
        <f>O11/'Output-Calculation-sheet'!O10*'Output-Calculation-sheet'!O109</f>
        <v>0</v>
      </c>
      <c r="P132" s="2">
        <f>P11/'Output-Calculation-sheet'!P10*'Output-Calculation-sheet'!P109</f>
        <v>5893791930.0288067</v>
      </c>
      <c r="Q132" s="2">
        <f>Q11/'Output-Calculation-sheet'!Q10*'Output-Calculation-sheet'!Q109</f>
        <v>3825910613.0121989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711925995.47260165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2178547018.739923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702410193.23651528</v>
      </c>
      <c r="AA132" s="2">
        <f t="shared" si="11"/>
        <v>181400.5914265168</v>
      </c>
    </row>
    <row r="133" spans="1:27" x14ac:dyDescent="0.25">
      <c r="A133" s="2">
        <v>2035</v>
      </c>
      <c r="B133" s="2">
        <f>B12/'Output-Calculation-sheet'!B11*'Output-Calculation-sheet'!B110</f>
        <v>325449049.01386976</v>
      </c>
      <c r="C133" s="2">
        <f>C12/'Output-Calculation-sheet'!C11*'Output-Calculation-sheet'!C110</f>
        <v>0</v>
      </c>
      <c r="D133" s="2">
        <f>D12/'Output-Calculation-sheet'!D11*'Output-Calculation-sheet'!D110</f>
        <v>27513876649.285568</v>
      </c>
      <c r="E133" s="2">
        <f>E12/'Output-Calculation-sheet'!E11*'Output-Calculation-sheet'!E110</f>
        <v>10561528233.345085</v>
      </c>
      <c r="F133" s="2">
        <f>F12/'Output-Calculation-sheet'!F11*'Output-Calculation-sheet'!F110</f>
        <v>14407756721.663923</v>
      </c>
      <c r="G133" s="2">
        <f>G12/'Output-Calculation-sheet'!G11*'Output-Calculation-sheet'!G110</f>
        <v>9821728787.2443199</v>
      </c>
      <c r="H133" s="2">
        <f>H12/'Output-Calculation-sheet'!H11*'Output-Calculation-sheet'!H110</f>
        <v>0</v>
      </c>
      <c r="I133" s="2">
        <f>I12/'Output-Calculation-sheet'!I11*'Output-Calculation-sheet'!I110</f>
        <v>9176010061.4790154</v>
      </c>
      <c r="J133" s="2">
        <f>J12/'Output-Calculation-sheet'!J11*'Output-Calculation-sheet'!J110</f>
        <v>8785015123.5025692</v>
      </c>
      <c r="K133" s="2">
        <f>K12/'Output-Calculation-sheet'!K11*'Output-Calculation-sheet'!K110</f>
        <v>8873471218.7483654</v>
      </c>
      <c r="L133" s="2">
        <f>L12/'Output-Calculation-sheet'!L11*'Output-Calculation-sheet'!L110</f>
        <v>4188825171.4855738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1528358556.908345</v>
      </c>
      <c r="Q133" s="2">
        <f>Q12/'Output-Calculation-sheet'!Q11*'Output-Calculation-sheet'!Q110</f>
        <v>1311079529.4084153</v>
      </c>
      <c r="R133" s="2">
        <f>R12/'Output-Calculation-sheet'!R11*'Output-Calculation-sheet'!R110</f>
        <v>5271519843.9684572</v>
      </c>
      <c r="S133" s="2">
        <f>S12/'Output-Calculation-sheet'!S11*'Output-Calculation-sheet'!S110</f>
        <v>1356491.5924210646</v>
      </c>
      <c r="T133" s="2">
        <f>T12/'Output-Calculation-sheet'!T11*'Output-Calculation-sheet'!T110</f>
        <v>2128173489.190881</v>
      </c>
      <c r="U133" s="2">
        <f>U12/'Output-Calculation-sheet'!U11*'Output-Calculation-sheet'!U110</f>
        <v>999084109.19432282</v>
      </c>
      <c r="V133" s="2">
        <f>V12/'Output-Calculation-sheet'!V11*'Output-Calculation-sheet'!V110</f>
        <v>1435434123.796005</v>
      </c>
      <c r="W133" s="2">
        <f>W12/'Output-Calculation-sheet'!W11*'Output-Calculation-sheet'!W110</f>
        <v>1238152499.4801981</v>
      </c>
      <c r="X133" s="2">
        <f>X12/'Output-Calculation-sheet'!X11*'Output-Calculation-sheet'!X110</f>
        <v>0</v>
      </c>
      <c r="Y133" s="2">
        <f>Y12/'Output-Calculation-sheet'!Y11*'Output-Calculation-sheet'!Y110</f>
        <v>283439796.17006934</v>
      </c>
      <c r="AA133" s="2">
        <f t="shared" si="11"/>
        <v>107850.25945547741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16998156159.596243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5343792130.6160469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3673242930.5737338</v>
      </c>
      <c r="N140" s="2">
        <f>N8/'Output-Calculation-sheet'!N7*'Output-Calculation-sheet'!N115</f>
        <v>1386794800.045712</v>
      </c>
      <c r="O140" s="2">
        <f>O8/'Output-Calculation-sheet'!O7*'Output-Calculation-sheet'!O115</f>
        <v>4079474712.1508431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398870080.32595378</v>
      </c>
      <c r="Y140" s="2">
        <f>Y8/'Output-Calculation-sheet'!Y7*'Output-Calculation-sheet'!Y115</f>
        <v>0</v>
      </c>
      <c r="AA140" s="2">
        <f t="shared" si="12"/>
        <v>31880.330813308534</v>
      </c>
    </row>
    <row r="141" spans="1:27" x14ac:dyDescent="0.25">
      <c r="A141" s="2">
        <v>2032</v>
      </c>
      <c r="B141" s="2">
        <f>B9/'Output-Calculation-sheet'!B8*'Output-Calculation-sheet'!B116</f>
        <v>6745679298.9007244</v>
      </c>
      <c r="C141" s="2">
        <f>C9/'Output-Calculation-sheet'!C8*'Output-Calculation-sheet'!C116</f>
        <v>28875496024.042233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7527716595.2366285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5168395953.4584923</v>
      </c>
      <c r="N141" s="2">
        <f>N9/'Output-Calculation-sheet'!N8*'Output-Calculation-sheet'!N116</f>
        <v>3588221326.6525736</v>
      </c>
      <c r="O141" s="2">
        <f>O9/'Output-Calculation-sheet'!O8*'Output-Calculation-sheet'!O116</f>
        <v>5604903487.0550404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1607200212.3394988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562561738.65668786</v>
      </c>
      <c r="Y141" s="2">
        <f>Y9/'Output-Calculation-sheet'!Y8*'Output-Calculation-sheet'!Y116</f>
        <v>0</v>
      </c>
      <c r="AA141" s="2">
        <f t="shared" si="12"/>
        <v>59680.174636341872</v>
      </c>
    </row>
    <row r="142" spans="1:27" x14ac:dyDescent="0.25">
      <c r="A142" s="2">
        <v>2033</v>
      </c>
      <c r="B142" s="2">
        <f>B10/'Output-Calculation-sheet'!B9*'Output-Calculation-sheet'!B117</f>
        <v>31476129041.427551</v>
      </c>
      <c r="C142" s="2">
        <f>C10/'Output-Calculation-sheet'!C9*'Output-Calculation-sheet'!C117</f>
        <v>33237491666.812275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10293896671.914749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7073833095.6228056</v>
      </c>
      <c r="N142" s="2">
        <f>N10/'Output-Calculation-sheet'!N9*'Output-Calculation-sheet'!N117</f>
        <v>5336159244.0241451</v>
      </c>
      <c r="O142" s="2">
        <f>O10/'Output-Calculation-sheet'!O9*'Output-Calculation-sheet'!O117</f>
        <v>6450975307.6376438</v>
      </c>
      <c r="P142" s="2">
        <f>P10/'Output-Calculation-sheet'!P9*'Output-Calculation-sheet'!P117</f>
        <v>0</v>
      </c>
      <c r="Q142" s="2">
        <f>Q10/'Output-Calculation-sheet'!Q9*'Output-Calculation-sheet'!Q117</f>
        <v>1019130715.7385525</v>
      </c>
      <c r="R142" s="2">
        <f>R10/'Output-Calculation-sheet'!R9*'Output-Calculation-sheet'!R117</f>
        <v>0</v>
      </c>
      <c r="S142" s="2">
        <f>S10/'Output-Calculation-sheet'!S9*'Output-Calculation-sheet'!S117</f>
        <v>2594684769.2495728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775490079.37669289</v>
      </c>
      <c r="Y142" s="2">
        <f>Y10/'Output-Calculation-sheet'!Y9*'Output-Calculation-sheet'!Y117</f>
        <v>0</v>
      </c>
      <c r="AA142" s="2">
        <f t="shared" si="12"/>
        <v>98257.790591803991</v>
      </c>
    </row>
    <row r="143" spans="1:27" x14ac:dyDescent="0.25">
      <c r="A143" s="2">
        <v>2034</v>
      </c>
      <c r="B143" s="2">
        <f>B11/'Output-Calculation-sheet'!B10*'Output-Calculation-sheet'!B118</f>
        <v>47974963078.312859</v>
      </c>
      <c r="C143" s="2">
        <f>C11/'Output-Calculation-sheet'!C10*'Output-Calculation-sheet'!C118</f>
        <v>36809069793.772614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10203657276.351725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7007985250.3529282</v>
      </c>
      <c r="N143" s="2">
        <f>N11/'Output-Calculation-sheet'!N10*'Output-Calculation-sheet'!N118</f>
        <v>6166464836.035984</v>
      </c>
      <c r="O143" s="2">
        <f>O11/'Output-Calculation-sheet'!O10*'Output-Calculation-sheet'!O118</f>
        <v>7150979675.7549515</v>
      </c>
      <c r="P143" s="2">
        <f>P11/'Output-Calculation-sheet'!P10*'Output-Calculation-sheet'!P118</f>
        <v>1291088266.8366623</v>
      </c>
      <c r="Q143" s="2">
        <f>Q11/'Output-Calculation-sheet'!Q10*'Output-Calculation-sheet'!Q118</f>
        <v>3030322110.7882109</v>
      </c>
      <c r="R143" s="2">
        <f>R11/'Output-Calculation-sheet'!R10*'Output-Calculation-sheet'!R118</f>
        <v>0</v>
      </c>
      <c r="S143" s="2">
        <f>S11/'Output-Calculation-sheet'!S10*'Output-Calculation-sheet'!S118</f>
        <v>3550643962.8038836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769370154.76860178</v>
      </c>
      <c r="Y143" s="2">
        <f>Y11/'Output-Calculation-sheet'!Y10*'Output-Calculation-sheet'!Y118</f>
        <v>137302578.92423198</v>
      </c>
      <c r="AA143" s="2">
        <f t="shared" si="12"/>
        <v>124091.84698470264</v>
      </c>
    </row>
    <row r="144" spans="1:27" x14ac:dyDescent="0.25">
      <c r="A144" s="2">
        <v>2035</v>
      </c>
      <c r="B144" s="2">
        <f>B12/'Output-Calculation-sheet'!B11*'Output-Calculation-sheet'!B119</f>
        <v>66689516789.008911</v>
      </c>
      <c r="C144" s="2">
        <f>C12/'Output-Calculation-sheet'!C11*'Output-Calculation-sheet'!C119</f>
        <v>32039126111.846546</v>
      </c>
      <c r="D144" s="2">
        <f>D12/'Output-Calculation-sheet'!D11*'Output-Calculation-sheet'!D119</f>
        <v>0</v>
      </c>
      <c r="E144" s="2">
        <f>E12/'Output-Calculation-sheet'!E11*'Output-Calculation-sheet'!E119</f>
        <v>10784798923.035364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9679580105.9285126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2222203760.9141397</v>
      </c>
      <c r="M144" s="2">
        <f>M12/'Output-Calculation-sheet'!M11*'Output-Calculation-sheet'!M119</f>
        <v>6596932482.9781446</v>
      </c>
      <c r="N144" s="2">
        <f>N12/'Output-Calculation-sheet'!N11*'Output-Calculation-sheet'!N119</f>
        <v>6517801527.3913555</v>
      </c>
      <c r="O144" s="2">
        <f>O12/'Output-Calculation-sheet'!O11*'Output-Calculation-sheet'!O119</f>
        <v>6228443912.1078377</v>
      </c>
      <c r="P144" s="2">
        <f>P12/'Output-Calculation-sheet'!P11*'Output-Calculation-sheet'!P119</f>
        <v>4652469317.5299597</v>
      </c>
      <c r="Q144" s="2">
        <f>Q12/'Output-Calculation-sheet'!Q11*'Output-Calculation-sheet'!Q119</f>
        <v>4395193789.5748978</v>
      </c>
      <c r="R144" s="2">
        <f>R12/'Output-Calculation-sheet'!R11*'Output-Calculation-sheet'!R119</f>
        <v>494789418.65052134</v>
      </c>
      <c r="S144" s="2">
        <f>S12/'Output-Calculation-sheet'!S11*'Output-Calculation-sheet'!S119</f>
        <v>3756322752.7466226</v>
      </c>
      <c r="T144" s="2">
        <f>T12/'Output-Calculation-sheet'!T11*'Output-Calculation-sheet'!T119</f>
        <v>0</v>
      </c>
      <c r="U144" s="2">
        <f>U12/'Output-Calculation-sheet'!U11*'Output-Calculation-sheet'!U119</f>
        <v>817142066.85987389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740342717.53466785</v>
      </c>
      <c r="Y144" s="2">
        <f>Y12/'Output-Calculation-sheet'!Y11*'Output-Calculation-sheet'!Y119</f>
        <v>396200154.56371158</v>
      </c>
      <c r="AA144" s="2">
        <f t="shared" si="12"/>
        <v>156010.86383067106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288795442.58249277</v>
      </c>
      <c r="C155" s="2">
        <f>C12/'Output-Calculation-sheet'!C11*'Output-Calculation-sheet'!C128</f>
        <v>27590246.275827978</v>
      </c>
      <c r="D155" s="2">
        <f>D12/'Output-Calculation-sheet'!D11*'Output-Calculation-sheet'!D128</f>
        <v>2066826250.3817337</v>
      </c>
      <c r="E155" s="2">
        <f>E12/'Output-Calculation-sheet'!E11*'Output-Calculation-sheet'!E128</f>
        <v>308139027.55941892</v>
      </c>
      <c r="F155" s="2">
        <f>F12/'Output-Calculation-sheet'!F11*'Output-Calculation-sheet'!F128</f>
        <v>638335541.38444078</v>
      </c>
      <c r="G155" s="2">
        <f>G12/'Output-Calculation-sheet'!G11*'Output-Calculation-sheet'!G128</f>
        <v>803108443.8404305</v>
      </c>
      <c r="H155" s="2">
        <f>H12/'Output-Calculation-sheet'!H11*'Output-Calculation-sheet'!H128</f>
        <v>60861552.144758649</v>
      </c>
      <c r="I155" s="2">
        <f>I12/'Output-Calculation-sheet'!I11*'Output-Calculation-sheet'!I128</f>
        <v>482866617.18239492</v>
      </c>
      <c r="J155" s="2">
        <f>J12/'Output-Calculation-sheet'!J11*'Output-Calculation-sheet'!J128</f>
        <v>543320538.15001774</v>
      </c>
      <c r="K155" s="2">
        <f>K12/'Output-Calculation-sheet'!K11*'Output-Calculation-sheet'!K128</f>
        <v>407284342.15829641</v>
      </c>
      <c r="L155" s="2">
        <f>L12/'Output-Calculation-sheet'!L11*'Output-Calculation-sheet'!L128</f>
        <v>129236109.85819896</v>
      </c>
      <c r="M155" s="2">
        <f>M12/'Output-Calculation-sheet'!M11*'Output-Calculation-sheet'!M128</f>
        <v>48385361.397532061</v>
      </c>
      <c r="N155" s="2">
        <f>N12/'Output-Calculation-sheet'!N11*'Output-Calculation-sheet'!N128</f>
        <v>44223969.651607975</v>
      </c>
      <c r="O155" s="2">
        <f>O12/'Output-Calculation-sheet'!O11*'Output-Calculation-sheet'!O128</f>
        <v>7812470.0511308415</v>
      </c>
      <c r="P155" s="2">
        <f>P12/'Output-Calculation-sheet'!P11*'Output-Calculation-sheet'!P128</f>
        <v>32927325.452640269</v>
      </c>
      <c r="Q155" s="2">
        <f>Q12/'Output-Calculation-sheet'!Q11*'Output-Calculation-sheet'!Q128</f>
        <v>111391155.71121933</v>
      </c>
      <c r="R155" s="2">
        <f>R12/'Output-Calculation-sheet'!R11*'Output-Calculation-sheet'!R128</f>
        <v>225568737.47625154</v>
      </c>
      <c r="S155" s="2">
        <f>S12/'Output-Calculation-sheet'!S11*'Output-Calculation-sheet'!S128</f>
        <v>27117681.585381161</v>
      </c>
      <c r="T155" s="2">
        <f>T12/'Output-Calculation-sheet'!T11*'Output-Calculation-sheet'!T128</f>
        <v>70421482.530575752</v>
      </c>
      <c r="U155" s="2">
        <f>U12/'Output-Calculation-sheet'!U11*'Output-Calculation-sheet'!U128</f>
        <v>38761584.014285021</v>
      </c>
      <c r="V155" s="2">
        <f>V12/'Output-Calculation-sheet'!V11*'Output-Calculation-sheet'!V128</f>
        <v>28875815.040914629</v>
      </c>
      <c r="W155" s="2">
        <f>W12/'Output-Calculation-sheet'!W11*'Output-Calculation-sheet'!W128</f>
        <v>46674098.624181785</v>
      </c>
      <c r="X155" s="2">
        <f>X12/'Output-Calculation-sheet'!X11*'Output-Calculation-sheet'!X128</f>
        <v>1457733.8519281493</v>
      </c>
      <c r="Y155" s="2">
        <f>Y12/'Output-Calculation-sheet'!Y11*'Output-Calculation-sheet'!Y128</f>
        <v>9776769.3000409678</v>
      </c>
      <c r="AA155" s="2">
        <f t="shared" si="13"/>
        <v>6449.7582962057031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5924.8077833976768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1794.6955217042414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1246.6667639165887</v>
      </c>
      <c r="N19" s="2">
        <f>N8/'Output-Calculation-sheet'!N7*'Output-Calculation-sheet'!N25</f>
        <v>1037.0794279375009</v>
      </c>
      <c r="O19" s="2">
        <f>O8/'Output-Calculation-sheet'!O7*'Output-Calculation-sheet'!O25</f>
        <v>650.87944016308234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134.92402265949096</v>
      </c>
      <c r="Y19" s="2">
        <f>Y8/'Output-Calculation-sheet'!Y7*'Output-Calculation-sheet'!Y25</f>
        <v>0</v>
      </c>
      <c r="AA19" s="2">
        <f t="shared" si="0"/>
        <v>12.527939220976252</v>
      </c>
    </row>
    <row r="20" spans="1:27" x14ac:dyDescent="0.25">
      <c r="A20" s="2">
        <v>2032</v>
      </c>
      <c r="B20" s="2">
        <f>B9/'Output-Calculation-sheet'!B8*'Output-Calculation-sheet'!B26</f>
        <v>6080.494143963565</v>
      </c>
      <c r="C20" s="2">
        <f>C9/'Output-Calculation-sheet'!C8*'Output-Calculation-sheet'!C26</f>
        <v>3334.3945415505204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2001.6535074477317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1398.7692852766281</v>
      </c>
      <c r="N20" s="2">
        <f>N9/'Output-Calculation-sheet'!N8*'Output-Calculation-sheet'!N26</f>
        <v>969.38523095018081</v>
      </c>
      <c r="O20" s="2">
        <f>O9/'Output-Calculation-sheet'!O8*'Output-Calculation-sheet'!O26</f>
        <v>651.47890006381749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459.83099720610227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152.20652716627632</v>
      </c>
      <c r="Y20" s="2">
        <f>Y9/'Output-Calculation-sheet'!Y8*'Output-Calculation-sheet'!Y26</f>
        <v>0</v>
      </c>
      <c r="AA20" s="2">
        <f t="shared" si="0"/>
        <v>15.04821313362482</v>
      </c>
    </row>
    <row r="21" spans="1:27" x14ac:dyDescent="0.25">
      <c r="A21" s="2">
        <v>2033</v>
      </c>
      <c r="B21" s="2">
        <f>B10/'Output-Calculation-sheet'!B9*'Output-Calculation-sheet'!B27</f>
        <v>5335.2150549294211</v>
      </c>
      <c r="C21" s="2">
        <f>C10/'Output-Calculation-sheet'!C9*'Output-Calculation-sheet'!C27</f>
        <v>3279.2489601713264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1075.1896308616076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761.02809031336051</v>
      </c>
      <c r="N21" s="2">
        <f>N10/'Output-Calculation-sheet'!N9*'Output-Calculation-sheet'!N27</f>
        <v>770.69108608665954</v>
      </c>
      <c r="O21" s="2">
        <f>O10/'Output-Calculation-sheet'!O9*'Output-Calculation-sheet'!O27</f>
        <v>642.00664167786942</v>
      </c>
      <c r="P21" s="2">
        <f>P10/'Output-Calculation-sheet'!P9*'Output-Calculation-sheet'!P27</f>
        <v>0</v>
      </c>
      <c r="Q21" s="2">
        <f>Q10/'Output-Calculation-sheet'!Q9*'Output-Calculation-sheet'!Q27</f>
        <v>9.0989250223760063</v>
      </c>
      <c r="R21" s="2">
        <f>R10/'Output-Calculation-sheet'!R9*'Output-Calculation-sheet'!R27</f>
        <v>0</v>
      </c>
      <c r="S21" s="2">
        <f>S10/'Output-Calculation-sheet'!S9*'Output-Calculation-sheet'!S27</f>
        <v>366.97456083840194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75.991925507823808</v>
      </c>
      <c r="Y21" s="2">
        <f>Y10/'Output-Calculation-sheet'!Y9*'Output-Calculation-sheet'!Y27</f>
        <v>0</v>
      </c>
      <c r="AA21" s="2">
        <f t="shared" si="0"/>
        <v>12.315444875408847</v>
      </c>
    </row>
    <row r="22" spans="1:27" x14ac:dyDescent="0.25">
      <c r="A22" s="2">
        <v>2034</v>
      </c>
      <c r="B22" s="2">
        <f>B11/'Output-Calculation-sheet'!B10*'Output-Calculation-sheet'!B28</f>
        <v>4134.42362141792</v>
      </c>
      <c r="C22" s="2">
        <f>C11/'Output-Calculation-sheet'!C10*'Output-Calculation-sheet'!C28</f>
        <v>417.35370124011382</v>
      </c>
      <c r="D22" s="2">
        <f>D11/'Output-Calculation-sheet'!D10*'Output-Calculation-sheet'!D28</f>
        <v>0</v>
      </c>
      <c r="E22" s="2">
        <f>E11/'Output-Calculation-sheet'!E10*'Output-Calculation-sheet'!E28</f>
        <v>1385.8398064738258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1098.9249936386966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840.48702062174607</v>
      </c>
      <c r="M22" s="2">
        <f>M11/'Output-Calculation-sheet'!M10*'Output-Calculation-sheet'!M28</f>
        <v>782.10072921946994</v>
      </c>
      <c r="N22" s="2">
        <f>N11/'Output-Calculation-sheet'!N10*'Output-Calculation-sheet'!N28</f>
        <v>522.83879951001677</v>
      </c>
      <c r="O22" s="2">
        <f>O11/'Output-Calculation-sheet'!O10*'Output-Calculation-sheet'!O28</f>
        <v>81.864899805147857</v>
      </c>
      <c r="P22" s="2">
        <f>P11/'Output-Calculation-sheet'!P10*'Output-Calculation-sheet'!P28</f>
        <v>0</v>
      </c>
      <c r="Q22" s="2">
        <f>Q11/'Output-Calculation-sheet'!Q10*'Output-Calculation-sheet'!Q28</f>
        <v>247.85752140095983</v>
      </c>
      <c r="R22" s="2">
        <f>R11/'Output-Calculation-sheet'!R10*'Output-Calculation-sheet'!R28</f>
        <v>0</v>
      </c>
      <c r="S22" s="2">
        <f>S11/'Output-Calculation-sheet'!S10*'Output-Calculation-sheet'!S28</f>
        <v>195.76743366542874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76.846842066153258</v>
      </c>
      <c r="Y22" s="2">
        <f>Y11/'Output-Calculation-sheet'!Y10*'Output-Calculation-sheet'!Y28</f>
        <v>14.61649779563084</v>
      </c>
      <c r="AA22" s="2">
        <f t="shared" si="0"/>
        <v>9.7989218668551104</v>
      </c>
    </row>
    <row r="23" spans="1:27" x14ac:dyDescent="0.25">
      <c r="A23" s="2">
        <v>2035</v>
      </c>
      <c r="B23" s="2">
        <f>B12/'Output-Calculation-sheet'!B11*'Output-Calculation-sheet'!B29</f>
        <v>1188.3338170846985</v>
      </c>
      <c r="C23" s="2">
        <f>C12/'Output-Calculation-sheet'!C11*'Output-Calculation-sheet'!C29</f>
        <v>204.37039500193711</v>
      </c>
      <c r="D23" s="2">
        <f>D12/'Output-Calculation-sheet'!D11*'Output-Calculation-sheet'!D29</f>
        <v>0</v>
      </c>
      <c r="E23" s="2">
        <f>E12/'Output-Calculation-sheet'!E11*'Output-Calculation-sheet'!E29</f>
        <v>1663.9334967552463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318.74394479487836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1006.97678056572</v>
      </c>
      <c r="M23" s="2">
        <f>M12/'Output-Calculation-sheet'!M11*'Output-Calculation-sheet'!M29</f>
        <v>287.51774622106723</v>
      </c>
      <c r="N23" s="2">
        <f>N12/'Output-Calculation-sheet'!N11*'Output-Calculation-sheet'!N29</f>
        <v>241.0547482137911</v>
      </c>
      <c r="O23" s="2">
        <f>O12/'Output-Calculation-sheet'!O11*'Output-Calculation-sheet'!O29</f>
        <v>34.832586226176183</v>
      </c>
      <c r="P23" s="2">
        <f>P12/'Output-Calculation-sheet'!P11*'Output-Calculation-sheet'!P29</f>
        <v>15.435976170666068</v>
      </c>
      <c r="Q23" s="2">
        <f>Q12/'Output-Calculation-sheet'!Q11*'Output-Calculation-sheet'!Q29</f>
        <v>310.78573785738877</v>
      </c>
      <c r="R23" s="2">
        <f>R12/'Output-Calculation-sheet'!R11*'Output-Calculation-sheet'!R29</f>
        <v>0</v>
      </c>
      <c r="S23" s="2">
        <f>S12/'Output-Calculation-sheet'!S11*'Output-Calculation-sheet'!S29</f>
        <v>118.02798117248011</v>
      </c>
      <c r="T23" s="2">
        <f>T12/'Output-Calculation-sheet'!T11*'Output-Calculation-sheet'!T29</f>
        <v>0</v>
      </c>
      <c r="U23" s="2">
        <f>U12/'Output-Calculation-sheet'!U11*'Output-Calculation-sheet'!U29</f>
        <v>84.622993064266467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10.197415285318622</v>
      </c>
      <c r="Y23" s="2">
        <f>Y12/'Output-Calculation-sheet'!Y11*'Output-Calculation-sheet'!Y29</f>
        <v>54.64921848972746</v>
      </c>
      <c r="AA23" s="2">
        <f t="shared" si="0"/>
        <v>5.539482836903364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1182.2486104536599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46.352957954547605</v>
      </c>
    </row>
    <row r="31" spans="1:27" x14ac:dyDescent="0.25">
      <c r="A31" s="2">
        <v>2032</v>
      </c>
      <c r="B31" s="2">
        <f>B9/'Output-Calculation-sheet'!B8*'Output-Calculation-sheet'!B17</f>
        <v>25564.915235499564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999.61512905857921</v>
      </c>
      <c r="O31" s="2">
        <f>O9/'Output-Calculation-sheet'!O8*'Output-Calculation-sheet'!O17</f>
        <v>0</v>
      </c>
      <c r="P31" s="2">
        <f>P9/'Output-Calculation-sheet'!P8*'Output-Calculation-sheet'!P17</f>
        <v>2499.0445466061806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827.34923194364922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58.572923228734247</v>
      </c>
    </row>
    <row r="32" spans="1:27" x14ac:dyDescent="0.25">
      <c r="A32" s="2">
        <v>2033</v>
      </c>
      <c r="B32" s="2">
        <f>B10/'Output-Calculation-sheet'!B9*'Output-Calculation-sheet'!B18</f>
        <v>19298.883400452771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3021.5081853944412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781.12599972168562</v>
      </c>
      <c r="O32" s="2">
        <f>O10/'Output-Calculation-sheet'!O9*'Output-Calculation-sheet'!O18</f>
        <v>0</v>
      </c>
      <c r="P32" s="2">
        <f>P10/'Output-Calculation-sheet'!P9*'Output-Calculation-sheet'!P18</f>
        <v>3109.7357790822066</v>
      </c>
      <c r="Q32" s="2">
        <f>Q10/'Output-Calculation-sheet'!Q9*'Output-Calculation-sheet'!Q18</f>
        <v>2879.1853733658982</v>
      </c>
      <c r="R32" s="2">
        <f>R10/'Output-Calculation-sheet'!R9*'Output-Calculation-sheet'!R18</f>
        <v>2233.0198460325814</v>
      </c>
      <c r="S32" s="2">
        <f>S10/'Output-Calculation-sheet'!S9*'Output-Calculation-sheet'!S18</f>
        <v>710.59377355183085</v>
      </c>
      <c r="T32" s="2">
        <f>T10/'Output-Calculation-sheet'!T9*'Output-Calculation-sheet'!T18</f>
        <v>651.97420053164046</v>
      </c>
      <c r="U32" s="2">
        <f>U10/'Output-Calculation-sheet'!U9*'Output-Calculation-sheet'!U18</f>
        <v>720.7508421771746</v>
      </c>
      <c r="V32" s="2">
        <f>V10/'Output-Calculation-sheet'!V9*'Output-Calculation-sheet'!V18</f>
        <v>532.01133502716743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307.99266692770118</v>
      </c>
      <c r="AA32" s="2">
        <f t="shared" si="1"/>
        <v>61.352936101001184</v>
      </c>
    </row>
    <row r="33" spans="1:27" x14ac:dyDescent="0.25">
      <c r="A33" s="2">
        <v>2034</v>
      </c>
      <c r="B33" s="2">
        <f>B11/'Output-Calculation-sheet'!B10*'Output-Calculation-sheet'!B19</f>
        <v>12509.3348105606</v>
      </c>
      <c r="C33" s="2">
        <f>C11/'Output-Calculation-sheet'!C10*'Output-Calculation-sheet'!C19</f>
        <v>0</v>
      </c>
      <c r="D33" s="2">
        <f>D11/'Output-Calculation-sheet'!D10*'Output-Calculation-sheet'!D19</f>
        <v>8318.4733845196297</v>
      </c>
      <c r="E33" s="2">
        <f>E11/'Output-Calculation-sheet'!E10*'Output-Calculation-sheet'!E19</f>
        <v>10311.636709049135</v>
      </c>
      <c r="F33" s="2">
        <f>F11/'Output-Calculation-sheet'!F10*'Output-Calculation-sheet'!F19</f>
        <v>4721.5197332833113</v>
      </c>
      <c r="G33" s="2">
        <f>G11/'Output-Calculation-sheet'!G10*'Output-Calculation-sheet'!G19</f>
        <v>2831.3167129946578</v>
      </c>
      <c r="H33" s="2">
        <f>H11/'Output-Calculation-sheet'!H10*'Output-Calculation-sheet'!H19</f>
        <v>0</v>
      </c>
      <c r="I33" s="2">
        <f>I11/'Output-Calculation-sheet'!I10*'Output-Calculation-sheet'!I19</f>
        <v>3089.7659891938351</v>
      </c>
      <c r="J33" s="2">
        <f>J11/'Output-Calculation-sheet'!J10*'Output-Calculation-sheet'!J19</f>
        <v>2612.2999479530231</v>
      </c>
      <c r="K33" s="2">
        <f>K11/'Output-Calculation-sheet'!K10*'Output-Calculation-sheet'!K19</f>
        <v>3623.8218949124525</v>
      </c>
      <c r="L33" s="2">
        <f>L11/'Output-Calculation-sheet'!L10*'Output-Calculation-sheet'!L19</f>
        <v>2947.2637384019336</v>
      </c>
      <c r="M33" s="2">
        <f>M11/'Output-Calculation-sheet'!M10*'Output-Calculation-sheet'!M19</f>
        <v>0</v>
      </c>
      <c r="N33" s="2">
        <f>N11/'Output-Calculation-sheet'!N10*'Output-Calculation-sheet'!N19</f>
        <v>559.44985374013424</v>
      </c>
      <c r="O33" s="2">
        <f>O11/'Output-Calculation-sheet'!O10*'Output-Calculation-sheet'!O19</f>
        <v>0</v>
      </c>
      <c r="P33" s="2">
        <f>P11/'Output-Calculation-sheet'!P10*'Output-Calculation-sheet'!P19</f>
        <v>2769.3679310110333</v>
      </c>
      <c r="Q33" s="2">
        <f>Q11/'Output-Calculation-sheet'!Q10*'Output-Calculation-sheet'!Q19</f>
        <v>1790.2318739557575</v>
      </c>
      <c r="R33" s="2">
        <f>R11/'Output-Calculation-sheet'!R10*'Output-Calculation-sheet'!R19</f>
        <v>2618.4730337590281</v>
      </c>
      <c r="S33" s="2">
        <f>S11/'Output-Calculation-sheet'!S10*'Output-Calculation-sheet'!S19</f>
        <v>355.64174364038064</v>
      </c>
      <c r="T33" s="2">
        <f>T11/'Output-Calculation-sheet'!T10*'Output-Calculation-sheet'!T19</f>
        <v>767.98414662210814</v>
      </c>
      <c r="U33" s="2">
        <f>U11/'Output-Calculation-sheet'!U10*'Output-Calculation-sheet'!U19</f>
        <v>883.41099523870434</v>
      </c>
      <c r="V33" s="2">
        <f>V11/'Output-Calculation-sheet'!V10*'Output-Calculation-sheet'!V19</f>
        <v>602.41921194990528</v>
      </c>
      <c r="W33" s="2">
        <f>W11/'Output-Calculation-sheet'!W10*'Output-Calculation-sheet'!W19</f>
        <v>375.04543031444717</v>
      </c>
      <c r="X33" s="2">
        <f>X11/'Output-Calculation-sheet'!X10*'Output-Calculation-sheet'!X19</f>
        <v>0</v>
      </c>
      <c r="Y33" s="2">
        <f>Y11/'Output-Calculation-sheet'!Y10*'Output-Calculation-sheet'!Y19</f>
        <v>286.36444314986045</v>
      </c>
      <c r="AA33" s="2">
        <f t="shared" si="1"/>
        <v>61.973821584249954</v>
      </c>
    </row>
    <row r="34" spans="1:27" x14ac:dyDescent="0.25">
      <c r="A34" s="2">
        <v>2035</v>
      </c>
      <c r="B34" s="2">
        <f>B12/'Output-Calculation-sheet'!B11*'Output-Calculation-sheet'!B20</f>
        <v>169.39852782093104</v>
      </c>
      <c r="C34" s="2">
        <f>C12/'Output-Calculation-sheet'!C11*'Output-Calculation-sheet'!C20</f>
        <v>0</v>
      </c>
      <c r="D34" s="2">
        <f>D12/'Output-Calculation-sheet'!D11*'Output-Calculation-sheet'!D20</f>
        <v>8392.9162024000852</v>
      </c>
      <c r="E34" s="2">
        <f>E12/'Output-Calculation-sheet'!E11*'Output-Calculation-sheet'!E20</f>
        <v>3382.2623213026786</v>
      </c>
      <c r="F34" s="2">
        <f>F12/'Output-Calculation-sheet'!F11*'Output-Calculation-sheet'!F20</f>
        <v>5544.7839951602919</v>
      </c>
      <c r="G34" s="2">
        <f>G12/'Output-Calculation-sheet'!G11*'Output-Calculation-sheet'!G20</f>
        <v>2774.4125396555182</v>
      </c>
      <c r="H34" s="2">
        <f>H12/'Output-Calculation-sheet'!H11*'Output-Calculation-sheet'!H20</f>
        <v>0</v>
      </c>
      <c r="I34" s="2">
        <f>I12/'Output-Calculation-sheet'!I11*'Output-Calculation-sheet'!I20</f>
        <v>3363.2080872166271</v>
      </c>
      <c r="J34" s="2">
        <f>J12/'Output-Calculation-sheet'!J11*'Output-Calculation-sheet'!J20</f>
        <v>2818.3224844394849</v>
      </c>
      <c r="K34" s="2">
        <f>K12/'Output-Calculation-sheet'!K11*'Output-Calculation-sheet'!K20</f>
        <v>3976.2439370406432</v>
      </c>
      <c r="L34" s="2">
        <f>L12/'Output-Calculation-sheet'!L11*'Output-Calculation-sheet'!L20</f>
        <v>1518.9136253360225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640.51342626156691</v>
      </c>
      <c r="Q34" s="2">
        <f>Q12/'Output-Calculation-sheet'!Q11*'Output-Calculation-sheet'!Q20</f>
        <v>622.62404435054543</v>
      </c>
      <c r="R34" s="2">
        <f>R12/'Output-Calculation-sheet'!R11*'Output-Calculation-sheet'!R20</f>
        <v>2507.854072397944</v>
      </c>
      <c r="S34" s="2">
        <f>S12/'Output-Calculation-sheet'!S11*'Output-Calculation-sheet'!S20</f>
        <v>0.78364379429719011</v>
      </c>
      <c r="T34" s="2">
        <f>T12/'Output-Calculation-sheet'!T11*'Output-Calculation-sheet'!T20</f>
        <v>824.26511022231443</v>
      </c>
      <c r="U34" s="2">
        <f>U12/'Output-Calculation-sheet'!U11*'Output-Calculation-sheet'!U20</f>
        <v>347.05123140700402</v>
      </c>
      <c r="V34" s="2">
        <f>V12/'Output-Calculation-sheet'!V11*'Output-Calculation-sheet'!V20</f>
        <v>745.07846586695757</v>
      </c>
      <c r="W34" s="2">
        <f>W12/'Output-Calculation-sheet'!W11*'Output-Calculation-sheet'!W20</f>
        <v>441.26178211749897</v>
      </c>
      <c r="X34" s="2">
        <f>X12/'Output-Calculation-sheet'!X11*'Output-Calculation-sheet'!X20</f>
        <v>0</v>
      </c>
      <c r="Y34" s="2">
        <f>Y12/'Output-Calculation-sheet'!Y11*'Output-Calculation-sheet'!Y20</f>
        <v>93.842663950110193</v>
      </c>
      <c r="AA34" s="2">
        <f t="shared" si="1"/>
        <v>38.163736160740534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7.2590779845586151E-2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9.9154859044116288E-3</v>
      </c>
      <c r="Q45" s="2">
        <f>Q12/'Output-Calculation-sheet'!Q11*'Output-Calculation-sheet'!Q38*0.0114</f>
        <v>9.4038263697137203E-3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9.0011581110016389E-3</v>
      </c>
      <c r="V45" s="2">
        <f>V12/'Output-Calculation-sheet'!V11*'Output-Calculation-sheet'!V38*0.0114</f>
        <v>4.6271194902169945E-3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3.4682849599332677E-3</v>
      </c>
      <c r="AA45" s="2">
        <f t="shared" si="2"/>
        <v>0.82151007494634998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0.16300083131431631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197.97928803429161</v>
      </c>
      <c r="R54" s="2">
        <f>R10/'Output-Calculation-sheet'!R9*'Output-Calculation-sheet'!R45</f>
        <v>1482.068315422576</v>
      </c>
      <c r="S54" s="2">
        <f>S10/'Output-Calculation-sheet'!S9*'Output-Calculation-sheet'!S45</f>
        <v>0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18.472929731693505</v>
      </c>
      <c r="AA54" s="2">
        <f t="shared" si="3"/>
        <v>4.8767805349592352</v>
      </c>
    </row>
    <row r="55" spans="1:27" x14ac:dyDescent="0.25">
      <c r="A55" s="2">
        <v>2034</v>
      </c>
      <c r="B55" s="2">
        <f>B11/'Output-Calculation-sheet'!B10*'Output-Calculation-sheet'!B46</f>
        <v>1634.4351701280007</v>
      </c>
      <c r="C55" s="2">
        <f>C11/'Output-Calculation-sheet'!C10*'Output-Calculation-sheet'!C46</f>
        <v>0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557.19315383368075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412.97992738512721</v>
      </c>
      <c r="N55" s="2">
        <f>N11/'Output-Calculation-sheet'!N10*'Output-Calculation-sheet'!N46</f>
        <v>141.03949725467999</v>
      </c>
      <c r="O55" s="2">
        <f>O11/'Output-Calculation-sheet'!O10*'Output-Calculation-sheet'!O46</f>
        <v>0</v>
      </c>
      <c r="P55" s="2">
        <f>P11/'Output-Calculation-sheet'!P10*'Output-Calculation-sheet'!P46</f>
        <v>3067.4198917868157</v>
      </c>
      <c r="Q55" s="2">
        <f>Q11/'Output-Calculation-sheet'!Q10*'Output-Calculation-sheet'!Q46</f>
        <v>592.39188996560608</v>
      </c>
      <c r="R55" s="2">
        <f>R11/'Output-Calculation-sheet'!R10*'Output-Calculation-sheet'!R46</f>
        <v>3798.898726496433</v>
      </c>
      <c r="S55" s="2">
        <f>S11/'Output-Calculation-sheet'!S10*'Output-Calculation-sheet'!S46</f>
        <v>0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1443.4480855665813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39.416340275535816</v>
      </c>
      <c r="Y55" s="2">
        <f>Y11/'Output-Calculation-sheet'!Y10*'Output-Calculation-sheet'!Y46</f>
        <v>204.68361863620333</v>
      </c>
      <c r="AA55" s="2">
        <f t="shared" si="3"/>
        <v>40.898731300959049</v>
      </c>
    </row>
    <row r="56" spans="1:27" x14ac:dyDescent="0.25">
      <c r="A56" s="2">
        <v>2035</v>
      </c>
      <c r="B56" s="2">
        <f>B12/'Output-Calculation-sheet'!B11*'Output-Calculation-sheet'!B47</f>
        <v>466.89885607074029</v>
      </c>
      <c r="C56" s="2">
        <f>C12/'Output-Calculation-sheet'!C11*'Output-Calculation-sheet'!C47</f>
        <v>352.75261806043585</v>
      </c>
      <c r="D56" s="2">
        <f>D12/'Output-Calculation-sheet'!D11*'Output-Calculation-sheet'!D47</f>
        <v>16665.488349507094</v>
      </c>
      <c r="E56" s="2">
        <f>E12/'Output-Calculation-sheet'!E11*'Output-Calculation-sheet'!E47</f>
        <v>7647.5023328551715</v>
      </c>
      <c r="F56" s="2">
        <f>F12/'Output-Calculation-sheet'!F11*'Output-Calculation-sheet'!F47</f>
        <v>3920.6894511107139</v>
      </c>
      <c r="G56" s="2">
        <f>G12/'Output-Calculation-sheet'!G11*'Output-Calculation-sheet'!G47</f>
        <v>6295.8839478886002</v>
      </c>
      <c r="H56" s="2">
        <f>H12/'Output-Calculation-sheet'!H11*'Output-Calculation-sheet'!H47</f>
        <v>136.43132374156755</v>
      </c>
      <c r="I56" s="2">
        <f>I12/'Output-Calculation-sheet'!I11*'Output-Calculation-sheet'!I47</f>
        <v>5735.1425980438426</v>
      </c>
      <c r="J56" s="2">
        <f>J12/'Output-Calculation-sheet'!J11*'Output-Calculation-sheet'!J47</f>
        <v>4948.0161993735946</v>
      </c>
      <c r="K56" s="2">
        <f>K12/'Output-Calculation-sheet'!K11*'Output-Calculation-sheet'!K47</f>
        <v>6673.3726892155519</v>
      </c>
      <c r="L56" s="2">
        <f>L12/'Output-Calculation-sheet'!L11*'Output-Calculation-sheet'!L47</f>
        <v>2974.9146249199184</v>
      </c>
      <c r="M56" s="2">
        <f>M12/'Output-Calculation-sheet'!M11*'Output-Calculation-sheet'!M47</f>
        <v>126.44795630461871</v>
      </c>
      <c r="N56" s="2">
        <f>N12/'Output-Calculation-sheet'!N11*'Output-Calculation-sheet'!N47</f>
        <v>85.676385807513057</v>
      </c>
      <c r="O56" s="2">
        <f>O12/'Output-Calculation-sheet'!O11*'Output-Calculation-sheet'!O47</f>
        <v>64.137083047744071</v>
      </c>
      <c r="P56" s="2">
        <f>P12/'Output-Calculation-sheet'!P11*'Output-Calculation-sheet'!P47</f>
        <v>669.7301882804345</v>
      </c>
      <c r="Q56" s="2">
        <f>Q12/'Output-Calculation-sheet'!Q11*'Output-Calculation-sheet'!Q47</f>
        <v>637.64541963058821</v>
      </c>
      <c r="R56" s="2">
        <f>R12/'Output-Calculation-sheet'!R11*'Output-Calculation-sheet'!R47</f>
        <v>4704.553200823626</v>
      </c>
      <c r="S56" s="2">
        <f>S12/'Output-Calculation-sheet'!S11*'Output-Calculation-sheet'!S47</f>
        <v>44.795065376492275</v>
      </c>
      <c r="T56" s="2">
        <f>T12/'Output-Calculation-sheet'!T11*'Output-Calculation-sheet'!T47</f>
        <v>2059.7972128128172</v>
      </c>
      <c r="U56" s="2">
        <f>U12/'Output-Calculation-sheet'!U11*'Output-Calculation-sheet'!U47</f>
        <v>828.52765302436148</v>
      </c>
      <c r="V56" s="2">
        <f>V12/'Output-Calculation-sheet'!V11*'Output-Calculation-sheet'!V47</f>
        <v>1118.0175996318167</v>
      </c>
      <c r="W56" s="2">
        <f>W12/'Output-Calculation-sheet'!W11*'Output-Calculation-sheet'!W47</f>
        <v>598.73079224590879</v>
      </c>
      <c r="X56" s="2">
        <f>X12/'Output-Calculation-sheet'!X11*'Output-Calculation-sheet'!X47</f>
        <v>9.6680874949690647</v>
      </c>
      <c r="Y56" s="2">
        <f>Y12/'Output-Calculation-sheet'!Y11*'Output-Calculation-sheet'!Y47</f>
        <v>196.23191220675068</v>
      </c>
      <c r="AA56" s="2">
        <f t="shared" si="3"/>
        <v>66.961051547474895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8.5486183499568771</v>
      </c>
      <c r="C63" s="2">
        <f>C8*'Output-Calculation-sheet'!C52/10^9</f>
        <v>4.5671115819808357</v>
      </c>
      <c r="D63" s="2">
        <f>D8*'Output-Calculation-sheet'!D52/10^9</f>
        <v>2.9315044309615237</v>
      </c>
      <c r="E63" s="2">
        <f>E8*'Output-Calculation-sheet'!E52/10^9</f>
        <v>2.9147017460582441</v>
      </c>
      <c r="F63" s="2">
        <f>F8*'Output-Calculation-sheet'!F52/10^9</f>
        <v>1.2343759484985088</v>
      </c>
      <c r="G63" s="2">
        <f>G8*'Output-Calculation-sheet'!G52/10^9</f>
        <v>0.88746054262695651</v>
      </c>
      <c r="H63" s="2">
        <f>H8*'Output-Calculation-sheet'!H52/10^9</f>
        <v>1.4433693164944308</v>
      </c>
      <c r="I63" s="2">
        <f>I8*'Output-Calculation-sheet'!I52/10^9</f>
        <v>0.82554433967614116</v>
      </c>
      <c r="J63" s="2">
        <f>J8*'Output-Calculation-sheet'!J52/10^9</f>
        <v>1.1360049683843403</v>
      </c>
      <c r="K63" s="2">
        <f>K8*'Output-Calculation-sheet'!K52/10^9</f>
        <v>0.99808140334076356</v>
      </c>
      <c r="L63" s="2">
        <f>L8*'Output-Calculation-sheet'!L52/10^9</f>
        <v>1.3424675093805298</v>
      </c>
      <c r="M63" s="2">
        <f>M8*'Output-Calculation-sheet'!M52/10^9</f>
        <v>1.1824557223526826</v>
      </c>
      <c r="N63" s="2">
        <f>N8*'Output-Calculation-sheet'!N52/10^9</f>
        <v>1.0433457663747849</v>
      </c>
      <c r="O63" s="2">
        <f>O8*'Output-Calculation-sheet'!O52/10^9</f>
        <v>0.93439160341026617</v>
      </c>
      <c r="P63" s="2">
        <f>P8*'Output-Calculation-sheet'!P52/10^9</f>
        <v>0.68964732646794125</v>
      </c>
      <c r="Q63" s="2">
        <f>Q8*'Output-Calculation-sheet'!Q52/10^9</f>
        <v>0.78047867523635706</v>
      </c>
      <c r="R63" s="2">
        <f>R8*'Output-Calculation-sheet'!R52/10^9</f>
        <v>0.70071492514419731</v>
      </c>
      <c r="S63" s="2">
        <f>S8*'Output-Calculation-sheet'!S52/10^9</f>
        <v>0.51925458709451455</v>
      </c>
      <c r="T63" s="2">
        <f>T8*'Output-Calculation-sheet'!T52/10^9</f>
        <v>0.26640180485594411</v>
      </c>
      <c r="U63" s="2">
        <f>U8*'Output-Calculation-sheet'!U52/10^9</f>
        <v>0.18296190490312067</v>
      </c>
      <c r="V63" s="2">
        <f>V8*'Output-Calculation-sheet'!V52/10^9</f>
        <v>0.32471414391483877</v>
      </c>
      <c r="W63" s="2">
        <f>W8*'Output-Calculation-sheet'!W52/10^9</f>
        <v>0.11753130708569365</v>
      </c>
      <c r="X63" s="2">
        <f>X8*'Output-Calculation-sheet'!X52/10^9</f>
        <v>0.12110208029330191</v>
      </c>
      <c r="Y63" s="2">
        <f>Y8*'Output-Calculation-sheet'!Y52/10^9</f>
        <v>7.6685908439396766E-2</v>
      </c>
      <c r="AA63" s="2">
        <f t="shared" si="4"/>
        <v>33.768925892932195</v>
      </c>
    </row>
    <row r="64" spans="1:27" x14ac:dyDescent="0.25">
      <c r="A64" s="2">
        <v>2032</v>
      </c>
      <c r="B64" s="2">
        <f>B9*'Output-Calculation-sheet'!B53/10^9</f>
        <v>8.7177200414898586</v>
      </c>
      <c r="C64" s="2">
        <f>C9*'Output-Calculation-sheet'!C53/10^9</f>
        <v>4.6215326384411801</v>
      </c>
      <c r="D64" s="2">
        <f>D9*'Output-Calculation-sheet'!D53/10^9</f>
        <v>2.5819045679336248</v>
      </c>
      <c r="E64" s="2">
        <f>E9*'Output-Calculation-sheet'!E53/10^9</f>
        <v>2.643983875944135</v>
      </c>
      <c r="F64" s="2">
        <f>F9*'Output-Calculation-sheet'!F53/10^9</f>
        <v>1.1152158197330941</v>
      </c>
      <c r="G64" s="2">
        <f>G9*'Output-Calculation-sheet'!G53/10^9</f>
        <v>0.79377650480625106</v>
      </c>
      <c r="H64" s="2">
        <f>H9*'Output-Calculation-sheet'!H53/10^9</f>
        <v>1.4504337325488692</v>
      </c>
      <c r="I64" s="2">
        <f>I9*'Output-Calculation-sheet'!I53/10^9</f>
        <v>0.74205130005552589</v>
      </c>
      <c r="J64" s="2">
        <f>J9*'Output-Calculation-sheet'!J53/10^9</f>
        <v>0.98232514755599587</v>
      </c>
      <c r="K64" s="2">
        <f>K9*'Output-Calculation-sheet'!K53/10^9</f>
        <v>0.91146408814664304</v>
      </c>
      <c r="L64" s="2">
        <f>L9*'Output-Calculation-sheet'!L53/10^9</f>
        <v>1.1725958250994462</v>
      </c>
      <c r="M64" s="2">
        <f>M9*'Output-Calculation-sheet'!M53/10^9</f>
        <v>1.150749526049698</v>
      </c>
      <c r="N64" s="2">
        <f>N9*'Output-Calculation-sheet'!N53/10^9</f>
        <v>1.0360463890176388</v>
      </c>
      <c r="O64" s="2">
        <f>O9*'Output-Calculation-sheet'!O53/10^9</f>
        <v>0.93589496867976607</v>
      </c>
      <c r="P64" s="2">
        <f>P9*'Output-Calculation-sheet'!P53/10^9</f>
        <v>0.69491569794891339</v>
      </c>
      <c r="Q64" s="2">
        <f>Q9*'Output-Calculation-sheet'!Q53/10^9</f>
        <v>0.76800161342293438</v>
      </c>
      <c r="R64" s="2">
        <f>R9*'Output-Calculation-sheet'!R53/10^9</f>
        <v>0.65835874766322577</v>
      </c>
      <c r="S64" s="2">
        <f>S9*'Output-Calculation-sheet'!S53/10^9</f>
        <v>0.52976286183556831</v>
      </c>
      <c r="T64" s="2">
        <f>T9*'Output-Calculation-sheet'!T53/10^9</f>
        <v>0.23666189296652518</v>
      </c>
      <c r="U64" s="2">
        <f>U9*'Output-Calculation-sheet'!U53/10^9</f>
        <v>0.17813047253890144</v>
      </c>
      <c r="V64" s="2">
        <f>V9*'Output-Calculation-sheet'!V53/10^9</f>
        <v>0.28090166338304012</v>
      </c>
      <c r="W64" s="2">
        <f>W9*'Output-Calculation-sheet'!W53/10^9</f>
        <v>0.10437781458201091</v>
      </c>
      <c r="X64" s="2">
        <f>X9*'Output-Calculation-sheet'!X53/10^9</f>
        <v>0.11966767110908502</v>
      </c>
      <c r="Y64" s="2">
        <f>Y9*'Output-Calculation-sheet'!Y53/10^9</f>
        <v>7.3130541293078999E-2</v>
      </c>
      <c r="AA64" s="2">
        <f t="shared" si="4"/>
        <v>32.499603402245008</v>
      </c>
    </row>
    <row r="65" spans="1:27" x14ac:dyDescent="0.25">
      <c r="A65" s="2">
        <v>2033</v>
      </c>
      <c r="B65" s="2">
        <f>B10*'Output-Calculation-sheet'!B54/10^9</f>
        <v>8.3790854297829238</v>
      </c>
      <c r="C65" s="2">
        <f>C10*'Output-Calculation-sheet'!C54/10^9</f>
        <v>4.3312994225997565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1.3601742041920957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0.79247200266825357</v>
      </c>
      <c r="L65" s="2">
        <f>L10*'Output-Calculation-sheet'!L54/10^9</f>
        <v>0.93600693838293347</v>
      </c>
      <c r="M65" s="2">
        <f>M10*'Output-Calculation-sheet'!M54/10^9</f>
        <v>1.0372194536018473</v>
      </c>
      <c r="N65" s="2">
        <f>N10*'Output-Calculation-sheet'!N54/10^9</f>
        <v>0.95177594881362682</v>
      </c>
      <c r="O65" s="2">
        <f>O10*'Output-Calculation-sheet'!O54/10^9</f>
        <v>0.86801155697794841</v>
      </c>
      <c r="P65" s="2">
        <f>P10*'Output-Calculation-sheet'!P54/10^9</f>
        <v>0.67047175333165188</v>
      </c>
      <c r="Q65" s="2">
        <f>Q10*'Output-Calculation-sheet'!Q54/10^9</f>
        <v>0.73036902172265494</v>
      </c>
      <c r="R65" s="2">
        <f>R10*'Output-Calculation-sheet'!R54/10^9</f>
        <v>0.59027638227329216</v>
      </c>
      <c r="S65" s="2">
        <f>S10*'Output-Calculation-sheet'!S54/10^9</f>
        <v>0.5020604371017513</v>
      </c>
      <c r="T65" s="2">
        <f>T10*'Output-Calculation-sheet'!T54/10^9</f>
        <v>0.19735617319564203</v>
      </c>
      <c r="U65" s="2">
        <f>U10*'Output-Calculation-sheet'!U54/10^9</f>
        <v>0.17041204826910561</v>
      </c>
      <c r="V65" s="2">
        <f>V10*'Output-Calculation-sheet'!V54/10^9</f>
        <v>0.21841366377589091</v>
      </c>
      <c r="W65" s="2">
        <f>W10*'Output-Calculation-sheet'!W54/10^9</f>
        <v>8.3154332414876769E-2</v>
      </c>
      <c r="X65" s="2">
        <f>X10*'Output-Calculation-sheet'!X54/10^9</f>
        <v>0.10875319213798595</v>
      </c>
      <c r="Y65" s="2">
        <f>Y10*'Output-Calculation-sheet'!Y54/10^9</f>
        <v>6.844182255675739E-2</v>
      </c>
      <c r="AA65" s="2">
        <f t="shared" si="4"/>
        <v>29.250555978868892</v>
      </c>
    </row>
    <row r="66" spans="1:27" x14ac:dyDescent="0.25">
      <c r="A66" s="2">
        <v>2034</v>
      </c>
      <c r="B66" s="2">
        <f>B11*'Output-Calculation-sheet'!B55/10^9</f>
        <v>7.6027662096569832</v>
      </c>
      <c r="C66" s="2">
        <f>C11*'Output-Calculation-sheet'!C55/10^9</f>
        <v>3.8244938830513528</v>
      </c>
      <c r="D66" s="2">
        <f>D11*'Output-Calculation-sheet'!D55/10^9</f>
        <v>1.7158236690346567</v>
      </c>
      <c r="E66" s="2">
        <f>E11*'Output-Calculation-sheet'!E55/10^9</f>
        <v>2.0777425758072541</v>
      </c>
      <c r="F66" s="2">
        <f>F11*'Output-Calculation-sheet'!F55/10^9</f>
        <v>0.79851033657371129</v>
      </c>
      <c r="G66" s="2">
        <f>G11*'Output-Calculation-sheet'!G55/10^9</f>
        <v>0.57075271584551801</v>
      </c>
      <c r="H66" s="2">
        <f>H11*'Output-Calculation-sheet'!H55/10^9</f>
        <v>1.1910272188944298</v>
      </c>
      <c r="I66" s="2">
        <f>I11*'Output-Calculation-sheet'!I55/10^9</f>
        <v>0.55817996115542623</v>
      </c>
      <c r="J66" s="2">
        <f>J11*'Output-Calculation-sheet'!J55/10^9</f>
        <v>0.57394126629281683</v>
      </c>
      <c r="K66" s="2">
        <f>K11*'Output-Calculation-sheet'!K55/10^9</f>
        <v>0.68648220469693078</v>
      </c>
      <c r="L66" s="2">
        <f>L11*'Output-Calculation-sheet'!L55/10^9</f>
        <v>0.72698973894356389</v>
      </c>
      <c r="M66" s="2">
        <f>M11*'Output-Calculation-sheet'!M55/10^9</f>
        <v>0.86817654885383844</v>
      </c>
      <c r="N66" s="2">
        <f>N11*'Output-Calculation-sheet'!N55/10^9</f>
        <v>0.8201758857088991</v>
      </c>
      <c r="O66" s="2">
        <f>O11*'Output-Calculation-sheet'!O55/10^9</f>
        <v>0.75382061975396231</v>
      </c>
      <c r="P66" s="2">
        <f>P11*'Output-Calculation-sheet'!P55/10^9</f>
        <v>0.62943294254715454</v>
      </c>
      <c r="Q66" s="2">
        <f>Q11*'Output-Calculation-sheet'!Q55/10^9</f>
        <v>0.66581216726121994</v>
      </c>
      <c r="R66" s="2">
        <f>R11*'Output-Calculation-sheet'!R55/10^9</f>
        <v>0.5142779937172246</v>
      </c>
      <c r="S66" s="2">
        <f>S11*'Output-Calculation-sheet'!S55/10^9</f>
        <v>0.44858157063089976</v>
      </c>
      <c r="T66" s="2">
        <f>T11*'Output-Calculation-sheet'!T55/10^9</f>
        <v>0.16118968263186062</v>
      </c>
      <c r="U66" s="2">
        <f>U11*'Output-Calculation-sheet'!U55/10^9</f>
        <v>0.16458161297134574</v>
      </c>
      <c r="V66" s="2">
        <f>V11*'Output-Calculation-sheet'!V55/10^9</f>
        <v>0.15291352640295083</v>
      </c>
      <c r="W66" s="2">
        <f>W11*'Output-Calculation-sheet'!W55/10^9</f>
        <v>6.9237788733543665E-2</v>
      </c>
      <c r="X66" s="2">
        <f>X11*'Output-Calculation-sheet'!X55/10^9</f>
        <v>9.2757597746707846E-2</v>
      </c>
      <c r="Y66" s="2">
        <f>Y11*'Output-Calculation-sheet'!Y55/10^9</f>
        <v>6.7697734650830982E-2</v>
      </c>
      <c r="AA66" s="2">
        <f t="shared" si="4"/>
        <v>25.735365451563084</v>
      </c>
    </row>
    <row r="67" spans="1:27" x14ac:dyDescent="0.25">
      <c r="A67" s="2">
        <v>2035</v>
      </c>
      <c r="B67" s="2">
        <f>B12*'Output-Calculation-sheet'!B56/10^9</f>
        <v>6.7672217213363286</v>
      </c>
      <c r="C67" s="2">
        <f>C12*'Output-Calculation-sheet'!C56/10^9</f>
        <v>3.1570736428967794</v>
      </c>
      <c r="D67" s="2">
        <f>D12*'Output-Calculation-sheet'!D56/10^9</f>
        <v>1.8515799095744381</v>
      </c>
      <c r="E67" s="2">
        <f>E12*'Output-Calculation-sheet'!E56/10^9</f>
        <v>2.1096850779174554</v>
      </c>
      <c r="F67" s="2">
        <f>F12*'Output-Calculation-sheet'!F56/10^9</f>
        <v>0.90303875402569589</v>
      </c>
      <c r="G67" s="2">
        <f>G12*'Output-Calculation-sheet'!G56/10^9</f>
        <v>0.63378447030146856</v>
      </c>
      <c r="H67" s="2">
        <f>H12*'Output-Calculation-sheet'!H56/10^9</f>
        <v>1.0011580352238132</v>
      </c>
      <c r="I67" s="2">
        <f>I12*'Output-Calculation-sheet'!I56/10^9</f>
        <v>0.63545835225583647</v>
      </c>
      <c r="J67" s="2">
        <f>J12*'Output-Calculation-sheet'!J56/10^9</f>
        <v>0.57483453728222622</v>
      </c>
      <c r="K67" s="2">
        <f>K12*'Output-Calculation-sheet'!K56/10^9</f>
        <v>0.7137159834914274</v>
      </c>
      <c r="L67" s="2">
        <f>L12*'Output-Calculation-sheet'!L56/10^9</f>
        <v>0.65505513174859409</v>
      </c>
      <c r="M67" s="2">
        <f>M12*'Output-Calculation-sheet'!M56/10^9</f>
        <v>0.69639791331071688</v>
      </c>
      <c r="N67" s="2">
        <f>N12*'Output-Calculation-sheet'!N56/10^9</f>
        <v>0.6781012985923468</v>
      </c>
      <c r="O67" s="2">
        <f>O12*'Output-Calculation-sheet'!O56/10^9</f>
        <v>0.61367672346067337</v>
      </c>
      <c r="P67" s="2">
        <f>P12*'Output-Calculation-sheet'!P56/10^9</f>
        <v>0.59898933754459471</v>
      </c>
      <c r="Q67" s="2">
        <f>Q12*'Output-Calculation-sheet'!Q56/10^9</f>
        <v>0.61104738377601153</v>
      </c>
      <c r="R67" s="2">
        <f>R12*'Output-Calculation-sheet'!R56/10^9</f>
        <v>0.51692377890619301</v>
      </c>
      <c r="S67" s="2">
        <f>S12*'Output-Calculation-sheet'!S56/10^9</f>
        <v>0.38887394446579859</v>
      </c>
      <c r="T67" s="2">
        <f>T12*'Output-Calculation-sheet'!T56/10^9</f>
        <v>0.15735442395134216</v>
      </c>
      <c r="U67" s="2">
        <f>U12*'Output-Calculation-sheet'!U56/10^9</f>
        <v>0.17287931493662581</v>
      </c>
      <c r="V67" s="2">
        <f>V12*'Output-Calculation-sheet'!V56/10^9</f>
        <v>0.12058322052716779</v>
      </c>
      <c r="W67" s="2">
        <f>W12*'Output-Calculation-sheet'!W56/10^9</f>
        <v>7.8153835316487064E-2</v>
      </c>
      <c r="X67" s="2">
        <f>X12*'Output-Calculation-sheet'!X56/10^9</f>
        <v>7.398441711351747E-2</v>
      </c>
      <c r="Y67" s="2">
        <f>Y12*'Output-Calculation-sheet'!Y56/10^9</f>
        <v>6.9024362234439557E-2</v>
      </c>
      <c r="AA67" s="2">
        <f t="shared" si="4"/>
        <v>23.778595570189974</v>
      </c>
    </row>
    <row r="68" spans="1:27" x14ac:dyDescent="0.25">
      <c r="B68" s="2">
        <f>SUM(B60:B67)</f>
        <v>40.015411752222974</v>
      </c>
      <c r="C68" s="2">
        <f t="shared" ref="C68:Y68" si="5">SUM(C60:C67)</f>
        <v>20.501511168969905</v>
      </c>
      <c r="D68" s="2">
        <f t="shared" si="5"/>
        <v>11.114185684765417</v>
      </c>
      <c r="E68" s="2">
        <f t="shared" si="5"/>
        <v>12.035656737393307</v>
      </c>
      <c r="F68" s="2">
        <f t="shared" si="5"/>
        <v>4.9806553582769828</v>
      </c>
      <c r="G68" s="2">
        <f t="shared" si="5"/>
        <v>3.5239705497301488</v>
      </c>
      <c r="H68" s="2">
        <f t="shared" si="5"/>
        <v>6.4461625073536393</v>
      </c>
      <c r="I68" s="2">
        <f t="shared" si="5"/>
        <v>3.3826631505784701</v>
      </c>
      <c r="J68" s="2">
        <f t="shared" si="5"/>
        <v>4.009851532626417</v>
      </c>
      <c r="K68" s="2">
        <f t="shared" si="5"/>
        <v>4.1022156823440179</v>
      </c>
      <c r="L68" s="2">
        <f t="shared" si="5"/>
        <v>4.8331151435550677</v>
      </c>
      <c r="M68" s="2">
        <f t="shared" si="5"/>
        <v>4.9349991641687829</v>
      </c>
      <c r="N68" s="2">
        <f t="shared" si="5"/>
        <v>4.5294452885072962</v>
      </c>
      <c r="O68" s="2">
        <f t="shared" si="5"/>
        <v>4.1057954722826162</v>
      </c>
      <c r="P68" s="2">
        <f t="shared" si="5"/>
        <v>3.2834570578402555</v>
      </c>
      <c r="Q68" s="2">
        <f t="shared" si="5"/>
        <v>3.5557088614191779</v>
      </c>
      <c r="R68" s="2">
        <f t="shared" si="5"/>
        <v>2.980551827704133</v>
      </c>
      <c r="S68" s="2">
        <f t="shared" si="5"/>
        <v>2.3885334011285329</v>
      </c>
      <c r="T68" s="2">
        <f t="shared" si="5"/>
        <v>1.0189639776013142</v>
      </c>
      <c r="U68" s="2">
        <f t="shared" si="5"/>
        <v>0.86896535361909921</v>
      </c>
      <c r="V68" s="2">
        <f t="shared" si="5"/>
        <v>1.0975262180038885</v>
      </c>
      <c r="W68" s="2">
        <f t="shared" si="5"/>
        <v>0.45245507813261204</v>
      </c>
      <c r="X68" s="2">
        <f t="shared" si="5"/>
        <v>0.51626495840059816</v>
      </c>
      <c r="Y68" s="2">
        <f t="shared" si="5"/>
        <v>0.35498036917450371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49.014673818926141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4.9014673818926144E-2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526.27055398205096</v>
      </c>
      <c r="Q76" s="2">
        <f>Q10/'Output-Calculation-sheet'!Q9*'Output-Calculation-sheet'!Q63</f>
        <v>62.976703884508076</v>
      </c>
      <c r="R76" s="2">
        <f>R10/'Output-Calculation-sheet'!R9*'Output-Calculation-sheet'!R63</f>
        <v>400.91860927968247</v>
      </c>
      <c r="S76" s="2">
        <f>S10/'Output-Calculation-sheet'!S9*'Output-Calculation-sheet'!S63</f>
        <v>0</v>
      </c>
      <c r="T76" s="2">
        <f>T10/'Output-Calculation-sheet'!T9*'Output-Calculation-sheet'!T63</f>
        <v>26.385529620441496</v>
      </c>
      <c r="U76" s="2">
        <f>U10/'Output-Calculation-sheet'!U9*'Output-Calculation-sheet'!U63</f>
        <v>142.47594352863388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6.7665842338822184</v>
      </c>
      <c r="AA76" s="2">
        <f t="shared" si="6"/>
        <v>1.2765675605434519</v>
      </c>
    </row>
    <row r="77" spans="1:27" x14ac:dyDescent="0.25">
      <c r="A77" s="2">
        <v>2034</v>
      </c>
      <c r="B77" s="2">
        <f>B11/'Output-Calculation-sheet'!B10*'Output-Calculation-sheet'!B64</f>
        <v>485.86309490671704</v>
      </c>
      <c r="C77" s="2">
        <f>C11/'Output-Calculation-sheet'!C10*'Output-Calculation-sheet'!C64</f>
        <v>0</v>
      </c>
      <c r="D77" s="2">
        <f>D11/'Output-Calculation-sheet'!D10*'Output-Calculation-sheet'!D64</f>
        <v>1650.7895799776634</v>
      </c>
      <c r="E77" s="2">
        <f>E11/'Output-Calculation-sheet'!E10*'Output-Calculation-sheet'!E64</f>
        <v>2063.2754050440622</v>
      </c>
      <c r="F77" s="2">
        <f>F11/'Output-Calculation-sheet'!F10*'Output-Calculation-sheet'!F64</f>
        <v>134.24469677211633</v>
      </c>
      <c r="G77" s="2">
        <f>G11/'Output-Calculation-sheet'!G10*'Output-Calculation-sheet'!G64</f>
        <v>874.32760516531641</v>
      </c>
      <c r="H77" s="2">
        <f>H11/'Output-Calculation-sheet'!H10*'Output-Calculation-sheet'!H64</f>
        <v>136.42635574551744</v>
      </c>
      <c r="I77" s="2">
        <f>I11/'Output-Calculation-sheet'!I10*'Output-Calculation-sheet'!I64</f>
        <v>519.84711180537454</v>
      </c>
      <c r="J77" s="2">
        <f>J11/'Output-Calculation-sheet'!J10*'Output-Calculation-sheet'!J64</f>
        <v>363.72724617645446</v>
      </c>
      <c r="K77" s="2">
        <f>K11/'Output-Calculation-sheet'!K10*'Output-Calculation-sheet'!K64</f>
        <v>790.83932110309843</v>
      </c>
      <c r="L77" s="2">
        <f>L11/'Output-Calculation-sheet'!L10*'Output-Calculation-sheet'!L64</f>
        <v>326.99217891786475</v>
      </c>
      <c r="M77" s="2">
        <f>M11/'Output-Calculation-sheet'!M10*'Output-Calculation-sheet'!M64</f>
        <v>98.256359593465163</v>
      </c>
      <c r="N77" s="2">
        <f>N11/'Output-Calculation-sheet'!N10*'Output-Calculation-sheet'!N64</f>
        <v>32.496146149908441</v>
      </c>
      <c r="O77" s="2">
        <f>O11/'Output-Calculation-sheet'!O10*'Output-Calculation-sheet'!O64</f>
        <v>0</v>
      </c>
      <c r="P77" s="2">
        <f>P11/'Output-Calculation-sheet'!P10*'Output-Calculation-sheet'!P64</f>
        <v>669.12323540877503</v>
      </c>
      <c r="Q77" s="2">
        <f>Q11/'Output-Calculation-sheet'!Q10*'Output-Calculation-sheet'!Q64</f>
        <v>150.52413800253456</v>
      </c>
      <c r="R77" s="2">
        <f>R11/'Output-Calculation-sheet'!R10*'Output-Calculation-sheet'!R64</f>
        <v>831.33206361767748</v>
      </c>
      <c r="S77" s="2">
        <f>S11/'Output-Calculation-sheet'!S10*'Output-Calculation-sheet'!S64</f>
        <v>0</v>
      </c>
      <c r="T77" s="2">
        <f>T11/'Output-Calculation-sheet'!T10*'Output-Calculation-sheet'!T64</f>
        <v>230.83321400443285</v>
      </c>
      <c r="U77" s="2">
        <f>U11/'Output-Calculation-sheet'!U10*'Output-Calculation-sheet'!U64</f>
        <v>306.77876646419372</v>
      </c>
      <c r="V77" s="2">
        <f>V11/'Output-Calculation-sheet'!V10*'Output-Calculation-sheet'!V64</f>
        <v>119.4524148653413</v>
      </c>
      <c r="W77" s="2">
        <f>W11/'Output-Calculation-sheet'!W10*'Output-Calculation-sheet'!W64</f>
        <v>26.223444101720776</v>
      </c>
      <c r="X77" s="2">
        <f>X11/'Output-Calculation-sheet'!X10*'Output-Calculation-sheet'!X64</f>
        <v>9.795080730239782</v>
      </c>
      <c r="Y77" s="2">
        <f>Y11/'Output-Calculation-sheet'!Y10*'Output-Calculation-sheet'!Y64</f>
        <v>44.671822871169759</v>
      </c>
      <c r="AA77" s="2">
        <f t="shared" si="6"/>
        <v>9.8658192814236472</v>
      </c>
    </row>
    <row r="78" spans="1:27" x14ac:dyDescent="0.25">
      <c r="A78" s="2">
        <v>2035</v>
      </c>
      <c r="B78" s="2">
        <f>B12/'Output-Calculation-sheet'!B11*'Output-Calculation-sheet'!B65</f>
        <v>85.509190497527001</v>
      </c>
      <c r="C78" s="2">
        <f>C12/'Output-Calculation-sheet'!C11*'Output-Calculation-sheet'!C65</f>
        <v>71.274118726057296</v>
      </c>
      <c r="D78" s="2">
        <f>D12/'Output-Calculation-sheet'!D11*'Output-Calculation-sheet'!D65</f>
        <v>3662.7458368070775</v>
      </c>
      <c r="E78" s="2">
        <f>E12/'Output-Calculation-sheet'!E11*'Output-Calculation-sheet'!E65</f>
        <v>1176.6105785313448</v>
      </c>
      <c r="F78" s="2">
        <f>F12/'Output-Calculation-sheet'!F11*'Output-Calculation-sheet'!F65</f>
        <v>935.08042929986334</v>
      </c>
      <c r="G78" s="2">
        <f>G12/'Output-Calculation-sheet'!G11*'Output-Calculation-sheet'!G65</f>
        <v>1383.7105524793824</v>
      </c>
      <c r="H78" s="2">
        <f>H12/'Output-Calculation-sheet'!H11*'Output-Calculation-sheet'!H65</f>
        <v>31.44881227879603</v>
      </c>
      <c r="I78" s="2">
        <f>I12/'Output-Calculation-sheet'!I11*'Output-Calculation-sheet'!I65</f>
        <v>1150.4279843445934</v>
      </c>
      <c r="J78" s="2">
        <f>J12/'Output-Calculation-sheet'!J11*'Output-Calculation-sheet'!J65</f>
        <v>1091.2089872076676</v>
      </c>
      <c r="K78" s="2">
        <f>K12/'Output-Calculation-sheet'!K11*'Output-Calculation-sheet'!K65</f>
        <v>1466.6746880949554</v>
      </c>
      <c r="L78" s="2">
        <f>L12/'Output-Calculation-sheet'!L11*'Output-Calculation-sheet'!L65</f>
        <v>508.70029928363226</v>
      </c>
      <c r="M78" s="2">
        <f>M12/'Output-Calculation-sheet'!M11*'Output-Calculation-sheet'!M65</f>
        <v>28.11263767933065</v>
      </c>
      <c r="N78" s="2">
        <f>N12/'Output-Calculation-sheet'!N11*'Output-Calculation-sheet'!N65</f>
        <v>18.9373057596958</v>
      </c>
      <c r="O78" s="2">
        <f>O12/'Output-Calculation-sheet'!O11*'Output-Calculation-sheet'!O65</f>
        <v>12.352977913031255</v>
      </c>
      <c r="P78" s="2">
        <f>P12/'Output-Calculation-sheet'!P11*'Output-Calculation-sheet'!P65</f>
        <v>142.47596487227679</v>
      </c>
      <c r="Q78" s="2">
        <f>Q12/'Output-Calculation-sheet'!Q11*'Output-Calculation-sheet'!Q65</f>
        <v>114.80999631255484</v>
      </c>
      <c r="R78" s="2">
        <f>R12/'Output-Calculation-sheet'!R11*'Output-Calculation-sheet'!R65</f>
        <v>951.05925553760267</v>
      </c>
      <c r="S78" s="2">
        <f>S12/'Output-Calculation-sheet'!S11*'Output-Calculation-sheet'!S65</f>
        <v>9.0993349668392742</v>
      </c>
      <c r="T78" s="2">
        <f>T12/'Output-Calculation-sheet'!T11*'Output-Calculation-sheet'!T65</f>
        <v>378.21036433899474</v>
      </c>
      <c r="U78" s="2">
        <f>U12/'Output-Calculation-sheet'!U11*'Output-Calculation-sheet'!U65</f>
        <v>139.52216178864751</v>
      </c>
      <c r="V78" s="2">
        <f>V12/'Output-Calculation-sheet'!V11*'Output-Calculation-sheet'!V65</f>
        <v>197.94675118462195</v>
      </c>
      <c r="W78" s="2">
        <f>W12/'Output-Calculation-sheet'!W11*'Output-Calculation-sheet'!W65</f>
        <v>133.44087320648705</v>
      </c>
      <c r="X78" s="2">
        <f>X12/'Output-Calculation-sheet'!X11*'Output-Calculation-sheet'!X65</f>
        <v>1.8620526339495311</v>
      </c>
      <c r="Y78" s="2">
        <f>Y12/'Output-Calculation-sheet'!Y11*'Output-Calculation-sheet'!Y65</f>
        <v>32.027380544483186</v>
      </c>
      <c r="AA78" s="2">
        <f t="shared" si="6"/>
        <v>13.723248534289413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92.140921163140192</v>
      </c>
      <c r="E89" s="2">
        <f>E12/'Output-Calculation-sheet'!E11*'Output-Calculation-sheet'!E74</f>
        <v>44.573285870096754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34.490119778435613</v>
      </c>
      <c r="H89" s="2">
        <f>H12/'Output-Calculation-sheet'!H11*'Output-Calculation-sheet'!H74</f>
        <v>5.5686254588394917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19.188273782472574</v>
      </c>
      <c r="K89" s="2">
        <f>K12/'Output-Calculation-sheet'!K11*'Output-Calculation-sheet'!K74</f>
        <v>24.137460707233103</v>
      </c>
      <c r="L89" s="2">
        <f>L12/'Output-Calculation-sheet'!L11*'Output-Calculation-sheet'!L74</f>
        <v>10.101577673751844</v>
      </c>
      <c r="M89" s="2">
        <f>M12/'Output-Calculation-sheet'!M11*'Output-Calculation-sheet'!M74</f>
        <v>2.8738171887413344</v>
      </c>
      <c r="N89" s="2">
        <f>N12/'Output-Calculation-sheet'!N11*'Output-Calculation-sheet'!N74</f>
        <v>2.8244962354125183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2.6093383958977969</v>
      </c>
      <c r="Q89" s="2">
        <f>Q12/'Output-Calculation-sheet'!Q11*'Output-Calculation-sheet'!Q74</f>
        <v>4.9493822998493258</v>
      </c>
      <c r="R89" s="2">
        <f>R12/'Output-Calculation-sheet'!R11*'Output-Calculation-sheet'!R74</f>
        <v>14.724736152812602</v>
      </c>
      <c r="S89" s="2">
        <f>S12/'Output-Calculation-sheet'!S11*'Output-Calculation-sheet'!S74</f>
        <v>2.6984979142465226</v>
      </c>
      <c r="T89" s="2">
        <f>T12/'Output-Calculation-sheet'!T11*'Output-Calculation-sheet'!T74</f>
        <v>4.5396647358495832</v>
      </c>
      <c r="U89" s="2">
        <f>U12/'Output-Calculation-sheet'!U11*'Output-Calculation-sheet'!U74</f>
        <v>5.263835152632538</v>
      </c>
      <c r="V89" s="2">
        <f>V12/'Output-Calculation-sheet'!V11*'Output-Calculation-sheet'!V74</f>
        <v>1.6235506983217523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1.825413136806983</v>
      </c>
      <c r="AA89" s="2">
        <f t="shared" si="7"/>
        <v>0.36834157130480494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22326518444.388229</v>
      </c>
      <c r="C96" s="2">
        <f>C8/'Output-Calculation-sheet'!C7*'Output-Calculation-sheet'!C79</f>
        <v>9242902287.342762</v>
      </c>
      <c r="D96" s="2">
        <f>D8/'Output-Calculation-sheet'!D7*'Output-Calculation-sheet'!D79</f>
        <v>7368008244.0552197</v>
      </c>
      <c r="E96" s="2">
        <f>E8/'Output-Calculation-sheet'!E7*'Output-Calculation-sheet'!E79</f>
        <v>8903130400.7067432</v>
      </c>
      <c r="F96" s="2">
        <f>F8/'Output-Calculation-sheet'!F7*'Output-Calculation-sheet'!F79</f>
        <v>5255469400.1160297</v>
      </c>
      <c r="G96" s="2">
        <f>G8/'Output-Calculation-sheet'!G7*'Output-Calculation-sheet'!G79</f>
        <v>2673209187.3078375</v>
      </c>
      <c r="H96" s="2">
        <f>H8/'Output-Calculation-sheet'!H7*'Output-Calculation-sheet'!H79</f>
        <v>3337954970.8958168</v>
      </c>
      <c r="I96" s="2">
        <f>I8/'Output-Calculation-sheet'!I7*'Output-Calculation-sheet'!I79</f>
        <v>3194878511.9901009</v>
      </c>
      <c r="J96" s="2">
        <f>J8/'Output-Calculation-sheet'!J7*'Output-Calculation-sheet'!J79</f>
        <v>1803299390.493365</v>
      </c>
      <c r="K96" s="2">
        <f>K8/'Output-Calculation-sheet'!K7*'Output-Calculation-sheet'!K79</f>
        <v>3071639106.5643697</v>
      </c>
      <c r="L96" s="2">
        <f>L8/'Output-Calculation-sheet'!L7*'Output-Calculation-sheet'!L79</f>
        <v>2209188687.4329195</v>
      </c>
      <c r="M96" s="2">
        <f>M8/'Output-Calculation-sheet'!M7*'Output-Calculation-sheet'!M79</f>
        <v>2233297913.3154531</v>
      </c>
      <c r="N96" s="2">
        <f>N8/'Output-Calculation-sheet'!N7*'Output-Calculation-sheet'!N79</f>
        <v>1589498651.8251889</v>
      </c>
      <c r="O96" s="2">
        <f>O8/'Output-Calculation-sheet'!O7*'Output-Calculation-sheet'!O79</f>
        <v>1249206627.0574594</v>
      </c>
      <c r="P96" s="2">
        <f>P8/'Output-Calculation-sheet'!P7*'Output-Calculation-sheet'!P79</f>
        <v>2655516064.4265175</v>
      </c>
      <c r="Q96" s="2">
        <f>Q8/'Output-Calculation-sheet'!Q7*'Output-Calculation-sheet'!Q79</f>
        <v>1446360165.2860737</v>
      </c>
      <c r="R96" s="2">
        <f>R8/'Output-Calculation-sheet'!R7*'Output-Calculation-sheet'!R79</f>
        <v>1929585413.7108347</v>
      </c>
      <c r="S96" s="2">
        <f>S8/'Output-Calculation-sheet'!S7*'Output-Calculation-sheet'!S79</f>
        <v>1214567132.5257387</v>
      </c>
      <c r="T96" s="2">
        <f>T8/'Output-Calculation-sheet'!T7*'Output-Calculation-sheet'!T79</f>
        <v>779919242.1241219</v>
      </c>
      <c r="U96" s="2">
        <f>U8/'Output-Calculation-sheet'!U7*'Output-Calculation-sheet'!U79</f>
        <v>723210248.69176424</v>
      </c>
      <c r="V96" s="2">
        <f>V8/'Output-Calculation-sheet'!V7*'Output-Calculation-sheet'!V79</f>
        <v>465625138.44873983</v>
      </c>
      <c r="W96" s="2">
        <f>W8/'Output-Calculation-sheet'!W7*'Output-Calculation-sheet'!W79</f>
        <v>556997448.26083875</v>
      </c>
      <c r="X96" s="2">
        <f>X8/'Output-Calculation-sheet'!X7*'Output-Calculation-sheet'!X79</f>
        <v>254939502.84712419</v>
      </c>
      <c r="Y96" s="2">
        <f>Y8/'Output-Calculation-sheet'!Y7*'Output-Calculation-sheet'!Y79</f>
        <v>285347147.94724053</v>
      </c>
      <c r="AA96" s="2">
        <f t="shared" si="8"/>
        <v>84.770269327760474</v>
      </c>
    </row>
    <row r="97" spans="1:27" x14ac:dyDescent="0.25">
      <c r="A97" s="2">
        <v>2032</v>
      </c>
      <c r="B97" s="2">
        <f>B9/'Output-Calculation-sheet'!B8*'Output-Calculation-sheet'!B80</f>
        <v>30144656500.388237</v>
      </c>
      <c r="C97" s="2">
        <f>C9/'Output-Calculation-sheet'!C8*'Output-Calculation-sheet'!C80</f>
        <v>12490388141.950571</v>
      </c>
      <c r="D97" s="2">
        <f>D9/'Output-Calculation-sheet'!D8*'Output-Calculation-sheet'!D80</f>
        <v>9872600721.3159103</v>
      </c>
      <c r="E97" s="2">
        <f>E9/'Output-Calculation-sheet'!E8*'Output-Calculation-sheet'!E80</f>
        <v>11912816760.366003</v>
      </c>
      <c r="F97" s="2">
        <f>F9/'Output-Calculation-sheet'!F8*'Output-Calculation-sheet'!F80</f>
        <v>7058680143.291357</v>
      </c>
      <c r="G97" s="2">
        <f>G9/'Output-Calculation-sheet'!G8*'Output-Calculation-sheet'!G80</f>
        <v>3533461604.2610083</v>
      </c>
      <c r="H97" s="2">
        <f>H9/'Output-Calculation-sheet'!H8*'Output-Calculation-sheet'!H80</f>
        <v>4497528413.1804609</v>
      </c>
      <c r="I97" s="2">
        <f>I9/'Output-Calculation-sheet'!I8*'Output-Calculation-sheet'!I80</f>
        <v>4293057388.9905148</v>
      </c>
      <c r="J97" s="2">
        <f>J9/'Output-Calculation-sheet'!J8*'Output-Calculation-sheet'!J80</f>
        <v>2449674518.1345215</v>
      </c>
      <c r="K97" s="2">
        <f>K9/'Output-Calculation-sheet'!K8*'Output-Calculation-sheet'!K80</f>
        <v>4126526002.9597054</v>
      </c>
      <c r="L97" s="2">
        <f>L9/'Output-Calculation-sheet'!L8*'Output-Calculation-sheet'!L80</f>
        <v>2985688031.0409408</v>
      </c>
      <c r="M97" s="2">
        <f>M9/'Output-Calculation-sheet'!M8*'Output-Calculation-sheet'!M80</f>
        <v>3009074168.0127554</v>
      </c>
      <c r="N97" s="2">
        <f>N9/'Output-Calculation-sheet'!N8*'Output-Calculation-sheet'!N80</f>
        <v>2150808582.9757895</v>
      </c>
      <c r="O97" s="2">
        <f>O9/'Output-Calculation-sheet'!O8*'Output-Calculation-sheet'!O80</f>
        <v>1696853364.9392099</v>
      </c>
      <c r="P97" s="2">
        <f>P9/'Output-Calculation-sheet'!P8*'Output-Calculation-sheet'!P80</f>
        <v>3546050700.9718299</v>
      </c>
      <c r="Q97" s="2">
        <f>Q9/'Output-Calculation-sheet'!Q8*'Output-Calculation-sheet'!Q80</f>
        <v>1963481050.1799135</v>
      </c>
      <c r="R97" s="2">
        <f>R9/'Output-Calculation-sheet'!R8*'Output-Calculation-sheet'!R80</f>
        <v>2603289726.1746445</v>
      </c>
      <c r="S97" s="2">
        <f>S9/'Output-Calculation-sheet'!S8*'Output-Calculation-sheet'!S80</f>
        <v>1642293463.3727238</v>
      </c>
      <c r="T97" s="2">
        <f>T9/'Output-Calculation-sheet'!T8*'Output-Calculation-sheet'!T80</f>
        <v>1043883000.4253154</v>
      </c>
      <c r="U97" s="2">
        <f>U9/'Output-Calculation-sheet'!U8*'Output-Calculation-sheet'!U80</f>
        <v>973462836.8909471</v>
      </c>
      <c r="V97" s="2">
        <f>V9/'Output-Calculation-sheet'!V8*'Output-Calculation-sheet'!V80</f>
        <v>630421326.09723794</v>
      </c>
      <c r="W97" s="2">
        <f>W9/'Output-Calculation-sheet'!W8*'Output-Calculation-sheet'!W80</f>
        <v>737461208.06231761</v>
      </c>
      <c r="X97" s="2">
        <f>X9/'Output-Calculation-sheet'!X8*'Output-Calculation-sheet'!X80</f>
        <v>343389781.32177997</v>
      </c>
      <c r="Y97" s="2">
        <f>Y9/'Output-Calculation-sheet'!Y8*'Output-Calculation-sheet'!Y80</f>
        <v>379461903.72664219</v>
      </c>
      <c r="AA97" s="2">
        <f t="shared" si="8"/>
        <v>114.08500933903032</v>
      </c>
    </row>
    <row r="98" spans="1:27" x14ac:dyDescent="0.25">
      <c r="A98" s="2">
        <v>2033</v>
      </c>
      <c r="B98" s="2">
        <f>B10/'Output-Calculation-sheet'!B9*'Output-Calculation-sheet'!B81</f>
        <v>36208111165.311699</v>
      </c>
      <c r="C98" s="2">
        <f>C10/'Output-Calculation-sheet'!C9*'Output-Calculation-sheet'!C81</f>
        <v>15018324908.251036</v>
      </c>
      <c r="D98" s="2">
        <f>D10/'Output-Calculation-sheet'!D9*'Output-Calculation-sheet'!D81</f>
        <v>11780820038.396709</v>
      </c>
      <c r="E98" s="2">
        <f>E10/'Output-Calculation-sheet'!E9*'Output-Calculation-sheet'!E81</f>
        <v>14188674491.856138</v>
      </c>
      <c r="F98" s="2">
        <f>F10/'Output-Calculation-sheet'!F9*'Output-Calculation-sheet'!F81</f>
        <v>8436914836.3507986</v>
      </c>
      <c r="G98" s="2">
        <f>G10/'Output-Calculation-sheet'!G9*'Output-Calculation-sheet'!G81</f>
        <v>4158792923.6203923</v>
      </c>
      <c r="H98" s="2">
        <f>H10/'Output-Calculation-sheet'!H9*'Output-Calculation-sheet'!H81</f>
        <v>5391960417.4748774</v>
      </c>
      <c r="I98" s="2">
        <f>I10/'Output-Calculation-sheet'!I9*'Output-Calculation-sheet'!I81</f>
        <v>5134370406.2201891</v>
      </c>
      <c r="J98" s="2">
        <f>J10/'Output-Calculation-sheet'!J9*'Output-Calculation-sheet'!J81</f>
        <v>2962634804.8814082</v>
      </c>
      <c r="K98" s="2">
        <f>K10/'Output-Calculation-sheet'!K9*'Output-Calculation-sheet'!K81</f>
        <v>4933576086.5259867</v>
      </c>
      <c r="L98" s="2">
        <f>L10/'Output-Calculation-sheet'!L9*'Output-Calculation-sheet'!L81</f>
        <v>3590220415.0401807</v>
      </c>
      <c r="M98" s="2">
        <f>M10/'Output-Calculation-sheet'!M9*'Output-Calculation-sheet'!M81</f>
        <v>3608147655.0432563</v>
      </c>
      <c r="N98" s="2">
        <f>N10/'Output-Calculation-sheet'!N9*'Output-Calculation-sheet'!N81</f>
        <v>2590979205.8528166</v>
      </c>
      <c r="O98" s="2">
        <f>O10/'Output-Calculation-sheet'!O9*'Output-Calculation-sheet'!O81</f>
        <v>2051369429.0600717</v>
      </c>
      <c r="P98" s="2">
        <f>P10/'Output-Calculation-sheet'!P9*'Output-Calculation-sheet'!P81</f>
        <v>4213537638.5203161</v>
      </c>
      <c r="Q98" s="2">
        <f>Q10/'Output-Calculation-sheet'!Q9*'Output-Calculation-sheet'!Q81</f>
        <v>2372248745.9308925</v>
      </c>
      <c r="R98" s="2">
        <f>R10/'Output-Calculation-sheet'!R9*'Output-Calculation-sheet'!R81</f>
        <v>3124923926.7904019</v>
      </c>
      <c r="S98" s="2">
        <f>S10/'Output-Calculation-sheet'!S9*'Output-Calculation-sheet'!S81</f>
        <v>1975516372.4087484</v>
      </c>
      <c r="T98" s="2">
        <f>T10/'Output-Calculation-sheet'!T9*'Output-Calculation-sheet'!T81</f>
        <v>1243613129.921469</v>
      </c>
      <c r="U98" s="2">
        <f>U10/'Output-Calculation-sheet'!U9*'Output-Calculation-sheet'!U81</f>
        <v>1165205012.6992981</v>
      </c>
      <c r="V98" s="2">
        <f>V10/'Output-Calculation-sheet'!V9*'Output-Calculation-sheet'!V81</f>
        <v>758905875.90211284</v>
      </c>
      <c r="W98" s="2">
        <f>W10/'Output-Calculation-sheet'!W9*'Output-Calculation-sheet'!W81</f>
        <v>869066600.912642</v>
      </c>
      <c r="X98" s="2">
        <f>X10/'Output-Calculation-sheet'!X9*'Output-Calculation-sheet'!X81</f>
        <v>411595541.75579536</v>
      </c>
      <c r="Y98" s="2">
        <f>Y10/'Output-Calculation-sheet'!Y9*'Output-Calculation-sheet'!Y81</f>
        <v>449291856.81123918</v>
      </c>
      <c r="AA98" s="2">
        <f t="shared" si="8"/>
        <v>136.63880148553847</v>
      </c>
    </row>
    <row r="99" spans="1:27" x14ac:dyDescent="0.25">
      <c r="A99" s="2">
        <v>2034</v>
      </c>
      <c r="B99" s="2">
        <f>B11/'Output-Calculation-sheet'!B10*'Output-Calculation-sheet'!B82</f>
        <v>39593385675.000221</v>
      </c>
      <c r="C99" s="2">
        <f>C11/'Output-Calculation-sheet'!C10*'Output-Calculation-sheet'!C82</f>
        <v>16441939213.257074</v>
      </c>
      <c r="D99" s="2">
        <f>D11/'Output-Calculation-sheet'!D10*'Output-Calculation-sheet'!D82</f>
        <v>12810642794.765831</v>
      </c>
      <c r="E99" s="2">
        <f>E11/'Output-Calculation-sheet'!E10*'Output-Calculation-sheet'!E82</f>
        <v>15392942536.108805</v>
      </c>
      <c r="F99" s="2">
        <f>F11/'Output-Calculation-sheet'!F10*'Output-Calculation-sheet'!F82</f>
        <v>9183322335.5180664</v>
      </c>
      <c r="G99" s="2">
        <f>G11/'Output-Calculation-sheet'!G10*'Output-Calculation-sheet'!G82</f>
        <v>4460100188.1352396</v>
      </c>
      <c r="H99" s="2">
        <f>H11/'Output-Calculation-sheet'!H10*'Output-Calculation-sheet'!H82</f>
        <v>5885833465.460989</v>
      </c>
      <c r="I99" s="2">
        <f>I11/'Output-Calculation-sheet'!I10*'Output-Calculation-sheet'!I82</f>
        <v>5592580498.8449631</v>
      </c>
      <c r="J99" s="2">
        <f>J11/'Output-Calculation-sheet'!J10*'Output-Calculation-sheet'!J82</f>
        <v>3264060214.9678988</v>
      </c>
      <c r="K99" s="2">
        <f>K11/'Output-Calculation-sheet'!K10*'Output-Calculation-sheet'!K82</f>
        <v>5371702630.8294926</v>
      </c>
      <c r="L99" s="2">
        <f>L11/'Output-Calculation-sheet'!L10*'Output-Calculation-sheet'!L82</f>
        <v>3930686885.8706017</v>
      </c>
      <c r="M99" s="2">
        <f>M11/'Output-Calculation-sheet'!M10*'Output-Calculation-sheet'!M82</f>
        <v>3940007063.5622401</v>
      </c>
      <c r="N99" s="2">
        <f>N11/'Output-Calculation-sheet'!N10*'Output-Calculation-sheet'!N82</f>
        <v>2843355188.0169644</v>
      </c>
      <c r="O99" s="2">
        <f>O11/'Output-Calculation-sheet'!O10*'Output-Calculation-sheet'!O82</f>
        <v>2258522597.6421833</v>
      </c>
      <c r="P99" s="2">
        <f>P11/'Output-Calculation-sheet'!P10*'Output-Calculation-sheet'!P82</f>
        <v>4559137814.2005386</v>
      </c>
      <c r="Q99" s="2">
        <f>Q11/'Output-Calculation-sheet'!Q10*'Output-Calculation-sheet'!Q82</f>
        <v>2610156961.0210514</v>
      </c>
      <c r="R99" s="2">
        <f>R11/'Output-Calculation-sheet'!R10*'Output-Calculation-sheet'!R82</f>
        <v>3415277308.1634617</v>
      </c>
      <c r="S99" s="2">
        <f>S11/'Output-Calculation-sheet'!S10*'Output-Calculation-sheet'!S82</f>
        <v>2163350983.0501108</v>
      </c>
      <c r="T99" s="2">
        <f>T11/'Output-Calculation-sheet'!T10*'Output-Calculation-sheet'!T82</f>
        <v>1349457783.4750116</v>
      </c>
      <c r="U99" s="2">
        <f>U11/'Output-Calculation-sheet'!U10*'Output-Calculation-sheet'!U82</f>
        <v>1269318767.1175461</v>
      </c>
      <c r="V99" s="2">
        <f>V11/'Output-Calculation-sheet'!V10*'Output-Calculation-sheet'!V82</f>
        <v>831304963.94371736</v>
      </c>
      <c r="W99" s="2">
        <f>W11/'Output-Calculation-sheet'!W10*'Output-Calculation-sheet'!W82</f>
        <v>932830029.39843369</v>
      </c>
      <c r="X99" s="2">
        <f>X11/'Output-Calculation-sheet'!X10*'Output-Calculation-sheet'!X82</f>
        <v>449248699.66457254</v>
      </c>
      <c r="Y99" s="2">
        <f>Y11/'Output-Calculation-sheet'!Y10*'Output-Calculation-sheet'!Y82</f>
        <v>484681879.39022642</v>
      </c>
      <c r="AA99" s="2">
        <f t="shared" si="8"/>
        <v>149.03384647740526</v>
      </c>
    </row>
    <row r="100" spans="1:27" x14ac:dyDescent="0.25">
      <c r="A100" s="2">
        <v>2035</v>
      </c>
      <c r="B100" s="2">
        <f>B12/'Output-Calculation-sheet'!B11*'Output-Calculation-sheet'!B83</f>
        <v>39898717874.400032</v>
      </c>
      <c r="C100" s="2">
        <f>C12/'Output-Calculation-sheet'!C11*'Output-Calculation-sheet'!C83</f>
        <v>16590633997.801645</v>
      </c>
      <c r="D100" s="2">
        <f>D12/'Output-Calculation-sheet'!D11*'Output-Calculation-sheet'!D83</f>
        <v>12849648369.123957</v>
      </c>
      <c r="E100" s="2">
        <f>E12/'Output-Calculation-sheet'!E11*'Output-Calculation-sheet'!E83</f>
        <v>15397001079.005659</v>
      </c>
      <c r="F100" s="2">
        <f>F12/'Output-Calculation-sheet'!F11*'Output-Calculation-sheet'!F83</f>
        <v>9214327055.5525894</v>
      </c>
      <c r="G100" s="2">
        <f>G12/'Output-Calculation-sheet'!G11*'Output-Calculation-sheet'!G83</f>
        <v>4411933009.4077606</v>
      </c>
      <c r="H100" s="2">
        <f>H12/'Output-Calculation-sheet'!H11*'Output-Calculation-sheet'!H83</f>
        <v>5921761234.4681625</v>
      </c>
      <c r="I100" s="2">
        <f>I12/'Output-Calculation-sheet'!I11*'Output-Calculation-sheet'!I83</f>
        <v>5615960983.6078196</v>
      </c>
      <c r="J100" s="2">
        <f>J12/'Output-Calculation-sheet'!J11*'Output-Calculation-sheet'!J83</f>
        <v>3316015137.6267371</v>
      </c>
      <c r="K100" s="2">
        <f>K12/'Output-Calculation-sheet'!K11*'Output-Calculation-sheet'!K83</f>
        <v>5391725611.7608948</v>
      </c>
      <c r="L100" s="2">
        <f>L12/'Output-Calculation-sheet'!L11*'Output-Calculation-sheet'!L83</f>
        <v>3966223858.513649</v>
      </c>
      <c r="M100" s="2">
        <f>M12/'Output-Calculation-sheet'!M11*'Output-Calculation-sheet'!M83</f>
        <v>3966002789.8709126</v>
      </c>
      <c r="N100" s="2">
        <f>N12/'Output-Calculation-sheet'!N11*'Output-Calculation-sheet'!N83</f>
        <v>2877219223.6414733</v>
      </c>
      <c r="O100" s="2">
        <f>O12/'Output-Calculation-sheet'!O11*'Output-Calculation-sheet'!O83</f>
        <v>2292257590.9460158</v>
      </c>
      <c r="P100" s="2">
        <f>P12/'Output-Calculation-sheet'!P11*'Output-Calculation-sheet'!P83</f>
        <v>4547388828.4928083</v>
      </c>
      <c r="Q100" s="2">
        <f>Q12/'Output-Calculation-sheet'!Q11*'Output-Calculation-sheet'!Q83</f>
        <v>2647410568.9395547</v>
      </c>
      <c r="R100" s="2">
        <f>R12/'Output-Calculation-sheet'!R11*'Output-Calculation-sheet'!R83</f>
        <v>3440150741.9132738</v>
      </c>
      <c r="S100" s="2">
        <f>S12/'Output-Calculation-sheet'!S11*'Output-Calculation-sheet'!S83</f>
        <v>2183177640.9536867</v>
      </c>
      <c r="T100" s="2">
        <f>T12/'Output-Calculation-sheet'!T11*'Output-Calculation-sheet'!T83</f>
        <v>1350099621.5291388</v>
      </c>
      <c r="U100" s="2">
        <f>U12/'Output-Calculation-sheet'!U11*'Output-Calculation-sheet'!U83</f>
        <v>1273970754.2961304</v>
      </c>
      <c r="V100" s="2">
        <f>V12/'Output-Calculation-sheet'!V11*'Output-Calculation-sheet'!V83</f>
        <v>838841562.85259807</v>
      </c>
      <c r="W100" s="2">
        <f>W12/'Output-Calculation-sheet'!W11*'Output-Calculation-sheet'!W83</f>
        <v>923168545.53367567</v>
      </c>
      <c r="X100" s="2">
        <f>X12/'Output-Calculation-sheet'!X11*'Output-Calculation-sheet'!X83</f>
        <v>451982459.86235845</v>
      </c>
      <c r="Y100" s="2">
        <f>Y12/'Output-Calculation-sheet'!Y11*'Output-Calculation-sheet'!Y83</f>
        <v>482214013.52273124</v>
      </c>
      <c r="AA100" s="2">
        <f t="shared" si="8"/>
        <v>149.84783255362325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2020.4028639372843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621.94266423407066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427.95708015647079</v>
      </c>
      <c r="N107" s="2">
        <f>N8/'Output-Calculation-sheet'!N7*'Output-Calculation-sheet'!N88</f>
        <v>168.2449623525977</v>
      </c>
      <c r="O107" s="2">
        <f>O8/'Output-Calculation-sheet'!O7*'Output-Calculation-sheet'!O88</f>
        <v>471.00977768137739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46.947781772018466</v>
      </c>
      <c r="Y107" s="2">
        <f>Y8/'Output-Calculation-sheet'!Y7*'Output-Calculation-sheet'!Y88</f>
        <v>0</v>
      </c>
      <c r="AA107" s="2">
        <f t="shared" si="9"/>
        <v>3.7565051301338195</v>
      </c>
    </row>
    <row r="108" spans="1:27" x14ac:dyDescent="0.25">
      <c r="A108" s="2">
        <v>2032</v>
      </c>
      <c r="B108" s="2">
        <f>B9/'Output-Calculation-sheet'!B8*'Output-Calculation-sheet'!B89</f>
        <v>910.58643622210946</v>
      </c>
      <c r="C108" s="2">
        <f>C9/'Output-Calculation-sheet'!C8*'Output-Calculation-sheet'!C89</f>
        <v>3457.4831881682635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931.28048914359943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640.81160830379952</v>
      </c>
      <c r="N108" s="2">
        <f>N9/'Output-Calculation-sheet'!N8*'Output-Calculation-sheet'!N89</f>
        <v>449.86706241480266</v>
      </c>
      <c r="O108" s="2">
        <f>O9/'Output-Calculation-sheet'!O8*'Output-Calculation-sheet'!O89</f>
        <v>671.6929318338432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206.30346428126239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70.298366211451196</v>
      </c>
      <c r="Y108" s="2">
        <f>Y9/'Output-Calculation-sheet'!Y8*'Output-Calculation-sheet'!Y89</f>
        <v>0</v>
      </c>
      <c r="AA108" s="2">
        <f t="shared" si="9"/>
        <v>7.3383235465791312</v>
      </c>
    </row>
    <row r="109" spans="1:27" x14ac:dyDescent="0.25">
      <c r="A109" s="2">
        <v>2033</v>
      </c>
      <c r="B109" s="2">
        <f>B10/'Output-Calculation-sheet'!B9*'Output-Calculation-sheet'!B90</f>
        <v>4515.1569954340321</v>
      </c>
      <c r="C109" s="2">
        <f>C10/'Output-Calculation-sheet'!C9*'Output-Calculation-sheet'!C90</f>
        <v>4285.9960303223907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1319.3625081290238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907.84980532275233</v>
      </c>
      <c r="N109" s="2">
        <f>N10/'Output-Calculation-sheet'!N9*'Output-Calculation-sheet'!N90</f>
        <v>713.81530251815911</v>
      </c>
      <c r="O109" s="2">
        <f>O10/'Output-Calculation-sheet'!O9*'Output-Calculation-sheet'!O90</f>
        <v>832.64996032002557</v>
      </c>
      <c r="P109" s="2">
        <f>P10/'Output-Calculation-sheet'!P9*'Output-Calculation-sheet'!P90</f>
        <v>0</v>
      </c>
      <c r="Q109" s="2">
        <f>Q10/'Output-Calculation-sheet'!Q9*'Output-Calculation-sheet'!Q90</f>
        <v>156.35287362708158</v>
      </c>
      <c r="R109" s="2">
        <f>R10/'Output-Calculation-sheet'!R9*'Output-Calculation-sheet'!R90</f>
        <v>0</v>
      </c>
      <c r="S109" s="2">
        <f>S10/'Output-Calculation-sheet'!S9*'Output-Calculation-sheet'!S90</f>
        <v>358.035626830502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99.593011819032469</v>
      </c>
      <c r="Y109" s="2">
        <f>Y10/'Output-Calculation-sheet'!Y9*'Output-Calculation-sheet'!Y90</f>
        <v>0</v>
      </c>
      <c r="AA109" s="2">
        <f t="shared" si="9"/>
        <v>13.188812114322999</v>
      </c>
    </row>
    <row r="110" spans="1:27" x14ac:dyDescent="0.25">
      <c r="A110" s="2">
        <v>2034</v>
      </c>
      <c r="B110" s="2">
        <f>B11/'Output-Calculation-sheet'!B10*'Output-Calculation-sheet'!B91</f>
        <v>7551.0904859913635</v>
      </c>
      <c r="C110" s="2">
        <f>C11/'Output-Calculation-sheet'!C10*'Output-Calculation-sheet'!C91</f>
        <v>5176.776681098796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1470.9899261209171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1012.1842252091711</v>
      </c>
      <c r="N110" s="2">
        <f>N11/'Output-Calculation-sheet'!N10*'Output-Calculation-sheet'!N91</f>
        <v>911.91186392911402</v>
      </c>
      <c r="O110" s="2">
        <f>O11/'Output-Calculation-sheet'!O10*'Output-Calculation-sheet'!O91</f>
        <v>1005.7038941723694</v>
      </c>
      <c r="P110" s="2">
        <f>P11/'Output-Calculation-sheet'!P10*'Output-Calculation-sheet'!P91</f>
        <v>229.75810473500465</v>
      </c>
      <c r="Q110" s="2">
        <f>Q11/'Output-Calculation-sheet'!Q10*'Output-Calculation-sheet'!Q91</f>
        <v>508.43826224755043</v>
      </c>
      <c r="R110" s="2">
        <f>R11/'Output-Calculation-sheet'!R10*'Output-Calculation-sheet'!R91</f>
        <v>0</v>
      </c>
      <c r="S110" s="2">
        <f>S11/'Output-Calculation-sheet'!S10*'Output-Calculation-sheet'!S91</f>
        <v>522.73936115124059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111.03871467864357</v>
      </c>
      <c r="Y110" s="2">
        <f>Y11/'Output-Calculation-sheet'!Y10*'Output-Calculation-sheet'!Y91</f>
        <v>26.788620909327463</v>
      </c>
      <c r="AA110" s="2">
        <f t="shared" si="9"/>
        <v>18.5274201402435</v>
      </c>
    </row>
    <row r="111" spans="1:27" x14ac:dyDescent="0.25">
      <c r="A111" s="2">
        <v>2035</v>
      </c>
      <c r="B111" s="2">
        <f>B12/'Output-Calculation-sheet'!B11*'Output-Calculation-sheet'!B92</f>
        <v>11005.473035953164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2451.5307228553215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544.47503661522444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870.64924476456486</v>
      </c>
      <c r="Q111" s="2">
        <f>Q12/'Output-Calculation-sheet'!Q11*'Output-Calculation-sheet'!Q92</f>
        <v>825.72194702486252</v>
      </c>
      <c r="R111" s="2">
        <f>R12/'Output-Calculation-sheet'!R11*'Output-Calculation-sheet'!R92</f>
        <v>125.97829819628559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182.39188803871744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85.895829270861924</v>
      </c>
      <c r="AA111" s="2">
        <f t="shared" si="9"/>
        <v>26.876860709086152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9497877128.7716484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2922301803.4929843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2029790426.9906569</v>
      </c>
      <c r="N118" s="2">
        <f>N8/'Output-Calculation-sheet'!N7*'Output-Calculation-sheet'!N97</f>
        <v>1592806741.0849531</v>
      </c>
      <c r="O118" s="2">
        <f>O8/'Output-Calculation-sheet'!O7*'Output-Calculation-sheet'!O97</f>
        <v>1059871910.9480618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576824165.33342433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218772882.84660622</v>
      </c>
      <c r="Y118" s="2">
        <f>Y8/'Output-Calculation-sheet'!Y7*'Output-Calculation-sheet'!Y97</f>
        <v>0</v>
      </c>
      <c r="AA118" s="2">
        <f t="shared" si="10"/>
        <v>19518.45901591135</v>
      </c>
    </row>
    <row r="119" spans="1:27" x14ac:dyDescent="0.25">
      <c r="A119" s="2">
        <v>2032</v>
      </c>
      <c r="B119" s="2">
        <f>B9/'Output-Calculation-sheet'!B8*'Output-Calculation-sheet'!B98</f>
        <v>6831266747.7297573</v>
      </c>
      <c r="C119" s="2">
        <f>C9/'Output-Calculation-sheet'!C8*'Output-Calculation-sheet'!C98</f>
        <v>5429628792.3007498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3245844240.9435806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2265611435.6195927</v>
      </c>
      <c r="N119" s="2">
        <f>N9/'Output-Calculation-sheet'!N8*'Output-Calculation-sheet'!N98</f>
        <v>1530025922.9337776</v>
      </c>
      <c r="O119" s="2">
        <f>O9/'Output-Calculation-sheet'!O8*'Output-Calculation-sheet'!O98</f>
        <v>1060849135.9978164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635847907.26127887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242428545.92100671</v>
      </c>
      <c r="Y119" s="2">
        <f>Y9/'Output-Calculation-sheet'!Y8*'Output-Calculation-sheet'!Y98</f>
        <v>0</v>
      </c>
      <c r="AA119" s="2">
        <f t="shared" si="10"/>
        <v>21241.502728707561</v>
      </c>
    </row>
    <row r="120" spans="1:27" x14ac:dyDescent="0.25">
      <c r="A120" s="2">
        <v>2033</v>
      </c>
      <c r="B120" s="2">
        <f>B10/'Output-Calculation-sheet'!B9*'Output-Calculation-sheet'!B99</f>
        <v>6495654967.9418955</v>
      </c>
      <c r="C120" s="2">
        <f>C10/'Output-Calculation-sheet'!C9*'Output-Calculation-sheet'!C99</f>
        <v>5339831724.6523104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1750804329.0340312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1239233848.6770961</v>
      </c>
      <c r="N120" s="2">
        <f>N10/'Output-Calculation-sheet'!N9*'Output-Calculation-sheet'!N99</f>
        <v>1235384848.0259812</v>
      </c>
      <c r="O120" s="2">
        <f>O10/'Output-Calculation-sheet'!O9*'Output-Calculation-sheet'!O99</f>
        <v>1045424033.5439031</v>
      </c>
      <c r="P120" s="2">
        <f>P10/'Output-Calculation-sheet'!P9*'Output-Calculation-sheet'!P99</f>
        <v>0</v>
      </c>
      <c r="Q120" s="2">
        <f>Q10/'Output-Calculation-sheet'!Q9*'Output-Calculation-sheet'!Q99</f>
        <v>7651699.3609999111</v>
      </c>
      <c r="R120" s="2">
        <f>R10/'Output-Calculation-sheet'!R9*'Output-Calculation-sheet'!R99</f>
        <v>0</v>
      </c>
      <c r="S120" s="2">
        <f>S10/'Output-Calculation-sheet'!S9*'Output-Calculation-sheet'!S99</f>
        <v>517371112.52627027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123742997.90109518</v>
      </c>
      <c r="Y120" s="2">
        <f>Y10/'Output-Calculation-sheet'!Y9*'Output-Calculation-sheet'!Y99</f>
        <v>0</v>
      </c>
      <c r="AA120" s="2">
        <f t="shared" si="10"/>
        <v>17755.099561663585</v>
      </c>
    </row>
    <row r="121" spans="1:27" x14ac:dyDescent="0.25">
      <c r="A121" s="2">
        <v>2034</v>
      </c>
      <c r="B121" s="2">
        <f>B11/'Output-Calculation-sheet'!B10*'Output-Calculation-sheet'!B100</f>
        <v>5655924769.4073105</v>
      </c>
      <c r="C121" s="2">
        <f>C11/'Output-Calculation-sheet'!C10*'Output-Calculation-sheet'!C100</f>
        <v>679602174.52167547</v>
      </c>
      <c r="D121" s="2">
        <f>D11/'Output-Calculation-sheet'!D10*'Output-Calculation-sheet'!D100</f>
        <v>0</v>
      </c>
      <c r="E121" s="2">
        <f>E11/'Output-Calculation-sheet'!E10*'Output-Calculation-sheet'!E100</f>
        <v>784314436.88777602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1789456061.1652167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652379043.90242565</v>
      </c>
      <c r="M121" s="2">
        <f>M11/'Output-Calculation-sheet'!M10*'Output-Calculation-sheet'!M100</f>
        <v>1273549033.6827176</v>
      </c>
      <c r="N121" s="2">
        <f>N11/'Output-Calculation-sheet'!N10*'Output-Calculation-sheet'!N100</f>
        <v>849046684.10812211</v>
      </c>
      <c r="O121" s="2">
        <f>O11/'Output-Calculation-sheet'!O10*'Output-Calculation-sheet'!O100</f>
        <v>133306201.87742682</v>
      </c>
      <c r="P121" s="2">
        <f>P11/'Output-Calculation-sheet'!P10*'Output-Calculation-sheet'!P100</f>
        <v>0</v>
      </c>
      <c r="Q121" s="2">
        <f>Q11/'Output-Calculation-sheet'!Q10*'Output-Calculation-sheet'!Q100</f>
        <v>262278585.05478978</v>
      </c>
      <c r="R121" s="2">
        <f>R11/'Output-Calculation-sheet'!R10*'Output-Calculation-sheet'!R100</f>
        <v>0</v>
      </c>
      <c r="S121" s="2">
        <f>S11/'Output-Calculation-sheet'!S10*'Output-Calculation-sheet'!S100</f>
        <v>317452269.75513226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125135103.5414512</v>
      </c>
      <c r="Y121" s="2">
        <f>Y11/'Output-Calculation-sheet'!Y10*'Output-Calculation-sheet'!Y100</f>
        <v>8942631.9369379599</v>
      </c>
      <c r="AA121" s="2">
        <f t="shared" si="10"/>
        <v>12531.386995840983</v>
      </c>
    </row>
    <row r="122" spans="1:27" x14ac:dyDescent="0.25">
      <c r="A122" s="2">
        <v>2035</v>
      </c>
      <c r="B122" s="2">
        <f>B12/'Output-Calculation-sheet'!B11*'Output-Calculation-sheet'!B101</f>
        <v>1935053733.2919083</v>
      </c>
      <c r="C122" s="2">
        <f>C12/'Output-Calculation-sheet'!C11*'Output-Calculation-sheet'!C101</f>
        <v>332790528.30317426</v>
      </c>
      <c r="D122" s="2">
        <f>D12/'Output-Calculation-sheet'!D11*'Output-Calculation-sheet'!D101</f>
        <v>0</v>
      </c>
      <c r="E122" s="2">
        <f>E12/'Output-Calculation-sheet'!E11*'Output-Calculation-sheet'!E101</f>
        <v>1934104599.2578235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519032367.26059604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1135217319.2917671</v>
      </c>
      <c r="M122" s="2">
        <f>M12/'Output-Calculation-sheet'!M11*'Output-Calculation-sheet'!M101</f>
        <v>468184574.51707429</v>
      </c>
      <c r="N122" s="2">
        <f>N12/'Output-Calculation-sheet'!N11*'Output-Calculation-sheet'!N101</f>
        <v>392525514.22825044</v>
      </c>
      <c r="O122" s="2">
        <f>O12/'Output-Calculation-sheet'!O11*'Output-Calculation-sheet'!O101</f>
        <v>56720402.552629754</v>
      </c>
      <c r="P122" s="2">
        <f>P12/'Output-Calculation-sheet'!P11*'Output-Calculation-sheet'!P101</f>
        <v>24118601.869783904</v>
      </c>
      <c r="Q122" s="2">
        <f>Q12/'Output-Calculation-sheet'!Q11*'Output-Calculation-sheet'!Q101</f>
        <v>475417041.29727685</v>
      </c>
      <c r="R122" s="2">
        <f>R12/'Output-Calculation-sheet'!R11*'Output-Calculation-sheet'!R101</f>
        <v>0</v>
      </c>
      <c r="S122" s="2">
        <f>S12/'Output-Calculation-sheet'!S11*'Output-Calculation-sheet'!S101</f>
        <v>192192850.20813212</v>
      </c>
      <c r="T122" s="2">
        <f>T12/'Output-Calculation-sheet'!T11*'Output-Calculation-sheet'!T101</f>
        <v>0</v>
      </c>
      <c r="U122" s="2">
        <f>U12/'Output-Calculation-sheet'!U11*'Output-Calculation-sheet'!U101</f>
        <v>70666960.604916051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16605108.413261455</v>
      </c>
      <c r="Y122" s="2">
        <f>Y12/'Output-Calculation-sheet'!Y11*'Output-Calculation-sheet'!Y101</f>
        <v>68613263.903673515</v>
      </c>
      <c r="AA122" s="2">
        <f t="shared" si="10"/>
        <v>7621.2428650002657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2643127266.0595541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2652297124.3790536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173736.98376962627</v>
      </c>
    </row>
    <row r="130" spans="1:27" x14ac:dyDescent="0.25">
      <c r="A130" s="2">
        <v>2032</v>
      </c>
      <c r="B130" s="2">
        <f>B9/'Output-Calculation-sheet'!B8*'Output-Calculation-sheet'!B107</f>
        <v>61819050910.438126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2248987103.2828455</v>
      </c>
      <c r="O130" s="2">
        <f>O9/'Output-Calculation-sheet'!O8*'Output-Calculation-sheet'!O107</f>
        <v>0</v>
      </c>
      <c r="P130" s="2">
        <f>P9/'Output-Calculation-sheet'!P8*'Output-Calculation-sheet'!P107</f>
        <v>6862482886.5041752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1997456933.8288815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217710.28581048368</v>
      </c>
    </row>
    <row r="131" spans="1:27" x14ac:dyDescent="0.25">
      <c r="A131" s="2">
        <v>2033</v>
      </c>
      <c r="B131" s="2">
        <f>B10/'Output-Calculation-sheet'!B9*'Output-Calculation-sheet'!B108</f>
        <v>48455609383.752342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1775544878.7583144</v>
      </c>
      <c r="O131" s="2">
        <f>O10/'Output-Calculation-sheet'!O9*'Output-Calculation-sheet'!O108</f>
        <v>0</v>
      </c>
      <c r="P131" s="2">
        <f>P10/'Output-Calculation-sheet'!P9*'Output-Calculation-sheet'!P108</f>
        <v>8166228235.2905159</v>
      </c>
      <c r="Q131" s="2">
        <f>Q10/'Output-Calculation-sheet'!Q9*'Output-Calculation-sheet'!Q108</f>
        <v>6888716739.669981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1722183913.7480628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231270.99340640951</v>
      </c>
    </row>
    <row r="132" spans="1:27" x14ac:dyDescent="0.25">
      <c r="A132" s="2">
        <v>2034</v>
      </c>
      <c r="B132" s="2">
        <f>B11/'Output-Calculation-sheet'!B10*'Output-Calculation-sheet'!B109</f>
        <v>32911008378.166359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31768976403.137131</v>
      </c>
      <c r="F132" s="2">
        <f>F11/'Output-Calculation-sheet'!F10*'Output-Calculation-sheet'!F109</f>
        <v>20952394408.739548</v>
      </c>
      <c r="G132" s="2">
        <f>G11/'Output-Calculation-sheet'!G10*'Output-Calculation-sheet'!G109</f>
        <v>14722135003.267702</v>
      </c>
      <c r="H132" s="2">
        <f>H11/'Output-Calculation-sheet'!H10*'Output-Calculation-sheet'!H109</f>
        <v>0</v>
      </c>
      <c r="I132" s="2">
        <f>I11/'Output-Calculation-sheet'!I10*'Output-Calculation-sheet'!I109</f>
        <v>13412084751.00482</v>
      </c>
      <c r="J132" s="2">
        <f>J11/'Output-Calculation-sheet'!J10*'Output-Calculation-sheet'!J109</f>
        <v>13054486924.685966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9719706297.1019096</v>
      </c>
      <c r="M132" s="2">
        <f>M11/'Output-Calculation-sheet'!M10*'Output-Calculation-sheet'!M109</f>
        <v>0</v>
      </c>
      <c r="N132" s="2">
        <f>N11/'Output-Calculation-sheet'!N10*'Output-Calculation-sheet'!N109</f>
        <v>1277977187.4601769</v>
      </c>
      <c r="O132" s="2">
        <f>O11/'Output-Calculation-sheet'!O10*'Output-Calculation-sheet'!O109</f>
        <v>0</v>
      </c>
      <c r="P132" s="2">
        <f>P11/'Output-Calculation-sheet'!P10*'Output-Calculation-sheet'!P109</f>
        <v>7261117991.4799442</v>
      </c>
      <c r="Q132" s="2">
        <f>Q11/'Output-Calculation-sheet'!Q10*'Output-Calculation-sheet'!Q109</f>
        <v>4713500020.9960184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877088759.78306079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2683957482.8662367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865365345.78404057</v>
      </c>
      <c r="AA132" s="2">
        <f t="shared" si="11"/>
        <v>223484.49244724968</v>
      </c>
    </row>
    <row r="133" spans="1:27" x14ac:dyDescent="0.25">
      <c r="A133" s="2">
        <v>2035</v>
      </c>
      <c r="B133" s="2">
        <f>B12/'Output-Calculation-sheet'!B11*'Output-Calculation-sheet'!B110</f>
        <v>463667725.4157691</v>
      </c>
      <c r="C133" s="2">
        <f>C12/'Output-Calculation-sheet'!C11*'Output-Calculation-sheet'!C110</f>
        <v>0</v>
      </c>
      <c r="D133" s="2">
        <f>D12/'Output-Calculation-sheet'!D11*'Output-Calculation-sheet'!D110</f>
        <v>39199059398.082932</v>
      </c>
      <c r="E133" s="2">
        <f>E12/'Output-Calculation-sheet'!E11*'Output-Calculation-sheet'!E110</f>
        <v>15047024373.578194</v>
      </c>
      <c r="F133" s="2">
        <f>F12/'Output-Calculation-sheet'!F11*'Output-Calculation-sheet'!F110</f>
        <v>20526751599.734955</v>
      </c>
      <c r="G133" s="2">
        <f>G12/'Output-Calculation-sheet'!G11*'Output-Calculation-sheet'!G110</f>
        <v>13993031045.047159</v>
      </c>
      <c r="H133" s="2">
        <f>H12/'Output-Calculation-sheet'!H11*'Output-Calculation-sheet'!H110</f>
        <v>0</v>
      </c>
      <c r="I133" s="2">
        <f>I12/'Output-Calculation-sheet'!I11*'Output-Calculation-sheet'!I110</f>
        <v>13073074653.282719</v>
      </c>
      <c r="J133" s="2">
        <f>J12/'Output-Calculation-sheet'!J11*'Output-Calculation-sheet'!J110</f>
        <v>12516023606.152786</v>
      </c>
      <c r="K133" s="2">
        <f>K12/'Output-Calculation-sheet'!K11*'Output-Calculation-sheet'!K110</f>
        <v>12642047131.512758</v>
      </c>
      <c r="L133" s="2">
        <f>L12/'Output-Calculation-sheet'!L11*'Output-Calculation-sheet'!L110</f>
        <v>5967825210.4656258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2177454621.0802383</v>
      </c>
      <c r="Q133" s="2">
        <f>Q12/'Output-Calculation-sheet'!Q11*'Output-Calculation-sheet'!Q110</f>
        <v>1867896879.9631357</v>
      </c>
      <c r="R133" s="2">
        <f>R12/'Output-Calculation-sheet'!R11*'Output-Calculation-sheet'!R110</f>
        <v>7510341858.2512989</v>
      </c>
      <c r="S133" s="2">
        <f>S12/'Output-Calculation-sheet'!S11*'Output-Calculation-sheet'!S110</f>
        <v>1932595.5110616561</v>
      </c>
      <c r="T133" s="2">
        <f>T12/'Output-Calculation-sheet'!T11*'Output-Calculation-sheet'!T110</f>
        <v>3032011812.642364</v>
      </c>
      <c r="U133" s="2">
        <f>U12/'Output-Calculation-sheet'!U11*'Output-Calculation-sheet'!U110</f>
        <v>1423396558.7326984</v>
      </c>
      <c r="V133" s="2">
        <f>V12/'Output-Calculation-sheet'!V11*'Output-Calculation-sheet'!V110</f>
        <v>2045065048.3735371</v>
      </c>
      <c r="W133" s="2">
        <f>W12/'Output-Calculation-sheet'!W11*'Output-Calculation-sheet'!W110</f>
        <v>1763997636.1626015</v>
      </c>
      <c r="X133" s="2">
        <f>X12/'Output-Calculation-sheet'!X11*'Output-Calculation-sheet'!X110</f>
        <v>0</v>
      </c>
      <c r="Y133" s="2">
        <f>Y12/'Output-Calculation-sheet'!Y11*'Output-Calculation-sheet'!Y110</f>
        <v>403817082.82971334</v>
      </c>
      <c r="AA133" s="2">
        <f t="shared" si="11"/>
        <v>153654.41883681956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17191445287.453308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5404557363.6612272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3715012044.5759549</v>
      </c>
      <c r="N140" s="2">
        <f>N8/'Output-Calculation-sheet'!N7*'Output-Calculation-sheet'!N115</f>
        <v>1402564296.1546309</v>
      </c>
      <c r="O140" s="2">
        <f>O8/'Output-Calculation-sheet'!O7*'Output-Calculation-sheet'!O115</f>
        <v>4125863161.6875563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403405704.6154716</v>
      </c>
      <c r="Y140" s="2">
        <f>Y8/'Output-Calculation-sheet'!Y7*'Output-Calculation-sheet'!Y115</f>
        <v>0</v>
      </c>
      <c r="AA140" s="2">
        <f t="shared" si="12"/>
        <v>32242.84785814815</v>
      </c>
    </row>
    <row r="141" spans="1:27" x14ac:dyDescent="0.25">
      <c r="A141" s="2">
        <v>2032</v>
      </c>
      <c r="B141" s="2">
        <f>B9/'Output-Calculation-sheet'!B8*'Output-Calculation-sheet'!B116</f>
        <v>7067343968.0889568</v>
      </c>
      <c r="C141" s="2">
        <f>C9/'Output-Calculation-sheet'!C8*'Output-Calculation-sheet'!C116</f>
        <v>30252411003.936584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7886672359.5203152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5414848579.0486155</v>
      </c>
      <c r="N141" s="2">
        <f>N9/'Output-Calculation-sheet'!N8*'Output-Calculation-sheet'!N116</f>
        <v>3759324039.1992478</v>
      </c>
      <c r="O141" s="2">
        <f>O9/'Output-Calculation-sheet'!O8*'Output-Calculation-sheet'!O116</f>
        <v>5872170777.1394253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1683838828.2170267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589387240.95894647</v>
      </c>
      <c r="Y141" s="2">
        <f>Y9/'Output-Calculation-sheet'!Y8*'Output-Calculation-sheet'!Y116</f>
        <v>0</v>
      </c>
      <c r="AA141" s="2">
        <f t="shared" si="12"/>
        <v>62525.996796109124</v>
      </c>
    </row>
    <row r="142" spans="1:27" x14ac:dyDescent="0.25">
      <c r="A142" s="2">
        <v>2033</v>
      </c>
      <c r="B142" s="2">
        <f>B10/'Output-Calculation-sheet'!B9*'Output-Calculation-sheet'!B117</f>
        <v>35156067857.695061</v>
      </c>
      <c r="C142" s="2">
        <f>C10/'Output-Calculation-sheet'!C9*'Output-Calculation-sheet'!C117</f>
        <v>37123355000.867378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11497377248.696243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7900849434.0715036</v>
      </c>
      <c r="N142" s="2">
        <f>N10/'Output-Calculation-sheet'!N9*'Output-Calculation-sheet'!N117</f>
        <v>5960020567.8236532</v>
      </c>
      <c r="O142" s="2">
        <f>O10/'Output-Calculation-sheet'!O9*'Output-Calculation-sheet'!O117</f>
        <v>7205172064.3644466</v>
      </c>
      <c r="P142" s="2">
        <f>P10/'Output-Calculation-sheet'!P9*'Output-Calculation-sheet'!P117</f>
        <v>0</v>
      </c>
      <c r="Q142" s="2">
        <f>Q10/'Output-Calculation-sheet'!Q9*'Output-Calculation-sheet'!Q117</f>
        <v>1138279378.3571591</v>
      </c>
      <c r="R142" s="2">
        <f>R10/'Output-Calculation-sheet'!R9*'Output-Calculation-sheet'!R117</f>
        <v>0</v>
      </c>
      <c r="S142" s="2">
        <f>S10/'Output-Calculation-sheet'!S9*'Output-Calculation-sheet'!S117</f>
        <v>2898034688.3508883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866154215.39458346</v>
      </c>
      <c r="Y142" s="2">
        <f>Y10/'Output-Calculation-sheet'!Y9*'Output-Calculation-sheet'!Y117</f>
        <v>0</v>
      </c>
      <c r="AA142" s="2">
        <f t="shared" si="12"/>
        <v>109745.31045562091</v>
      </c>
    </row>
    <row r="143" spans="1:27" x14ac:dyDescent="0.25">
      <c r="A143" s="2">
        <v>2034</v>
      </c>
      <c r="B143" s="2">
        <f>B11/'Output-Calculation-sheet'!B10*'Output-Calculation-sheet'!B118</f>
        <v>59104880471.547462</v>
      </c>
      <c r="C143" s="2">
        <f>C11/'Output-Calculation-sheet'!C10*'Output-Calculation-sheet'!C118</f>
        <v>45348563726.425453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12570847479.485188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8633797797.6625023</v>
      </c>
      <c r="N143" s="2">
        <f>N11/'Output-Calculation-sheet'!N10*'Output-Calculation-sheet'!N118</f>
        <v>7597049454.1279917</v>
      </c>
      <c r="O143" s="2">
        <f>O11/'Output-Calculation-sheet'!O10*'Output-Calculation-sheet'!O118</f>
        <v>8809966112.9499569</v>
      </c>
      <c r="P143" s="2">
        <f>P11/'Output-Calculation-sheet'!P10*'Output-Calculation-sheet'!P118</f>
        <v>1590613369.8327773</v>
      </c>
      <c r="Q143" s="2">
        <f>Q11/'Output-Calculation-sheet'!Q10*'Output-Calculation-sheet'!Q118</f>
        <v>3733339530.7893434</v>
      </c>
      <c r="R143" s="2">
        <f>R11/'Output-Calculation-sheet'!R10*'Output-Calculation-sheet'!R118</f>
        <v>0</v>
      </c>
      <c r="S143" s="2">
        <f>S11/'Output-Calculation-sheet'!S10*'Output-Calculation-sheet'!S118</f>
        <v>4374373080.3080654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947859635.90518224</v>
      </c>
      <c r="Y143" s="2">
        <f>Y11/'Output-Calculation-sheet'!Y10*'Output-Calculation-sheet'!Y118</f>
        <v>169155992.93958503</v>
      </c>
      <c r="AA143" s="2">
        <f t="shared" si="12"/>
        <v>152880.44665197347</v>
      </c>
    </row>
    <row r="144" spans="1:27" x14ac:dyDescent="0.25">
      <c r="A144" s="2">
        <v>2035</v>
      </c>
      <c r="B144" s="2">
        <f>B12/'Output-Calculation-sheet'!B11*'Output-Calculation-sheet'!B119</f>
        <v>95012649913.500595</v>
      </c>
      <c r="C144" s="2">
        <f>C12/'Output-Calculation-sheet'!C11*'Output-Calculation-sheet'!C119</f>
        <v>45646188777.020401</v>
      </c>
      <c r="D144" s="2">
        <f>D12/'Output-Calculation-sheet'!D11*'Output-Calculation-sheet'!D119</f>
        <v>0</v>
      </c>
      <c r="E144" s="2">
        <f>E12/'Output-Calculation-sheet'!E11*'Output-Calculation-sheet'!E119</f>
        <v>15365118444.384007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13790511615.5504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3165976875.199028</v>
      </c>
      <c r="M144" s="2">
        <f>M12/'Output-Calculation-sheet'!M11*'Output-Calculation-sheet'!M119</f>
        <v>9398659139.9550285</v>
      </c>
      <c r="N144" s="2">
        <f>N12/'Output-Calculation-sheet'!N11*'Output-Calculation-sheet'!N119</f>
        <v>9285921154.3991413</v>
      </c>
      <c r="O144" s="2">
        <f>O12/'Output-Calculation-sheet'!O11*'Output-Calculation-sheet'!O119</f>
        <v>8873672946.2179489</v>
      </c>
      <c r="P144" s="2">
        <f>P12/'Output-Calculation-sheet'!P11*'Output-Calculation-sheet'!P119</f>
        <v>6628379688.1945667</v>
      </c>
      <c r="Q144" s="2">
        <f>Q12/'Output-Calculation-sheet'!Q11*'Output-Calculation-sheet'!Q119</f>
        <v>6261838875.6971207</v>
      </c>
      <c r="R144" s="2">
        <f>R12/'Output-Calculation-sheet'!R11*'Output-Calculation-sheet'!R119</f>
        <v>704927192.13845599</v>
      </c>
      <c r="S144" s="2">
        <f>S12/'Output-Calculation-sheet'!S11*'Output-Calculation-sheet'!S119</f>
        <v>5351638396.1512241</v>
      </c>
      <c r="T144" s="2">
        <f>T12/'Output-Calculation-sheet'!T11*'Output-Calculation-sheet'!T119</f>
        <v>0</v>
      </c>
      <c r="U144" s="2">
        <f>U12/'Output-Calculation-sheet'!U11*'Output-Calculation-sheet'!U119</f>
        <v>1164183470.9011889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1054767328.1196141</v>
      </c>
      <c r="Y144" s="2">
        <f>Y12/'Output-Calculation-sheet'!Y11*'Output-Calculation-sheet'!Y119</f>
        <v>564466926.64357209</v>
      </c>
      <c r="AA144" s="2">
        <f t="shared" si="12"/>
        <v>222268.90074407231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411447279.93031591</v>
      </c>
      <c r="C155" s="2">
        <f>C12/'Output-Calculation-sheet'!C11*'Output-Calculation-sheet'!C128</f>
        <v>39307863.314201489</v>
      </c>
      <c r="D155" s="2">
        <f>D12/'Output-Calculation-sheet'!D11*'Output-Calculation-sheet'!D128</f>
        <v>2944610313.8044825</v>
      </c>
      <c r="E155" s="2">
        <f>E12/'Output-Calculation-sheet'!E11*'Output-Calculation-sheet'!E128</f>
        <v>439006113.10194325</v>
      </c>
      <c r="F155" s="2">
        <f>F12/'Output-Calculation-sheet'!F11*'Output-Calculation-sheet'!F128</f>
        <v>909437558.4214828</v>
      </c>
      <c r="G155" s="2">
        <f>G12/'Output-Calculation-sheet'!G11*'Output-Calculation-sheet'!G128</f>
        <v>1144189748.1218963</v>
      </c>
      <c r="H155" s="2">
        <f>H12/'Output-Calculation-sheet'!H11*'Output-Calculation-sheet'!H128</f>
        <v>86709540.352753729</v>
      </c>
      <c r="I155" s="2">
        <f>I12/'Output-Calculation-sheet'!I11*'Output-Calculation-sheet'!I128</f>
        <v>687940759.84110928</v>
      </c>
      <c r="J155" s="2">
        <f>J12/'Output-Calculation-sheet'!J11*'Output-Calculation-sheet'!J128</f>
        <v>774069547.47301829</v>
      </c>
      <c r="K155" s="2">
        <f>K12/'Output-Calculation-sheet'!K11*'Output-Calculation-sheet'!K128</f>
        <v>580258584.55634034</v>
      </c>
      <c r="L155" s="2">
        <f>L12/'Output-Calculation-sheet'!L11*'Output-Calculation-sheet'!L128</f>
        <v>184122870.48034921</v>
      </c>
      <c r="M155" s="2">
        <f>M12/'Output-Calculation-sheet'!M11*'Output-Calculation-sheet'!M128</f>
        <v>68934693.558307335</v>
      </c>
      <c r="N155" s="2">
        <f>N12/'Output-Calculation-sheet'!N11*'Output-Calculation-sheet'!N128</f>
        <v>63005952.788459979</v>
      </c>
      <c r="O155" s="2">
        <f>O12/'Output-Calculation-sheet'!O11*'Output-Calculation-sheet'!O128</f>
        <v>11130437.25112338</v>
      </c>
      <c r="P155" s="2">
        <f>P12/'Output-Calculation-sheet'!P11*'Output-Calculation-sheet'!P128</f>
        <v>46911607.647683807</v>
      </c>
      <c r="Q155" s="2">
        <f>Q12/'Output-Calculation-sheet'!Q11*'Output-Calculation-sheet'!Q128</f>
        <v>158699138.79469872</v>
      </c>
      <c r="R155" s="2">
        <f>R12/'Output-Calculation-sheet'!R11*'Output-Calculation-sheet'!R128</f>
        <v>321368102.77194268</v>
      </c>
      <c r="S155" s="2">
        <f>S12/'Output-Calculation-sheet'!S11*'Output-Calculation-sheet'!S128</f>
        <v>38634599.724108949</v>
      </c>
      <c r="T155" s="2">
        <f>T12/'Output-Calculation-sheet'!T11*'Output-Calculation-sheet'!T128</f>
        <v>100329586.84100144</v>
      </c>
      <c r="U155" s="2">
        <f>U12/'Output-Calculation-sheet'!U11*'Output-Calculation-sheet'!U128</f>
        <v>55223684.161540851</v>
      </c>
      <c r="V155" s="2">
        <f>V12/'Output-Calculation-sheet'!V11*'Output-Calculation-sheet'!V128</f>
        <v>41139414.971763358</v>
      </c>
      <c r="W155" s="2">
        <f>W12/'Output-Calculation-sheet'!W11*'Output-Calculation-sheet'!W128</f>
        <v>66496655.038569055</v>
      </c>
      <c r="X155" s="2">
        <f>X12/'Output-Calculation-sheet'!X11*'Output-Calculation-sheet'!X128</f>
        <v>2076835.5029247219</v>
      </c>
      <c r="Y155" s="2">
        <f>Y12/'Output-Calculation-sheet'!Y11*'Output-Calculation-sheet'!Y128</f>
        <v>13928977.199351178</v>
      </c>
      <c r="AA155" s="2">
        <f t="shared" si="13"/>
        <v>9188.9798656493676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5967.2304049795148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1807.5458439012284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1255.5931079091292</v>
      </c>
      <c r="N19" s="2">
        <f>N8/'Output-Calculation-sheet'!N7*'Output-Calculation-sheet'!N25</f>
        <v>1044.5050913058526</v>
      </c>
      <c r="O19" s="2">
        <f>O8/'Output-Calculation-sheet'!O7*'Output-Calculation-sheet'!O25</f>
        <v>655.5398465753899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135.89010138555898</v>
      </c>
      <c r="Y19" s="2">
        <f>Y8/'Output-Calculation-sheet'!Y7*'Output-Calculation-sheet'!Y25</f>
        <v>0</v>
      </c>
      <c r="AA19" s="2">
        <f t="shared" si="0"/>
        <v>12.617641375746746</v>
      </c>
    </row>
    <row r="20" spans="1:27" x14ac:dyDescent="0.25">
      <c r="A20" s="2">
        <v>2032</v>
      </c>
      <c r="B20" s="2">
        <f>B9/'Output-Calculation-sheet'!B8*'Output-Calculation-sheet'!B26</f>
        <v>6237.4818075637177</v>
      </c>
      <c r="C20" s="2">
        <f>C9/'Output-Calculation-sheet'!C8*'Output-Calculation-sheet'!C26</f>
        <v>3420.4827436284359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2053.3326802306265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1434.883047877523</v>
      </c>
      <c r="N20" s="2">
        <f>N9/'Output-Calculation-sheet'!N8*'Output-Calculation-sheet'!N26</f>
        <v>994.41305252722179</v>
      </c>
      <c r="O20" s="2">
        <f>O9/'Output-Calculation-sheet'!O8*'Output-Calculation-sheet'!O26</f>
        <v>668.2989393541028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471.70302474090039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156.13623197624611</v>
      </c>
      <c r="Y20" s="2">
        <f>Y9/'Output-Calculation-sheet'!Y8*'Output-Calculation-sheet'!Y26</f>
        <v>0</v>
      </c>
      <c r="AA20" s="2">
        <f t="shared" si="0"/>
        <v>15.436731527898775</v>
      </c>
    </row>
    <row r="21" spans="1:27" x14ac:dyDescent="0.25">
      <c r="A21" s="2">
        <v>2033</v>
      </c>
      <c r="B21" s="2">
        <f>B10/'Output-Calculation-sheet'!B9*'Output-Calculation-sheet'!B27</f>
        <v>5637.45519786775</v>
      </c>
      <c r="C21" s="2">
        <f>C10/'Output-Calculation-sheet'!C9*'Output-Calculation-sheet'!C27</f>
        <v>3465.0185428869863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1136.09916578601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804.14036159544787</v>
      </c>
      <c r="N21" s="2">
        <f>N10/'Output-Calculation-sheet'!N9*'Output-Calculation-sheet'!N27</f>
        <v>814.35076645978927</v>
      </c>
      <c r="O21" s="2">
        <f>O10/'Output-Calculation-sheet'!O9*'Output-Calculation-sheet'!O27</f>
        <v>678.37634320823122</v>
      </c>
      <c r="P21" s="2">
        <f>P10/'Output-Calculation-sheet'!P9*'Output-Calculation-sheet'!P27</f>
        <v>0</v>
      </c>
      <c r="Q21" s="2">
        <f>Q10/'Output-Calculation-sheet'!Q9*'Output-Calculation-sheet'!Q27</f>
        <v>9.6143794831680207</v>
      </c>
      <c r="R21" s="2">
        <f>R10/'Output-Calculation-sheet'!R9*'Output-Calculation-sheet'!R27</f>
        <v>0</v>
      </c>
      <c r="S21" s="2">
        <f>S10/'Output-Calculation-sheet'!S9*'Output-Calculation-sheet'!S27</f>
        <v>387.76368415969165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80.296871080059475</v>
      </c>
      <c r="Y21" s="2">
        <f>Y10/'Output-Calculation-sheet'!Y9*'Output-Calculation-sheet'!Y27</f>
        <v>0</v>
      </c>
      <c r="AA21" s="2">
        <f t="shared" si="0"/>
        <v>13.013115312527134</v>
      </c>
    </row>
    <row r="22" spans="1:27" x14ac:dyDescent="0.25">
      <c r="A22" s="2">
        <v>2034</v>
      </c>
      <c r="B22" s="2">
        <f>B11/'Output-Calculation-sheet'!B10*'Output-Calculation-sheet'!B28</f>
        <v>4559.8045059773722</v>
      </c>
      <c r="C22" s="2">
        <f>C11/'Output-Calculation-sheet'!C10*'Output-Calculation-sheet'!C28</f>
        <v>460.29421795155685</v>
      </c>
      <c r="D22" s="2">
        <f>D11/'Output-Calculation-sheet'!D10*'Output-Calculation-sheet'!D28</f>
        <v>0</v>
      </c>
      <c r="E22" s="2">
        <f>E11/'Output-Calculation-sheet'!E10*'Output-Calculation-sheet'!E28</f>
        <v>1528.4255249961479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1211.9907383864982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926.96270502928667</v>
      </c>
      <c r="M22" s="2">
        <f>M11/'Output-Calculation-sheet'!M10*'Output-Calculation-sheet'!M28</f>
        <v>862.56918878575721</v>
      </c>
      <c r="N22" s="2">
        <f>N11/'Output-Calculation-sheet'!N10*'Output-Calculation-sheet'!N28</f>
        <v>576.63242381726627</v>
      </c>
      <c r="O22" s="2">
        <f>O11/'Output-Calculation-sheet'!O10*'Output-Calculation-sheet'!O28</f>
        <v>90.287782093523973</v>
      </c>
      <c r="P22" s="2">
        <f>P11/'Output-Calculation-sheet'!P10*'Output-Calculation-sheet'!P28</f>
        <v>0</v>
      </c>
      <c r="Q22" s="2">
        <f>Q11/'Output-Calculation-sheet'!Q10*'Output-Calculation-sheet'!Q28</f>
        <v>273.35898456793313</v>
      </c>
      <c r="R22" s="2">
        <f>R11/'Output-Calculation-sheet'!R10*'Output-Calculation-sheet'!R28</f>
        <v>0</v>
      </c>
      <c r="S22" s="2">
        <f>S11/'Output-Calculation-sheet'!S10*'Output-Calculation-sheet'!S28</f>
        <v>215.90947321578668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84.753428484719095</v>
      </c>
      <c r="Y22" s="2">
        <f>Y11/'Output-Calculation-sheet'!Y10*'Output-Calculation-sheet'!Y28</f>
        <v>16.120354035532646</v>
      </c>
      <c r="AA22" s="2">
        <f t="shared" si="0"/>
        <v>10.807109327341381</v>
      </c>
    </row>
    <row r="23" spans="1:27" x14ac:dyDescent="0.25">
      <c r="A23" s="2">
        <v>2035</v>
      </c>
      <c r="B23" s="2">
        <f>B12/'Output-Calculation-sheet'!B11*'Output-Calculation-sheet'!B29</f>
        <v>1390.3477074441469</v>
      </c>
      <c r="C23" s="2">
        <f>C12/'Output-Calculation-sheet'!C11*'Output-Calculation-sheet'!C29</f>
        <v>239.11287053791341</v>
      </c>
      <c r="D23" s="2">
        <f>D12/'Output-Calculation-sheet'!D11*'Output-Calculation-sheet'!D29</f>
        <v>0</v>
      </c>
      <c r="E23" s="2">
        <f>E12/'Output-Calculation-sheet'!E11*'Output-Calculation-sheet'!E29</f>
        <v>1946.798188600475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372.92964866931521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1178.1604109725074</v>
      </c>
      <c r="M23" s="2">
        <f>M12/'Output-Calculation-sheet'!M11*'Output-Calculation-sheet'!M29</f>
        <v>336.39507145278577</v>
      </c>
      <c r="N23" s="2">
        <f>N12/'Output-Calculation-sheet'!N11*'Output-Calculation-sheet'!N29</f>
        <v>282.03347555132541</v>
      </c>
      <c r="O23" s="2">
        <f>O12/'Output-Calculation-sheet'!O11*'Output-Calculation-sheet'!O29</f>
        <v>40.754042094606838</v>
      </c>
      <c r="P23" s="2">
        <f>P12/'Output-Calculation-sheet'!P11*'Output-Calculation-sheet'!P29</f>
        <v>18.060054988335306</v>
      </c>
      <c r="Q23" s="2">
        <f>Q12/'Output-Calculation-sheet'!Q11*'Output-Calculation-sheet'!Q29</f>
        <v>363.61856569597245</v>
      </c>
      <c r="R23" s="2">
        <f>R12/'Output-Calculation-sheet'!R11*'Output-Calculation-sheet'!R29</f>
        <v>0</v>
      </c>
      <c r="S23" s="2">
        <f>S12/'Output-Calculation-sheet'!S11*'Output-Calculation-sheet'!S29</f>
        <v>138.09245405470307</v>
      </c>
      <c r="T23" s="2">
        <f>T12/'Output-Calculation-sheet'!T11*'Output-Calculation-sheet'!T29</f>
        <v>0</v>
      </c>
      <c r="U23" s="2">
        <f>U12/'Output-Calculation-sheet'!U11*'Output-Calculation-sheet'!U29</f>
        <v>99.008698324015569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11.930951353872068</v>
      </c>
      <c r="Y23" s="2">
        <f>Y12/'Output-Calculation-sheet'!Y11*'Output-Calculation-sheet'!Y29</f>
        <v>63.939454173920296</v>
      </c>
      <c r="AA23" s="2">
        <f t="shared" si="0"/>
        <v>6.4811815939138953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1190.7137096181375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46.684852940240617</v>
      </c>
    </row>
    <row r="31" spans="1:27" x14ac:dyDescent="0.25">
      <c r="A31" s="2">
        <v>2032</v>
      </c>
      <c r="B31" s="2">
        <f>B9/'Output-Calculation-sheet'!B8*'Output-Calculation-sheet'!B17</f>
        <v>26224.956379843286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1025.4234334323382</v>
      </c>
      <c r="O31" s="2">
        <f>O9/'Output-Calculation-sheet'!O8*'Output-Calculation-sheet'!O17</f>
        <v>0</v>
      </c>
      <c r="P31" s="2">
        <f>P9/'Output-Calculation-sheet'!P8*'Output-Calculation-sheet'!P17</f>
        <v>2563.565481141392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848.70993385850204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60.085173080506351</v>
      </c>
    </row>
    <row r="32" spans="1:27" x14ac:dyDescent="0.25">
      <c r="A32" s="2">
        <v>2033</v>
      </c>
      <c r="B32" s="2">
        <f>B10/'Output-Calculation-sheet'!B9*'Output-Calculation-sheet'!B18</f>
        <v>20392.165904990939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3192.676743070328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825.37681836311913</v>
      </c>
      <c r="O32" s="2">
        <f>O10/'Output-Calculation-sheet'!O9*'Output-Calculation-sheet'!O18</f>
        <v>0</v>
      </c>
      <c r="P32" s="2">
        <f>P10/'Output-Calculation-sheet'!P9*'Output-Calculation-sheet'!P18</f>
        <v>3285.9024334145083</v>
      </c>
      <c r="Q32" s="2">
        <f>Q10/'Output-Calculation-sheet'!Q9*'Output-Calculation-sheet'!Q18</f>
        <v>3042.2913381363423</v>
      </c>
      <c r="R32" s="2">
        <f>R10/'Output-Calculation-sheet'!R9*'Output-Calculation-sheet'!R18</f>
        <v>2359.5205082365242</v>
      </c>
      <c r="S32" s="2">
        <f>S10/'Output-Calculation-sheet'!S9*'Output-Calculation-sheet'!S18</f>
        <v>750.84893880350273</v>
      </c>
      <c r="T32" s="2">
        <f>T10/'Output-Calculation-sheet'!T9*'Output-Calculation-sheet'!T18</f>
        <v>688.9085646635458</v>
      </c>
      <c r="U32" s="2">
        <f>U10/'Output-Calculation-sheet'!U9*'Output-Calculation-sheet'!U18</f>
        <v>761.58140576641176</v>
      </c>
      <c r="V32" s="2">
        <f>V10/'Output-Calculation-sheet'!V9*'Output-Calculation-sheet'!V18</f>
        <v>562.14979810465059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325.44046363651012</v>
      </c>
      <c r="AA32" s="2">
        <f t="shared" si="1"/>
        <v>64.828582346923312</v>
      </c>
    </row>
    <row r="33" spans="1:27" x14ac:dyDescent="0.25">
      <c r="A33" s="2">
        <v>2034</v>
      </c>
      <c r="B33" s="2">
        <f>B11/'Output-Calculation-sheet'!B10*'Output-Calculation-sheet'!B19</f>
        <v>13796.390128114555</v>
      </c>
      <c r="C33" s="2">
        <f>C11/'Output-Calculation-sheet'!C10*'Output-Calculation-sheet'!C19</f>
        <v>0</v>
      </c>
      <c r="D33" s="2">
        <f>D11/'Output-Calculation-sheet'!D10*'Output-Calculation-sheet'!D19</f>
        <v>9174.3410677827378</v>
      </c>
      <c r="E33" s="2">
        <f>E11/'Output-Calculation-sheet'!E10*'Output-Calculation-sheet'!E19</f>
        <v>11372.576164267974</v>
      </c>
      <c r="F33" s="2">
        <f>F11/'Output-Calculation-sheet'!F10*'Output-Calculation-sheet'!F19</f>
        <v>5207.3055221909699</v>
      </c>
      <c r="G33" s="2">
        <f>G11/'Output-Calculation-sheet'!G10*'Output-Calculation-sheet'!G19</f>
        <v>3122.6240675682025</v>
      </c>
      <c r="H33" s="2">
        <f>H11/'Output-Calculation-sheet'!H10*'Output-Calculation-sheet'!H19</f>
        <v>0</v>
      </c>
      <c r="I33" s="2">
        <f>I11/'Output-Calculation-sheet'!I10*'Output-Calculation-sheet'!I19</f>
        <v>3407.6645670648254</v>
      </c>
      <c r="J33" s="2">
        <f>J11/'Output-Calculation-sheet'!J10*'Output-Calculation-sheet'!J19</f>
        <v>2881.07319528992</v>
      </c>
      <c r="K33" s="2">
        <f>K11/'Output-Calculation-sheet'!K10*'Output-Calculation-sheet'!K19</f>
        <v>3996.6681981210013</v>
      </c>
      <c r="L33" s="2">
        <f>L11/'Output-Calculation-sheet'!L10*'Output-Calculation-sheet'!L19</f>
        <v>3250.5006030465506</v>
      </c>
      <c r="M33" s="2">
        <f>M11/'Output-Calculation-sheet'!M10*'Output-Calculation-sheet'!M19</f>
        <v>0</v>
      </c>
      <c r="N33" s="2">
        <f>N11/'Output-Calculation-sheet'!N10*'Output-Calculation-sheet'!N19</f>
        <v>617.01030120318808</v>
      </c>
      <c r="O33" s="2">
        <f>O11/'Output-Calculation-sheet'!O10*'Output-Calculation-sheet'!O19</f>
        <v>0</v>
      </c>
      <c r="P33" s="2">
        <f>P11/'Output-Calculation-sheet'!P10*'Output-Calculation-sheet'!P19</f>
        <v>3054.3015246711921</v>
      </c>
      <c r="Q33" s="2">
        <f>Q11/'Output-Calculation-sheet'!Q10*'Output-Calculation-sheet'!Q19</f>
        <v>1974.4245179230572</v>
      </c>
      <c r="R33" s="2">
        <f>R11/'Output-Calculation-sheet'!R10*'Output-Calculation-sheet'!R19</f>
        <v>2887.8814150205217</v>
      </c>
      <c r="S33" s="2">
        <f>S11/'Output-Calculation-sheet'!S10*'Output-Calculation-sheet'!S19</f>
        <v>392.23286572867011</v>
      </c>
      <c r="T33" s="2">
        <f>T11/'Output-Calculation-sheet'!T10*'Output-Calculation-sheet'!T19</f>
        <v>847.00018501870329</v>
      </c>
      <c r="U33" s="2">
        <f>U11/'Output-Calculation-sheet'!U10*'Output-Calculation-sheet'!U19</f>
        <v>974.303023969739</v>
      </c>
      <c r="V33" s="2">
        <f>V11/'Output-Calculation-sheet'!V10*'Output-Calculation-sheet'!V19</f>
        <v>664.4006731449665</v>
      </c>
      <c r="W33" s="2">
        <f>W11/'Output-Calculation-sheet'!W10*'Output-Calculation-sheet'!W19</f>
        <v>413.63295097166178</v>
      </c>
      <c r="X33" s="2">
        <f>X11/'Output-Calculation-sheet'!X10*'Output-Calculation-sheet'!X19</f>
        <v>0</v>
      </c>
      <c r="Y33" s="2">
        <f>Y11/'Output-Calculation-sheet'!Y10*'Output-Calculation-sheet'!Y19</f>
        <v>315.82779071357396</v>
      </c>
      <c r="AA33" s="2">
        <f t="shared" si="1"/>
        <v>68.350158761812011</v>
      </c>
    </row>
    <row r="34" spans="1:27" x14ac:dyDescent="0.25">
      <c r="A34" s="2">
        <v>2035</v>
      </c>
      <c r="B34" s="2">
        <f>B12/'Output-Calculation-sheet'!B11*'Output-Calculation-sheet'!B20</f>
        <v>198.19587006119684</v>
      </c>
      <c r="C34" s="2">
        <f>C12/'Output-Calculation-sheet'!C11*'Output-Calculation-sheet'!C20</f>
        <v>0</v>
      </c>
      <c r="D34" s="2">
        <f>D12/'Output-Calculation-sheet'!D11*'Output-Calculation-sheet'!D20</f>
        <v>9819.6917675919995</v>
      </c>
      <c r="E34" s="2">
        <f>E12/'Output-Calculation-sheet'!E11*'Output-Calculation-sheet'!E20</f>
        <v>3957.2387798694826</v>
      </c>
      <c r="F34" s="2">
        <f>F12/'Output-Calculation-sheet'!F11*'Output-Calculation-sheet'!F20</f>
        <v>6487.3839363225288</v>
      </c>
      <c r="G34" s="2">
        <f>G12/'Output-Calculation-sheet'!G11*'Output-Calculation-sheet'!G20</f>
        <v>3246.0559975290239</v>
      </c>
      <c r="H34" s="2">
        <f>H12/'Output-Calculation-sheet'!H11*'Output-Calculation-sheet'!H20</f>
        <v>0</v>
      </c>
      <c r="I34" s="2">
        <f>I12/'Output-Calculation-sheet'!I11*'Output-Calculation-sheet'!I20</f>
        <v>3934.9453718238901</v>
      </c>
      <c r="J34" s="2">
        <f>J12/'Output-Calculation-sheet'!J11*'Output-Calculation-sheet'!J20</f>
        <v>3297.4305273005975</v>
      </c>
      <c r="K34" s="2">
        <f>K12/'Output-Calculation-sheet'!K11*'Output-Calculation-sheet'!K20</f>
        <v>4652.1958414561495</v>
      </c>
      <c r="L34" s="2">
        <f>L12/'Output-Calculation-sheet'!L11*'Output-Calculation-sheet'!L20</f>
        <v>1777.1252878862549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749.39916796669945</v>
      </c>
      <c r="Q34" s="2">
        <f>Q12/'Output-Calculation-sheet'!Q11*'Output-Calculation-sheet'!Q20</f>
        <v>728.46863416383246</v>
      </c>
      <c r="R34" s="2">
        <f>R12/'Output-Calculation-sheet'!R11*'Output-Calculation-sheet'!R20</f>
        <v>2934.1832320458388</v>
      </c>
      <c r="S34" s="2">
        <f>S12/'Output-Calculation-sheet'!S11*'Output-Calculation-sheet'!S20</f>
        <v>0.91686135426732041</v>
      </c>
      <c r="T34" s="2">
        <f>T12/'Output-Calculation-sheet'!T11*'Output-Calculation-sheet'!T20</f>
        <v>964.38819618486832</v>
      </c>
      <c r="U34" s="2">
        <f>U12/'Output-Calculation-sheet'!U11*'Output-Calculation-sheet'!U20</f>
        <v>406.04910591213473</v>
      </c>
      <c r="V34" s="2">
        <f>V12/'Output-Calculation-sheet'!V11*'Output-Calculation-sheet'!V20</f>
        <v>871.74001277310401</v>
      </c>
      <c r="W34" s="2">
        <f>W12/'Output-Calculation-sheet'!W11*'Output-Calculation-sheet'!W20</f>
        <v>516.27522361930369</v>
      </c>
      <c r="X34" s="2">
        <f>X12/'Output-Calculation-sheet'!X11*'Output-Calculation-sheet'!X20</f>
        <v>0</v>
      </c>
      <c r="Y34" s="2">
        <f>Y12/'Output-Calculation-sheet'!Y11*'Output-Calculation-sheet'!Y20</f>
        <v>109.79569108247271</v>
      </c>
      <c r="AA34" s="2">
        <f t="shared" si="1"/>
        <v>44.651479504943651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8.4931037801729031E-2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1.1601094656393899E-2</v>
      </c>
      <c r="Q45" s="2">
        <f>Q12/'Output-Calculation-sheet'!Q11*'Output-Calculation-sheet'!Q38*0.0114</f>
        <v>1.1002454231597783E-2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1.0531333337525838E-2</v>
      </c>
      <c r="V45" s="2">
        <f>V12/'Output-Calculation-sheet'!V11*'Output-Calculation-sheet'!V38*0.0114</f>
        <v>5.4137186729869809E-3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4.0578850601392397E-3</v>
      </c>
      <c r="AA45" s="2">
        <f t="shared" si="2"/>
        <v>0.9611648115392456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0.1672092260709038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209.19482249696097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0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19.51942192837415</v>
      </c>
      <c r="AA54" s="2">
        <f t="shared" si="3"/>
        <v>5.1530503442901798</v>
      </c>
    </row>
    <row r="55" spans="1:27" x14ac:dyDescent="0.25">
      <c r="A55" s="2">
        <v>2034</v>
      </c>
      <c r="B55" s="2">
        <f>B11/'Output-Calculation-sheet'!B10*'Output-Calculation-sheet'!B46</f>
        <v>1802.5982666289069</v>
      </c>
      <c r="C55" s="2">
        <f>C11/'Output-Calculation-sheet'!C10*'Output-Calculation-sheet'!C46</f>
        <v>0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614.52141488085306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455.4704370431906</v>
      </c>
      <c r="N55" s="2">
        <f>N11/'Output-Calculation-sheet'!N10*'Output-Calculation-sheet'!N46</f>
        <v>155.5507112940968</v>
      </c>
      <c r="O55" s="2">
        <f>O11/'Output-Calculation-sheet'!O10*'Output-Calculation-sheet'!O46</f>
        <v>0</v>
      </c>
      <c r="P55" s="2">
        <f>P11/'Output-Calculation-sheet'!P10*'Output-Calculation-sheet'!P46</f>
        <v>3383.0193335382737</v>
      </c>
      <c r="Q55" s="2">
        <f>Q11/'Output-Calculation-sheet'!Q10*'Output-Calculation-sheet'!Q46</f>
        <v>653.34166416242454</v>
      </c>
      <c r="R55" s="2">
        <f>R11/'Output-Calculation-sheet'!R10*'Output-Calculation-sheet'!R46</f>
        <v>4189.7582630609559</v>
      </c>
      <c r="S55" s="2">
        <f>S11/'Output-Calculation-sheet'!S10*'Output-Calculation-sheet'!S46</f>
        <v>0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1591.9609811182424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43.471792553247369</v>
      </c>
      <c r="Y55" s="2">
        <f>Y11/'Output-Calculation-sheet'!Y10*'Output-Calculation-sheet'!Y46</f>
        <v>225.74302297475481</v>
      </c>
      <c r="AA55" s="2">
        <f t="shared" si="3"/>
        <v>45.106703219471548</v>
      </c>
    </row>
    <row r="56" spans="1:27" x14ac:dyDescent="0.25">
      <c r="A56" s="2">
        <v>2035</v>
      </c>
      <c r="B56" s="2">
        <f>B12/'Output-Calculation-sheet'!B11*'Output-Calculation-sheet'!B47</f>
        <v>546.2705384744429</v>
      </c>
      <c r="C56" s="2">
        <f>C12/'Output-Calculation-sheet'!C11*'Output-Calculation-sheet'!C47</f>
        <v>412.71971458192621</v>
      </c>
      <c r="D56" s="2">
        <f>D12/'Output-Calculation-sheet'!D11*'Output-Calculation-sheet'!D47</f>
        <v>19498.581279979531</v>
      </c>
      <c r="E56" s="2">
        <f>E12/'Output-Calculation-sheet'!E11*'Output-Calculation-sheet'!E47</f>
        <v>8947.5593333225042</v>
      </c>
      <c r="F56" s="2">
        <f>F12/'Output-Calculation-sheet'!F11*'Output-Calculation-sheet'!F47</f>
        <v>4587.1972265548184</v>
      </c>
      <c r="G56" s="2">
        <f>G12/'Output-Calculation-sheet'!G11*'Output-Calculation-sheet'!G47</f>
        <v>7366.1690742386891</v>
      </c>
      <c r="H56" s="2">
        <f>H12/'Output-Calculation-sheet'!H11*'Output-Calculation-sheet'!H47</f>
        <v>159.62432059117168</v>
      </c>
      <c r="I56" s="2">
        <f>I12/'Output-Calculation-sheet'!I11*'Output-Calculation-sheet'!I47</f>
        <v>6710.1030437873915</v>
      </c>
      <c r="J56" s="2">
        <f>J12/'Output-Calculation-sheet'!J11*'Output-Calculation-sheet'!J47</f>
        <v>5789.1670507810204</v>
      </c>
      <c r="K56" s="2">
        <f>K12/'Output-Calculation-sheet'!K11*'Output-Calculation-sheet'!K47</f>
        <v>7807.8299935395271</v>
      </c>
      <c r="L56" s="2">
        <f>L12/'Output-Calculation-sheet'!L11*'Output-Calculation-sheet'!L47</f>
        <v>3480.6429549792638</v>
      </c>
      <c r="M56" s="2">
        <f>M12/'Output-Calculation-sheet'!M11*'Output-Calculation-sheet'!M47</f>
        <v>147.94380470499871</v>
      </c>
      <c r="N56" s="2">
        <f>N12/'Output-Calculation-sheet'!N11*'Output-Calculation-sheet'!N47</f>
        <v>100.24116529967078</v>
      </c>
      <c r="O56" s="2">
        <f>O12/'Output-Calculation-sheet'!O11*'Output-Calculation-sheet'!O47</f>
        <v>75.04023288367803</v>
      </c>
      <c r="P56" s="2">
        <f>P12/'Output-Calculation-sheet'!P11*'Output-Calculation-sheet'!P47</f>
        <v>783.58270924765804</v>
      </c>
      <c r="Q56" s="2">
        <f>Q12/'Output-Calculation-sheet'!Q11*'Output-Calculation-sheet'!Q47</f>
        <v>746.04360710746369</v>
      </c>
      <c r="R56" s="2">
        <f>R12/'Output-Calculation-sheet'!R11*'Output-Calculation-sheet'!R47</f>
        <v>5504.315928129432</v>
      </c>
      <c r="S56" s="2">
        <f>S12/'Output-Calculation-sheet'!S11*'Output-Calculation-sheet'!S47</f>
        <v>52.410118735666394</v>
      </c>
      <c r="T56" s="2">
        <f>T12/'Output-Calculation-sheet'!T11*'Output-Calculation-sheet'!T47</f>
        <v>2409.9577841350147</v>
      </c>
      <c r="U56" s="2">
        <f>U12/'Output-Calculation-sheet'!U11*'Output-Calculation-sheet'!U47</f>
        <v>969.37536100968828</v>
      </c>
      <c r="V56" s="2">
        <f>V12/'Output-Calculation-sheet'!V11*'Output-Calculation-sheet'!V47</f>
        <v>1308.077902170407</v>
      </c>
      <c r="W56" s="2">
        <f>W12/'Output-Calculation-sheet'!W11*'Output-Calculation-sheet'!W47</f>
        <v>700.51358667678539</v>
      </c>
      <c r="X56" s="2">
        <f>X12/'Output-Calculation-sheet'!X11*'Output-Calculation-sheet'!X47</f>
        <v>11.311639112464627</v>
      </c>
      <c r="Y56" s="2">
        <f>Y12/'Output-Calculation-sheet'!Y11*'Output-Calculation-sheet'!Y47</f>
        <v>229.59086524472013</v>
      </c>
      <c r="AA56" s="2">
        <f t="shared" si="3"/>
        <v>78.344269235287953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8.6098278970959417</v>
      </c>
      <c r="C63" s="2">
        <f>C8*'Output-Calculation-sheet'!C52/10^9</f>
        <v>4.599812870098118</v>
      </c>
      <c r="D63" s="2">
        <f>D8*'Output-Calculation-sheet'!D52/10^9</f>
        <v>2.9524944964094941</v>
      </c>
      <c r="E63" s="2">
        <f>E8*'Output-Calculation-sheet'!E52/10^9</f>
        <v>2.9355715014524097</v>
      </c>
      <c r="F63" s="2">
        <f>F8*'Output-Calculation-sheet'!F52/10^9</f>
        <v>1.2432142881826436</v>
      </c>
      <c r="G63" s="2">
        <f>G8*'Output-Calculation-sheet'!G52/10^9</f>
        <v>0.89381490957775844</v>
      </c>
      <c r="H63" s="2">
        <f>H8*'Output-Calculation-sheet'!H52/10^9</f>
        <v>1.4537040838919588</v>
      </c>
      <c r="I63" s="2">
        <f>I8*'Output-Calculation-sheet'!I52/10^9</f>
        <v>0.83145537618592391</v>
      </c>
      <c r="J63" s="2">
        <f>J8*'Output-Calculation-sheet'!J52/10^9</f>
        <v>1.1441389552832741</v>
      </c>
      <c r="K63" s="2">
        <f>K8*'Output-Calculation-sheet'!K52/10^9</f>
        <v>1.0052278342849781</v>
      </c>
      <c r="L63" s="2">
        <f>L8*'Output-Calculation-sheet'!L52/10^9</f>
        <v>1.3520798028452983</v>
      </c>
      <c r="M63" s="2">
        <f>M8*'Output-Calculation-sheet'!M52/10^9</f>
        <v>1.1909223044732389</v>
      </c>
      <c r="N63" s="2">
        <f>N8*'Output-Calculation-sheet'!N52/10^9</f>
        <v>1.0508162977817206</v>
      </c>
      <c r="O63" s="2">
        <f>O8*'Output-Calculation-sheet'!O52/10^9</f>
        <v>0.9410820046603785</v>
      </c>
      <c r="P63" s="2">
        <f>P8*'Output-Calculation-sheet'!P52/10^9</f>
        <v>0.69458531747545671</v>
      </c>
      <c r="Q63" s="2">
        <f>Q8*'Output-Calculation-sheet'!Q52/10^9</f>
        <v>0.78606703399881772</v>
      </c>
      <c r="R63" s="2">
        <f>R8*'Output-Calculation-sheet'!R52/10^9</f>
        <v>0.70573216202223332</v>
      </c>
      <c r="S63" s="2">
        <f>S8*'Output-Calculation-sheet'!S52/10^9</f>
        <v>0.52297253739066962</v>
      </c>
      <c r="T63" s="2">
        <f>T8*'Output-Calculation-sheet'!T52/10^9</f>
        <v>0.26830928664595105</v>
      </c>
      <c r="U63" s="2">
        <f>U8*'Output-Calculation-sheet'!U52/10^9</f>
        <v>0.18427194295656552</v>
      </c>
      <c r="V63" s="2">
        <f>V8*'Output-Calculation-sheet'!V52/10^9</f>
        <v>0.32703915187343791</v>
      </c>
      <c r="W63" s="2">
        <f>W8*'Output-Calculation-sheet'!W52/10^9</f>
        <v>0.11837285103898219</v>
      </c>
      <c r="X63" s="2">
        <f>X8*'Output-Calculation-sheet'!X52/10^9</f>
        <v>0.12196919158414449</v>
      </c>
      <c r="Y63" s="2">
        <f>Y8*'Output-Calculation-sheet'!Y52/10^9</f>
        <v>7.7234992459219332E-2</v>
      </c>
      <c r="AA63" s="2">
        <f t="shared" si="4"/>
        <v>34.010717089668617</v>
      </c>
    </row>
    <row r="64" spans="1:27" x14ac:dyDescent="0.25">
      <c r="A64" s="2">
        <v>2032</v>
      </c>
      <c r="B64" s="2">
        <f>B9*'Output-Calculation-sheet'!B53/10^9</f>
        <v>8.9427962390538962</v>
      </c>
      <c r="C64" s="2">
        <f>C9*'Output-Calculation-sheet'!C53/10^9</f>
        <v>4.7408524821879254</v>
      </c>
      <c r="D64" s="2">
        <f>D9*'Output-Calculation-sheet'!D53/10^9</f>
        <v>2.6485648024740778</v>
      </c>
      <c r="E64" s="2">
        <f>E9*'Output-Calculation-sheet'!E53/10^9</f>
        <v>2.7122468890239211</v>
      </c>
      <c r="F64" s="2">
        <f>F9*'Output-Calculation-sheet'!F53/10^9</f>
        <v>1.144008730605911</v>
      </c>
      <c r="G64" s="2">
        <f>G9*'Output-Calculation-sheet'!G53/10^9</f>
        <v>0.81427041795867805</v>
      </c>
      <c r="H64" s="2">
        <f>H9*'Output-Calculation-sheet'!H53/10^9</f>
        <v>1.4878813803039037</v>
      </c>
      <c r="I64" s="2">
        <f>I9*'Output-Calculation-sheet'!I53/10^9</f>
        <v>0.76120975940258773</v>
      </c>
      <c r="J64" s="2">
        <f>J9*'Output-Calculation-sheet'!J53/10^9</f>
        <v>1.0076870550193204</v>
      </c>
      <c r="K64" s="2">
        <f>K9*'Output-Calculation-sheet'!K53/10^9</f>
        <v>0.93499648769605093</v>
      </c>
      <c r="L64" s="2">
        <f>L9*'Output-Calculation-sheet'!L53/10^9</f>
        <v>1.202870186783094</v>
      </c>
      <c r="M64" s="2">
        <f>M9*'Output-Calculation-sheet'!M53/10^9</f>
        <v>1.1804598547181122</v>
      </c>
      <c r="N64" s="2">
        <f>N9*'Output-Calculation-sheet'!N53/10^9</f>
        <v>1.0627952844433044</v>
      </c>
      <c r="O64" s="2">
        <f>O9*'Output-Calculation-sheet'!O53/10^9</f>
        <v>0.96005813059219636</v>
      </c>
      <c r="P64" s="2">
        <f>P9*'Output-Calculation-sheet'!P53/10^9</f>
        <v>0.7128571989580661</v>
      </c>
      <c r="Q64" s="2">
        <f>Q9*'Output-Calculation-sheet'!Q53/10^9</f>
        <v>0.78783006421621526</v>
      </c>
      <c r="R64" s="2">
        <f>R9*'Output-Calculation-sheet'!R53/10^9</f>
        <v>0.67535641251731948</v>
      </c>
      <c r="S64" s="2">
        <f>S9*'Output-Calculation-sheet'!S53/10^9</f>
        <v>0.54344040710946029</v>
      </c>
      <c r="T64" s="2">
        <f>T9*'Output-Calculation-sheet'!T53/10^9</f>
        <v>0.24277208676991666</v>
      </c>
      <c r="U64" s="2">
        <f>U9*'Output-Calculation-sheet'!U53/10^9</f>
        <v>0.1827294880198447</v>
      </c>
      <c r="V64" s="2">
        <f>V9*'Output-Calculation-sheet'!V53/10^9</f>
        <v>0.2881540502436834</v>
      </c>
      <c r="W64" s="2">
        <f>W9*'Output-Calculation-sheet'!W53/10^9</f>
        <v>0.10707266616067532</v>
      </c>
      <c r="X64" s="2">
        <f>X9*'Output-Calculation-sheet'!X53/10^9</f>
        <v>0.1227572798894071</v>
      </c>
      <c r="Y64" s="2">
        <f>Y9*'Output-Calculation-sheet'!Y53/10^9</f>
        <v>7.5018643237361335E-2</v>
      </c>
      <c r="AA64" s="2">
        <f t="shared" si="4"/>
        <v>33.338685997384928</v>
      </c>
    </row>
    <row r="65" spans="1:27" x14ac:dyDescent="0.25">
      <c r="A65" s="2">
        <v>2033</v>
      </c>
      <c r="B65" s="2">
        <f>B10*'Output-Calculation-sheet'!B54/10^9</f>
        <v>8.8537609493105176</v>
      </c>
      <c r="C65" s="2">
        <f>C10*'Output-Calculation-sheet'!C54/10^9</f>
        <v>4.5766677054369644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1.4372281264170705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0.83736557282336421</v>
      </c>
      <c r="L65" s="2">
        <f>L10*'Output-Calculation-sheet'!L54/10^9</f>
        <v>0.98903176829803596</v>
      </c>
      <c r="M65" s="2">
        <f>M10*'Output-Calculation-sheet'!M54/10^9</f>
        <v>1.0959779764893911</v>
      </c>
      <c r="N65" s="2">
        <f>N10*'Output-Calculation-sheet'!N54/10^9</f>
        <v>1.0056940937905401</v>
      </c>
      <c r="O65" s="2">
        <f>O10*'Output-Calculation-sheet'!O54/10^9</f>
        <v>0.91718444585910841</v>
      </c>
      <c r="P65" s="2">
        <f>P10*'Output-Calculation-sheet'!P54/10^9</f>
        <v>0.70845400455802765</v>
      </c>
      <c r="Q65" s="2">
        <f>Q10*'Output-Calculation-sheet'!Q54/10^9</f>
        <v>0.77174445556186388</v>
      </c>
      <c r="R65" s="2">
        <f>R10*'Output-Calculation-sheet'!R54/10^9</f>
        <v>0.62371556257148175</v>
      </c>
      <c r="S65" s="2">
        <f>S10*'Output-Calculation-sheet'!S54/10^9</f>
        <v>0.53050218063242904</v>
      </c>
      <c r="T65" s="2">
        <f>T10*'Output-Calculation-sheet'!T54/10^9</f>
        <v>0.20853640817816646</v>
      </c>
      <c r="U65" s="2">
        <f>U10*'Output-Calculation-sheet'!U54/10^9</f>
        <v>0.18006589751360422</v>
      </c>
      <c r="V65" s="2">
        <f>V10*'Output-Calculation-sheet'!V54/10^9</f>
        <v>0.2307868064289349</v>
      </c>
      <c r="W65" s="2">
        <f>W10*'Output-Calculation-sheet'!W54/10^9</f>
        <v>8.7865028620420116E-2</v>
      </c>
      <c r="X65" s="2">
        <f>X10*'Output-Calculation-sheet'!X54/10^9</f>
        <v>0.11491406475481043</v>
      </c>
      <c r="Y65" s="2">
        <f>Y10*'Output-Calculation-sheet'!Y54/10^9</f>
        <v>7.2319054499526317E-2</v>
      </c>
      <c r="AA65" s="2">
        <f t="shared" si="4"/>
        <v>30.907601126826087</v>
      </c>
    </row>
    <row r="66" spans="1:27" x14ac:dyDescent="0.25">
      <c r="A66" s="2">
        <v>2034</v>
      </c>
      <c r="B66" s="2">
        <f>B11*'Output-Calculation-sheet'!B55/10^9</f>
        <v>8.3849965061870382</v>
      </c>
      <c r="C66" s="2">
        <f>C11*'Output-Calculation-sheet'!C55/10^9</f>
        <v>4.2179868436025645</v>
      </c>
      <c r="D66" s="2">
        <f>D11*'Output-Calculation-sheet'!D55/10^9</f>
        <v>1.8923606320833761</v>
      </c>
      <c r="E66" s="2">
        <f>E11*'Output-Calculation-sheet'!E55/10^9</f>
        <v>2.2915165031341806</v>
      </c>
      <c r="F66" s="2">
        <f>F11*'Output-Calculation-sheet'!F55/10^9</f>
        <v>0.88066714110190791</v>
      </c>
      <c r="G66" s="2">
        <f>G11*'Output-Calculation-sheet'!G55/10^9</f>
        <v>0.62947608755647277</v>
      </c>
      <c r="H66" s="2">
        <f>H11*'Output-Calculation-sheet'!H55/10^9</f>
        <v>1.3135691396794951</v>
      </c>
      <c r="I66" s="2">
        <f>I11*'Output-Calculation-sheet'!I55/10^9</f>
        <v>0.61560975243023164</v>
      </c>
      <c r="J66" s="2">
        <f>J11*'Output-Calculation-sheet'!J55/10^9</f>
        <v>0.632992700276517</v>
      </c>
      <c r="K66" s="2">
        <f>K11*'Output-Calculation-sheet'!K55/10^9</f>
        <v>0.75711270466687708</v>
      </c>
      <c r="L66" s="2">
        <f>L11*'Output-Calculation-sheet'!L55/10^9</f>
        <v>0.80178796150968812</v>
      </c>
      <c r="M66" s="2">
        <f>M11*'Output-Calculation-sheet'!M55/10^9</f>
        <v>0.95750114210356518</v>
      </c>
      <c r="N66" s="2">
        <f>N11*'Output-Calculation-sheet'!N55/10^9</f>
        <v>0.90456180638471306</v>
      </c>
      <c r="O66" s="2">
        <f>O11*'Output-Calculation-sheet'!O55/10^9</f>
        <v>0.83137940699795632</v>
      </c>
      <c r="P66" s="2">
        <f>P11*'Output-Calculation-sheet'!P55/10^9</f>
        <v>0.69419378139408006</v>
      </c>
      <c r="Q66" s="2">
        <f>Q11*'Output-Calculation-sheet'!Q55/10^9</f>
        <v>0.73431597688363359</v>
      </c>
      <c r="R66" s="2">
        <f>R11*'Output-Calculation-sheet'!R55/10^9</f>
        <v>0.56719081734362087</v>
      </c>
      <c r="S66" s="2">
        <f>S11*'Output-Calculation-sheet'!S55/10^9</f>
        <v>0.49473504758075293</v>
      </c>
      <c r="T66" s="2">
        <f>T11*'Output-Calculation-sheet'!T55/10^9</f>
        <v>0.17777410069308552</v>
      </c>
      <c r="U66" s="2">
        <f>U11*'Output-Calculation-sheet'!U55/10^9</f>
        <v>0.18151501857238145</v>
      </c>
      <c r="V66" s="2">
        <f>V11*'Output-Calculation-sheet'!V55/10^9</f>
        <v>0.16864643069109064</v>
      </c>
      <c r="W66" s="2">
        <f>W11*'Output-Calculation-sheet'!W55/10^9</f>
        <v>7.6361497988647636E-2</v>
      </c>
      <c r="X66" s="2">
        <f>X11*'Output-Calculation-sheet'!X55/10^9</f>
        <v>0.10230120348045514</v>
      </c>
      <c r="Y66" s="2">
        <f>Y11*'Output-Calculation-sheet'!Y55/10^9</f>
        <v>7.466299145210803E-2</v>
      </c>
      <c r="AA66" s="2">
        <f t="shared" si="4"/>
        <v>28.383215193794442</v>
      </c>
    </row>
    <row r="67" spans="1:27" x14ac:dyDescent="0.25">
      <c r="A67" s="2">
        <v>2035</v>
      </c>
      <c r="B67" s="2">
        <f>B12*'Output-Calculation-sheet'!B56/10^9</f>
        <v>7.9176331353663603</v>
      </c>
      <c r="C67" s="2">
        <f>C12*'Output-Calculation-sheet'!C56/10^9</f>
        <v>3.6937685678274534</v>
      </c>
      <c r="D67" s="2">
        <f>D12*'Output-Calculation-sheet'!D56/10^9</f>
        <v>2.1663440402142271</v>
      </c>
      <c r="E67" s="2">
        <f>E12*'Output-Calculation-sheet'!E56/10^9</f>
        <v>2.4683264663018476</v>
      </c>
      <c r="F67" s="2">
        <f>F12*'Output-Calculation-sheet'!F56/10^9</f>
        <v>1.0565531699442974</v>
      </c>
      <c r="G67" s="2">
        <f>G12*'Output-Calculation-sheet'!G56/10^9</f>
        <v>0.74152630567993327</v>
      </c>
      <c r="H67" s="2">
        <f>H12*'Output-Calculation-sheet'!H56/10^9</f>
        <v>1.1713524929195076</v>
      </c>
      <c r="I67" s="2">
        <f>I12*'Output-Calculation-sheet'!I56/10^9</f>
        <v>0.74348474354000926</v>
      </c>
      <c r="J67" s="2">
        <f>J12*'Output-Calculation-sheet'!J56/10^9</f>
        <v>0.67255502585187776</v>
      </c>
      <c r="K67" s="2">
        <f>K12*'Output-Calculation-sheet'!K56/10^9</f>
        <v>0.83504598383639506</v>
      </c>
      <c r="L67" s="2">
        <f>L12*'Output-Calculation-sheet'!L56/10^9</f>
        <v>0.76641292840635133</v>
      </c>
      <c r="M67" s="2">
        <f>M12*'Output-Calculation-sheet'!M56/10^9</f>
        <v>0.81478388338369723</v>
      </c>
      <c r="N67" s="2">
        <f>N12*'Output-Calculation-sheet'!N56/10^9</f>
        <v>0.79337688817583363</v>
      </c>
      <c r="O67" s="2">
        <f>O12*'Output-Calculation-sheet'!O56/10^9</f>
        <v>0.71800029024552225</v>
      </c>
      <c r="P67" s="2">
        <f>P12*'Output-Calculation-sheet'!P56/10^9</f>
        <v>0.70081608405431528</v>
      </c>
      <c r="Q67" s="2">
        <f>Q12*'Output-Calculation-sheet'!Q56/10^9</f>
        <v>0.71492396913936229</v>
      </c>
      <c r="R67" s="2">
        <f>R12*'Output-Calculation-sheet'!R56/10^9</f>
        <v>0.60479957785663596</v>
      </c>
      <c r="S67" s="2">
        <f>S12*'Output-Calculation-sheet'!S56/10^9</f>
        <v>0.45498157958610824</v>
      </c>
      <c r="T67" s="2">
        <f>T12*'Output-Calculation-sheet'!T56/10^9</f>
        <v>0.18410429750595037</v>
      </c>
      <c r="U67" s="2">
        <f>U12*'Output-Calculation-sheet'!U56/10^9</f>
        <v>0.20226838261350305</v>
      </c>
      <c r="V67" s="2">
        <f>V12*'Output-Calculation-sheet'!V56/10^9</f>
        <v>0.14108207795304231</v>
      </c>
      <c r="W67" s="2">
        <f>W12*'Output-Calculation-sheet'!W56/10^9</f>
        <v>9.1439799320715928E-2</v>
      </c>
      <c r="X67" s="2">
        <f>X12*'Output-Calculation-sheet'!X56/10^9</f>
        <v>8.6561590052804893E-2</v>
      </c>
      <c r="Y67" s="2">
        <f>Y12*'Output-Calculation-sheet'!Y56/10^9</f>
        <v>8.0758337775728939E-2</v>
      </c>
      <c r="AA67" s="2">
        <f t="shared" si="4"/>
        <v>27.820899617551483</v>
      </c>
    </row>
    <row r="68" spans="1:27" x14ac:dyDescent="0.25">
      <c r="B68" s="2">
        <f>SUM(B60:B67)</f>
        <v>42.709014727013752</v>
      </c>
      <c r="C68" s="2">
        <f t="shared" ref="C68:Y68" si="5">SUM(C60:C67)</f>
        <v>21.829088469153028</v>
      </c>
      <c r="D68" s="2">
        <f t="shared" si="5"/>
        <v>11.808327745033706</v>
      </c>
      <c r="E68" s="2">
        <f t="shared" si="5"/>
        <v>12.826907548833812</v>
      </c>
      <c r="F68" s="2">
        <f t="shared" si="5"/>
        <v>5.3066148622744134</v>
      </c>
      <c r="G68" s="2">
        <f t="shared" si="5"/>
        <v>3.7534378833619693</v>
      </c>
      <c r="H68" s="2">
        <f t="shared" si="5"/>
        <v>6.8637352232119353</v>
      </c>
      <c r="I68" s="2">
        <f t="shared" si="5"/>
        <v>3.6083928174980802</v>
      </c>
      <c r="J68" s="2">
        <f t="shared" si="5"/>
        <v>4.2421959177707222</v>
      </c>
      <c r="K68" s="2">
        <f t="shared" si="5"/>
        <v>4.3697485833076648</v>
      </c>
      <c r="L68" s="2">
        <f t="shared" si="5"/>
        <v>5.1121826478424683</v>
      </c>
      <c r="M68" s="2">
        <f t="shared" si="5"/>
        <v>5.2396451611680046</v>
      </c>
      <c r="N68" s="2">
        <f t="shared" si="5"/>
        <v>4.8172443705761117</v>
      </c>
      <c r="O68" s="2">
        <f t="shared" si="5"/>
        <v>4.3677042783551618</v>
      </c>
      <c r="P68" s="2">
        <f t="shared" si="5"/>
        <v>3.5109063864399457</v>
      </c>
      <c r="Q68" s="2">
        <f t="shared" si="5"/>
        <v>3.7948814997998928</v>
      </c>
      <c r="R68" s="2">
        <f t="shared" si="5"/>
        <v>3.1767945323112912</v>
      </c>
      <c r="S68" s="2">
        <f t="shared" si="5"/>
        <v>2.5466317522994197</v>
      </c>
      <c r="T68" s="2">
        <f t="shared" si="5"/>
        <v>1.08149617979307</v>
      </c>
      <c r="U68" s="2">
        <f t="shared" si="5"/>
        <v>0.93085072967589899</v>
      </c>
      <c r="V68" s="2">
        <f t="shared" si="5"/>
        <v>1.1557085171901893</v>
      </c>
      <c r="W68" s="2">
        <f t="shared" si="5"/>
        <v>0.48111184312944116</v>
      </c>
      <c r="X68" s="2">
        <f t="shared" si="5"/>
        <v>0.54850332976162197</v>
      </c>
      <c r="Y68" s="2">
        <f t="shared" si="5"/>
        <v>0.37999401942394395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50.280146483281179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5.0280146483281177E-2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556.08380158728232</v>
      </c>
      <c r="Q76" s="2">
        <f>Q10/'Output-Calculation-sheet'!Q9*'Output-Calculation-sheet'!Q63</f>
        <v>66.544336639302529</v>
      </c>
      <c r="R76" s="2">
        <f>R10/'Output-Calculation-sheet'!R9*'Output-Calculation-sheet'!R63</f>
        <v>423.63066428173352</v>
      </c>
      <c r="S76" s="2">
        <f>S10/'Output-Calculation-sheet'!S9*'Output-Calculation-sheet'!S63</f>
        <v>0</v>
      </c>
      <c r="T76" s="2">
        <f>T10/'Output-Calculation-sheet'!T9*'Output-Calculation-sheet'!T63</f>
        <v>27.880270912382027</v>
      </c>
      <c r="U76" s="2">
        <f>U10/'Output-Calculation-sheet'!U9*'Output-Calculation-sheet'!U63</f>
        <v>150.54721133958765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7.1499114971690512</v>
      </c>
      <c r="AA76" s="2">
        <f t="shared" si="6"/>
        <v>1.3488851631136809</v>
      </c>
    </row>
    <row r="77" spans="1:27" x14ac:dyDescent="0.25">
      <c r="A77" s="2">
        <v>2034</v>
      </c>
      <c r="B77" s="2">
        <f>B11/'Output-Calculation-sheet'!B10*'Output-Calculation-sheet'!B64</f>
        <v>535.85237805988641</v>
      </c>
      <c r="C77" s="2">
        <f>C11/'Output-Calculation-sheet'!C10*'Output-Calculation-sheet'!C64</f>
        <v>0</v>
      </c>
      <c r="D77" s="2">
        <f>D11/'Output-Calculation-sheet'!D10*'Output-Calculation-sheet'!D64</f>
        <v>1820.6353423022313</v>
      </c>
      <c r="E77" s="2">
        <f>E11/'Output-Calculation-sheet'!E10*'Output-Calculation-sheet'!E64</f>
        <v>2275.5608400296528</v>
      </c>
      <c r="F77" s="2">
        <f>F11/'Output-Calculation-sheet'!F10*'Output-Calculation-sheet'!F64</f>
        <v>148.05681016187918</v>
      </c>
      <c r="G77" s="2">
        <f>G11/'Output-Calculation-sheet'!G10*'Output-Calculation-sheet'!G64</f>
        <v>964.28506577802875</v>
      </c>
      <c r="H77" s="2">
        <f>H11/'Output-Calculation-sheet'!H10*'Output-Calculation-sheet'!H64</f>
        <v>150.46293477037025</v>
      </c>
      <c r="I77" s="2">
        <f>I11/'Output-Calculation-sheet'!I10*'Output-Calculation-sheet'!I64</f>
        <v>573.33292857313188</v>
      </c>
      <c r="J77" s="2">
        <f>J11/'Output-Calculation-sheet'!J10*'Output-Calculation-sheet'!J64</f>
        <v>401.15026613875119</v>
      </c>
      <c r="K77" s="2">
        <f>K11/'Output-Calculation-sheet'!K10*'Output-Calculation-sheet'!K64</f>
        <v>872.20687333275123</v>
      </c>
      <c r="L77" s="2">
        <f>L11/'Output-Calculation-sheet'!L10*'Output-Calculation-sheet'!L64</f>
        <v>360.63561632266567</v>
      </c>
      <c r="M77" s="2">
        <f>M11/'Output-Calculation-sheet'!M10*'Output-Calculation-sheet'!M64</f>
        <v>108.36571968441916</v>
      </c>
      <c r="N77" s="2">
        <f>N11/'Output-Calculation-sheet'!N10*'Output-Calculation-sheet'!N64</f>
        <v>35.839596328165833</v>
      </c>
      <c r="O77" s="2">
        <f>O11/'Output-Calculation-sheet'!O10*'Output-Calculation-sheet'!O64</f>
        <v>0</v>
      </c>
      <c r="P77" s="2">
        <f>P11/'Output-Calculation-sheet'!P10*'Output-Calculation-sheet'!P64</f>
        <v>737.96771285490865</v>
      </c>
      <c r="Q77" s="2">
        <f>Q11/'Output-Calculation-sheet'!Q10*'Output-Calculation-sheet'!Q64</f>
        <v>166.01120387536054</v>
      </c>
      <c r="R77" s="2">
        <f>R11/'Output-Calculation-sheet'!R10*'Output-Calculation-sheet'!R64</f>
        <v>916.86581655783732</v>
      </c>
      <c r="S77" s="2">
        <f>S11/'Output-Calculation-sheet'!S10*'Output-Calculation-sheet'!S64</f>
        <v>0</v>
      </c>
      <c r="T77" s="2">
        <f>T11/'Output-Calculation-sheet'!T10*'Output-Calculation-sheet'!T64</f>
        <v>254.58308720325894</v>
      </c>
      <c r="U77" s="2">
        <f>U11/'Output-Calculation-sheet'!U10*'Output-Calculation-sheet'!U64</f>
        <v>338.34249456563128</v>
      </c>
      <c r="V77" s="2">
        <f>V11/'Output-Calculation-sheet'!V10*'Output-Calculation-sheet'!V64</f>
        <v>131.74258601155663</v>
      </c>
      <c r="W77" s="2">
        <f>W11/'Output-Calculation-sheet'!W10*'Output-Calculation-sheet'!W64</f>
        <v>28.92151108024672</v>
      </c>
      <c r="X77" s="2">
        <f>X11/'Output-Calculation-sheet'!X10*'Output-Calculation-sheet'!X64</f>
        <v>10.802872985434878</v>
      </c>
      <c r="Y77" s="2">
        <f>Y11/'Output-Calculation-sheet'!Y10*'Output-Calculation-sheet'!Y64</f>
        <v>49.267999090118614</v>
      </c>
      <c r="AA77" s="2">
        <f t="shared" si="6"/>
        <v>10.880889655706287</v>
      </c>
    </row>
    <row r="78" spans="1:27" x14ac:dyDescent="0.25">
      <c r="A78" s="2">
        <v>2035</v>
      </c>
      <c r="B78" s="2">
        <f>B12/'Output-Calculation-sheet'!B11*'Output-Calculation-sheet'!B65</f>
        <v>100.04554718917655</v>
      </c>
      <c r="C78" s="2">
        <f>C12/'Output-Calculation-sheet'!C11*'Output-Calculation-sheet'!C65</f>
        <v>83.3905474591174</v>
      </c>
      <c r="D78" s="2">
        <f>D12/'Output-Calculation-sheet'!D11*'Output-Calculation-sheet'!D65</f>
        <v>4285.403818304655</v>
      </c>
      <c r="E78" s="2">
        <f>E12/'Output-Calculation-sheet'!E11*'Output-Calculation-sheet'!E65</f>
        <v>1376.6315465370517</v>
      </c>
      <c r="F78" s="2">
        <f>F12/'Output-Calculation-sheet'!F11*'Output-Calculation-sheet'!F65</f>
        <v>1094.0418529386086</v>
      </c>
      <c r="G78" s="2">
        <f>G12/'Output-Calculation-sheet'!G11*'Output-Calculation-sheet'!G65</f>
        <v>1618.9380178758825</v>
      </c>
      <c r="H78" s="2">
        <f>H12/'Output-Calculation-sheet'!H11*'Output-Calculation-sheet'!H65</f>
        <v>36.79503471586294</v>
      </c>
      <c r="I78" s="2">
        <f>I12/'Output-Calculation-sheet'!I11*'Output-Calculation-sheet'!I65</f>
        <v>1345.9979743209583</v>
      </c>
      <c r="J78" s="2">
        <f>J12/'Output-Calculation-sheet'!J11*'Output-Calculation-sheet'!J65</f>
        <v>1276.7118901224489</v>
      </c>
      <c r="K78" s="2">
        <f>K12/'Output-Calculation-sheet'!K11*'Output-Calculation-sheet'!K65</f>
        <v>1716.0058569753194</v>
      </c>
      <c r="L78" s="2">
        <f>L12/'Output-Calculation-sheet'!L11*'Output-Calculation-sheet'!L65</f>
        <v>595.17812647987523</v>
      </c>
      <c r="M78" s="2">
        <f>M12/'Output-Calculation-sheet'!M11*'Output-Calculation-sheet'!M65</f>
        <v>32.891718459678771</v>
      </c>
      <c r="N78" s="2">
        <f>N12/'Output-Calculation-sheet'!N11*'Output-Calculation-sheet'!N65</f>
        <v>22.15660218502833</v>
      </c>
      <c r="O78" s="2">
        <f>O12/'Output-Calculation-sheet'!O11*'Output-Calculation-sheet'!O65</f>
        <v>14.452954443075521</v>
      </c>
      <c r="P78" s="2">
        <f>P12/'Output-Calculation-sheet'!P11*'Output-Calculation-sheet'!P65</f>
        <v>166.69653617367675</v>
      </c>
      <c r="Q78" s="2">
        <f>Q12/'Output-Calculation-sheet'!Q11*'Output-Calculation-sheet'!Q65</f>
        <v>134.32741950947465</v>
      </c>
      <c r="R78" s="2">
        <f>R12/'Output-Calculation-sheet'!R11*'Output-Calculation-sheet'!R65</f>
        <v>1112.7370411995907</v>
      </c>
      <c r="S78" s="2">
        <f>S12/'Output-Calculation-sheet'!S11*'Output-Calculation-sheet'!S65</f>
        <v>10.646200022690786</v>
      </c>
      <c r="T78" s="2">
        <f>T12/'Output-Calculation-sheet'!T11*'Output-Calculation-sheet'!T65</f>
        <v>442.50521648906107</v>
      </c>
      <c r="U78" s="2">
        <f>U12/'Output-Calculation-sheet'!U11*'Output-Calculation-sheet'!U65</f>
        <v>163.24059367122359</v>
      </c>
      <c r="V78" s="2">
        <f>V12/'Output-Calculation-sheet'!V11*'Output-Calculation-sheet'!V65</f>
        <v>231.59722272377292</v>
      </c>
      <c r="W78" s="2">
        <f>W12/'Output-Calculation-sheet'!W11*'Output-Calculation-sheet'!W65</f>
        <v>156.12550065867626</v>
      </c>
      <c r="X78" s="2">
        <f>X12/'Output-Calculation-sheet'!X11*'Output-Calculation-sheet'!X65</f>
        <v>2.1785971025408779</v>
      </c>
      <c r="Y78" s="2">
        <f>Y12/'Output-Calculation-sheet'!Y11*'Output-Calculation-sheet'!Y65</f>
        <v>37.471958194967073</v>
      </c>
      <c r="AA78" s="2">
        <f t="shared" si="6"/>
        <v>16.056167773752414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107.80465611527144</v>
      </c>
      <c r="E89" s="2">
        <f>E12/'Output-Calculation-sheet'!E11*'Output-Calculation-sheet'!E74</f>
        <v>52.150637246675714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40.353357174555704</v>
      </c>
      <c r="H89" s="2">
        <f>H12/'Output-Calculation-sheet'!H11*'Output-Calculation-sheet'!H74</f>
        <v>6.5152783914763948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22.4502341679719</v>
      </c>
      <c r="K89" s="2">
        <f>K12/'Output-Calculation-sheet'!K11*'Output-Calculation-sheet'!K74</f>
        <v>28.240770964639445</v>
      </c>
      <c r="L89" s="2">
        <f>L12/'Output-Calculation-sheet'!L11*'Output-Calculation-sheet'!L74</f>
        <v>11.818821578876957</v>
      </c>
      <c r="M89" s="2">
        <f>M12/'Output-Calculation-sheet'!M11*'Output-Calculation-sheet'!M74</f>
        <v>3.3623591978408802</v>
      </c>
      <c r="N89" s="2">
        <f>N12/'Output-Calculation-sheet'!N11*'Output-Calculation-sheet'!N74</f>
        <v>3.3046538010880475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3.052919646419447</v>
      </c>
      <c r="Q89" s="2">
        <f>Q12/'Output-Calculation-sheet'!Q11*'Output-Calculation-sheet'!Q74</f>
        <v>5.790765385051464</v>
      </c>
      <c r="R89" s="2">
        <f>R12/'Output-Calculation-sheet'!R11*'Output-Calculation-sheet'!R74</f>
        <v>17.227905878339378</v>
      </c>
      <c r="S89" s="2">
        <f>S12/'Output-Calculation-sheet'!S11*'Output-Calculation-sheet'!S74</f>
        <v>3.157236068413638</v>
      </c>
      <c r="T89" s="2">
        <f>T12/'Output-Calculation-sheet'!T11*'Output-Calculation-sheet'!T74</f>
        <v>5.3113968207501054</v>
      </c>
      <c r="U89" s="2">
        <f>U12/'Output-Calculation-sheet'!U11*'Output-Calculation-sheet'!U74</f>
        <v>6.1586744663893791</v>
      </c>
      <c r="V89" s="2">
        <f>V12/'Output-Calculation-sheet'!V11*'Output-Calculation-sheet'!V74</f>
        <v>1.8995504115743793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2.1357289790206524</v>
      </c>
      <c r="AA89" s="2">
        <f t="shared" si="7"/>
        <v>0.43095875237850667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22486380076.669415</v>
      </c>
      <c r="C96" s="2">
        <f>C8/'Output-Calculation-sheet'!C7*'Output-Calculation-sheet'!C79</f>
        <v>9309083024.4044094</v>
      </c>
      <c r="D96" s="2">
        <f>D8/'Output-Calculation-sheet'!D7*'Output-Calculation-sheet'!D79</f>
        <v>7420764423.998354</v>
      </c>
      <c r="E96" s="2">
        <f>E8/'Output-Calculation-sheet'!E7*'Output-Calculation-sheet'!E79</f>
        <v>8966878313.8358955</v>
      </c>
      <c r="F96" s="2">
        <f>F8/'Output-Calculation-sheet'!F7*'Output-Calculation-sheet'!F79</f>
        <v>5293099446.1439857</v>
      </c>
      <c r="G96" s="2">
        <f>G8/'Output-Calculation-sheet'!G7*'Output-Calculation-sheet'!G79</f>
        <v>2692349815.3093123</v>
      </c>
      <c r="H96" s="2">
        <f>H8/'Output-Calculation-sheet'!H7*'Output-Calculation-sheet'!H79</f>
        <v>3361855290.6638823</v>
      </c>
      <c r="I96" s="2">
        <f>I8/'Output-Calculation-sheet'!I7*'Output-Calculation-sheet'!I79</f>
        <v>3217754380.2155466</v>
      </c>
      <c r="J96" s="2">
        <f>J8/'Output-Calculation-sheet'!J7*'Output-Calculation-sheet'!J79</f>
        <v>1816211317.8399415</v>
      </c>
      <c r="K96" s="2">
        <f>K8/'Output-Calculation-sheet'!K7*'Output-Calculation-sheet'!K79</f>
        <v>3093632559.891058</v>
      </c>
      <c r="L96" s="2">
        <f>L8/'Output-Calculation-sheet'!L7*'Output-Calculation-sheet'!L79</f>
        <v>2225006850.5052238</v>
      </c>
      <c r="M96" s="2">
        <f>M8/'Output-Calculation-sheet'!M7*'Output-Calculation-sheet'!M79</f>
        <v>2249288702.5055394</v>
      </c>
      <c r="N96" s="2">
        <f>N8/'Output-Calculation-sheet'!N7*'Output-Calculation-sheet'!N79</f>
        <v>1600879729.8747039</v>
      </c>
      <c r="O96" s="2">
        <f>O8/'Output-Calculation-sheet'!O7*'Output-Calculation-sheet'!O79</f>
        <v>1258151156.8978503</v>
      </c>
      <c r="P96" s="2">
        <f>P8/'Output-Calculation-sheet'!P7*'Output-Calculation-sheet'!P79</f>
        <v>2674530006.6882949</v>
      </c>
      <c r="Q96" s="2">
        <f>Q8/'Output-Calculation-sheet'!Q7*'Output-Calculation-sheet'!Q79</f>
        <v>1456716347.6646669</v>
      </c>
      <c r="R96" s="2">
        <f>R8/'Output-Calculation-sheet'!R7*'Output-Calculation-sheet'!R79</f>
        <v>1943401570.2526667</v>
      </c>
      <c r="S96" s="2">
        <f>S8/'Output-Calculation-sheet'!S7*'Output-Calculation-sheet'!S79</f>
        <v>1223263637.7513194</v>
      </c>
      <c r="T96" s="2">
        <f>T8/'Output-Calculation-sheet'!T7*'Output-Calculation-sheet'!T79</f>
        <v>785503595.25127971</v>
      </c>
      <c r="U96" s="2">
        <f>U8/'Output-Calculation-sheet'!U7*'Output-Calculation-sheet'!U79</f>
        <v>728388555.87505031</v>
      </c>
      <c r="V96" s="2">
        <f>V8/'Output-Calculation-sheet'!V7*'Output-Calculation-sheet'!V79</f>
        <v>468959092.86035007</v>
      </c>
      <c r="W96" s="2">
        <f>W8/'Output-Calculation-sheet'!W7*'Output-Calculation-sheet'!W79</f>
        <v>560985643.79957545</v>
      </c>
      <c r="X96" s="2">
        <f>X8/'Output-Calculation-sheet'!X7*'Output-Calculation-sheet'!X79</f>
        <v>256764912.62427366</v>
      </c>
      <c r="Y96" s="2">
        <f>Y8/'Output-Calculation-sheet'!Y7*'Output-Calculation-sheet'!Y79</f>
        <v>287390281.5845449</v>
      </c>
      <c r="AA96" s="2">
        <f t="shared" si="8"/>
        <v>85.377238733107134</v>
      </c>
    </row>
    <row r="97" spans="1:27" x14ac:dyDescent="0.25">
      <c r="A97" s="2">
        <v>2032</v>
      </c>
      <c r="B97" s="2">
        <f>B9/'Output-Calculation-sheet'!B8*'Output-Calculation-sheet'!B80</f>
        <v>30922938508.721909</v>
      </c>
      <c r="C97" s="2">
        <f>C9/'Output-Calculation-sheet'!C8*'Output-Calculation-sheet'!C80</f>
        <v>12812867993.988667</v>
      </c>
      <c r="D97" s="2">
        <f>D9/'Output-Calculation-sheet'!D8*'Output-Calculation-sheet'!D80</f>
        <v>10127493906.672436</v>
      </c>
      <c r="E97" s="2">
        <f>E9/'Output-Calculation-sheet'!E8*'Output-Calculation-sheet'!E80</f>
        <v>12220384735.242388</v>
      </c>
      <c r="F97" s="2">
        <f>F9/'Output-Calculation-sheet'!F8*'Output-Calculation-sheet'!F80</f>
        <v>7240922848.8280773</v>
      </c>
      <c r="G97" s="2">
        <f>G9/'Output-Calculation-sheet'!G8*'Output-Calculation-sheet'!G80</f>
        <v>3624689367.7519865</v>
      </c>
      <c r="H97" s="2">
        <f>H9/'Output-Calculation-sheet'!H8*'Output-Calculation-sheet'!H80</f>
        <v>4613646685.9464083</v>
      </c>
      <c r="I97" s="2">
        <f>I9/'Output-Calculation-sheet'!I8*'Output-Calculation-sheet'!I80</f>
        <v>4403896579.56322</v>
      </c>
      <c r="J97" s="2">
        <f>J9/'Output-Calculation-sheet'!J8*'Output-Calculation-sheet'!J80</f>
        <v>2512920805.3732901</v>
      </c>
      <c r="K97" s="2">
        <f>K9/'Output-Calculation-sheet'!K8*'Output-Calculation-sheet'!K80</f>
        <v>4233065646.0630612</v>
      </c>
      <c r="L97" s="2">
        <f>L9/'Output-Calculation-sheet'!L8*'Output-Calculation-sheet'!L80</f>
        <v>3062773244.3697586</v>
      </c>
      <c r="M97" s="2">
        <f>M9/'Output-Calculation-sheet'!M8*'Output-Calculation-sheet'!M80</f>
        <v>3086763170.2634783</v>
      </c>
      <c r="N97" s="2">
        <f>N9/'Output-Calculation-sheet'!N8*'Output-Calculation-sheet'!N80</f>
        <v>2206338677.4546614</v>
      </c>
      <c r="O97" s="2">
        <f>O9/'Output-Calculation-sheet'!O8*'Output-Calculation-sheet'!O80</f>
        <v>1740663134.1663246</v>
      </c>
      <c r="P97" s="2">
        <f>P9/'Output-Calculation-sheet'!P8*'Output-Calculation-sheet'!P80</f>
        <v>3637603492.7964716</v>
      </c>
      <c r="Q97" s="2">
        <f>Q9/'Output-Calculation-sheet'!Q8*'Output-Calculation-sheet'!Q80</f>
        <v>2014174677.2590423</v>
      </c>
      <c r="R97" s="2">
        <f>R9/'Output-Calculation-sheet'!R8*'Output-Calculation-sheet'!R80</f>
        <v>2670502087.885766</v>
      </c>
      <c r="S97" s="2">
        <f>S9/'Output-Calculation-sheet'!S8*'Output-Calculation-sheet'!S80</f>
        <v>1684694591.9087389</v>
      </c>
      <c r="T97" s="2">
        <f>T9/'Output-Calculation-sheet'!T8*'Output-Calculation-sheet'!T80</f>
        <v>1070834223.3734335</v>
      </c>
      <c r="U97" s="2">
        <f>U9/'Output-Calculation-sheet'!U8*'Output-Calculation-sheet'!U80</f>
        <v>998595935.08113313</v>
      </c>
      <c r="V97" s="2">
        <f>V9/'Output-Calculation-sheet'!V8*'Output-Calculation-sheet'!V80</f>
        <v>646697695.8666203</v>
      </c>
      <c r="W97" s="2">
        <f>W9/'Output-Calculation-sheet'!W8*'Output-Calculation-sheet'!W80</f>
        <v>756501159.30779052</v>
      </c>
      <c r="X97" s="2">
        <f>X9/'Output-Calculation-sheet'!X8*'Output-Calculation-sheet'!X80</f>
        <v>352255501.47503281</v>
      </c>
      <c r="Y97" s="2">
        <f>Y9/'Output-Calculation-sheet'!Y8*'Output-Calculation-sheet'!Y80</f>
        <v>389258942.63185215</v>
      </c>
      <c r="AA97" s="2">
        <f t="shared" si="8"/>
        <v>117.03048361199156</v>
      </c>
    </row>
    <row r="98" spans="1:27" x14ac:dyDescent="0.25">
      <c r="A98" s="2">
        <v>2033</v>
      </c>
      <c r="B98" s="2">
        <f>B10/'Output-Calculation-sheet'!B9*'Output-Calculation-sheet'!B81</f>
        <v>38259302088.537842</v>
      </c>
      <c r="C98" s="2">
        <f>C10/'Output-Calculation-sheet'!C9*'Output-Calculation-sheet'!C81</f>
        <v>15869113605.656992</v>
      </c>
      <c r="D98" s="2">
        <f>D10/'Output-Calculation-sheet'!D9*'Output-Calculation-sheet'!D81</f>
        <v>12448203957.447159</v>
      </c>
      <c r="E98" s="2">
        <f>E10/'Output-Calculation-sheet'!E9*'Output-Calculation-sheet'!E81</f>
        <v>14992463460.505457</v>
      </c>
      <c r="F98" s="2">
        <f>F10/'Output-Calculation-sheet'!F9*'Output-Calculation-sheet'!F81</f>
        <v>8914866394.0375252</v>
      </c>
      <c r="G98" s="2">
        <f>G10/'Output-Calculation-sheet'!G9*'Output-Calculation-sheet'!G81</f>
        <v>4394388706.4978952</v>
      </c>
      <c r="H98" s="2">
        <f>H10/'Output-Calculation-sheet'!H9*'Output-Calculation-sheet'!H81</f>
        <v>5697415187.4357805</v>
      </c>
      <c r="I98" s="2">
        <f>I10/'Output-Calculation-sheet'!I9*'Output-Calculation-sheet'!I81</f>
        <v>5425232691.9007883</v>
      </c>
      <c r="J98" s="2">
        <f>J10/'Output-Calculation-sheet'!J9*'Output-Calculation-sheet'!J81</f>
        <v>3130468183.2330656</v>
      </c>
      <c r="K98" s="2">
        <f>K10/'Output-Calculation-sheet'!K9*'Output-Calculation-sheet'!K81</f>
        <v>5213063366.0895395</v>
      </c>
      <c r="L98" s="2">
        <f>L10/'Output-Calculation-sheet'!L9*'Output-Calculation-sheet'!L81</f>
        <v>3793606542.9188085</v>
      </c>
      <c r="M98" s="2">
        <f>M10/'Output-Calculation-sheet'!M9*'Output-Calculation-sheet'!M81</f>
        <v>3812549361.7739511</v>
      </c>
      <c r="N98" s="2">
        <f>N10/'Output-Calculation-sheet'!N9*'Output-Calculation-sheet'!N81</f>
        <v>2737758279.8853917</v>
      </c>
      <c r="O98" s="2">
        <f>O10/'Output-Calculation-sheet'!O9*'Output-Calculation-sheet'!O81</f>
        <v>2167579587.9899511</v>
      </c>
      <c r="P98" s="2">
        <f>P10/'Output-Calculation-sheet'!P9*'Output-Calculation-sheet'!P81</f>
        <v>4452234711.6524992</v>
      </c>
      <c r="Q98" s="2">
        <f>Q10/'Output-Calculation-sheet'!Q9*'Output-Calculation-sheet'!Q81</f>
        <v>2506636730.7962775</v>
      </c>
      <c r="R98" s="2">
        <f>R10/'Output-Calculation-sheet'!R9*'Output-Calculation-sheet'!R81</f>
        <v>3301950990.288414</v>
      </c>
      <c r="S98" s="2">
        <f>S10/'Output-Calculation-sheet'!S9*'Output-Calculation-sheet'!S81</f>
        <v>2087429452.6925812</v>
      </c>
      <c r="T98" s="2">
        <f>T10/'Output-Calculation-sheet'!T9*'Output-Calculation-sheet'!T81</f>
        <v>1314063862.6993666</v>
      </c>
      <c r="U98" s="2">
        <f>U10/'Output-Calculation-sheet'!U9*'Output-Calculation-sheet'!U81</f>
        <v>1231213922.5492036</v>
      </c>
      <c r="V98" s="2">
        <f>V10/'Output-Calculation-sheet'!V9*'Output-Calculation-sheet'!V81</f>
        <v>801897923.65423989</v>
      </c>
      <c r="W98" s="2">
        <f>W10/'Output-Calculation-sheet'!W9*'Output-Calculation-sheet'!W81</f>
        <v>918299258.07424521</v>
      </c>
      <c r="X98" s="2">
        <f>X10/'Output-Calculation-sheet'!X9*'Output-Calculation-sheet'!X81</f>
        <v>434912445.40302736</v>
      </c>
      <c r="Y98" s="2">
        <f>Y10/'Output-Calculation-sheet'!Y9*'Output-Calculation-sheet'!Y81</f>
        <v>474744258.19067198</v>
      </c>
      <c r="AA98" s="2">
        <f t="shared" si="8"/>
        <v>144.37939496991063</v>
      </c>
    </row>
    <row r="99" spans="1:27" x14ac:dyDescent="0.25">
      <c r="A99" s="2">
        <v>2034</v>
      </c>
      <c r="B99" s="2">
        <f>B11/'Output-Calculation-sheet'!B10*'Output-Calculation-sheet'!B82</f>
        <v>43667053727.273735</v>
      </c>
      <c r="C99" s="2">
        <f>C11/'Output-Calculation-sheet'!C10*'Output-Calculation-sheet'!C82</f>
        <v>18133610722.237419</v>
      </c>
      <c r="D99" s="2">
        <f>D11/'Output-Calculation-sheet'!D10*'Output-Calculation-sheet'!D82</f>
        <v>14128698964.816393</v>
      </c>
      <c r="E99" s="2">
        <f>E11/'Output-Calculation-sheet'!E10*'Output-Calculation-sheet'!E82</f>
        <v>16976685304.523315</v>
      </c>
      <c r="F99" s="2">
        <f>F11/'Output-Calculation-sheet'!F10*'Output-Calculation-sheet'!F82</f>
        <v>10128172243.505367</v>
      </c>
      <c r="G99" s="2">
        <f>G11/'Output-Calculation-sheet'!G10*'Output-Calculation-sheet'!G82</f>
        <v>4918989149.9301329</v>
      </c>
      <c r="H99" s="2">
        <f>H11/'Output-Calculation-sheet'!H10*'Output-Calculation-sheet'!H82</f>
        <v>6491412688.8712797</v>
      </c>
      <c r="I99" s="2">
        <f>I11/'Output-Calculation-sheet'!I10*'Output-Calculation-sheet'!I82</f>
        <v>6167987631.1099281</v>
      </c>
      <c r="J99" s="2">
        <f>J11/'Output-Calculation-sheet'!J10*'Output-Calculation-sheet'!J82</f>
        <v>3599891505.7687626</v>
      </c>
      <c r="K99" s="2">
        <f>K11/'Output-Calculation-sheet'!K10*'Output-Calculation-sheet'!K82</f>
        <v>5924384171.4571381</v>
      </c>
      <c r="L99" s="2">
        <f>L11/'Output-Calculation-sheet'!L10*'Output-Calculation-sheet'!L82</f>
        <v>4335105788.6110134</v>
      </c>
      <c r="M99" s="2">
        <f>M11/'Output-Calculation-sheet'!M10*'Output-Calculation-sheet'!M82</f>
        <v>4345384896.9284792</v>
      </c>
      <c r="N99" s="2">
        <f>N11/'Output-Calculation-sheet'!N10*'Output-Calculation-sheet'!N82</f>
        <v>3135901152.2789817</v>
      </c>
      <c r="O99" s="2">
        <f>O11/'Output-Calculation-sheet'!O10*'Output-Calculation-sheet'!O82</f>
        <v>2490896545.8282328</v>
      </c>
      <c r="P99" s="2">
        <f>P11/'Output-Calculation-sheet'!P10*'Output-Calculation-sheet'!P82</f>
        <v>5028216518.7112198</v>
      </c>
      <c r="Q99" s="2">
        <f>Q11/'Output-Calculation-sheet'!Q10*'Output-Calculation-sheet'!Q82</f>
        <v>2878709721.5960207</v>
      </c>
      <c r="R99" s="2">
        <f>R11/'Output-Calculation-sheet'!R10*'Output-Calculation-sheet'!R82</f>
        <v>3766666961.3272929</v>
      </c>
      <c r="S99" s="2">
        <f>S11/'Output-Calculation-sheet'!S10*'Output-Calculation-sheet'!S82</f>
        <v>2385932953.1257391</v>
      </c>
      <c r="T99" s="2">
        <f>T11/'Output-Calculation-sheet'!T10*'Output-Calculation-sheet'!T82</f>
        <v>1488300243.3130701</v>
      </c>
      <c r="U99" s="2">
        <f>U11/'Output-Calculation-sheet'!U10*'Output-Calculation-sheet'!U82</f>
        <v>1399915916.6566634</v>
      </c>
      <c r="V99" s="2">
        <f>V11/'Output-Calculation-sheet'!V10*'Output-Calculation-sheet'!V82</f>
        <v>916835928.66372025</v>
      </c>
      <c r="W99" s="2">
        <f>W11/'Output-Calculation-sheet'!W10*'Output-Calculation-sheet'!W82</f>
        <v>1028806663.4795438</v>
      </c>
      <c r="X99" s="2">
        <f>X11/'Output-Calculation-sheet'!X10*'Output-Calculation-sheet'!X82</f>
        <v>495470815.91326016</v>
      </c>
      <c r="Y99" s="2">
        <f>Y11/'Output-Calculation-sheet'!Y10*'Output-Calculation-sheet'!Y82</f>
        <v>534549630.1250301</v>
      </c>
      <c r="AA99" s="2">
        <f t="shared" si="8"/>
        <v>164.3675798460518</v>
      </c>
    </row>
    <row r="100" spans="1:27" x14ac:dyDescent="0.25">
      <c r="A100" s="2">
        <v>2035</v>
      </c>
      <c r="B100" s="2">
        <f>B12/'Output-Calculation-sheet'!B11*'Output-Calculation-sheet'!B83</f>
        <v>46681403936.415146</v>
      </c>
      <c r="C100" s="2">
        <f>C12/'Output-Calculation-sheet'!C11*'Output-Calculation-sheet'!C83</f>
        <v>19411001868.546803</v>
      </c>
      <c r="D100" s="2">
        <f>D12/'Output-Calculation-sheet'!D11*'Output-Calculation-sheet'!D83</f>
        <v>15034057681.959871</v>
      </c>
      <c r="E100" s="2">
        <f>E12/'Output-Calculation-sheet'!E11*'Output-Calculation-sheet'!E83</f>
        <v>18014454224.847473</v>
      </c>
      <c r="F100" s="2">
        <f>F12/'Output-Calculation-sheet'!F11*'Output-Calculation-sheet'!F83</f>
        <v>10780740489.871124</v>
      </c>
      <c r="G100" s="2">
        <f>G12/'Output-Calculation-sheet'!G11*'Output-Calculation-sheet'!G83</f>
        <v>5161951008.0726976</v>
      </c>
      <c r="H100" s="2">
        <f>H12/'Output-Calculation-sheet'!H11*'Output-Calculation-sheet'!H83</f>
        <v>6928446399.4914684</v>
      </c>
      <c r="I100" s="2">
        <f>I12/'Output-Calculation-sheet'!I11*'Output-Calculation-sheet'!I83</f>
        <v>6570660841.5894156</v>
      </c>
      <c r="J100" s="2">
        <f>J12/'Output-Calculation-sheet'!J11*'Output-Calculation-sheet'!J83</f>
        <v>3879729734.3266745</v>
      </c>
      <c r="K100" s="2">
        <f>K12/'Output-Calculation-sheet'!K11*'Output-Calculation-sheet'!K83</f>
        <v>6308305995.9282007</v>
      </c>
      <c r="L100" s="2">
        <f>L12/'Output-Calculation-sheet'!L11*'Output-Calculation-sheet'!L83</f>
        <v>4640472373.6829329</v>
      </c>
      <c r="M100" s="2">
        <f>M12/'Output-Calculation-sheet'!M11*'Output-Calculation-sheet'!M83</f>
        <v>4640213723.9027128</v>
      </c>
      <c r="N100" s="2">
        <f>N12/'Output-Calculation-sheet'!N11*'Output-Calculation-sheet'!N83</f>
        <v>3366339570.4904242</v>
      </c>
      <c r="O100" s="2">
        <f>O12/'Output-Calculation-sheet'!O11*'Output-Calculation-sheet'!O83</f>
        <v>2681935867.3658614</v>
      </c>
      <c r="P100" s="2">
        <f>P12/'Output-Calculation-sheet'!P11*'Output-Calculation-sheet'!P83</f>
        <v>5320433990.5623236</v>
      </c>
      <c r="Q100" s="2">
        <f>Q12/'Output-Calculation-sheet'!Q11*'Output-Calculation-sheet'!Q83</f>
        <v>3097463997.2954373</v>
      </c>
      <c r="R100" s="2">
        <f>R12/'Output-Calculation-sheet'!R11*'Output-Calculation-sheet'!R83</f>
        <v>4024968092.7328968</v>
      </c>
      <c r="S100" s="2">
        <f>S12/'Output-Calculation-sheet'!S11*'Output-Calculation-sheet'!S83</f>
        <v>2554312588.2673864</v>
      </c>
      <c r="T100" s="2">
        <f>T12/'Output-Calculation-sheet'!T11*'Output-Calculation-sheet'!T83</f>
        <v>1579613309.5154166</v>
      </c>
      <c r="U100" s="2">
        <f>U12/'Output-Calculation-sheet'!U11*'Output-Calculation-sheet'!U83</f>
        <v>1490542717.9812965</v>
      </c>
      <c r="V100" s="2">
        <f>V12/'Output-Calculation-sheet'!V11*'Output-Calculation-sheet'!V83</f>
        <v>981442610.69854617</v>
      </c>
      <c r="W100" s="2">
        <f>W12/'Output-Calculation-sheet'!W11*'Output-Calculation-sheet'!W83</f>
        <v>1080104977.5862856</v>
      </c>
      <c r="X100" s="2">
        <f>X12/'Output-Calculation-sheet'!X11*'Output-Calculation-sheet'!X83</f>
        <v>528818390.79212707</v>
      </c>
      <c r="Y100" s="2">
        <f>Y12/'Output-Calculation-sheet'!Y11*'Output-Calculation-sheet'!Y83</f>
        <v>564189235.85255861</v>
      </c>
      <c r="AA100" s="2">
        <f t="shared" si="8"/>
        <v>175.32160362777506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2034.8692887181605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626.39587845721155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431.0213249266759</v>
      </c>
      <c r="N107" s="2">
        <f>N8/'Output-Calculation-sheet'!N7*'Output-Calculation-sheet'!N88</f>
        <v>169.44962461876187</v>
      </c>
      <c r="O107" s="2">
        <f>O8/'Output-Calculation-sheet'!O7*'Output-Calculation-sheet'!O88</f>
        <v>474.3822870167711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47.283935796424451</v>
      </c>
      <c r="Y107" s="2">
        <f>Y8/'Output-Calculation-sheet'!Y7*'Output-Calculation-sheet'!Y88</f>
        <v>0</v>
      </c>
      <c r="AA107" s="2">
        <f t="shared" si="9"/>
        <v>3.7834023395340051</v>
      </c>
    </row>
    <row r="108" spans="1:27" x14ac:dyDescent="0.25">
      <c r="A108" s="2">
        <v>2032</v>
      </c>
      <c r="B108" s="2">
        <f>B9/'Output-Calculation-sheet'!B8*'Output-Calculation-sheet'!B89</f>
        <v>934.09617634255892</v>
      </c>
      <c r="C108" s="2">
        <f>C9/'Output-Calculation-sheet'!C8*'Output-Calculation-sheet'!C89</f>
        <v>3546.7493225968597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955.32451331097775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657.35623688391911</v>
      </c>
      <c r="N108" s="2">
        <f>N9/'Output-Calculation-sheet'!N8*'Output-Calculation-sheet'!N89</f>
        <v>461.48183867920807</v>
      </c>
      <c r="O108" s="2">
        <f>O9/'Output-Calculation-sheet'!O8*'Output-Calculation-sheet'!O89</f>
        <v>689.0348618692525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211.62985685451818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72.113346376739173</v>
      </c>
      <c r="Y108" s="2">
        <f>Y9/'Output-Calculation-sheet'!Y8*'Output-Calculation-sheet'!Y89</f>
        <v>0</v>
      </c>
      <c r="AA108" s="2">
        <f t="shared" si="9"/>
        <v>7.5277861529140324</v>
      </c>
    </row>
    <row r="109" spans="1:27" x14ac:dyDescent="0.25">
      <c r="A109" s="2">
        <v>2033</v>
      </c>
      <c r="B109" s="2">
        <f>B10/'Output-Calculation-sheet'!B9*'Output-Calculation-sheet'!B90</f>
        <v>4770.9408170117795</v>
      </c>
      <c r="C109" s="2">
        <f>C10/'Output-Calculation-sheet'!C9*'Output-Calculation-sheet'!C90</f>
        <v>4528.7978742032428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1394.1044461650458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959.27953254129523</v>
      </c>
      <c r="N109" s="2">
        <f>N10/'Output-Calculation-sheet'!N9*'Output-Calculation-sheet'!N90</f>
        <v>754.25296751262283</v>
      </c>
      <c r="O109" s="2">
        <f>O10/'Output-Calculation-sheet'!O9*'Output-Calculation-sheet'!O90</f>
        <v>879.81961335813492</v>
      </c>
      <c r="P109" s="2">
        <f>P10/'Output-Calculation-sheet'!P9*'Output-Calculation-sheet'!P90</f>
        <v>0</v>
      </c>
      <c r="Q109" s="2">
        <f>Q10/'Output-Calculation-sheet'!Q9*'Output-Calculation-sheet'!Q90</f>
        <v>165.21027007452301</v>
      </c>
      <c r="R109" s="2">
        <f>R10/'Output-Calculation-sheet'!R9*'Output-Calculation-sheet'!R90</f>
        <v>0</v>
      </c>
      <c r="S109" s="2">
        <f>S10/'Output-Calculation-sheet'!S9*'Output-Calculation-sheet'!S90</f>
        <v>378.31835918826948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105.23495986010188</v>
      </c>
      <c r="Y109" s="2">
        <f>Y10/'Output-Calculation-sheet'!Y9*'Output-Calculation-sheet'!Y90</f>
        <v>0</v>
      </c>
      <c r="AA109" s="2">
        <f t="shared" si="9"/>
        <v>13.935958839915015</v>
      </c>
    </row>
    <row r="110" spans="1:27" x14ac:dyDescent="0.25">
      <c r="A110" s="2">
        <v>2034</v>
      </c>
      <c r="B110" s="2">
        <f>B11/'Output-Calculation-sheet'!B10*'Output-Calculation-sheet'!B91</f>
        <v>8328.0039918255497</v>
      </c>
      <c r="C110" s="2">
        <f>C11/'Output-Calculation-sheet'!C10*'Output-Calculation-sheet'!C91</f>
        <v>5709.402760430582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1622.3365352854521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1116.3254212941861</v>
      </c>
      <c r="N110" s="2">
        <f>N11/'Output-Calculation-sheet'!N10*'Output-Calculation-sheet'!N91</f>
        <v>1005.7362783671755</v>
      </c>
      <c r="O110" s="2">
        <f>O11/'Output-Calculation-sheet'!O10*'Output-Calculation-sheet'!O91</f>
        <v>1109.1783446112945</v>
      </c>
      <c r="P110" s="2">
        <f>P11/'Output-Calculation-sheet'!P10*'Output-Calculation-sheet'!P91</f>
        <v>253.39736253156329</v>
      </c>
      <c r="Q110" s="2">
        <f>Q11/'Output-Calculation-sheet'!Q10*'Output-Calculation-sheet'!Q91</f>
        <v>560.75024997380069</v>
      </c>
      <c r="R110" s="2">
        <f>R11/'Output-Calculation-sheet'!R10*'Output-Calculation-sheet'!R91</f>
        <v>0</v>
      </c>
      <c r="S110" s="2">
        <f>S11/'Output-Calculation-sheet'!S10*'Output-Calculation-sheet'!S91</f>
        <v>576.52275448535113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122.46322048536759</v>
      </c>
      <c r="Y110" s="2">
        <f>Y11/'Output-Calculation-sheet'!Y10*'Output-Calculation-sheet'!Y91</f>
        <v>29.544837567800769</v>
      </c>
      <c r="AA110" s="2">
        <f t="shared" si="9"/>
        <v>20.433661756858122</v>
      </c>
    </row>
    <row r="111" spans="1:27" x14ac:dyDescent="0.25">
      <c r="A111" s="2">
        <v>2035</v>
      </c>
      <c r="B111" s="2">
        <f>B12/'Output-Calculation-sheet'!B11*'Output-Calculation-sheet'!B92</f>
        <v>12876.376978326154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2868.2850485671643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637.03448310146803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1018.6575220219554</v>
      </c>
      <c r="Q111" s="2">
        <f>Q12/'Output-Calculation-sheet'!Q11*'Output-Calculation-sheet'!Q92</f>
        <v>966.09269173941925</v>
      </c>
      <c r="R111" s="2">
        <f>R12/'Output-Calculation-sheet'!R11*'Output-Calculation-sheet'!R92</f>
        <v>147.39430584801468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213.39807026039199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100.49791362391626</v>
      </c>
      <c r="AA111" s="2">
        <f t="shared" si="9"/>
        <v>31.445862377162463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9565883528.6406422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2943225976.5783782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2044324068.3040435</v>
      </c>
      <c r="N118" s="2">
        <f>N8/'Output-Calculation-sheet'!N7*'Output-Calculation-sheet'!N97</f>
        <v>1604211505.6107142</v>
      </c>
      <c r="O118" s="2">
        <f>O8/'Output-Calculation-sheet'!O7*'Output-Calculation-sheet'!O97</f>
        <v>1067460772.3334658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580954323.5056051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220339333.5333907</v>
      </c>
      <c r="Y118" s="2">
        <f>Y8/'Output-Calculation-sheet'!Y7*'Output-Calculation-sheet'!Y97</f>
        <v>0</v>
      </c>
      <c r="AA118" s="2">
        <f t="shared" si="10"/>
        <v>19658.214469752886</v>
      </c>
    </row>
    <row r="119" spans="1:27" x14ac:dyDescent="0.25">
      <c r="A119" s="2">
        <v>2032</v>
      </c>
      <c r="B119" s="2">
        <f>B9/'Output-Calculation-sheet'!B8*'Output-Calculation-sheet'!B98</f>
        <v>7007638039.3985701</v>
      </c>
      <c r="C119" s="2">
        <f>C9/'Output-Calculation-sheet'!C8*'Output-Calculation-sheet'!C98</f>
        <v>5569812257.3511381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3329646230.0140929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2324105537.8229151</v>
      </c>
      <c r="N119" s="2">
        <f>N9/'Output-Calculation-sheet'!N8*'Output-Calculation-sheet'!N98</f>
        <v>1569528501.0470212</v>
      </c>
      <c r="O119" s="2">
        <f>O9/'Output-Calculation-sheet'!O8*'Output-Calculation-sheet'!O98</f>
        <v>1088238394.7240784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652264381.81131053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248687624.56051227</v>
      </c>
      <c r="Y119" s="2">
        <f>Y9/'Output-Calculation-sheet'!Y8*'Output-Calculation-sheet'!Y98</f>
        <v>0</v>
      </c>
      <c r="AA119" s="2">
        <f t="shared" si="10"/>
        <v>21789.920966729638</v>
      </c>
    </row>
    <row r="120" spans="1:27" x14ac:dyDescent="0.25">
      <c r="A120" s="2">
        <v>2033</v>
      </c>
      <c r="B120" s="2">
        <f>B10/'Output-Calculation-sheet'!B9*'Output-Calculation-sheet'!B99</f>
        <v>6863634077.6452436</v>
      </c>
      <c r="C120" s="2">
        <f>C10/'Output-Calculation-sheet'!C9*'Output-Calculation-sheet'!C99</f>
        <v>5642333402.1122236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1849987463.2125444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1309436495.0000637</v>
      </c>
      <c r="N120" s="2">
        <f>N10/'Output-Calculation-sheet'!N9*'Output-Calculation-sheet'!N99</f>
        <v>1305369448.3105068</v>
      </c>
      <c r="O120" s="2">
        <f>O10/'Output-Calculation-sheet'!O9*'Output-Calculation-sheet'!O99</f>
        <v>1104647346.2082233</v>
      </c>
      <c r="P120" s="2">
        <f>P10/'Output-Calculation-sheet'!P9*'Output-Calculation-sheet'!P99</f>
        <v>0</v>
      </c>
      <c r="Q120" s="2">
        <f>Q10/'Output-Calculation-sheet'!Q9*'Output-Calculation-sheet'!Q99</f>
        <v>8085168.431089785</v>
      </c>
      <c r="R120" s="2">
        <f>R10/'Output-Calculation-sheet'!R9*'Output-Calculation-sheet'!R99</f>
        <v>0</v>
      </c>
      <c r="S120" s="2">
        <f>S10/'Output-Calculation-sheet'!S9*'Output-Calculation-sheet'!S99</f>
        <v>546680206.42261195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130753043.6046304</v>
      </c>
      <c r="Y120" s="2">
        <f>Y10/'Output-Calculation-sheet'!Y9*'Output-Calculation-sheet'!Y99</f>
        <v>0</v>
      </c>
      <c r="AA120" s="2">
        <f t="shared" si="10"/>
        <v>18760.926650947138</v>
      </c>
    </row>
    <row r="121" spans="1:27" x14ac:dyDescent="0.25">
      <c r="A121" s="2">
        <v>2034</v>
      </c>
      <c r="B121" s="2">
        <f>B11/'Output-Calculation-sheet'!B10*'Output-Calculation-sheet'!B100</f>
        <v>6237849241.0431108</v>
      </c>
      <c r="C121" s="2">
        <f>C11/'Output-Calculation-sheet'!C10*'Output-Calculation-sheet'!C100</f>
        <v>749524804.7642467</v>
      </c>
      <c r="D121" s="2">
        <f>D11/'Output-Calculation-sheet'!D10*'Output-Calculation-sheet'!D100</f>
        <v>0</v>
      </c>
      <c r="E121" s="2">
        <f>E11/'Output-Calculation-sheet'!E10*'Output-Calculation-sheet'!E100</f>
        <v>865010659.50215077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1973568883.6238103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719500751.82941604</v>
      </c>
      <c r="M121" s="2">
        <f>M11/'Output-Calculation-sheet'!M10*'Output-Calculation-sheet'!M100</f>
        <v>1404581425.1559446</v>
      </c>
      <c r="N121" s="2">
        <f>N11/'Output-Calculation-sheet'!N10*'Output-Calculation-sheet'!N100</f>
        <v>936403051.66736102</v>
      </c>
      <c r="O121" s="2">
        <f>O11/'Output-Calculation-sheet'!O10*'Output-Calculation-sheet'!O100</f>
        <v>147021755.78876823</v>
      </c>
      <c r="P121" s="2">
        <f>P11/'Output-Calculation-sheet'!P10*'Output-Calculation-sheet'!P100</f>
        <v>0</v>
      </c>
      <c r="Q121" s="2">
        <f>Q11/'Output-Calculation-sheet'!Q10*'Output-Calculation-sheet'!Q100</f>
        <v>289263796.71371138</v>
      </c>
      <c r="R121" s="2">
        <f>R11/'Output-Calculation-sheet'!R10*'Output-Calculation-sheet'!R100</f>
        <v>0</v>
      </c>
      <c r="S121" s="2">
        <f>S11/'Output-Calculation-sheet'!S10*'Output-Calculation-sheet'!S100</f>
        <v>350114168.89248574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138009952.8331756</v>
      </c>
      <c r="Y121" s="2">
        <f>Y11/'Output-Calculation-sheet'!Y10*'Output-Calculation-sheet'!Y100</f>
        <v>9862717.7897562273</v>
      </c>
      <c r="AA121" s="2">
        <f t="shared" si="10"/>
        <v>13820.711209603938</v>
      </c>
    </row>
    <row r="122" spans="1:27" x14ac:dyDescent="0.25">
      <c r="A122" s="2">
        <v>2035</v>
      </c>
      <c r="B122" s="2">
        <f>B12/'Output-Calculation-sheet'!B11*'Output-Calculation-sheet'!B101</f>
        <v>2264008213.1668262</v>
      </c>
      <c r="C122" s="2">
        <f>C12/'Output-Calculation-sheet'!C11*'Output-Calculation-sheet'!C101</f>
        <v>389364117.5848707</v>
      </c>
      <c r="D122" s="2">
        <f>D12/'Output-Calculation-sheet'!D11*'Output-Calculation-sheet'!D101</f>
        <v>0</v>
      </c>
      <c r="E122" s="2">
        <f>E12/'Output-Calculation-sheet'!E11*'Output-Calculation-sheet'!E101</f>
        <v>2262897728.630095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607266621.15906417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1328201532.7985082</v>
      </c>
      <c r="M122" s="2">
        <f>M12/'Output-Calculation-sheet'!M11*'Output-Calculation-sheet'!M101</f>
        <v>547774825.96384943</v>
      </c>
      <c r="N122" s="2">
        <f>N12/'Output-Calculation-sheet'!N11*'Output-Calculation-sheet'!N101</f>
        <v>459253907.42430139</v>
      </c>
      <c r="O122" s="2">
        <f>O12/'Output-Calculation-sheet'!O11*'Output-Calculation-sheet'!O101</f>
        <v>66362734.545268849</v>
      </c>
      <c r="P122" s="2">
        <f>P12/'Output-Calculation-sheet'!P11*'Output-Calculation-sheet'!P101</f>
        <v>28218706.170188945</v>
      </c>
      <c r="Q122" s="2">
        <f>Q12/'Output-Calculation-sheet'!Q11*'Output-Calculation-sheet'!Q101</f>
        <v>556236794.69893932</v>
      </c>
      <c r="R122" s="2">
        <f>R12/'Output-Calculation-sheet'!R11*'Output-Calculation-sheet'!R101</f>
        <v>0</v>
      </c>
      <c r="S122" s="2">
        <f>S12/'Output-Calculation-sheet'!S11*'Output-Calculation-sheet'!S101</f>
        <v>224865172.42232707</v>
      </c>
      <c r="T122" s="2">
        <f>T12/'Output-Calculation-sheet'!T11*'Output-Calculation-sheet'!T101</f>
        <v>0</v>
      </c>
      <c r="U122" s="2">
        <f>U12/'Output-Calculation-sheet'!U11*'Output-Calculation-sheet'!U101</f>
        <v>82680173.917905077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19427936.899816476</v>
      </c>
      <c r="Y122" s="2">
        <f>Y12/'Output-Calculation-sheet'!Y11*'Output-Calculation-sheet'!Y101</f>
        <v>80277353.717632487</v>
      </c>
      <c r="AA122" s="2">
        <f t="shared" si="10"/>
        <v>8916.8358190995932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2662052502.4385109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2671288018.4879603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174980.96983409952</v>
      </c>
    </row>
    <row r="130" spans="1:27" x14ac:dyDescent="0.25">
      <c r="A130" s="2">
        <v>2032</v>
      </c>
      <c r="B130" s="2">
        <f>B9/'Output-Calculation-sheet'!B8*'Output-Calculation-sheet'!B107</f>
        <v>63415110069.222618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2307051994.466361</v>
      </c>
      <c r="O130" s="2">
        <f>O9/'Output-Calculation-sheet'!O8*'Output-Calculation-sheet'!O107</f>
        <v>0</v>
      </c>
      <c r="P130" s="2">
        <f>P9/'Output-Calculation-sheet'!P8*'Output-Calculation-sheet'!P107</f>
        <v>7039660123.9689693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2049027758.4624393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223331.18245176069</v>
      </c>
    </row>
    <row r="131" spans="1:27" x14ac:dyDescent="0.25">
      <c r="A131" s="2">
        <v>2033</v>
      </c>
      <c r="B131" s="2">
        <f>B10/'Output-Calculation-sheet'!B9*'Output-Calculation-sheet'!B108</f>
        <v>51200621563.3041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1876129566.0528793</v>
      </c>
      <c r="O131" s="2">
        <f>O10/'Output-Calculation-sheet'!O9*'Output-Calculation-sheet'!O108</f>
        <v>0</v>
      </c>
      <c r="P131" s="2">
        <f>P10/'Output-Calculation-sheet'!P9*'Output-Calculation-sheet'!P108</f>
        <v>8628845386.368763</v>
      </c>
      <c r="Q131" s="2">
        <f>Q10/'Output-Calculation-sheet'!Q9*'Output-Calculation-sheet'!Q108</f>
        <v>7278962814.2187176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1819745700.2736843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244372.50428928572</v>
      </c>
    </row>
    <row r="132" spans="1:27" x14ac:dyDescent="0.25">
      <c r="A132" s="2">
        <v>2034</v>
      </c>
      <c r="B132" s="2">
        <f>B11/'Output-Calculation-sheet'!B10*'Output-Calculation-sheet'!B109</f>
        <v>36297142731.483223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35037609838.256714</v>
      </c>
      <c r="F132" s="2">
        <f>F11/'Output-Calculation-sheet'!F10*'Output-Calculation-sheet'!F109</f>
        <v>23108135784.890907</v>
      </c>
      <c r="G132" s="2">
        <f>G11/'Output-Calculation-sheet'!G10*'Output-Calculation-sheet'!G109</f>
        <v>16236860000.93157</v>
      </c>
      <c r="H132" s="2">
        <f>H11/'Output-Calculation-sheet'!H10*'Output-Calculation-sheet'!H109</f>
        <v>0</v>
      </c>
      <c r="I132" s="2">
        <f>I11/'Output-Calculation-sheet'!I10*'Output-Calculation-sheet'!I109</f>
        <v>14792021834.765034</v>
      </c>
      <c r="J132" s="2">
        <f>J11/'Output-Calculation-sheet'!J10*'Output-Calculation-sheet'!J109</f>
        <v>14397631629.72426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10719743458.485319</v>
      </c>
      <c r="M132" s="2">
        <f>M11/'Output-Calculation-sheet'!M10*'Output-Calculation-sheet'!M109</f>
        <v>0</v>
      </c>
      <c r="N132" s="2">
        <f>N11/'Output-Calculation-sheet'!N10*'Output-Calculation-sheet'!N109</f>
        <v>1409465181.0059791</v>
      </c>
      <c r="O132" s="2">
        <f>O11/'Output-Calculation-sheet'!O10*'Output-Calculation-sheet'!O109</f>
        <v>0</v>
      </c>
      <c r="P132" s="2">
        <f>P11/'Output-Calculation-sheet'!P10*'Output-Calculation-sheet'!P109</f>
        <v>8008196926.0393877</v>
      </c>
      <c r="Q132" s="2">
        <f>Q11/'Output-Calculation-sheet'!Q10*'Output-Calculation-sheet'!Q109</f>
        <v>5198460681.0298452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967330308.94142103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2960103401.3123116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954400701.12347925</v>
      </c>
      <c r="AA132" s="2">
        <f t="shared" si="11"/>
        <v>246478.27339172101</v>
      </c>
    </row>
    <row r="133" spans="1:27" x14ac:dyDescent="0.25">
      <c r="A133" s="2">
        <v>2035</v>
      </c>
      <c r="B133" s="2">
        <f>B12/'Output-Calculation-sheet'!B11*'Output-Calculation-sheet'!B110</f>
        <v>542490123.380633</v>
      </c>
      <c r="C133" s="2">
        <f>C12/'Output-Calculation-sheet'!C11*'Output-Calculation-sheet'!C110</f>
        <v>0</v>
      </c>
      <c r="D133" s="2">
        <f>D12/'Output-Calculation-sheet'!D11*'Output-Calculation-sheet'!D110</f>
        <v>45862805202.15728</v>
      </c>
      <c r="E133" s="2">
        <f>E12/'Output-Calculation-sheet'!E11*'Output-Calculation-sheet'!E110</f>
        <v>17604982321.368649</v>
      </c>
      <c r="F133" s="2">
        <f>F12/'Output-Calculation-sheet'!F11*'Output-Calculation-sheet'!F110</f>
        <v>24016249994.451534</v>
      </c>
      <c r="G133" s="2">
        <f>G12/'Output-Calculation-sheet'!G11*'Output-Calculation-sheet'!G110</f>
        <v>16371812662.375345</v>
      </c>
      <c r="H133" s="2">
        <f>H12/'Output-Calculation-sheet'!H11*'Output-Calculation-sheet'!H110</f>
        <v>0</v>
      </c>
      <c r="I133" s="2">
        <f>I12/'Output-Calculation-sheet'!I11*'Output-Calculation-sheet'!I110</f>
        <v>15295465896.972206</v>
      </c>
      <c r="J133" s="2">
        <f>J12/'Output-Calculation-sheet'!J11*'Output-Calculation-sheet'!J110</f>
        <v>14643717511.820204</v>
      </c>
      <c r="K133" s="2">
        <f>K12/'Output-Calculation-sheet'!K11*'Output-Calculation-sheet'!K110</f>
        <v>14791164733.340939</v>
      </c>
      <c r="L133" s="2">
        <f>L12/'Output-Calculation-sheet'!L11*'Output-Calculation-sheet'!L110</f>
        <v>6982341140.6012964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2547616668.7822142</v>
      </c>
      <c r="Q133" s="2">
        <f>Q12/'Output-Calculation-sheet'!Q11*'Output-Calculation-sheet'!Q110</f>
        <v>2185434856.3184228</v>
      </c>
      <c r="R133" s="2">
        <f>R12/'Output-Calculation-sheet'!R11*'Output-Calculation-sheet'!R110</f>
        <v>8787081907.9764156</v>
      </c>
      <c r="S133" s="2">
        <f>S12/'Output-Calculation-sheet'!S11*'Output-Calculation-sheet'!S110</f>
        <v>2261132.0990707013</v>
      </c>
      <c r="T133" s="2">
        <f>T12/'Output-Calculation-sheet'!T11*'Output-Calculation-sheet'!T110</f>
        <v>3547446527.2668571</v>
      </c>
      <c r="U133" s="2">
        <f>U12/'Output-Calculation-sheet'!U11*'Output-Calculation-sheet'!U110</f>
        <v>1665370549.7273085</v>
      </c>
      <c r="V133" s="2">
        <f>V12/'Output-Calculation-sheet'!V11*'Output-Calculation-sheet'!V110</f>
        <v>2392721187.1793776</v>
      </c>
      <c r="W133" s="2">
        <f>W12/'Output-Calculation-sheet'!W11*'Output-Calculation-sheet'!W110</f>
        <v>2063872991.0021238</v>
      </c>
      <c r="X133" s="2">
        <f>X12/'Output-Calculation-sheet'!X11*'Output-Calculation-sheet'!X110</f>
        <v>0</v>
      </c>
      <c r="Y133" s="2">
        <f>Y12/'Output-Calculation-sheet'!Y11*'Output-Calculation-sheet'!Y110</f>
        <v>472465015.52606916</v>
      </c>
      <c r="AA133" s="2">
        <f t="shared" si="11"/>
        <v>179775.30042234593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17314538931.084778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5443254904.6174765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3741612156.495306</v>
      </c>
      <c r="N140" s="2">
        <f>N8/'Output-Calculation-sheet'!N7*'Output-Calculation-sheet'!N115</f>
        <v>1412606892.7341683</v>
      </c>
      <c r="O140" s="2">
        <f>O8/'Output-Calculation-sheet'!O7*'Output-Calculation-sheet'!O115</f>
        <v>4155405036.8007331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406294157.40187448</v>
      </c>
      <c r="Y140" s="2">
        <f>Y8/'Output-Calculation-sheet'!Y7*'Output-Calculation-sheet'!Y115</f>
        <v>0</v>
      </c>
      <c r="AA140" s="2">
        <f t="shared" si="12"/>
        <v>32473.712079134337</v>
      </c>
    </row>
    <row r="141" spans="1:27" x14ac:dyDescent="0.25">
      <c r="A141" s="2">
        <v>2032</v>
      </c>
      <c r="B141" s="2">
        <f>B9/'Output-Calculation-sheet'!B8*'Output-Calculation-sheet'!B116</f>
        <v>7249810358.3428411</v>
      </c>
      <c r="C141" s="2">
        <f>C9/'Output-Calculation-sheet'!C8*'Output-Calculation-sheet'!C116</f>
        <v>31033475044.018654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8090292367.6951685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5554650444.9902763</v>
      </c>
      <c r="N141" s="2">
        <f>N9/'Output-Calculation-sheet'!N8*'Output-Calculation-sheet'!N116</f>
        <v>3856383173.4828768</v>
      </c>
      <c r="O141" s="2">
        <f>O9/'Output-Calculation-sheet'!O8*'Output-Calculation-sheet'!O116</f>
        <v>6023779897.8355446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1727312584.9977047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604604182.82636714</v>
      </c>
      <c r="Y141" s="2">
        <f>Y9/'Output-Calculation-sheet'!Y8*'Output-Calculation-sheet'!Y116</f>
        <v>0</v>
      </c>
      <c r="AA141" s="2">
        <f t="shared" si="12"/>
        <v>64140.308054189431</v>
      </c>
    </row>
    <row r="142" spans="1:27" x14ac:dyDescent="0.25">
      <c r="A142" s="2">
        <v>2033</v>
      </c>
      <c r="B142" s="2">
        <f>B10/'Output-Calculation-sheet'!B9*'Output-Calculation-sheet'!B117</f>
        <v>37147660486.120026</v>
      </c>
      <c r="C142" s="2">
        <f>C10/'Output-Calculation-sheet'!C9*'Output-Calculation-sheet'!C117</f>
        <v>39226394523.415901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12148704122.549467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8348432865.6112804</v>
      </c>
      <c r="N142" s="2">
        <f>N10/'Output-Calculation-sheet'!N9*'Output-Calculation-sheet'!N117</f>
        <v>6297655967.6694489</v>
      </c>
      <c r="O142" s="2">
        <f>O10/'Output-Calculation-sheet'!O9*'Output-Calculation-sheet'!O117</f>
        <v>7613345345.5176973</v>
      </c>
      <c r="P142" s="2">
        <f>P10/'Output-Calculation-sheet'!P9*'Output-Calculation-sheet'!P117</f>
        <v>0</v>
      </c>
      <c r="Q142" s="2">
        <f>Q10/'Output-Calculation-sheet'!Q9*'Output-Calculation-sheet'!Q117</f>
        <v>1202762949.9613733</v>
      </c>
      <c r="R142" s="2">
        <f>R10/'Output-Calculation-sheet'!R9*'Output-Calculation-sheet'!R117</f>
        <v>0</v>
      </c>
      <c r="S142" s="2">
        <f>S10/'Output-Calculation-sheet'!S9*'Output-Calculation-sheet'!S117</f>
        <v>3062208467.5574317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915221885.80191219</v>
      </c>
      <c r="Y142" s="2">
        <f>Y10/'Output-Calculation-sheet'!Y9*'Output-Calculation-sheet'!Y117</f>
        <v>0</v>
      </c>
      <c r="AA142" s="2">
        <f t="shared" si="12"/>
        <v>115962.38661420454</v>
      </c>
    </row>
    <row r="143" spans="1:27" x14ac:dyDescent="0.25">
      <c r="A143" s="2">
        <v>2034</v>
      </c>
      <c r="B143" s="2">
        <f>B11/'Output-Calculation-sheet'!B10*'Output-Calculation-sheet'!B118</f>
        <v>65186039210.705635</v>
      </c>
      <c r="C143" s="2">
        <f>C11/'Output-Calculation-sheet'!C10*'Output-Calculation-sheet'!C118</f>
        <v>50014368181.371902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13864231687.330696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9522108450.0231743</v>
      </c>
      <c r="N143" s="2">
        <f>N11/'Output-Calculation-sheet'!N10*'Output-Calculation-sheet'!N118</f>
        <v>8378691567.4561291</v>
      </c>
      <c r="O143" s="2">
        <f>O11/'Output-Calculation-sheet'!O10*'Output-Calculation-sheet'!O118</f>
        <v>9716402298.794939</v>
      </c>
      <c r="P143" s="2">
        <f>P11/'Output-Calculation-sheet'!P10*'Output-Calculation-sheet'!P118</f>
        <v>1754267746.8894539</v>
      </c>
      <c r="Q143" s="2">
        <f>Q11/'Output-Calculation-sheet'!Q10*'Output-Calculation-sheet'!Q118</f>
        <v>4117453839.6717248</v>
      </c>
      <c r="R143" s="2">
        <f>R11/'Output-Calculation-sheet'!R10*'Output-Calculation-sheet'!R118</f>
        <v>0</v>
      </c>
      <c r="S143" s="2">
        <f>S11/'Output-Calculation-sheet'!S10*'Output-Calculation-sheet'!S118</f>
        <v>4824441786.5371428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1045382629.9860998</v>
      </c>
      <c r="Y143" s="2">
        <f>Y11/'Output-Calculation-sheet'!Y10*'Output-Calculation-sheet'!Y118</f>
        <v>186560045.47363472</v>
      </c>
      <c r="AA143" s="2">
        <f t="shared" si="12"/>
        <v>168609.94744424053</v>
      </c>
    </row>
    <row r="144" spans="1:27" x14ac:dyDescent="0.25">
      <c r="A144" s="2">
        <v>2035</v>
      </c>
      <c r="B144" s="2">
        <f>B12/'Output-Calculation-sheet'!B11*'Output-Calculation-sheet'!B119</f>
        <v>111164571845.23042</v>
      </c>
      <c r="C144" s="2">
        <f>C12/'Output-Calculation-sheet'!C11*'Output-Calculation-sheet'!C119</f>
        <v>53405931066.901253</v>
      </c>
      <c r="D144" s="2">
        <f>D12/'Output-Calculation-sheet'!D11*'Output-Calculation-sheet'!D119</f>
        <v>0</v>
      </c>
      <c r="E144" s="2">
        <f>E12/'Output-Calculation-sheet'!E11*'Output-Calculation-sheet'!E119</f>
        <v>17977151619.034031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16134865417.025982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3704185328.2043004</v>
      </c>
      <c r="M144" s="2">
        <f>M12/'Output-Calculation-sheet'!M11*'Output-Calculation-sheet'!M119</f>
        <v>10996408585.209919</v>
      </c>
      <c r="N144" s="2">
        <f>N12/'Output-Calculation-sheet'!N11*'Output-Calculation-sheet'!N119</f>
        <v>10864505413.301508</v>
      </c>
      <c r="O144" s="2">
        <f>O12/'Output-Calculation-sheet'!O11*'Output-Calculation-sheet'!O119</f>
        <v>10382176001.395338</v>
      </c>
      <c r="P144" s="2">
        <f>P12/'Output-Calculation-sheet'!P11*'Output-Calculation-sheet'!P119</f>
        <v>7755188290.5759392</v>
      </c>
      <c r="Q144" s="2">
        <f>Q12/'Output-Calculation-sheet'!Q11*'Output-Calculation-sheet'!Q119</f>
        <v>7326336421.6703072</v>
      </c>
      <c r="R144" s="2">
        <f>R12/'Output-Calculation-sheet'!R11*'Output-Calculation-sheet'!R119</f>
        <v>824763119.09491491</v>
      </c>
      <c r="S144" s="2">
        <f>S12/'Output-Calculation-sheet'!S11*'Output-Calculation-sheet'!S119</f>
        <v>6261404050.0949526</v>
      </c>
      <c r="T144" s="2">
        <f>T12/'Output-Calculation-sheet'!T11*'Output-Calculation-sheet'!T119</f>
        <v>0</v>
      </c>
      <c r="U144" s="2">
        <f>U12/'Output-Calculation-sheet'!U11*'Output-Calculation-sheet'!U119</f>
        <v>1362091860.5032599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1234075236.6500812</v>
      </c>
      <c r="Y144" s="2">
        <f>Y12/'Output-Calculation-sheet'!Y11*'Output-Calculation-sheet'!Y119</f>
        <v>660424946.3440094</v>
      </c>
      <c r="AA144" s="2">
        <f t="shared" si="12"/>
        <v>260054.07920123619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481392327.77928394</v>
      </c>
      <c r="C155" s="2">
        <f>C12/'Output-Calculation-sheet'!C11*'Output-Calculation-sheet'!C128</f>
        <v>45990105.522287451</v>
      </c>
      <c r="D155" s="2">
        <f>D12/'Output-Calculation-sheet'!D11*'Output-Calculation-sheet'!D128</f>
        <v>3445186983.8714256</v>
      </c>
      <c r="E155" s="2">
        <f>E12/'Output-Calculation-sheet'!E11*'Output-Calculation-sheet'!E128</f>
        <v>513636096.29713029</v>
      </c>
      <c r="F155" s="2">
        <f>F12/'Output-Calculation-sheet'!F11*'Output-Calculation-sheet'!F128</f>
        <v>1064039755.6950011</v>
      </c>
      <c r="G155" s="2">
        <f>G12/'Output-Calculation-sheet'!G11*'Output-Calculation-sheet'!G128</f>
        <v>1338699252.946522</v>
      </c>
      <c r="H155" s="2">
        <f>H12/'Output-Calculation-sheet'!H11*'Output-Calculation-sheet'!H128</f>
        <v>101449953.63234222</v>
      </c>
      <c r="I155" s="2">
        <f>I12/'Output-Calculation-sheet'!I11*'Output-Calculation-sheet'!I128</f>
        <v>804889034.16799569</v>
      </c>
      <c r="J155" s="2">
        <f>J12/'Output-Calculation-sheet'!J11*'Output-Calculation-sheet'!J128</f>
        <v>905659508.51395404</v>
      </c>
      <c r="K155" s="2">
        <f>K12/'Output-Calculation-sheet'!K11*'Output-Calculation-sheet'!K128</f>
        <v>678901148.11500943</v>
      </c>
      <c r="L155" s="2">
        <f>L12/'Output-Calculation-sheet'!L11*'Output-Calculation-sheet'!L128</f>
        <v>215423315.55321133</v>
      </c>
      <c r="M155" s="2">
        <f>M12/'Output-Calculation-sheet'!M11*'Output-Calculation-sheet'!M128</f>
        <v>80653425.64035286</v>
      </c>
      <c r="N155" s="2">
        <f>N12/'Output-Calculation-sheet'!N11*'Output-Calculation-sheet'!N128</f>
        <v>73716813.20125705</v>
      </c>
      <c r="O155" s="2">
        <f>O12/'Output-Calculation-sheet'!O11*'Output-Calculation-sheet'!O128</f>
        <v>13022584.809473051</v>
      </c>
      <c r="P155" s="2">
        <f>P12/'Output-Calculation-sheet'!P11*'Output-Calculation-sheet'!P128</f>
        <v>54886468.101603881</v>
      </c>
      <c r="Q155" s="2">
        <f>Q12/'Output-Calculation-sheet'!Q11*'Output-Calculation-sheet'!Q128</f>
        <v>185677610.63795701</v>
      </c>
      <c r="R155" s="2">
        <f>R12/'Output-Calculation-sheet'!R11*'Output-Calculation-sheet'!R128</f>
        <v>375999907.19005084</v>
      </c>
      <c r="S155" s="2">
        <f>S12/'Output-Calculation-sheet'!S11*'Output-Calculation-sheet'!S128</f>
        <v>45202388.741419256</v>
      </c>
      <c r="T155" s="2">
        <f>T12/'Output-Calculation-sheet'!T11*'Output-Calculation-sheet'!T128</f>
        <v>117385375.26047903</v>
      </c>
      <c r="U155" s="2">
        <f>U12/'Output-Calculation-sheet'!U11*'Output-Calculation-sheet'!U128</f>
        <v>64611577.628060929</v>
      </c>
      <c r="V155" s="2">
        <f>V12/'Output-Calculation-sheet'!V11*'Output-Calculation-sheet'!V128</f>
        <v>48133016.555825077</v>
      </c>
      <c r="W155" s="2">
        <f>W12/'Output-Calculation-sheet'!W11*'Output-Calculation-sheet'!W128</f>
        <v>77800926.436977059</v>
      </c>
      <c r="X155" s="2">
        <f>X12/'Output-Calculation-sheet'!X11*'Output-Calculation-sheet'!X128</f>
        <v>2429892.5425802222</v>
      </c>
      <c r="Y155" s="2">
        <f>Y12/'Output-Calculation-sheet'!Y11*'Output-Calculation-sheet'!Y128</f>
        <v>16296869.816993002</v>
      </c>
      <c r="AA155" s="2">
        <f t="shared" si="13"/>
        <v>10751.084338657191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1082.1500000000001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2161.7919999999999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855.47900000000004</v>
      </c>
      <c r="O17" s="7">
        <v>0</v>
      </c>
      <c r="P17" s="7">
        <v>2315.0540000000001</v>
      </c>
      <c r="Q17" s="7">
        <v>2600.6390000000001</v>
      </c>
      <c r="R17" s="7">
        <v>1715.731</v>
      </c>
      <c r="S17" s="7">
        <v>1235.1880000000001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1645.5840000000001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1932.415</v>
      </c>
      <c r="L18" s="7">
        <v>2097.828</v>
      </c>
      <c r="M18" s="7">
        <v>0</v>
      </c>
      <c r="N18" s="7">
        <v>674.08699999999999</v>
      </c>
      <c r="O18" s="7">
        <v>0</v>
      </c>
      <c r="P18" s="7">
        <v>2904.8850000000002</v>
      </c>
      <c r="Q18" s="7">
        <v>2835.8580000000002</v>
      </c>
      <c r="R18" s="7">
        <v>2217.85</v>
      </c>
      <c r="S18" s="7">
        <v>1069.7539999999999</v>
      </c>
      <c r="T18" s="7">
        <v>1750.3</v>
      </c>
      <c r="U18" s="7">
        <v>2224.9870000000001</v>
      </c>
      <c r="V18" s="7">
        <v>2129.902</v>
      </c>
      <c r="W18" s="7">
        <v>1226.963</v>
      </c>
      <c r="X18" s="7">
        <v>0</v>
      </c>
      <c r="Y18" s="7">
        <v>2467.5520000000001</v>
      </c>
    </row>
    <row r="19" spans="1:25" ht="28.5" customHeight="1" x14ac:dyDescent="0.25">
      <c r="A19" s="4"/>
      <c r="B19" s="7">
        <v>1148.0419999999999</v>
      </c>
      <c r="C19" s="7">
        <v>0</v>
      </c>
      <c r="D19" s="7">
        <v>1815.8050000000001</v>
      </c>
      <c r="E19" s="7">
        <v>2832.248</v>
      </c>
      <c r="F19" s="7">
        <v>2061.9699999999998</v>
      </c>
      <c r="G19" s="7">
        <v>1722.8810000000001</v>
      </c>
      <c r="H19" s="7">
        <v>0</v>
      </c>
      <c r="I19" s="7">
        <v>2090.36</v>
      </c>
      <c r="J19" s="7">
        <v>1785.7829999999999</v>
      </c>
      <c r="K19" s="7">
        <v>2494.4749999999999</v>
      </c>
      <c r="L19" s="7">
        <v>2551.4090000000001</v>
      </c>
      <c r="M19" s="7">
        <v>0</v>
      </c>
      <c r="N19" s="7">
        <v>519.62699999999995</v>
      </c>
      <c r="O19" s="7">
        <v>0</v>
      </c>
      <c r="P19" s="7">
        <v>2784.337</v>
      </c>
      <c r="Q19" s="7">
        <v>1897.8409999999999</v>
      </c>
      <c r="R19" s="7">
        <v>2799.1320000000001</v>
      </c>
      <c r="S19" s="7">
        <v>576.25</v>
      </c>
      <c r="T19" s="7">
        <v>2219.0650000000001</v>
      </c>
      <c r="U19" s="7">
        <v>2935.221</v>
      </c>
      <c r="V19" s="7">
        <v>2595.8119999999999</v>
      </c>
      <c r="W19" s="7">
        <v>1866.271</v>
      </c>
      <c r="X19" s="7">
        <v>0</v>
      </c>
      <c r="Y19" s="7">
        <v>2469.3389999999999</v>
      </c>
    </row>
    <row r="20" spans="1:25" ht="28.5" customHeight="1" x14ac:dyDescent="0.25">
      <c r="A20" s="4"/>
      <c r="B20" s="7">
        <v>17.777999999999999</v>
      </c>
      <c r="C20" s="7">
        <v>0</v>
      </c>
      <c r="D20" s="7">
        <v>2095.02</v>
      </c>
      <c r="E20" s="7">
        <v>1062.3330000000001</v>
      </c>
      <c r="F20" s="7">
        <v>2769.076</v>
      </c>
      <c r="G20" s="7">
        <v>1930.579</v>
      </c>
      <c r="H20" s="7">
        <v>0</v>
      </c>
      <c r="I20" s="7">
        <v>2601.9499999999998</v>
      </c>
      <c r="J20" s="7">
        <v>2203.16</v>
      </c>
      <c r="K20" s="7">
        <v>3129.933</v>
      </c>
      <c r="L20" s="7">
        <v>1503.64</v>
      </c>
      <c r="M20" s="7">
        <v>0</v>
      </c>
      <c r="N20" s="7">
        <v>0</v>
      </c>
      <c r="O20" s="7">
        <v>0</v>
      </c>
      <c r="P20" s="7">
        <v>736.40899999999999</v>
      </c>
      <c r="Q20" s="7">
        <v>754.79</v>
      </c>
      <c r="R20" s="7">
        <v>3065.683</v>
      </c>
      <c r="S20" s="7">
        <v>1.452</v>
      </c>
      <c r="T20" s="7">
        <v>2723.5439999999999</v>
      </c>
      <c r="U20" s="7">
        <v>1318.625</v>
      </c>
      <c r="V20" s="7">
        <v>3671.3530000000001</v>
      </c>
      <c r="W20" s="7">
        <v>2510.9430000000002</v>
      </c>
      <c r="X20" s="7">
        <v>0</v>
      </c>
      <c r="Y20" s="7">
        <v>925.36199999999997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1129.008</v>
      </c>
      <c r="D25" s="7">
        <v>0</v>
      </c>
      <c r="E25" s="7">
        <v>0</v>
      </c>
      <c r="F25" s="7">
        <v>0</v>
      </c>
      <c r="G25" s="7">
        <v>0</v>
      </c>
      <c r="H25" s="7">
        <v>1110.9670000000001</v>
      </c>
      <c r="I25" s="7">
        <v>0</v>
      </c>
      <c r="J25" s="7">
        <v>0</v>
      </c>
      <c r="K25" s="7">
        <v>0</v>
      </c>
      <c r="L25" s="7">
        <v>0</v>
      </c>
      <c r="M25" s="7">
        <v>1121.53</v>
      </c>
      <c r="N25" s="7">
        <v>949.27200000000005</v>
      </c>
      <c r="O25" s="7">
        <v>638.42899999999997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1106.4580000000001</v>
      </c>
      <c r="Y25" s="7">
        <v>0</v>
      </c>
    </row>
    <row r="26" spans="1:25" x14ac:dyDescent="0.25">
      <c r="B26" s="7">
        <v>514.17200000000003</v>
      </c>
      <c r="C26" s="7">
        <v>594.07000000000005</v>
      </c>
      <c r="D26" s="7">
        <v>0</v>
      </c>
      <c r="E26" s="7">
        <v>0</v>
      </c>
      <c r="F26" s="7">
        <v>0</v>
      </c>
      <c r="G26" s="7">
        <v>0</v>
      </c>
      <c r="H26" s="7">
        <v>1158.5029999999999</v>
      </c>
      <c r="I26" s="7">
        <v>0</v>
      </c>
      <c r="J26" s="7">
        <v>0</v>
      </c>
      <c r="K26" s="7">
        <v>0</v>
      </c>
      <c r="L26" s="7">
        <v>0</v>
      </c>
      <c r="M26" s="7">
        <v>1176.5340000000001</v>
      </c>
      <c r="N26" s="7">
        <v>829.60799999999995</v>
      </c>
      <c r="O26" s="7">
        <v>597.46199999999999</v>
      </c>
      <c r="P26" s="7">
        <v>0</v>
      </c>
      <c r="Q26" s="7">
        <v>0</v>
      </c>
      <c r="R26" s="7">
        <v>0</v>
      </c>
      <c r="S26" s="7">
        <v>686.50300000000004</v>
      </c>
      <c r="T26" s="7">
        <v>0</v>
      </c>
      <c r="U26" s="7">
        <v>0</v>
      </c>
      <c r="V26" s="7">
        <v>0</v>
      </c>
      <c r="W26" s="7">
        <v>0</v>
      </c>
      <c r="X26" s="7">
        <v>1167.0160000000001</v>
      </c>
      <c r="Y26" s="7">
        <v>0</v>
      </c>
    </row>
    <row r="27" spans="1:25" x14ac:dyDescent="0.25">
      <c r="B27" s="7">
        <v>454.92500000000001</v>
      </c>
      <c r="C27" s="7">
        <v>589.13300000000004</v>
      </c>
      <c r="D27" s="7">
        <v>0</v>
      </c>
      <c r="E27" s="7">
        <v>0</v>
      </c>
      <c r="F27" s="7">
        <v>0</v>
      </c>
      <c r="G27" s="7">
        <v>0</v>
      </c>
      <c r="H27" s="7">
        <v>627.49699999999996</v>
      </c>
      <c r="I27" s="7">
        <v>0</v>
      </c>
      <c r="J27" s="7">
        <v>0</v>
      </c>
      <c r="K27" s="7">
        <v>0</v>
      </c>
      <c r="L27" s="7">
        <v>0</v>
      </c>
      <c r="M27" s="7">
        <v>645.47199999999998</v>
      </c>
      <c r="N27" s="7">
        <v>665.08199999999999</v>
      </c>
      <c r="O27" s="7">
        <v>593.70100000000002</v>
      </c>
      <c r="P27" s="7">
        <v>0</v>
      </c>
      <c r="Q27" s="7">
        <v>8.9619999999999997</v>
      </c>
      <c r="R27" s="7">
        <v>0</v>
      </c>
      <c r="S27" s="7">
        <v>552.45699999999999</v>
      </c>
      <c r="T27" s="7">
        <v>0</v>
      </c>
      <c r="U27" s="7">
        <v>0</v>
      </c>
      <c r="V27" s="7">
        <v>0</v>
      </c>
      <c r="W27" s="7">
        <v>0</v>
      </c>
      <c r="X27" s="7">
        <v>587.529</v>
      </c>
      <c r="Y27" s="7">
        <v>0</v>
      </c>
    </row>
    <row r="28" spans="1:25" x14ac:dyDescent="0.25">
      <c r="B28" s="7">
        <v>379.43599999999998</v>
      </c>
      <c r="C28" s="7">
        <v>80.700999999999993</v>
      </c>
      <c r="D28" s="7">
        <v>0</v>
      </c>
      <c r="E28" s="7">
        <v>380.642</v>
      </c>
      <c r="F28" s="7">
        <v>0</v>
      </c>
      <c r="G28" s="7">
        <v>0</v>
      </c>
      <c r="H28" s="7">
        <v>690.28800000000001</v>
      </c>
      <c r="I28" s="7">
        <v>0</v>
      </c>
      <c r="J28" s="7">
        <v>0</v>
      </c>
      <c r="K28" s="7">
        <v>0</v>
      </c>
      <c r="L28" s="7">
        <v>727.59900000000005</v>
      </c>
      <c r="M28" s="7">
        <v>713.96199999999999</v>
      </c>
      <c r="N28" s="7">
        <v>485.62200000000001</v>
      </c>
      <c r="O28" s="7">
        <v>81.481999999999999</v>
      </c>
      <c r="P28" s="7">
        <v>0</v>
      </c>
      <c r="Q28" s="7">
        <v>262.75599999999997</v>
      </c>
      <c r="R28" s="7">
        <v>0</v>
      </c>
      <c r="S28" s="7">
        <v>317.20400000000001</v>
      </c>
      <c r="T28" s="7">
        <v>0</v>
      </c>
      <c r="U28" s="7">
        <v>0</v>
      </c>
      <c r="V28" s="7">
        <v>0</v>
      </c>
      <c r="W28" s="7">
        <v>0</v>
      </c>
      <c r="X28" s="7">
        <v>639.47500000000002</v>
      </c>
      <c r="Y28" s="7">
        <v>126.039</v>
      </c>
    </row>
    <row r="29" spans="1:25" x14ac:dyDescent="0.25">
      <c r="B29" s="7">
        <v>124.71299999999999</v>
      </c>
      <c r="C29" s="7">
        <v>45.19</v>
      </c>
      <c r="D29" s="7">
        <v>0</v>
      </c>
      <c r="E29" s="7">
        <v>522.62400000000002</v>
      </c>
      <c r="F29" s="7">
        <v>0</v>
      </c>
      <c r="G29" s="7">
        <v>0</v>
      </c>
      <c r="H29" s="7">
        <v>228.95699999999999</v>
      </c>
      <c r="I29" s="7">
        <v>0</v>
      </c>
      <c r="J29" s="7">
        <v>0</v>
      </c>
      <c r="K29" s="7">
        <v>0</v>
      </c>
      <c r="L29" s="7">
        <v>996.851</v>
      </c>
      <c r="M29" s="7">
        <v>300.142</v>
      </c>
      <c r="N29" s="7">
        <v>256.03300000000002</v>
      </c>
      <c r="O29" s="7">
        <v>39.646000000000001</v>
      </c>
      <c r="P29" s="7">
        <v>17.747</v>
      </c>
      <c r="Q29" s="7">
        <v>376.75700000000001</v>
      </c>
      <c r="R29" s="7">
        <v>0</v>
      </c>
      <c r="S29" s="7">
        <v>218.69200000000001</v>
      </c>
      <c r="T29" s="7">
        <v>0</v>
      </c>
      <c r="U29" s="7">
        <v>321.52600000000001</v>
      </c>
      <c r="V29" s="7">
        <v>0</v>
      </c>
      <c r="W29" s="7">
        <v>0</v>
      </c>
      <c r="X29" s="7">
        <v>97.037000000000006</v>
      </c>
      <c r="Y29" s="7">
        <v>538.88400000000001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4</v>
      </c>
      <c r="E38" s="7">
        <v>2</v>
      </c>
      <c r="F38" s="7">
        <v>3</v>
      </c>
      <c r="G38" s="7">
        <v>4</v>
      </c>
      <c r="H38" s="7">
        <v>1</v>
      </c>
      <c r="I38" s="7">
        <v>3</v>
      </c>
      <c r="J38" s="7">
        <v>2</v>
      </c>
      <c r="K38" s="7">
        <v>3</v>
      </c>
      <c r="L38" s="7">
        <v>2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3</v>
      </c>
      <c r="S38" s="7">
        <v>1</v>
      </c>
      <c r="T38" s="7">
        <v>2</v>
      </c>
      <c r="U38" s="7">
        <v>3</v>
      </c>
      <c r="V38" s="7">
        <v>2</v>
      </c>
      <c r="W38" s="7">
        <v>3</v>
      </c>
      <c r="X38" s="7">
        <v>1</v>
      </c>
      <c r="Y38" s="7">
        <v>3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151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174</v>
      </c>
      <c r="L45" s="7">
        <v>0</v>
      </c>
      <c r="M45" s="7">
        <v>0</v>
      </c>
      <c r="N45" s="7">
        <v>0</v>
      </c>
      <c r="O45" s="7">
        <v>0</v>
      </c>
      <c r="P45" s="7">
        <v>2110</v>
      </c>
      <c r="Q45" s="7">
        <v>195</v>
      </c>
      <c r="R45" s="7">
        <v>1472</v>
      </c>
      <c r="S45" s="7">
        <v>0</v>
      </c>
      <c r="T45" s="7">
        <v>191</v>
      </c>
      <c r="U45" s="7">
        <v>1654</v>
      </c>
      <c r="V45" s="7">
        <v>162</v>
      </c>
      <c r="W45" s="7">
        <v>0</v>
      </c>
      <c r="X45" s="7">
        <v>0</v>
      </c>
      <c r="Y45" s="7">
        <v>148</v>
      </c>
    </row>
    <row r="46" spans="1:25" x14ac:dyDescent="0.25">
      <c r="B46" s="7">
        <v>150</v>
      </c>
      <c r="C46" s="7">
        <v>0</v>
      </c>
      <c r="D46" s="7">
        <v>1585</v>
      </c>
      <c r="E46" s="7">
        <v>2475</v>
      </c>
      <c r="F46" s="7">
        <v>118</v>
      </c>
      <c r="G46" s="7">
        <v>1967</v>
      </c>
      <c r="H46" s="7">
        <v>350</v>
      </c>
      <c r="I46" s="7">
        <v>1181</v>
      </c>
      <c r="J46" s="7">
        <v>865</v>
      </c>
      <c r="K46" s="7">
        <v>2362</v>
      </c>
      <c r="L46" s="7">
        <v>1099</v>
      </c>
      <c r="M46" s="7">
        <v>377</v>
      </c>
      <c r="N46" s="7">
        <v>131</v>
      </c>
      <c r="O46" s="7">
        <v>0</v>
      </c>
      <c r="P46" s="7">
        <v>3084</v>
      </c>
      <c r="Q46" s="7">
        <v>628</v>
      </c>
      <c r="R46" s="7">
        <v>4061</v>
      </c>
      <c r="S46" s="7">
        <v>0</v>
      </c>
      <c r="T46" s="7">
        <v>2488</v>
      </c>
      <c r="U46" s="7">
        <v>4796</v>
      </c>
      <c r="V46" s="7">
        <v>2505</v>
      </c>
      <c r="W46" s="7">
        <v>387</v>
      </c>
      <c r="X46" s="7">
        <v>328</v>
      </c>
      <c r="Y46" s="7">
        <v>1765</v>
      </c>
    </row>
    <row r="47" spans="1:25" x14ac:dyDescent="0.25">
      <c r="B47" s="7">
        <v>49</v>
      </c>
      <c r="C47" s="7">
        <v>78</v>
      </c>
      <c r="D47" s="7">
        <v>4160</v>
      </c>
      <c r="E47" s="7">
        <v>2402</v>
      </c>
      <c r="F47" s="7">
        <v>1958</v>
      </c>
      <c r="G47" s="7">
        <v>4381</v>
      </c>
      <c r="H47" s="7">
        <v>98</v>
      </c>
      <c r="I47" s="7">
        <v>4437</v>
      </c>
      <c r="J47" s="7">
        <v>3868</v>
      </c>
      <c r="K47" s="7">
        <v>5253</v>
      </c>
      <c r="L47" s="7">
        <v>2945</v>
      </c>
      <c r="M47" s="7">
        <v>132</v>
      </c>
      <c r="N47" s="7">
        <v>91</v>
      </c>
      <c r="O47" s="7">
        <v>73</v>
      </c>
      <c r="P47" s="7">
        <v>770</v>
      </c>
      <c r="Q47" s="7">
        <v>773</v>
      </c>
      <c r="R47" s="7">
        <v>5751</v>
      </c>
      <c r="S47" s="7">
        <v>83</v>
      </c>
      <c r="T47" s="7">
        <v>6806</v>
      </c>
      <c r="U47" s="7">
        <v>3148</v>
      </c>
      <c r="V47" s="7">
        <v>5509</v>
      </c>
      <c r="W47" s="7">
        <v>3407</v>
      </c>
      <c r="X47" s="7">
        <v>92</v>
      </c>
      <c r="Y47" s="7">
        <v>1935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7.5471167492566896E-2</v>
      </c>
      <c r="C52" s="7">
        <v>8.5560852518186681E-2</v>
      </c>
      <c r="D52" s="7">
        <v>6.161899092835544E-2</v>
      </c>
      <c r="E52" s="7">
        <v>7.7219460035298046E-2</v>
      </c>
      <c r="F52" s="7">
        <v>5.0801012839134116E-2</v>
      </c>
      <c r="G52" s="7">
        <v>5.1981506751503419E-2</v>
      </c>
      <c r="H52" s="7">
        <v>8.6669660655053146E-2</v>
      </c>
      <c r="I52" s="7">
        <v>5.3074304690743049E-2</v>
      </c>
      <c r="J52" s="7">
        <v>7.5034952894424578E-2</v>
      </c>
      <c r="K52" s="7">
        <v>6.6562992597561266E-2</v>
      </c>
      <c r="L52" s="7">
        <v>0.11160430897333407</v>
      </c>
      <c r="M52" s="7">
        <v>0.10291538316464449</v>
      </c>
      <c r="N52" s="7">
        <v>9.2519790371571112E-2</v>
      </c>
      <c r="O52" s="7">
        <v>9.0092298356833744E-2</v>
      </c>
      <c r="P52" s="7">
        <v>6.7177993915147449E-2</v>
      </c>
      <c r="Q52" s="7">
        <v>7.7274686701357884E-2</v>
      </c>
      <c r="R52" s="7">
        <v>7.2114358262249559E-2</v>
      </c>
      <c r="S52" s="7">
        <v>8.0402010050251257E-2</v>
      </c>
      <c r="T52" s="7">
        <v>7.4585120231278501E-2</v>
      </c>
      <c r="U52" s="7">
        <v>5.8813169813727993E-2</v>
      </c>
      <c r="V52" s="7">
        <v>0.1355542424581184</v>
      </c>
      <c r="W52" s="7">
        <v>5.6670721091260493E-2</v>
      </c>
      <c r="X52" s="7">
        <v>9.7320767632707972E-2</v>
      </c>
      <c r="Y52" s="7">
        <v>6.3370093044563452E-2</v>
      </c>
    </row>
    <row r="53" spans="1:25" x14ac:dyDescent="0.25">
      <c r="B53" s="7">
        <v>7.1959135777998021E-2</v>
      </c>
      <c r="C53" s="7">
        <v>8.0950099417866475E-2</v>
      </c>
      <c r="D53" s="7">
        <v>5.0741358921244158E-2</v>
      </c>
      <c r="E53" s="7">
        <v>6.5492161289809683E-2</v>
      </c>
      <c r="F53" s="7">
        <v>4.2912293101975189E-2</v>
      </c>
      <c r="G53" s="7">
        <v>4.3470629770083938E-2</v>
      </c>
      <c r="H53" s="7">
        <v>8.1430180978719041E-2</v>
      </c>
      <c r="I53" s="7">
        <v>4.4604196527174039E-2</v>
      </c>
      <c r="J53" s="7">
        <v>6.0664765985235208E-2</v>
      </c>
      <c r="K53" s="7">
        <v>5.683348904806395E-2</v>
      </c>
      <c r="L53" s="7">
        <v>9.1143017706049503E-2</v>
      </c>
      <c r="M53" s="7">
        <v>9.3642735902432897E-2</v>
      </c>
      <c r="N53" s="7">
        <v>8.5898081553642536E-2</v>
      </c>
      <c r="O53" s="7">
        <v>8.4369161490187305E-2</v>
      </c>
      <c r="P53" s="7">
        <v>6.3289254086513508E-2</v>
      </c>
      <c r="Q53" s="7">
        <v>7.1094536133263539E-2</v>
      </c>
      <c r="R53" s="7">
        <v>6.3349160880777619E-2</v>
      </c>
      <c r="S53" s="7">
        <v>7.6694806320001266E-2</v>
      </c>
      <c r="T53" s="7">
        <v>6.1949990815943524E-2</v>
      </c>
      <c r="U53" s="7">
        <v>5.3536504848175556E-2</v>
      </c>
      <c r="V53" s="7">
        <v>0.10963875624830317</v>
      </c>
      <c r="W53" s="7">
        <v>4.7055593269069503E-2</v>
      </c>
      <c r="X53" s="7">
        <v>8.9914274115877199E-2</v>
      </c>
      <c r="Y53" s="7">
        <v>5.650221158554887E-2</v>
      </c>
    </row>
    <row r="54" spans="1:25" x14ac:dyDescent="0.25">
      <c r="B54" s="7">
        <v>6.97425728444004E-2</v>
      </c>
      <c r="C54" s="7">
        <v>7.6501137915339093E-2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7.7001709724947021E-2</v>
      </c>
      <c r="I54" s="7">
        <v>3.7666196730812909E-2</v>
      </c>
      <c r="J54" s="7">
        <v>4.6252976451194167E-2</v>
      </c>
      <c r="K54" s="7">
        <v>4.9827260458839409E-2</v>
      </c>
      <c r="L54" s="7">
        <v>7.3362218123966094E-2</v>
      </c>
      <c r="M54" s="7">
        <v>8.5110328786069028E-2</v>
      </c>
      <c r="N54" s="7">
        <v>7.9571457798901499E-2</v>
      </c>
      <c r="O54" s="7">
        <v>7.8904260415502289E-2</v>
      </c>
      <c r="P54" s="7">
        <v>6.1573900614075014E-2</v>
      </c>
      <c r="Q54" s="7">
        <v>6.81765095298211E-2</v>
      </c>
      <c r="R54" s="7">
        <v>5.7273271176353897E-2</v>
      </c>
      <c r="S54" s="7">
        <v>7.3292370945637272E-2</v>
      </c>
      <c r="T54" s="7">
        <v>5.2093310013816015E-2</v>
      </c>
      <c r="U54" s="7">
        <v>5.1645253891298801E-2</v>
      </c>
      <c r="V54" s="7">
        <v>8.5962278614433785E-2</v>
      </c>
      <c r="W54" s="7">
        <v>3.7801258655251455E-2</v>
      </c>
      <c r="X54" s="7">
        <v>8.2397140878590819E-2</v>
      </c>
      <c r="Y54" s="7">
        <v>5.3322014754435022E-2</v>
      </c>
    </row>
    <row r="55" spans="1:25" x14ac:dyDescent="0.25">
      <c r="B55" s="7">
        <v>6.8109653121902869E-2</v>
      </c>
      <c r="C55" s="7">
        <v>7.2704173953317519E-2</v>
      </c>
      <c r="D55" s="7">
        <v>3.6597260252228231E-2</v>
      </c>
      <c r="E55" s="7">
        <v>5.5856828263876744E-2</v>
      </c>
      <c r="F55" s="7">
        <v>3.334704497968885E-2</v>
      </c>
      <c r="G55" s="7">
        <v>3.3923424781429005E-2</v>
      </c>
      <c r="H55" s="7">
        <v>7.257101661663555E-2</v>
      </c>
      <c r="I55" s="7">
        <v>3.6414138803386668E-2</v>
      </c>
      <c r="J55" s="7">
        <v>3.8468276405800791E-2</v>
      </c>
      <c r="K55" s="7">
        <v>4.6456667385350037E-2</v>
      </c>
      <c r="L55" s="7">
        <v>6.1327795410832588E-2</v>
      </c>
      <c r="M55" s="7">
        <v>7.6675276607782741E-2</v>
      </c>
      <c r="N55" s="7">
        <v>7.3801513983097533E-2</v>
      </c>
      <c r="O55" s="7">
        <v>7.3752822445427399E-2</v>
      </c>
      <c r="P55" s="7">
        <v>6.221589248496754E-2</v>
      </c>
      <c r="Q55" s="7">
        <v>6.6892870339009147E-2</v>
      </c>
      <c r="R55" s="7">
        <v>5.3706915294584406E-2</v>
      </c>
      <c r="S55" s="7">
        <v>7.0482270285597268E-2</v>
      </c>
      <c r="T55" s="7">
        <v>4.5793534424239522E-2</v>
      </c>
      <c r="U55" s="7">
        <v>5.3684278514927276E-2</v>
      </c>
      <c r="V55" s="7">
        <v>6.477534056246706E-2</v>
      </c>
      <c r="W55" s="7">
        <v>3.3876634215297137E-2</v>
      </c>
      <c r="X55" s="7">
        <v>7.5640659699282825E-2</v>
      </c>
      <c r="Y55" s="7">
        <v>5.6766851492030396E-2</v>
      </c>
    </row>
    <row r="56" spans="1:25" x14ac:dyDescent="0.25">
      <c r="B56" s="7">
        <v>6.9326160555004956E-2</v>
      </c>
      <c r="C56" s="7">
        <v>6.8630916161591962E-2</v>
      </c>
      <c r="D56" s="7">
        <v>4.516147209854203E-2</v>
      </c>
      <c r="E56" s="7">
        <v>6.4856255863132622E-2</v>
      </c>
      <c r="F56" s="7">
        <v>4.312537767870319E-2</v>
      </c>
      <c r="G56" s="7">
        <v>4.3076757691636387E-2</v>
      </c>
      <c r="H56" s="7">
        <v>6.97579754335374E-2</v>
      </c>
      <c r="I56" s="7">
        <v>4.7405922758210171E-2</v>
      </c>
      <c r="J56" s="7">
        <v>4.4058310570284066E-2</v>
      </c>
      <c r="K56" s="7">
        <v>5.5232398246412573E-2</v>
      </c>
      <c r="L56" s="7">
        <v>6.3191204755384242E-2</v>
      </c>
      <c r="M56" s="7">
        <v>7.0332243666310426E-2</v>
      </c>
      <c r="N56" s="7">
        <v>6.9775436332446761E-2</v>
      </c>
      <c r="O56" s="7">
        <v>6.8659398304137462E-2</v>
      </c>
      <c r="P56" s="7">
        <v>6.770498846113919E-2</v>
      </c>
      <c r="Q56" s="7">
        <v>7.0202520245096531E-2</v>
      </c>
      <c r="R56" s="7">
        <v>6.1731735766712953E-2</v>
      </c>
      <c r="S56" s="7">
        <v>6.987100864825696E-2</v>
      </c>
      <c r="T56" s="7">
        <v>5.1120558710079304E-2</v>
      </c>
      <c r="U56" s="7">
        <v>6.4484977034957897E-2</v>
      </c>
      <c r="V56" s="7">
        <v>5.8411773160643277E-2</v>
      </c>
      <c r="W56" s="7">
        <v>4.3727743924352899E-2</v>
      </c>
      <c r="X56" s="7">
        <v>6.8991530887585265E-2</v>
      </c>
      <c r="Y56" s="7">
        <v>6.6187013253716259E-2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45.405999999999999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63.735999999999997</v>
      </c>
      <c r="L63" s="7">
        <v>0</v>
      </c>
      <c r="M63" s="7">
        <v>0</v>
      </c>
      <c r="N63" s="7">
        <v>0</v>
      </c>
      <c r="O63" s="7">
        <v>0</v>
      </c>
      <c r="P63" s="7">
        <v>491.60300000000001</v>
      </c>
      <c r="Q63" s="7">
        <v>62.029000000000003</v>
      </c>
      <c r="R63" s="7">
        <v>398.19499999999999</v>
      </c>
      <c r="S63" s="7">
        <v>0</v>
      </c>
      <c r="T63" s="7">
        <v>70.834999999999994</v>
      </c>
      <c r="U63" s="7">
        <v>439.82900000000001</v>
      </c>
      <c r="V63" s="7">
        <v>44.505000000000003</v>
      </c>
      <c r="W63" s="7">
        <v>0</v>
      </c>
      <c r="X63" s="7">
        <v>0</v>
      </c>
      <c r="Y63" s="7">
        <v>54.212000000000003</v>
      </c>
    </row>
    <row r="64" spans="1:25" x14ac:dyDescent="0.25">
      <c r="B64" s="7">
        <v>44.59</v>
      </c>
      <c r="C64" s="7">
        <v>0</v>
      </c>
      <c r="D64" s="7">
        <v>360.34399999999999</v>
      </c>
      <c r="E64" s="7">
        <v>566.71</v>
      </c>
      <c r="F64" s="7">
        <v>58.627000000000002</v>
      </c>
      <c r="G64" s="7">
        <v>532.03599999999994</v>
      </c>
      <c r="H64" s="7">
        <v>85.695999999999998</v>
      </c>
      <c r="I64" s="7">
        <v>351.69900000000001</v>
      </c>
      <c r="J64" s="7">
        <v>248.64599999999999</v>
      </c>
      <c r="K64" s="7">
        <v>544.37800000000004</v>
      </c>
      <c r="L64" s="7">
        <v>283.07299999999998</v>
      </c>
      <c r="M64" s="7">
        <v>89.695999999999998</v>
      </c>
      <c r="N64" s="7">
        <v>30.183</v>
      </c>
      <c r="O64" s="7">
        <v>0</v>
      </c>
      <c r="P64" s="7">
        <v>672.74</v>
      </c>
      <c r="Q64" s="7">
        <v>159.572</v>
      </c>
      <c r="R64" s="7">
        <v>888.68899999999996</v>
      </c>
      <c r="S64" s="7">
        <v>0</v>
      </c>
      <c r="T64" s="7">
        <v>666.98500000000001</v>
      </c>
      <c r="U64" s="7">
        <v>1019.303</v>
      </c>
      <c r="V64" s="7">
        <v>514.71799999999996</v>
      </c>
      <c r="W64" s="7">
        <v>130.49100000000001</v>
      </c>
      <c r="X64" s="7">
        <v>81.509</v>
      </c>
      <c r="Y64" s="7">
        <v>385.20800000000003</v>
      </c>
    </row>
    <row r="65" spans="1:25" x14ac:dyDescent="0.25">
      <c r="B65" s="7">
        <v>8.9740000000000002</v>
      </c>
      <c r="C65" s="7">
        <v>15.76</v>
      </c>
      <c r="D65" s="7">
        <v>914.28599999999994</v>
      </c>
      <c r="E65" s="7">
        <v>369.56099999999998</v>
      </c>
      <c r="F65" s="7">
        <v>466.98099999999999</v>
      </c>
      <c r="G65" s="7">
        <v>962.85699999999997</v>
      </c>
      <c r="H65" s="7">
        <v>22.59</v>
      </c>
      <c r="I65" s="7">
        <v>890.03</v>
      </c>
      <c r="J65" s="7">
        <v>853.02800000000002</v>
      </c>
      <c r="K65" s="7">
        <v>1154.5050000000001</v>
      </c>
      <c r="L65" s="7">
        <v>503.58499999999998</v>
      </c>
      <c r="M65" s="7">
        <v>29.347000000000001</v>
      </c>
      <c r="N65" s="7">
        <v>20.114000000000001</v>
      </c>
      <c r="O65" s="7">
        <v>14.06</v>
      </c>
      <c r="P65" s="7">
        <v>163.80699999999999</v>
      </c>
      <c r="Q65" s="7">
        <v>139.18100000000001</v>
      </c>
      <c r="R65" s="7">
        <v>1162.606</v>
      </c>
      <c r="S65" s="7">
        <v>16.86</v>
      </c>
      <c r="T65" s="7">
        <v>1249.6859999999999</v>
      </c>
      <c r="U65" s="7">
        <v>530.11599999999999</v>
      </c>
      <c r="V65" s="7">
        <v>975.37699999999995</v>
      </c>
      <c r="W65" s="7">
        <v>759.32799999999997</v>
      </c>
      <c r="X65" s="7">
        <v>17.719000000000001</v>
      </c>
      <c r="Y65" s="7">
        <v>315.815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23</v>
      </c>
      <c r="E74" s="7">
        <v>14</v>
      </c>
      <c r="F74" s="7">
        <v>19</v>
      </c>
      <c r="G74" s="7">
        <v>24</v>
      </c>
      <c r="H74" s="7">
        <v>4</v>
      </c>
      <c r="I74" s="7">
        <v>22</v>
      </c>
      <c r="J74" s="7">
        <v>15</v>
      </c>
      <c r="K74" s="7">
        <v>19</v>
      </c>
      <c r="L74" s="7">
        <v>10</v>
      </c>
      <c r="M74" s="7">
        <v>3</v>
      </c>
      <c r="N74" s="7">
        <v>3</v>
      </c>
      <c r="O74" s="7">
        <v>1</v>
      </c>
      <c r="P74" s="7">
        <v>3</v>
      </c>
      <c r="Q74" s="7">
        <v>6</v>
      </c>
      <c r="R74" s="7">
        <v>18</v>
      </c>
      <c r="S74" s="7">
        <v>5</v>
      </c>
      <c r="T74" s="7">
        <v>15</v>
      </c>
      <c r="U74" s="7">
        <v>20</v>
      </c>
      <c r="V74" s="7">
        <v>8</v>
      </c>
      <c r="W74" s="7">
        <v>18</v>
      </c>
      <c r="X74" s="7">
        <v>1</v>
      </c>
      <c r="Y74" s="7">
        <v>18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2019262000</v>
      </c>
      <c r="C79" s="7">
        <v>1761291000</v>
      </c>
      <c r="D79" s="7">
        <v>1584980000</v>
      </c>
      <c r="E79" s="7">
        <v>2409875000</v>
      </c>
      <c r="F79" s="7">
        <v>2261831000</v>
      </c>
      <c r="G79" s="7">
        <v>1603053000</v>
      </c>
      <c r="H79" s="7">
        <v>2066288000</v>
      </c>
      <c r="I79" s="7">
        <v>2130090000</v>
      </c>
      <c r="J79" s="7">
        <v>1214847000</v>
      </c>
      <c r="K79" s="7">
        <v>2083678000</v>
      </c>
      <c r="L79" s="7">
        <v>1884699000</v>
      </c>
      <c r="M79" s="7">
        <v>2009126000</v>
      </c>
      <c r="N79" s="7">
        <v>1454919000</v>
      </c>
      <c r="O79" s="7">
        <v>1225311000</v>
      </c>
      <c r="P79" s="7">
        <v>2631105000</v>
      </c>
      <c r="Q79" s="7">
        <v>1511037000</v>
      </c>
      <c r="R79" s="7">
        <v>2032766000</v>
      </c>
      <c r="S79" s="7">
        <v>1939402000</v>
      </c>
      <c r="T79" s="7">
        <v>2220831000</v>
      </c>
      <c r="U79" s="7">
        <v>2368049000</v>
      </c>
      <c r="V79" s="7">
        <v>1977238000</v>
      </c>
      <c r="W79" s="7">
        <v>2731443000</v>
      </c>
      <c r="X79" s="7">
        <v>2090657000</v>
      </c>
      <c r="Y79" s="7">
        <v>2424841000</v>
      </c>
    </row>
    <row r="80" spans="1:25" x14ac:dyDescent="0.25">
      <c r="B80" s="7">
        <v>2549059000</v>
      </c>
      <c r="C80" s="7">
        <v>2225341000</v>
      </c>
      <c r="D80" s="7">
        <v>1985652000</v>
      </c>
      <c r="E80" s="7">
        <v>3014839000</v>
      </c>
      <c r="F80" s="7">
        <v>2840338000</v>
      </c>
      <c r="G80" s="7">
        <v>1981131000</v>
      </c>
      <c r="H80" s="7">
        <v>2603048000</v>
      </c>
      <c r="I80" s="7">
        <v>2676136000</v>
      </c>
      <c r="J80" s="7">
        <v>1542979000</v>
      </c>
      <c r="K80" s="7">
        <v>2617236000</v>
      </c>
      <c r="L80" s="7">
        <v>2381505000</v>
      </c>
      <c r="M80" s="7">
        <v>2530995000</v>
      </c>
      <c r="N80" s="7">
        <v>1840680000</v>
      </c>
      <c r="O80" s="7">
        <v>1556160000</v>
      </c>
      <c r="P80" s="7">
        <v>3284975000</v>
      </c>
      <c r="Q80" s="7">
        <v>1917888000</v>
      </c>
      <c r="R80" s="7">
        <v>2564152000</v>
      </c>
      <c r="S80" s="7">
        <v>2451856000</v>
      </c>
      <c r="T80" s="7">
        <v>2779173000</v>
      </c>
      <c r="U80" s="7">
        <v>2980186000</v>
      </c>
      <c r="V80" s="7">
        <v>2502945000</v>
      </c>
      <c r="W80" s="7">
        <v>3381240000</v>
      </c>
      <c r="X80" s="7">
        <v>2632879000</v>
      </c>
      <c r="Y80" s="7">
        <v>3014920000</v>
      </c>
    </row>
    <row r="81" spans="1:25" x14ac:dyDescent="0.25">
      <c r="B81" s="7">
        <v>3087406000</v>
      </c>
      <c r="C81" s="7">
        <v>2698115000</v>
      </c>
      <c r="D81" s="7">
        <v>2389271000</v>
      </c>
      <c r="E81" s="7">
        <v>3620844000</v>
      </c>
      <c r="F81" s="7">
        <v>3423328000</v>
      </c>
      <c r="G81" s="7">
        <v>2351248000</v>
      </c>
      <c r="H81" s="7">
        <v>3146830000</v>
      </c>
      <c r="I81" s="7">
        <v>3227357000</v>
      </c>
      <c r="J81" s="7">
        <v>1881690000</v>
      </c>
      <c r="K81" s="7">
        <v>3155284000</v>
      </c>
      <c r="L81" s="7">
        <v>2887663000</v>
      </c>
      <c r="M81" s="7">
        <v>3060279000</v>
      </c>
      <c r="N81" s="7">
        <v>2235933000</v>
      </c>
      <c r="O81" s="7">
        <v>1897021000</v>
      </c>
      <c r="P81" s="7">
        <v>3935975000</v>
      </c>
      <c r="Q81" s="7">
        <v>2336550000</v>
      </c>
      <c r="R81" s="7">
        <v>3103695000</v>
      </c>
      <c r="S81" s="7">
        <v>2974015000</v>
      </c>
      <c r="T81" s="7">
        <v>3338623000</v>
      </c>
      <c r="U81" s="7">
        <v>3597035000</v>
      </c>
      <c r="V81" s="7">
        <v>3038272000</v>
      </c>
      <c r="W81" s="7">
        <v>4017984000</v>
      </c>
      <c r="X81" s="7">
        <v>3182237000</v>
      </c>
      <c r="Y81" s="7">
        <v>3599602000</v>
      </c>
    </row>
    <row r="82" spans="1:25" x14ac:dyDescent="0.25">
      <c r="B82" s="7">
        <v>3633676000</v>
      </c>
      <c r="C82" s="7">
        <v>3179272000</v>
      </c>
      <c r="D82" s="7">
        <v>2796382000</v>
      </c>
      <c r="E82" s="7">
        <v>4227906000</v>
      </c>
      <c r="F82" s="7">
        <v>4010517000</v>
      </c>
      <c r="G82" s="7">
        <v>2714010000</v>
      </c>
      <c r="H82" s="7">
        <v>3697177000</v>
      </c>
      <c r="I82" s="7">
        <v>3783622000</v>
      </c>
      <c r="J82" s="7">
        <v>2231330000</v>
      </c>
      <c r="K82" s="7">
        <v>3697637000</v>
      </c>
      <c r="L82" s="7">
        <v>3402746000</v>
      </c>
      <c r="M82" s="7">
        <v>3596743000</v>
      </c>
      <c r="N82" s="7">
        <v>2640959000</v>
      </c>
      <c r="O82" s="7">
        <v>2247959000</v>
      </c>
      <c r="P82" s="7">
        <v>4583781000</v>
      </c>
      <c r="Q82" s="7">
        <v>2767051000</v>
      </c>
      <c r="R82" s="7">
        <v>3650911000</v>
      </c>
      <c r="S82" s="7">
        <v>3505300000</v>
      </c>
      <c r="T82" s="7">
        <v>3899214000</v>
      </c>
      <c r="U82" s="7">
        <v>4217438000</v>
      </c>
      <c r="V82" s="7">
        <v>3582076000</v>
      </c>
      <c r="W82" s="7">
        <v>4641874000</v>
      </c>
      <c r="X82" s="7">
        <v>3738388000</v>
      </c>
      <c r="Y82" s="7">
        <v>4179443000</v>
      </c>
    </row>
    <row r="83" spans="1:25" x14ac:dyDescent="0.25">
      <c r="B83" s="7">
        <v>4187282000</v>
      </c>
      <c r="C83" s="7">
        <v>3668490000</v>
      </c>
      <c r="D83" s="7">
        <v>3207499000</v>
      </c>
      <c r="E83" s="7">
        <v>4836036000</v>
      </c>
      <c r="F83" s="7">
        <v>4601653000</v>
      </c>
      <c r="G83" s="7">
        <v>3070050000</v>
      </c>
      <c r="H83" s="7">
        <v>4253661000</v>
      </c>
      <c r="I83" s="7">
        <v>4344795000</v>
      </c>
      <c r="J83" s="7">
        <v>2592220000</v>
      </c>
      <c r="K83" s="7">
        <v>4244141000</v>
      </c>
      <c r="L83" s="7">
        <v>3926341000</v>
      </c>
      <c r="M83" s="7">
        <v>4140141000</v>
      </c>
      <c r="N83" s="7">
        <v>3055999000</v>
      </c>
      <c r="O83" s="7">
        <v>2609018000</v>
      </c>
      <c r="P83" s="7">
        <v>5228209000</v>
      </c>
      <c r="Q83" s="7">
        <v>3209383000</v>
      </c>
      <c r="R83" s="7">
        <v>4205353000</v>
      </c>
      <c r="S83" s="7">
        <v>4045172000</v>
      </c>
      <c r="T83" s="7">
        <v>4461011000</v>
      </c>
      <c r="U83" s="7">
        <v>4840466000</v>
      </c>
      <c r="V83" s="7">
        <v>4133368000</v>
      </c>
      <c r="W83" s="7">
        <v>5253171000</v>
      </c>
      <c r="X83" s="7">
        <v>4300994000</v>
      </c>
      <c r="Y83" s="7">
        <v>4755007000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385</v>
      </c>
      <c r="D88" s="7">
        <v>0</v>
      </c>
      <c r="E88" s="7">
        <v>0</v>
      </c>
      <c r="F88" s="7">
        <v>0</v>
      </c>
      <c r="G88" s="7">
        <v>0</v>
      </c>
      <c r="H88" s="7">
        <v>385</v>
      </c>
      <c r="I88" s="7">
        <v>0</v>
      </c>
      <c r="J88" s="7">
        <v>0</v>
      </c>
      <c r="K88" s="7">
        <v>0</v>
      </c>
      <c r="L88" s="7">
        <v>0</v>
      </c>
      <c r="M88" s="7">
        <v>385</v>
      </c>
      <c r="N88" s="7">
        <v>154</v>
      </c>
      <c r="O88" s="7">
        <v>462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385</v>
      </c>
      <c r="Y88" s="7">
        <v>0</v>
      </c>
    </row>
    <row r="89" spans="1:25" x14ac:dyDescent="0.25">
      <c r="B89" s="7">
        <v>77</v>
      </c>
      <c r="C89" s="7">
        <v>616</v>
      </c>
      <c r="D89" s="7">
        <v>0</v>
      </c>
      <c r="E89" s="7">
        <v>0</v>
      </c>
      <c r="F89" s="7">
        <v>0</v>
      </c>
      <c r="G89" s="7">
        <v>0</v>
      </c>
      <c r="H89" s="7">
        <v>539</v>
      </c>
      <c r="I89" s="7">
        <v>0</v>
      </c>
      <c r="J89" s="7">
        <v>0</v>
      </c>
      <c r="K89" s="7">
        <v>0</v>
      </c>
      <c r="L89" s="7">
        <v>0</v>
      </c>
      <c r="M89" s="7">
        <v>539</v>
      </c>
      <c r="N89" s="7">
        <v>385</v>
      </c>
      <c r="O89" s="7">
        <v>616</v>
      </c>
      <c r="P89" s="7">
        <v>0</v>
      </c>
      <c r="Q89" s="7">
        <v>0</v>
      </c>
      <c r="R89" s="7">
        <v>0</v>
      </c>
      <c r="S89" s="7">
        <v>308</v>
      </c>
      <c r="T89" s="7">
        <v>0</v>
      </c>
      <c r="U89" s="7">
        <v>0</v>
      </c>
      <c r="V89" s="7">
        <v>0</v>
      </c>
      <c r="W89" s="7">
        <v>0</v>
      </c>
      <c r="X89" s="7">
        <v>539</v>
      </c>
      <c r="Y89" s="7">
        <v>0</v>
      </c>
    </row>
    <row r="90" spans="1:25" x14ac:dyDescent="0.25">
      <c r="B90" s="7">
        <v>385</v>
      </c>
      <c r="C90" s="7">
        <v>770</v>
      </c>
      <c r="D90" s="7">
        <v>0</v>
      </c>
      <c r="E90" s="7">
        <v>0</v>
      </c>
      <c r="F90" s="7">
        <v>0</v>
      </c>
      <c r="G90" s="7">
        <v>0</v>
      </c>
      <c r="H90" s="7">
        <v>770</v>
      </c>
      <c r="I90" s="7">
        <v>0</v>
      </c>
      <c r="J90" s="7">
        <v>0</v>
      </c>
      <c r="K90" s="7">
        <v>0</v>
      </c>
      <c r="L90" s="7">
        <v>0</v>
      </c>
      <c r="M90" s="7">
        <v>770</v>
      </c>
      <c r="N90" s="7">
        <v>616</v>
      </c>
      <c r="O90" s="7">
        <v>770</v>
      </c>
      <c r="P90" s="7">
        <v>0</v>
      </c>
      <c r="Q90" s="7">
        <v>154</v>
      </c>
      <c r="R90" s="7">
        <v>0</v>
      </c>
      <c r="S90" s="7">
        <v>539</v>
      </c>
      <c r="T90" s="7">
        <v>0</v>
      </c>
      <c r="U90" s="7">
        <v>0</v>
      </c>
      <c r="V90" s="7">
        <v>0</v>
      </c>
      <c r="W90" s="7">
        <v>0</v>
      </c>
      <c r="X90" s="7">
        <v>770</v>
      </c>
      <c r="Y90" s="7">
        <v>0</v>
      </c>
    </row>
    <row r="91" spans="1:25" x14ac:dyDescent="0.25">
      <c r="B91" s="7">
        <v>693</v>
      </c>
      <c r="C91" s="7">
        <v>1001</v>
      </c>
      <c r="D91" s="7">
        <v>0</v>
      </c>
      <c r="E91" s="7">
        <v>0</v>
      </c>
      <c r="F91" s="7">
        <v>0</v>
      </c>
      <c r="G91" s="7">
        <v>0</v>
      </c>
      <c r="H91" s="7">
        <v>924</v>
      </c>
      <c r="I91" s="7">
        <v>0</v>
      </c>
      <c r="J91" s="7">
        <v>0</v>
      </c>
      <c r="K91" s="7">
        <v>0</v>
      </c>
      <c r="L91" s="7">
        <v>0</v>
      </c>
      <c r="M91" s="7">
        <v>924</v>
      </c>
      <c r="N91" s="7">
        <v>847</v>
      </c>
      <c r="O91" s="7">
        <v>1001</v>
      </c>
      <c r="P91" s="7">
        <v>231</v>
      </c>
      <c r="Q91" s="7">
        <v>539</v>
      </c>
      <c r="R91" s="7">
        <v>0</v>
      </c>
      <c r="S91" s="7">
        <v>847</v>
      </c>
      <c r="T91" s="7">
        <v>0</v>
      </c>
      <c r="U91" s="7">
        <v>0</v>
      </c>
      <c r="V91" s="7">
        <v>0</v>
      </c>
      <c r="W91" s="7">
        <v>0</v>
      </c>
      <c r="X91" s="7">
        <v>924</v>
      </c>
      <c r="Y91" s="7">
        <v>231</v>
      </c>
    </row>
    <row r="92" spans="1:25" x14ac:dyDescent="0.25">
      <c r="B92" s="7">
        <v>1155</v>
      </c>
      <c r="C92" s="7">
        <v>1155</v>
      </c>
      <c r="D92" s="7">
        <v>0</v>
      </c>
      <c r="E92" s="7">
        <v>770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539</v>
      </c>
      <c r="M92" s="7">
        <v>1155</v>
      </c>
      <c r="N92" s="7">
        <v>1155</v>
      </c>
      <c r="O92" s="7">
        <v>1155</v>
      </c>
      <c r="P92" s="7">
        <v>1001</v>
      </c>
      <c r="Q92" s="7">
        <v>1001</v>
      </c>
      <c r="R92" s="7">
        <v>154</v>
      </c>
      <c r="S92" s="7">
        <v>1155</v>
      </c>
      <c r="T92" s="7">
        <v>0</v>
      </c>
      <c r="U92" s="7">
        <v>693</v>
      </c>
      <c r="V92" s="7">
        <v>0</v>
      </c>
      <c r="W92" s="7">
        <v>0</v>
      </c>
      <c r="X92" s="7">
        <v>1155</v>
      </c>
      <c r="Y92" s="7">
        <v>847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1809878000</v>
      </c>
      <c r="D97" s="7">
        <v>0</v>
      </c>
      <c r="E97" s="7">
        <v>0</v>
      </c>
      <c r="F97" s="7">
        <v>0</v>
      </c>
      <c r="G97" s="7">
        <v>0</v>
      </c>
      <c r="H97" s="7">
        <v>1808987000</v>
      </c>
      <c r="I97" s="7">
        <v>0</v>
      </c>
      <c r="J97" s="7">
        <v>0</v>
      </c>
      <c r="K97" s="7">
        <v>0</v>
      </c>
      <c r="L97" s="7">
        <v>0</v>
      </c>
      <c r="M97" s="7">
        <v>1826046000</v>
      </c>
      <c r="N97" s="7">
        <v>1457947000</v>
      </c>
      <c r="O97" s="7">
        <v>1039598000</v>
      </c>
      <c r="P97" s="7">
        <v>0</v>
      </c>
      <c r="Q97" s="7">
        <v>0</v>
      </c>
      <c r="R97" s="7">
        <v>0</v>
      </c>
      <c r="S97" s="7">
        <v>921063900</v>
      </c>
      <c r="T97" s="7">
        <v>0</v>
      </c>
      <c r="U97" s="7">
        <v>0</v>
      </c>
      <c r="V97" s="7">
        <v>0</v>
      </c>
      <c r="W97" s="7">
        <v>0</v>
      </c>
      <c r="X97" s="7">
        <v>1794069000</v>
      </c>
      <c r="Y97" s="7">
        <v>0</v>
      </c>
    </row>
    <row r="98" spans="1:25" x14ac:dyDescent="0.25">
      <c r="B98" s="7">
        <v>577658000</v>
      </c>
      <c r="C98" s="7">
        <v>967365900</v>
      </c>
      <c r="D98" s="7">
        <v>0</v>
      </c>
      <c r="E98" s="7">
        <v>0</v>
      </c>
      <c r="F98" s="7">
        <v>0</v>
      </c>
      <c r="G98" s="7">
        <v>0</v>
      </c>
      <c r="H98" s="7">
        <v>1878607000</v>
      </c>
      <c r="I98" s="7">
        <v>0</v>
      </c>
      <c r="J98" s="7">
        <v>0</v>
      </c>
      <c r="K98" s="7">
        <v>0</v>
      </c>
      <c r="L98" s="7">
        <v>0</v>
      </c>
      <c r="M98" s="7">
        <v>1905653000</v>
      </c>
      <c r="N98" s="7">
        <v>1309409000</v>
      </c>
      <c r="O98" s="7">
        <v>972889600</v>
      </c>
      <c r="P98" s="7">
        <v>0</v>
      </c>
      <c r="Q98" s="7">
        <v>0</v>
      </c>
      <c r="R98" s="7">
        <v>0</v>
      </c>
      <c r="S98" s="7">
        <v>949286800</v>
      </c>
      <c r="T98" s="7">
        <v>0</v>
      </c>
      <c r="U98" s="7">
        <v>0</v>
      </c>
      <c r="V98" s="7">
        <v>0</v>
      </c>
      <c r="W98" s="7">
        <v>0</v>
      </c>
      <c r="X98" s="7">
        <v>1858777000</v>
      </c>
      <c r="Y98" s="7">
        <v>0</v>
      </c>
    </row>
    <row r="99" spans="1:25" x14ac:dyDescent="0.25">
      <c r="B99" s="7">
        <v>553873800</v>
      </c>
      <c r="C99" s="7">
        <v>959326700</v>
      </c>
      <c r="D99" s="7">
        <v>0</v>
      </c>
      <c r="E99" s="7">
        <v>0</v>
      </c>
      <c r="F99" s="7">
        <v>0</v>
      </c>
      <c r="G99" s="7">
        <v>0</v>
      </c>
      <c r="H99" s="7">
        <v>1021796000</v>
      </c>
      <c r="I99" s="7">
        <v>0</v>
      </c>
      <c r="J99" s="7">
        <v>0</v>
      </c>
      <c r="K99" s="7">
        <v>0</v>
      </c>
      <c r="L99" s="7">
        <v>0</v>
      </c>
      <c r="M99" s="7">
        <v>1051066000</v>
      </c>
      <c r="N99" s="7">
        <v>1066098000</v>
      </c>
      <c r="O99" s="7">
        <v>966764600</v>
      </c>
      <c r="P99" s="7">
        <v>0</v>
      </c>
      <c r="Q99" s="7">
        <v>7536552.8899999997</v>
      </c>
      <c r="R99" s="7">
        <v>0</v>
      </c>
      <c r="S99" s="7">
        <v>778869500</v>
      </c>
      <c r="T99" s="7">
        <v>0</v>
      </c>
      <c r="U99" s="7">
        <v>0</v>
      </c>
      <c r="V99" s="7">
        <v>0</v>
      </c>
      <c r="W99" s="7">
        <v>0</v>
      </c>
      <c r="X99" s="7">
        <v>956714800</v>
      </c>
      <c r="Y99" s="7">
        <v>0</v>
      </c>
    </row>
    <row r="100" spans="1:25" x14ac:dyDescent="0.25">
      <c r="B100" s="7">
        <v>519071500</v>
      </c>
      <c r="C100" s="7">
        <v>131410300</v>
      </c>
      <c r="D100" s="7">
        <v>0</v>
      </c>
      <c r="E100" s="7">
        <v>215423900</v>
      </c>
      <c r="F100" s="7">
        <v>0</v>
      </c>
      <c r="G100" s="7">
        <v>0</v>
      </c>
      <c r="H100" s="7">
        <v>1124044000</v>
      </c>
      <c r="I100" s="7">
        <v>0</v>
      </c>
      <c r="J100" s="7">
        <v>0</v>
      </c>
      <c r="K100" s="7">
        <v>0</v>
      </c>
      <c r="L100" s="7">
        <v>564756300</v>
      </c>
      <c r="M100" s="7">
        <v>1162594000</v>
      </c>
      <c r="N100" s="7">
        <v>788609700</v>
      </c>
      <c r="O100" s="7">
        <v>132682700</v>
      </c>
      <c r="P100" s="7">
        <v>0</v>
      </c>
      <c r="Q100" s="7">
        <v>278043900</v>
      </c>
      <c r="R100" s="7">
        <v>0</v>
      </c>
      <c r="S100" s="7">
        <v>514371200</v>
      </c>
      <c r="T100" s="7">
        <v>0</v>
      </c>
      <c r="U100" s="7">
        <v>0</v>
      </c>
      <c r="V100" s="7">
        <v>0</v>
      </c>
      <c r="W100" s="7">
        <v>0</v>
      </c>
      <c r="X100" s="7">
        <v>1041302000</v>
      </c>
      <c r="Y100" s="7">
        <v>77112890</v>
      </c>
    </row>
    <row r="101" spans="1:25" x14ac:dyDescent="0.25">
      <c r="B101" s="7">
        <v>203079600</v>
      </c>
      <c r="C101" s="7">
        <v>73586020</v>
      </c>
      <c r="D101" s="7">
        <v>0</v>
      </c>
      <c r="E101" s="7">
        <v>607481900</v>
      </c>
      <c r="F101" s="7">
        <v>0</v>
      </c>
      <c r="G101" s="7">
        <v>0</v>
      </c>
      <c r="H101" s="7">
        <v>372826200</v>
      </c>
      <c r="I101" s="7">
        <v>0</v>
      </c>
      <c r="J101" s="7">
        <v>0</v>
      </c>
      <c r="K101" s="7">
        <v>0</v>
      </c>
      <c r="L101" s="7">
        <v>1123802000</v>
      </c>
      <c r="M101" s="7">
        <v>488741500</v>
      </c>
      <c r="N101" s="7">
        <v>416915600</v>
      </c>
      <c r="O101" s="7">
        <v>64558430</v>
      </c>
      <c r="P101" s="7">
        <v>27729560</v>
      </c>
      <c r="Q101" s="7">
        <v>576335000</v>
      </c>
      <c r="R101" s="7">
        <v>0</v>
      </c>
      <c r="S101" s="7">
        <v>356110800</v>
      </c>
      <c r="T101" s="7">
        <v>0</v>
      </c>
      <c r="U101" s="7">
        <v>268499900</v>
      </c>
      <c r="V101" s="7">
        <v>0</v>
      </c>
      <c r="W101" s="7">
        <v>0</v>
      </c>
      <c r="X101" s="7">
        <v>158011600</v>
      </c>
      <c r="Y101" s="7">
        <v>676580400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2419339000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4235147000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5227474000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1924702000</v>
      </c>
      <c r="O107" s="7">
        <v>0</v>
      </c>
      <c r="P107" s="7">
        <v>6357237000</v>
      </c>
      <c r="Q107" s="7">
        <v>6594829000</v>
      </c>
      <c r="R107" s="7">
        <v>6397716000</v>
      </c>
      <c r="S107" s="7">
        <v>2982096000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4131730000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1532239000</v>
      </c>
      <c r="O108" s="7">
        <v>0</v>
      </c>
      <c r="P108" s="7">
        <v>7628286000</v>
      </c>
      <c r="Q108" s="7">
        <v>6785052000</v>
      </c>
      <c r="R108" s="7">
        <v>7676897000</v>
      </c>
      <c r="S108" s="7">
        <v>2592639000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3020402000</v>
      </c>
      <c r="C109" s="7">
        <v>0</v>
      </c>
      <c r="D109" s="7">
        <v>8954817000</v>
      </c>
      <c r="E109" s="7">
        <v>8725833000</v>
      </c>
      <c r="F109" s="7">
        <v>9150276000</v>
      </c>
      <c r="G109" s="7">
        <v>8958548000</v>
      </c>
      <c r="H109" s="7">
        <v>0</v>
      </c>
      <c r="I109" s="7">
        <v>9073854000</v>
      </c>
      <c r="J109" s="7">
        <v>8924121000</v>
      </c>
      <c r="K109" s="7">
        <v>8900207000</v>
      </c>
      <c r="L109" s="7">
        <v>8414227000</v>
      </c>
      <c r="M109" s="7">
        <v>0</v>
      </c>
      <c r="N109" s="7">
        <v>1187008000</v>
      </c>
      <c r="O109" s="7">
        <v>0</v>
      </c>
      <c r="P109" s="7">
        <v>7300366000</v>
      </c>
      <c r="Q109" s="7">
        <v>4996824000</v>
      </c>
      <c r="R109" s="7">
        <v>8955993000</v>
      </c>
      <c r="S109" s="7">
        <v>1421156000</v>
      </c>
      <c r="T109" s="7">
        <v>8898734000</v>
      </c>
      <c r="U109" s="7">
        <v>8917716000</v>
      </c>
      <c r="V109" s="7">
        <v>8900544000</v>
      </c>
      <c r="W109" s="7">
        <v>8899306000</v>
      </c>
      <c r="X109" s="7">
        <v>0</v>
      </c>
      <c r="Y109" s="7">
        <v>7462101000</v>
      </c>
    </row>
    <row r="110" spans="1:25" x14ac:dyDescent="0.25">
      <c r="B110" s="7">
        <v>48660900</v>
      </c>
      <c r="C110" s="7">
        <v>0</v>
      </c>
      <c r="D110" s="7">
        <v>9784777000</v>
      </c>
      <c r="E110" s="7">
        <v>4726112000</v>
      </c>
      <c r="F110" s="7">
        <v>10251100000</v>
      </c>
      <c r="G110" s="7">
        <v>9737071000</v>
      </c>
      <c r="H110" s="7">
        <v>0</v>
      </c>
      <c r="I110" s="7">
        <v>10114000000</v>
      </c>
      <c r="J110" s="7">
        <v>9784119000</v>
      </c>
      <c r="K110" s="7">
        <v>9951291000</v>
      </c>
      <c r="L110" s="7">
        <v>5907815000</v>
      </c>
      <c r="M110" s="7">
        <v>0</v>
      </c>
      <c r="N110" s="7">
        <v>0</v>
      </c>
      <c r="O110" s="7">
        <v>0</v>
      </c>
      <c r="P110" s="7">
        <v>2503456000</v>
      </c>
      <c r="Q110" s="7">
        <v>2264400000</v>
      </c>
      <c r="R110" s="7">
        <v>9180888000</v>
      </c>
      <c r="S110" s="7">
        <v>3580872.716</v>
      </c>
      <c r="T110" s="7">
        <v>10018400000</v>
      </c>
      <c r="U110" s="7">
        <v>5408211000</v>
      </c>
      <c r="V110" s="7">
        <v>10077000000</v>
      </c>
      <c r="W110" s="7">
        <v>10037800000</v>
      </c>
      <c r="X110" s="7">
        <v>0</v>
      </c>
      <c r="Y110" s="7">
        <v>3981952000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3275934000</v>
      </c>
      <c r="D115" s="7">
        <v>0</v>
      </c>
      <c r="E115" s="7">
        <v>0</v>
      </c>
      <c r="F115" s="7">
        <v>0</v>
      </c>
      <c r="G115" s="7">
        <v>0</v>
      </c>
      <c r="H115" s="7">
        <v>3345573000</v>
      </c>
      <c r="I115" s="7">
        <v>0</v>
      </c>
      <c r="J115" s="7">
        <v>0</v>
      </c>
      <c r="K115" s="7">
        <v>0</v>
      </c>
      <c r="L115" s="7">
        <v>0</v>
      </c>
      <c r="M115" s="7">
        <v>3342110000</v>
      </c>
      <c r="N115" s="7">
        <v>1283812000</v>
      </c>
      <c r="O115" s="7">
        <v>4046941000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3308169000</v>
      </c>
      <c r="Y115" s="7">
        <v>0</v>
      </c>
    </row>
    <row r="116" spans="1:25" x14ac:dyDescent="0.25">
      <c r="B116" s="7">
        <v>597620900</v>
      </c>
      <c r="C116" s="7">
        <v>5389899000</v>
      </c>
      <c r="D116" s="7">
        <v>0</v>
      </c>
      <c r="E116" s="7">
        <v>0</v>
      </c>
      <c r="F116" s="7">
        <v>0</v>
      </c>
      <c r="G116" s="7">
        <v>0</v>
      </c>
      <c r="H116" s="7">
        <v>4564593000</v>
      </c>
      <c r="I116" s="7">
        <v>0</v>
      </c>
      <c r="J116" s="7">
        <v>0</v>
      </c>
      <c r="K116" s="7">
        <v>0</v>
      </c>
      <c r="L116" s="7">
        <v>0</v>
      </c>
      <c r="M116" s="7">
        <v>4554542000</v>
      </c>
      <c r="N116" s="7">
        <v>3217261000</v>
      </c>
      <c r="O116" s="7">
        <v>5385284000</v>
      </c>
      <c r="P116" s="7">
        <v>0</v>
      </c>
      <c r="Q116" s="7">
        <v>0</v>
      </c>
      <c r="R116" s="7">
        <v>0</v>
      </c>
      <c r="S116" s="7">
        <v>2513881000</v>
      </c>
      <c r="T116" s="7">
        <v>0</v>
      </c>
      <c r="U116" s="7">
        <v>0</v>
      </c>
      <c r="V116" s="7">
        <v>0</v>
      </c>
      <c r="W116" s="7">
        <v>0</v>
      </c>
      <c r="X116" s="7">
        <v>4519020000</v>
      </c>
      <c r="Y116" s="7">
        <v>0</v>
      </c>
    </row>
    <row r="117" spans="1:25" x14ac:dyDescent="0.25">
      <c r="B117" s="7">
        <v>2997700000</v>
      </c>
      <c r="C117" s="7">
        <v>6669391000</v>
      </c>
      <c r="D117" s="7">
        <v>0</v>
      </c>
      <c r="E117" s="7">
        <v>0</v>
      </c>
      <c r="F117" s="7">
        <v>0</v>
      </c>
      <c r="G117" s="7">
        <v>0</v>
      </c>
      <c r="H117" s="7">
        <v>6710044000</v>
      </c>
      <c r="I117" s="7">
        <v>0</v>
      </c>
      <c r="J117" s="7">
        <v>0</v>
      </c>
      <c r="K117" s="7">
        <v>0</v>
      </c>
      <c r="L117" s="7">
        <v>0</v>
      </c>
      <c r="M117" s="7">
        <v>6701168000</v>
      </c>
      <c r="N117" s="7">
        <v>5143309000</v>
      </c>
      <c r="O117" s="7">
        <v>6663043000</v>
      </c>
      <c r="P117" s="7">
        <v>0</v>
      </c>
      <c r="Q117" s="7">
        <v>1121150000</v>
      </c>
      <c r="R117" s="7">
        <v>0</v>
      </c>
      <c r="S117" s="7">
        <v>4362808000</v>
      </c>
      <c r="T117" s="7">
        <v>0</v>
      </c>
      <c r="U117" s="7">
        <v>0</v>
      </c>
      <c r="V117" s="7">
        <v>0</v>
      </c>
      <c r="W117" s="7">
        <v>0</v>
      </c>
      <c r="X117" s="7">
        <v>6696642000</v>
      </c>
      <c r="Y117" s="7">
        <v>0</v>
      </c>
    </row>
    <row r="118" spans="1:25" x14ac:dyDescent="0.25">
      <c r="B118" s="7">
        <v>5424340000</v>
      </c>
      <c r="C118" s="7">
        <v>8768760000</v>
      </c>
      <c r="D118" s="7">
        <v>0</v>
      </c>
      <c r="E118" s="7">
        <v>0</v>
      </c>
      <c r="F118" s="7">
        <v>0</v>
      </c>
      <c r="G118" s="7">
        <v>0</v>
      </c>
      <c r="H118" s="7">
        <v>7896358000</v>
      </c>
      <c r="I118" s="7">
        <v>0</v>
      </c>
      <c r="J118" s="7">
        <v>0</v>
      </c>
      <c r="K118" s="7">
        <v>0</v>
      </c>
      <c r="L118" s="7">
        <v>0</v>
      </c>
      <c r="M118" s="7">
        <v>7881598000</v>
      </c>
      <c r="N118" s="7">
        <v>7056275000</v>
      </c>
      <c r="O118" s="7">
        <v>8768760000</v>
      </c>
      <c r="P118" s="7">
        <v>1599211000</v>
      </c>
      <c r="Q118" s="7">
        <v>3957747000</v>
      </c>
      <c r="R118" s="7">
        <v>0</v>
      </c>
      <c r="S118" s="7">
        <v>7087842000</v>
      </c>
      <c r="T118" s="7">
        <v>0</v>
      </c>
      <c r="U118" s="7">
        <v>0</v>
      </c>
      <c r="V118" s="7">
        <v>0</v>
      </c>
      <c r="W118" s="7">
        <v>0</v>
      </c>
      <c r="X118" s="7">
        <v>7887540000</v>
      </c>
      <c r="Y118" s="7">
        <v>1458643000</v>
      </c>
    </row>
    <row r="119" spans="1:25" x14ac:dyDescent="0.25">
      <c r="B119" s="7">
        <v>9971367000</v>
      </c>
      <c r="C119" s="7">
        <v>10093200000</v>
      </c>
      <c r="D119" s="7">
        <v>0</v>
      </c>
      <c r="E119" s="7">
        <v>4826022000</v>
      </c>
      <c r="F119" s="7">
        <v>0</v>
      </c>
      <c r="G119" s="7">
        <v>0</v>
      </c>
      <c r="H119" s="7">
        <v>9905864000</v>
      </c>
      <c r="I119" s="7">
        <v>0</v>
      </c>
      <c r="J119" s="7">
        <v>0</v>
      </c>
      <c r="K119" s="7">
        <v>0</v>
      </c>
      <c r="L119" s="7">
        <v>3134141000</v>
      </c>
      <c r="M119" s="7">
        <v>9811333000</v>
      </c>
      <c r="N119" s="7">
        <v>9862914000</v>
      </c>
      <c r="O119" s="7">
        <v>10099900000</v>
      </c>
      <c r="P119" s="7">
        <v>7620759000</v>
      </c>
      <c r="Q119" s="7">
        <v>7591055000</v>
      </c>
      <c r="R119" s="7">
        <v>861726100</v>
      </c>
      <c r="S119" s="7">
        <v>9915958000</v>
      </c>
      <c r="T119" s="7">
        <v>0</v>
      </c>
      <c r="U119" s="7">
        <v>4423328000</v>
      </c>
      <c r="V119" s="7">
        <v>0</v>
      </c>
      <c r="W119" s="7">
        <v>0</v>
      </c>
      <c r="X119" s="7">
        <v>10037000000</v>
      </c>
      <c r="Y119" s="7">
        <v>5566085000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43180480</v>
      </c>
      <c r="C128" s="7">
        <v>8691681.3129999992</v>
      </c>
      <c r="D128" s="7">
        <v>735026700</v>
      </c>
      <c r="E128" s="7">
        <v>137887200</v>
      </c>
      <c r="F128" s="7">
        <v>454174900</v>
      </c>
      <c r="G128" s="7">
        <v>796186100</v>
      </c>
      <c r="H128" s="7">
        <v>62284340</v>
      </c>
      <c r="I128" s="7">
        <v>532226200</v>
      </c>
      <c r="J128" s="7">
        <v>605111400</v>
      </c>
      <c r="K128" s="7">
        <v>456755300</v>
      </c>
      <c r="L128" s="7">
        <v>182271400</v>
      </c>
      <c r="M128" s="7">
        <v>71961460</v>
      </c>
      <c r="N128" s="7">
        <v>66920910</v>
      </c>
      <c r="O128" s="7">
        <v>12668520</v>
      </c>
      <c r="P128" s="7">
        <v>53935060</v>
      </c>
      <c r="Q128" s="7">
        <v>192386600</v>
      </c>
      <c r="R128" s="7">
        <v>392850900</v>
      </c>
      <c r="S128" s="7">
        <v>71585380</v>
      </c>
      <c r="T128" s="7">
        <v>331509900</v>
      </c>
      <c r="U128" s="7">
        <v>209823000</v>
      </c>
      <c r="V128" s="7">
        <v>202713300</v>
      </c>
      <c r="W128" s="7">
        <v>378390600</v>
      </c>
      <c r="X128" s="7">
        <v>19762840</v>
      </c>
      <c r="Y128" s="7">
        <v>137350600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P85" s="1"/>
      <c r="Q85" s="1"/>
      <c r="R85" s="1"/>
      <c r="T85" s="1"/>
      <c r="U85" s="1"/>
      <c r="V85" s="1"/>
      <c r="W85" s="1"/>
      <c r="Y85" s="1"/>
    </row>
    <row r="87" spans="2:59" x14ac:dyDescent="0.25">
      <c r="C87" s="1"/>
      <c r="H87" s="1"/>
      <c r="M87" s="1"/>
      <c r="N87" s="1"/>
      <c r="O87" s="1"/>
      <c r="X87" s="1"/>
    </row>
    <row r="88" spans="2:59" x14ac:dyDescent="0.25">
      <c r="B88" s="1"/>
      <c r="C88" s="1"/>
      <c r="H88" s="1"/>
      <c r="M88" s="1"/>
      <c r="N88" s="1"/>
      <c r="O88" s="1"/>
      <c r="S88" s="1"/>
      <c r="X88" s="1"/>
    </row>
    <row r="89" spans="2:59" x14ac:dyDescent="0.25">
      <c r="B89" s="1"/>
      <c r="C89" s="1"/>
      <c r="H89" s="1"/>
      <c r="M89" s="1"/>
      <c r="N89" s="1"/>
      <c r="O89" s="1"/>
      <c r="Q89" s="1"/>
      <c r="S89" s="1"/>
      <c r="X89" s="1"/>
    </row>
    <row r="90" spans="2:59" x14ac:dyDescent="0.25">
      <c r="B90" s="1"/>
      <c r="C90" s="1"/>
      <c r="H90" s="1"/>
      <c r="M90" s="1"/>
      <c r="N90" s="1"/>
      <c r="O90" s="1"/>
      <c r="P90" s="1"/>
      <c r="Q90" s="1"/>
      <c r="S90" s="1"/>
      <c r="X90" s="1"/>
      <c r="Y90" s="1"/>
    </row>
    <row r="91" spans="2:59" x14ac:dyDescent="0.25">
      <c r="B91" s="1"/>
      <c r="C91" s="1"/>
      <c r="E91" s="1"/>
      <c r="H91" s="1"/>
      <c r="L91" s="1"/>
      <c r="M91" s="1"/>
      <c r="N91" s="1"/>
      <c r="O91" s="1"/>
      <c r="P91" s="1"/>
      <c r="Q91" s="1"/>
      <c r="R91" s="1"/>
      <c r="S91" s="1"/>
      <c r="U91" s="1"/>
      <c r="X91" s="1"/>
      <c r="Y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2026-02-15T23:06:34Z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