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 Nuclear-CC\With Nuclear-LC\SSP2-45\FOAK\"/>
    </mc:Choice>
  </mc:AlternateContent>
  <xr:revisionPtr revIDLastSave="0" documentId="13_ncr:1_{B7D53607-F5E8-4931-AAB4-0CA21935DBC4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<sst xmlns="http://schemas.openxmlformats.org/spreadsheetml/2006/main" count="1079" uniqueCount="55">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</sst>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5792.4852470982669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3714.2063904646334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2578.0358450885519</v>
      </c>
      <c r="N19" s="2">
        <f>N8/'Output-Calculation-sheet'!N7*'Output-Calculation-sheet'!N25</f>
        <v>881.26608790150408</v>
      </c>
      <c r="O19" s="2">
        <f>O8/'Output-Calculation-sheet'!O7*'Output-Calculation-sheet'!O25</f>
        <v>1377.3798536756851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136.10370818254626</v>
      </c>
      <c r="Y19" s="2">
        <f>Y8/'Output-Calculation-sheet'!Y7*'Output-Calculation-sheet'!Y25</f>
        <v>0</v>
      </c>
      <c r="AA19" s="2">
        <f t="shared" si="0"/>
        <v>15.620941222124269</v>
      </c>
    </row>
    <row r="20" spans="1:27" x14ac:dyDescent="0.25">
      <c r="A20" s="2">
        <v>2032</v>
      </c>
      <c r="B20" s="2">
        <f>B9/'Output-Calculation-sheet'!B8*'Output-Calculation-sheet'!B26</f>
        <v>4283.4873560730548</v>
      </c>
      <c r="C20" s="2">
        <f>C9/'Output-Calculation-sheet'!C8*'Output-Calculation-sheet'!C26</f>
        <v>7241.8563234179692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4656.4486544175224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3238.289144090108</v>
      </c>
      <c r="N20" s="2">
        <f>N9/'Output-Calculation-sheet'!N8*'Output-Calculation-sheet'!N26</f>
        <v>1458.1586311525712</v>
      </c>
      <c r="O20" s="2">
        <f>O9/'Output-Calculation-sheet'!O8*'Output-Calculation-sheet'!O26</f>
        <v>1518.4069848902086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530.29152221097218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173.05182008392586</v>
      </c>
      <c r="Y20" s="2">
        <f>Y9/'Output-Calculation-sheet'!Y8*'Output-Calculation-sheet'!Y26</f>
        <v>0</v>
      </c>
      <c r="AA20" s="2">
        <f t="shared" si="0"/>
        <v>23.099990436336331</v>
      </c>
    </row>
    <row r="21" spans="1:27" x14ac:dyDescent="0.25">
      <c r="A21" s="2">
        <v>2033</v>
      </c>
      <c r="B21" s="2">
        <f>B10/'Output-Calculation-sheet'!B9*'Output-Calculation-sheet'!B27</f>
        <v>9688.6046459212976</v>
      </c>
      <c r="C21" s="2">
        <f>C10/'Output-Calculation-sheet'!C9*'Output-Calculation-sheet'!C27</f>
        <v>9948.2916287509252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5594.9871280553907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3886.7868585389365</v>
      </c>
      <c r="N21" s="2">
        <f>N10/'Output-Calculation-sheet'!N9*'Output-Calculation-sheet'!N27</f>
        <v>2123.3109782343017</v>
      </c>
      <c r="O21" s="2">
        <f>O10/'Output-Calculation-sheet'!O9*'Output-Calculation-sheet'!O27</f>
        <v>1641.860192778036</v>
      </c>
      <c r="P21" s="2">
        <f>P10/'Output-Calculation-sheet'!P9*'Output-Calculation-sheet'!P27</f>
        <v>0</v>
      </c>
      <c r="Q21" s="2">
        <f>Q10/'Output-Calculation-sheet'!Q9*'Output-Calculation-sheet'!Q27</f>
        <v>143.37349231802432</v>
      </c>
      <c r="R21" s="2">
        <f>R10/'Output-Calculation-sheet'!R9*'Output-Calculation-sheet'!R27</f>
        <v>0</v>
      </c>
      <c r="S21" s="2">
        <f>S10/'Output-Calculation-sheet'!S9*'Output-Calculation-sheet'!S27</f>
        <v>924.28269511604333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246.39763006569584</v>
      </c>
      <c r="Y21" s="2">
        <f>Y10/'Output-Calculation-sheet'!Y9*'Output-Calculation-sheet'!Y27</f>
        <v>0</v>
      </c>
      <c r="AA21" s="2">
        <f t="shared" si="0"/>
        <v>34.197895249778654</v>
      </c>
    </row>
    <row r="22" spans="1:27" x14ac:dyDescent="0.25">
      <c r="A22" s="2">
        <v>2034</v>
      </c>
      <c r="B22" s="2">
        <f>B11/'Output-Calculation-sheet'!B10*'Output-Calculation-sheet'!B28</f>
        <v>16413.145799076079</v>
      </c>
      <c r="C22" s="2">
        <f>C11/'Output-Calculation-sheet'!C10*'Output-Calculation-sheet'!C28</f>
        <v>11541.89685998921</v>
      </c>
      <c r="D22" s="2">
        <f>D11/'Output-Calculation-sheet'!D10*'Output-Calculation-sheet'!D28</f>
        <v>0</v>
      </c>
      <c r="E22" s="2">
        <f>E11/'Output-Calculation-sheet'!E10*'Output-Calculation-sheet'!E28</f>
        <v>940.16367079034353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6600.9448706343683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471.42345043215357</v>
      </c>
      <c r="M22" s="2">
        <f>M11/'Output-Calculation-sheet'!M10*'Output-Calculation-sheet'!M28</f>
        <v>4690.249093486289</v>
      </c>
      <c r="N22" s="2">
        <f>N11/'Output-Calculation-sheet'!N10*'Output-Calculation-sheet'!N28</f>
        <v>2765.8657275776877</v>
      </c>
      <c r="O22" s="2">
        <f>O11/'Output-Calculation-sheet'!O10*'Output-Calculation-sheet'!O28</f>
        <v>1763.5366212574563</v>
      </c>
      <c r="P22" s="2">
        <f>P11/'Output-Calculation-sheet'!P10*'Output-Calculation-sheet'!P28</f>
        <v>0</v>
      </c>
      <c r="Q22" s="2">
        <f>Q11/'Output-Calculation-sheet'!Q10*'Output-Calculation-sheet'!Q28</f>
        <v>414.21257141218751</v>
      </c>
      <c r="R22" s="2">
        <f>R11/'Output-Calculation-sheet'!R10*'Output-Calculation-sheet'!R28</f>
        <v>0</v>
      </c>
      <c r="S22" s="2">
        <f>S11/'Output-Calculation-sheet'!S10*'Output-Calculation-sheet'!S28</f>
        <v>1215.3659191512577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50.959562847215828</v>
      </c>
      <c r="AA22" s="2">
        <f t="shared" si="0"/>
        <v>47.076256989584429</v>
      </c>
    </row>
    <row r="23" spans="1:27" x14ac:dyDescent="0.25">
      <c r="A23" s="2">
        <v>2035</v>
      </c>
      <c r="B23" s="2">
        <f>B12/'Output-Calculation-sheet'!B11*'Output-Calculation-sheet'!B29</f>
        <v>18718.630800342737</v>
      </c>
      <c r="C23" s="2">
        <f>C12/'Output-Calculation-sheet'!C11*'Output-Calculation-sheet'!C29</f>
        <v>13631.026839771075</v>
      </c>
      <c r="D23" s="2">
        <f>D12/'Output-Calculation-sheet'!D11*'Output-Calculation-sheet'!D29</f>
        <v>0</v>
      </c>
      <c r="E23" s="2">
        <f>E12/'Output-Calculation-sheet'!E11*'Output-Calculation-sheet'!E29</f>
        <v>2489.4839361674044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6766.3518961171712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543.22296815461084</v>
      </c>
      <c r="M23" s="2">
        <f>M12/'Output-Calculation-sheet'!M11*'Output-Calculation-sheet'!M29</f>
        <v>4835.5478429871782</v>
      </c>
      <c r="N23" s="2">
        <f>N12/'Output-Calculation-sheet'!N11*'Output-Calculation-sheet'!N29</f>
        <v>2892.3558532518318</v>
      </c>
      <c r="O23" s="2">
        <f>O12/'Output-Calculation-sheet'!O11*'Output-Calculation-sheet'!O29</f>
        <v>1879.0902900612125</v>
      </c>
      <c r="P23" s="2">
        <f>P12/'Output-Calculation-sheet'!P11*'Output-Calculation-sheet'!P29</f>
        <v>393.62394893408009</v>
      </c>
      <c r="Q23" s="2">
        <f>Q12/'Output-Calculation-sheet'!Q11*'Output-Calculation-sheet'!Q29</f>
        <v>586.4583374270677</v>
      </c>
      <c r="R23" s="2">
        <f>R12/'Output-Calculation-sheet'!R11*'Output-Calculation-sheet'!R29</f>
        <v>0</v>
      </c>
      <c r="S23" s="2">
        <f>S12/'Output-Calculation-sheet'!S11*'Output-Calculation-sheet'!S29</f>
        <v>1384.9322681184051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122.07058603223039</v>
      </c>
      <c r="Y23" s="2">
        <f>Y12/'Output-Calculation-sheet'!Y11*'Output-Calculation-sheet'!Y29</f>
        <v>128.80304106311567</v>
      </c>
      <c r="AA23" s="2">
        <f t="shared" si="0"/>
        <v>54.371598608428116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1200.1206453028669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30.85171073126822</v>
      </c>
    </row>
    <row r="31" spans="1:27" x14ac:dyDescent="0.25">
      <c r="A31" s="2">
        <v>2032</v>
      </c>
      <c r="B31" s="2">
        <f>B9/'Output-Calculation-sheet'!B8*'Output-Calculation-sheet'!B17</f>
        <v>18137.52129962029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1242.3399987704504</v>
      </c>
      <c r="O31" s="2">
        <f>O9/'Output-Calculation-sheet'!O8*'Output-Calculation-sheet'!O17</f>
        <v>0</v>
      </c>
      <c r="P31" s="2">
        <f>P9/'Output-Calculation-sheet'!P8*'Output-Calculation-sheet'!P17</f>
        <v>1538.3785101898545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923.75337127584578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39.498249480903432</v>
      </c>
    </row>
    <row r="32" spans="1:27" x14ac:dyDescent="0.25">
      <c r="A32" s="2">
        <v>2033</v>
      </c>
      <c r="B32" s="2">
        <f>B10/'Output-Calculation-sheet'!B9*'Output-Calculation-sheet'!B18</f>
        <v>19622.736497200127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1871.6127619207664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1199.1265336240115</v>
      </c>
      <c r="O32" s="2">
        <f>O10/'Output-Calculation-sheet'!O9*'Output-Calculation-sheet'!O18</f>
        <v>0</v>
      </c>
      <c r="P32" s="2">
        <f>P10/'Output-Calculation-sheet'!P9*'Output-Calculation-sheet'!P18</f>
        <v>1926.2612986377251</v>
      </c>
      <c r="Q32" s="2">
        <f>Q10/'Output-Calculation-sheet'!Q9*'Output-Calculation-sheet'!Q18</f>
        <v>2098.630712298957</v>
      </c>
      <c r="R32" s="2">
        <f>R10/'Output-Calculation-sheet'!R9*'Output-Calculation-sheet'!R18</f>
        <v>1383.2367434715445</v>
      </c>
      <c r="S32" s="2">
        <f>S10/'Output-Calculation-sheet'!S9*'Output-Calculation-sheet'!S18</f>
        <v>905.9378942603073</v>
      </c>
      <c r="T32" s="2">
        <f>T10/'Output-Calculation-sheet'!T9*'Output-Calculation-sheet'!T18</f>
        <v>403.85126216003266</v>
      </c>
      <c r="U32" s="2">
        <f>U10/'Output-Calculation-sheet'!U9*'Output-Calculation-sheet'!U18</f>
        <v>446.50722880620049</v>
      </c>
      <c r="V32" s="2">
        <f>V10/'Output-Calculation-sheet'!V9*'Output-Calculation-sheet'!V18</f>
        <v>329.50183263608147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190.79483449078666</v>
      </c>
      <c r="AA32" s="2">
        <f t="shared" si="1"/>
        <v>47.168727614663737</v>
      </c>
    </row>
    <row r="33" spans="1:27" x14ac:dyDescent="0.25">
      <c r="A33" s="2">
        <v>2034</v>
      </c>
      <c r="B33" s="2">
        <f>B11/'Output-Calculation-sheet'!B10*'Output-Calculation-sheet'!B19</f>
        <v>18648.129022641053</v>
      </c>
      <c r="C33" s="2">
        <f>C11/'Output-Calculation-sheet'!C10*'Output-Calculation-sheet'!C19</f>
        <v>0</v>
      </c>
      <c r="D33" s="2">
        <f>D11/'Output-Calculation-sheet'!D10*'Output-Calculation-sheet'!D19</f>
        <v>5450.6274170842107</v>
      </c>
      <c r="E33" s="2">
        <f>E11/'Output-Calculation-sheet'!E10*'Output-Calculation-sheet'!E19</f>
        <v>6857.4061928543306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2058.1440179744704</v>
      </c>
      <c r="J33" s="2">
        <f>J11/'Output-Calculation-sheet'!J10*'Output-Calculation-sheet'!J19</f>
        <v>1703.6594510868847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1909.3133769112956</v>
      </c>
      <c r="M33" s="2">
        <f>M11/'Output-Calculation-sheet'!M10*'Output-Calculation-sheet'!M19</f>
        <v>0</v>
      </c>
      <c r="N33" s="2">
        <f>N11/'Output-Calculation-sheet'!N10*'Output-Calculation-sheet'!N19</f>
        <v>1133.2815728173923</v>
      </c>
      <c r="O33" s="2">
        <f>O11/'Output-Calculation-sheet'!O10*'Output-Calculation-sheet'!O19</f>
        <v>0</v>
      </c>
      <c r="P33" s="2">
        <f>P11/'Output-Calculation-sheet'!P10*'Output-Calculation-sheet'!P19</f>
        <v>2441.6919850554132</v>
      </c>
      <c r="Q33" s="2">
        <f>Q11/'Output-Calculation-sheet'!Q10*'Output-Calculation-sheet'!Q19</f>
        <v>2043.6983658526869</v>
      </c>
      <c r="R33" s="2">
        <f>R11/'Output-Calculation-sheet'!R10*'Output-Calculation-sheet'!R19</f>
        <v>1743.6067533637954</v>
      </c>
      <c r="S33" s="2">
        <f>S11/'Output-Calculation-sheet'!S10*'Output-Calculation-sheet'!S19</f>
        <v>874.24379578965329</v>
      </c>
      <c r="T33" s="2">
        <f>T11/'Output-Calculation-sheet'!T10*'Output-Calculation-sheet'!T19</f>
        <v>511.60740704808899</v>
      </c>
      <c r="U33" s="2">
        <f>U11/'Output-Calculation-sheet'!U10*'Output-Calculation-sheet'!U19</f>
        <v>551.49460242046553</v>
      </c>
      <c r="V33" s="2">
        <f>V11/'Output-Calculation-sheet'!V10*'Output-Calculation-sheet'!V19</f>
        <v>401.29501631038971</v>
      </c>
      <c r="W33" s="2">
        <f>W11/'Output-Calculation-sheet'!W10*'Output-Calculation-sheet'!W19</f>
        <v>249.87089781067928</v>
      </c>
      <c r="X33" s="2">
        <f>X11/'Output-Calculation-sheet'!X10*'Output-Calculation-sheet'!X19</f>
        <v>0</v>
      </c>
      <c r="Y33" s="2">
        <f>Y11/'Output-Calculation-sheet'!Y10*'Output-Calculation-sheet'!Y19</f>
        <v>225.21691594270612</v>
      </c>
      <c r="AA33" s="2">
        <f t="shared" si="1"/>
        <v>54.248437122384061</v>
      </c>
    </row>
    <row r="34" spans="1:27" x14ac:dyDescent="0.25">
      <c r="A34" s="2">
        <v>2035</v>
      </c>
      <c r="B34" s="2">
        <f>B12/'Output-Calculation-sheet'!B11*'Output-Calculation-sheet'!B20</f>
        <v>17443.653531645537</v>
      </c>
      <c r="C34" s="2">
        <f>C12/'Output-Calculation-sheet'!C11*'Output-Calculation-sheet'!C20</f>
        <v>0</v>
      </c>
      <c r="D34" s="2">
        <f>D12/'Output-Calculation-sheet'!D11*'Output-Calculation-sheet'!D20</f>
        <v>5439.5004772316015</v>
      </c>
      <c r="E34" s="2">
        <f>E12/'Output-Calculation-sheet'!E11*'Output-Calculation-sheet'!E20</f>
        <v>6366.9362108255291</v>
      </c>
      <c r="F34" s="2">
        <f>F12/'Output-Calculation-sheet'!F11*'Output-Calculation-sheet'!F20</f>
        <v>3698.5471056483707</v>
      </c>
      <c r="G34" s="2">
        <f>G12/'Output-Calculation-sheet'!G11*'Output-Calculation-sheet'!G20</f>
        <v>1963.4042334999021</v>
      </c>
      <c r="H34" s="2">
        <f>H12/'Output-Calculation-sheet'!H11*'Output-Calculation-sheet'!H20</f>
        <v>0</v>
      </c>
      <c r="I34" s="2">
        <f>I12/'Output-Calculation-sheet'!I11*'Output-Calculation-sheet'!I20</f>
        <v>2176.4244284538245</v>
      </c>
      <c r="J34" s="2">
        <f>J12/'Output-Calculation-sheet'!J11*'Output-Calculation-sheet'!J20</f>
        <v>1702.3272921373029</v>
      </c>
      <c r="K34" s="2">
        <f>K12/'Output-Calculation-sheet'!K11*'Output-Calculation-sheet'!K20</f>
        <v>2513.1957107403341</v>
      </c>
      <c r="L34" s="2">
        <f>L12/'Output-Calculation-sheet'!L11*'Output-Calculation-sheet'!L20</f>
        <v>1908.2004557562018</v>
      </c>
      <c r="M34" s="2">
        <f>M12/'Output-Calculation-sheet'!M11*'Output-Calculation-sheet'!M20</f>
        <v>0</v>
      </c>
      <c r="N34" s="2">
        <f>N12/'Output-Calculation-sheet'!N11*'Output-Calculation-sheet'!N20</f>
        <v>1110.4353720839961</v>
      </c>
      <c r="O34" s="2">
        <f>O12/'Output-Calculation-sheet'!O11*'Output-Calculation-sheet'!O20</f>
        <v>0</v>
      </c>
      <c r="P34" s="2">
        <f>P12/'Output-Calculation-sheet'!P11*'Output-Calculation-sheet'!P20</f>
        <v>2398.0075704673222</v>
      </c>
      <c r="Q34" s="2">
        <f>Q12/'Output-Calculation-sheet'!Q11*'Output-Calculation-sheet'!Q20</f>
        <v>1967.8007810181193</v>
      </c>
      <c r="R34" s="2">
        <f>R12/'Output-Calculation-sheet'!R11*'Output-Calculation-sheet'!R20</f>
        <v>1866.2000236798231</v>
      </c>
      <c r="S34" s="2">
        <f>S12/'Output-Calculation-sheet'!S11*'Output-Calculation-sheet'!S20</f>
        <v>789.5207714718058</v>
      </c>
      <c r="T34" s="2">
        <f>T12/'Output-Calculation-sheet'!T11*'Output-Calculation-sheet'!T20</f>
        <v>578.06914219288865</v>
      </c>
      <c r="U34" s="2">
        <f>U12/'Output-Calculation-sheet'!U11*'Output-Calculation-sheet'!U20</f>
        <v>552.32184123303193</v>
      </c>
      <c r="V34" s="2">
        <f>V12/'Output-Calculation-sheet'!V11*'Output-Calculation-sheet'!V20</f>
        <v>411.17608671960357</v>
      </c>
      <c r="W34" s="2">
        <f>W12/'Output-Calculation-sheet'!W11*'Output-Calculation-sheet'!W20</f>
        <v>324.2044973012309</v>
      </c>
      <c r="X34" s="2">
        <f>X12/'Output-Calculation-sheet'!X11*'Output-Calculation-sheet'!X20</f>
        <v>0</v>
      </c>
      <c r="Y34" s="2">
        <f>Y12/'Output-Calculation-sheet'!Y11*'Output-Calculation-sheet'!Y20</f>
        <v>191.47150798081111</v>
      </c>
      <c r="AA34" s="2">
        <f t="shared" si="1"/>
        <v>53.401397040087232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0.47125331730975933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0.25939571199257949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0.73064902930233888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1.3786101366079802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0.3443472651331303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1.7229574017411105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2.3583791890152264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0.42762305486122909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2.7860022438764553</v>
      </c>
    </row>
    <row r="44" spans="1:27" x14ac:dyDescent="0.25">
      <c r="A44" s="2">
        <v>2034</v>
      </c>
      <c r="B44" s="2">
        <f>B11/'Output-Calculation-sheet'!B10*'Output-Calculation-sheet'!B37*0.0114</f>
        <v>0.1654973189781343</v>
      </c>
      <c r="C44" s="2">
        <f>C11/'Output-Calculation-sheet'!C10*'Output-Calculation-sheet'!C37*0.0114</f>
        <v>2.6313867459869722</v>
      </c>
      <c r="D44" s="2">
        <f>D11/'Output-Calculation-sheet'!D10*'Output-Calculation-sheet'!D37*0.0114</f>
        <v>3.4790362255575871E-2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4.8359549419085213E-2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1.1109100215235789E-2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8.7725013710355671E-3</v>
      </c>
      <c r="M44" s="2">
        <f>M11/'Output-Calculation-sheet'!M10*'Output-Calculation-sheet'!M37*0.0114</f>
        <v>2.4957057246460232E-2</v>
      </c>
      <c r="N44" s="2">
        <f>N11/'Output-Calculation-sheet'!N10*'Output-Calculation-sheet'!N37*0.0114</f>
        <v>1.6352493242730144E-2</v>
      </c>
      <c r="O44" s="2">
        <f>O11/'Output-Calculation-sheet'!O10*'Output-Calculation-sheet'!O37*0.0114</f>
        <v>0.50357541224432323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3.5818219369193889E-2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1.8747627285171951E-2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4.5712662501582752E-3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3.5039376538640767</v>
      </c>
    </row>
    <row r="45" spans="1:27" x14ac:dyDescent="0.25">
      <c r="A45" s="2">
        <v>2035</v>
      </c>
      <c r="B45" s="2">
        <f>B12/'Output-Calculation-sheet'!B11*'Output-Calculation-sheet'!B38*0.0114</f>
        <v>0.74463305764275067</v>
      </c>
      <c r="C45" s="2">
        <f>C12/'Output-Calculation-sheet'!C11*'Output-Calculation-sheet'!C38*0.0114</f>
        <v>2.8273606719155606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0.19351637869493277</v>
      </c>
      <c r="F45" s="2">
        <f>F12/'Output-Calculation-sheet'!F11*'Output-Calculation-sheet'!F38*0.0114</f>
        <v>6.9547707891093852E-2</v>
      </c>
      <c r="G45" s="2">
        <f>G12/'Output-Calculation-sheet'!G11*'Output-Calculation-sheet'!G38*0.0114</f>
        <v>6.2391659693964902E-2</v>
      </c>
      <c r="H45" s="2">
        <f>H12/'Output-Calculation-sheet'!H11*'Output-Calculation-sheet'!H38*0.0114</f>
        <v>0.21758732632349662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4.4430143102458873E-2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5.2627595898416472E-2</v>
      </c>
      <c r="M45" s="2">
        <f>M12/'Output-Calculation-sheet'!M11*'Output-Calculation-sheet'!M38*0.0114</f>
        <v>0.1330855608936703</v>
      </c>
      <c r="N45" s="2">
        <f>N12/'Output-Calculation-sheet'!N11*'Output-Calculation-sheet'!N38*0.0114</f>
        <v>8.1750952010053446E-2</v>
      </c>
      <c r="O45" s="2">
        <f>O12/'Output-Calculation-sheet'!O11*'Output-Calculation-sheet'!O38*0.0114</f>
        <v>0.57216420023915349</v>
      </c>
      <c r="P45" s="2">
        <f>P12/'Output-Calculation-sheet'!P11*'Output-Calculation-sheet'!P38*0.0114</f>
        <v>5.286646401386088E-2</v>
      </c>
      <c r="Q45" s="2">
        <f>Q12/'Output-Calculation-sheet'!Q11*'Output-Calculation-sheet'!Q38*0.0114</f>
        <v>7.8788985586455473E-2</v>
      </c>
      <c r="R45" s="2">
        <f>R12/'Output-Calculation-sheet'!R11*'Output-Calculation-sheet'!R38*0.0114</f>
        <v>3.5515513158799687E-2</v>
      </c>
      <c r="S45" s="2">
        <f>S12/'Output-Calculation-sheet'!S11*'Output-Calculation-sheet'!S38*0.0114</f>
        <v>5.1548714661331839E-2</v>
      </c>
      <c r="T45" s="2">
        <f>T12/'Output-Calculation-sheet'!T11*'Output-Calculation-sheet'!T38*0.0114</f>
        <v>1.0511521574974767E-2</v>
      </c>
      <c r="U45" s="2">
        <f>U12/'Output-Calculation-sheet'!U11*'Output-Calculation-sheet'!U38*0.0114</f>
        <v>1.5997178754720072E-2</v>
      </c>
      <c r="V45" s="2">
        <f>V12/'Output-Calculation-sheet'!V11*'Output-Calculation-sheet'!V38*0.0114</f>
        <v>7.0486984666668639E-3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3.6499407064128201E-3</v>
      </c>
      <c r="Y45" s="2">
        <f>Y12/'Output-Calculation-sheet'!Y11*'Output-Calculation-sheet'!Y38*0.0114</f>
        <v>6.1639595474437875E-3</v>
      </c>
      <c r="AA45" s="2">
        <f t="shared" si="2"/>
        <v>5.5049543177011593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5244.8709792209229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3587.0913567768207</v>
      </c>
      <c r="N52" s="2">
        <f>N8/'Output-Calculation-sheet'!N7*'Output-Calculation-sheet'!N43</f>
        <v>113.31033210922648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24.254261363498777</v>
      </c>
      <c r="Y52" s="2">
        <f>Y8/'Output-Calculation-sheet'!Y7*'Output-Calculation-sheet'!Y43</f>
        <v>0</v>
      </c>
      <c r="AA52" s="2">
        <f t="shared" si="3"/>
        <v>8.9695269294704687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141.66169323540649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9326.7646092085033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6378.9328972722242</v>
      </c>
      <c r="N53" s="2">
        <f>N9/'Output-Calculation-sheet'!N8*'Output-Calculation-sheet'!N44</f>
        <v>2263.6507245966645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705.90908534442462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194.69617363517813</v>
      </c>
      <c r="Y53" s="2">
        <f>Y9/'Output-Calculation-sheet'!Y8*'Output-Calculation-sheet'!Y44</f>
        <v>0</v>
      </c>
      <c r="AA53" s="2">
        <f t="shared" si="3"/>
        <v>19.111956322219903</v>
      </c>
    </row>
    <row r="54" spans="1:27" x14ac:dyDescent="0.25">
      <c r="A54" s="2">
        <v>2033</v>
      </c>
      <c r="B54" s="2">
        <f>B10/'Output-Calculation-sheet'!B9*'Output-Calculation-sheet'!B45</f>
        <v>18502.804664347936</v>
      </c>
      <c r="C54" s="2">
        <f>C10/'Output-Calculation-sheet'!C9*'Output-Calculation-sheet'!C45</f>
        <v>3975.4549779744971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9242.3395954736607</v>
      </c>
      <c r="N54" s="2">
        <f>N10/'Output-Calculation-sheet'!N9*'Output-Calculation-sheet'!N45</f>
        <v>5171.0095376279151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541.48295596367552</v>
      </c>
      <c r="R54" s="2">
        <f>R10/'Output-Calculation-sheet'!R9*'Output-Calculation-sheet'!R45</f>
        <v>918.0465769191743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56.538417110465865</v>
      </c>
    </row>
    <row r="55" spans="1:27" x14ac:dyDescent="0.25">
      <c r="A55" s="2">
        <v>2034</v>
      </c>
      <c r="B55" s="2">
        <f>B11/'Output-Calculation-sheet'!B10*'Output-Calculation-sheet'!B46</f>
        <v>46273.921424807289</v>
      </c>
      <c r="C55" s="2">
        <f>C11/'Output-Calculation-sheet'!C10*'Output-Calculation-sheet'!C46</f>
        <v>9494.7654777953594</v>
      </c>
      <c r="D55" s="2">
        <f>D11/'Output-Calculation-sheet'!D10*'Output-Calculation-sheet'!D46</f>
        <v>4006.9952317167645</v>
      </c>
      <c r="E55" s="2">
        <f>E11/'Output-Calculation-sheet'!E10*'Output-Calculation-sheet'!E46</f>
        <v>6000.3377408756851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15501.568724972994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574.94466026220312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482.48757540695618</v>
      </c>
      <c r="M55" s="2">
        <f>M11/'Output-Calculation-sheet'!M10*'Output-Calculation-sheet'!M46</f>
        <v>10840.265654858675</v>
      </c>
      <c r="N55" s="2">
        <f>N11/'Output-Calculation-sheet'!N10*'Output-Calculation-sheet'!N46</f>
        <v>7895.8157065445685</v>
      </c>
      <c r="O55" s="2">
        <f>O11/'Output-Calculation-sheet'!O10*'Output-Calculation-sheet'!O46</f>
        <v>0</v>
      </c>
      <c r="P55" s="2">
        <f>P11/'Output-Calculation-sheet'!P10*'Output-Calculation-sheet'!P46</f>
        <v>3130.6920385861508</v>
      </c>
      <c r="Q55" s="2">
        <f>Q11/'Output-Calculation-sheet'!Q10*'Output-Calculation-sheet'!Q46</f>
        <v>1158.1224262706023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3320.3034639265061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770.09796784464618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51.67448429003143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119.55574370089778</v>
      </c>
    </row>
    <row r="56" spans="1:27" x14ac:dyDescent="0.25">
      <c r="A56" s="2">
        <v>2035</v>
      </c>
      <c r="B56" s="2">
        <f>B12/'Output-Calculation-sheet'!B11*'Output-Calculation-sheet'!B47</f>
        <v>53031.518052588486</v>
      </c>
      <c r="C56" s="2">
        <f>C12/'Output-Calculation-sheet'!C11*'Output-Calculation-sheet'!C47</f>
        <v>19117.75308130039</v>
      </c>
      <c r="D56" s="2">
        <f>D12/'Output-Calculation-sheet'!D11*'Output-Calculation-sheet'!D47</f>
        <v>4174.2555481181562</v>
      </c>
      <c r="E56" s="2">
        <f>E12/'Output-Calculation-sheet'!E11*'Output-Calculation-sheet'!E47</f>
        <v>11087.178989890133</v>
      </c>
      <c r="F56" s="2">
        <f>F12/'Output-Calculation-sheet'!F11*'Output-Calculation-sheet'!F47</f>
        <v>1304.0195229580097</v>
      </c>
      <c r="G56" s="2">
        <f>G12/'Output-Calculation-sheet'!G11*'Output-Calculation-sheet'!G47</f>
        <v>3370.2442139950513</v>
      </c>
      <c r="H56" s="2">
        <f>H12/'Output-Calculation-sheet'!H11*'Output-Calculation-sheet'!H47</f>
        <v>15744.330512920458</v>
      </c>
      <c r="I56" s="2">
        <f>I12/'Output-Calculation-sheet'!I11*'Output-Calculation-sheet'!I47</f>
        <v>1873.5349633559081</v>
      </c>
      <c r="J56" s="2">
        <f>J12/'Output-Calculation-sheet'!J11*'Output-Calculation-sheet'!J47</f>
        <v>672.29821799773288</v>
      </c>
      <c r="K56" s="2">
        <f>K12/'Output-Calculation-sheet'!K11*'Output-Calculation-sheet'!K47</f>
        <v>2801.2687012735082</v>
      </c>
      <c r="L56" s="2">
        <f>L12/'Output-Calculation-sheet'!L11*'Output-Calculation-sheet'!L47</f>
        <v>633.22385123387062</v>
      </c>
      <c r="M56" s="2">
        <f>M12/'Output-Calculation-sheet'!M11*'Output-Calculation-sheet'!M47</f>
        <v>11021.877647257585</v>
      </c>
      <c r="N56" s="2">
        <f>N12/'Output-Calculation-sheet'!N11*'Output-Calculation-sheet'!N47</f>
        <v>8220.2733586951108</v>
      </c>
      <c r="O56" s="2">
        <f>O12/'Output-Calculation-sheet'!O11*'Output-Calculation-sheet'!O47</f>
        <v>0</v>
      </c>
      <c r="P56" s="2">
        <f>P12/'Output-Calculation-sheet'!P11*'Output-Calculation-sheet'!P47</f>
        <v>4243.2293484809388</v>
      </c>
      <c r="Q56" s="2">
        <f>Q12/'Output-Calculation-sheet'!Q11*'Output-Calculation-sheet'!Q47</f>
        <v>1504.153361195968</v>
      </c>
      <c r="R56" s="2">
        <f>R12/'Output-Calculation-sheet'!R11*'Output-Calculation-sheet'!R47</f>
        <v>2935.326008615883</v>
      </c>
      <c r="S56" s="2">
        <f>S12/'Output-Calculation-sheet'!S11*'Output-Calculation-sheet'!S47</f>
        <v>3830.8012115546362</v>
      </c>
      <c r="T56" s="2">
        <f>T12/'Output-Calculation-sheet'!T11*'Output-Calculation-sheet'!T47</f>
        <v>1005.9710559910062</v>
      </c>
      <c r="U56" s="2">
        <f>U12/'Output-Calculation-sheet'!U11*'Output-Calculation-sheet'!U47</f>
        <v>784.62352939817492</v>
      </c>
      <c r="V56" s="2">
        <f>V12/'Output-Calculation-sheet'!V11*'Output-Calculation-sheet'!V47</f>
        <v>452.29148494445707</v>
      </c>
      <c r="W56" s="2">
        <f>W12/'Output-Calculation-sheet'!W11*'Output-Calculation-sheet'!W47</f>
        <v>389.91340584290867</v>
      </c>
      <c r="X56" s="2">
        <f>X12/'Output-Calculation-sheet'!X11*'Output-Calculation-sheet'!X47</f>
        <v>234.52469889889392</v>
      </c>
      <c r="Y56" s="2">
        <f>Y12/'Output-Calculation-sheet'!Y11*'Output-Calculation-sheet'!Y47</f>
        <v>502.30863329607706</v>
      </c>
      <c r="AA56" s="2">
        <f t="shared" si="3"/>
        <v>148.93491939980336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4.0204277072686558</v>
      </c>
      <c r="C63" s="2">
        <f>C8*'Output-Calculation-sheet'!C52/10^9</f>
        <v>2.5121498331703269</v>
      </c>
      <c r="D63" s="2">
        <f>D8*'Output-Calculation-sheet'!D52/10^9</f>
        <v>1.1482799253750702</v>
      </c>
      <c r="E63" s="2">
        <f>E8*'Output-Calculation-sheet'!E52/10^9</f>
        <v>1.0547684695097841</v>
      </c>
      <c r="F63" s="2">
        <f>F8*'Output-Calculation-sheet'!F52/10^9</f>
        <v>0.55588123170021042</v>
      </c>
      <c r="G63" s="2">
        <f>G8*'Output-Calculation-sheet'!G52/10^9</f>
        <v>0.41109159916331822</v>
      </c>
      <c r="H63" s="2">
        <f>H8*'Output-Calculation-sheet'!H52/10^9</f>
        <v>0.70928608885704347</v>
      </c>
      <c r="I63" s="2">
        <f>I8*'Output-Calculation-sheet'!I52/10^9</f>
        <v>0.38110017167548832</v>
      </c>
      <c r="J63" s="2">
        <f>J8*'Output-Calculation-sheet'!J52/10^9</f>
        <v>0.38744105130607509</v>
      </c>
      <c r="K63" s="2">
        <f>K8*'Output-Calculation-sheet'!K52/10^9</f>
        <v>0.38990762427041714</v>
      </c>
      <c r="L63" s="2">
        <f>L8*'Output-Calculation-sheet'!L52/10^9</f>
        <v>0.31785155426884676</v>
      </c>
      <c r="M63" s="2">
        <f>M8*'Output-Calculation-sheet'!M52/10^9</f>
        <v>0.49108535599063047</v>
      </c>
      <c r="N63" s="2">
        <f>N8*'Output-Calculation-sheet'!N52/10^9</f>
        <v>0.44063138446061562</v>
      </c>
      <c r="O63" s="2">
        <f>O8*'Output-Calculation-sheet'!O52/10^9</f>
        <v>0.47648032142747826</v>
      </c>
      <c r="P63" s="2">
        <f>P8*'Output-Calculation-sheet'!P52/10^9</f>
        <v>0.31388613774382668</v>
      </c>
      <c r="Q63" s="2">
        <f>Q8*'Output-Calculation-sheet'!Q52/10^9</f>
        <v>0.32370706695596274</v>
      </c>
      <c r="R63" s="2">
        <f>R8*'Output-Calculation-sheet'!R52/10^9</f>
        <v>0.26511294350730802</v>
      </c>
      <c r="S63" s="2">
        <f>S8*'Output-Calculation-sheet'!S52/10^9</f>
        <v>0.24377508218783009</v>
      </c>
      <c r="T63" s="2">
        <f>T8*'Output-Calculation-sheet'!T52/10^9</f>
        <v>9.1406143538469833E-2</v>
      </c>
      <c r="U63" s="2">
        <f>U8*'Output-Calculation-sheet'!U52/10^9</f>
        <v>8.303830884054747E-2</v>
      </c>
      <c r="V63" s="2">
        <f>V8*'Output-Calculation-sheet'!V52/10^9</f>
        <v>6.4163156457964401E-2</v>
      </c>
      <c r="W63" s="2">
        <f>W8*'Output-Calculation-sheet'!W52/10^9</f>
        <v>5.0127835463748063E-2</v>
      </c>
      <c r="X63" s="2">
        <f>X8*'Output-Calculation-sheet'!X52/10^9</f>
        <v>5.9155081104584249E-2</v>
      </c>
      <c r="Y63" s="2">
        <f>Y8*'Output-Calculation-sheet'!Y52/10^9</f>
        <v>3.2585135689768806E-2</v>
      </c>
      <c r="AA63" s="2">
        <f t="shared" si="4"/>
        <v>14.823339209933971</v>
      </c>
    </row>
    <row r="64" spans="1:27" x14ac:dyDescent="0.25">
      <c r="A64" s="2">
        <v>2032</v>
      </c>
      <c r="B64" s="2">
        <f>B9*'Output-Calculation-sheet'!B53/10^9</f>
        <v>4.1736445263417554</v>
      </c>
      <c r="C64" s="2">
        <f>C9*'Output-Calculation-sheet'!C53/10^9</f>
        <v>2.763223589313121</v>
      </c>
      <c r="D64" s="2">
        <f>D9*'Output-Calculation-sheet'!D53/10^9</f>
        <v>1.0055963479249475</v>
      </c>
      <c r="E64" s="2">
        <f>E9*'Output-Calculation-sheet'!E53/10^9</f>
        <v>0.98176475630919791</v>
      </c>
      <c r="F64" s="2">
        <f>F9*'Output-Calculation-sheet'!F53/10^9</f>
        <v>0.49513597450494512</v>
      </c>
      <c r="G64" s="2">
        <f>G9*'Output-Calculation-sheet'!G53/10^9</f>
        <v>0.35965191484040654</v>
      </c>
      <c r="H64" s="2">
        <f>H9*'Output-Calculation-sheet'!H53/10^9</f>
        <v>0.77209010961320579</v>
      </c>
      <c r="I64" s="2">
        <f>I9*'Output-Calculation-sheet'!I53/10^9</f>
        <v>0.33582387490664345</v>
      </c>
      <c r="J64" s="2">
        <f>J9*'Output-Calculation-sheet'!J53/10^9</f>
        <v>0.33519714239078163</v>
      </c>
      <c r="K64" s="2">
        <f>K9*'Output-Calculation-sheet'!K53/10^9</f>
        <v>0.3615384073219931</v>
      </c>
      <c r="L64" s="2">
        <f>L9*'Output-Calculation-sheet'!L53/10^9</f>
        <v>0.29802304114014438</v>
      </c>
      <c r="M64" s="2">
        <f>M9*'Output-Calculation-sheet'!M53/10^9</f>
        <v>0.53494222837671401</v>
      </c>
      <c r="N64" s="2">
        <f>N9*'Output-Calculation-sheet'!N53/10^9</f>
        <v>0.47533095247254997</v>
      </c>
      <c r="O64" s="2">
        <f>O9*'Output-Calculation-sheet'!O53/10^9</f>
        <v>0.51142431929482457</v>
      </c>
      <c r="P64" s="2">
        <f>P9*'Output-Calculation-sheet'!P53/10^9</f>
        <v>0.32335231354918231</v>
      </c>
      <c r="Q64" s="2">
        <f>Q9*'Output-Calculation-sheet'!Q53/10^9</f>
        <v>0.33087910712225027</v>
      </c>
      <c r="R64" s="2">
        <f>R9*'Output-Calculation-sheet'!R53/10^9</f>
        <v>0.25869351318901856</v>
      </c>
      <c r="S64" s="2">
        <f>S9*'Output-Calculation-sheet'!S53/10^9</f>
        <v>0.2618194438666413</v>
      </c>
      <c r="T64" s="2">
        <f>T9*'Output-Calculation-sheet'!T53/10^9</f>
        <v>8.2896403023471024E-2</v>
      </c>
      <c r="U64" s="2">
        <f>U9*'Output-Calculation-sheet'!U53/10^9</f>
        <v>8.1773320521925236E-2</v>
      </c>
      <c r="V64" s="2">
        <f>V9*'Output-Calculation-sheet'!V53/10^9</f>
        <v>6.0841594248273401E-2</v>
      </c>
      <c r="W64" s="2">
        <f>W9*'Output-Calculation-sheet'!W53/10^9</f>
        <v>4.3925030272392064E-2</v>
      </c>
      <c r="X64" s="2">
        <f>X9*'Output-Calculation-sheet'!X53/10^9</f>
        <v>6.4695883274880586E-2</v>
      </c>
      <c r="Y64" s="2">
        <f>Y9*'Output-Calculation-sheet'!Y53/10^9</f>
        <v>3.1662681815130489E-2</v>
      </c>
      <c r="AA64" s="2">
        <f t="shared" si="4"/>
        <v>14.943926475634399</v>
      </c>
    </row>
    <row r="65" spans="1:27" x14ac:dyDescent="0.25">
      <c r="A65" s="2">
        <v>2033</v>
      </c>
      <c r="B65" s="2">
        <f>B10*'Output-Calculation-sheet'!B54/10^9</f>
        <v>4.5350736655493682</v>
      </c>
      <c r="C65" s="2">
        <f>C10*'Output-Calculation-sheet'!C54/10^9</f>
        <v>2.9953743445539955</v>
      </c>
      <c r="D65" s="2">
        <f>D10*'Output-Calculation-sheet'!D54/10^9</f>
        <v>0.87116685211244904</v>
      </c>
      <c r="E65" s="2">
        <f>E10*'Output-Calculation-sheet'!E54/10^9</f>
        <v>0.98857048147225213</v>
      </c>
      <c r="F65" s="2">
        <f>F10*'Output-Calculation-sheet'!F54/10^9</f>
        <v>0.44845819876521864</v>
      </c>
      <c r="G65" s="2">
        <f>G10*'Output-Calculation-sheet'!G54/10^9</f>
        <v>0.30951110783180202</v>
      </c>
      <c r="H65" s="2">
        <f>H10*'Output-Calculation-sheet'!H54/10^9</f>
        <v>0.82267268749347089</v>
      </c>
      <c r="I65" s="2">
        <f>I10*'Output-Calculation-sheet'!I54/10^9</f>
        <v>0.30445596220639398</v>
      </c>
      <c r="J65" s="2">
        <f>J10*'Output-Calculation-sheet'!J54/10^9</f>
        <v>0.28078718919801371</v>
      </c>
      <c r="K65" s="2">
        <f>K10*'Output-Calculation-sheet'!K54/10^9</f>
        <v>0.35813126346637664</v>
      </c>
      <c r="L65" s="2">
        <f>L10*'Output-Calculation-sheet'!L54/10^9</f>
        <v>0.29784953789752378</v>
      </c>
      <c r="M65" s="2">
        <f>M10*'Output-Calculation-sheet'!M54/10^9</f>
        <v>0.57006324181810231</v>
      </c>
      <c r="N65" s="2">
        <f>N10*'Output-Calculation-sheet'!N54/10^9</f>
        <v>0.51249701124326152</v>
      </c>
      <c r="O65" s="2">
        <f>O10*'Output-Calculation-sheet'!O54/10^9</f>
        <v>0.54256677009948262</v>
      </c>
      <c r="P65" s="2">
        <f>P10*'Output-Calculation-sheet'!P54/10^9</f>
        <v>0.34584156713478736</v>
      </c>
      <c r="Q65" s="2">
        <f>Q10*'Output-Calculation-sheet'!Q54/10^9</f>
        <v>0.35882635773374894</v>
      </c>
      <c r="R65" s="2">
        <f>R10*'Output-Calculation-sheet'!R54/10^9</f>
        <v>0.26812676964082727</v>
      </c>
      <c r="S65" s="2">
        <f>S10*'Output-Calculation-sheet'!S54/10^9</f>
        <v>0.28353588596359169</v>
      </c>
      <c r="T65" s="2">
        <f>T10*'Output-Calculation-sheet'!T54/10^9</f>
        <v>8.047702052053568E-2</v>
      </c>
      <c r="U65" s="2">
        <f>U10*'Output-Calculation-sheet'!U54/10^9</f>
        <v>8.7016583497837682E-2</v>
      </c>
      <c r="V65" s="2">
        <f>V10*'Output-Calculation-sheet'!V54/10^9</f>
        <v>6.0726036846868663E-2</v>
      </c>
      <c r="W65" s="2">
        <f>W10*'Output-Calculation-sheet'!W54/10^9</f>
        <v>3.7984822371294032E-2</v>
      </c>
      <c r="X65" s="2">
        <f>X10*'Output-Calculation-sheet'!X54/10^9</f>
        <v>6.9878244917033816E-2</v>
      </c>
      <c r="Y65" s="2">
        <f>Y10*'Output-Calculation-sheet'!Y54/10^9</f>
        <v>3.3511852352361461E-2</v>
      </c>
      <c r="AA65" s="2">
        <f t="shared" si="4"/>
        <v>15.463103454686596</v>
      </c>
    </row>
    <row r="66" spans="1:27" x14ac:dyDescent="0.25">
      <c r="A66" s="2">
        <v>2034</v>
      </c>
      <c r="B66" s="2">
        <f>B11*'Output-Calculation-sheet'!B55/10^9</f>
        <v>5.0550157347894435</v>
      </c>
      <c r="C66" s="2">
        <f>C11*'Output-Calculation-sheet'!C55/10^9</f>
        <v>3.2202754147674977</v>
      </c>
      <c r="D66" s="2">
        <f>D11*'Output-Calculation-sheet'!D55/10^9</f>
        <v>0.94844122760754968</v>
      </c>
      <c r="E66" s="2">
        <f>E11*'Output-Calculation-sheet'!E55/10^9</f>
        <v>1.1694669920943943</v>
      </c>
      <c r="F66" s="2">
        <f>F11*'Output-Calculation-sheet'!F55/10^9</f>
        <v>0.4683697027347366</v>
      </c>
      <c r="G66" s="2">
        <f>G11*'Output-Calculation-sheet'!G55/10^9</f>
        <v>0.33734711404004836</v>
      </c>
      <c r="H66" s="2">
        <f>H11*'Output-Calculation-sheet'!H55/10^9</f>
        <v>0.88866290653101376</v>
      </c>
      <c r="I66" s="2">
        <f>I11*'Output-Calculation-sheet'!I55/10^9</f>
        <v>0.3316064105881269</v>
      </c>
      <c r="J66" s="2">
        <f>J11*'Output-Calculation-sheet'!J55/10^9</f>
        <v>0.29256349056663139</v>
      </c>
      <c r="K66" s="2">
        <f>K11*'Output-Calculation-sheet'!K55/10^9</f>
        <v>0.39098580470206179</v>
      </c>
      <c r="L66" s="2">
        <f>L11*'Output-Calculation-sheet'!L55/10^9</f>
        <v>0.34246959499375484</v>
      </c>
      <c r="M66" s="2">
        <f>M11*'Output-Calculation-sheet'!M55/10^9</f>
        <v>0.61706351257399072</v>
      </c>
      <c r="N66" s="2">
        <f>N11*'Output-Calculation-sheet'!N55/10^9</f>
        <v>0.55241239816107546</v>
      </c>
      <c r="O66" s="2">
        <f>O11*'Output-Calculation-sheet'!O55/10^9</f>
        <v>0.57310250997101986</v>
      </c>
      <c r="P66" s="2">
        <f>P11*'Output-Calculation-sheet'!P55/10^9</f>
        <v>0.38827860535585407</v>
      </c>
      <c r="Q66" s="2">
        <f>Q11*'Output-Calculation-sheet'!Q55/10^9</f>
        <v>0.40307283707641317</v>
      </c>
      <c r="R66" s="2">
        <f>R11*'Output-Calculation-sheet'!R55/10^9</f>
        <v>0.29384594928225533</v>
      </c>
      <c r="S66" s="2">
        <f>S11*'Output-Calculation-sheet'!S55/10^9</f>
        <v>0.31117604428678208</v>
      </c>
      <c r="T66" s="2">
        <f>T11*'Output-Calculation-sheet'!T55/10^9</f>
        <v>8.6509217676211406E-2</v>
      </c>
      <c r="U66" s="2">
        <f>U11*'Output-Calculation-sheet'!U55/10^9</f>
        <v>9.9912370587855334E-2</v>
      </c>
      <c r="V66" s="2">
        <f>V11*'Output-Calculation-sheet'!V55/10^9</f>
        <v>6.4617939890932549E-2</v>
      </c>
      <c r="W66" s="2">
        <f>W11*'Output-Calculation-sheet'!W55/10^9</f>
        <v>3.9367919204432021E-2</v>
      </c>
      <c r="X66" s="2">
        <f>X11*'Output-Calculation-sheet'!X55/10^9</f>
        <v>7.5138518928118112E-2</v>
      </c>
      <c r="Y66" s="2">
        <f>Y11*'Output-Calculation-sheet'!Y55/10^9</f>
        <v>4.0820682134288667E-2</v>
      </c>
      <c r="AA66" s="2">
        <f t="shared" si="4"/>
        <v>16.990522898544487</v>
      </c>
    </row>
    <row r="67" spans="1:27" x14ac:dyDescent="0.25">
      <c r="A67" s="2">
        <v>2035</v>
      </c>
      <c r="B67" s="2">
        <f>B12*'Output-Calculation-sheet'!B56/10^9</f>
        <v>5.6277624700141731</v>
      </c>
      <c r="C67" s="2">
        <f>C12*'Output-Calculation-sheet'!C56/10^9</f>
        <v>3.4322085703633216</v>
      </c>
      <c r="D67" s="2">
        <f>D12*'Output-Calculation-sheet'!D56/10^9</f>
        <v>1.1446926208908492</v>
      </c>
      <c r="E67" s="2">
        <f>E12*'Output-Calculation-sheet'!E56/10^9</f>
        <v>1.5477043282631919</v>
      </c>
      <c r="F67" s="2">
        <f>F12*'Output-Calculation-sheet'!F56/10^9</f>
        <v>0.61373367990773819</v>
      </c>
      <c r="G67" s="2">
        <f>G12*'Output-Calculation-sheet'!G56/10^9</f>
        <v>0.44546617466671778</v>
      </c>
      <c r="H67" s="2">
        <f>H12*'Output-Calculation-sheet'!H56/10^9</f>
        <v>0.97106544745347034</v>
      </c>
      <c r="I67" s="2">
        <f>I12*'Output-Calculation-sheet'!I56/10^9</f>
        <v>0.42080160768397612</v>
      </c>
      <c r="J67" s="2">
        <f>J12*'Output-Calculation-sheet'!J56/10^9</f>
        <v>0.34749044954337133</v>
      </c>
      <c r="K67" s="2">
        <f>K12*'Output-Calculation-sheet'!K56/10^9</f>
        <v>0.46982368190070767</v>
      </c>
      <c r="L67" s="2">
        <f>L12*'Output-Calculation-sheet'!L56/10^9</f>
        <v>0.40540211965752337</v>
      </c>
      <c r="M67" s="2">
        <f>M12*'Output-Calculation-sheet'!M56/10^9</f>
        <v>0.6805197654133629</v>
      </c>
      <c r="N67" s="2">
        <f>N12*'Output-Calculation-sheet'!N56/10^9</f>
        <v>0.59569568184763722</v>
      </c>
      <c r="O67" s="2">
        <f>O12*'Output-Calculation-sheet'!O56/10^9</f>
        <v>0.60287931468622868</v>
      </c>
      <c r="P67" s="2">
        <f>P12*'Output-Calculation-sheet'!P56/10^9</f>
        <v>0.47467003223280474</v>
      </c>
      <c r="Q67" s="2">
        <f>Q12*'Output-Calculation-sheet'!Q56/10^9</f>
        <v>0.44496512158952256</v>
      </c>
      <c r="R67" s="2">
        <f>R12*'Output-Calculation-sheet'!R56/10^9</f>
        <v>0.34958831447942856</v>
      </c>
      <c r="S67" s="2">
        <f>S12*'Output-Calculation-sheet'!S56/10^9</f>
        <v>0.33904417674195569</v>
      </c>
      <c r="T67" s="2">
        <f>T12*'Output-Calculation-sheet'!T56/10^9</f>
        <v>0.10746524382773176</v>
      </c>
      <c r="U67" s="2">
        <f>U12*'Output-Calculation-sheet'!U56/10^9</f>
        <v>0.1158809160539713</v>
      </c>
      <c r="V67" s="2">
        <f>V12*'Output-Calculation-sheet'!V56/10^9</f>
        <v>7.3074581650725182E-2</v>
      </c>
      <c r="W67" s="2">
        <f>W12*'Output-Calculation-sheet'!W56/10^9</f>
        <v>5.6855548944427299E-2</v>
      </c>
      <c r="X67" s="2">
        <f>X12*'Output-Calculation-sheet'!X56/10^9</f>
        <v>8.3294385182074576E-2</v>
      </c>
      <c r="Y67" s="2">
        <f>Y12*'Output-Calculation-sheet'!Y56/10^9</f>
        <v>5.3386125807693197E-2</v>
      </c>
      <c r="AA67" s="2">
        <f t="shared" si="4"/>
        <v>19.403470358802611</v>
      </c>
    </row>
    <row r="68" spans="1:27" x14ac:dyDescent="0.25">
      <c r="B68" s="2">
        <f>SUM(B60:B67)</f>
        <v>23.411924103963393</v>
      </c>
      <c r="C68" s="2">
        <f t="shared" ref="C68:Y68" si="5">SUM(C60:C67)</f>
        <v>14.923231752168263</v>
      </c>
      <c r="D68" s="2">
        <f t="shared" si="5"/>
        <v>5.1181769739108658</v>
      </c>
      <c r="E68" s="2">
        <f t="shared" si="5"/>
        <v>5.7422750276488204</v>
      </c>
      <c r="F68" s="2">
        <f t="shared" si="5"/>
        <v>2.5815787876128491</v>
      </c>
      <c r="G68" s="2">
        <f t="shared" si="5"/>
        <v>1.8630679105422927</v>
      </c>
      <c r="H68" s="2">
        <f t="shared" si="5"/>
        <v>4.163777239948204</v>
      </c>
      <c r="I68" s="2">
        <f t="shared" si="5"/>
        <v>1.773788027060629</v>
      </c>
      <c r="J68" s="2">
        <f t="shared" si="5"/>
        <v>1.6434793230048732</v>
      </c>
      <c r="K68" s="2">
        <f t="shared" si="5"/>
        <v>1.9703867816615563</v>
      </c>
      <c r="L68" s="2">
        <f t="shared" si="5"/>
        <v>1.661595847957793</v>
      </c>
      <c r="M68" s="2">
        <f t="shared" si="5"/>
        <v>2.8936741041728005</v>
      </c>
      <c r="N68" s="2">
        <f t="shared" si="5"/>
        <v>2.5765674281851396</v>
      </c>
      <c r="O68" s="2">
        <f t="shared" si="5"/>
        <v>2.7064532354790343</v>
      </c>
      <c r="P68" s="2">
        <f t="shared" si="5"/>
        <v>1.8460286560164552</v>
      </c>
      <c r="Q68" s="2">
        <f t="shared" si="5"/>
        <v>1.8614504904778977</v>
      </c>
      <c r="R68" s="2">
        <f t="shared" si="5"/>
        <v>1.4353674900988376</v>
      </c>
      <c r="S68" s="2">
        <f t="shared" si="5"/>
        <v>1.4393506330468009</v>
      </c>
      <c r="T68" s="2">
        <f t="shared" si="5"/>
        <v>0.44875402858641966</v>
      </c>
      <c r="U68" s="2">
        <f t="shared" si="5"/>
        <v>0.46762149950213705</v>
      </c>
      <c r="V68" s="2">
        <f t="shared" si="5"/>
        <v>0.32342330909476419</v>
      </c>
      <c r="W68" s="2">
        <f t="shared" si="5"/>
        <v>0.22826115625629348</v>
      </c>
      <c r="X68" s="2">
        <f t="shared" si="5"/>
        <v>0.35216211340669135</v>
      </c>
      <c r="Y68" s="2">
        <f t="shared" si="5"/>
        <v>0.19196647779924261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1113.1777367736083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750.89657455721056</v>
      </c>
      <c r="N74" s="2">
        <f>N8/'Output-Calculation-sheet'!N7*'Output-Calculation-sheet'!N61</f>
        <v>31.213410726088441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6.663277968384044</v>
      </c>
      <c r="Y74" s="2">
        <f>Y8/'Output-Calculation-sheet'!Y7*'Output-Calculation-sheet'!Y61</f>
        <v>0</v>
      </c>
      <c r="AA74" s="2">
        <f t="shared" si="6"/>
        <v>1.9019510000252915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38.918958843990701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1778.1520867122028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1204.8849891352686</v>
      </c>
      <c r="N75" s="2">
        <f>N9/'Output-Calculation-sheet'!N8*'Output-Calculation-sheet'!N62</f>
        <v>463.83332654782799</v>
      </c>
      <c r="O75" s="2">
        <f>O9/'Output-Calculation-sheet'!O8*'Output-Calculation-sheet'!O62</f>
        <v>0</v>
      </c>
      <c r="P75" s="2">
        <f>P9/'Output-Calculation-sheet'!P8*'Output-Calculation-sheet'!P62</f>
        <v>30.172779828755843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155.89457874134973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42.309124416103387</v>
      </c>
      <c r="Y75" s="2">
        <f>Y9/'Output-Calculation-sheet'!Y8*'Output-Calculation-sheet'!Y62</f>
        <v>0</v>
      </c>
      <c r="AA75" s="2">
        <f t="shared" si="6"/>
        <v>3.7141658442254992</v>
      </c>
    </row>
    <row r="76" spans="1:27" x14ac:dyDescent="0.25">
      <c r="A76" s="2">
        <v>2033</v>
      </c>
      <c r="B76" s="2">
        <f>B10/'Output-Calculation-sheet'!B9*'Output-Calculation-sheet'!B63</f>
        <v>3717.6180924109644</v>
      </c>
      <c r="C76" s="2">
        <f>C10/'Output-Calculation-sheet'!C9*'Output-Calculation-sheet'!C63</f>
        <v>1092.1571274182529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2436.0175508044285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1656.9291036599072</v>
      </c>
      <c r="N76" s="2">
        <f>N10/'Output-Calculation-sheet'!N9*'Output-Calculation-sheet'!N63</f>
        <v>946.52802940863592</v>
      </c>
      <c r="O76" s="2">
        <f>O10/'Output-Calculation-sheet'!O9*'Output-Calculation-sheet'!O63</f>
        <v>0</v>
      </c>
      <c r="P76" s="2">
        <f>P10/'Output-Calculation-sheet'!P9*'Output-Calculation-sheet'!P63</f>
        <v>326.30660951599032</v>
      </c>
      <c r="Q76" s="2">
        <f>Q10/'Output-Calculation-sheet'!Q9*'Output-Calculation-sheet'!Q63</f>
        <v>146.90791068331566</v>
      </c>
      <c r="R76" s="2">
        <f>R10/'Output-Calculation-sheet'!R9*'Output-Calculation-sheet'!R63</f>
        <v>248.68522161717547</v>
      </c>
      <c r="S76" s="2">
        <f>S10/'Output-Calculation-sheet'!S9*'Output-Calculation-sheet'!S63</f>
        <v>420.84373793376943</v>
      </c>
      <c r="T76" s="2">
        <f>T10/'Output-Calculation-sheet'!T9*'Output-Calculation-sheet'!T63</f>
        <v>16.345994730667467</v>
      </c>
      <c r="U76" s="2">
        <f>U10/'Output-Calculation-sheet'!U9*'Output-Calculation-sheet'!U63</f>
        <v>88.281626956379014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95.003874798387741</v>
      </c>
      <c r="Y76" s="2">
        <f>Y10/'Output-Calculation-sheet'!Y9*'Output-Calculation-sheet'!Y63</f>
        <v>4.1914663640721646</v>
      </c>
      <c r="AA76" s="2">
        <f t="shared" si="6"/>
        <v>11.264433532363832</v>
      </c>
    </row>
    <row r="77" spans="1:27" x14ac:dyDescent="0.25">
      <c r="A77" s="2">
        <v>2034</v>
      </c>
      <c r="B77" s="2">
        <f>B11/'Output-Calculation-sheet'!B10*'Output-Calculation-sheet'!B64</f>
        <v>7878.0207987675676</v>
      </c>
      <c r="C77" s="2">
        <f>C11/'Output-Calculation-sheet'!C10*'Output-Calculation-sheet'!C64</f>
        <v>2148.776360661514</v>
      </c>
      <c r="D77" s="2">
        <f>D11/'Output-Calculation-sheet'!D10*'Output-Calculation-sheet'!D64</f>
        <v>951.9528131112761</v>
      </c>
      <c r="E77" s="2">
        <f>E11/'Output-Calculation-sheet'!E10*'Output-Calculation-sheet'!E64</f>
        <v>1383.174863624972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2861.6105848554207</v>
      </c>
      <c r="I77" s="2">
        <f>I11/'Output-Calculation-sheet'!I10*'Output-Calculation-sheet'!I64</f>
        <v>345.31562385913475</v>
      </c>
      <c r="J77" s="2">
        <f>J11/'Output-Calculation-sheet'!J10*'Output-Calculation-sheet'!J64</f>
        <v>189.96269023310694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137.16575411278234</v>
      </c>
      <c r="M77" s="2">
        <f>M11/'Output-Calculation-sheet'!M10*'Output-Calculation-sheet'!M64</f>
        <v>1997.6715930455573</v>
      </c>
      <c r="N77" s="2">
        <f>N11/'Output-Calculation-sheet'!N10*'Output-Calculation-sheet'!N64</f>
        <v>1383.194288516343</v>
      </c>
      <c r="O77" s="2">
        <f>O11/'Output-Calculation-sheet'!O10*'Output-Calculation-sheet'!O64</f>
        <v>0</v>
      </c>
      <c r="P77" s="2">
        <f>P11/'Output-Calculation-sheet'!P10*'Output-Calculation-sheet'!P64</f>
        <v>653.39232425123316</v>
      </c>
      <c r="Q77" s="2">
        <f>Q11/'Output-Calculation-sheet'!Q10*'Output-Calculation-sheet'!Q64</f>
        <v>267.80277198644677</v>
      </c>
      <c r="R77" s="2">
        <f>R11/'Output-Calculation-sheet'!R10*'Output-Calculation-sheet'!R64</f>
        <v>555.46109450661163</v>
      </c>
      <c r="S77" s="2">
        <f>S11/'Output-Calculation-sheet'!S10*'Output-Calculation-sheet'!S64</f>
        <v>600.42483211746162</v>
      </c>
      <c r="T77" s="2">
        <f>T11/'Output-Calculation-sheet'!T10*'Output-Calculation-sheet'!T64</f>
        <v>153.67565213056545</v>
      </c>
      <c r="U77" s="2">
        <f>U11/'Output-Calculation-sheet'!U10*'Output-Calculation-sheet'!U64</f>
        <v>167.25360985727124</v>
      </c>
      <c r="V77" s="2">
        <f>V11/'Output-Calculation-sheet'!V10*'Output-Calculation-sheet'!V64</f>
        <v>80.177869973423341</v>
      </c>
      <c r="W77" s="2">
        <f>W11/'Output-Calculation-sheet'!W10*'Output-Calculation-sheet'!W64</f>
        <v>17.426751275789744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50.986369804800312</v>
      </c>
      <c r="AA77" s="2">
        <f t="shared" si="6"/>
        <v>23.118234102618441</v>
      </c>
    </row>
    <row r="78" spans="1:27" x14ac:dyDescent="0.25">
      <c r="A78" s="2">
        <v>2035</v>
      </c>
      <c r="B78" s="2">
        <f>B12/'Output-Calculation-sheet'!B11*'Output-Calculation-sheet'!B65</f>
        <v>9173.9953922729401</v>
      </c>
      <c r="C78" s="2">
        <f>C12/'Output-Calculation-sheet'!C11*'Output-Calculation-sheet'!C65</f>
        <v>3877.6762476414247</v>
      </c>
      <c r="D78" s="2">
        <f>D12/'Output-Calculation-sheet'!D11*'Output-Calculation-sheet'!D65</f>
        <v>989.13684301507737</v>
      </c>
      <c r="E78" s="2">
        <f>E12/'Output-Calculation-sheet'!E11*'Output-Calculation-sheet'!E65</f>
        <v>1898.7109272432847</v>
      </c>
      <c r="F78" s="2">
        <f>F12/'Output-Calculation-sheet'!F11*'Output-Calculation-sheet'!F65</f>
        <v>413.71887697907914</v>
      </c>
      <c r="G78" s="2">
        <f>G12/'Output-Calculation-sheet'!G11*'Output-Calculation-sheet'!G65</f>
        <v>760.89365473092562</v>
      </c>
      <c r="H78" s="2">
        <f>H12/'Output-Calculation-sheet'!H11*'Output-Calculation-sheet'!H65</f>
        <v>2924.6684478380771</v>
      </c>
      <c r="I78" s="2">
        <f>I12/'Output-Calculation-sheet'!I11*'Output-Calculation-sheet'!I65</f>
        <v>484.61940299383895</v>
      </c>
      <c r="J78" s="2">
        <f>J12/'Output-Calculation-sheet'!J11*'Output-Calculation-sheet'!J65</f>
        <v>207.57938239612608</v>
      </c>
      <c r="K78" s="2">
        <f>K12/'Output-Calculation-sheet'!K11*'Output-Calculation-sheet'!K65</f>
        <v>618.23468044434242</v>
      </c>
      <c r="L78" s="2">
        <f>L12/'Output-Calculation-sheet'!L11*'Output-Calculation-sheet'!L65</f>
        <v>178.97922120312487</v>
      </c>
      <c r="M78" s="2">
        <f>M12/'Output-Calculation-sheet'!M11*'Output-Calculation-sheet'!M65</f>
        <v>2057.4013520468211</v>
      </c>
      <c r="N78" s="2">
        <f>N12/'Output-Calculation-sheet'!N11*'Output-Calculation-sheet'!N65</f>
        <v>1444.4539854975635</v>
      </c>
      <c r="O78" s="2">
        <f>O12/'Output-Calculation-sheet'!O11*'Output-Calculation-sheet'!O65</f>
        <v>0</v>
      </c>
      <c r="P78" s="2">
        <f>P12/'Output-Calculation-sheet'!P11*'Output-Calculation-sheet'!P65</f>
        <v>816.37281462807721</v>
      </c>
      <c r="Q78" s="2">
        <f>Q12/'Output-Calculation-sheet'!Q11*'Output-Calculation-sheet'!Q65</f>
        <v>323.283648227372</v>
      </c>
      <c r="R78" s="2">
        <f>R12/'Output-Calculation-sheet'!R11*'Output-Calculation-sheet'!R65</f>
        <v>642.31924016895198</v>
      </c>
      <c r="S78" s="2">
        <f>S12/'Output-Calculation-sheet'!S11*'Output-Calculation-sheet'!S65</f>
        <v>669.01804607677013</v>
      </c>
      <c r="T78" s="2">
        <f>T12/'Output-Calculation-sheet'!T11*'Output-Calculation-sheet'!T65</f>
        <v>229.27034701546444</v>
      </c>
      <c r="U78" s="2">
        <f>U12/'Output-Calculation-sheet'!U11*'Output-Calculation-sheet'!U65</f>
        <v>170.52250828704624</v>
      </c>
      <c r="V78" s="2">
        <f>V12/'Output-Calculation-sheet'!V11*'Output-Calculation-sheet'!V65</f>
        <v>87.771289851916194</v>
      </c>
      <c r="W78" s="2">
        <f>W12/'Output-Calculation-sheet'!W11*'Output-Calculation-sheet'!W65</f>
        <v>87.554901351226405</v>
      </c>
      <c r="X78" s="2">
        <f>X12/'Output-Calculation-sheet'!X11*'Output-Calculation-sheet'!X65</f>
        <v>45.703500963917897</v>
      </c>
      <c r="Y78" s="2">
        <f>Y12/'Output-Calculation-sheet'!Y11*'Output-Calculation-sheet'!Y65</f>
        <v>79.277093708820914</v>
      </c>
      <c r="AA78" s="2">
        <f t="shared" si="6"/>
        <v>28.181161804582185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285.92123784144752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165.97042459793525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0.45189166243938278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905.25277140674393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226.20863226094522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1.1314614036676891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1541.221487558196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279.99128592104285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1.8212127734792389</v>
      </c>
    </row>
    <row r="88" spans="1:27" x14ac:dyDescent="0.25">
      <c r="A88" s="2">
        <v>2034</v>
      </c>
      <c r="B88" s="2">
        <f>B11/'Output-Calculation-sheet'!B10*'Output-Calculation-sheet'!B73</f>
        <v>79.845197752608655</v>
      </c>
      <c r="C88" s="2">
        <f>C11/'Output-Calculation-sheet'!C10*'Output-Calculation-sheet'!C73</f>
        <v>1732.8980534582968</v>
      </c>
      <c r="D88" s="2">
        <f>D11/'Output-Calculation-sheet'!D10*'Output-Calculation-sheet'!D73</f>
        <v>6.1035723255396261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28.633943734984665</v>
      </c>
      <c r="I88" s="2">
        <f>I11/'Output-Calculation-sheet'!I10*'Output-Calculation-sheet'!I73</f>
        <v>0</v>
      </c>
      <c r="J88" s="2">
        <f>J11/'Output-Calculation-sheet'!J10*'Output-Calculation-sheet'!J73</f>
        <v>1.9489649500413664</v>
      </c>
      <c r="K88" s="2">
        <f>K11/'Output-Calculation-sheet'!K10*'Output-Calculation-sheet'!K73</f>
        <v>0</v>
      </c>
      <c r="L88" s="2">
        <f>L11/'Output-Calculation-sheet'!L10*'Output-Calculation-sheet'!L73</f>
        <v>4.6171059847555611</v>
      </c>
      <c r="M88" s="2">
        <f>M11/'Output-Calculation-sheet'!M10*'Output-Calculation-sheet'!M73</f>
        <v>13.865031803589016</v>
      </c>
      <c r="N88" s="2">
        <f>N11/'Output-Calculation-sheet'!N10*'Output-Calculation-sheet'!N73</f>
        <v>7.1721461590921685</v>
      </c>
      <c r="O88" s="2">
        <f>O11/'Output-Calculation-sheet'!O10*'Output-Calculation-sheet'!O73</f>
        <v>327.28386042992298</v>
      </c>
      <c r="P88" s="2">
        <f>P11/'Output-Calculation-sheet'!P10*'Output-Calculation-sheet'!P73</f>
        <v>0</v>
      </c>
      <c r="Q88" s="2">
        <f>Q11/'Output-Calculation-sheet'!Q10*'Output-Calculation-sheet'!Q73</f>
        <v>21.993643472312037</v>
      </c>
      <c r="R88" s="2">
        <f>R11/'Output-Calculation-sheet'!R10*'Output-Calculation-sheet'!R73</f>
        <v>0</v>
      </c>
      <c r="S88" s="2">
        <f>S11/'Output-Calculation-sheet'!S10*'Output-Calculation-sheet'!S73</f>
        <v>10.278304432660061</v>
      </c>
      <c r="T88" s="2">
        <f>T11/'Output-Calculation-sheet'!T10*'Output-Calculation-sheet'!T73</f>
        <v>0</v>
      </c>
      <c r="U88" s="2">
        <f>U11/'Output-Calculation-sheet'!U10*'Output-Calculation-sheet'!U73</f>
        <v>2.0049413377887171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2.236644765841592</v>
      </c>
    </row>
    <row r="89" spans="1:27" x14ac:dyDescent="0.25">
      <c r="A89" s="2">
        <v>2035</v>
      </c>
      <c r="B89" s="2">
        <f>B12/'Output-Calculation-sheet'!B11*'Output-Calculation-sheet'!B74</f>
        <v>449.97319272758807</v>
      </c>
      <c r="C89" s="2">
        <f>C12/'Output-Calculation-sheet'!C11*'Output-Calculation-sheet'!C74</f>
        <v>1842.8825042334611</v>
      </c>
      <c r="D89" s="2">
        <f>D12/'Output-Calculation-sheet'!D11*'Output-Calculation-sheet'!D74</f>
        <v>85.437979055049979</v>
      </c>
      <c r="E89" s="2">
        <f>E12/'Output-Calculation-sheet'!E11*'Output-Calculation-sheet'!E74</f>
        <v>113.97581201330627</v>
      </c>
      <c r="F89" s="2">
        <f>F12/'Output-Calculation-sheet'!F11*'Output-Calculation-sheet'!F74</f>
        <v>36.604056784786238</v>
      </c>
      <c r="G89" s="2">
        <f>G12/'Output-Calculation-sheet'!G11*'Output-Calculation-sheet'!G74</f>
        <v>35.026896670296082</v>
      </c>
      <c r="H89" s="2">
        <f>H12/'Output-Calculation-sheet'!H11*'Output-Calculation-sheet'!H74</f>
        <v>136.78735426769524</v>
      </c>
      <c r="I89" s="2">
        <f>I12/'Output-Calculation-sheet'!I11*'Output-Calculation-sheet'!I74</f>
        <v>29.535496006661713</v>
      </c>
      <c r="J89" s="2">
        <f>J12/'Output-Calculation-sheet'!J11*'Output-Calculation-sheet'!J74</f>
        <v>23.384285843399404</v>
      </c>
      <c r="K89" s="2">
        <f>K12/'Output-Calculation-sheet'!K11*'Output-Calculation-sheet'!K74</f>
        <v>30.963937285233943</v>
      </c>
      <c r="L89" s="2">
        <f>L12/'Output-Calculation-sheet'!L11*'Output-Calculation-sheet'!L74</f>
        <v>32.315190463939935</v>
      </c>
      <c r="M89" s="2">
        <f>M12/'Output-Calculation-sheet'!M11*'Output-Calculation-sheet'!M74</f>
        <v>86.097018560598102</v>
      </c>
      <c r="N89" s="2">
        <f>N12/'Output-Calculation-sheet'!N11*'Output-Calculation-sheet'!N74</f>
        <v>52.34929383099913</v>
      </c>
      <c r="O89" s="2">
        <f>O12/'Output-Calculation-sheet'!O11*'Output-Calculation-sheet'!O74</f>
        <v>373.41242541923697</v>
      </c>
      <c r="P89" s="2">
        <f>P12/'Output-Calculation-sheet'!P11*'Output-Calculation-sheet'!P74</f>
        <v>30.474402815007526</v>
      </c>
      <c r="Q89" s="2">
        <f>Q12/'Output-Calculation-sheet'!Q11*'Output-Calculation-sheet'!Q74</f>
        <v>51.520708278224468</v>
      </c>
      <c r="R89" s="2">
        <f>R12/'Output-Calculation-sheet'!R11*'Output-Calculation-sheet'!R74</f>
        <v>21.184692059634902</v>
      </c>
      <c r="S89" s="2">
        <f>S12/'Output-Calculation-sheet'!S11*'Output-Calculation-sheet'!S74</f>
        <v>32.88594236767581</v>
      </c>
      <c r="T89" s="2">
        <f>T12/'Output-Calculation-sheet'!T11*'Output-Calculation-sheet'!T74</f>
        <v>5.3018639522899047</v>
      </c>
      <c r="U89" s="2">
        <f>U12/'Output-Calculation-sheet'!U11*'Output-Calculation-sheet'!U74</f>
        <v>10.223760858279745</v>
      </c>
      <c r="V89" s="2">
        <f>V12/'Output-Calculation-sheet'!V11*'Output-Calculation-sheet'!V74</f>
        <v>3.8644180190059561</v>
      </c>
      <c r="W89" s="2">
        <f>W12/'Output-Calculation-sheet'!W11*'Output-Calculation-sheet'!W74</f>
        <v>2.9447631062629558</v>
      </c>
      <c r="X89" s="2">
        <f>X12/'Output-Calculation-sheet'!X11*'Output-Calculation-sheet'!X74</f>
        <v>2.081106543130117</v>
      </c>
      <c r="Y89" s="2">
        <f>Y12/'Output-Calculation-sheet'!Y11*'Output-Calculation-sheet'!Y74</f>
        <v>3.8621300422580123</v>
      </c>
      <c r="AA89" s="2">
        <f t="shared" si="7"/>
        <v>3.4930892312040216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9089905072.9253044</v>
      </c>
      <c r="C96" s="2">
        <f>C8/'Output-Calculation-sheet'!C7*'Output-Calculation-sheet'!C79</f>
        <v>3075162144.1711578</v>
      </c>
      <c r="D96" s="2">
        <f>D8/'Output-Calculation-sheet'!D7*'Output-Calculation-sheet'!D79</f>
        <v>3210250431.7778268</v>
      </c>
      <c r="E96" s="2">
        <f>E8/'Output-Calculation-sheet'!E7*'Output-Calculation-sheet'!E79</f>
        <v>5707560782.4656067</v>
      </c>
      <c r="F96" s="2">
        <f>F8/'Output-Calculation-sheet'!F7*'Output-Calculation-sheet'!F79</f>
        <v>2362302629.6985497</v>
      </c>
      <c r="G96" s="2">
        <f>G8/'Output-Calculation-sheet'!G7*'Output-Calculation-sheet'!G79</f>
        <v>1840043517.8442879</v>
      </c>
      <c r="H96" s="2">
        <f>H8/'Output-Calculation-sheet'!H7*'Output-Calculation-sheet'!H79</f>
        <v>1574975583.2443051</v>
      </c>
      <c r="I96" s="2">
        <f>I8/'Output-Calculation-sheet'!I7*'Output-Calculation-sheet'!I79</f>
        <v>1281782754.1748447</v>
      </c>
      <c r="J96" s="2">
        <f>J8/'Output-Calculation-sheet'!J7*'Output-Calculation-sheet'!J79</f>
        <v>866772167.32333136</v>
      </c>
      <c r="K96" s="2">
        <f>K8/'Output-Calculation-sheet'!K7*'Output-Calculation-sheet'!K79</f>
        <v>1240094243.9155931</v>
      </c>
      <c r="L96" s="2">
        <f>L8/'Output-Calculation-sheet'!L7*'Output-Calculation-sheet'!L79</f>
        <v>875011526.27864909</v>
      </c>
      <c r="M96" s="2">
        <f>M8/'Output-Calculation-sheet'!M7*'Output-Calculation-sheet'!M79</f>
        <v>1175687434.1046607</v>
      </c>
      <c r="N96" s="2">
        <f>N8/'Output-Calculation-sheet'!N7*'Output-Calculation-sheet'!N79</f>
        <v>874803813.20127475</v>
      </c>
      <c r="O96" s="2">
        <f>O8/'Output-Calculation-sheet'!O7*'Output-Calculation-sheet'!O79</f>
        <v>442242517.98267591</v>
      </c>
      <c r="P96" s="2">
        <f>P8/'Output-Calculation-sheet'!P7*'Output-Calculation-sheet'!P79</f>
        <v>1479218066.7069111</v>
      </c>
      <c r="Q96" s="2">
        <f>Q8/'Output-Calculation-sheet'!Q7*'Output-Calculation-sheet'!Q79</f>
        <v>689377731.19132364</v>
      </c>
      <c r="R96" s="2">
        <f>R8/'Output-Calculation-sheet'!R7*'Output-Calculation-sheet'!R79</f>
        <v>860082132.96050966</v>
      </c>
      <c r="S96" s="2">
        <f>S8/'Output-Calculation-sheet'!S7*'Output-Calculation-sheet'!S79</f>
        <v>501154900.29641318</v>
      </c>
      <c r="T96" s="2">
        <f>T8/'Output-Calculation-sheet'!T7*'Output-Calculation-sheet'!T79</f>
        <v>382765188.80143815</v>
      </c>
      <c r="U96" s="2">
        <f>U8/'Output-Calculation-sheet'!U7*'Output-Calculation-sheet'!U79</f>
        <v>240443720.04684007</v>
      </c>
      <c r="V96" s="2">
        <f>V8/'Output-Calculation-sheet'!V7*'Output-Calculation-sheet'!V79</f>
        <v>124754179.94884066</v>
      </c>
      <c r="W96" s="2">
        <f>W8/'Output-Calculation-sheet'!W7*'Output-Calculation-sheet'!W79</f>
        <v>368641520.85965693</v>
      </c>
      <c r="X96" s="2">
        <f>X8/'Output-Calculation-sheet'!X7*'Output-Calculation-sheet'!X79</f>
        <v>129566344.25087766</v>
      </c>
      <c r="Y96" s="2">
        <f>Y8/'Output-Calculation-sheet'!Y7*'Output-Calculation-sheet'!Y79</f>
        <v>202639995.41486821</v>
      </c>
      <c r="AA96" s="2">
        <f t="shared" si="8"/>
        <v>38.595238399585739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795.75669808884788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24.65449669953011</v>
      </c>
      <c r="Y107" s="2">
        <f>Y8/'Output-Calculation-sheet'!Y7*'Output-Calculation-sheet'!Y88</f>
        <v>0</v>
      </c>
      <c r="AA107" s="2">
        <f t="shared" si="9"/>
        <v>0.82041119478837798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532.09514044518539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30.91052653589426</v>
      </c>
      <c r="Y108" s="2">
        <f>Y9/'Output-Calculation-sheet'!Y8*'Output-Calculation-sheet'!Y89</f>
        <v>0</v>
      </c>
      <c r="AA108" s="2">
        <f t="shared" si="9"/>
        <v>0.56300566698107968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3.0845752059500808E-2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4.9313161088812944E-2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73.959324840470302</v>
      </c>
      <c r="Y111" s="2">
        <f>Y12/'Output-Calculation-sheet'!Y11*'Output-Calculation-sheet'!Y92</f>
        <v>0</v>
      </c>
      <c r="AA111" s="2">
        <f t="shared" si="9"/>
        <v>7.3959324840470297E-2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8897386644.8391266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5465020886.1439228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3770400773.1009607</v>
      </c>
      <c r="N118" s="2">
        <f>N8/'Output-Calculation-sheet'!N7*'Output-Calculation-sheet'!N97</f>
        <v>1263447495.0259113</v>
      </c>
      <c r="O118" s="2">
        <f>O8/'Output-Calculation-sheet'!O7*'Output-Calculation-sheet'!O97</f>
        <v>2162968065.9664416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378244373.85816288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205299835.09953296</v>
      </c>
      <c r="Y118" s="2">
        <f>Y8/'Output-Calculation-sheet'!Y7*'Output-Calculation-sheet'!Y97</f>
        <v>0</v>
      </c>
      <c r="AA118" s="2">
        <f t="shared" si="10"/>
        <v>23206.331626291845</v>
      </c>
    </row>
    <row r="119" spans="1:27" x14ac:dyDescent="0.25">
      <c r="A119" s="2">
        <v>2032</v>
      </c>
      <c r="B119" s="2">
        <f>B9/'Output-Calculation-sheet'!B8*'Output-Calculation-sheet'!B98</f>
        <v>4380944997.8595943</v>
      </c>
      <c r="C119" s="2">
        <f>C9/'Output-Calculation-sheet'!C8*'Output-Calculation-sheet'!C98</f>
        <v>11298211068.173597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6851793973.8101196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4727139108.2147551</v>
      </c>
      <c r="N119" s="2">
        <f>N9/'Output-Calculation-sheet'!N8*'Output-Calculation-sheet'!N98</f>
        <v>2216586642.3245449</v>
      </c>
      <c r="O119" s="2">
        <f>O9/'Output-Calculation-sheet'!O8*'Output-Calculation-sheet'!O98</f>
        <v>2386186928.9882894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666708865.28385544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260016218.02374798</v>
      </c>
      <c r="Y119" s="2">
        <f>Y9/'Output-Calculation-sheet'!Y8*'Output-Calculation-sheet'!Y98</f>
        <v>0</v>
      </c>
      <c r="AA119" s="2">
        <f t="shared" si="10"/>
        <v>32787.587802678507</v>
      </c>
    </row>
    <row r="120" spans="1:27" x14ac:dyDescent="0.25">
      <c r="A120" s="2">
        <v>2033</v>
      </c>
      <c r="B120" s="2">
        <f>B10/'Output-Calculation-sheet'!B9*'Output-Calculation-sheet'!B99</f>
        <v>11246566951.033478</v>
      </c>
      <c r="C120" s="2">
        <f>C10/'Output-Calculation-sheet'!C9*'Output-Calculation-sheet'!C99</f>
        <v>15582380209.084108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3320972488.1955843</v>
      </c>
      <c r="O120" s="2">
        <f>O10/'Output-Calculation-sheet'!O9*'Output-Calculation-sheet'!O99</f>
        <v>2580845131.7304778</v>
      </c>
      <c r="P120" s="2">
        <f>P10/'Output-Calculation-sheet'!P9*'Output-Calculation-sheet'!P99</f>
        <v>0</v>
      </c>
      <c r="Q120" s="2">
        <f>Q10/'Output-Calculation-sheet'!Q9*'Output-Calculation-sheet'!Q99</f>
        <v>108046226.07685922</v>
      </c>
      <c r="R120" s="2">
        <f>R10/'Output-Calculation-sheet'!R9*'Output-Calculation-sheet'!R99</f>
        <v>0</v>
      </c>
      <c r="S120" s="2">
        <f>S10/'Output-Calculation-sheet'!S9*'Output-Calculation-sheet'!S99</f>
        <v>1337690419.2093124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364092200.91090798</v>
      </c>
      <c r="Y120" s="2">
        <f>Y10/'Output-Calculation-sheet'!Y9*'Output-Calculation-sheet'!Y99</f>
        <v>0</v>
      </c>
      <c r="AA120" s="2">
        <f t="shared" si="10"/>
        <v>48406.612314383841</v>
      </c>
    </row>
    <row r="121" spans="1:27" x14ac:dyDescent="0.25">
      <c r="A121" s="2">
        <v>2034</v>
      </c>
      <c r="B121" s="2">
        <f>B11/'Output-Calculation-sheet'!B10*'Output-Calculation-sheet'!B100</f>
        <v>22202902554.476261</v>
      </c>
      <c r="C121" s="2">
        <f>C11/'Output-Calculation-sheet'!C10*'Output-Calculation-sheet'!C100</f>
        <v>18073323983.36237</v>
      </c>
      <c r="D121" s="2">
        <f>D11/'Output-Calculation-sheet'!D10*'Output-Calculation-sheet'!D100</f>
        <v>0</v>
      </c>
      <c r="E121" s="2">
        <f>E11/'Output-Calculation-sheet'!E10*'Output-Calculation-sheet'!E100</f>
        <v>533060643.01431918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9282655810.6179218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380210674.86091357</v>
      </c>
      <c r="M121" s="2">
        <f>M11/'Output-Calculation-sheet'!M10*'Output-Calculation-sheet'!M100</f>
        <v>6466752266.8476381</v>
      </c>
      <c r="N121" s="2">
        <f>N11/'Output-Calculation-sheet'!N10*'Output-Calculation-sheet'!N100</f>
        <v>4335925263.7668657</v>
      </c>
      <c r="O121" s="2">
        <f>O11/'Output-Calculation-sheet'!O10*'Output-Calculation-sheet'!O100</f>
        <v>2768439962.7127209</v>
      </c>
      <c r="P121" s="2">
        <f>P11/'Output-Calculation-sheet'!P10*'Output-Calculation-sheet'!P100</f>
        <v>0</v>
      </c>
      <c r="Q121" s="2">
        <f>Q11/'Output-Calculation-sheet'!Q10*'Output-Calculation-sheet'!Q100</f>
        <v>346847738.10899222</v>
      </c>
      <c r="R121" s="2">
        <f>R11/'Output-Calculation-sheet'!R10*'Output-Calculation-sheet'!R100</f>
        <v>0</v>
      </c>
      <c r="S121" s="2">
        <f>S11/'Output-Calculation-sheet'!S10*'Output-Calculation-sheet'!S100</f>
        <v>1819910295.6853294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28516121.302908674</v>
      </c>
      <c r="AA121" s="2">
        <f t="shared" si="10"/>
        <v>66554.688388074137</v>
      </c>
    </row>
    <row r="122" spans="1:27" x14ac:dyDescent="0.25">
      <c r="A122" s="2">
        <v>2035</v>
      </c>
      <c r="B122" s="2">
        <f>B12/'Output-Calculation-sheet'!B11*'Output-Calculation-sheet'!B101</f>
        <v>26630284461.475555</v>
      </c>
      <c r="C122" s="2">
        <f>C12/'Output-Calculation-sheet'!C11*'Output-Calculation-sheet'!C101</f>
        <v>21323214967.80135</v>
      </c>
      <c r="D122" s="2">
        <f>D12/'Output-Calculation-sheet'!D11*'Output-Calculation-sheet'!D101</f>
        <v>0</v>
      </c>
      <c r="E122" s="2">
        <f>E12/'Output-Calculation-sheet'!E11*'Output-Calculation-sheet'!E101</f>
        <v>1704819155.8738911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9815162820.706337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460761911.47895539</v>
      </c>
      <c r="M122" s="2">
        <f>M12/'Output-Calculation-sheet'!M11*'Output-Calculation-sheet'!M101</f>
        <v>6871144030.6299019</v>
      </c>
      <c r="N122" s="2">
        <f>N12/'Output-Calculation-sheet'!N11*'Output-Calculation-sheet'!N101</f>
        <v>4600824538.2658634</v>
      </c>
      <c r="O122" s="2">
        <f>O12/'Output-Calculation-sheet'!O11*'Output-Calculation-sheet'!O101</f>
        <v>2947767206.903688</v>
      </c>
      <c r="P122" s="2">
        <f>P12/'Output-Calculation-sheet'!P11*'Output-Calculation-sheet'!P101</f>
        <v>233566489.21520293</v>
      </c>
      <c r="Q122" s="2">
        <f>Q12/'Output-Calculation-sheet'!Q11*'Output-Calculation-sheet'!Q101</f>
        <v>550568069.58847582</v>
      </c>
      <c r="R122" s="2">
        <f>R12/'Output-Calculation-sheet'!R11*'Output-Calculation-sheet'!R101</f>
        <v>0</v>
      </c>
      <c r="S122" s="2">
        <f>S12/'Output-Calculation-sheet'!S11*'Output-Calculation-sheet'!S101</f>
        <v>2161542840.7652206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195675402.37733442</v>
      </c>
      <c r="Y122" s="2">
        <f>Y12/'Output-Calculation-sheet'!Y11*'Output-Calculation-sheet'!Y101</f>
        <v>192189246.22786433</v>
      </c>
      <c r="AA122" s="2">
        <f t="shared" si="10"/>
        <v>77687.521141309626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2437825897.4739637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1741460925.2722526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114750.05590466905</v>
      </c>
    </row>
    <row r="130" spans="1:27" x14ac:dyDescent="0.25">
      <c r="A130" s="2">
        <v>2032</v>
      </c>
      <c r="B130" s="2">
        <f>B9/'Output-Calculation-sheet'!B8*'Output-Calculation-sheet'!B107</f>
        <v>42229841809.492737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2423490936.1525106</v>
      </c>
      <c r="O130" s="2">
        <f>O9/'Output-Calculation-sheet'!O8*'Output-Calculation-sheet'!O107</f>
        <v>0</v>
      </c>
      <c r="P130" s="2">
        <f>P9/'Output-Calculation-sheet'!P8*'Output-Calculation-sheet'!P107</f>
        <v>4224452986.8347864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1990725057.8521867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139994.56960713334</v>
      </c>
    </row>
    <row r="131" spans="1:27" x14ac:dyDescent="0.25">
      <c r="A131" s="2">
        <v>2033</v>
      </c>
      <c r="B131" s="2">
        <f>B10/'Output-Calculation-sheet'!B9*'Output-Calculation-sheet'!B108</f>
        <v>44565781216.155197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2235124369.2261</v>
      </c>
      <c r="O131" s="2">
        <f>O10/'Output-Calculation-sheet'!O9*'Output-Calculation-sheet'!O108</f>
        <v>0</v>
      </c>
      <c r="P131" s="2">
        <f>P10/'Output-Calculation-sheet'!P9*'Output-Calculation-sheet'!P108</f>
        <v>5058456347.6155167</v>
      </c>
      <c r="Q131" s="2">
        <f>Q10/'Output-Calculation-sheet'!Q9*'Output-Calculation-sheet'!Q108</f>
        <v>4868890846.7125664</v>
      </c>
      <c r="R131" s="2">
        <f>R10/'Output-Calculation-sheet'!R9*'Output-Calculation-sheet'!R108</f>
        <v>4787872346.5791445</v>
      </c>
      <c r="S131" s="2">
        <f>S10/'Output-Calculation-sheet'!S9*'Output-Calculation-sheet'!S108</f>
        <v>1844335108.1219616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160322.83541128671</v>
      </c>
    </row>
    <row r="132" spans="1:27" x14ac:dyDescent="0.25">
      <c r="A132" s="2">
        <v>2034</v>
      </c>
      <c r="B132" s="2">
        <f>B11/'Output-Calculation-sheet'!B10*'Output-Calculation-sheet'!B109</f>
        <v>41571169932.956779</v>
      </c>
      <c r="C132" s="2">
        <f>C11/'Output-Calculation-sheet'!C10*'Output-Calculation-sheet'!C109</f>
        <v>0</v>
      </c>
      <c r="D132" s="2">
        <f>D11/'Output-Calculation-sheet'!D10*'Output-Calculation-sheet'!D109</f>
        <v>27150349875.672802</v>
      </c>
      <c r="E132" s="2">
        <f>E11/'Output-Calculation-sheet'!E10*'Output-Calculation-sheet'!E109</f>
        <v>21152682132.266109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8629276192.1021538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6416509923.2174149</v>
      </c>
      <c r="M132" s="2">
        <f>M11/'Output-Calculation-sheet'!M10*'Output-Calculation-sheet'!M109</f>
        <v>0</v>
      </c>
      <c r="N132" s="2">
        <f>N11/'Output-Calculation-sheet'!N10*'Output-Calculation-sheet'!N109</f>
        <v>2033430383.0896459</v>
      </c>
      <c r="O132" s="2">
        <f>O11/'Output-Calculation-sheet'!O10*'Output-Calculation-sheet'!O109</f>
        <v>0</v>
      </c>
      <c r="P132" s="2">
        <f>P11/'Output-Calculation-sheet'!P10*'Output-Calculation-sheet'!P109</f>
        <v>5896495791.2070732</v>
      </c>
      <c r="Q132" s="2">
        <f>Q11/'Output-Calculation-sheet'!Q10*'Output-Calculation-sheet'!Q109</f>
        <v>5000093975.637887</v>
      </c>
      <c r="R132" s="2">
        <f>R11/'Output-Calculation-sheet'!R10*'Output-Calculation-sheet'!R109</f>
        <v>5581077467.9939728</v>
      </c>
      <c r="S132" s="2">
        <f>S11/'Output-Calculation-sheet'!S10*'Output-Calculation-sheet'!S109</f>
        <v>1738090469.9474051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1744682108.1658354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666602665.73529577</v>
      </c>
      <c r="AA132" s="2">
        <f t="shared" si="11"/>
        <v>173511.45127279399</v>
      </c>
    </row>
    <row r="133" spans="1:27" x14ac:dyDescent="0.25">
      <c r="A133" s="2">
        <v>2035</v>
      </c>
      <c r="B133" s="2">
        <f>B12/'Output-Calculation-sheet'!B11*'Output-Calculation-sheet'!B110</f>
        <v>40746386232.900581</v>
      </c>
      <c r="C133" s="2">
        <f>C12/'Output-Calculation-sheet'!C11*'Output-Calculation-sheet'!C110</f>
        <v>0</v>
      </c>
      <c r="D133" s="2">
        <f>D12/'Output-Calculation-sheet'!D11*'Output-Calculation-sheet'!D110</f>
        <v>28008732945.92931</v>
      </c>
      <c r="E133" s="2">
        <f>E12/'Output-Calculation-sheet'!E11*'Output-Calculation-sheet'!E110</f>
        <v>22051237427.615849</v>
      </c>
      <c r="F133" s="2">
        <f>F12/'Output-Calculation-sheet'!F11*'Output-Calculation-sheet'!F110</f>
        <v>15153731770.362045</v>
      </c>
      <c r="G133" s="2">
        <f>G12/'Output-Calculation-sheet'!G11*'Output-Calculation-sheet'!G110</f>
        <v>10446345041.612637</v>
      </c>
      <c r="H133" s="2">
        <f>H12/'Output-Calculation-sheet'!H11*'Output-Calculation-sheet'!H110</f>
        <v>0</v>
      </c>
      <c r="I133" s="2">
        <f>I12/'Output-Calculation-sheet'!I11*'Output-Calculation-sheet'!I110</f>
        <v>9479610408.5786533</v>
      </c>
      <c r="J133" s="2">
        <f>J12/'Output-Calculation-sheet'!J11*'Output-Calculation-sheet'!J110</f>
        <v>8877537201.6948891</v>
      </c>
      <c r="K133" s="2">
        <f>K12/'Output-Calculation-sheet'!K11*'Output-Calculation-sheet'!K110</f>
        <v>9090605585.2678165</v>
      </c>
      <c r="L133" s="2">
        <f>L12/'Output-Calculation-sheet'!L11*'Output-Calculation-sheet'!L110</f>
        <v>6662104282.5016375</v>
      </c>
      <c r="M133" s="2">
        <f>M12/'Output-Calculation-sheet'!M11*'Output-Calculation-sheet'!M110</f>
        <v>0</v>
      </c>
      <c r="N133" s="2">
        <f>N12/'Output-Calculation-sheet'!N11*'Output-Calculation-sheet'!N110</f>
        <v>2079970109.9242084</v>
      </c>
      <c r="O133" s="2">
        <f>O12/'Output-Calculation-sheet'!O11*'Output-Calculation-sheet'!O110</f>
        <v>0</v>
      </c>
      <c r="P133" s="2">
        <f>P12/'Output-Calculation-sheet'!P11*'Output-Calculation-sheet'!P110</f>
        <v>6212907925.1040297</v>
      </c>
      <c r="Q133" s="2">
        <f>Q12/'Output-Calculation-sheet'!Q11*'Output-Calculation-sheet'!Q110</f>
        <v>5053137873.6005259</v>
      </c>
      <c r="R133" s="2">
        <f>R12/'Output-Calculation-sheet'!R11*'Output-Calculation-sheet'!R110</f>
        <v>5956023210.8362036</v>
      </c>
      <c r="S133" s="2">
        <f>S12/'Output-Calculation-sheet'!S11*'Output-Calculation-sheet'!S110</f>
        <v>1606148603.0887275</v>
      </c>
      <c r="T133" s="2">
        <f>T12/'Output-Calculation-sheet'!T11*'Output-Calculation-sheet'!T110</f>
        <v>2241413238.2801919</v>
      </c>
      <c r="U133" s="2">
        <f>U12/'Output-Calculation-sheet'!U11*'Output-Calculation-sheet'!U110</f>
        <v>1817225180.2775218</v>
      </c>
      <c r="V133" s="2">
        <f>V12/'Output-Calculation-sheet'!V11*'Output-Calculation-sheet'!V110</f>
        <v>1433134725.4437139</v>
      </c>
      <c r="W133" s="2">
        <f>W12/'Output-Calculation-sheet'!W11*'Output-Calculation-sheet'!W110</f>
        <v>1337387321.2555661</v>
      </c>
      <c r="X133" s="2">
        <f>X12/'Output-Calculation-sheet'!X11*'Output-Calculation-sheet'!X110</f>
        <v>0</v>
      </c>
      <c r="Y133" s="2">
        <f>Y12/'Output-Calculation-sheet'!Y11*'Output-Calculation-sheet'!Y110</f>
        <v>572748478.28480399</v>
      </c>
      <c r="AA133" s="2">
        <f t="shared" si="11"/>
        <v>178826.3875625589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6669019862.1286106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203113349.45879379</v>
      </c>
      <c r="Y140" s="2">
        <f>Y8/'Output-Calculation-sheet'!Y7*'Output-Calculation-sheet'!Y115</f>
        <v>0</v>
      </c>
      <c r="AA140" s="2">
        <f t="shared" si="12"/>
        <v>6872.1332115874038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4507903119.5251112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252000034.61738479</v>
      </c>
      <c r="Y141" s="2">
        <f>Y9/'Output-Calculation-sheet'!Y8*'Output-Calculation-sheet'!Y116</f>
        <v>0</v>
      </c>
      <c r="AA141" s="2">
        <f t="shared" si="12"/>
        <v>4759.9031541424965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249008222.23480433</v>
      </c>
      <c r="Y142" s="2">
        <f>Y10/'Output-Calculation-sheet'!Y9*'Output-Calculation-sheet'!Y117</f>
        <v>0</v>
      </c>
      <c r="AA142" s="2">
        <f t="shared" si="12"/>
        <v>249.00822223480432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398.58259052961949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604077673.5505805</v>
      </c>
      <c r="Y144" s="2">
        <f>Y12/'Output-Calculation-sheet'!Y11*'Output-Calculation-sheet'!Y119</f>
        <v>0</v>
      </c>
      <c r="AA144" s="2">
        <f t="shared" si="12"/>
        <v>604.07767355058047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20016753349.798912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4883620851.0629358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152001.25054839096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21066216712.161079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4800696252.7232208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121478.39536431548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22518363060.209515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4711574128.7403278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90837.349441756596</v>
      </c>
    </row>
    <row r="154" spans="1:27" x14ac:dyDescent="0.25">
      <c r="A154" s="2">
        <v>2034</v>
      </c>
      <c r="B154" s="2">
        <f>B11/'Output-Calculation-sheet'!B10*'Output-Calculation-sheet'!B127</f>
        <v>11137265477.757347</v>
      </c>
      <c r="C154" s="2">
        <f>C11/'Output-Calculation-sheet'!C10*'Output-Calculation-sheet'!C127</f>
        <v>20553531738.53054</v>
      </c>
      <c r="D154" s="2">
        <f>D11/'Output-Calculation-sheet'!D10*'Output-Calculation-sheet'!D127</f>
        <v>4133888500.3647332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1796030184.2510049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1326004614.7874691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1143777197.1795561</v>
      </c>
      <c r="M154" s="2">
        <f>M11/'Output-Calculation-sheet'!M10*'Output-Calculation-sheet'!M127</f>
        <v>1154145680.009197</v>
      </c>
      <c r="N154" s="2">
        <f>N11/'Output-Calculation-sheet'!N10*'Output-Calculation-sheet'!N127</f>
        <v>1072481138.1829202</v>
      </c>
      <c r="O154" s="2">
        <f>O11/'Output-Calculation-sheet'!O10*'Output-Calculation-sheet'!O127</f>
        <v>4639363170.551487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1426794261.3691123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739922391.00970125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315169961.49983782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60938.747680591558</v>
      </c>
    </row>
    <row r="155" spans="1:27" x14ac:dyDescent="0.25">
      <c r="A155" s="2">
        <v>2035</v>
      </c>
      <c r="B155" s="2">
        <f>B12/'Output-Calculation-sheet'!B11*'Output-Calculation-sheet'!B128</f>
        <v>9989767760.1594944</v>
      </c>
      <c r="C155" s="2">
        <f>C12/'Output-Calculation-sheet'!C11*'Output-Calculation-sheet'!C128</f>
        <v>17647311964.212219</v>
      </c>
      <c r="D155" s="2">
        <f>D12/'Output-Calculation-sheet'!D11*'Output-Calculation-sheet'!D128</f>
        <v>4115596272.7840743</v>
      </c>
      <c r="E155" s="2">
        <f>E12/'Output-Calculation-sheet'!E11*'Output-Calculation-sheet'!E128</f>
        <v>2243164018.7770729</v>
      </c>
      <c r="F155" s="2">
        <f>F12/'Output-Calculation-sheet'!F11*'Output-Calculation-sheet'!F128</f>
        <v>1221887187.8274031</v>
      </c>
      <c r="G155" s="2">
        <f>G12/'Output-Calculation-sheet'!G11*'Output-Calculation-sheet'!G128</f>
        <v>1152785520.5834076</v>
      </c>
      <c r="H155" s="2">
        <f>H12/'Output-Calculation-sheet'!H11*'Output-Calculation-sheet'!H128</f>
        <v>1683784467.5417383</v>
      </c>
      <c r="I155" s="2">
        <f>I12/'Output-Calculation-sheet'!I11*'Output-Calculation-sheet'!I128</f>
        <v>1053299781.1722379</v>
      </c>
      <c r="J155" s="2">
        <f>J12/'Output-Calculation-sheet'!J11*'Output-Calculation-sheet'!J128</f>
        <v>1310325790.7467206</v>
      </c>
      <c r="K155" s="2">
        <f>K12/'Output-Calculation-sheet'!K11*'Output-Calculation-sheet'!K128</f>
        <v>1050429317.0716377</v>
      </c>
      <c r="L155" s="2">
        <f>L12/'Output-Calculation-sheet'!L11*'Output-Calculation-sheet'!L128</f>
        <v>1075241798.1297958</v>
      </c>
      <c r="M155" s="2">
        <f>M12/'Output-Calculation-sheet'!M11*'Output-Calculation-sheet'!M128</f>
        <v>1063051562.339713</v>
      </c>
      <c r="N155" s="2">
        <f>N12/'Output-Calculation-sheet'!N11*'Output-Calculation-sheet'!N128</f>
        <v>974813411.15377378</v>
      </c>
      <c r="O155" s="2">
        <f>O12/'Output-Calculation-sheet'!O11*'Output-Calculation-sheet'!O128</f>
        <v>4581506795.9234009</v>
      </c>
      <c r="P155" s="2">
        <f>P12/'Output-Calculation-sheet'!P11*'Output-Calculation-sheet'!P128</f>
        <v>563763864.82430255</v>
      </c>
      <c r="Q155" s="2">
        <f>Q12/'Output-Calculation-sheet'!Q11*'Output-Calculation-sheet'!Q128</f>
        <v>1339587422.7368326</v>
      </c>
      <c r="R155" s="2">
        <f>R12/'Output-Calculation-sheet'!R11*'Output-Calculation-sheet'!R128</f>
        <v>618733948.6514535</v>
      </c>
      <c r="S155" s="2">
        <f>S12/'Output-Calculation-sheet'!S11*'Output-Calculation-sheet'!S128</f>
        <v>649882538.3615787</v>
      </c>
      <c r="T155" s="2">
        <f>T12/'Output-Calculation-sheet'!T11*'Output-Calculation-sheet'!T128</f>
        <v>160319929.03808784</v>
      </c>
      <c r="U155" s="2">
        <f>U12/'Output-Calculation-sheet'!U11*'Output-Calculation-sheet'!U128</f>
        <v>312047824.72332174</v>
      </c>
      <c r="V155" s="2">
        <f>V12/'Output-Calculation-sheet'!V11*'Output-Calculation-sheet'!V128</f>
        <v>173352691.30082208</v>
      </c>
      <c r="W155" s="2">
        <f>W12/'Output-Calculation-sheet'!W11*'Output-Calculation-sheet'!W128</f>
        <v>62042665.089093506</v>
      </c>
      <c r="X155" s="2">
        <f>X12/'Output-Calculation-sheet'!X11*'Output-Calculation-sheet'!X128</f>
        <v>27941240.609790482</v>
      </c>
      <c r="Y155" s="2">
        <f>Y12/'Output-Calculation-sheet'!Y11*'Output-Calculation-sheet'!Y128</f>
        <v>68819071.219453067</v>
      </c>
      <c r="AA155" s="2">
        <f t="shared" si="13"/>
        <v>53139.456844977416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7339.1002915141571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4705.9132721413553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3266.3809772673144</v>
      </c>
      <c r="N19" s="2">
        <f>N8/'Output-Calculation-sheet'!N7*'Output-Calculation-sheet'!N25</f>
        <v>1116.5674018521584</v>
      </c>
      <c r="O19" s="2">
        <f>O8/'Output-Calculation-sheet'!O7*'Output-Calculation-sheet'!O25</f>
        <v>1745.1453830980222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172.44390305509523</v>
      </c>
      <c r="Y19" s="2">
        <f>Y8/'Output-Calculation-sheet'!Y7*'Output-Calculation-sheet'!Y25</f>
        <v>0</v>
      </c>
      <c r="AA19" s="2">
        <f t="shared" si="0"/>
        <v>19.791790464110065</v>
      </c>
    </row>
    <row r="20" spans="1:27" x14ac:dyDescent="0.25">
      <c r="A20" s="2">
        <v>2032</v>
      </c>
      <c r="B20" s="2">
        <f>B9/'Output-Calculation-sheet'!B8*'Output-Calculation-sheet'!B26</f>
        <v>5708.1202200295884</v>
      </c>
      <c r="C20" s="2">
        <f>C9/'Output-Calculation-sheet'!C8*'Output-Calculation-sheet'!C26</f>
        <v>9650.4046992560397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6205.1236547076924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4315.3025105761053</v>
      </c>
      <c r="N20" s="2">
        <f>N9/'Output-Calculation-sheet'!N8*'Output-Calculation-sheet'!N26</f>
        <v>1943.1234586678452</v>
      </c>
      <c r="O20" s="2">
        <f>O9/'Output-Calculation-sheet'!O8*'Output-Calculation-sheet'!O26</f>
        <v>2023.4096408380155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706.65966975509741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230.60663221837063</v>
      </c>
      <c r="Y20" s="2">
        <f>Y9/'Output-Calculation-sheet'!Y8*'Output-Calculation-sheet'!Y26</f>
        <v>0</v>
      </c>
      <c r="AA20" s="2">
        <f t="shared" si="0"/>
        <v>30.782750486048755</v>
      </c>
    </row>
    <row r="21" spans="1:27" x14ac:dyDescent="0.25">
      <c r="A21" s="2">
        <v>2033</v>
      </c>
      <c r="B21" s="2">
        <f>B10/'Output-Calculation-sheet'!B9*'Output-Calculation-sheet'!B27</f>
        <v>13026.420181132598</v>
      </c>
      <c r="C21" s="2">
        <f>C10/'Output-Calculation-sheet'!C9*'Output-Calculation-sheet'!C27</f>
        <v>13375.571774941654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7522.5128799904069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5225.8215320146373</v>
      </c>
      <c r="N21" s="2">
        <f>N10/'Output-Calculation-sheet'!N9*'Output-Calculation-sheet'!N27</f>
        <v>2854.8116048202701</v>
      </c>
      <c r="O21" s="2">
        <f>O10/'Output-Calculation-sheet'!O9*'Output-Calculation-sheet'!O27</f>
        <v>2207.49649009631</v>
      </c>
      <c r="P21" s="2">
        <f>P10/'Output-Calculation-sheet'!P9*'Output-Calculation-sheet'!P27</f>
        <v>0</v>
      </c>
      <c r="Q21" s="2">
        <f>Q10/'Output-Calculation-sheet'!Q9*'Output-Calculation-sheet'!Q27</f>
        <v>192.76701052686786</v>
      </c>
      <c r="R21" s="2">
        <f>R10/'Output-Calculation-sheet'!R9*'Output-Calculation-sheet'!R27</f>
        <v>0</v>
      </c>
      <c r="S21" s="2">
        <f>S10/'Output-Calculation-sheet'!S9*'Output-Calculation-sheet'!S27</f>
        <v>1242.7067872771424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331.28393387609572</v>
      </c>
      <c r="Y21" s="2">
        <f>Y10/'Output-Calculation-sheet'!Y9*'Output-Calculation-sheet'!Y27</f>
        <v>0</v>
      </c>
      <c r="AA21" s="2">
        <f t="shared" si="0"/>
        <v>45.979392194675995</v>
      </c>
    </row>
    <row r="22" spans="1:27" x14ac:dyDescent="0.25">
      <c r="A22" s="2">
        <v>2034</v>
      </c>
      <c r="B22" s="2">
        <f>B11/'Output-Calculation-sheet'!B10*'Output-Calculation-sheet'!B28</f>
        <v>21241.645857085241</v>
      </c>
      <c r="C22" s="2">
        <f>C11/'Output-Calculation-sheet'!C10*'Output-Calculation-sheet'!C28</f>
        <v>14937.348916543218</v>
      </c>
      <c r="D22" s="2">
        <f>D11/'Output-Calculation-sheet'!D10*'Output-Calculation-sheet'!D28</f>
        <v>0</v>
      </c>
      <c r="E22" s="2">
        <f>E11/'Output-Calculation-sheet'!E10*'Output-Calculation-sheet'!E28</f>
        <v>1216.7456493166546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8542.8433391514427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610.10912261369651</v>
      </c>
      <c r="M22" s="2">
        <f>M11/'Output-Calculation-sheet'!M10*'Output-Calculation-sheet'!M28</f>
        <v>6070.0496690256086</v>
      </c>
      <c r="N22" s="2">
        <f>N11/'Output-Calculation-sheet'!N10*'Output-Calculation-sheet'!N28</f>
        <v>3579.5417278729019</v>
      </c>
      <c r="O22" s="2">
        <f>O11/'Output-Calculation-sheet'!O10*'Output-Calculation-sheet'!O28</f>
        <v>2282.3425090673509</v>
      </c>
      <c r="P22" s="2">
        <f>P11/'Output-Calculation-sheet'!P10*'Output-Calculation-sheet'!P28</f>
        <v>0</v>
      </c>
      <c r="Q22" s="2">
        <f>Q11/'Output-Calculation-sheet'!Q10*'Output-Calculation-sheet'!Q28</f>
        <v>536.0676654676156</v>
      </c>
      <c r="R22" s="2">
        <f>R11/'Output-Calculation-sheet'!R10*'Output-Calculation-sheet'!R28</f>
        <v>0</v>
      </c>
      <c r="S22" s="2">
        <f>S11/'Output-Calculation-sheet'!S10*'Output-Calculation-sheet'!S28</f>
        <v>1572.9082503388922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65.951097996909908</v>
      </c>
      <c r="AA22" s="2">
        <f t="shared" si="0"/>
        <v>60.925382098669736</v>
      </c>
    </row>
    <row r="23" spans="1:27" x14ac:dyDescent="0.25">
      <c r="A23" s="2">
        <v>2035</v>
      </c>
      <c r="B23" s="2">
        <f>B12/'Output-Calculation-sheet'!B11*'Output-Calculation-sheet'!B29</f>
        <v>22172.828541862677</v>
      </c>
      <c r="C23" s="2">
        <f>C12/'Output-Calculation-sheet'!C11*'Output-Calculation-sheet'!C29</f>
        <v>16146.395758937584</v>
      </c>
      <c r="D23" s="2">
        <f>D12/'Output-Calculation-sheet'!D11*'Output-Calculation-sheet'!D29</f>
        <v>0</v>
      </c>
      <c r="E23" s="2">
        <f>E12/'Output-Calculation-sheet'!E11*'Output-Calculation-sheet'!E29</f>
        <v>2948.8748970544675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8014.9644515541395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643.46531866387238</v>
      </c>
      <c r="M23" s="2">
        <f>M12/'Output-Calculation-sheet'!M11*'Output-Calculation-sheet'!M29</f>
        <v>5727.8640928462291</v>
      </c>
      <c r="N23" s="2">
        <f>N12/'Output-Calculation-sheet'!N11*'Output-Calculation-sheet'!N29</f>
        <v>3426.0898192955192</v>
      </c>
      <c r="O23" s="2">
        <f>O12/'Output-Calculation-sheet'!O11*'Output-Calculation-sheet'!O29</f>
        <v>2225.8437201209922</v>
      </c>
      <c r="P23" s="2">
        <f>P12/'Output-Calculation-sheet'!P11*'Output-Calculation-sheet'!P29</f>
        <v>466.26040241824012</v>
      </c>
      <c r="Q23" s="2">
        <f>Q12/'Output-Calculation-sheet'!Q11*'Output-Calculation-sheet'!Q29</f>
        <v>694.6790233438511</v>
      </c>
      <c r="R23" s="2">
        <f>R12/'Output-Calculation-sheet'!R11*'Output-Calculation-sheet'!R29</f>
        <v>0</v>
      </c>
      <c r="S23" s="2">
        <f>S12/'Output-Calculation-sheet'!S11*'Output-Calculation-sheet'!S29</f>
        <v>1640.4974301069142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144.59658951378981</v>
      </c>
      <c r="Y23" s="2">
        <f>Y12/'Output-Calculation-sheet'!Y11*'Output-Calculation-sheet'!Y29</f>
        <v>152.57140202320087</v>
      </c>
      <c r="AA23" s="2">
        <f t="shared" si="0"/>
        <v>64.404931447741475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1520.5573086624051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39.089231920786929</v>
      </c>
    </row>
    <row r="31" spans="1:27" x14ac:dyDescent="0.25">
      <c r="A31" s="2">
        <v>2032</v>
      </c>
      <c r="B31" s="2">
        <f>B9/'Output-Calculation-sheet'!B8*'Output-Calculation-sheet'!B17</f>
        <v>24169.827868126005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1655.5263218132395</v>
      </c>
      <c r="O31" s="2">
        <f>O9/'Output-Calculation-sheet'!O8*'Output-Calculation-sheet'!O17</f>
        <v>0</v>
      </c>
      <c r="P31" s="2">
        <f>P9/'Output-Calculation-sheet'!P8*'Output-Calculation-sheet'!P17</f>
        <v>2050.0234388748217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1230.9818749492363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52.634859817681885</v>
      </c>
    </row>
    <row r="32" spans="1:27" x14ac:dyDescent="0.25">
      <c r="A32" s="2">
        <v>2033</v>
      </c>
      <c r="B32" s="2">
        <f>B10/'Output-Calculation-sheet'!B9*'Output-Calculation-sheet'!B18</f>
        <v>26382.954001924638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2516.4009828199196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1612.236916273308</v>
      </c>
      <c r="O32" s="2">
        <f>O10/'Output-Calculation-sheet'!O9*'Output-Calculation-sheet'!O18</f>
        <v>0</v>
      </c>
      <c r="P32" s="2">
        <f>P10/'Output-Calculation-sheet'!P9*'Output-Calculation-sheet'!P18</f>
        <v>2589.8764550447913</v>
      </c>
      <c r="Q32" s="2">
        <f>Q10/'Output-Calculation-sheet'!Q9*'Output-Calculation-sheet'!Q18</f>
        <v>2821.6287548635187</v>
      </c>
      <c r="R32" s="2">
        <f>R10/'Output-Calculation-sheet'!R9*'Output-Calculation-sheet'!R18</f>
        <v>1859.7748271240823</v>
      </c>
      <c r="S32" s="2">
        <f>S10/'Output-Calculation-sheet'!S9*'Output-Calculation-sheet'!S18</f>
        <v>1218.042029779104</v>
      </c>
      <c r="T32" s="2">
        <f>T10/'Output-Calculation-sheet'!T9*'Output-Calculation-sheet'!T18</f>
        <v>542.9818249206794</v>
      </c>
      <c r="U32" s="2">
        <f>U10/'Output-Calculation-sheet'!U9*'Output-Calculation-sheet'!U18</f>
        <v>600.33317375492891</v>
      </c>
      <c r="V32" s="2">
        <f>V10/'Output-Calculation-sheet'!V9*'Output-Calculation-sheet'!V18</f>
        <v>443.01831679939249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256.52545163073898</v>
      </c>
      <c r="AA32" s="2">
        <f t="shared" si="1"/>
        <v>63.418798451711893</v>
      </c>
    </row>
    <row r="33" spans="1:27" x14ac:dyDescent="0.25">
      <c r="A33" s="2">
        <v>2034</v>
      </c>
      <c r="B33" s="2">
        <f>B11/'Output-Calculation-sheet'!B10*'Output-Calculation-sheet'!B19</f>
        <v>24134.127451574357</v>
      </c>
      <c r="C33" s="2">
        <f>C11/'Output-Calculation-sheet'!C10*'Output-Calculation-sheet'!C19</f>
        <v>0</v>
      </c>
      <c r="D33" s="2">
        <f>D11/'Output-Calculation-sheet'!D10*'Output-Calculation-sheet'!D19</f>
        <v>7054.1198323565422</v>
      </c>
      <c r="E33" s="2">
        <f>E11/'Output-Calculation-sheet'!E10*'Output-Calculation-sheet'!E19</f>
        <v>8874.75171609055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2663.6189605500945</v>
      </c>
      <c r="J33" s="2">
        <f>J11/'Output-Calculation-sheet'!J10*'Output-Calculation-sheet'!J19</f>
        <v>2204.8503781097793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2471.0045885797385</v>
      </c>
      <c r="M33" s="2">
        <f>M11/'Output-Calculation-sheet'!M10*'Output-Calculation-sheet'!M19</f>
        <v>0</v>
      </c>
      <c r="N33" s="2">
        <f>N11/'Output-Calculation-sheet'!N10*'Output-Calculation-sheet'!N19</f>
        <v>1466.6759267746647</v>
      </c>
      <c r="O33" s="2">
        <f>O11/'Output-Calculation-sheet'!O10*'Output-Calculation-sheet'!O19</f>
        <v>0</v>
      </c>
      <c r="P33" s="2">
        <f>P11/'Output-Calculation-sheet'!P10*'Output-Calculation-sheet'!P19</f>
        <v>3160.0009573758944</v>
      </c>
      <c r="Q33" s="2">
        <f>Q11/'Output-Calculation-sheet'!Q10*'Output-Calculation-sheet'!Q19</f>
        <v>2644.9236153492466</v>
      </c>
      <c r="R33" s="2">
        <f>R11/'Output-Calculation-sheet'!R10*'Output-Calculation-sheet'!R19</f>
        <v>2256.549574491733</v>
      </c>
      <c r="S33" s="2">
        <f>S11/'Output-Calculation-sheet'!S10*'Output-Calculation-sheet'!S19</f>
        <v>1131.4331408646299</v>
      </c>
      <c r="T33" s="2">
        <f>T11/'Output-Calculation-sheet'!T10*'Output-Calculation-sheet'!T19</f>
        <v>662.11459347353752</v>
      </c>
      <c r="U33" s="2">
        <f>U11/'Output-Calculation-sheet'!U10*'Output-Calculation-sheet'!U19</f>
        <v>713.73600040578378</v>
      </c>
      <c r="V33" s="2">
        <f>V11/'Output-Calculation-sheet'!V10*'Output-Calculation-sheet'!V19</f>
        <v>519.34996039323437</v>
      </c>
      <c r="W33" s="2">
        <f>W11/'Output-Calculation-sheet'!W10*'Output-Calculation-sheet'!W19</f>
        <v>323.37914902243546</v>
      </c>
      <c r="X33" s="2">
        <f>X11/'Output-Calculation-sheet'!X10*'Output-Calculation-sheet'!X19</f>
        <v>0</v>
      </c>
      <c r="Y33" s="2">
        <f>Y11/'Output-Calculation-sheet'!Y10*'Output-Calculation-sheet'!Y19</f>
        <v>291.47233735955689</v>
      </c>
      <c r="AA33" s="2">
        <f t="shared" si="1"/>
        <v>70.207509502468724</v>
      </c>
    </row>
    <row r="34" spans="1:27" x14ac:dyDescent="0.25">
      <c r="A34" s="2">
        <v>2035</v>
      </c>
      <c r="B34" s="2">
        <f>B12/'Output-Calculation-sheet'!B11*'Output-Calculation-sheet'!B20</f>
        <v>20662.576393875563</v>
      </c>
      <c r="C34" s="2">
        <f>C12/'Output-Calculation-sheet'!C11*'Output-Calculation-sheet'!C20</f>
        <v>0</v>
      </c>
      <c r="D34" s="2">
        <f>D12/'Output-Calculation-sheet'!D11*'Output-Calculation-sheet'!D20</f>
        <v>6443.2656812072055</v>
      </c>
      <c r="E34" s="2">
        <f>E12/'Output-Calculation-sheet'!E11*'Output-Calculation-sheet'!E20</f>
        <v>7541.8435485690779</v>
      </c>
      <c r="F34" s="2">
        <f>F12/'Output-Calculation-sheet'!F11*'Output-Calculation-sheet'!F20</f>
        <v>4381.0496452572934</v>
      </c>
      <c r="G34" s="2">
        <f>G12/'Output-Calculation-sheet'!G11*'Output-Calculation-sheet'!G20</f>
        <v>2325.7163353509563</v>
      </c>
      <c r="H34" s="2">
        <f>H12/'Output-Calculation-sheet'!H11*'Output-Calculation-sheet'!H20</f>
        <v>0</v>
      </c>
      <c r="I34" s="2">
        <f>I12/'Output-Calculation-sheet'!I11*'Output-Calculation-sheet'!I20</f>
        <v>2578.0457022286341</v>
      </c>
      <c r="J34" s="2">
        <f>J12/'Output-Calculation-sheet'!J11*'Output-Calculation-sheet'!J20</f>
        <v>2016.462185364684</v>
      </c>
      <c r="K34" s="2">
        <f>K12/'Output-Calculation-sheet'!K11*'Output-Calculation-sheet'!K20</f>
        <v>2976.9622672065216</v>
      </c>
      <c r="L34" s="2">
        <f>L12/'Output-Calculation-sheet'!L11*'Output-Calculation-sheet'!L20</f>
        <v>2260.3256605825991</v>
      </c>
      <c r="M34" s="2">
        <f>M12/'Output-Calculation-sheet'!M11*'Output-Calculation-sheet'!M20</f>
        <v>0</v>
      </c>
      <c r="N34" s="2">
        <f>N12/'Output-Calculation-sheet'!N11*'Output-Calculation-sheet'!N20</f>
        <v>1315.3469062270894</v>
      </c>
      <c r="O34" s="2">
        <f>O12/'Output-Calculation-sheet'!O11*'Output-Calculation-sheet'!O20</f>
        <v>0</v>
      </c>
      <c r="P34" s="2">
        <f>P12/'Output-Calculation-sheet'!P11*'Output-Calculation-sheet'!P20</f>
        <v>2840.5181591106048</v>
      </c>
      <c r="Q34" s="2">
        <f>Q12/'Output-Calculation-sheet'!Q11*'Output-Calculation-sheet'!Q20</f>
        <v>2330.924189244618</v>
      </c>
      <c r="R34" s="2">
        <f>R12/'Output-Calculation-sheet'!R11*'Output-Calculation-sheet'!R20</f>
        <v>2210.574779279003</v>
      </c>
      <c r="S34" s="2">
        <f>S12/'Output-Calculation-sheet'!S11*'Output-Calculation-sheet'!S20</f>
        <v>935.2130977316441</v>
      </c>
      <c r="T34" s="2">
        <f>T12/'Output-Calculation-sheet'!T11*'Output-Calculation-sheet'!T20</f>
        <v>684.74174804226959</v>
      </c>
      <c r="U34" s="2">
        <f>U12/'Output-Calculation-sheet'!U11*'Output-Calculation-sheet'!U20</f>
        <v>654.24323051244141</v>
      </c>
      <c r="V34" s="2">
        <f>V12/'Output-Calculation-sheet'!V11*'Output-Calculation-sheet'!V20</f>
        <v>487.05148194818292</v>
      </c>
      <c r="W34" s="2">
        <f>W12/'Output-Calculation-sheet'!W11*'Output-Calculation-sheet'!W20</f>
        <v>384.03079839735682</v>
      </c>
      <c r="X34" s="2">
        <f>X12/'Output-Calculation-sheet'!X11*'Output-Calculation-sheet'!X20</f>
        <v>0</v>
      </c>
      <c r="Y34" s="2">
        <f>Y12/'Output-Calculation-sheet'!Y11*'Output-Calculation-sheet'!Y20</f>
        <v>226.8042445194593</v>
      </c>
      <c r="AA34" s="2">
        <f t="shared" si="1"/>
        <v>63.255696054655189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0.59707970083784578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0.32865532915356704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0.92573502999141288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1.8371181568104422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0.45887274162991315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2.2959908984403552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3.1708630277822381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0.57494322405929832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3.7458062518415365</v>
      </c>
    </row>
    <row r="44" spans="1:27" x14ac:dyDescent="0.25">
      <c r="A44" s="2">
        <v>2034</v>
      </c>
      <c r="B44" s="2">
        <f>B11/'Output-Calculation-sheet'!B10*'Output-Calculation-sheet'!B37*0.0114</f>
        <v>0.21418413526969887</v>
      </c>
      <c r="C44" s="2">
        <f>C11/'Output-Calculation-sheet'!C10*'Output-Calculation-sheet'!C37*0.0114</f>
        <v>3.4055010572336224</v>
      </c>
      <c r="D44" s="2">
        <f>D11/'Output-Calculation-sheet'!D10*'Output-Calculation-sheet'!D37*0.0114</f>
        <v>4.5025162349697001E-2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6.2586199814678098E-2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1.437723002352123E-2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1.135323902471041E-2</v>
      </c>
      <c r="M44" s="2">
        <f>M11/'Output-Calculation-sheet'!M10*'Output-Calculation-sheet'!M37*0.0114</f>
        <v>3.229904724870919E-2</v>
      </c>
      <c r="N44" s="2">
        <f>N11/'Output-Calculation-sheet'!N10*'Output-Calculation-sheet'!N37*0.0114</f>
        <v>2.1163150233028834E-2</v>
      </c>
      <c r="O44" s="2">
        <f>O11/'Output-Calculation-sheet'!O10*'Output-Calculation-sheet'!O37*0.0114</f>
        <v>0.65171970688469472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4.6355399530700343E-2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2.4262896602957603E-2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5.9160638669141707E-3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4.5347432880829324</v>
      </c>
    </row>
    <row r="45" spans="1:27" x14ac:dyDescent="0.25">
      <c r="A45" s="2">
        <v>2035</v>
      </c>
      <c r="B45" s="2">
        <f>B12/'Output-Calculation-sheet'!B11*'Output-Calculation-sheet'!B38*0.0114</f>
        <v>0.88204213704633494</v>
      </c>
      <c r="C45" s="2">
        <f>C12/'Output-Calculation-sheet'!C11*'Output-Calculation-sheet'!C38*0.0114</f>
        <v>3.3491009077032246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0.22922646055748627</v>
      </c>
      <c r="F45" s="2">
        <f>F12/'Output-Calculation-sheet'!F11*'Output-Calculation-sheet'!F38*0.0114</f>
        <v>8.2381527740829144E-2</v>
      </c>
      <c r="G45" s="2">
        <f>G12/'Output-Calculation-sheet'!G11*'Output-Calculation-sheet'!G38*0.0114</f>
        <v>7.3904955313889631E-2</v>
      </c>
      <c r="H45" s="2">
        <f>H12/'Output-Calculation-sheet'!H11*'Output-Calculation-sheet'!H38*0.0114</f>
        <v>0.25773928290550385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5.2628953239635741E-2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6.2339103370993243E-2</v>
      </c>
      <c r="M45" s="2">
        <f>M12/'Output-Calculation-sheet'!M11*'Output-Calculation-sheet'!M38*0.0114</f>
        <v>0.15764418640272268</v>
      </c>
      <c r="N45" s="2">
        <f>N12/'Output-Calculation-sheet'!N11*'Output-Calculation-sheet'!N38*0.0114</f>
        <v>9.6836668311219065E-2</v>
      </c>
      <c r="O45" s="2">
        <f>O12/'Output-Calculation-sheet'!O11*'Output-Calculation-sheet'!O38*0.0114</f>
        <v>0.67774715175548217</v>
      </c>
      <c r="P45" s="2">
        <f>P12/'Output-Calculation-sheet'!P11*'Output-Calculation-sheet'!P38*0.0114</f>
        <v>6.2622050442515689E-2</v>
      </c>
      <c r="Q45" s="2">
        <f>Q12/'Output-Calculation-sheet'!Q11*'Output-Calculation-sheet'!Q38*0.0114</f>
        <v>9.3328122501554978E-2</v>
      </c>
      <c r="R45" s="2">
        <f>R12/'Output-Calculation-sheet'!R11*'Output-Calculation-sheet'!R38*0.0114</f>
        <v>4.2069283391812755E-2</v>
      </c>
      <c r="S45" s="2">
        <f>S12/'Output-Calculation-sheet'!S11*'Output-Calculation-sheet'!S38*0.0114</f>
        <v>6.106113336655937E-2</v>
      </c>
      <c r="T45" s="2">
        <f>T12/'Output-Calculation-sheet'!T11*'Output-Calculation-sheet'!T38*0.0114</f>
        <v>1.2451240055001157E-2</v>
      </c>
      <c r="U45" s="2">
        <f>U12/'Output-Calculation-sheet'!U11*'Output-Calculation-sheet'!U38*0.0114</f>
        <v>1.8949179855368585E-2</v>
      </c>
      <c r="V45" s="2">
        <f>V12/'Output-Calculation-sheet'!V11*'Output-Calculation-sheet'!V38*0.0114</f>
        <v>8.34941317085185E-3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4.3234737804527237E-3</v>
      </c>
      <c r="Y45" s="2">
        <f>Y12/'Output-Calculation-sheet'!Y11*'Output-Calculation-sheet'!Y38*0.0114</f>
        <v>7.3014110723283298E-3</v>
      </c>
      <c r="AA45" s="2">
        <f t="shared" si="2"/>
        <v>6.5207978894983931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6645.2709830961103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4544.8580530087056</v>
      </c>
      <c r="N52" s="2">
        <f>N8/'Output-Calculation-sheet'!N7*'Output-Calculation-sheet'!N43</f>
        <v>143.56461103305807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30.730239102893762</v>
      </c>
      <c r="Y52" s="2">
        <f>Y8/'Output-Calculation-sheet'!Y7*'Output-Calculation-sheet'!Y43</f>
        <v>0</v>
      </c>
      <c r="AA52" s="2">
        <f t="shared" si="3"/>
        <v>11.364423886240768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188.77655245420584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12428.726695737547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8500.4840276947707</v>
      </c>
      <c r="N53" s="2">
        <f>N9/'Output-Calculation-sheet'!N8*'Output-Calculation-sheet'!N44</f>
        <v>3016.5118741007618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940.68537819874018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259.44961969216513</v>
      </c>
      <c r="Y53" s="2">
        <f>Y9/'Output-Calculation-sheet'!Y8*'Output-Calculation-sheet'!Y44</f>
        <v>0</v>
      </c>
      <c r="AA53" s="2">
        <f t="shared" si="3"/>
        <v>25.468347460513705</v>
      </c>
    </row>
    <row r="54" spans="1:27" x14ac:dyDescent="0.25">
      <c r="A54" s="2">
        <v>2033</v>
      </c>
      <c r="B54" s="2">
        <f>B10/'Output-Calculation-sheet'!B9*'Output-Calculation-sheet'!B45</f>
        <v>24877.195106591844</v>
      </c>
      <c r="C54" s="2">
        <f>C10/'Output-Calculation-sheet'!C9*'Output-Calculation-sheet'!C45</f>
        <v>5345.036653556901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12426.412618461278</v>
      </c>
      <c r="N54" s="2">
        <f>N10/'Output-Calculation-sheet'!N9*'Output-Calculation-sheet'!N45</f>
        <v>6952.4710171905381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728.02893327616289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76.016434210380666</v>
      </c>
    </row>
    <row r="55" spans="1:27" x14ac:dyDescent="0.25">
      <c r="A55" s="2">
        <v>2034</v>
      </c>
      <c r="B55" s="2">
        <f>B11/'Output-Calculation-sheet'!B10*'Output-Calculation-sheet'!B46</f>
        <v>59887.011506330273</v>
      </c>
      <c r="C55" s="2">
        <f>C11/'Output-Calculation-sheet'!C10*'Output-Calculation-sheet'!C46</f>
        <v>12287.98234319961</v>
      </c>
      <c r="D55" s="2">
        <f>D11/'Output-Calculation-sheet'!D10*'Output-Calculation-sheet'!D46</f>
        <v>5185.7928215045758</v>
      </c>
      <c r="E55" s="2">
        <f>E11/'Output-Calculation-sheet'!E10*'Output-Calculation-sheet'!E46</f>
        <v>7765.5466462595441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20061.896550244513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744.08471174364263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624.42814635907246</v>
      </c>
      <c r="M55" s="2">
        <f>M11/'Output-Calculation-sheet'!M10*'Output-Calculation-sheet'!M46</f>
        <v>14029.308388291667</v>
      </c>
      <c r="N55" s="2">
        <f>N11/'Output-Calculation-sheet'!N10*'Output-Calculation-sheet'!N46</f>
        <v>10218.645654184844</v>
      </c>
      <c r="O55" s="2">
        <f>O11/'Output-Calculation-sheet'!O10*'Output-Calculation-sheet'!O46</f>
        <v>0</v>
      </c>
      <c r="P55" s="2">
        <f>P11/'Output-Calculation-sheet'!P10*'Output-Calculation-sheet'!P46</f>
        <v>4051.6944396476806</v>
      </c>
      <c r="Q55" s="2">
        <f>Q11/'Output-Calculation-sheet'!Q10*'Output-Calculation-sheet'!Q46</f>
        <v>1498.8245848259778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4297.0866878395964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996.64918038672499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66.876338550416733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154.72724113727642</v>
      </c>
    </row>
    <row r="56" spans="1:27" x14ac:dyDescent="0.25">
      <c r="A56" s="2">
        <v>2035</v>
      </c>
      <c r="B56" s="2">
        <f>B12/'Output-Calculation-sheet'!B11*'Output-Calculation-sheet'!B47</f>
        <v>62817.562333309645</v>
      </c>
      <c r="C56" s="2">
        <f>C12/'Output-Calculation-sheet'!C11*'Output-Calculation-sheet'!C47</f>
        <v>22645.601897847093</v>
      </c>
      <c r="D56" s="2">
        <f>D12/'Output-Calculation-sheet'!D11*'Output-Calculation-sheet'!D47</f>
        <v>4944.5418067996834</v>
      </c>
      <c r="E56" s="2">
        <f>E12/'Output-Calculation-sheet'!E11*'Output-Calculation-sheet'!E47</f>
        <v>13133.12503344395</v>
      </c>
      <c r="F56" s="2">
        <f>F12/'Output-Calculation-sheet'!F11*'Output-Calculation-sheet'!F47</f>
        <v>1544.6536451405464</v>
      </c>
      <c r="G56" s="2">
        <f>G12/'Output-Calculation-sheet'!G11*'Output-Calculation-sheet'!G47</f>
        <v>3992.1641651134419</v>
      </c>
      <c r="H56" s="2">
        <f>H12/'Output-Calculation-sheet'!H11*'Output-Calculation-sheet'!H47</f>
        <v>18649.672868328074</v>
      </c>
      <c r="I56" s="2">
        <f>I12/'Output-Calculation-sheet'!I11*'Output-Calculation-sheet'!I47</f>
        <v>2219.2632544958847</v>
      </c>
      <c r="J56" s="2">
        <f>J12/'Output-Calculation-sheet'!J11*'Output-Calculation-sheet'!J47</f>
        <v>796.35916086290922</v>
      </c>
      <c r="K56" s="2">
        <f>K12/'Output-Calculation-sheet'!K11*'Output-Calculation-sheet'!K47</f>
        <v>3318.1941176961814</v>
      </c>
      <c r="L56" s="2">
        <f>L12/'Output-Calculation-sheet'!L11*'Output-Calculation-sheet'!L47</f>
        <v>750.07429933227252</v>
      </c>
      <c r="M56" s="2">
        <f>M12/'Output-Calculation-sheet'!M11*'Output-Calculation-sheet'!M47</f>
        <v>13055.773463813206</v>
      </c>
      <c r="N56" s="2">
        <f>N12/'Output-Calculation-sheet'!N11*'Output-Calculation-sheet'!N47</f>
        <v>9737.1818320307375</v>
      </c>
      <c r="O56" s="2">
        <f>O12/'Output-Calculation-sheet'!O11*'Output-Calculation-sheet'!O47</f>
        <v>0</v>
      </c>
      <c r="P56" s="2">
        <f>P12/'Output-Calculation-sheet'!P11*'Output-Calculation-sheet'!P47</f>
        <v>5026.2435223598122</v>
      </c>
      <c r="Q56" s="2">
        <f>Q12/'Output-Calculation-sheet'!Q11*'Output-Calculation-sheet'!Q47</f>
        <v>1781.7187023024132</v>
      </c>
      <c r="R56" s="2">
        <f>R12/'Output-Calculation-sheet'!R11*'Output-Calculation-sheet'!R47</f>
        <v>3476.9893694531561</v>
      </c>
      <c r="S56" s="2">
        <f>S12/'Output-Calculation-sheet'!S11*'Output-Calculation-sheet'!S47</f>
        <v>4537.7089461161622</v>
      </c>
      <c r="T56" s="2">
        <f>T12/'Output-Calculation-sheet'!T11*'Output-Calculation-sheet'!T47</f>
        <v>1191.6055175444089</v>
      </c>
      <c r="U56" s="2">
        <f>U12/'Output-Calculation-sheet'!U11*'Output-Calculation-sheet'!U47</f>
        <v>929.41215481093536</v>
      </c>
      <c r="V56" s="2">
        <f>V12/'Output-Calculation-sheet'!V11*'Output-Calculation-sheet'!V47</f>
        <v>535.75401179632706</v>
      </c>
      <c r="W56" s="2">
        <f>W12/'Output-Calculation-sheet'!W11*'Output-Calculation-sheet'!W47</f>
        <v>461.86514313697739</v>
      </c>
      <c r="X56" s="2">
        <f>X12/'Output-Calculation-sheet'!X11*'Output-Calculation-sheet'!X47</f>
        <v>277.80215299838773</v>
      </c>
      <c r="Y56" s="2">
        <f>Y12/'Output-Calculation-sheet'!Y11*'Output-Calculation-sheet'!Y47</f>
        <v>595.00095492921218</v>
      </c>
      <c r="AA56" s="2">
        <f t="shared" si="3"/>
        <v>176.4182683536614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5.0938968162600178</v>
      </c>
      <c r="C63" s="2">
        <f>C8*'Output-Calculation-sheet'!C52/10^9</f>
        <v>3.1829031558057954</v>
      </c>
      <c r="D63" s="2">
        <f>D8*'Output-Calculation-sheet'!D52/10^9</f>
        <v>1.4548749242445957</v>
      </c>
      <c r="E63" s="2">
        <f>E8*'Output-Calculation-sheet'!E52/10^9</f>
        <v>1.3363955628436099</v>
      </c>
      <c r="F63" s="2">
        <f>F8*'Output-Calculation-sheet'!F52/10^9</f>
        <v>0.70430358224252076</v>
      </c>
      <c r="G63" s="2">
        <f>G8*'Output-Calculation-sheet'!G52/10^9</f>
        <v>0.52085458081570613</v>
      </c>
      <c r="H63" s="2">
        <f>H8*'Output-Calculation-sheet'!H52/10^9</f>
        <v>0.89866810521534934</v>
      </c>
      <c r="I63" s="2">
        <f>I8*'Output-Calculation-sheet'!I52/10^9</f>
        <v>0.48285533095501437</v>
      </c>
      <c r="J63" s="2">
        <f>J8*'Output-Calculation-sheet'!J52/10^9</f>
        <v>0.49088924896431918</v>
      </c>
      <c r="K63" s="2">
        <f>K8*'Output-Calculation-sheet'!K52/10^9</f>
        <v>0.49401440605828184</v>
      </c>
      <c r="L63" s="2">
        <f>L8*'Output-Calculation-sheet'!L52/10^9</f>
        <v>0.40271909812136414</v>
      </c>
      <c r="M63" s="2">
        <f>M8*'Output-Calculation-sheet'!M52/10^9</f>
        <v>0.62220696740050363</v>
      </c>
      <c r="N63" s="2">
        <f>N8*'Output-Calculation-sheet'!N52/10^9</f>
        <v>0.5582815983459215</v>
      </c>
      <c r="O63" s="2">
        <f>O8*'Output-Calculation-sheet'!O52/10^9</f>
        <v>0.60370233444115329</v>
      </c>
      <c r="P63" s="2">
        <f>P8*'Output-Calculation-sheet'!P52/10^9</f>
        <v>0.39769490067704111</v>
      </c>
      <c r="Q63" s="2">
        <f>Q8*'Output-Calculation-sheet'!Q52/10^9</f>
        <v>0.41013805441313972</v>
      </c>
      <c r="R63" s="2">
        <f>R8*'Output-Calculation-sheet'!R52/10^9</f>
        <v>0.33589908268706414</v>
      </c>
      <c r="S63" s="2">
        <f>S8*'Output-Calculation-sheet'!S52/10^9</f>
        <v>0.30886393325642597</v>
      </c>
      <c r="T63" s="2">
        <f>T8*'Output-Calculation-sheet'!T52/10^9</f>
        <v>0.11581192287462863</v>
      </c>
      <c r="U63" s="2">
        <f>U8*'Output-Calculation-sheet'!U52/10^9</f>
        <v>0.10520984527734367</v>
      </c>
      <c r="V63" s="2">
        <f>V8*'Output-Calculation-sheet'!V52/10^9</f>
        <v>8.1294957203561488E-2</v>
      </c>
      <c r="W63" s="2">
        <f>W8*'Output-Calculation-sheet'!W52/10^9</f>
        <v>6.3512153449033354E-2</v>
      </c>
      <c r="X63" s="2">
        <f>X8*'Output-Calculation-sheet'!X52/10^9</f>
        <v>7.4949707156644341E-2</v>
      </c>
      <c r="Y63" s="2">
        <f>Y8*'Output-Calculation-sheet'!Y52/10^9</f>
        <v>4.1285487772214878E-2</v>
      </c>
      <c r="AA63" s="2">
        <f t="shared" si="4"/>
        <v>18.781225756481245</v>
      </c>
    </row>
    <row r="64" spans="1:27" x14ac:dyDescent="0.25">
      <c r="A64" s="2">
        <v>2032</v>
      </c>
      <c r="B64" s="2">
        <f>B9*'Output-Calculation-sheet'!B53/10^9</f>
        <v>5.5617450762987319</v>
      </c>
      <c r="C64" s="2">
        <f>C9*'Output-Calculation-sheet'!C53/10^9</f>
        <v>3.682236255526361</v>
      </c>
      <c r="D64" s="2">
        <f>D9*'Output-Calculation-sheet'!D53/10^9</f>
        <v>1.3400447741815171</v>
      </c>
      <c r="E64" s="2">
        <f>E9*'Output-Calculation-sheet'!E53/10^9</f>
        <v>1.3082871013627841</v>
      </c>
      <c r="F64" s="2">
        <f>F9*'Output-Calculation-sheet'!F53/10^9</f>
        <v>0.65981183853120484</v>
      </c>
      <c r="G64" s="2">
        <f>G9*'Output-Calculation-sheet'!G53/10^9</f>
        <v>0.47926752120845312</v>
      </c>
      <c r="H64" s="2">
        <f>H9*'Output-Calculation-sheet'!H53/10^9</f>
        <v>1.0288773609007091</v>
      </c>
      <c r="I64" s="2">
        <f>I9*'Output-Calculation-sheet'!I53/10^9</f>
        <v>0.44751458131550637</v>
      </c>
      <c r="J64" s="2">
        <f>J9*'Output-Calculation-sheet'!J53/10^9</f>
        <v>0.44667940561660557</v>
      </c>
      <c r="K64" s="2">
        <f>K9*'Output-Calculation-sheet'!K53/10^9</f>
        <v>0.4817814368533333</v>
      </c>
      <c r="L64" s="2">
        <f>L9*'Output-Calculation-sheet'!L53/10^9</f>
        <v>0.39714167587185817</v>
      </c>
      <c r="M64" s="2">
        <f>M9*'Output-Calculation-sheet'!M53/10^9</f>
        <v>0.71285714104317055</v>
      </c>
      <c r="N64" s="2">
        <f>N9*'Output-Calculation-sheet'!N53/10^9</f>
        <v>0.63341992060924179</v>
      </c>
      <c r="O64" s="2">
        <f>O9*'Output-Calculation-sheet'!O53/10^9</f>
        <v>0.68151747753912784</v>
      </c>
      <c r="P64" s="2">
        <f>P9*'Output-Calculation-sheet'!P53/10^9</f>
        <v>0.43089513887477338</v>
      </c>
      <c r="Q64" s="2">
        <f>Q9*'Output-Calculation-sheet'!Q53/10^9</f>
        <v>0.44092524729227672</v>
      </c>
      <c r="R64" s="2">
        <f>R9*'Output-Calculation-sheet'!R53/10^9</f>
        <v>0.34473165219716434</v>
      </c>
      <c r="S64" s="2">
        <f>S9*'Output-Calculation-sheet'!S53/10^9</f>
        <v>0.34889722725881406</v>
      </c>
      <c r="T64" s="2">
        <f>T9*'Output-Calculation-sheet'!T53/10^9</f>
        <v>0.11046668168522235</v>
      </c>
      <c r="U64" s="2">
        <f>U9*'Output-Calculation-sheet'!U53/10^9</f>
        <v>0.10897007637208983</v>
      </c>
      <c r="V64" s="2">
        <f>V9*'Output-Calculation-sheet'!V53/10^9</f>
        <v>8.1076726853184664E-2</v>
      </c>
      <c r="W64" s="2">
        <f>W9*'Output-Calculation-sheet'!W53/10^9</f>
        <v>5.8533931028831719E-2</v>
      </c>
      <c r="X64" s="2">
        <f>X9*'Output-Calculation-sheet'!X53/10^9</f>
        <v>8.6212902893350263E-2</v>
      </c>
      <c r="Y64" s="2">
        <f>Y9*'Output-Calculation-sheet'!Y53/10^9</f>
        <v>4.2193283011111811E-2</v>
      </c>
      <c r="AA64" s="2">
        <f t="shared" si="4"/>
        <v>19.914084434325424</v>
      </c>
    </row>
    <row r="65" spans="1:27" x14ac:dyDescent="0.25">
      <c r="A65" s="2">
        <v>2033</v>
      </c>
      <c r="B65" s="2">
        <f>B10*'Output-Calculation-sheet'!B54/10^9</f>
        <v>6.0974492487630769</v>
      </c>
      <c r="C65" s="2">
        <f>C10*'Output-Calculation-sheet'!C54/10^9</f>
        <v>4.0273090127969233</v>
      </c>
      <c r="D65" s="2">
        <f>D10*'Output-Calculation-sheet'!D54/10^9</f>
        <v>1.1712920361828072</v>
      </c>
      <c r="E65" s="2">
        <f>E10*'Output-Calculation-sheet'!E54/10^9</f>
        <v>1.3291423214119167</v>
      </c>
      <c r="F65" s="2">
        <f>F10*'Output-Calculation-sheet'!F54/10^9</f>
        <v>0.60295627123652895</v>
      </c>
      <c r="G65" s="2">
        <f>G10*'Output-Calculation-sheet'!G54/10^9</f>
        <v>0.41614059905336392</v>
      </c>
      <c r="H65" s="2">
        <f>H10*'Output-Calculation-sheet'!H54/10^9</f>
        <v>1.1060911751975511</v>
      </c>
      <c r="I65" s="2">
        <f>I10*'Output-Calculation-sheet'!I54/10^9</f>
        <v>0.40934390815720884</v>
      </c>
      <c r="J65" s="2">
        <f>J10*'Output-Calculation-sheet'!J54/10^9</f>
        <v>0.3775210199656871</v>
      </c>
      <c r="K65" s="2">
        <f>K10*'Output-Calculation-sheet'!K54/10^9</f>
        <v>0.48151085614550942</v>
      </c>
      <c r="L65" s="2">
        <f>L10*'Output-Calculation-sheet'!L54/10^9</f>
        <v>0.40046150846321149</v>
      </c>
      <c r="M65" s="2">
        <f>M10*'Output-Calculation-sheet'!M54/10^9</f>
        <v>0.76645539673944107</v>
      </c>
      <c r="N65" s="2">
        <f>N10*'Output-Calculation-sheet'!N54/10^9</f>
        <v>0.6890570576475965</v>
      </c>
      <c r="O65" s="2">
        <f>O10*'Output-Calculation-sheet'!O54/10^9</f>
        <v>0.72948613158770903</v>
      </c>
      <c r="P65" s="2">
        <f>P10*'Output-Calculation-sheet'!P54/10^9</f>
        <v>0.46498724369929395</v>
      </c>
      <c r="Q65" s="2">
        <f>Q10*'Output-Calculation-sheet'!Q54/10^9</f>
        <v>0.4824454169334863</v>
      </c>
      <c r="R65" s="2">
        <f>R10*'Output-Calculation-sheet'!R54/10^9</f>
        <v>0.36049896665166659</v>
      </c>
      <c r="S65" s="2">
        <f>S10*'Output-Calculation-sheet'!S54/10^9</f>
        <v>0.38121666865066173</v>
      </c>
      <c r="T65" s="2">
        <f>T10*'Output-Calculation-sheet'!T54/10^9</f>
        <v>0.10820211191788617</v>
      </c>
      <c r="U65" s="2">
        <f>U10*'Output-Calculation-sheet'!U54/10^9</f>
        <v>0.11699461592197684</v>
      </c>
      <c r="V65" s="2">
        <f>V10*'Output-Calculation-sheet'!V54/10^9</f>
        <v>8.1646728379536515E-2</v>
      </c>
      <c r="W65" s="2">
        <f>W10*'Output-Calculation-sheet'!W54/10^9</f>
        <v>5.1070951369913173E-2</v>
      </c>
      <c r="X65" s="2">
        <f>X10*'Output-Calculation-sheet'!X54/10^9</f>
        <v>9.3951958313478898E-2</v>
      </c>
      <c r="Y65" s="2">
        <f>Y10*'Output-Calculation-sheet'!Y54/10^9</f>
        <v>4.5057001058837857E-2</v>
      </c>
      <c r="AA65" s="2">
        <f t="shared" si="4"/>
        <v>20.790288206245272</v>
      </c>
    </row>
    <row r="66" spans="1:27" x14ac:dyDescent="0.25">
      <c r="A66" s="2">
        <v>2034</v>
      </c>
      <c r="B66" s="2">
        <f>B11*'Output-Calculation-sheet'!B55/10^9</f>
        <v>6.5421251571673285</v>
      </c>
      <c r="C66" s="2">
        <f>C11*'Output-Calculation-sheet'!C55/10^9</f>
        <v>4.1676318945890323</v>
      </c>
      <c r="D66" s="2">
        <f>D11*'Output-Calculation-sheet'!D55/10^9</f>
        <v>1.2274583385613267</v>
      </c>
      <c r="E66" s="2">
        <f>E11*'Output-Calculation-sheet'!E55/10^9</f>
        <v>1.513506550890334</v>
      </c>
      <c r="F66" s="2">
        <f>F11*'Output-Calculation-sheet'!F55/10^9</f>
        <v>0.60615700838041675</v>
      </c>
      <c r="G66" s="2">
        <f>G11*'Output-Calculation-sheet'!G55/10^9</f>
        <v>0.43658954932038857</v>
      </c>
      <c r="H66" s="2">
        <f>H11*'Output-Calculation-sheet'!H55/10^9</f>
        <v>1.1500941366110586</v>
      </c>
      <c r="I66" s="2">
        <f>I11*'Output-Calculation-sheet'!I55/10^9</f>
        <v>0.42916001745678156</v>
      </c>
      <c r="J66" s="2">
        <f>J11*'Output-Calculation-sheet'!J55/10^9</f>
        <v>0.37863125895578809</v>
      </c>
      <c r="K66" s="2">
        <f>K11*'Output-Calculation-sheet'!K55/10^9</f>
        <v>0.50600793414606715</v>
      </c>
      <c r="L66" s="2">
        <f>L11*'Output-Calculation-sheet'!L55/10^9</f>
        <v>0.44321898694680767</v>
      </c>
      <c r="M66" s="2">
        <f>M11*'Output-Calculation-sheet'!M55/10^9</f>
        <v>0.7985942954435713</v>
      </c>
      <c r="N66" s="2">
        <f>N11*'Output-Calculation-sheet'!N55/10^9</f>
        <v>0.71492379781706838</v>
      </c>
      <c r="O66" s="2">
        <f>O11*'Output-Calculation-sheet'!O55/10^9</f>
        <v>0.74170062860809649</v>
      </c>
      <c r="P66" s="2">
        <f>P11*'Output-Calculation-sheet'!P55/10^9</f>
        <v>0.50250431756453928</v>
      </c>
      <c r="Q66" s="2">
        <f>Q11*'Output-Calculation-sheet'!Q55/10^9</f>
        <v>0.52165078922711738</v>
      </c>
      <c r="R66" s="2">
        <f>R11*'Output-Calculation-sheet'!R55/10^9</f>
        <v>0.38029099769186581</v>
      </c>
      <c r="S66" s="2">
        <f>S11*'Output-Calculation-sheet'!S55/10^9</f>
        <v>0.40271934538719423</v>
      </c>
      <c r="T66" s="2">
        <f>T11*'Output-Calculation-sheet'!T55/10^9</f>
        <v>0.1119589253484254</v>
      </c>
      <c r="U66" s="2">
        <f>U11*'Output-Calculation-sheet'!U55/10^9</f>
        <v>0.12930508378768865</v>
      </c>
      <c r="V66" s="2">
        <f>V11*'Output-Calculation-sheet'!V55/10^9</f>
        <v>8.3627563660275003E-2</v>
      </c>
      <c r="W66" s="2">
        <f>W11*'Output-Calculation-sheet'!W55/10^9</f>
        <v>5.0949367544030642E-2</v>
      </c>
      <c r="X66" s="2">
        <f>X11*'Output-Calculation-sheet'!X55/10^9</f>
        <v>9.7243138447403885E-2</v>
      </c>
      <c r="Y66" s="2">
        <f>Y11*'Output-Calculation-sheet'!Y55/10^9</f>
        <v>5.2829511426750166E-2</v>
      </c>
      <c r="AA66" s="2">
        <f t="shared" si="4"/>
        <v>21.988878594979354</v>
      </c>
    </row>
    <row r="67" spans="1:27" x14ac:dyDescent="0.25">
      <c r="A67" s="2">
        <v>2035</v>
      </c>
      <c r="B67" s="2">
        <f>B12*'Output-Calculation-sheet'!B56/10^9</f>
        <v>6.6662681503216064</v>
      </c>
      <c r="C67" s="2">
        <f>C12*'Output-Calculation-sheet'!C56/10^9</f>
        <v>4.0655629657049568</v>
      </c>
      <c r="D67" s="2">
        <f>D12*'Output-Calculation-sheet'!D56/10^9</f>
        <v>1.3559257344657645</v>
      </c>
      <c r="E67" s="2">
        <f>E12*'Output-Calculation-sheet'!E56/10^9</f>
        <v>1.8333062428609979</v>
      </c>
      <c r="F67" s="2">
        <f>F12*'Output-Calculation-sheet'!F56/10^9</f>
        <v>0.72698755587997088</v>
      </c>
      <c r="G67" s="2">
        <f>G12*'Output-Calculation-sheet'!G56/10^9</f>
        <v>0.52766920921928395</v>
      </c>
      <c r="H67" s="2">
        <f>H12*'Output-Calculation-sheet'!H56/10^9</f>
        <v>1.1502586860636581</v>
      </c>
      <c r="I67" s="2">
        <f>I12*'Output-Calculation-sheet'!I56/10^9</f>
        <v>0.4984532253900818</v>
      </c>
      <c r="J67" s="2">
        <f>J12*'Output-Calculation-sheet'!J56/10^9</f>
        <v>0.4116137681137918</v>
      </c>
      <c r="K67" s="2">
        <f>K12*'Output-Calculation-sheet'!K56/10^9</f>
        <v>0.55652147076378478</v>
      </c>
      <c r="L67" s="2">
        <f>L12*'Output-Calculation-sheet'!L56/10^9</f>
        <v>0.48021202969126231</v>
      </c>
      <c r="M67" s="2">
        <f>M12*'Output-Calculation-sheet'!M56/10^9</f>
        <v>0.80609785185692262</v>
      </c>
      <c r="N67" s="2">
        <f>N12*'Output-Calculation-sheet'!N56/10^9</f>
        <v>0.70562095901233302</v>
      </c>
      <c r="O67" s="2">
        <f>O12*'Output-Calculation-sheet'!O56/10^9</f>
        <v>0.7141302063465379</v>
      </c>
      <c r="P67" s="2">
        <f>P12*'Output-Calculation-sheet'!P56/10^9</f>
        <v>0.56226213075721876</v>
      </c>
      <c r="Q67" s="2">
        <f>Q12*'Output-Calculation-sheet'!Q56/10^9</f>
        <v>0.52707569551149613</v>
      </c>
      <c r="R67" s="2">
        <f>R12*'Output-Calculation-sheet'!R56/10^9</f>
        <v>0.41409875753568542</v>
      </c>
      <c r="S67" s="2">
        <f>S12*'Output-Calculation-sheet'!S56/10^9</f>
        <v>0.40160888257268929</v>
      </c>
      <c r="T67" s="2">
        <f>T12*'Output-Calculation-sheet'!T56/10^9</f>
        <v>0.12729608543580725</v>
      </c>
      <c r="U67" s="2">
        <f>U12*'Output-Calculation-sheet'!U56/10^9</f>
        <v>0.1372647235978201</v>
      </c>
      <c r="V67" s="2">
        <f>V12*'Output-Calculation-sheet'!V56/10^9</f>
        <v>8.6559224709972238E-2</v>
      </c>
      <c r="W67" s="2">
        <f>W12*'Output-Calculation-sheet'!W56/10^9</f>
        <v>6.7347251614962439E-2</v>
      </c>
      <c r="X67" s="2">
        <f>X12*'Output-Calculation-sheet'!X56/10^9</f>
        <v>9.8664915230241665E-2</v>
      </c>
      <c r="Y67" s="2">
        <f>Y12*'Output-Calculation-sheet'!Y56/10^9</f>
        <v>6.3237606781935005E-2</v>
      </c>
      <c r="AA67" s="2">
        <f t="shared" si="4"/>
        <v>22.98404332943878</v>
      </c>
    </row>
    <row r="68" spans="1:27" x14ac:dyDescent="0.25">
      <c r="B68" s="2">
        <f>SUM(B60:B67)</f>
        <v>29.961484448810758</v>
      </c>
      <c r="C68" s="2">
        <f t="shared" ref="C68:Y68" si="5">SUM(C60:C67)</f>
        <v>19.12564328442307</v>
      </c>
      <c r="D68" s="2">
        <f t="shared" si="5"/>
        <v>6.5495958076360115</v>
      </c>
      <c r="E68" s="2">
        <f t="shared" si="5"/>
        <v>7.3206377793696422</v>
      </c>
      <c r="F68" s="2">
        <f t="shared" si="5"/>
        <v>3.3002162562706423</v>
      </c>
      <c r="G68" s="2">
        <f t="shared" si="5"/>
        <v>2.3805214596171957</v>
      </c>
      <c r="H68" s="2">
        <f t="shared" si="5"/>
        <v>5.3339894639883267</v>
      </c>
      <c r="I68" s="2">
        <f t="shared" si="5"/>
        <v>2.267327063274593</v>
      </c>
      <c r="J68" s="2">
        <f t="shared" si="5"/>
        <v>2.1053347016161919</v>
      </c>
      <c r="K68" s="2">
        <f t="shared" si="5"/>
        <v>2.5198361039669765</v>
      </c>
      <c r="L68" s="2">
        <f t="shared" si="5"/>
        <v>2.1237532990945036</v>
      </c>
      <c r="M68" s="2">
        <f t="shared" si="5"/>
        <v>3.7062116524836091</v>
      </c>
      <c r="N68" s="2">
        <f t="shared" si="5"/>
        <v>3.3013033334321618</v>
      </c>
      <c r="O68" s="2">
        <f t="shared" si="5"/>
        <v>3.4705367785226247</v>
      </c>
      <c r="P68" s="2">
        <f t="shared" si="5"/>
        <v>2.3583437315728664</v>
      </c>
      <c r="Q68" s="2">
        <f t="shared" si="5"/>
        <v>2.3822352033775163</v>
      </c>
      <c r="R68" s="2">
        <f t="shared" si="5"/>
        <v>1.8355194567634461</v>
      </c>
      <c r="S68" s="2">
        <f t="shared" si="5"/>
        <v>1.8433060571257853</v>
      </c>
      <c r="T68" s="2">
        <f t="shared" si="5"/>
        <v>0.57373572726196975</v>
      </c>
      <c r="U68" s="2">
        <f t="shared" si="5"/>
        <v>0.59774434495691908</v>
      </c>
      <c r="V68" s="2">
        <f t="shared" si="5"/>
        <v>0.41420520080652989</v>
      </c>
      <c r="W68" s="2">
        <f t="shared" si="5"/>
        <v>0.29141365500677135</v>
      </c>
      <c r="X68" s="2">
        <f t="shared" si="5"/>
        <v>0.45102262204111909</v>
      </c>
      <c r="Y68" s="2">
        <f t="shared" si="5"/>
        <v>0.24460289005084973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1410.4003210979024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951.38874492437981</v>
      </c>
      <c r="N74" s="2">
        <f>N8/'Output-Calculation-sheet'!N7*'Output-Calculation-sheet'!N61</f>
        <v>39.547507155714051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8.4423978990200741</v>
      </c>
      <c r="Y74" s="2">
        <f>Y8/'Output-Calculation-sheet'!Y7*'Output-Calculation-sheet'!Y61</f>
        <v>0</v>
      </c>
      <c r="AA74" s="2">
        <f t="shared" si="6"/>
        <v>2.4097789710770159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51.862904557174986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2369.5426265375495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1605.6142571641246</v>
      </c>
      <c r="N75" s="2">
        <f>N9/'Output-Calculation-sheet'!N8*'Output-Calculation-sheet'!N62</f>
        <v>618.09833201386687</v>
      </c>
      <c r="O75" s="2">
        <f>O9/'Output-Calculation-sheet'!O8*'Output-Calculation-sheet'!O62</f>
        <v>0</v>
      </c>
      <c r="P75" s="2">
        <f>P9/'Output-Calculation-sheet'!P8*'Output-Calculation-sheet'!P62</f>
        <v>40.207858765087188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207.74311282718227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56.380595644552301</v>
      </c>
      <c r="Y75" s="2">
        <f>Y9/'Output-Calculation-sheet'!Y8*'Output-Calculation-sheet'!Y62</f>
        <v>0</v>
      </c>
      <c r="AA75" s="2">
        <f t="shared" si="6"/>
        <v>4.9494496875095377</v>
      </c>
    </row>
    <row r="76" spans="1:27" x14ac:dyDescent="0.25">
      <c r="A76" s="2">
        <v>2033</v>
      </c>
      <c r="B76" s="2">
        <f>B10/'Output-Calculation-sheet'!B9*'Output-Calculation-sheet'!B63</f>
        <v>4998.3725329439194</v>
      </c>
      <c r="C76" s="2">
        <f>C10/'Output-Calculation-sheet'!C9*'Output-Calculation-sheet'!C63</f>
        <v>1468.4155423307691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3275.2485363050473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2227.7567826764111</v>
      </c>
      <c r="N76" s="2">
        <f>N10/'Output-Calculation-sheet'!N9*'Output-Calculation-sheet'!N63</f>
        <v>1272.6158487111913</v>
      </c>
      <c r="O76" s="2">
        <f>O10/'Output-Calculation-sheet'!O9*'Output-Calculation-sheet'!O63</f>
        <v>0</v>
      </c>
      <c r="P76" s="2">
        <f>P10/'Output-Calculation-sheet'!P9*'Output-Calculation-sheet'!P63</f>
        <v>438.72230922596975</v>
      </c>
      <c r="Q76" s="2">
        <f>Q10/'Output-Calculation-sheet'!Q9*'Output-Calculation-sheet'!Q63</f>
        <v>197.51906930156244</v>
      </c>
      <c r="R76" s="2">
        <f>R10/'Output-Calculation-sheet'!R9*'Output-Calculation-sheet'!R63</f>
        <v>334.35962225862528</v>
      </c>
      <c r="S76" s="2">
        <f>S10/'Output-Calculation-sheet'!S9*'Output-Calculation-sheet'!S63</f>
        <v>565.8283686115293</v>
      </c>
      <c r="T76" s="2">
        <f>T10/'Output-Calculation-sheet'!T9*'Output-Calculation-sheet'!T63</f>
        <v>21.977343840724558</v>
      </c>
      <c r="U76" s="2">
        <f>U10/'Output-Calculation-sheet'!U9*'Output-Calculation-sheet'!U63</f>
        <v>118.69547876452147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127.73360428949903</v>
      </c>
      <c r="Y76" s="2">
        <f>Y10/'Output-Calculation-sheet'!Y9*'Output-Calculation-sheet'!Y63</f>
        <v>5.6354659962798159</v>
      </c>
      <c r="AA76" s="2">
        <f t="shared" si="6"/>
        <v>15.14513695806377</v>
      </c>
    </row>
    <row r="77" spans="1:27" x14ac:dyDescent="0.25">
      <c r="A77" s="2">
        <v>2034</v>
      </c>
      <c r="B77" s="2">
        <f>B11/'Output-Calculation-sheet'!B10*'Output-Calculation-sheet'!B64</f>
        <v>10195.615752806654</v>
      </c>
      <c r="C77" s="2">
        <f>C11/'Output-Calculation-sheet'!C10*'Output-Calculation-sheet'!C64</f>
        <v>2780.9139721294432</v>
      </c>
      <c r="D77" s="2">
        <f>D11/'Output-Calculation-sheet'!D10*'Output-Calculation-sheet'!D64</f>
        <v>1232.0029795814064</v>
      </c>
      <c r="E77" s="2">
        <f>E11/'Output-Calculation-sheet'!E10*'Output-Calculation-sheet'!E64</f>
        <v>1790.0840564761033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3703.4532787618991</v>
      </c>
      <c r="I77" s="2">
        <f>I11/'Output-Calculation-sheet'!I10*'Output-Calculation-sheet'!I64</f>
        <v>446.90227459912626</v>
      </c>
      <c r="J77" s="2">
        <f>J11/'Output-Calculation-sheet'!J10*'Output-Calculation-sheet'!J64</f>
        <v>245.8468499206279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177.51785113294787</v>
      </c>
      <c r="M77" s="2">
        <f>M11/'Output-Calculation-sheet'!M10*'Output-Calculation-sheet'!M64</f>
        <v>2585.3564598580301</v>
      </c>
      <c r="N77" s="2">
        <f>N11/'Output-Calculation-sheet'!N10*'Output-Calculation-sheet'!N64</f>
        <v>1790.1091958776765</v>
      </c>
      <c r="O77" s="2">
        <f>O11/'Output-Calculation-sheet'!O10*'Output-Calculation-sheet'!O64</f>
        <v>0</v>
      </c>
      <c r="P77" s="2">
        <f>P11/'Output-Calculation-sheet'!P10*'Output-Calculation-sheet'!P64</f>
        <v>845.61049584192301</v>
      </c>
      <c r="Q77" s="2">
        <f>Q11/'Output-Calculation-sheet'!Q10*'Output-Calculation-sheet'!Q64</f>
        <v>346.58631024907294</v>
      </c>
      <c r="R77" s="2">
        <f>R11/'Output-Calculation-sheet'!R10*'Output-Calculation-sheet'!R64</f>
        <v>718.86937466689506</v>
      </c>
      <c r="S77" s="2">
        <f>S11/'Output-Calculation-sheet'!S10*'Output-Calculation-sheet'!S64</f>
        <v>777.06076603285373</v>
      </c>
      <c r="T77" s="2">
        <f>T11/'Output-Calculation-sheet'!T10*'Output-Calculation-sheet'!T64</f>
        <v>198.88471225289734</v>
      </c>
      <c r="U77" s="2">
        <f>U11/'Output-Calculation-sheet'!U10*'Output-Calculation-sheet'!U64</f>
        <v>216.45710044854692</v>
      </c>
      <c r="V77" s="2">
        <f>V11/'Output-Calculation-sheet'!V10*'Output-Calculation-sheet'!V64</f>
        <v>103.76499059959347</v>
      </c>
      <c r="W77" s="2">
        <f>W11/'Output-Calculation-sheet'!W10*'Output-Calculation-sheet'!W64</f>
        <v>22.553438784457253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65.985791157287949</v>
      </c>
      <c r="AA77" s="2">
        <f t="shared" si="6"/>
        <v>29.91927005709379</v>
      </c>
    </row>
    <row r="78" spans="1:27" x14ac:dyDescent="0.25">
      <c r="A78" s="2">
        <v>2035</v>
      </c>
      <c r="B78" s="2">
        <f>B12/'Output-Calculation-sheet'!B11*'Output-Calculation-sheet'!B65</f>
        <v>10866.896678841575</v>
      </c>
      <c r="C78" s="2">
        <f>C12/'Output-Calculation-sheet'!C11*'Output-Calculation-sheet'!C65</f>
        <v>4593.2339548164227</v>
      </c>
      <c r="D78" s="2">
        <f>D12/'Output-Calculation-sheet'!D11*'Output-Calculation-sheet'!D65</f>
        <v>1171.6648433608229</v>
      </c>
      <c r="E78" s="2">
        <f>E12/'Output-Calculation-sheet'!E11*'Output-Calculation-sheet'!E65</f>
        <v>2249.0850046337582</v>
      </c>
      <c r="F78" s="2">
        <f>F12/'Output-Calculation-sheet'!F11*'Output-Calculation-sheet'!F65</f>
        <v>490.06349992335646</v>
      </c>
      <c r="G78" s="2">
        <f>G12/'Output-Calculation-sheet'!G11*'Output-Calculation-sheet'!G65</f>
        <v>901.3033445069691</v>
      </c>
      <c r="H78" s="2">
        <f>H12/'Output-Calculation-sheet'!H11*'Output-Calculation-sheet'!H65</f>
        <v>3464.3651412004965</v>
      </c>
      <c r="I78" s="2">
        <f>I12/'Output-Calculation-sheet'!I11*'Output-Calculation-sheet'!I65</f>
        <v>574.04748484304184</v>
      </c>
      <c r="J78" s="2">
        <f>J12/'Output-Calculation-sheet'!J11*'Output-Calculation-sheet'!J65</f>
        <v>245.88454699425867</v>
      </c>
      <c r="K78" s="2">
        <f>K12/'Output-Calculation-sheet'!K11*'Output-Calculation-sheet'!K65</f>
        <v>732.31913777981413</v>
      </c>
      <c r="L78" s="2">
        <f>L12/'Output-Calculation-sheet'!L11*'Output-Calculation-sheet'!L65</f>
        <v>212.00672349498652</v>
      </c>
      <c r="M78" s="2">
        <f>M12/'Output-Calculation-sheet'!M11*'Output-Calculation-sheet'!M65</f>
        <v>2437.0589872361475</v>
      </c>
      <c r="N78" s="2">
        <f>N12/'Output-Calculation-sheet'!N11*'Output-Calculation-sheet'!N65</f>
        <v>1711.0028451686353</v>
      </c>
      <c r="O78" s="2">
        <f>O12/'Output-Calculation-sheet'!O11*'Output-Calculation-sheet'!O65</f>
        <v>0</v>
      </c>
      <c r="P78" s="2">
        <f>P12/'Output-Calculation-sheet'!P11*'Output-Calculation-sheet'!P65</f>
        <v>967.02021841548185</v>
      </c>
      <c r="Q78" s="2">
        <f>Q12/'Output-Calculation-sheet'!Q11*'Output-Calculation-sheet'!Q65</f>
        <v>382.94002264322239</v>
      </c>
      <c r="R78" s="2">
        <f>R12/'Output-Calculation-sheet'!R11*'Output-Calculation-sheet'!R65</f>
        <v>760.84808409944799</v>
      </c>
      <c r="S78" s="2">
        <f>S12/'Output-Calculation-sheet'!S11*'Output-Calculation-sheet'!S65</f>
        <v>792.47369026588206</v>
      </c>
      <c r="T78" s="2">
        <f>T12/'Output-Calculation-sheet'!T11*'Output-Calculation-sheet'!T65</f>
        <v>271.57820186368389</v>
      </c>
      <c r="U78" s="2">
        <f>U12/'Output-Calculation-sheet'!U11*'Output-Calculation-sheet'!U65</f>
        <v>201.98947129764454</v>
      </c>
      <c r="V78" s="2">
        <f>V12/'Output-Calculation-sheet'!V11*'Output-Calculation-sheet'!V65</f>
        <v>103.9679547902102</v>
      </c>
      <c r="W78" s="2">
        <f>W12/'Output-Calculation-sheet'!W11*'Output-Calculation-sheet'!W65</f>
        <v>103.71163555535796</v>
      </c>
      <c r="X78" s="2">
        <f>X12/'Output-Calculation-sheet'!X11*'Output-Calculation-sheet'!X65</f>
        <v>54.137287146945184</v>
      </c>
      <c r="Y78" s="2">
        <f>Y12/'Output-Calculation-sheet'!Y11*'Output-Calculation-sheet'!Y65</f>
        <v>93.906302488250446</v>
      </c>
      <c r="AA78" s="2">
        <f t="shared" si="6"/>
        <v>33.381505061366411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362.26326878319588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210.28514352447013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0.57254841230766607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1206.3282132439494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301.4427172110735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1.5077709304550231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2072.1868032436555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376.45092051501672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2.4486377237586723</v>
      </c>
    </row>
    <row r="88" spans="1:27" x14ac:dyDescent="0.25">
      <c r="A88" s="2">
        <v>2034</v>
      </c>
      <c r="B88" s="2">
        <f>B11/'Output-Calculation-sheet'!B10*'Output-Calculation-sheet'!B73</f>
        <v>103.3344512266091</v>
      </c>
      <c r="C88" s="2">
        <f>C11/'Output-Calculation-sheet'!C10*'Output-Calculation-sheet'!C73</f>
        <v>2242.6905365128464</v>
      </c>
      <c r="D88" s="2">
        <f>D11/'Output-Calculation-sheet'!D10*'Output-Calculation-sheet'!D73</f>
        <v>7.8991512894205265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37.057618311322557</v>
      </c>
      <c r="I88" s="2">
        <f>I11/'Output-Calculation-sheet'!I10*'Output-Calculation-sheet'!I73</f>
        <v>0</v>
      </c>
      <c r="J88" s="2">
        <f>J11/'Output-Calculation-sheet'!J10*'Output-Calculation-sheet'!J73</f>
        <v>2.5223210567581105</v>
      </c>
      <c r="K88" s="2">
        <f>K11/'Output-Calculation-sheet'!K10*'Output-Calculation-sheet'!K73</f>
        <v>0</v>
      </c>
      <c r="L88" s="2">
        <f>L11/'Output-Calculation-sheet'!L10*'Output-Calculation-sheet'!L73</f>
        <v>5.9753889603738992</v>
      </c>
      <c r="M88" s="2">
        <f>M11/'Output-Calculation-sheet'!M10*'Output-Calculation-sheet'!M73</f>
        <v>17.943915138171771</v>
      </c>
      <c r="N88" s="2">
        <f>N11/'Output-Calculation-sheet'!N10*'Output-Calculation-sheet'!N73</f>
        <v>9.2820834355389632</v>
      </c>
      <c r="O88" s="2">
        <f>O11/'Output-Calculation-sheet'!O10*'Output-Calculation-sheet'!O73</f>
        <v>423.56583820655999</v>
      </c>
      <c r="P88" s="2">
        <f>P11/'Output-Calculation-sheet'!P10*'Output-Calculation-sheet'!P73</f>
        <v>0</v>
      </c>
      <c r="Q88" s="2">
        <f>Q11/'Output-Calculation-sheet'!Q10*'Output-Calculation-sheet'!Q73</f>
        <v>28.463841817096704</v>
      </c>
      <c r="R88" s="2">
        <f>R11/'Output-Calculation-sheet'!R10*'Output-Calculation-sheet'!R73</f>
        <v>0</v>
      </c>
      <c r="S88" s="2">
        <f>S11/'Output-Calculation-sheet'!S10*'Output-Calculation-sheet'!S73</f>
        <v>13.302026646358334</v>
      </c>
      <c r="T88" s="2">
        <f>T11/'Output-Calculation-sheet'!T10*'Output-Calculation-sheet'!T73</f>
        <v>0</v>
      </c>
      <c r="U88" s="2">
        <f>U11/'Output-Calculation-sheet'!U10*'Output-Calculation-sheet'!U73</f>
        <v>2.5947648539097239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2.8946319374549652</v>
      </c>
    </row>
    <row r="89" spans="1:27" x14ac:dyDescent="0.25">
      <c r="A89" s="2">
        <v>2035</v>
      </c>
      <c r="B89" s="2">
        <f>B12/'Output-Calculation-sheet'!B11*'Output-Calculation-sheet'!B74</f>
        <v>533.00791907283394</v>
      </c>
      <c r="C89" s="2">
        <f>C12/'Output-Calculation-sheet'!C11*'Output-Calculation-sheet'!C74</f>
        <v>2182.9544171798552</v>
      </c>
      <c r="D89" s="2">
        <f>D12/'Output-Calculation-sheet'!D11*'Output-Calculation-sheet'!D74</f>
        <v>101.20407206899938</v>
      </c>
      <c r="E89" s="2">
        <f>E12/'Output-Calculation-sheet'!E11*'Output-Calculation-sheet'!E74</f>
        <v>135.00806574187789</v>
      </c>
      <c r="F89" s="2">
        <f>F12/'Output-Calculation-sheet'!F11*'Output-Calculation-sheet'!F74</f>
        <v>43.358698810962707</v>
      </c>
      <c r="G89" s="2">
        <f>G12/'Output-Calculation-sheet'!G11*'Output-Calculation-sheet'!G74</f>
        <v>41.49050122885032</v>
      </c>
      <c r="H89" s="2">
        <f>H12/'Output-Calculation-sheet'!H11*'Output-Calculation-sheet'!H74</f>
        <v>162.02908135872318</v>
      </c>
      <c r="I89" s="2">
        <f>I12/'Output-Calculation-sheet'!I11*'Output-Calculation-sheet'!I74</f>
        <v>34.985758084538382</v>
      </c>
      <c r="J89" s="2">
        <f>J12/'Output-Calculation-sheet'!J11*'Output-Calculation-sheet'!J74</f>
        <v>27.699449073492495</v>
      </c>
      <c r="K89" s="2">
        <f>K12/'Output-Calculation-sheet'!K11*'Output-Calculation-sheet'!K74</f>
        <v>36.67779335622722</v>
      </c>
      <c r="L89" s="2">
        <f>L12/'Output-Calculation-sheet'!L11*'Output-Calculation-sheet'!L74</f>
        <v>38.278396806750237</v>
      </c>
      <c r="M89" s="2">
        <f>M12/'Output-Calculation-sheet'!M11*'Output-Calculation-sheet'!M74</f>
        <v>101.98472585263858</v>
      </c>
      <c r="N89" s="2">
        <f>N12/'Output-Calculation-sheet'!N11*'Output-Calculation-sheet'!N74</f>
        <v>62.009445497535019</v>
      </c>
      <c r="O89" s="2">
        <f>O12/'Output-Calculation-sheet'!O11*'Output-Calculation-sheet'!O74</f>
        <v>442.319193777262</v>
      </c>
      <c r="P89" s="2">
        <f>P12/'Output-Calculation-sheet'!P11*'Output-Calculation-sheet'!P74</f>
        <v>36.097923813981474</v>
      </c>
      <c r="Q89" s="2">
        <f>Q12/'Output-Calculation-sheet'!Q11*'Output-Calculation-sheet'!Q74</f>
        <v>61.027958892563859</v>
      </c>
      <c r="R89" s="2">
        <f>R12/'Output-Calculation-sheet'!R11*'Output-Calculation-sheet'!R74</f>
        <v>25.093958514414624</v>
      </c>
      <c r="S89" s="2">
        <f>S12/'Output-Calculation-sheet'!S11*'Output-Calculation-sheet'!S74</f>
        <v>38.954471047246805</v>
      </c>
      <c r="T89" s="2">
        <f>T12/'Output-Calculation-sheet'!T11*'Output-Calculation-sheet'!T74</f>
        <v>6.2802307294961972</v>
      </c>
      <c r="U89" s="2">
        <f>U12/'Output-Calculation-sheet'!U11*'Output-Calculation-sheet'!U74</f>
        <v>12.11037810305511</v>
      </c>
      <c r="V89" s="2">
        <f>V12/'Output-Calculation-sheet'!V11*'Output-Calculation-sheet'!V74</f>
        <v>4.5775291506863214</v>
      </c>
      <c r="W89" s="2">
        <f>W12/'Output-Calculation-sheet'!W11*'Output-Calculation-sheet'!W74</f>
        <v>3.4881679193317892</v>
      </c>
      <c r="X89" s="2">
        <f>X12/'Output-Calculation-sheet'!X11*'Output-Calculation-sheet'!X74</f>
        <v>2.4651385590300614</v>
      </c>
      <c r="Y89" s="2">
        <f>Y12/'Output-Calculation-sheet'!Y11*'Output-Calculation-sheet'!Y74</f>
        <v>4.5748189676242665</v>
      </c>
      <c r="AA89" s="2">
        <f t="shared" si="7"/>
        <v>4.1376780936079776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11516943440.462141</v>
      </c>
      <c r="C96" s="2">
        <f>C8/'Output-Calculation-sheet'!C7*'Output-Calculation-sheet'!C79</f>
        <v>3896241841.9702835</v>
      </c>
      <c r="D96" s="2">
        <f>D8/'Output-Calculation-sheet'!D7*'Output-Calculation-sheet'!D79</f>
        <v>4067399203.3897028</v>
      </c>
      <c r="E96" s="2">
        <f>E8/'Output-Calculation-sheet'!E7*'Output-Calculation-sheet'!E79</f>
        <v>7231500679.8527422</v>
      </c>
      <c r="F96" s="2">
        <f>F8/'Output-Calculation-sheet'!F7*'Output-Calculation-sheet'!F79</f>
        <v>2993046193.2467251</v>
      </c>
      <c r="G96" s="2">
        <f>G8/'Output-Calculation-sheet'!G7*'Output-Calculation-sheet'!G79</f>
        <v>2331341961.5483146</v>
      </c>
      <c r="H96" s="2">
        <f>H8/'Output-Calculation-sheet'!H7*'Output-Calculation-sheet'!H79</f>
        <v>1995499905.3137624</v>
      </c>
      <c r="I96" s="2">
        <f>I8/'Output-Calculation-sheet'!I7*'Output-Calculation-sheet'!I79</f>
        <v>1624023503.4754567</v>
      </c>
      <c r="J96" s="2">
        <f>J8/'Output-Calculation-sheet'!J7*'Output-Calculation-sheet'!J79</f>
        <v>1098203550.723882</v>
      </c>
      <c r="K96" s="2">
        <f>K8/'Output-Calculation-sheet'!K7*'Output-Calculation-sheet'!K79</f>
        <v>1571204006.3606844</v>
      </c>
      <c r="L96" s="2">
        <f>L8/'Output-Calculation-sheet'!L7*'Output-Calculation-sheet'!L79</f>
        <v>1108642849.0787899</v>
      </c>
      <c r="M96" s="2">
        <f>M8/'Output-Calculation-sheet'!M7*'Output-Calculation-sheet'!M79</f>
        <v>1489600339.4552398</v>
      </c>
      <c r="N96" s="2">
        <f>N8/'Output-Calculation-sheet'!N7*'Output-Calculation-sheet'!N79</f>
        <v>1108379675.8393805</v>
      </c>
      <c r="O96" s="2">
        <f>O8/'Output-Calculation-sheet'!O7*'Output-Calculation-sheet'!O79</f>
        <v>560322910.49381936</v>
      </c>
      <c r="P96" s="2">
        <f>P8/'Output-Calculation-sheet'!P7*'Output-Calculation-sheet'!P79</f>
        <v>1874174776.7109206</v>
      </c>
      <c r="Q96" s="2">
        <f>Q8/'Output-Calculation-sheet'!Q7*'Output-Calculation-sheet'!Q79</f>
        <v>873444142.21583247</v>
      </c>
      <c r="R96" s="2">
        <f>R8/'Output-Calculation-sheet'!R7*'Output-Calculation-sheet'!R79</f>
        <v>1089727252.3738737</v>
      </c>
      <c r="S96" s="2">
        <f>S8/'Output-Calculation-sheet'!S7*'Output-Calculation-sheet'!S79</f>
        <v>634965117.3823278</v>
      </c>
      <c r="T96" s="2">
        <f>T8/'Output-Calculation-sheet'!T7*'Output-Calculation-sheet'!T79</f>
        <v>484964913.82888615</v>
      </c>
      <c r="U96" s="2">
        <f>U8/'Output-Calculation-sheet'!U7*'Output-Calculation-sheet'!U79</f>
        <v>304643085.06827968</v>
      </c>
      <c r="V96" s="2">
        <f>V8/'Output-Calculation-sheet'!V7*'Output-Calculation-sheet'!V79</f>
        <v>158064008.68932822</v>
      </c>
      <c r="W96" s="2">
        <f>W8/'Output-Calculation-sheet'!W7*'Output-Calculation-sheet'!W79</f>
        <v>467070174.16412807</v>
      </c>
      <c r="X96" s="2">
        <f>X8/'Output-Calculation-sheet'!X7*'Output-Calculation-sheet'!X79</f>
        <v>164161038.70758951</v>
      </c>
      <c r="Y96" s="2">
        <f>Y8/'Output-Calculation-sheet'!Y7*'Output-Calculation-sheet'!Y79</f>
        <v>256745625.75134635</v>
      </c>
      <c r="AA96" s="2">
        <f t="shared" si="8"/>
        <v>48.90031019610344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1008.2266878182921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31.237338758057025</v>
      </c>
      <c r="Y107" s="2">
        <f>Y8/'Output-Calculation-sheet'!Y7*'Output-Calculation-sheet'!Y88</f>
        <v>0</v>
      </c>
      <c r="AA107" s="2">
        <f t="shared" si="9"/>
        <v>1.0394640265763491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709.06314824262677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41.190970549065398</v>
      </c>
      <c r="Y108" s="2">
        <f>Y9/'Output-Calculation-sheet'!Y8*'Output-Calculation-sheet'!Y89</f>
        <v>0</v>
      </c>
      <c r="AA108" s="2">
        <f t="shared" si="9"/>
        <v>0.75025411879169213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4.1472404109217861E-2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6.3820349661484477E-2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87.607231867068336</v>
      </c>
      <c r="Y111" s="2">
        <f>Y12/'Output-Calculation-sheet'!Y11*'Output-Calculation-sheet'!Y92</f>
        <v>0</v>
      </c>
      <c r="AA111" s="2">
        <f t="shared" si="9"/>
        <v>8.7607231867068341E-2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11273021878.05559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6924201731.6698399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4777111763.3579416</v>
      </c>
      <c r="N118" s="2">
        <f>N8/'Output-Calculation-sheet'!N7*'Output-Calculation-sheet'!N97</f>
        <v>1600792662.1310894</v>
      </c>
      <c r="O118" s="2">
        <f>O8/'Output-Calculation-sheet'!O7*'Output-Calculation-sheet'!O97</f>
        <v>2740488561.6967759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479237024.52874607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260115652.49675459</v>
      </c>
      <c r="Y118" s="2">
        <f>Y8/'Output-Calculation-sheet'!Y7*'Output-Calculation-sheet'!Y97</f>
        <v>0</v>
      </c>
      <c r="AA118" s="2">
        <f t="shared" si="10"/>
        <v>29402.508239241673</v>
      </c>
    </row>
    <row r="119" spans="1:27" x14ac:dyDescent="0.25">
      <c r="A119" s="2">
        <v>2032</v>
      </c>
      <c r="B119" s="2">
        <f>B9/'Output-Calculation-sheet'!B8*'Output-Calculation-sheet'!B98</f>
        <v>5837991021.4198227</v>
      </c>
      <c r="C119" s="2">
        <f>C9/'Output-Calculation-sheet'!C8*'Output-Calculation-sheet'!C98</f>
        <v>15055850919.454399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9130612623.364397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6299324845.2658863</v>
      </c>
      <c r="N119" s="2">
        <f>N9/'Output-Calculation-sheet'!N8*'Output-Calculation-sheet'!N98</f>
        <v>2953794882.7050161</v>
      </c>
      <c r="O119" s="2">
        <f>O9/'Output-Calculation-sheet'!O8*'Output-Calculation-sheet'!O98</f>
        <v>3179802045.8300753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888447668.55776227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346494271.66691625</v>
      </c>
      <c r="Y119" s="2">
        <f>Y9/'Output-Calculation-sheet'!Y8*'Output-Calculation-sheet'!Y98</f>
        <v>0</v>
      </c>
      <c r="AA119" s="2">
        <f t="shared" si="10"/>
        <v>43692.318278264276</v>
      </c>
    </row>
    <row r="120" spans="1:27" x14ac:dyDescent="0.25">
      <c r="A120" s="2">
        <v>2033</v>
      </c>
      <c r="B120" s="2">
        <f>B10/'Output-Calculation-sheet'!B9*'Output-Calculation-sheet'!B99</f>
        <v>15121115171.220858</v>
      </c>
      <c r="C120" s="2">
        <f>C10/'Output-Calculation-sheet'!C9*'Output-Calculation-sheet'!C99</f>
        <v>20950656925.726227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4465078782.9833498</v>
      </c>
      <c r="O120" s="2">
        <f>O10/'Output-Calculation-sheet'!O9*'Output-Calculation-sheet'!O99</f>
        <v>3469970582.6581225</v>
      </c>
      <c r="P120" s="2">
        <f>P10/'Output-Calculation-sheet'!P9*'Output-Calculation-sheet'!P99</f>
        <v>0</v>
      </c>
      <c r="Q120" s="2">
        <f>Q10/'Output-Calculation-sheet'!Q9*'Output-Calculation-sheet'!Q99</f>
        <v>145269168.39932406</v>
      </c>
      <c r="R120" s="2">
        <f>R10/'Output-Calculation-sheet'!R9*'Output-Calculation-sheet'!R99</f>
        <v>0</v>
      </c>
      <c r="S120" s="2">
        <f>S10/'Output-Calculation-sheet'!S9*'Output-Calculation-sheet'!S99</f>
        <v>1798537365.2574017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489525392.67204648</v>
      </c>
      <c r="Y120" s="2">
        <f>Y10/'Output-Calculation-sheet'!Y9*'Output-Calculation-sheet'!Y99</f>
        <v>0</v>
      </c>
      <c r="AA120" s="2">
        <f t="shared" si="10"/>
        <v>65083.146087275432</v>
      </c>
    </row>
    <row r="121" spans="1:27" x14ac:dyDescent="0.25">
      <c r="A121" s="2">
        <v>2034</v>
      </c>
      <c r="B121" s="2">
        <f>B11/'Output-Calculation-sheet'!B10*'Output-Calculation-sheet'!B100</f>
        <v>28734661766.552181</v>
      </c>
      <c r="C121" s="2">
        <f>C11/'Output-Calculation-sheet'!C10*'Output-Calculation-sheet'!C100</f>
        <v>23390223435.202728</v>
      </c>
      <c r="D121" s="2">
        <f>D11/'Output-Calculation-sheet'!D10*'Output-Calculation-sheet'!D100</f>
        <v>0</v>
      </c>
      <c r="E121" s="2">
        <f>E11/'Output-Calculation-sheet'!E10*'Output-Calculation-sheet'!E100</f>
        <v>689879048.04316652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12013473209.593973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492062923.54592597</v>
      </c>
      <c r="M121" s="2">
        <f>M11/'Output-Calculation-sheet'!M10*'Output-Calculation-sheet'!M100</f>
        <v>8369173294.3487988</v>
      </c>
      <c r="N121" s="2">
        <f>N11/'Output-Calculation-sheet'!N10*'Output-Calculation-sheet'!N100</f>
        <v>5611489110.2051411</v>
      </c>
      <c r="O121" s="2">
        <f>O11/'Output-Calculation-sheet'!O10*'Output-Calculation-sheet'!O100</f>
        <v>3582873264.176827</v>
      </c>
      <c r="P121" s="2">
        <f>P11/'Output-Calculation-sheet'!P10*'Output-Calculation-sheet'!P100</f>
        <v>0</v>
      </c>
      <c r="Q121" s="2">
        <f>Q11/'Output-Calculation-sheet'!Q10*'Output-Calculation-sheet'!Q100</f>
        <v>448885113.76393151</v>
      </c>
      <c r="R121" s="2">
        <f>R11/'Output-Calculation-sheet'!R10*'Output-Calculation-sheet'!R100</f>
        <v>0</v>
      </c>
      <c r="S121" s="2">
        <f>S11/'Output-Calculation-sheet'!S10*'Output-Calculation-sheet'!S100</f>
        <v>2355300468.6516066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36905134.295959733</v>
      </c>
      <c r="AA121" s="2">
        <f t="shared" si="10"/>
        <v>86134.074367859168</v>
      </c>
    </row>
    <row r="122" spans="1:27" x14ac:dyDescent="0.25">
      <c r="A122" s="2">
        <v>2035</v>
      </c>
      <c r="B122" s="2">
        <f>B12/'Output-Calculation-sheet'!B11*'Output-Calculation-sheet'!B101</f>
        <v>31544440278.960777</v>
      </c>
      <c r="C122" s="2">
        <f>C12/'Output-Calculation-sheet'!C11*'Output-Calculation-sheet'!C101</f>
        <v>25258043415.957668</v>
      </c>
      <c r="D122" s="2">
        <f>D12/'Output-Calculation-sheet'!D11*'Output-Calculation-sheet'!D101</f>
        <v>0</v>
      </c>
      <c r="E122" s="2">
        <f>E12/'Output-Calculation-sheet'!E11*'Output-Calculation-sheet'!E101</f>
        <v>2019413879.212935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11626380404.383106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545787508.22184741</v>
      </c>
      <c r="M122" s="2">
        <f>M12/'Output-Calculation-sheet'!M11*'Output-Calculation-sheet'!M101</f>
        <v>8139094151.8441887</v>
      </c>
      <c r="N122" s="2">
        <f>N12/'Output-Calculation-sheet'!N11*'Output-Calculation-sheet'!N101</f>
        <v>5449826684.7752371</v>
      </c>
      <c r="O122" s="2">
        <f>O12/'Output-Calculation-sheet'!O11*'Output-Calculation-sheet'!O101</f>
        <v>3491726374.4955192</v>
      </c>
      <c r="P122" s="2">
        <f>P12/'Output-Calculation-sheet'!P11*'Output-Calculation-sheet'!P101</f>
        <v>276667122.38368893</v>
      </c>
      <c r="Q122" s="2">
        <f>Q12/'Output-Calculation-sheet'!Q11*'Output-Calculation-sheet'!Q101</f>
        <v>652165830.81418943</v>
      </c>
      <c r="R122" s="2">
        <f>R12/'Output-Calculation-sheet'!R11*'Output-Calculation-sheet'!R101</f>
        <v>0</v>
      </c>
      <c r="S122" s="2">
        <f>S12/'Output-Calculation-sheet'!S11*'Output-Calculation-sheet'!S101</f>
        <v>2560417976.3671851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231783894.50862953</v>
      </c>
      <c r="Y122" s="2">
        <f>Y12/'Output-Calculation-sheet'!Y11*'Output-Calculation-sheet'!Y101</f>
        <v>227654428.87640259</v>
      </c>
      <c r="AA122" s="2">
        <f t="shared" si="10"/>
        <v>92023.401950801373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3088734453.6224084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2206437451.1318073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145388.74642159892</v>
      </c>
    </row>
    <row r="130" spans="1:27" x14ac:dyDescent="0.25">
      <c r="A130" s="2">
        <v>2032</v>
      </c>
      <c r="B130" s="2">
        <f>B9/'Output-Calculation-sheet'!B8*'Output-Calculation-sheet'!B107</f>
        <v>56274944661.539749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3229512886.5263424</v>
      </c>
      <c r="O130" s="2">
        <f>O9/'Output-Calculation-sheet'!O8*'Output-Calculation-sheet'!O107</f>
        <v>0</v>
      </c>
      <c r="P130" s="2">
        <f>P9/'Output-Calculation-sheet'!P8*'Output-Calculation-sheet'!P107</f>
        <v>5629451778.0070162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2652814636.9184332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186554.96492498316</v>
      </c>
    </row>
    <row r="131" spans="1:27" x14ac:dyDescent="0.25">
      <c r="A131" s="2">
        <v>2033</v>
      </c>
      <c r="B131" s="2">
        <f>B10/'Output-Calculation-sheet'!B9*'Output-Calculation-sheet'!B108</f>
        <v>59919112507.749641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3005145761.9219947</v>
      </c>
      <c r="O131" s="2">
        <f>O10/'Output-Calculation-sheet'!O9*'Output-Calculation-sheet'!O108</f>
        <v>0</v>
      </c>
      <c r="P131" s="2">
        <f>P10/'Output-Calculation-sheet'!P9*'Output-Calculation-sheet'!P108</f>
        <v>6801142193.3391504</v>
      </c>
      <c r="Q131" s="2">
        <f>Q10/'Output-Calculation-sheet'!Q9*'Output-Calculation-sheet'!Q108</f>
        <v>6546269592.2935247</v>
      </c>
      <c r="R131" s="2">
        <f>R10/'Output-Calculation-sheet'!R9*'Output-Calculation-sheet'!R108</f>
        <v>6437339455.9371614</v>
      </c>
      <c r="S131" s="2">
        <f>S10/'Output-Calculation-sheet'!S9*'Output-Calculation-sheet'!S108</f>
        <v>2479725920.4219208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215555.56192265238</v>
      </c>
    </row>
    <row r="132" spans="1:27" x14ac:dyDescent="0.25">
      <c r="A132" s="2">
        <v>2034</v>
      </c>
      <c r="B132" s="2">
        <f>B11/'Output-Calculation-sheet'!B10*'Output-Calculation-sheet'!B109</f>
        <v>53800781421.821365</v>
      </c>
      <c r="C132" s="2">
        <f>C11/'Output-Calculation-sheet'!C10*'Output-Calculation-sheet'!C109</f>
        <v>0</v>
      </c>
      <c r="D132" s="2">
        <f>D11/'Output-Calculation-sheet'!D10*'Output-Calculation-sheet'!D109</f>
        <v>35137573504.493225</v>
      </c>
      <c r="E132" s="2">
        <f>E11/'Output-Calculation-sheet'!E10*'Output-Calculation-sheet'!E109</f>
        <v>27375482328.706547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11167879157.323345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8304150410.6500978</v>
      </c>
      <c r="M132" s="2">
        <f>M11/'Output-Calculation-sheet'!M10*'Output-Calculation-sheet'!M109</f>
        <v>0</v>
      </c>
      <c r="N132" s="2">
        <f>N11/'Output-Calculation-sheet'!N10*'Output-Calculation-sheet'!N109</f>
        <v>2631634946.8521051</v>
      </c>
      <c r="O132" s="2">
        <f>O11/'Output-Calculation-sheet'!O10*'Output-Calculation-sheet'!O109</f>
        <v>0</v>
      </c>
      <c r="P132" s="2">
        <f>P11/'Output-Calculation-sheet'!P10*'Output-Calculation-sheet'!P109</f>
        <v>7631155960.4658384</v>
      </c>
      <c r="Q132" s="2">
        <f>Q11/'Output-Calculation-sheet'!Q10*'Output-Calculation-sheet'!Q109</f>
        <v>6471046244.4453592</v>
      </c>
      <c r="R132" s="2">
        <f>R11/'Output-Calculation-sheet'!R10*'Output-Calculation-sheet'!R109</f>
        <v>7222946321.6466007</v>
      </c>
      <c r="S132" s="2">
        <f>S11/'Output-Calculation-sheet'!S10*'Output-Calculation-sheet'!S109</f>
        <v>2249410483.65487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2257941282.4650421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862707120.63833559</v>
      </c>
      <c r="AA132" s="2">
        <f t="shared" si="11"/>
        <v>224555.90446854272</v>
      </c>
    </row>
    <row r="133" spans="1:27" x14ac:dyDescent="0.25">
      <c r="A133" s="2">
        <v>2035</v>
      </c>
      <c r="B133" s="2">
        <f>B12/'Output-Calculation-sheet'!B11*'Output-Calculation-sheet'!B110</f>
        <v>48265423111.292732</v>
      </c>
      <c r="C133" s="2">
        <f>C12/'Output-Calculation-sheet'!C11*'Output-Calculation-sheet'!C110</f>
        <v>0</v>
      </c>
      <c r="D133" s="2">
        <f>D12/'Output-Calculation-sheet'!D11*'Output-Calculation-sheet'!D110</f>
        <v>33177257455.900028</v>
      </c>
      <c r="E133" s="2">
        <f>E12/'Output-Calculation-sheet'!E11*'Output-Calculation-sheet'!E110</f>
        <v>26120409758.254265</v>
      </c>
      <c r="F133" s="2">
        <f>F12/'Output-Calculation-sheet'!F11*'Output-Calculation-sheet'!F110</f>
        <v>17950089400.099854</v>
      </c>
      <c r="G133" s="2">
        <f>G12/'Output-Calculation-sheet'!G11*'Output-Calculation-sheet'!G110</f>
        <v>12374036326.020882</v>
      </c>
      <c r="H133" s="2">
        <f>H12/'Output-Calculation-sheet'!H11*'Output-Calculation-sheet'!H110</f>
        <v>0</v>
      </c>
      <c r="I133" s="2">
        <f>I12/'Output-Calculation-sheet'!I11*'Output-Calculation-sheet'!I110</f>
        <v>11228907630.852079</v>
      </c>
      <c r="J133" s="2">
        <f>J12/'Output-Calculation-sheet'!J11*'Output-Calculation-sheet'!J110</f>
        <v>10515732285.482336</v>
      </c>
      <c r="K133" s="2">
        <f>K12/'Output-Calculation-sheet'!K11*'Output-Calculation-sheet'!K110</f>
        <v>10768118733.350512</v>
      </c>
      <c r="L133" s="2">
        <f>L12/'Output-Calculation-sheet'!L11*'Output-Calculation-sheet'!L110</f>
        <v>7891479754.0220299</v>
      </c>
      <c r="M133" s="2">
        <f>M12/'Output-Calculation-sheet'!M11*'Output-Calculation-sheet'!M110</f>
        <v>0</v>
      </c>
      <c r="N133" s="2">
        <f>N12/'Output-Calculation-sheet'!N11*'Output-Calculation-sheet'!N110</f>
        <v>2463792416.8419571</v>
      </c>
      <c r="O133" s="2">
        <f>O12/'Output-Calculation-sheet'!O11*'Output-Calculation-sheet'!O110</f>
        <v>0</v>
      </c>
      <c r="P133" s="2">
        <f>P12/'Output-Calculation-sheet'!P11*'Output-Calculation-sheet'!P110</f>
        <v>7359392021.7278452</v>
      </c>
      <c r="Q133" s="2">
        <f>Q12/'Output-Calculation-sheet'!Q11*'Output-Calculation-sheet'!Q110</f>
        <v>5985606579.0712395</v>
      </c>
      <c r="R133" s="2">
        <f>R12/'Output-Calculation-sheet'!R11*'Output-Calculation-sheet'!R110</f>
        <v>7055103701.431386</v>
      </c>
      <c r="S133" s="2">
        <f>S12/'Output-Calculation-sheet'!S11*'Output-Calculation-sheet'!S110</f>
        <v>1902535392.0857577</v>
      </c>
      <c r="T133" s="2">
        <f>T12/'Output-Calculation-sheet'!T11*'Output-Calculation-sheet'!T110</f>
        <v>2655027066.5596924</v>
      </c>
      <c r="U133" s="2">
        <f>U12/'Output-Calculation-sheet'!U11*'Output-Calculation-sheet'!U110</f>
        <v>2152562480.3450489</v>
      </c>
      <c r="V133" s="2">
        <f>V12/'Output-Calculation-sheet'!V11*'Output-Calculation-sheet'!V110</f>
        <v>1697594812.5474589</v>
      </c>
      <c r="W133" s="2">
        <f>W12/'Output-Calculation-sheet'!W11*'Output-Calculation-sheet'!W110</f>
        <v>1584178890.248625</v>
      </c>
      <c r="X133" s="2">
        <f>X12/'Output-Calculation-sheet'!X11*'Output-Calculation-sheet'!X110</f>
        <v>0</v>
      </c>
      <c r="Y133" s="2">
        <f>Y12/'Output-Calculation-sheet'!Y11*'Output-Calculation-sheet'!Y110</f>
        <v>678439248.15212405</v>
      </c>
      <c r="AA133" s="2">
        <f t="shared" si="11"/>
        <v>211825.68706428586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8449672899.6902466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257345367.0805977</v>
      </c>
      <c r="Y140" s="2">
        <f>Y8/'Output-Calculation-sheet'!Y7*'Output-Calculation-sheet'!Y115</f>
        <v>0</v>
      </c>
      <c r="AA140" s="2">
        <f t="shared" si="12"/>
        <v>8707.0182667708432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6007173783.2992191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335812008.64483601</v>
      </c>
      <c r="Y141" s="2">
        <f>Y9/'Output-Calculation-sheet'!Y8*'Output-Calculation-sheet'!Y116</f>
        <v>0</v>
      </c>
      <c r="AA141" s="2">
        <f t="shared" si="12"/>
        <v>6342.9857919440556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334793899.63062751</v>
      </c>
      <c r="Y142" s="2">
        <f>Y10/'Output-Calculation-sheet'!Y9*'Output-Calculation-sheet'!Y117</f>
        <v>0</v>
      </c>
      <c r="AA142" s="2">
        <f t="shared" si="12"/>
        <v>334.79389963062749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515.83957983888672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715549701.49627984</v>
      </c>
      <c r="Y144" s="2">
        <f>Y12/'Output-Calculation-sheet'!Y11*'Output-Calculation-sheet'!Y119</f>
        <v>0</v>
      </c>
      <c r="AA144" s="2">
        <f t="shared" si="12"/>
        <v>715.54970149627979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25361300733.267799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6187565730.8985415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192586.14819417032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28072569749.44157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6397346151.0370178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161880.54900936925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30276151183.139809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6334755783.5753822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122131.67171258567</v>
      </c>
    </row>
    <row r="154" spans="1:27" x14ac:dyDescent="0.25">
      <c r="A154" s="2">
        <v>2034</v>
      </c>
      <c r="B154" s="2">
        <f>B11/'Output-Calculation-sheet'!B10*'Output-Calculation-sheet'!B127</f>
        <v>14413681081.671736</v>
      </c>
      <c r="C154" s="2">
        <f>C11/'Output-Calculation-sheet'!C10*'Output-Calculation-sheet'!C127</f>
        <v>26600070921.614765</v>
      </c>
      <c r="D154" s="2">
        <f>D11/'Output-Calculation-sheet'!D10*'Output-Calculation-sheet'!D127</f>
        <v>5350016176.8116283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2324395188.4374866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1716095182.2996466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1480259205.5975847</v>
      </c>
      <c r="M154" s="2">
        <f>M11/'Output-Calculation-sheet'!M10*'Output-Calculation-sheet'!M127</f>
        <v>1493677939.7658324</v>
      </c>
      <c r="N154" s="2">
        <f>N11/'Output-Calculation-sheet'!N10*'Output-Calculation-sheet'!N127</f>
        <v>1387988920.8665702</v>
      </c>
      <c r="O154" s="2">
        <f>O11/'Output-Calculation-sheet'!O10*'Output-Calculation-sheet'!O127</f>
        <v>6004193874.6931887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1846535623.4531379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957596403.75829494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407888212.83410531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78866.008567246507</v>
      </c>
    </row>
    <row r="155" spans="1:27" x14ac:dyDescent="0.25">
      <c r="A155" s="2">
        <v>2035</v>
      </c>
      <c r="B155" s="2">
        <f>B12/'Output-Calculation-sheet'!B11*'Output-Calculation-sheet'!B128</f>
        <v>11833205648.512941</v>
      </c>
      <c r="C155" s="2">
        <f>C12/'Output-Calculation-sheet'!C11*'Output-Calculation-sheet'!C128</f>
        <v>20903816447.946342</v>
      </c>
      <c r="D155" s="2">
        <f>D12/'Output-Calculation-sheet'!D11*'Output-Calculation-sheet'!D128</f>
        <v>4875057982.4620247</v>
      </c>
      <c r="E155" s="2">
        <f>E12/'Output-Calculation-sheet'!E11*'Output-Calculation-sheet'!E128</f>
        <v>2657100923.1459913</v>
      </c>
      <c r="F155" s="2">
        <f>F12/'Output-Calculation-sheet'!F11*'Output-Calculation-sheet'!F128</f>
        <v>1447365216.0872631</v>
      </c>
      <c r="G155" s="2">
        <f>G12/'Output-Calculation-sheet'!G11*'Output-Calculation-sheet'!G128</f>
        <v>1365512038.0369804</v>
      </c>
      <c r="H155" s="2">
        <f>H12/'Output-Calculation-sheet'!H11*'Output-Calculation-sheet'!H128</f>
        <v>1994497605.0048981</v>
      </c>
      <c r="I155" s="2">
        <f>I12/'Output-Calculation-sheet'!I11*'Output-Calculation-sheet'!I128</f>
        <v>1247667935.7704885</v>
      </c>
      <c r="J155" s="2">
        <f>J12/'Output-Calculation-sheet'!J11*'Output-Calculation-sheet'!J128</f>
        <v>1552123624.9649038</v>
      </c>
      <c r="K155" s="2">
        <f>K12/'Output-Calculation-sheet'!K11*'Output-Calculation-sheet'!K128</f>
        <v>1244267777.4460337</v>
      </c>
      <c r="L155" s="2">
        <f>L12/'Output-Calculation-sheet'!L11*'Output-Calculation-sheet'!L128</f>
        <v>1273658970.3206046</v>
      </c>
      <c r="M155" s="2">
        <f>M12/'Output-Calculation-sheet'!M11*'Output-Calculation-sheet'!M128</f>
        <v>1259219238.5399323</v>
      </c>
      <c r="N155" s="2">
        <f>N12/'Output-Calculation-sheet'!N11*'Output-Calculation-sheet'!N128</f>
        <v>1154698271.2766125</v>
      </c>
      <c r="O155" s="2">
        <f>O12/'Output-Calculation-sheet'!O11*'Output-Calculation-sheet'!O128</f>
        <v>5426944189.0764885</v>
      </c>
      <c r="P155" s="2">
        <f>P12/'Output-Calculation-sheet'!P11*'Output-Calculation-sheet'!P128</f>
        <v>667796680.54664719</v>
      </c>
      <c r="Q155" s="2">
        <f>Q12/'Output-Calculation-sheet'!Q11*'Output-Calculation-sheet'!Q128</f>
        <v>1586784982.1919484</v>
      </c>
      <c r="R155" s="2">
        <f>R12/'Output-Calculation-sheet'!R11*'Output-Calculation-sheet'!R128</f>
        <v>732910537.25078821</v>
      </c>
      <c r="S155" s="2">
        <f>S12/'Output-Calculation-sheet'!S11*'Output-Calculation-sheet'!S128</f>
        <v>769807057.42526519</v>
      </c>
      <c r="T155" s="2">
        <f>T12/'Output-Calculation-sheet'!T11*'Output-Calculation-sheet'!T128</f>
        <v>189904183.5014998</v>
      </c>
      <c r="U155" s="2">
        <f>U12/'Output-Calculation-sheet'!U11*'Output-Calculation-sheet'!U128</f>
        <v>369630823.33590049</v>
      </c>
      <c r="V155" s="2">
        <f>V12/'Output-Calculation-sheet'!V11*'Output-Calculation-sheet'!V128</f>
        <v>205341915.36130947</v>
      </c>
      <c r="W155" s="2">
        <f>W12/'Output-Calculation-sheet'!W11*'Output-Calculation-sheet'!W128</f>
        <v>73491559.824743778</v>
      </c>
      <c r="X155" s="2">
        <f>X12/'Output-Calculation-sheet'!X11*'Output-Calculation-sheet'!X128</f>
        <v>33097310.583019309</v>
      </c>
      <c r="Y155" s="2">
        <f>Y12/'Output-Calculation-sheet'!Y11*'Output-Calculation-sheet'!Y128</f>
        <v>81518433.844596684</v>
      </c>
      <c r="AA155" s="2">
        <f t="shared" si="13"/>
        <v>62945.419352457233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7456.7445526821039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4781.3480894937829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3318.7403893887108</v>
      </c>
      <c r="N19" s="2">
        <f>N8/'Output-Calculation-sheet'!N7*'Output-Calculation-sheet'!N25</f>
        <v>1134.4657465834591</v>
      </c>
      <c r="O19" s="2">
        <f>O8/'Output-Calculation-sheet'!O7*'Output-Calculation-sheet'!O25</f>
        <v>1773.1197029833363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175.20814318835662</v>
      </c>
      <c r="Y19" s="2">
        <f>Y8/'Output-Calculation-sheet'!Y7*'Output-Calculation-sheet'!Y25</f>
        <v>0</v>
      </c>
      <c r="AA19" s="2">
        <f t="shared" si="0"/>
        <v>20.109048775599998</v>
      </c>
    </row>
    <row r="20" spans="1:27" x14ac:dyDescent="0.25">
      <c r="A20" s="2">
        <v>2032</v>
      </c>
      <c r="B20" s="2">
        <f>B9/'Output-Calculation-sheet'!B8*'Output-Calculation-sheet'!B26</f>
        <v>6033.8434812889882</v>
      </c>
      <c r="C20" s="2">
        <f>C9/'Output-Calculation-sheet'!C8*'Output-Calculation-sheet'!C26</f>
        <v>10201.087090296925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6559.2074923670825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4561.5472203727804</v>
      </c>
      <c r="N20" s="2">
        <f>N9/'Output-Calculation-sheet'!N8*'Output-Calculation-sheet'!N26</f>
        <v>2054.0041839486544</v>
      </c>
      <c r="O20" s="2">
        <f>O9/'Output-Calculation-sheet'!O8*'Output-Calculation-sheet'!O26</f>
        <v>2138.871747744035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746.9838891759573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243.76577067706012</v>
      </c>
      <c r="Y20" s="2">
        <f>Y9/'Output-Calculation-sheet'!Y8*'Output-Calculation-sheet'!Y26</f>
        <v>0</v>
      </c>
      <c r="AA20" s="2">
        <f t="shared" si="0"/>
        <v>32.539310875871486</v>
      </c>
    </row>
    <row r="21" spans="1:27" x14ac:dyDescent="0.25">
      <c r="A21" s="2">
        <v>2033</v>
      </c>
      <c r="B21" s="2">
        <f>B10/'Output-Calculation-sheet'!B9*'Output-Calculation-sheet'!B27</f>
        <v>14690.84260840744</v>
      </c>
      <c r="C21" s="2">
        <f>C10/'Output-Calculation-sheet'!C9*'Output-Calculation-sheet'!C27</f>
        <v>15084.606285595803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8483.6855561992325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5893.5394804513862</v>
      </c>
      <c r="N21" s="2">
        <f>N10/'Output-Calculation-sheet'!N9*'Output-Calculation-sheet'!N27</f>
        <v>3219.5789311183698</v>
      </c>
      <c r="O21" s="2">
        <f>O10/'Output-Calculation-sheet'!O9*'Output-Calculation-sheet'!O27</f>
        <v>2489.5545394419387</v>
      </c>
      <c r="P21" s="2">
        <f>P10/'Output-Calculation-sheet'!P9*'Output-Calculation-sheet'!P27</f>
        <v>0</v>
      </c>
      <c r="Q21" s="2">
        <f>Q10/'Output-Calculation-sheet'!Q9*'Output-Calculation-sheet'!Q27</f>
        <v>217.39739486103477</v>
      </c>
      <c r="R21" s="2">
        <f>R10/'Output-Calculation-sheet'!R9*'Output-Calculation-sheet'!R27</f>
        <v>0</v>
      </c>
      <c r="S21" s="2">
        <f>S10/'Output-Calculation-sheet'!S9*'Output-Calculation-sheet'!S27</f>
        <v>1401.4909366067168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373.61301597785751</v>
      </c>
      <c r="Y21" s="2">
        <f>Y10/'Output-Calculation-sheet'!Y9*'Output-Calculation-sheet'!Y27</f>
        <v>0</v>
      </c>
      <c r="AA21" s="2">
        <f t="shared" si="0"/>
        <v>51.854308748659776</v>
      </c>
    </row>
    <row r="22" spans="1:27" x14ac:dyDescent="0.25">
      <c r="A22" s="2">
        <v>2034</v>
      </c>
      <c r="B22" s="2">
        <f>B11/'Output-Calculation-sheet'!B10*'Output-Calculation-sheet'!B28</f>
        <v>26403.986477821185</v>
      </c>
      <c r="C22" s="2">
        <f>C11/'Output-Calculation-sheet'!C10*'Output-Calculation-sheet'!C28</f>
        <v>18567.561170188161</v>
      </c>
      <c r="D22" s="2">
        <f>D11/'Output-Calculation-sheet'!D10*'Output-Calculation-sheet'!D28</f>
        <v>0</v>
      </c>
      <c r="E22" s="2">
        <f>E11/'Output-Calculation-sheet'!E10*'Output-Calculation-sheet'!E28</f>
        <v>1512.4503952121318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10619.003891069076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758.38346669893542</v>
      </c>
      <c r="M22" s="2">
        <f>M11/'Output-Calculation-sheet'!M10*'Output-Calculation-sheet'!M28</f>
        <v>7545.249104470653</v>
      </c>
      <c r="N22" s="2">
        <f>N11/'Output-Calculation-sheet'!N10*'Output-Calculation-sheet'!N28</f>
        <v>4449.474961377683</v>
      </c>
      <c r="O22" s="2">
        <f>O11/'Output-Calculation-sheet'!O10*'Output-Calculation-sheet'!O28</f>
        <v>2837.0184284505362</v>
      </c>
      <c r="P22" s="2">
        <f>P11/'Output-Calculation-sheet'!P10*'Output-Calculation-sheet'!P28</f>
        <v>0</v>
      </c>
      <c r="Q22" s="2">
        <f>Q11/'Output-Calculation-sheet'!Q10*'Output-Calculation-sheet'!Q28</f>
        <v>666.34777198692723</v>
      </c>
      <c r="R22" s="2">
        <f>R11/'Output-Calculation-sheet'!R10*'Output-Calculation-sheet'!R28</f>
        <v>0</v>
      </c>
      <c r="S22" s="2">
        <f>S11/'Output-Calculation-sheet'!S10*'Output-Calculation-sheet'!S28</f>
        <v>1955.1709152965022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81.979141890600133</v>
      </c>
      <c r="AA22" s="2">
        <f t="shared" si="0"/>
        <v>75.732030178480045</v>
      </c>
    </row>
    <row r="23" spans="1:27" x14ac:dyDescent="0.25">
      <c r="A23" s="2">
        <v>2035</v>
      </c>
      <c r="B23" s="2">
        <f>B12/'Output-Calculation-sheet'!B11*'Output-Calculation-sheet'!B29</f>
        <v>31607.73750340526</v>
      </c>
      <c r="C23" s="2">
        <f>C12/'Output-Calculation-sheet'!C11*'Output-Calculation-sheet'!C29</f>
        <v>23016.956894382856</v>
      </c>
      <c r="D23" s="2">
        <f>D12/'Output-Calculation-sheet'!D11*'Output-Calculation-sheet'!D29</f>
        <v>0</v>
      </c>
      <c r="E23" s="2">
        <f>E12/'Output-Calculation-sheet'!E11*'Output-Calculation-sheet'!E29</f>
        <v>4203.6704293501352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11425.465722857471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917.27056142040215</v>
      </c>
      <c r="M23" s="2">
        <f>M12/'Output-Calculation-sheet'!M11*'Output-Calculation-sheet'!M29</f>
        <v>8165.1659534573328</v>
      </c>
      <c r="N23" s="2">
        <f>N12/'Output-Calculation-sheet'!N11*'Output-Calculation-sheet'!N29</f>
        <v>4883.9482733078812</v>
      </c>
      <c r="O23" s="2">
        <f>O12/'Output-Calculation-sheet'!O11*'Output-Calculation-sheet'!O29</f>
        <v>3172.9774077474162</v>
      </c>
      <c r="P23" s="2">
        <f>P12/'Output-Calculation-sheet'!P11*'Output-Calculation-sheet'!P29</f>
        <v>664.66199294525313</v>
      </c>
      <c r="Q23" s="2">
        <f>Q12/'Output-Calculation-sheet'!Q11*'Output-Calculation-sheet'!Q29</f>
        <v>990.2765530125647</v>
      </c>
      <c r="R23" s="2">
        <f>R12/'Output-Calculation-sheet'!R11*'Output-Calculation-sheet'!R29</f>
        <v>0</v>
      </c>
      <c r="S23" s="2">
        <f>S12/'Output-Calculation-sheet'!S11*'Output-Calculation-sheet'!S29</f>
        <v>2338.5564925977769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206.12485396757438</v>
      </c>
      <c r="Y23" s="2">
        <f>Y12/'Output-Calculation-sheet'!Y11*'Output-Calculation-sheet'!Y29</f>
        <v>217.4930824261327</v>
      </c>
      <c r="AA23" s="2">
        <f t="shared" si="0"/>
        <v>91.810305720878048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1544.9315281219681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39.715824231326778</v>
      </c>
    </row>
    <row r="31" spans="1:27" x14ac:dyDescent="0.25">
      <c r="A31" s="2">
        <v>2032</v>
      </c>
      <c r="B31" s="2">
        <f>B9/'Output-Calculation-sheet'!B8*'Output-Calculation-sheet'!B17</f>
        <v>25549.034131101929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1749.9958515105291</v>
      </c>
      <c r="O31" s="2">
        <f>O9/'Output-Calculation-sheet'!O8*'Output-Calculation-sheet'!O17</f>
        <v>0</v>
      </c>
      <c r="P31" s="2">
        <f>P9/'Output-Calculation-sheet'!P8*'Output-Calculation-sheet'!P17</f>
        <v>2167.0042126548551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1301.2255655871318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55.638370173961285</v>
      </c>
    </row>
    <row r="32" spans="1:27" x14ac:dyDescent="0.25">
      <c r="A32" s="2">
        <v>2033</v>
      </c>
      <c r="B32" s="2">
        <f>B10/'Output-Calculation-sheet'!B9*'Output-Calculation-sheet'!B18</f>
        <v>29753.978406785027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2837.9286299848955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1818.236971868967</v>
      </c>
      <c r="O32" s="2">
        <f>O10/'Output-Calculation-sheet'!O9*'Output-Calculation-sheet'!O18</f>
        <v>0</v>
      </c>
      <c r="P32" s="2">
        <f>P10/'Output-Calculation-sheet'!P9*'Output-Calculation-sheet'!P18</f>
        <v>2920.7922704190823</v>
      </c>
      <c r="Q32" s="2">
        <f>Q10/'Output-Calculation-sheet'!Q9*'Output-Calculation-sheet'!Q18</f>
        <v>3182.1562148820922</v>
      </c>
      <c r="R32" s="2">
        <f>R10/'Output-Calculation-sheet'!R9*'Output-Calculation-sheet'!R18</f>
        <v>2097.4034993843202</v>
      </c>
      <c r="S32" s="2">
        <f>S10/'Output-Calculation-sheet'!S9*'Output-Calculation-sheet'!S18</f>
        <v>1373.6746935146168</v>
      </c>
      <c r="T32" s="2">
        <f>T10/'Output-Calculation-sheet'!T9*'Output-Calculation-sheet'!T18</f>
        <v>612.36014332542334</v>
      </c>
      <c r="U32" s="2">
        <f>U10/'Output-Calculation-sheet'!U9*'Output-Calculation-sheet'!U18</f>
        <v>677.03943567038846</v>
      </c>
      <c r="V32" s="2">
        <f>V10/'Output-Calculation-sheet'!V9*'Output-Calculation-sheet'!V18</f>
        <v>499.62401598008228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289.30243171613699</v>
      </c>
      <c r="AA32" s="2">
        <f t="shared" si="1"/>
        <v>71.521997103843404</v>
      </c>
    </row>
    <row r="33" spans="1:27" x14ac:dyDescent="0.25">
      <c r="A33" s="2">
        <v>2034</v>
      </c>
      <c r="B33" s="2">
        <f>B11/'Output-Calculation-sheet'!B10*'Output-Calculation-sheet'!B19</f>
        <v>29999.425617616598</v>
      </c>
      <c r="C33" s="2">
        <f>C11/'Output-Calculation-sheet'!C10*'Output-Calculation-sheet'!C19</f>
        <v>0</v>
      </c>
      <c r="D33" s="2">
        <f>D11/'Output-Calculation-sheet'!D10*'Output-Calculation-sheet'!D19</f>
        <v>8768.4770718623786</v>
      </c>
      <c r="E33" s="2">
        <f>E11/'Output-Calculation-sheet'!E10*'Output-Calculation-sheet'!E19</f>
        <v>11031.575701913602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3310.956198479973</v>
      </c>
      <c r="J33" s="2">
        <f>J11/'Output-Calculation-sheet'!J10*'Output-Calculation-sheet'!J19</f>
        <v>2740.6934453627132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3071.5309059599526</v>
      </c>
      <c r="M33" s="2">
        <f>M11/'Output-Calculation-sheet'!M10*'Output-Calculation-sheet'!M19</f>
        <v>0</v>
      </c>
      <c r="N33" s="2">
        <f>N11/'Output-Calculation-sheet'!N10*'Output-Calculation-sheet'!N19</f>
        <v>1823.1210330148147</v>
      </c>
      <c r="O33" s="2">
        <f>O11/'Output-Calculation-sheet'!O10*'Output-Calculation-sheet'!O19</f>
        <v>0</v>
      </c>
      <c r="P33" s="2">
        <f>P11/'Output-Calculation-sheet'!P10*'Output-Calculation-sheet'!P19</f>
        <v>3927.9735247362901</v>
      </c>
      <c r="Q33" s="2">
        <f>Q11/'Output-Calculation-sheet'!Q10*'Output-Calculation-sheet'!Q19</f>
        <v>3287.7173381203488</v>
      </c>
      <c r="R33" s="2">
        <f>R11/'Output-Calculation-sheet'!R10*'Output-Calculation-sheet'!R19</f>
        <v>2804.957057107657</v>
      </c>
      <c r="S33" s="2">
        <f>S11/'Output-Calculation-sheet'!S10*'Output-Calculation-sheet'!S19</f>
        <v>1406.404454388535</v>
      </c>
      <c r="T33" s="2">
        <f>T11/'Output-Calculation-sheet'!T10*'Output-Calculation-sheet'!T19</f>
        <v>823.02778656918474</v>
      </c>
      <c r="U33" s="2">
        <f>U11/'Output-Calculation-sheet'!U10*'Output-Calculation-sheet'!U19</f>
        <v>887.19470375514743</v>
      </c>
      <c r="V33" s="2">
        <f>V11/'Output-Calculation-sheet'!V10*'Output-Calculation-sheet'!V19</f>
        <v>645.56717609082682</v>
      </c>
      <c r="W33" s="2">
        <f>W11/'Output-Calculation-sheet'!W10*'Output-Calculation-sheet'!W19</f>
        <v>401.96973132143876</v>
      </c>
      <c r="X33" s="2">
        <f>X11/'Output-Calculation-sheet'!X10*'Output-Calculation-sheet'!X19</f>
        <v>0</v>
      </c>
      <c r="Y33" s="2">
        <f>Y11/'Output-Calculation-sheet'!Y10*'Output-Calculation-sheet'!Y19</f>
        <v>362.3086321125927</v>
      </c>
      <c r="AA33" s="2">
        <f t="shared" si="1"/>
        <v>87.26998576366708</v>
      </c>
    </row>
    <row r="34" spans="1:27" x14ac:dyDescent="0.25">
      <c r="A34" s="2">
        <v>2035</v>
      </c>
      <c r="B34" s="2">
        <f>B12/'Output-Calculation-sheet'!B11*'Output-Calculation-sheet'!B20</f>
        <v>29454.847836333473</v>
      </c>
      <c r="C34" s="2">
        <f>C12/'Output-Calculation-sheet'!C11*'Output-Calculation-sheet'!C20</f>
        <v>0</v>
      </c>
      <c r="D34" s="2">
        <f>D12/'Output-Calculation-sheet'!D11*'Output-Calculation-sheet'!D20</f>
        <v>9184.9828690908362</v>
      </c>
      <c r="E34" s="2">
        <f>E12/'Output-Calculation-sheet'!E11*'Output-Calculation-sheet'!E20</f>
        <v>10751.0239717434</v>
      </c>
      <c r="F34" s="2">
        <f>F12/'Output-Calculation-sheet'!F11*'Output-Calculation-sheet'!F20</f>
        <v>6245.2594586764599</v>
      </c>
      <c r="G34" s="2">
        <f>G12/'Output-Calculation-sheet'!G11*'Output-Calculation-sheet'!G20</f>
        <v>3315.347489219309</v>
      </c>
      <c r="H34" s="2">
        <f>H12/'Output-Calculation-sheet'!H11*'Output-Calculation-sheet'!H20</f>
        <v>0</v>
      </c>
      <c r="I34" s="2">
        <f>I12/'Output-Calculation-sheet'!I11*'Output-Calculation-sheet'!I20</f>
        <v>3675.0472170917401</v>
      </c>
      <c r="J34" s="2">
        <f>J12/'Output-Calculation-sheet'!J11*'Output-Calculation-sheet'!J20</f>
        <v>2874.5005320460391</v>
      </c>
      <c r="K34" s="2">
        <f>K12/'Output-Calculation-sheet'!K11*'Output-Calculation-sheet'!K20</f>
        <v>4243.709444726589</v>
      </c>
      <c r="L34" s="2">
        <f>L12/'Output-Calculation-sheet'!L11*'Output-Calculation-sheet'!L20</f>
        <v>3222.1319899271675</v>
      </c>
      <c r="M34" s="2">
        <f>M12/'Output-Calculation-sheet'!M11*'Output-Calculation-sheet'!M20</f>
        <v>0</v>
      </c>
      <c r="N34" s="2">
        <f>N12/'Output-Calculation-sheet'!N11*'Output-Calculation-sheet'!N20</f>
        <v>1875.048988876069</v>
      </c>
      <c r="O34" s="2">
        <f>O12/'Output-Calculation-sheet'!O11*'Output-Calculation-sheet'!O20</f>
        <v>0</v>
      </c>
      <c r="P34" s="2">
        <f>P12/'Output-Calculation-sheet'!P11*'Output-Calculation-sheet'!P20</f>
        <v>4049.2060892147042</v>
      </c>
      <c r="Q34" s="2">
        <f>Q12/'Output-Calculation-sheet'!Q11*'Output-Calculation-sheet'!Q20</f>
        <v>3322.7713719465933</v>
      </c>
      <c r="R34" s="2">
        <f>R12/'Output-Calculation-sheet'!R11*'Output-Calculation-sheet'!R20</f>
        <v>3151.2112774958146</v>
      </c>
      <c r="S34" s="2">
        <f>S12/'Output-Calculation-sheet'!S11*'Output-Calculation-sheet'!S20</f>
        <v>1333.161894389729</v>
      </c>
      <c r="T34" s="2">
        <f>T12/'Output-Calculation-sheet'!T11*'Output-Calculation-sheet'!T20</f>
        <v>976.11080105906694</v>
      </c>
      <c r="U34" s="2">
        <f>U12/'Output-Calculation-sheet'!U11*'Output-Calculation-sheet'!U20</f>
        <v>932.6346548152178</v>
      </c>
      <c r="V34" s="2">
        <f>V12/'Output-Calculation-sheet'!V11*'Output-Calculation-sheet'!V20</f>
        <v>694.30002414881039</v>
      </c>
      <c r="W34" s="2">
        <f>W12/'Output-Calculation-sheet'!W11*'Output-Calculation-sheet'!W20</f>
        <v>547.44231869422515</v>
      </c>
      <c r="X34" s="2">
        <f>X12/'Output-Calculation-sheet'!X11*'Output-Calculation-sheet'!X20</f>
        <v>0</v>
      </c>
      <c r="Y34" s="2">
        <f>Y12/'Output-Calculation-sheet'!Y11*'Output-Calculation-sheet'!Y20</f>
        <v>323.31323953073701</v>
      </c>
      <c r="AA34" s="2">
        <f t="shared" si="1"/>
        <v>90.172051469025973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0.60665076506552296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0.33392360616865097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0.94057437123417387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1.9419498867476319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0.48505746096751012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2.4270073477151421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3.5760131353230267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0.64840534052933485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4.224418475852362</v>
      </c>
    </row>
    <row r="44" spans="1:27" x14ac:dyDescent="0.25">
      <c r="A44" s="2">
        <v>2034</v>
      </c>
      <c r="B44" s="2">
        <f>B11/'Output-Calculation-sheet'!B10*'Output-Calculation-sheet'!B37*0.0114</f>
        <v>0.26623713856610592</v>
      </c>
      <c r="C44" s="2">
        <f>C11/'Output-Calculation-sheet'!C10*'Output-Calculation-sheet'!C37*0.0114</f>
        <v>4.2331373223327482</v>
      </c>
      <c r="D44" s="2">
        <f>D11/'Output-Calculation-sheet'!D10*'Output-Calculation-sheet'!D37*0.0114</f>
        <v>5.5967592428651632E-2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7.7796475128304107E-2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1.7871317019578163E-2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1.4112407847527294E-2</v>
      </c>
      <c r="M44" s="2">
        <f>M11/'Output-Calculation-sheet'!M10*'Output-Calculation-sheet'!M37*0.0114</f>
        <v>4.0148659503094118E-2</v>
      </c>
      <c r="N44" s="2">
        <f>N11/'Output-Calculation-sheet'!N10*'Output-Calculation-sheet'!N37*0.0114</f>
        <v>2.6306414123489604E-2</v>
      </c>
      <c r="O44" s="2">
        <f>O11/'Output-Calculation-sheet'!O10*'Output-Calculation-sheet'!O37*0.0114</f>
        <v>0.81010663880234446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5.7621116113954561E-2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3.0159489435399801E-2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7.3538402530058458E-3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5.636818411554203</v>
      </c>
    </row>
    <row r="45" spans="1:27" x14ac:dyDescent="0.25">
      <c r="A45" s="2">
        <v>2035</v>
      </c>
      <c r="B45" s="2">
        <f>B12/'Output-Calculation-sheet'!B11*'Output-Calculation-sheet'!B38*0.0114</f>
        <v>1.2573658016642517</v>
      </c>
      <c r="C45" s="2">
        <f>C12/'Output-Calculation-sheet'!C11*'Output-Calculation-sheet'!C38*0.0114</f>
        <v>4.7741992936642719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0.32676614895823508</v>
      </c>
      <c r="F45" s="2">
        <f>F12/'Output-Calculation-sheet'!F11*'Output-Calculation-sheet'!F38*0.0114</f>
        <v>0.11743624405183266</v>
      </c>
      <c r="G45" s="2">
        <f>G12/'Output-Calculation-sheet'!G11*'Output-Calculation-sheet'!G38*0.0114</f>
        <v>0.10535274844848824</v>
      </c>
      <c r="H45" s="2">
        <f>H12/'Output-Calculation-sheet'!H11*'Output-Calculation-sheet'!H38*0.0114</f>
        <v>0.36741165354759492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7.5023452056949533E-2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8.8865433285963275E-2</v>
      </c>
      <c r="M45" s="2">
        <f>M12/'Output-Calculation-sheet'!M11*'Output-Calculation-sheet'!M38*0.0114</f>
        <v>0.2247244213045522</v>
      </c>
      <c r="N45" s="2">
        <f>N12/'Output-Calculation-sheet'!N11*'Output-Calculation-sheet'!N38*0.0114</f>
        <v>0.1380422884210066</v>
      </c>
      <c r="O45" s="2">
        <f>O12/'Output-Calculation-sheet'!O11*'Output-Calculation-sheet'!O38*0.0114</f>
        <v>0.96613988720124933</v>
      </c>
      <c r="P45" s="2">
        <f>P12/'Output-Calculation-sheet'!P11*'Output-Calculation-sheet'!P38*0.0114</f>
        <v>8.9268779063303064E-2</v>
      </c>
      <c r="Q45" s="2">
        <f>Q12/'Output-Calculation-sheet'!Q11*'Output-Calculation-sheet'!Q38*0.0114</f>
        <v>0.13304079775592709</v>
      </c>
      <c r="R45" s="2">
        <f>R12/'Output-Calculation-sheet'!R11*'Output-Calculation-sheet'!R38*0.0114</f>
        <v>5.9970466280125687E-2</v>
      </c>
      <c r="S45" s="2">
        <f>S12/'Output-Calculation-sheet'!S11*'Output-Calculation-sheet'!S38*0.0114</f>
        <v>8.7043665695008113E-2</v>
      </c>
      <c r="T45" s="2">
        <f>T12/'Output-Calculation-sheet'!T11*'Output-Calculation-sheet'!T38*0.0114</f>
        <v>1.7749450707532522E-2</v>
      </c>
      <c r="U45" s="2">
        <f>U12/'Output-Calculation-sheet'!U11*'Output-Calculation-sheet'!U38*0.0114</f>
        <v>2.7012372446866439E-2</v>
      </c>
      <c r="V45" s="2">
        <f>V12/'Output-Calculation-sheet'!V11*'Output-Calculation-sheet'!V38*0.0114</f>
        <v>1.1902227959482061E-2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6.163184101541104E-3</v>
      </c>
      <c r="Y45" s="2">
        <f>Y12/'Output-Calculation-sheet'!Y11*'Output-Calculation-sheet'!Y38*0.0114</f>
        <v>1.0408283460222134E-2</v>
      </c>
      <c r="AA45" s="2">
        <f t="shared" si="2"/>
        <v>9.2955063272549694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6751.7933038185947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4617.7111884778615</v>
      </c>
      <c r="N52" s="2">
        <f>N8/'Output-Calculation-sheet'!N7*'Output-Calculation-sheet'!N43</f>
        <v>145.86592208263949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31.222838485811916</v>
      </c>
      <c r="Y52" s="2">
        <f>Y8/'Output-Calculation-sheet'!Y7*'Output-Calculation-sheet'!Y43</f>
        <v>0</v>
      </c>
      <c r="AA52" s="2">
        <f t="shared" si="3"/>
        <v>11.546593252864906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199.54873522970655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13137.94886285869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8985.5483348669513</v>
      </c>
      <c r="N53" s="2">
        <f>N9/'Output-Calculation-sheet'!N8*'Output-Calculation-sheet'!N44</f>
        <v>3188.643512431026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994.36383930240913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274.25462957301954</v>
      </c>
      <c r="Y53" s="2">
        <f>Y9/'Output-Calculation-sheet'!Y8*'Output-Calculation-sheet'!Y44</f>
        <v>0</v>
      </c>
      <c r="AA53" s="2">
        <f t="shared" si="3"/>
        <v>26.921651328329418</v>
      </c>
    </row>
    <row r="54" spans="1:27" x14ac:dyDescent="0.25">
      <c r="A54" s="2">
        <v>2033</v>
      </c>
      <c r="B54" s="2">
        <f>B10/'Output-Calculation-sheet'!B9*'Output-Calculation-sheet'!B45</f>
        <v>28055.82445274758</v>
      </c>
      <c r="C54" s="2">
        <f>C10/'Output-Calculation-sheet'!C9*'Output-Calculation-sheet'!C45</f>
        <v>6027.9870541336977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14014.17038806669</v>
      </c>
      <c r="N54" s="2">
        <f>N10/'Output-Calculation-sheet'!N9*'Output-Calculation-sheet'!N45</f>
        <v>7840.8078376741023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821.05124235267442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85.729268295410165</v>
      </c>
    </row>
    <row r="55" spans="1:27" x14ac:dyDescent="0.25">
      <c r="A55" s="2">
        <v>2034</v>
      </c>
      <c r="B55" s="2">
        <f>B11/'Output-Calculation-sheet'!B10*'Output-Calculation-sheet'!B46</f>
        <v>74441.305191180931</v>
      </c>
      <c r="C55" s="2">
        <f>C11/'Output-Calculation-sheet'!C10*'Output-Calculation-sheet'!C46</f>
        <v>15274.321105458306</v>
      </c>
      <c r="D55" s="2">
        <f>D11/'Output-Calculation-sheet'!D10*'Output-Calculation-sheet'!D46</f>
        <v>6446.0920051596131</v>
      </c>
      <c r="E55" s="2">
        <f>E11/'Output-Calculation-sheet'!E10*'Output-Calculation-sheet'!E46</f>
        <v>9652.8013893205116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24937.523617333794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924.91903873255399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776.18243161400108</v>
      </c>
      <c r="M55" s="2">
        <f>M11/'Output-Calculation-sheet'!M10*'Output-Calculation-sheet'!M46</f>
        <v>17438.840260773773</v>
      </c>
      <c r="N55" s="2">
        <f>N11/'Output-Calculation-sheet'!N10*'Output-Calculation-sheet'!N46</f>
        <v>12702.075135328818</v>
      </c>
      <c r="O55" s="2">
        <f>O11/'Output-Calculation-sheet'!O10*'Output-Calculation-sheet'!O46</f>
        <v>0</v>
      </c>
      <c r="P55" s="2">
        <f>P11/'Output-Calculation-sheet'!P10*'Output-Calculation-sheet'!P46</f>
        <v>5036.3745783397826</v>
      </c>
      <c r="Q55" s="2">
        <f>Q11/'Output-Calculation-sheet'!Q10*'Output-Calculation-sheet'!Q46</f>
        <v>1863.0827543511973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5341.4043131642275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1238.8640531489234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83.129242933988778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192.33048183865264</v>
      </c>
    </row>
    <row r="56" spans="1:27" x14ac:dyDescent="0.25">
      <c r="A56" s="2">
        <v>2035</v>
      </c>
      <c r="B56" s="2">
        <f>B12/'Output-Calculation-sheet'!B11*'Output-Calculation-sheet'!B47</f>
        <v>89547.484529831258</v>
      </c>
      <c r="C56" s="2">
        <f>C12/'Output-Calculation-sheet'!C11*'Output-Calculation-sheet'!C47</f>
        <v>32281.68382046383</v>
      </c>
      <c r="D56" s="2">
        <f>D12/'Output-Calculation-sheet'!D11*'Output-Calculation-sheet'!D47</f>
        <v>7048.5269485968993</v>
      </c>
      <c r="E56" s="2">
        <f>E12/'Output-Calculation-sheet'!E11*'Output-Calculation-sheet'!E47</f>
        <v>18721.48913580264</v>
      </c>
      <c r="F56" s="2">
        <f>F12/'Output-Calculation-sheet'!F11*'Output-Calculation-sheet'!F47</f>
        <v>2201.9295759718621</v>
      </c>
      <c r="G56" s="2">
        <f>G12/'Output-Calculation-sheet'!G11*'Output-Calculation-sheet'!G47</f>
        <v>5690.8967100507944</v>
      </c>
      <c r="H56" s="2">
        <f>H12/'Output-Calculation-sheet'!H11*'Output-Calculation-sheet'!H47</f>
        <v>26585.42023330745</v>
      </c>
      <c r="I56" s="2">
        <f>I12/'Output-Calculation-sheet'!I11*'Output-Calculation-sheet'!I47</f>
        <v>3163.5968440662477</v>
      </c>
      <c r="J56" s="2">
        <f>J12/'Output-Calculation-sheet'!J11*'Output-Calculation-sheet'!J47</f>
        <v>1135.2232877038416</v>
      </c>
      <c r="K56" s="2">
        <f>K12/'Output-Calculation-sheet'!K11*'Output-Calculation-sheet'!K47</f>
        <v>4730.1411481835958</v>
      </c>
      <c r="L56" s="2">
        <f>L12/'Output-Calculation-sheet'!L11*'Output-Calculation-sheet'!L47</f>
        <v>1069.2434443618097</v>
      </c>
      <c r="M56" s="2">
        <f>M12/'Output-Calculation-sheet'!M11*'Output-Calculation-sheet'!M47</f>
        <v>18611.223181066696</v>
      </c>
      <c r="N56" s="2">
        <f>N12/'Output-Calculation-sheet'!N11*'Output-Calculation-sheet'!N47</f>
        <v>13880.515369912267</v>
      </c>
      <c r="O56" s="2">
        <f>O12/'Output-Calculation-sheet'!O11*'Output-Calculation-sheet'!O47</f>
        <v>0</v>
      </c>
      <c r="P56" s="2">
        <f>P12/'Output-Calculation-sheet'!P11*'Output-Calculation-sheet'!P47</f>
        <v>7164.9941090282719</v>
      </c>
      <c r="Q56" s="2">
        <f>Q12/'Output-Calculation-sheet'!Q11*'Output-Calculation-sheet'!Q47</f>
        <v>2539.8697753404263</v>
      </c>
      <c r="R56" s="2">
        <f>R12/'Output-Calculation-sheet'!R11*'Output-Calculation-sheet'!R47</f>
        <v>4956.5064323802126</v>
      </c>
      <c r="S56" s="2">
        <f>S12/'Output-Calculation-sheet'!S11*'Output-Calculation-sheet'!S47</f>
        <v>6468.579909184853</v>
      </c>
      <c r="T56" s="2">
        <f>T12/'Output-Calculation-sheet'!T11*'Output-Calculation-sheet'!T47</f>
        <v>1698.6535720980687</v>
      </c>
      <c r="U56" s="2">
        <f>U12/'Output-Calculation-sheet'!U11*'Output-Calculation-sheet'!U47</f>
        <v>1324.8925533463064</v>
      </c>
      <c r="V56" s="2">
        <f>V12/'Output-Calculation-sheet'!V11*'Output-Calculation-sheet'!V47</f>
        <v>763.7262940667656</v>
      </c>
      <c r="W56" s="2">
        <f>W12/'Output-Calculation-sheet'!W11*'Output-Calculation-sheet'!W47</f>
        <v>658.39647741306612</v>
      </c>
      <c r="X56" s="2">
        <f>X12/'Output-Calculation-sheet'!X11*'Output-Calculation-sheet'!X47</f>
        <v>396.01161003323318</v>
      </c>
      <c r="Y56" s="2">
        <f>Y12/'Output-Calculation-sheet'!Y11*'Output-Calculation-sheet'!Y47</f>
        <v>848.18380127599664</v>
      </c>
      <c r="AA56" s="2">
        <f t="shared" si="3"/>
        <v>251.48718876348636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5.1755509296542126</v>
      </c>
      <c r="C63" s="2">
        <f>C8*'Output-Calculation-sheet'!C52/10^9</f>
        <v>3.2339244356984898</v>
      </c>
      <c r="D63" s="2">
        <f>D8*'Output-Calculation-sheet'!D52/10^9</f>
        <v>1.4781962686541321</v>
      </c>
      <c r="E63" s="2">
        <f>E8*'Output-Calculation-sheet'!E52/10^9</f>
        <v>1.3578177075717104</v>
      </c>
      <c r="F63" s="2">
        <f>F8*'Output-Calculation-sheet'!F52/10^9</f>
        <v>0.71559342313305385</v>
      </c>
      <c r="G63" s="2">
        <f>G8*'Output-Calculation-sheet'!G52/10^9</f>
        <v>0.52920377212010261</v>
      </c>
      <c r="H63" s="2">
        <f>H8*'Output-Calculation-sheet'!H52/10^9</f>
        <v>0.91307356924688754</v>
      </c>
      <c r="I63" s="2">
        <f>I8*'Output-Calculation-sheet'!I52/10^9</f>
        <v>0.49059540213606745</v>
      </c>
      <c r="J63" s="2">
        <f>J8*'Output-Calculation-sheet'!J52/10^9</f>
        <v>0.49875810219098365</v>
      </c>
      <c r="K63" s="2">
        <f>K8*'Output-Calculation-sheet'!K52/10^9</f>
        <v>0.50193335490739999</v>
      </c>
      <c r="L63" s="2">
        <f>L8*'Output-Calculation-sheet'!L52/10^9</f>
        <v>0.40917460204893547</v>
      </c>
      <c r="M63" s="2">
        <f>M8*'Output-Calculation-sheet'!M52/10^9</f>
        <v>0.63218081651904179</v>
      </c>
      <c r="N63" s="2">
        <f>N8*'Output-Calculation-sheet'!N52/10^9</f>
        <v>0.56723073700764648</v>
      </c>
      <c r="O63" s="2">
        <f>O8*'Output-Calculation-sheet'!O52/10^9</f>
        <v>0.6133795581170326</v>
      </c>
      <c r="P63" s="2">
        <f>P8*'Output-Calculation-sheet'!P52/10^9</f>
        <v>0.40406986775774811</v>
      </c>
      <c r="Q63" s="2">
        <f>Q8*'Output-Calculation-sheet'!Q52/10^9</f>
        <v>0.41671248267706235</v>
      </c>
      <c r="R63" s="2">
        <f>R8*'Output-Calculation-sheet'!R52/10^9</f>
        <v>0.34128347557448691</v>
      </c>
      <c r="S63" s="2">
        <f>S8*'Output-Calculation-sheet'!S52/10^9</f>
        <v>0.31381495828484696</v>
      </c>
      <c r="T63" s="2">
        <f>T8*'Output-Calculation-sheet'!T52/10^9</f>
        <v>0.11766836406766948</v>
      </c>
      <c r="U63" s="2">
        <f>U8*'Output-Calculation-sheet'!U52/10^9</f>
        <v>0.10689633735724594</v>
      </c>
      <c r="V63" s="2">
        <f>V8*'Output-Calculation-sheet'!V52/10^9</f>
        <v>8.2598098569261466E-2</v>
      </c>
      <c r="W63" s="2">
        <f>W8*'Output-Calculation-sheet'!W52/10^9</f>
        <v>6.4530240145073761E-2</v>
      </c>
      <c r="X63" s="2">
        <f>X8*'Output-Calculation-sheet'!X52/10^9</f>
        <v>7.6151135475234374E-2</v>
      </c>
      <c r="Y63" s="2">
        <f>Y8*'Output-Calculation-sheet'!Y52/10^9</f>
        <v>4.1947285610232761E-2</v>
      </c>
      <c r="AA63" s="2">
        <f t="shared" si="4"/>
        <v>19.082284924524558</v>
      </c>
    </row>
    <row r="64" spans="1:27" x14ac:dyDescent="0.25">
      <c r="A64" s="2">
        <v>2032</v>
      </c>
      <c r="B64" s="2">
        <f>B9*'Output-Calculation-sheet'!B53/10^9</f>
        <v>5.8791157122900035</v>
      </c>
      <c r="C64" s="2">
        <f>C9*'Output-Calculation-sheet'!C53/10^9</f>
        <v>3.892356217202892</v>
      </c>
      <c r="D64" s="2">
        <f>D9*'Output-Calculation-sheet'!D53/10^9</f>
        <v>1.4165119362690313</v>
      </c>
      <c r="E64" s="2">
        <f>E9*'Output-Calculation-sheet'!E53/10^9</f>
        <v>1.382942070931257</v>
      </c>
      <c r="F64" s="2">
        <f>F9*'Output-Calculation-sheet'!F53/10^9</f>
        <v>0.69746277361659625</v>
      </c>
      <c r="G64" s="2">
        <f>G9*'Output-Calculation-sheet'!G53/10^9</f>
        <v>0.50661603070128869</v>
      </c>
      <c r="H64" s="2">
        <f>H9*'Output-Calculation-sheet'!H53/10^9</f>
        <v>1.0875883334293863</v>
      </c>
      <c r="I64" s="2">
        <f>I9*'Output-Calculation-sheet'!I53/10^9</f>
        <v>0.47305116836490552</v>
      </c>
      <c r="J64" s="2">
        <f>J9*'Output-Calculation-sheet'!J53/10^9</f>
        <v>0.47216833491846544</v>
      </c>
      <c r="K64" s="2">
        <f>K9*'Output-Calculation-sheet'!K53/10^9</f>
        <v>0.50927339826568319</v>
      </c>
      <c r="L64" s="2">
        <f>L9*'Output-Calculation-sheet'!L53/10^9</f>
        <v>0.41980382678330735</v>
      </c>
      <c r="M64" s="2">
        <f>M9*'Output-Calculation-sheet'!M53/10^9</f>
        <v>0.75353500763362391</v>
      </c>
      <c r="N64" s="2">
        <f>N9*'Output-Calculation-sheet'!N53/10^9</f>
        <v>0.66956484999659849</v>
      </c>
      <c r="O64" s="2">
        <f>O9*'Output-Calculation-sheet'!O53/10^9</f>
        <v>0.72040700453443929</v>
      </c>
      <c r="P64" s="2">
        <f>P9*'Output-Calculation-sheet'!P53/10^9</f>
        <v>0.45548336835925773</v>
      </c>
      <c r="Q64" s="2">
        <f>Q9*'Output-Calculation-sheet'!Q53/10^9</f>
        <v>0.46608582625410239</v>
      </c>
      <c r="R64" s="2">
        <f>R9*'Output-Calculation-sheet'!R53/10^9</f>
        <v>0.36440312260856</v>
      </c>
      <c r="S64" s="2">
        <f>S9*'Output-Calculation-sheet'!S53/10^9</f>
        <v>0.36880639846167868</v>
      </c>
      <c r="T64" s="2">
        <f>T9*'Output-Calculation-sheet'!T53/10^9</f>
        <v>0.11677025736899239</v>
      </c>
      <c r="U64" s="2">
        <f>U9*'Output-Calculation-sheet'!U53/10^9</f>
        <v>0.11518825105787439</v>
      </c>
      <c r="V64" s="2">
        <f>V9*'Output-Calculation-sheet'!V53/10^9</f>
        <v>8.5703219440041931E-2</v>
      </c>
      <c r="W64" s="2">
        <f>W9*'Output-Calculation-sheet'!W53/10^9</f>
        <v>6.1874060909443272E-2</v>
      </c>
      <c r="X64" s="2">
        <f>X9*'Output-Calculation-sheet'!X53/10^9</f>
        <v>9.1132481810858826E-2</v>
      </c>
      <c r="Y64" s="2">
        <f>Y9*'Output-Calculation-sheet'!Y53/10^9</f>
        <v>4.4600964211902787E-2</v>
      </c>
      <c r="AA64" s="2">
        <f t="shared" si="4"/>
        <v>21.050444615420187</v>
      </c>
    </row>
    <row r="65" spans="1:27" x14ac:dyDescent="0.25">
      <c r="A65" s="2">
        <v>2033</v>
      </c>
      <c r="B65" s="2">
        <f>B10*'Output-Calculation-sheet'!B54/10^9</f>
        <v>6.8765375276373266</v>
      </c>
      <c r="C65" s="2">
        <f>C10*'Output-Calculation-sheet'!C54/10^9</f>
        <v>4.5418896381151601</v>
      </c>
      <c r="D65" s="2">
        <f>D10*'Output-Calculation-sheet'!D54/10^9</f>
        <v>1.3209513214509703</v>
      </c>
      <c r="E65" s="2">
        <f>E10*'Output-Calculation-sheet'!E54/10^9</f>
        <v>1.4989705825947053</v>
      </c>
      <c r="F65" s="2">
        <f>F10*'Output-Calculation-sheet'!F54/10^9</f>
        <v>0.67999769371157415</v>
      </c>
      <c r="G65" s="2">
        <f>G10*'Output-Calculation-sheet'!G54/10^9</f>
        <v>0.46931205647089852</v>
      </c>
      <c r="H65" s="2">
        <f>H10*'Output-Calculation-sheet'!H54/10^9</f>
        <v>1.2474195626601394</v>
      </c>
      <c r="I65" s="2">
        <f>I10*'Output-Calculation-sheet'!I54/10^9</f>
        <v>0.46164693321945982</v>
      </c>
      <c r="J65" s="2">
        <f>J10*'Output-Calculation-sheet'!J54/10^9</f>
        <v>0.42575794489681035</v>
      </c>
      <c r="K65" s="2">
        <f>K10*'Output-Calculation-sheet'!K54/10^9</f>
        <v>0.54303485558671383</v>
      </c>
      <c r="L65" s="2">
        <f>L10*'Output-Calculation-sheet'!L54/10^9</f>
        <v>0.45162960427758508</v>
      </c>
      <c r="M65" s="2">
        <f>M10*'Output-Calculation-sheet'!M54/10^9</f>
        <v>0.86438756337465261</v>
      </c>
      <c r="N65" s="2">
        <f>N10*'Output-Calculation-sheet'!N54/10^9</f>
        <v>0.77709982031556357</v>
      </c>
      <c r="O65" s="2">
        <f>O10*'Output-Calculation-sheet'!O54/10^9</f>
        <v>0.8226946310002452</v>
      </c>
      <c r="P65" s="2">
        <f>P10*'Output-Calculation-sheet'!P54/10^9</f>
        <v>0.52439997459912935</v>
      </c>
      <c r="Q65" s="2">
        <f>Q10*'Output-Calculation-sheet'!Q54/10^9</f>
        <v>0.54408882784104373</v>
      </c>
      <c r="R65" s="2">
        <f>R10*'Output-Calculation-sheet'!R54/10^9</f>
        <v>0.40656093584666519</v>
      </c>
      <c r="S65" s="2">
        <f>S10*'Output-Calculation-sheet'!S54/10^9</f>
        <v>0.42992579703208594</v>
      </c>
      <c r="T65" s="2">
        <f>T10*'Output-Calculation-sheet'!T54/10^9</f>
        <v>0.12202740077318341</v>
      </c>
      <c r="U65" s="2">
        <f>U10*'Output-Calculation-sheet'!U54/10^9</f>
        <v>0.13194334779944136</v>
      </c>
      <c r="V65" s="2">
        <f>V10*'Output-Calculation-sheet'!V54/10^9</f>
        <v>9.2078961022035388E-2</v>
      </c>
      <c r="W65" s="2">
        <f>W10*'Output-Calculation-sheet'!W54/10^9</f>
        <v>5.7596430792530386E-2</v>
      </c>
      <c r="X65" s="2">
        <f>X10*'Output-Calculation-sheet'!X54/10^9</f>
        <v>0.10595646487237519</v>
      </c>
      <c r="Y65" s="2">
        <f>Y10*'Output-Calculation-sheet'!Y54/10^9</f>
        <v>5.08140610972279E-2</v>
      </c>
      <c r="AA65" s="2">
        <f t="shared" si="4"/>
        <v>23.446721936987522</v>
      </c>
    </row>
    <row r="66" spans="1:27" x14ac:dyDescent="0.25">
      <c r="A66" s="2">
        <v>2034</v>
      </c>
      <c r="B66" s="2">
        <f>B11*'Output-Calculation-sheet'!B55/10^9</f>
        <v>8.132052730200396</v>
      </c>
      <c r="C66" s="2">
        <f>C11*'Output-Calculation-sheet'!C55/10^9</f>
        <v>5.1804882225056064</v>
      </c>
      <c r="D66" s="2">
        <f>D11*'Output-Calculation-sheet'!D55/10^9</f>
        <v>1.5257665809663101</v>
      </c>
      <c r="E66" s="2">
        <f>E11*'Output-Calculation-sheet'!E55/10^9</f>
        <v>1.881332867173872</v>
      </c>
      <c r="F66" s="2">
        <f>F11*'Output-Calculation-sheet'!F55/10^9</f>
        <v>0.75347087322682893</v>
      </c>
      <c r="G66" s="2">
        <f>G11*'Output-Calculation-sheet'!G55/10^9</f>
        <v>0.54269356688142278</v>
      </c>
      <c r="H66" s="2">
        <f>H11*'Output-Calculation-sheet'!H55/10^9</f>
        <v>1.4296006173726303</v>
      </c>
      <c r="I66" s="2">
        <f>I11*'Output-Calculation-sheet'!I55/10^9</f>
        <v>0.53345844168523715</v>
      </c>
      <c r="J66" s="2">
        <f>J11*'Output-Calculation-sheet'!J55/10^9</f>
        <v>0.47064971842633252</v>
      </c>
      <c r="K66" s="2">
        <f>K11*'Output-Calculation-sheet'!K55/10^9</f>
        <v>0.62898264761374401</v>
      </c>
      <c r="L66" s="2">
        <f>L11*'Output-Calculation-sheet'!L55/10^9</f>
        <v>0.5509341515621593</v>
      </c>
      <c r="M66" s="2">
        <f>M11*'Output-Calculation-sheet'!M55/10^9</f>
        <v>0.99267604403280496</v>
      </c>
      <c r="N66" s="2">
        <f>N11*'Output-Calculation-sheet'!N55/10^9</f>
        <v>0.88867117064462253</v>
      </c>
      <c r="O66" s="2">
        <f>O11*'Output-Calculation-sheet'!O55/10^9</f>
        <v>0.92195555373254545</v>
      </c>
      <c r="P66" s="2">
        <f>P11*'Output-Calculation-sheet'!P55/10^9</f>
        <v>0.62462754982779378</v>
      </c>
      <c r="Q66" s="2">
        <f>Q11*'Output-Calculation-sheet'!Q55/10^9</f>
        <v>0.64842717356119062</v>
      </c>
      <c r="R66" s="2">
        <f>R11*'Output-Calculation-sheet'!R55/10^9</f>
        <v>0.4727128221725751</v>
      </c>
      <c r="S66" s="2">
        <f>S11*'Output-Calculation-sheet'!S55/10^9</f>
        <v>0.50059191371056888</v>
      </c>
      <c r="T66" s="2">
        <f>T11*'Output-Calculation-sheet'!T55/10^9</f>
        <v>0.13916821562982493</v>
      </c>
      <c r="U66" s="2">
        <f>U11*'Output-Calculation-sheet'!U55/10^9</f>
        <v>0.16072999742177965</v>
      </c>
      <c r="V66" s="2">
        <f>V11*'Output-Calculation-sheet'!V55/10^9</f>
        <v>0.10395150521363722</v>
      </c>
      <c r="W66" s="2">
        <f>W11*'Output-Calculation-sheet'!W55/10^9</f>
        <v>6.3331552589528148E-2</v>
      </c>
      <c r="X66" s="2">
        <f>X11*'Output-Calculation-sheet'!X55/10^9</f>
        <v>0.12087606251893655</v>
      </c>
      <c r="Y66" s="2">
        <f>Y11*'Output-Calculation-sheet'!Y55/10^9</f>
        <v>6.5668626373249384E-2</v>
      </c>
      <c r="AA66" s="2">
        <f t="shared" si="4"/>
        <v>27.332818605043595</v>
      </c>
    </row>
    <row r="67" spans="1:27" x14ac:dyDescent="0.25">
      <c r="A67" s="2">
        <v>2035</v>
      </c>
      <c r="B67" s="2">
        <f>B12*'Output-Calculation-sheet'!B56/10^9</f>
        <v>9.5028766142695975</v>
      </c>
      <c r="C67" s="2">
        <f>C12*'Output-Calculation-sheet'!C56/10^9</f>
        <v>5.7955279264867707</v>
      </c>
      <c r="D67" s="2">
        <f>D12*'Output-Calculation-sheet'!D56/10^9</f>
        <v>1.9328947864360078</v>
      </c>
      <c r="E67" s="2">
        <f>E12*'Output-Calculation-sheet'!E56/10^9</f>
        <v>2.613408676222805</v>
      </c>
      <c r="F67" s="2">
        <f>F12*'Output-Calculation-sheet'!F56/10^9</f>
        <v>1.036332905885806</v>
      </c>
      <c r="G67" s="2">
        <f>G12*'Output-Calculation-sheet'!G56/10^9</f>
        <v>0.75220127292931516</v>
      </c>
      <c r="H67" s="2">
        <f>H12*'Output-Calculation-sheet'!H56/10^9</f>
        <v>1.6397129730863691</v>
      </c>
      <c r="I67" s="2">
        <f>I12*'Output-Calculation-sheet'!I56/10^9</f>
        <v>0.71055339990158395</v>
      </c>
      <c r="J67" s="2">
        <f>J12*'Output-Calculation-sheet'!J56/10^9</f>
        <v>0.58676230282324215</v>
      </c>
      <c r="K67" s="2">
        <f>K12*'Output-Calculation-sheet'!K56/10^9</f>
        <v>0.793330653763898</v>
      </c>
      <c r="L67" s="2">
        <f>L12*'Output-Calculation-sheet'!L56/10^9</f>
        <v>0.68455027069738805</v>
      </c>
      <c r="M67" s="2">
        <f>M12*'Output-Calculation-sheet'!M56/10^9</f>
        <v>1.1491059544093718</v>
      </c>
      <c r="N67" s="2">
        <f>N12*'Output-Calculation-sheet'!N56/10^9</f>
        <v>1.0058744651028311</v>
      </c>
      <c r="O67" s="2">
        <f>O12*'Output-Calculation-sheet'!O56/10^9</f>
        <v>1.0180045393323458</v>
      </c>
      <c r="P67" s="2">
        <f>P12*'Output-Calculation-sheet'!P56/10^9</f>
        <v>0.80151406048741003</v>
      </c>
      <c r="Q67" s="2">
        <f>Q12*'Output-Calculation-sheet'!Q56/10^9</f>
        <v>0.75135520922368526</v>
      </c>
      <c r="R67" s="2">
        <f>R12*'Output-Calculation-sheet'!R56/10^9</f>
        <v>0.59030469675812769</v>
      </c>
      <c r="S67" s="2">
        <f>S12*'Output-Calculation-sheet'!S56/10^9</f>
        <v>0.57250017134381748</v>
      </c>
      <c r="T67" s="2">
        <f>T12*'Output-Calculation-sheet'!T56/10^9</f>
        <v>0.18146269638397874</v>
      </c>
      <c r="U67" s="2">
        <f>U12*'Output-Calculation-sheet'!U56/10^9</f>
        <v>0.19567315661896603</v>
      </c>
      <c r="V67" s="2">
        <f>V12*'Output-Calculation-sheet'!V56/10^9</f>
        <v>0.12339162087351954</v>
      </c>
      <c r="W67" s="2">
        <f>W12*'Output-Calculation-sheet'!W56/10^9</f>
        <v>9.6004632273347879E-2</v>
      </c>
      <c r="X67" s="2">
        <f>X12*'Output-Calculation-sheet'!X56/10^9</f>
        <v>0.14064848494657722</v>
      </c>
      <c r="Y67" s="2">
        <f>Y12*'Output-Calculation-sheet'!Y56/10^9</f>
        <v>9.014626490856581E-2</v>
      </c>
      <c r="AA67" s="2">
        <f t="shared" si="4"/>
        <v>32.764137735165335</v>
      </c>
    </row>
    <row r="68" spans="1:27" x14ac:dyDescent="0.25">
      <c r="B68" s="2">
        <f>SUM(B60:B67)</f>
        <v>35.566133514051536</v>
      </c>
      <c r="C68" s="2">
        <f t="shared" ref="C68:Y68" si="5">SUM(C60:C67)</f>
        <v>22.644186440008919</v>
      </c>
      <c r="D68" s="2">
        <f t="shared" si="5"/>
        <v>7.6743208937764527</v>
      </c>
      <c r="E68" s="2">
        <f t="shared" si="5"/>
        <v>8.7344719044943488</v>
      </c>
      <c r="F68" s="2">
        <f t="shared" si="5"/>
        <v>3.882857669573859</v>
      </c>
      <c r="G68" s="2">
        <f t="shared" si="5"/>
        <v>2.8000266991030278</v>
      </c>
      <c r="H68" s="2">
        <f t="shared" si="5"/>
        <v>6.3173950557954122</v>
      </c>
      <c r="I68" s="2">
        <f t="shared" si="5"/>
        <v>2.6693053453072539</v>
      </c>
      <c r="J68" s="2">
        <f t="shared" si="5"/>
        <v>2.4540964032558339</v>
      </c>
      <c r="K68" s="2">
        <f t="shared" si="5"/>
        <v>2.9765549101374393</v>
      </c>
      <c r="L68" s="2">
        <f t="shared" si="5"/>
        <v>2.5160924553693755</v>
      </c>
      <c r="M68" s="2">
        <f t="shared" si="5"/>
        <v>4.3918853859694948</v>
      </c>
      <c r="N68" s="2">
        <f t="shared" si="5"/>
        <v>3.9084410430672625</v>
      </c>
      <c r="O68" s="2">
        <f t="shared" si="5"/>
        <v>4.0964412867166082</v>
      </c>
      <c r="P68" s="2">
        <f t="shared" si="5"/>
        <v>2.8100948210313392</v>
      </c>
      <c r="Q68" s="2">
        <f t="shared" si="5"/>
        <v>2.8266695195570843</v>
      </c>
      <c r="R68" s="2">
        <f t="shared" si="5"/>
        <v>2.1752650529604147</v>
      </c>
      <c r="S68" s="2">
        <f t="shared" si="5"/>
        <v>2.1856392388329979</v>
      </c>
      <c r="T68" s="2">
        <f t="shared" si="5"/>
        <v>0.67709693422364892</v>
      </c>
      <c r="U68" s="2">
        <f t="shared" si="5"/>
        <v>0.71043109025530737</v>
      </c>
      <c r="V68" s="2">
        <f t="shared" si="5"/>
        <v>0.48772340511849555</v>
      </c>
      <c r="W68" s="2">
        <f t="shared" si="5"/>
        <v>0.34333691670992345</v>
      </c>
      <c r="X68" s="2">
        <f t="shared" si="5"/>
        <v>0.53476462962398219</v>
      </c>
      <c r="Y68" s="2">
        <f t="shared" si="5"/>
        <v>0.29317720220117865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1433.0087468089466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966.63930991659606</v>
      </c>
      <c r="N74" s="2">
        <f>N8/'Output-Calculation-sheet'!N7*'Output-Calculation-sheet'!N61</f>
        <v>40.181445523574688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8.5777277928579387</v>
      </c>
      <c r="Y74" s="2">
        <f>Y8/'Output-Calculation-sheet'!Y7*'Output-Calculation-sheet'!Y61</f>
        <v>0</v>
      </c>
      <c r="AA74" s="2">
        <f t="shared" si="6"/>
        <v>2.4484072300419752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54.822364722619859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2504.7561683443082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1697.2356477460796</v>
      </c>
      <c r="N75" s="2">
        <f>N9/'Output-Calculation-sheet'!N8*'Output-Calculation-sheet'!N62</f>
        <v>653.36896345153264</v>
      </c>
      <c r="O75" s="2">
        <f>O9/'Output-Calculation-sheet'!O8*'Output-Calculation-sheet'!O62</f>
        <v>0</v>
      </c>
      <c r="P75" s="2">
        <f>P9/'Output-Calculation-sheet'!P8*'Output-Calculation-sheet'!P62</f>
        <v>42.50224542486108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219.59758708594245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59.597849447415598</v>
      </c>
      <c r="Y75" s="2">
        <f>Y9/'Output-Calculation-sheet'!Y8*'Output-Calculation-sheet'!Y62</f>
        <v>0</v>
      </c>
      <c r="AA75" s="2">
        <f t="shared" si="6"/>
        <v>5.2318808262227581</v>
      </c>
    </row>
    <row r="76" spans="1:27" x14ac:dyDescent="0.25">
      <c r="A76" s="2">
        <v>2033</v>
      </c>
      <c r="B76" s="2">
        <f>B10/'Output-Calculation-sheet'!B9*'Output-Calculation-sheet'!B63</f>
        <v>5637.0286816037169</v>
      </c>
      <c r="C76" s="2">
        <f>C10/'Output-Calculation-sheet'!C9*'Output-Calculation-sheet'!C63</f>
        <v>1656.0391355535835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3693.7362745265568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2512.4035467176022</v>
      </c>
      <c r="N76" s="2">
        <f>N10/'Output-Calculation-sheet'!N9*'Output-Calculation-sheet'!N63</f>
        <v>1435.2215631321235</v>
      </c>
      <c r="O76" s="2">
        <f>O10/'Output-Calculation-sheet'!O9*'Output-Calculation-sheet'!O63</f>
        <v>0</v>
      </c>
      <c r="P76" s="2">
        <f>P10/'Output-Calculation-sheet'!P9*'Output-Calculation-sheet'!P63</f>
        <v>494.77909540880438</v>
      </c>
      <c r="Q76" s="2">
        <f>Q10/'Output-Calculation-sheet'!Q9*'Output-Calculation-sheet'!Q63</f>
        <v>222.75663758115329</v>
      </c>
      <c r="R76" s="2">
        <f>R10/'Output-Calculation-sheet'!R9*'Output-Calculation-sheet'!R63</f>
        <v>377.08169373521207</v>
      </c>
      <c r="S76" s="2">
        <f>S10/'Output-Calculation-sheet'!S9*'Output-Calculation-sheet'!S63</f>
        <v>638.12585430674972</v>
      </c>
      <c r="T76" s="2">
        <f>T10/'Output-Calculation-sheet'!T9*'Output-Calculation-sheet'!T63</f>
        <v>24.785451016125993</v>
      </c>
      <c r="U76" s="2">
        <f>U10/'Output-Calculation-sheet'!U9*'Output-Calculation-sheet'!U63</f>
        <v>133.86153468201275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144.0544869832743</v>
      </c>
      <c r="Y76" s="2">
        <f>Y10/'Output-Calculation-sheet'!Y9*'Output-Calculation-sheet'!Y63</f>
        <v>6.3555253726799821</v>
      </c>
      <c r="AA76" s="2">
        <f t="shared" si="6"/>
        <v>17.080273800468206</v>
      </c>
    </row>
    <row r="77" spans="1:27" x14ac:dyDescent="0.25">
      <c r="A77" s="2">
        <v>2034</v>
      </c>
      <c r="B77" s="2">
        <f>B11/'Output-Calculation-sheet'!B10*'Output-Calculation-sheet'!B64</f>
        <v>12673.448294985727</v>
      </c>
      <c r="C77" s="2">
        <f>C11/'Output-Calculation-sheet'!C10*'Output-Calculation-sheet'!C64</f>
        <v>3456.7573252144148</v>
      </c>
      <c r="D77" s="2">
        <f>D11/'Output-Calculation-sheet'!D10*'Output-Calculation-sheet'!D64</f>
        <v>1531.4157025479465</v>
      </c>
      <c r="E77" s="2">
        <f>E11/'Output-Calculation-sheet'!E10*'Output-Calculation-sheet'!E64</f>
        <v>2225.1267881670656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4603.5006398082296</v>
      </c>
      <c r="I77" s="2">
        <f>I11/'Output-Calculation-sheet'!I10*'Output-Calculation-sheet'!I64</f>
        <v>555.51258573906227</v>
      </c>
      <c r="J77" s="2">
        <f>J11/'Output-Calculation-sheet'!J10*'Output-Calculation-sheet'!J64</f>
        <v>305.59481805662352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220.65987600121861</v>
      </c>
      <c r="M77" s="2">
        <f>M11/'Output-Calculation-sheet'!M10*'Output-Calculation-sheet'!M64</f>
        <v>3213.6736233020961</v>
      </c>
      <c r="N77" s="2">
        <f>N11/'Output-Calculation-sheet'!N10*'Output-Calculation-sheet'!N64</f>
        <v>2225.15803717779</v>
      </c>
      <c r="O77" s="2">
        <f>O11/'Output-Calculation-sheet'!O10*'Output-Calculation-sheet'!O64</f>
        <v>0</v>
      </c>
      <c r="P77" s="2">
        <f>P11/'Output-Calculation-sheet'!P10*'Output-Calculation-sheet'!P64</f>
        <v>1051.1185549337449</v>
      </c>
      <c r="Q77" s="2">
        <f>Q11/'Output-Calculation-sheet'!Q10*'Output-Calculation-sheet'!Q64</f>
        <v>430.81691083565539</v>
      </c>
      <c r="R77" s="2">
        <f>R11/'Output-Calculation-sheet'!R10*'Output-Calculation-sheet'!R64</f>
        <v>893.57563795807619</v>
      </c>
      <c r="S77" s="2">
        <f>S11/'Output-Calculation-sheet'!S10*'Output-Calculation-sheet'!S64</f>
        <v>965.90923776902855</v>
      </c>
      <c r="T77" s="2">
        <f>T11/'Output-Calculation-sheet'!T10*'Output-Calculation-sheet'!T64</f>
        <v>247.21950870954996</v>
      </c>
      <c r="U77" s="2">
        <f>U11/'Output-Calculation-sheet'!U10*'Output-Calculation-sheet'!U64</f>
        <v>269.06250069908981</v>
      </c>
      <c r="V77" s="2">
        <f>V11/'Output-Calculation-sheet'!V10*'Output-Calculation-sheet'!V64</f>
        <v>128.98291531157574</v>
      </c>
      <c r="W77" s="2">
        <f>W11/'Output-Calculation-sheet'!W10*'Output-Calculation-sheet'!W64</f>
        <v>28.034583416922253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82.02226650267859</v>
      </c>
      <c r="AA77" s="2">
        <f t="shared" si="6"/>
        <v>37.190526917210661</v>
      </c>
    </row>
    <row r="78" spans="1:27" x14ac:dyDescent="0.25">
      <c r="A78" s="2">
        <v>2035</v>
      </c>
      <c r="B78" s="2">
        <f>B12/'Output-Calculation-sheet'!B11*'Output-Calculation-sheet'!B65</f>
        <v>15490.942756940489</v>
      </c>
      <c r="C78" s="2">
        <f>C12/'Output-Calculation-sheet'!C11*'Output-Calculation-sheet'!C65</f>
        <v>6547.7317366821253</v>
      </c>
      <c r="D78" s="2">
        <f>D12/'Output-Calculation-sheet'!D11*'Output-Calculation-sheet'!D65</f>
        <v>1670.2278079225268</v>
      </c>
      <c r="E78" s="2">
        <f>E12/'Output-Calculation-sheet'!E11*'Output-Calculation-sheet'!E65</f>
        <v>3206.1082470868596</v>
      </c>
      <c r="F78" s="2">
        <f>F12/'Output-Calculation-sheet'!F11*'Output-Calculation-sheet'!F65</f>
        <v>698.59370609088114</v>
      </c>
      <c r="G78" s="2">
        <f>G12/'Output-Calculation-sheet'!G11*'Output-Calculation-sheet'!G65</f>
        <v>1284.8229746751249</v>
      </c>
      <c r="H78" s="2">
        <f>H12/'Output-Calculation-sheet'!H11*'Output-Calculation-sheet'!H65</f>
        <v>4938.5103841069968</v>
      </c>
      <c r="I78" s="2">
        <f>I12/'Output-Calculation-sheet'!I11*'Output-Calculation-sheet'!I65</f>
        <v>818.31427962165719</v>
      </c>
      <c r="J78" s="2">
        <f>J12/'Output-Calculation-sheet'!J11*'Output-Calculation-sheet'!J65</f>
        <v>350.51252946212304</v>
      </c>
      <c r="K78" s="2">
        <f>K12/'Output-Calculation-sheet'!K11*'Output-Calculation-sheet'!K65</f>
        <v>1043.9331649528883</v>
      </c>
      <c r="L78" s="2">
        <f>L12/'Output-Calculation-sheet'!L11*'Output-Calculation-sheet'!L65</f>
        <v>302.2191261044955</v>
      </c>
      <c r="M78" s="2">
        <f>M12/'Output-Calculation-sheet'!M11*'Output-Calculation-sheet'!M65</f>
        <v>3474.0682995604743</v>
      </c>
      <c r="N78" s="2">
        <f>N12/'Output-Calculation-sheet'!N11*'Output-Calculation-sheet'!N65</f>
        <v>2439.0631396244312</v>
      </c>
      <c r="O78" s="2">
        <f>O12/'Output-Calculation-sheet'!O11*'Output-Calculation-sheet'!O65</f>
        <v>0</v>
      </c>
      <c r="P78" s="2">
        <f>P12/'Output-Calculation-sheet'!P11*'Output-Calculation-sheet'!P65</f>
        <v>1378.5034762910077</v>
      </c>
      <c r="Q78" s="2">
        <f>Q12/'Output-Calculation-sheet'!Q11*'Output-Calculation-sheet'!Q65</f>
        <v>545.88739963431965</v>
      </c>
      <c r="R78" s="2">
        <f>R12/'Output-Calculation-sheet'!R11*'Output-Calculation-sheet'!R65</f>
        <v>1084.6016545331522</v>
      </c>
      <c r="S78" s="2">
        <f>S12/'Output-Calculation-sheet'!S11*'Output-Calculation-sheet'!S65</f>
        <v>1129.6844844575094</v>
      </c>
      <c r="T78" s="2">
        <f>T12/'Output-Calculation-sheet'!T11*'Output-Calculation-sheet'!T65</f>
        <v>387.13926371402903</v>
      </c>
      <c r="U78" s="2">
        <f>U12/'Output-Calculation-sheet'!U11*'Output-Calculation-sheet'!U65</f>
        <v>287.93936575000555</v>
      </c>
      <c r="V78" s="2">
        <f>V12/'Output-Calculation-sheet'!V11*'Output-Calculation-sheet'!V65</f>
        <v>148.20805643134267</v>
      </c>
      <c r="W78" s="2">
        <f>W12/'Output-Calculation-sheet'!W11*'Output-Calculation-sheet'!W65</f>
        <v>147.84266908001817</v>
      </c>
      <c r="X78" s="2">
        <f>X12/'Output-Calculation-sheet'!X11*'Output-Calculation-sheet'!X65</f>
        <v>77.173607239889364</v>
      </c>
      <c r="Y78" s="2">
        <f>Y12/'Output-Calculation-sheet'!Y11*'Output-Calculation-sheet'!Y65</f>
        <v>133.86500298597647</v>
      </c>
      <c r="AA78" s="2">
        <f t="shared" si="6"/>
        <v>47.585893132948314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368.07027412601173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213.65597092318225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0.5817262450491939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1275.1650885410515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318.64398508002125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1.5938090736210728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2336.9559524698725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424.5511158227788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2.761507068292651</v>
      </c>
    </row>
    <row r="88" spans="1:27" x14ac:dyDescent="0.25">
      <c r="A88" s="2">
        <v>2034</v>
      </c>
      <c r="B88" s="2">
        <f>B11/'Output-Calculation-sheet'!B10*'Output-Calculation-sheet'!B73</f>
        <v>128.44774229066513</v>
      </c>
      <c r="C88" s="2">
        <f>C11/'Output-Calculation-sheet'!C10*'Output-Calculation-sheet'!C73</f>
        <v>2787.7298679410478</v>
      </c>
      <c r="D88" s="2">
        <f>D11/'Output-Calculation-sheet'!D10*'Output-Calculation-sheet'!D73</f>
        <v>9.818875864675725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46.063702378601114</v>
      </c>
      <c r="I88" s="2">
        <f>I11/'Output-Calculation-sheet'!I10*'Output-Calculation-sheet'!I73</f>
        <v>0</v>
      </c>
      <c r="J88" s="2">
        <f>J11/'Output-Calculation-sheet'!J10*'Output-Calculation-sheet'!J73</f>
        <v>3.1353187753645897</v>
      </c>
      <c r="K88" s="2">
        <f>K11/'Output-Calculation-sheet'!K10*'Output-Calculation-sheet'!K73</f>
        <v>0</v>
      </c>
      <c r="L88" s="2">
        <f>L11/'Output-Calculation-sheet'!L10*'Output-Calculation-sheet'!L73</f>
        <v>7.4275830776459433</v>
      </c>
      <c r="M88" s="2">
        <f>M11/'Output-Calculation-sheet'!M10*'Output-Calculation-sheet'!M73</f>
        <v>22.304810835052287</v>
      </c>
      <c r="N88" s="2">
        <f>N11/'Output-Calculation-sheet'!N10*'Output-Calculation-sheet'!N73</f>
        <v>11.53790093135509</v>
      </c>
      <c r="O88" s="2">
        <f>O11/'Output-Calculation-sheet'!O10*'Output-Calculation-sheet'!O73</f>
        <v>526.50471341619675</v>
      </c>
      <c r="P88" s="2">
        <f>P11/'Output-Calculation-sheet'!P10*'Output-Calculation-sheet'!P73</f>
        <v>0</v>
      </c>
      <c r="Q88" s="2">
        <f>Q11/'Output-Calculation-sheet'!Q10*'Output-Calculation-sheet'!Q73</f>
        <v>35.381387087515954</v>
      </c>
      <c r="R88" s="2">
        <f>R11/'Output-Calculation-sheet'!R10*'Output-Calculation-sheet'!R73</f>
        <v>0</v>
      </c>
      <c r="S88" s="2">
        <f>S11/'Output-Calculation-sheet'!S10*'Output-Calculation-sheet'!S73</f>
        <v>16.534807804495504</v>
      </c>
      <c r="T88" s="2">
        <f>T11/'Output-Calculation-sheet'!T10*'Output-Calculation-sheet'!T73</f>
        <v>0</v>
      </c>
      <c r="U88" s="2">
        <f>U11/'Output-Calculation-sheet'!U10*'Output-Calculation-sheet'!U73</f>
        <v>3.2253685320201075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3.5981120789346366</v>
      </c>
    </row>
    <row r="89" spans="1:27" x14ac:dyDescent="0.25">
      <c r="A89" s="2">
        <v>2035</v>
      </c>
      <c r="B89" s="2">
        <f>B12/'Output-Calculation-sheet'!B11*'Output-Calculation-sheet'!B74</f>
        <v>759.81169301348541</v>
      </c>
      <c r="C89" s="2">
        <f>C12/'Output-Calculation-sheet'!C11*'Output-Calculation-sheet'!C74</f>
        <v>3111.8379899005672</v>
      </c>
      <c r="D89" s="2">
        <f>D12/'Output-Calculation-sheet'!D11*'Output-Calculation-sheet'!D74</f>
        <v>144.26809543911781</v>
      </c>
      <c r="E89" s="2">
        <f>E12/'Output-Calculation-sheet'!E11*'Output-Calculation-sheet'!E74</f>
        <v>192.45625314582767</v>
      </c>
      <c r="F89" s="2">
        <f>F12/'Output-Calculation-sheet'!F11*'Output-Calculation-sheet'!F74</f>
        <v>61.808549500964553</v>
      </c>
      <c r="G89" s="2">
        <f>G12/'Output-Calculation-sheet'!G11*'Output-Calculation-sheet'!G74</f>
        <v>59.145402637747786</v>
      </c>
      <c r="H89" s="2">
        <f>H12/'Output-Calculation-sheet'!H11*'Output-Calculation-sheet'!H74</f>
        <v>230.97516231793244</v>
      </c>
      <c r="I89" s="2">
        <f>I12/'Output-Calculation-sheet'!I11*'Output-Calculation-sheet'!I74</f>
        <v>49.872782617965015</v>
      </c>
      <c r="J89" s="2">
        <f>J12/'Output-Calculation-sheet'!J11*'Output-Calculation-sheet'!J74</f>
        <v>39.486027398394491</v>
      </c>
      <c r="K89" s="2">
        <f>K12/'Output-Calculation-sheet'!K11*'Output-Calculation-sheet'!K74</f>
        <v>52.284807164723688</v>
      </c>
      <c r="L89" s="2">
        <f>L12/'Output-Calculation-sheet'!L11*'Output-Calculation-sheet'!L74</f>
        <v>54.566494122959909</v>
      </c>
      <c r="M89" s="2">
        <f>M12/'Output-Calculation-sheet'!M11*'Output-Calculation-sheet'!M74</f>
        <v>145.38093044921686</v>
      </c>
      <c r="N89" s="2">
        <f>N12/'Output-Calculation-sheet'!N11*'Output-Calculation-sheet'!N74</f>
        <v>88.395500480118258</v>
      </c>
      <c r="O89" s="2">
        <f>O12/'Output-Calculation-sheet'!O11*'Output-Calculation-sheet'!O74</f>
        <v>630.53340006818371</v>
      </c>
      <c r="P89" s="2">
        <f>P12/'Output-Calculation-sheet'!P11*'Output-Calculation-sheet'!P74</f>
        <v>51.458193445011787</v>
      </c>
      <c r="Q89" s="2">
        <f>Q12/'Output-Calculation-sheet'!Q11*'Output-Calculation-sheet'!Q74</f>
        <v>86.996374928118186</v>
      </c>
      <c r="R89" s="2">
        <f>R12/'Output-Calculation-sheet'!R11*'Output-Calculation-sheet'!R74</f>
        <v>35.771857079373213</v>
      </c>
      <c r="S89" s="2">
        <f>S12/'Output-Calculation-sheet'!S11*'Output-Calculation-sheet'!S74</f>
        <v>55.530249247214101</v>
      </c>
      <c r="T89" s="2">
        <f>T12/'Output-Calculation-sheet'!T11*'Output-Calculation-sheet'!T74</f>
        <v>8.9525738217817548</v>
      </c>
      <c r="U89" s="2">
        <f>U12/'Output-Calculation-sheet'!U11*'Output-Calculation-sheet'!U74</f>
        <v>17.263546300628928</v>
      </c>
      <c r="V89" s="2">
        <f>V12/'Output-Calculation-sheet'!V11*'Output-Calculation-sheet'!V74</f>
        <v>6.5253442760318316</v>
      </c>
      <c r="W89" s="2">
        <f>W12/'Output-Calculation-sheet'!W11*'Output-Calculation-sheet'!W74</f>
        <v>4.972441641979902</v>
      </c>
      <c r="X89" s="2">
        <f>X12/'Output-Calculation-sheet'!X11*'Output-Calculation-sheet'!X74</f>
        <v>3.5140961982471204</v>
      </c>
      <c r="Y89" s="2">
        <f>Y12/'Output-Calculation-sheet'!Y11*'Output-Calculation-sheet'!Y74</f>
        <v>6.5214808648008358</v>
      </c>
      <c r="AA89" s="2">
        <f t="shared" si="7"/>
        <v>5.8983292460603911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11701557664.024778</v>
      </c>
      <c r="C96" s="2">
        <f>C8/'Output-Calculation-sheet'!C7*'Output-Calculation-sheet'!C79</f>
        <v>3958697793.6024237</v>
      </c>
      <c r="D96" s="2">
        <f>D8/'Output-Calculation-sheet'!D7*'Output-Calculation-sheet'!D79</f>
        <v>4132598772.1585279</v>
      </c>
      <c r="E96" s="2">
        <f>E8/'Output-Calculation-sheet'!E7*'Output-Calculation-sheet'!E79</f>
        <v>7347420141.4794569</v>
      </c>
      <c r="F96" s="2">
        <f>F8/'Output-Calculation-sheet'!F7*'Output-Calculation-sheet'!F79</f>
        <v>3041024105.2604332</v>
      </c>
      <c r="G96" s="2">
        <f>G8/'Output-Calculation-sheet'!G7*'Output-Calculation-sheet'!G79</f>
        <v>2368712891.4582529</v>
      </c>
      <c r="H96" s="2">
        <f>H8/'Output-Calculation-sheet'!H7*'Output-Calculation-sheet'!H79</f>
        <v>2027487356.4585288</v>
      </c>
      <c r="I96" s="2">
        <f>I8/'Output-Calculation-sheet'!I7*'Output-Calculation-sheet'!I79</f>
        <v>1650056264.6582763</v>
      </c>
      <c r="J96" s="2">
        <f>J8/'Output-Calculation-sheet'!J7*'Output-Calculation-sheet'!J79</f>
        <v>1115807526.716186</v>
      </c>
      <c r="K96" s="2">
        <f>K8/'Output-Calculation-sheet'!K7*'Output-Calculation-sheet'!K79</f>
        <v>1596390081.9190395</v>
      </c>
      <c r="L96" s="2">
        <f>L8/'Output-Calculation-sheet'!L7*'Output-Calculation-sheet'!L79</f>
        <v>1126414164.8666129</v>
      </c>
      <c r="M96" s="2">
        <f>M8/'Output-Calculation-sheet'!M7*'Output-Calculation-sheet'!M79</f>
        <v>1513478325.0951636</v>
      </c>
      <c r="N96" s="2">
        <f>N8/'Output-Calculation-sheet'!N7*'Output-Calculation-sheet'!N79</f>
        <v>1126146773.0145562</v>
      </c>
      <c r="O96" s="2">
        <f>O8/'Output-Calculation-sheet'!O7*'Output-Calculation-sheet'!O79</f>
        <v>569304770.96747136</v>
      </c>
      <c r="P96" s="2">
        <f>P8/'Output-Calculation-sheet'!P7*'Output-Calculation-sheet'!P79</f>
        <v>1904217411.1140361</v>
      </c>
      <c r="Q96" s="2">
        <f>Q8/'Output-Calculation-sheet'!Q7*'Output-Calculation-sheet'!Q79</f>
        <v>887445271.33260787</v>
      </c>
      <c r="R96" s="2">
        <f>R8/'Output-Calculation-sheet'!R7*'Output-Calculation-sheet'!R79</f>
        <v>1107195355.0551157</v>
      </c>
      <c r="S96" s="2">
        <f>S8/'Output-Calculation-sheet'!S7*'Output-Calculation-sheet'!S79</f>
        <v>645143477.00881159</v>
      </c>
      <c r="T96" s="2">
        <f>T8/'Output-Calculation-sheet'!T7*'Output-Calculation-sheet'!T79</f>
        <v>492738801.1874966</v>
      </c>
      <c r="U96" s="2">
        <f>U8/'Output-Calculation-sheet'!U7*'Output-Calculation-sheet'!U79</f>
        <v>309526450.77241385</v>
      </c>
      <c r="V96" s="2">
        <f>V8/'Output-Calculation-sheet'!V7*'Output-Calculation-sheet'!V79</f>
        <v>160597742.08727631</v>
      </c>
      <c r="W96" s="2">
        <f>W8/'Output-Calculation-sheet'!W7*'Output-Calculation-sheet'!W79</f>
        <v>474557212.54356772</v>
      </c>
      <c r="X96" s="2">
        <f>X8/'Output-Calculation-sheet'!X7*'Output-Calculation-sheet'!X79</f>
        <v>166792506.23687881</v>
      </c>
      <c r="Y96" s="2">
        <f>Y8/'Output-Calculation-sheet'!Y7*'Output-Calculation-sheet'!Y79</f>
        <v>260861205.07985663</v>
      </c>
      <c r="AA96" s="2">
        <f t="shared" si="8"/>
        <v>49.684172064097773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1024.3883532904663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31.738066843663596</v>
      </c>
      <c r="Y107" s="2">
        <f>Y8/'Output-Calculation-sheet'!Y7*'Output-Calculation-sheet'!Y88</f>
        <v>0</v>
      </c>
      <c r="AA107" s="2">
        <f t="shared" si="9"/>
        <v>1.0561264201341298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749.52451769206846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43.541456653860834</v>
      </c>
      <c r="Y108" s="2">
        <f>Y9/'Output-Calculation-sheet'!Y8*'Output-Calculation-sheet'!Y89</f>
        <v>0</v>
      </c>
      <c r="AA108" s="2">
        <f t="shared" si="9"/>
        <v>0.79306597434592929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4.6771450090581701E-2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7.9330559449543772E-2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124.88557258385922</v>
      </c>
      <c r="Y111" s="2">
        <f>Y12/'Output-Calculation-sheet'!Y11*'Output-Calculation-sheet'!Y92</f>
        <v>0</v>
      </c>
      <c r="AA111" s="2">
        <f t="shared" si="9"/>
        <v>0.12488557258385921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11453726089.375248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7035195254.6554852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4853687877.8125668</v>
      </c>
      <c r="N118" s="2">
        <f>N8/'Output-Calculation-sheet'!N7*'Output-Calculation-sheet'!N97</f>
        <v>1626453037.727432</v>
      </c>
      <c r="O118" s="2">
        <f>O8/'Output-Calculation-sheet'!O7*'Output-Calculation-sheet'!O97</f>
        <v>2784418027.063642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486919095.00544995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264285252.65763289</v>
      </c>
      <c r="Y118" s="2">
        <f>Y8/'Output-Calculation-sheet'!Y7*'Output-Calculation-sheet'!Y97</f>
        <v>0</v>
      </c>
      <c r="AA118" s="2">
        <f t="shared" si="10"/>
        <v>29873.824370769351</v>
      </c>
    </row>
    <row r="119" spans="1:27" x14ac:dyDescent="0.25">
      <c r="A119" s="2">
        <v>2032</v>
      </c>
      <c r="B119" s="2">
        <f>B9/'Output-Calculation-sheet'!B8*'Output-Calculation-sheet'!B98</f>
        <v>6171125118.3555212</v>
      </c>
      <c r="C119" s="2">
        <f>C9/'Output-Calculation-sheet'!C8*'Output-Calculation-sheet'!C98</f>
        <v>15914985043.033632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9651634046.5892715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6658784098.6173735</v>
      </c>
      <c r="N119" s="2">
        <f>N9/'Output-Calculation-sheet'!N8*'Output-Calculation-sheet'!N98</f>
        <v>3122347692.5967832</v>
      </c>
      <c r="O119" s="2">
        <f>O9/'Output-Calculation-sheet'!O8*'Output-Calculation-sheet'!O98</f>
        <v>3361251534.0333414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939145281.94114745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366266322.67926568</v>
      </c>
      <c r="Y119" s="2">
        <f>Y9/'Output-Calculation-sheet'!Y8*'Output-Calculation-sheet'!Y98</f>
        <v>0</v>
      </c>
      <c r="AA119" s="2">
        <f t="shared" si="10"/>
        <v>46185.539137846339</v>
      </c>
    </row>
    <row r="120" spans="1:27" x14ac:dyDescent="0.25">
      <c r="A120" s="2">
        <v>2033</v>
      </c>
      <c r="B120" s="2">
        <f>B10/'Output-Calculation-sheet'!B9*'Output-Calculation-sheet'!B99</f>
        <v>17053182682.204338</v>
      </c>
      <c r="C120" s="2">
        <f>C10/'Output-Calculation-sheet'!C9*'Output-Calculation-sheet'!C99</f>
        <v>23627581419.82679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5035594485.8861856</v>
      </c>
      <c r="O120" s="2">
        <f>O10/'Output-Calculation-sheet'!O9*'Output-Calculation-sheet'!O99</f>
        <v>3913338505.6524477</v>
      </c>
      <c r="P120" s="2">
        <f>P10/'Output-Calculation-sheet'!P9*'Output-Calculation-sheet'!P99</f>
        <v>0</v>
      </c>
      <c r="Q120" s="2">
        <f>Q10/'Output-Calculation-sheet'!Q9*'Output-Calculation-sheet'!Q99</f>
        <v>163830619.55116135</v>
      </c>
      <c r="R120" s="2">
        <f>R10/'Output-Calculation-sheet'!R9*'Output-Calculation-sheet'!R99</f>
        <v>0</v>
      </c>
      <c r="S120" s="2">
        <f>S10/'Output-Calculation-sheet'!S9*'Output-Calculation-sheet'!S99</f>
        <v>2028341554.3900404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552073432.03776538</v>
      </c>
      <c r="Y120" s="2">
        <f>Y10/'Output-Calculation-sheet'!Y9*'Output-Calculation-sheet'!Y99</f>
        <v>0</v>
      </c>
      <c r="AA120" s="2">
        <f t="shared" si="10"/>
        <v>73399.003128503449</v>
      </c>
    </row>
    <row r="121" spans="1:27" x14ac:dyDescent="0.25">
      <c r="A121" s="2">
        <v>2034</v>
      </c>
      <c r="B121" s="2">
        <f>B11/'Output-Calculation-sheet'!B10*'Output-Calculation-sheet'!B100</f>
        <v>35718024198.004341</v>
      </c>
      <c r="C121" s="2">
        <f>C11/'Output-Calculation-sheet'!C10*'Output-Calculation-sheet'!C100</f>
        <v>29074731188.511353</v>
      </c>
      <c r="D121" s="2">
        <f>D11/'Output-Calculation-sheet'!D10*'Output-Calculation-sheet'!D100</f>
        <v>0</v>
      </c>
      <c r="E121" s="2">
        <f>E11/'Output-Calculation-sheet'!E10*'Output-Calculation-sheet'!E100</f>
        <v>857539814.87211597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14933098231.273912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611648591.9668088</v>
      </c>
      <c r="M121" s="2">
        <f>M11/'Output-Calculation-sheet'!M10*'Output-Calculation-sheet'!M100</f>
        <v>10403126950.768705</v>
      </c>
      <c r="N121" s="2">
        <f>N11/'Output-Calculation-sheet'!N10*'Output-Calculation-sheet'!N100</f>
        <v>6975244930.7912779</v>
      </c>
      <c r="O121" s="2">
        <f>O11/'Output-Calculation-sheet'!O10*'Output-Calculation-sheet'!O100</f>
        <v>4453616158.3504162</v>
      </c>
      <c r="P121" s="2">
        <f>P11/'Output-Calculation-sheet'!P10*'Output-Calculation-sheet'!P100</f>
        <v>0</v>
      </c>
      <c r="Q121" s="2">
        <f>Q11/'Output-Calculation-sheet'!Q10*'Output-Calculation-sheet'!Q100</f>
        <v>557977312.75915551</v>
      </c>
      <c r="R121" s="2">
        <f>R11/'Output-Calculation-sheet'!R10*'Output-Calculation-sheet'!R100</f>
        <v>0</v>
      </c>
      <c r="S121" s="2">
        <f>S11/'Output-Calculation-sheet'!S10*'Output-Calculation-sheet'!S100</f>
        <v>2927707304.0335727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45874160.291946791</v>
      </c>
      <c r="AA121" s="2">
        <f t="shared" si="10"/>
        <v>107067.17126300273</v>
      </c>
    </row>
    <row r="122" spans="1:27" x14ac:dyDescent="0.25">
      <c r="A122" s="2">
        <v>2035</v>
      </c>
      <c r="B122" s="2">
        <f>B12/'Output-Calculation-sheet'!B11*'Output-Calculation-sheet'!B101</f>
        <v>44967126595.814873</v>
      </c>
      <c r="C122" s="2">
        <f>C12/'Output-Calculation-sheet'!C11*'Output-Calculation-sheet'!C101</f>
        <v>36005762847.708214</v>
      </c>
      <c r="D122" s="2">
        <f>D12/'Output-Calculation-sheet'!D11*'Output-Calculation-sheet'!D101</f>
        <v>0</v>
      </c>
      <c r="E122" s="2">
        <f>E12/'Output-Calculation-sheet'!E11*'Output-Calculation-sheet'!E101</f>
        <v>2878708220.9374123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16573599495.556498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778029210.83989823</v>
      </c>
      <c r="M122" s="2">
        <f>M12/'Output-Calculation-sheet'!M11*'Output-Calculation-sheet'!M101</f>
        <v>11602414684.318867</v>
      </c>
      <c r="N122" s="2">
        <f>N12/'Output-Calculation-sheet'!N11*'Output-Calculation-sheet'!N101</f>
        <v>7768818983.3879538</v>
      </c>
      <c r="O122" s="2">
        <f>O12/'Output-Calculation-sheet'!O11*'Output-Calculation-sheet'!O101</f>
        <v>4977514279.2629824</v>
      </c>
      <c r="P122" s="2">
        <f>P12/'Output-Calculation-sheet'!P11*'Output-Calculation-sheet'!P101</f>
        <v>394393604.9302761</v>
      </c>
      <c r="Q122" s="2">
        <f>Q12/'Output-Calculation-sheet'!Q11*'Output-Calculation-sheet'!Q101</f>
        <v>929673286.84053516</v>
      </c>
      <c r="R122" s="2">
        <f>R12/'Output-Calculation-sheet'!R11*'Output-Calculation-sheet'!R101</f>
        <v>0</v>
      </c>
      <c r="S122" s="2">
        <f>S12/'Output-Calculation-sheet'!S11*'Output-Calculation-sheet'!S101</f>
        <v>3649918599.3892808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330411813.77981681</v>
      </c>
      <c r="Y122" s="2">
        <f>Y12/'Output-Calculation-sheet'!Y11*'Output-Calculation-sheet'!Y101</f>
        <v>324525191.53465158</v>
      </c>
      <c r="AA122" s="2">
        <f t="shared" si="10"/>
        <v>131180.89681430126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3138246228.6775246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2241806187.5492435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147719.29798453095</v>
      </c>
    </row>
    <row r="130" spans="1:27" x14ac:dyDescent="0.25">
      <c r="A130" s="2">
        <v>2032</v>
      </c>
      <c r="B130" s="2">
        <f>B9/'Output-Calculation-sheet'!B8*'Output-Calculation-sheet'!B107</f>
        <v>59486169687.605148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3413799031.3744202</v>
      </c>
      <c r="O130" s="2">
        <f>O9/'Output-Calculation-sheet'!O8*'Output-Calculation-sheet'!O107</f>
        <v>0</v>
      </c>
      <c r="P130" s="2">
        <f>P9/'Output-Calculation-sheet'!P8*'Output-Calculation-sheet'!P107</f>
        <v>5950685970.9731665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2804192569.012733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197200.37694105718</v>
      </c>
    </row>
    <row r="131" spans="1:27" x14ac:dyDescent="0.25">
      <c r="A131" s="2">
        <v>2033</v>
      </c>
      <c r="B131" s="2">
        <f>B10/'Output-Calculation-sheet'!B9*'Output-Calculation-sheet'!B108</f>
        <v>67575146421.407089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3389121707.25635</v>
      </c>
      <c r="O131" s="2">
        <f>O10/'Output-Calculation-sheet'!O9*'Output-Calculation-sheet'!O108</f>
        <v>0</v>
      </c>
      <c r="P131" s="2">
        <f>P10/'Output-Calculation-sheet'!P9*'Output-Calculation-sheet'!P108</f>
        <v>7670143303.4119453</v>
      </c>
      <c r="Q131" s="2">
        <f>Q10/'Output-Calculation-sheet'!Q9*'Output-Calculation-sheet'!Q108</f>
        <v>7382704911.6594715</v>
      </c>
      <c r="R131" s="2">
        <f>R10/'Output-Calculation-sheet'!R9*'Output-Calculation-sheet'!R108</f>
        <v>7259856464.713048</v>
      </c>
      <c r="S131" s="2">
        <f>S10/'Output-Calculation-sheet'!S9*'Output-Calculation-sheet'!S108</f>
        <v>2796567491.4794064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243097.70370827831</v>
      </c>
    </row>
    <row r="132" spans="1:27" x14ac:dyDescent="0.25">
      <c r="A132" s="2">
        <v>2034</v>
      </c>
      <c r="B132" s="2">
        <f>B11/'Output-Calculation-sheet'!B10*'Output-Calculation-sheet'!B109</f>
        <v>66875943357.475403</v>
      </c>
      <c r="C132" s="2">
        <f>C11/'Output-Calculation-sheet'!C10*'Output-Calculation-sheet'!C109</f>
        <v>0</v>
      </c>
      <c r="D132" s="2">
        <f>D11/'Output-Calculation-sheet'!D10*'Output-Calculation-sheet'!D109</f>
        <v>43677030580.31282</v>
      </c>
      <c r="E132" s="2">
        <f>E11/'Output-Calculation-sheet'!E10*'Output-Calculation-sheet'!E109</f>
        <v>34028524441.758373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13882000116.179764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10322301606.373047</v>
      </c>
      <c r="M132" s="2">
        <f>M11/'Output-Calculation-sheet'!M10*'Output-Calculation-sheet'!M109</f>
        <v>0</v>
      </c>
      <c r="N132" s="2">
        <f>N11/'Output-Calculation-sheet'!N10*'Output-Calculation-sheet'!N109</f>
        <v>3271199134.885653</v>
      </c>
      <c r="O132" s="2">
        <f>O11/'Output-Calculation-sheet'!O10*'Output-Calculation-sheet'!O109</f>
        <v>0</v>
      </c>
      <c r="P132" s="2">
        <f>P11/'Output-Calculation-sheet'!P10*'Output-Calculation-sheet'!P109</f>
        <v>9485749840.0047836</v>
      </c>
      <c r="Q132" s="2">
        <f>Q11/'Output-Calculation-sheet'!Q10*'Output-Calculation-sheet'!Q109</f>
        <v>8043699564.7726269</v>
      </c>
      <c r="R132" s="2">
        <f>R11/'Output-Calculation-sheet'!R10*'Output-Calculation-sheet'!R109</f>
        <v>8978333331.1326942</v>
      </c>
      <c r="S132" s="2">
        <f>S11/'Output-Calculation-sheet'!S10*'Output-Calculation-sheet'!S109</f>
        <v>2796082958.5943546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2806686990.7839627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1072370159.1163034</v>
      </c>
      <c r="AA132" s="2">
        <f t="shared" si="11"/>
        <v>279129.55074169114</v>
      </c>
    </row>
    <row r="133" spans="1:27" x14ac:dyDescent="0.25">
      <c r="A133" s="2">
        <v>2035</v>
      </c>
      <c r="B133" s="2">
        <f>B12/'Output-Calculation-sheet'!B11*'Output-Calculation-sheet'!B110</f>
        <v>68803166962.313614</v>
      </c>
      <c r="C133" s="2">
        <f>C12/'Output-Calculation-sheet'!C11*'Output-Calculation-sheet'!C110</f>
        <v>0</v>
      </c>
      <c r="D133" s="2">
        <f>D12/'Output-Calculation-sheet'!D11*'Output-Calculation-sheet'!D110</f>
        <v>47294734759.216621</v>
      </c>
      <c r="E133" s="2">
        <f>E12/'Output-Calculation-sheet'!E11*'Output-Calculation-sheet'!E110</f>
        <v>37235080475.254929</v>
      </c>
      <c r="F133" s="2">
        <f>F12/'Output-Calculation-sheet'!F11*'Output-Calculation-sheet'!F110</f>
        <v>25588152312.179066</v>
      </c>
      <c r="G133" s="2">
        <f>G12/'Output-Calculation-sheet'!G11*'Output-Calculation-sheet'!G110</f>
        <v>17639395502.113628</v>
      </c>
      <c r="H133" s="2">
        <f>H12/'Output-Calculation-sheet'!H11*'Output-Calculation-sheet'!H110</f>
        <v>0</v>
      </c>
      <c r="I133" s="2">
        <f>I12/'Output-Calculation-sheet'!I11*'Output-Calculation-sheet'!I110</f>
        <v>16006995416.748976</v>
      </c>
      <c r="J133" s="2">
        <f>J12/'Output-Calculation-sheet'!J11*'Output-Calculation-sheet'!J110</f>
        <v>14990352047.690865</v>
      </c>
      <c r="K133" s="2">
        <f>K12/'Output-Calculation-sheet'!K11*'Output-Calculation-sheet'!K110</f>
        <v>15350133145.468838</v>
      </c>
      <c r="L133" s="2">
        <f>L12/'Output-Calculation-sheet'!L11*'Output-Calculation-sheet'!L110</f>
        <v>11249436223.602861</v>
      </c>
      <c r="M133" s="2">
        <f>M12/'Output-Calculation-sheet'!M11*'Output-Calculation-sheet'!M110</f>
        <v>0</v>
      </c>
      <c r="N133" s="2">
        <f>N12/'Output-Calculation-sheet'!N11*'Output-Calculation-sheet'!N110</f>
        <v>3512177250.0694656</v>
      </c>
      <c r="O133" s="2">
        <f>O12/'Output-Calculation-sheet'!O11*'Output-Calculation-sheet'!O110</f>
        <v>0</v>
      </c>
      <c r="P133" s="2">
        <f>P12/'Output-Calculation-sheet'!P11*'Output-Calculation-sheet'!P110</f>
        <v>10490936272.214888</v>
      </c>
      <c r="Q133" s="2">
        <f>Q12/'Output-Calculation-sheet'!Q11*'Output-Calculation-sheet'!Q110</f>
        <v>8532582173.390399</v>
      </c>
      <c r="R133" s="2">
        <f>R12/'Output-Calculation-sheet'!R11*'Output-Calculation-sheet'!R110</f>
        <v>10057168188.223082</v>
      </c>
      <c r="S133" s="2">
        <f>S12/'Output-Calculation-sheet'!S11*'Output-Calculation-sheet'!S110</f>
        <v>2712095984.9777055</v>
      </c>
      <c r="T133" s="2">
        <f>T12/'Output-Calculation-sheet'!T11*'Output-Calculation-sheet'!T110</f>
        <v>3784785437.9883738</v>
      </c>
      <c r="U133" s="2">
        <f>U12/'Output-Calculation-sheet'!U11*'Output-Calculation-sheet'!U110</f>
        <v>3068513776.2179985</v>
      </c>
      <c r="V133" s="2">
        <f>V12/'Output-Calculation-sheet'!V11*'Output-Calculation-sheet'!V110</f>
        <v>2419949765.1297379</v>
      </c>
      <c r="W133" s="2">
        <f>W12/'Output-Calculation-sheet'!W11*'Output-Calculation-sheet'!W110</f>
        <v>2258273473.1780844</v>
      </c>
      <c r="X133" s="2">
        <f>X12/'Output-Calculation-sheet'!X11*'Output-Calculation-sheet'!X110</f>
        <v>0</v>
      </c>
      <c r="Y133" s="2">
        <f>Y12/'Output-Calculation-sheet'!Y11*'Output-Calculation-sheet'!Y110</f>
        <v>967126482.17675316</v>
      </c>
      <c r="AA133" s="2">
        <f t="shared" si="11"/>
        <v>301961.05564815592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8585119410.2855921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261470560.13868916</v>
      </c>
      <c r="Y140" s="2">
        <f>Y8/'Output-Calculation-sheet'!Y7*'Output-Calculation-sheet'!Y115</f>
        <v>0</v>
      </c>
      <c r="AA140" s="2">
        <f t="shared" si="12"/>
        <v>8846.589970424282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6349961979.8025589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354974496.19056934</v>
      </c>
      <c r="Y141" s="2">
        <f>Y9/'Output-Calculation-sheet'!Y8*'Output-Calculation-sheet'!Y116</f>
        <v>0</v>
      </c>
      <c r="AA141" s="2">
        <f t="shared" si="12"/>
        <v>6704.9364759931277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377571459.95123804</v>
      </c>
      <c r="Y142" s="2">
        <f>Y10/'Output-Calculation-sheet'!Y9*'Output-Calculation-sheet'!Y117</f>
        <v>0</v>
      </c>
      <c r="AA142" s="2">
        <f t="shared" si="12"/>
        <v>377.57145995123801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641.20367048901926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1020028053.3822422</v>
      </c>
      <c r="Y144" s="2">
        <f>Y12/'Output-Calculation-sheet'!Y11*'Output-Calculation-sheet'!Y119</f>
        <v>0</v>
      </c>
      <c r="AA144" s="2">
        <f t="shared" si="12"/>
        <v>1020.0280533822422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25767837143.524132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6286751131.0056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195673.26435494568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29674478717.412231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6762398807.8484821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171117.96138424744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34144620366.543674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7144165387.3561134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137736.77968948201</v>
      </c>
    </row>
    <row r="154" spans="1:27" x14ac:dyDescent="0.25">
      <c r="A154" s="2">
        <v>2034</v>
      </c>
      <c r="B154" s="2">
        <f>B11/'Output-Calculation-sheet'!B10*'Output-Calculation-sheet'!B127</f>
        <v>17916626749.953274</v>
      </c>
      <c r="C154" s="2">
        <f>C11/'Output-Calculation-sheet'!C10*'Output-Calculation-sheet'!C127</f>
        <v>33064665405.347103</v>
      </c>
      <c r="D154" s="2">
        <f>D11/'Output-Calculation-sheet'!D10*'Output-Calculation-sheet'!D127</f>
        <v>6650226434.3862219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2889291137.6801209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2133156455.622766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1840005445.492919</v>
      </c>
      <c r="M154" s="2">
        <f>M11/'Output-Calculation-sheet'!M10*'Output-Calculation-sheet'!M127</f>
        <v>1856685324.1572988</v>
      </c>
      <c r="N154" s="2">
        <f>N11/'Output-Calculation-sheet'!N10*'Output-Calculation-sheet'!N127</f>
        <v>1725310785.4494383</v>
      </c>
      <c r="O154" s="2">
        <f>O11/'Output-Calculation-sheet'!O10*'Output-Calculation-sheet'!O127</f>
        <v>7463388427.8197708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2295297735.4251966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1190320310.6839538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507016966.98055202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98032.753101131326</v>
      </c>
    </row>
    <row r="155" spans="1:27" x14ac:dyDescent="0.25">
      <c r="A155" s="2">
        <v>2035</v>
      </c>
      <c r="B155" s="2">
        <f>B12/'Output-Calculation-sheet'!B11*'Output-Calculation-sheet'!B128</f>
        <v>16868432336.264711</v>
      </c>
      <c r="C155" s="2">
        <f>C12/'Output-Calculation-sheet'!C11*'Output-Calculation-sheet'!C128</f>
        <v>29798739563.542755</v>
      </c>
      <c r="D155" s="2">
        <f>D12/'Output-Calculation-sheet'!D11*'Output-Calculation-sheet'!D128</f>
        <v>6949476596.2139854</v>
      </c>
      <c r="E155" s="2">
        <f>E12/'Output-Calculation-sheet'!E11*'Output-Calculation-sheet'!E128</f>
        <v>3787741755.1977763</v>
      </c>
      <c r="F155" s="2">
        <f>F12/'Output-Calculation-sheet'!F11*'Output-Calculation-sheet'!F128</f>
        <v>2063243295.065975</v>
      </c>
      <c r="G155" s="2">
        <f>G12/'Output-Calculation-sheet'!G11*'Output-Calculation-sheet'!G128</f>
        <v>1946560222.3245714</v>
      </c>
      <c r="H155" s="2">
        <f>H12/'Output-Calculation-sheet'!H11*'Output-Calculation-sheet'!H128</f>
        <v>2843189655.8051567</v>
      </c>
      <c r="I155" s="2">
        <f>I12/'Output-Calculation-sheet'!I11*'Output-Calculation-sheet'!I128</f>
        <v>1778571485.8523047</v>
      </c>
      <c r="J155" s="2">
        <f>J12/'Output-Calculation-sheet'!J11*'Output-Calculation-sheet'!J128</f>
        <v>2212578157.0041943</v>
      </c>
      <c r="K155" s="2">
        <f>K12/'Output-Calculation-sheet'!K11*'Output-Calculation-sheet'!K128</f>
        <v>1773724503.3581014</v>
      </c>
      <c r="L155" s="2">
        <f>L12/'Output-Calculation-sheet'!L11*'Output-Calculation-sheet'!L128</f>
        <v>1815622139.8070295</v>
      </c>
      <c r="M155" s="2">
        <f>M12/'Output-Calculation-sheet'!M11*'Output-Calculation-sheet'!M128</f>
        <v>1795038060.9250162</v>
      </c>
      <c r="N155" s="2">
        <f>N12/'Output-Calculation-sheet'!N11*'Output-Calculation-sheet'!N128</f>
        <v>1646041675.9746864</v>
      </c>
      <c r="O155" s="2">
        <f>O12/'Output-Calculation-sheet'!O11*'Output-Calculation-sheet'!O128</f>
        <v>7736199603.4967813</v>
      </c>
      <c r="P155" s="2">
        <f>P12/'Output-Calculation-sheet'!P11*'Output-Calculation-sheet'!P128</f>
        <v>951955324.26151252</v>
      </c>
      <c r="Q155" s="2">
        <f>Q12/'Output-Calculation-sheet'!Q11*'Output-Calculation-sheet'!Q128</f>
        <v>2261988500.7803946</v>
      </c>
      <c r="R155" s="2">
        <f>R12/'Output-Calculation-sheet'!R11*'Output-Calculation-sheet'!R128</f>
        <v>1044776214.77862</v>
      </c>
      <c r="S155" s="2">
        <f>S12/'Output-Calculation-sheet'!S11*'Output-Calculation-sheet'!S128</f>
        <v>1097372820.6767864</v>
      </c>
      <c r="T155" s="2">
        <f>T12/'Output-Calculation-sheet'!T11*'Output-Calculation-sheet'!T128</f>
        <v>270711586.10103345</v>
      </c>
      <c r="U155" s="2">
        <f>U12/'Output-Calculation-sheet'!U11*'Output-Calculation-sheet'!U128</f>
        <v>526914913.67962539</v>
      </c>
      <c r="V155" s="2">
        <f>V12/'Output-Calculation-sheet'!V11*'Output-Calculation-sheet'!V128</f>
        <v>292718330.76834363</v>
      </c>
      <c r="W155" s="2">
        <f>W12/'Output-Calculation-sheet'!W11*'Output-Calculation-sheet'!W128</f>
        <v>104763446.27256855</v>
      </c>
      <c r="X155" s="2">
        <f>X12/'Output-Calculation-sheet'!X11*'Output-Calculation-sheet'!X128</f>
        <v>47180769.156340972</v>
      </c>
      <c r="Y155" s="2">
        <f>Y12/'Output-Calculation-sheet'!Y11*'Output-Calculation-sheet'!Y128</f>
        <v>116205889.28399593</v>
      </c>
      <c r="AA155" s="2">
        <f t="shared" si="13"/>
        <v>89729.746846592257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7470.2454416219825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4790.005010631834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3324.7491704460303</v>
      </c>
      <c r="N19" s="2">
        <f>N8/'Output-Calculation-sheet'!N7*'Output-Calculation-sheet'!N25</f>
        <v>1136.5197657257954</v>
      </c>
      <c r="O19" s="2">
        <f>O8/'Output-Calculation-sheet'!O7*'Output-Calculation-sheet'!O25</f>
        <v>1776.330043905969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175.52536817384947</v>
      </c>
      <c r="Y19" s="2">
        <f>Y8/'Output-Calculation-sheet'!Y7*'Output-Calculation-sheet'!Y25</f>
        <v>0</v>
      </c>
      <c r="AA19" s="2">
        <f t="shared" si="0"/>
        <v>20.14545742984421</v>
      </c>
    </row>
    <row r="20" spans="1:27" x14ac:dyDescent="0.25">
      <c r="A20" s="2">
        <v>2032</v>
      </c>
      <c r="B20" s="2">
        <f>B9/'Output-Calculation-sheet'!B8*'Output-Calculation-sheet'!B26</f>
        <v>6056.7181102010009</v>
      </c>
      <c r="C20" s="2">
        <f>C9/'Output-Calculation-sheet'!C8*'Output-Calculation-sheet'!C26</f>
        <v>10239.759966451782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6584.0738048277981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4578.840294058602</v>
      </c>
      <c r="N20" s="2">
        <f>N9/'Output-Calculation-sheet'!N8*'Output-Calculation-sheet'!N26</f>
        <v>2061.7910255591883</v>
      </c>
      <c r="O20" s="2">
        <f>O9/'Output-Calculation-sheet'!O8*'Output-Calculation-sheet'!O26</f>
        <v>2146.9803269061817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749.815745739877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244.68989997590253</v>
      </c>
      <c r="Y20" s="2">
        <f>Y9/'Output-Calculation-sheet'!Y8*'Output-Calculation-sheet'!Y26</f>
        <v>0</v>
      </c>
      <c r="AA20" s="2">
        <f t="shared" si="0"/>
        <v>32.662669173720339</v>
      </c>
    </row>
    <row r="21" spans="1:27" x14ac:dyDescent="0.25">
      <c r="A21" s="2">
        <v>2033</v>
      </c>
      <c r="B21" s="2">
        <f>B10/'Output-Calculation-sheet'!B9*'Output-Calculation-sheet'!B27</f>
        <v>14770.141539773846</v>
      </c>
      <c r="C21" s="2">
        <f>C10/'Output-Calculation-sheet'!C9*'Output-Calculation-sheet'!C27</f>
        <v>15166.03069333169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8529.4791989866262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5925.3519091338676</v>
      </c>
      <c r="N21" s="2">
        <f>N10/'Output-Calculation-sheet'!N9*'Output-Calculation-sheet'!N27</f>
        <v>3236.9577279302939</v>
      </c>
      <c r="O21" s="2">
        <f>O10/'Output-Calculation-sheet'!O9*'Output-Calculation-sheet'!O27</f>
        <v>2502.9927757513487</v>
      </c>
      <c r="P21" s="2">
        <f>P10/'Output-Calculation-sheet'!P9*'Output-Calculation-sheet'!P27</f>
        <v>0</v>
      </c>
      <c r="Q21" s="2">
        <f>Q10/'Output-Calculation-sheet'!Q9*'Output-Calculation-sheet'!Q27</f>
        <v>218.57087289451766</v>
      </c>
      <c r="R21" s="2">
        <f>R10/'Output-Calculation-sheet'!R9*'Output-Calculation-sheet'!R27</f>
        <v>0</v>
      </c>
      <c r="S21" s="2">
        <f>S10/'Output-Calculation-sheet'!S9*'Output-Calculation-sheet'!S27</f>
        <v>1409.0559712718502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375.62972214654712</v>
      </c>
      <c r="Y21" s="2">
        <f>Y10/'Output-Calculation-sheet'!Y9*'Output-Calculation-sheet'!Y27</f>
        <v>0</v>
      </c>
      <c r="AA21" s="2">
        <f t="shared" si="0"/>
        <v>52.1342104112206</v>
      </c>
    </row>
    <row r="22" spans="1:27" x14ac:dyDescent="0.25">
      <c r="A22" s="2">
        <v>2034</v>
      </c>
      <c r="B22" s="2">
        <f>B11/'Output-Calculation-sheet'!B10*'Output-Calculation-sheet'!B28</f>
        <v>26609.336152139542</v>
      </c>
      <c r="C22" s="2">
        <f>C11/'Output-Calculation-sheet'!C10*'Output-Calculation-sheet'!C28</f>
        <v>18711.965222295483</v>
      </c>
      <c r="D22" s="2">
        <f>D11/'Output-Calculation-sheet'!D10*'Output-Calculation-sheet'!D28</f>
        <v>0</v>
      </c>
      <c r="E22" s="2">
        <f>E11/'Output-Calculation-sheet'!E10*'Output-Calculation-sheet'!E28</f>
        <v>1524.2130582607724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10701.590245688218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764.28158356192762</v>
      </c>
      <c r="M22" s="2">
        <f>M11/'Output-Calculation-sheet'!M10*'Output-Calculation-sheet'!M28</f>
        <v>7603.9301846005565</v>
      </c>
      <c r="N22" s="2">
        <f>N11/'Output-Calculation-sheet'!N10*'Output-Calculation-sheet'!N28</f>
        <v>4484.0795175864232</v>
      </c>
      <c r="O22" s="2">
        <f>O11/'Output-Calculation-sheet'!O10*'Output-Calculation-sheet'!O28</f>
        <v>2859.0825516391637</v>
      </c>
      <c r="P22" s="2">
        <f>P11/'Output-Calculation-sheet'!P10*'Output-Calculation-sheet'!P28</f>
        <v>0</v>
      </c>
      <c r="Q22" s="2">
        <f>Q11/'Output-Calculation-sheet'!Q10*'Output-Calculation-sheet'!Q28</f>
        <v>671.53010678607643</v>
      </c>
      <c r="R22" s="2">
        <f>R11/'Output-Calculation-sheet'!R10*'Output-Calculation-sheet'!R28</f>
        <v>0</v>
      </c>
      <c r="S22" s="2">
        <f>S11/'Output-Calculation-sheet'!S10*'Output-Calculation-sheet'!S28</f>
        <v>1970.3767142780348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82.616711906865433</v>
      </c>
      <c r="AA22" s="2">
        <f t="shared" si="0"/>
        <v>76.321015017783807</v>
      </c>
    </row>
    <row r="23" spans="1:27" x14ac:dyDescent="0.25">
      <c r="A23" s="2">
        <v>2035</v>
      </c>
      <c r="B23" s="2">
        <f>B12/'Output-Calculation-sheet'!B11*'Output-Calculation-sheet'!B29</f>
        <v>31990.842266221349</v>
      </c>
      <c r="C23" s="2">
        <f>C12/'Output-Calculation-sheet'!C11*'Output-Calculation-sheet'!C29</f>
        <v>23295.936236413287</v>
      </c>
      <c r="D23" s="2">
        <f>D12/'Output-Calculation-sheet'!D11*'Output-Calculation-sheet'!D29</f>
        <v>0</v>
      </c>
      <c r="E23" s="2">
        <f>E12/'Output-Calculation-sheet'!E11*'Output-Calculation-sheet'!E29</f>
        <v>4254.6214397671165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11563.949229794562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928.38843155689278</v>
      </c>
      <c r="M23" s="2">
        <f>M12/'Output-Calculation-sheet'!M11*'Output-Calculation-sheet'!M29</f>
        <v>8264.1326689843827</v>
      </c>
      <c r="N23" s="2">
        <f>N12/'Output-Calculation-sheet'!N11*'Output-Calculation-sheet'!N29</f>
        <v>4943.1446597828726</v>
      </c>
      <c r="O23" s="2">
        <f>O12/'Output-Calculation-sheet'!O11*'Output-Calculation-sheet'!O29</f>
        <v>3211.435799686571</v>
      </c>
      <c r="P23" s="2">
        <f>P12/'Output-Calculation-sheet'!P11*'Output-Calculation-sheet'!P29</f>
        <v>672.71809550978276</v>
      </c>
      <c r="Q23" s="2">
        <f>Q12/'Output-Calculation-sheet'!Q11*'Output-Calculation-sheet'!Q29</f>
        <v>1002.2792996160928</v>
      </c>
      <c r="R23" s="2">
        <f>R12/'Output-Calculation-sheet'!R11*'Output-Calculation-sheet'!R29</f>
        <v>0</v>
      </c>
      <c r="S23" s="2">
        <f>S12/'Output-Calculation-sheet'!S11*'Output-Calculation-sheet'!S29</f>
        <v>2366.9012018744897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208.62321100060279</v>
      </c>
      <c r="Y23" s="2">
        <f>Y12/'Output-Calculation-sheet'!Y11*'Output-Calculation-sheet'!Y29</f>
        <v>220.12922921607699</v>
      </c>
      <c r="AA23" s="2">
        <f t="shared" si="0"/>
        <v>92.923101769424093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1547.7287204937238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39.78773214346117</v>
      </c>
    </row>
    <row r="31" spans="1:27" x14ac:dyDescent="0.25">
      <c r="A31" s="2">
        <v>2032</v>
      </c>
      <c r="B31" s="2">
        <f>B9/'Output-Calculation-sheet'!B8*'Output-Calculation-sheet'!B17</f>
        <v>25645.891909501657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1756.6301809930558</v>
      </c>
      <c r="O31" s="2">
        <f>O9/'Output-Calculation-sheet'!O8*'Output-Calculation-sheet'!O17</f>
        <v>0</v>
      </c>
      <c r="P31" s="2">
        <f>P9/'Output-Calculation-sheet'!P8*'Output-Calculation-sheet'!P17</f>
        <v>2175.2194435220408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1306.1585825001378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55.849298262325739</v>
      </c>
    </row>
    <row r="32" spans="1:27" x14ac:dyDescent="0.25">
      <c r="A32" s="2">
        <v>2033</v>
      </c>
      <c r="B32" s="2">
        <f>B10/'Output-Calculation-sheet'!B9*'Output-Calculation-sheet'!B18</f>
        <v>29914.585851466712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2853.2473365867304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1828.0515381728476</v>
      </c>
      <c r="O32" s="2">
        <f>O10/'Output-Calculation-sheet'!O9*'Output-Calculation-sheet'!O18</f>
        <v>0</v>
      </c>
      <c r="P32" s="2">
        <f>P10/'Output-Calculation-sheet'!P9*'Output-Calculation-sheet'!P18</f>
        <v>2936.5582623340006</v>
      </c>
      <c r="Q32" s="2">
        <f>Q10/'Output-Calculation-sheet'!Q9*'Output-Calculation-sheet'!Q18</f>
        <v>3199.3330095702813</v>
      </c>
      <c r="R32" s="2">
        <f>R10/'Output-Calculation-sheet'!R9*'Output-Calculation-sheet'!R18</f>
        <v>2108.7249640939185</v>
      </c>
      <c r="S32" s="2">
        <f>S10/'Output-Calculation-sheet'!S9*'Output-Calculation-sheet'!S18</f>
        <v>1381.0895803352305</v>
      </c>
      <c r="T32" s="2">
        <f>T10/'Output-Calculation-sheet'!T9*'Output-Calculation-sheet'!T18</f>
        <v>615.66557013254851</v>
      </c>
      <c r="U32" s="2">
        <f>U10/'Output-Calculation-sheet'!U9*'Output-Calculation-sheet'!U18</f>
        <v>680.69399144861541</v>
      </c>
      <c r="V32" s="2">
        <f>V10/'Output-Calculation-sheet'!V9*'Output-Calculation-sheet'!V18</f>
        <v>502.32091033858143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290.86404218929414</v>
      </c>
      <c r="AA32" s="2">
        <f t="shared" si="1"/>
        <v>71.90806195326735</v>
      </c>
    </row>
    <row r="33" spans="1:27" x14ac:dyDescent="0.25">
      <c r="A33" s="2">
        <v>2034</v>
      </c>
      <c r="B33" s="2">
        <f>B11/'Output-Calculation-sheet'!B10*'Output-Calculation-sheet'!B19</f>
        <v>30232.737821646468</v>
      </c>
      <c r="C33" s="2">
        <f>C11/'Output-Calculation-sheet'!C10*'Output-Calculation-sheet'!C19</f>
        <v>0</v>
      </c>
      <c r="D33" s="2">
        <f>D11/'Output-Calculation-sheet'!D10*'Output-Calculation-sheet'!D19</f>
        <v>8836.6714679050874</v>
      </c>
      <c r="E33" s="2">
        <f>E11/'Output-Calculation-sheet'!E10*'Output-Calculation-sheet'!E19</f>
        <v>11117.370719249679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3336.7062410961253</v>
      </c>
      <c r="J33" s="2">
        <f>J11/'Output-Calculation-sheet'!J10*'Output-Calculation-sheet'!J19</f>
        <v>2762.0084277379851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3095.4188848349399</v>
      </c>
      <c r="M33" s="2">
        <f>M11/'Output-Calculation-sheet'!M10*'Output-Calculation-sheet'!M19</f>
        <v>0</v>
      </c>
      <c r="N33" s="2">
        <f>N11/'Output-Calculation-sheet'!N10*'Output-Calculation-sheet'!N19</f>
        <v>1837.2998506977808</v>
      </c>
      <c r="O33" s="2">
        <f>O11/'Output-Calculation-sheet'!O10*'Output-Calculation-sheet'!O19</f>
        <v>0</v>
      </c>
      <c r="P33" s="2">
        <f>P11/'Output-Calculation-sheet'!P10*'Output-Calculation-sheet'!P19</f>
        <v>3958.5222483054845</v>
      </c>
      <c r="Q33" s="2">
        <f>Q11/'Output-Calculation-sheet'!Q10*'Output-Calculation-sheet'!Q19</f>
        <v>3313.2866469518362</v>
      </c>
      <c r="R33" s="2">
        <f>R11/'Output-Calculation-sheet'!R10*'Output-Calculation-sheet'!R19</f>
        <v>2826.7718318818315</v>
      </c>
      <c r="S33" s="2">
        <f>S11/'Output-Calculation-sheet'!S10*'Output-Calculation-sheet'!S19</f>
        <v>1417.3423745738507</v>
      </c>
      <c r="T33" s="2">
        <f>T11/'Output-Calculation-sheet'!T10*'Output-Calculation-sheet'!T19</f>
        <v>829.42865668282843</v>
      </c>
      <c r="U33" s="2">
        <f>U11/'Output-Calculation-sheet'!U10*'Output-Calculation-sheet'!U19</f>
        <v>894.09461425260668</v>
      </c>
      <c r="V33" s="2">
        <f>V11/'Output-Calculation-sheet'!V10*'Output-Calculation-sheet'!V19</f>
        <v>650.58789557469061</v>
      </c>
      <c r="W33" s="2">
        <f>W11/'Output-Calculation-sheet'!W10*'Output-Calculation-sheet'!W19</f>
        <v>405.09593930832858</v>
      </c>
      <c r="X33" s="2">
        <f>X11/'Output-Calculation-sheet'!X10*'Output-Calculation-sheet'!X19</f>
        <v>0</v>
      </c>
      <c r="Y33" s="2">
        <f>Y11/'Output-Calculation-sheet'!Y10*'Output-Calculation-sheet'!Y19</f>
        <v>365.12638691145787</v>
      </c>
      <c r="AA33" s="2">
        <f t="shared" si="1"/>
        <v>87.948703849263353</v>
      </c>
    </row>
    <row r="34" spans="1:27" x14ac:dyDescent="0.25">
      <c r="A34" s="2">
        <v>2035</v>
      </c>
      <c r="B34" s="2">
        <f>B12/'Output-Calculation-sheet'!B11*'Output-Calculation-sheet'!B20</f>
        <v>29811.858283313639</v>
      </c>
      <c r="C34" s="2">
        <f>C12/'Output-Calculation-sheet'!C11*'Output-Calculation-sheet'!C20</f>
        <v>0</v>
      </c>
      <c r="D34" s="2">
        <f>D12/'Output-Calculation-sheet'!D11*'Output-Calculation-sheet'!D20</f>
        <v>9296.3103781589489</v>
      </c>
      <c r="E34" s="2">
        <f>E12/'Output-Calculation-sheet'!E11*'Output-Calculation-sheet'!E20</f>
        <v>10881.332839573028</v>
      </c>
      <c r="F34" s="2">
        <f>F12/'Output-Calculation-sheet'!F11*'Output-Calculation-sheet'!F20</f>
        <v>6320.9557543503724</v>
      </c>
      <c r="G34" s="2">
        <f>G12/'Output-Calculation-sheet'!G11*'Output-Calculation-sheet'!G20</f>
        <v>3355.531492056381</v>
      </c>
      <c r="H34" s="2">
        <f>H12/'Output-Calculation-sheet'!H11*'Output-Calculation-sheet'!H20</f>
        <v>0</v>
      </c>
      <c r="I34" s="2">
        <f>I12/'Output-Calculation-sheet'!I11*'Output-Calculation-sheet'!I20</f>
        <v>3719.5909966738805</v>
      </c>
      <c r="J34" s="2">
        <f>J12/'Output-Calculation-sheet'!J11*'Output-Calculation-sheet'!J20</f>
        <v>2909.3412049801764</v>
      </c>
      <c r="K34" s="2">
        <f>K12/'Output-Calculation-sheet'!K11*'Output-Calculation-sheet'!K20</f>
        <v>4295.1457520582098</v>
      </c>
      <c r="L34" s="2">
        <f>L12/'Output-Calculation-sheet'!L11*'Output-Calculation-sheet'!L20</f>
        <v>3261.1861649256211</v>
      </c>
      <c r="M34" s="2">
        <f>M12/'Output-Calculation-sheet'!M11*'Output-Calculation-sheet'!M20</f>
        <v>0</v>
      </c>
      <c r="N34" s="2">
        <f>N12/'Output-Calculation-sheet'!N11*'Output-Calculation-sheet'!N20</f>
        <v>1897.7757088152775</v>
      </c>
      <c r="O34" s="2">
        <f>O12/'Output-Calculation-sheet'!O11*'Output-Calculation-sheet'!O20</f>
        <v>0</v>
      </c>
      <c r="P34" s="2">
        <f>P12/'Output-Calculation-sheet'!P11*'Output-Calculation-sheet'!P20</f>
        <v>4098.2848990546972</v>
      </c>
      <c r="Q34" s="2">
        <f>Q12/'Output-Calculation-sheet'!Q11*'Output-Calculation-sheet'!Q20</f>
        <v>3363.0453567012601</v>
      </c>
      <c r="R34" s="2">
        <f>R12/'Output-Calculation-sheet'!R11*'Output-Calculation-sheet'!R20</f>
        <v>3189.4058508631215</v>
      </c>
      <c r="S34" s="2">
        <f>S12/'Output-Calculation-sheet'!S11*'Output-Calculation-sheet'!S20</f>
        <v>1349.3206172749271</v>
      </c>
      <c r="T34" s="2">
        <f>T12/'Output-Calculation-sheet'!T11*'Output-Calculation-sheet'!T20</f>
        <v>987.94185024066905</v>
      </c>
      <c r="U34" s="2">
        <f>U12/'Output-Calculation-sheet'!U11*'Output-Calculation-sheet'!U20</f>
        <v>943.93874699165247</v>
      </c>
      <c r="V34" s="2">
        <f>V12/'Output-Calculation-sheet'!V11*'Output-Calculation-sheet'!V20</f>
        <v>702.7153574527548</v>
      </c>
      <c r="W34" s="2">
        <f>W12/'Output-Calculation-sheet'!W11*'Output-Calculation-sheet'!W20</f>
        <v>554.07764840221978</v>
      </c>
      <c r="X34" s="2">
        <f>X12/'Output-Calculation-sheet'!X11*'Output-Calculation-sheet'!X20</f>
        <v>0</v>
      </c>
      <c r="Y34" s="2">
        <f>Y12/'Output-Calculation-sheet'!Y11*'Output-Calculation-sheet'!Y20</f>
        <v>327.23199018261079</v>
      </c>
      <c r="AA34" s="2">
        <f t="shared" si="1"/>
        <v>91.264990892069449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0.60774914312401451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0.33452819514034454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0.942277338264359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1.9493119244211035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0.48689634019184574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2.436208264612949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3.5953159096935767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0.65190533382221938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4.2472212435157957</v>
      </c>
    </row>
    <row r="44" spans="1:27" x14ac:dyDescent="0.25">
      <c r="A44" s="2">
        <v>2034</v>
      </c>
      <c r="B44" s="2">
        <f>B11/'Output-Calculation-sheet'!B10*'Output-Calculation-sheet'!B37*0.0114</f>
        <v>0.26830772399614783</v>
      </c>
      <c r="C44" s="2">
        <f>C11/'Output-Calculation-sheet'!C10*'Output-Calculation-sheet'!C37*0.0114</f>
        <v>4.2660593726154232</v>
      </c>
      <c r="D44" s="2">
        <f>D11/'Output-Calculation-sheet'!D10*'Output-Calculation-sheet'!D37*0.0114</f>
        <v>5.6402864840537609E-2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7.8401515615055303E-2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1.8010306226101693E-2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1.4222163181547473E-2</v>
      </c>
      <c r="M44" s="2">
        <f>M11/'Output-Calculation-sheet'!M10*'Output-Calculation-sheet'!M37*0.0114</f>
        <v>4.0460904555946427E-2</v>
      </c>
      <c r="N44" s="2">
        <f>N11/'Output-Calculation-sheet'!N10*'Output-Calculation-sheet'!N37*0.0114</f>
        <v>2.651100495591106E-2</v>
      </c>
      <c r="O44" s="2">
        <f>O11/'Output-Calculation-sheet'!O10*'Output-Calculation-sheet'!O37*0.0114</f>
        <v>0.81640701827651729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5.806924834723682E-2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3.0394046491334117E-2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7.4110327039341338E-3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5.6806572018056913</v>
      </c>
    </row>
    <row r="45" spans="1:27" x14ac:dyDescent="0.25">
      <c r="A45" s="2">
        <v>2035</v>
      </c>
      <c r="B45" s="2">
        <f>B12/'Output-Calculation-sheet'!B11*'Output-Calculation-sheet'!B38*0.0114</f>
        <v>1.2726058303808832</v>
      </c>
      <c r="C45" s="2">
        <f>C12/'Output-Calculation-sheet'!C11*'Output-Calculation-sheet'!C38*0.0114</f>
        <v>4.8320654565884276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0.33072675094626047</v>
      </c>
      <c r="F45" s="2">
        <f>F12/'Output-Calculation-sheet'!F11*'Output-Calculation-sheet'!F38*0.0114</f>
        <v>0.11885964186442972</v>
      </c>
      <c r="G45" s="2">
        <f>G12/'Output-Calculation-sheet'!G11*'Output-Calculation-sheet'!G38*0.0114</f>
        <v>0.10662968703677009</v>
      </c>
      <c r="H45" s="2">
        <f>H12/'Output-Calculation-sheet'!H11*'Output-Calculation-sheet'!H38*0.0114</f>
        <v>0.37186490346379186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7.5932781356549836E-2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8.9942535711845559E-2</v>
      </c>
      <c r="M45" s="2">
        <f>M12/'Output-Calculation-sheet'!M11*'Output-Calculation-sheet'!M38*0.0114</f>
        <v>0.22744821626499775</v>
      </c>
      <c r="N45" s="2">
        <f>N12/'Output-Calculation-sheet'!N11*'Output-Calculation-sheet'!N38*0.0114</f>
        <v>0.13971544386778359</v>
      </c>
      <c r="O45" s="2">
        <f>O12/'Output-Calculation-sheet'!O11*'Output-Calculation-sheet'!O38*0.0114</f>
        <v>0.97785008291815312</v>
      </c>
      <c r="P45" s="2">
        <f>P12/'Output-Calculation-sheet'!P11*'Output-Calculation-sheet'!P38*0.0114</f>
        <v>9.0350770282264681E-2</v>
      </c>
      <c r="Q45" s="2">
        <f>Q12/'Output-Calculation-sheet'!Q11*'Output-Calculation-sheet'!Q38*0.0114</f>
        <v>0.13465333213184236</v>
      </c>
      <c r="R45" s="2">
        <f>R12/'Output-Calculation-sheet'!R11*'Output-Calculation-sheet'!R38*0.0114</f>
        <v>6.0697344350969636E-2</v>
      </c>
      <c r="S45" s="2">
        <f>S12/'Output-Calculation-sheet'!S11*'Output-Calculation-sheet'!S38*0.0114</f>
        <v>8.8098687203495882E-2</v>
      </c>
      <c r="T45" s="2">
        <f>T12/'Output-Calculation-sheet'!T11*'Output-Calculation-sheet'!T38*0.0114</f>
        <v>1.7964584710802846E-2</v>
      </c>
      <c r="U45" s="2">
        <f>U12/'Output-Calculation-sheet'!U11*'Output-Calculation-sheet'!U38*0.0114</f>
        <v>2.7339778625123951E-2</v>
      </c>
      <c r="V45" s="2">
        <f>V12/'Output-Calculation-sheet'!V11*'Output-Calculation-sheet'!V38*0.0114</f>
        <v>1.2046490111080516E-2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6.2378855945903425E-3</v>
      </c>
      <c r="Y45" s="2">
        <f>Y12/'Output-Calculation-sheet'!Y11*'Output-Calculation-sheet'!Y38*0.0114</f>
        <v>1.0534438107194934E-2</v>
      </c>
      <c r="AA45" s="2">
        <f t="shared" si="2"/>
        <v>9.4081734470187577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6764.0178357032346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4626.0718350672169</v>
      </c>
      <c r="N52" s="2">
        <f>N8/'Output-Calculation-sheet'!N7*'Output-Calculation-sheet'!N43</f>
        <v>146.13002119455589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31.279369331384881</v>
      </c>
      <c r="Y52" s="2">
        <f>Y8/'Output-Calculation-sheet'!Y7*'Output-Calculation-sheet'!Y43</f>
        <v>0</v>
      </c>
      <c r="AA52" s="2">
        <f t="shared" si="3"/>
        <v>11.567499061296393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200.30523534151689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13187.755541774843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9019.6130374679415</v>
      </c>
      <c r="N53" s="2">
        <f>N9/'Output-Calculation-sheet'!N8*'Output-Calculation-sheet'!N44</f>
        <v>3200.7318334664897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998.13352671609528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275.29434379469905</v>
      </c>
      <c r="Y53" s="2">
        <f>Y9/'Output-Calculation-sheet'!Y8*'Output-Calculation-sheet'!Y44</f>
        <v>0</v>
      </c>
      <c r="AA53" s="2">
        <f t="shared" si="3"/>
        <v>27.02371277320179</v>
      </c>
    </row>
    <row r="54" spans="1:27" x14ac:dyDescent="0.25">
      <c r="A54" s="2">
        <v>2033</v>
      </c>
      <c r="B54" s="2">
        <f>B10/'Output-Calculation-sheet'!B9*'Output-Calculation-sheet'!B45</f>
        <v>28207.265520970112</v>
      </c>
      <c r="C54" s="2">
        <f>C10/'Output-Calculation-sheet'!C9*'Output-Calculation-sheet'!C45</f>
        <v>6060.5252103460434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14089.8167458273</v>
      </c>
      <c r="N54" s="2">
        <f>N10/'Output-Calculation-sheet'!N9*'Output-Calculation-sheet'!N45</f>
        <v>7883.1313244304738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825.48315193411429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86.192021831327779</v>
      </c>
    </row>
    <row r="55" spans="1:27" x14ac:dyDescent="0.25">
      <c r="A55" s="2">
        <v>2034</v>
      </c>
      <c r="B55" s="2">
        <f>B11/'Output-Calculation-sheet'!B10*'Output-Calculation-sheet'!B46</f>
        <v>75020.251775238707</v>
      </c>
      <c r="C55" s="2">
        <f>C11/'Output-Calculation-sheet'!C10*'Output-Calculation-sheet'!C46</f>
        <v>15393.112897261204</v>
      </c>
      <c r="D55" s="2">
        <f>D11/'Output-Calculation-sheet'!D10*'Output-Calculation-sheet'!D46</f>
        <v>6496.2246961075334</v>
      </c>
      <c r="E55" s="2">
        <f>E11/'Output-Calculation-sheet'!E10*'Output-Calculation-sheet'!E46</f>
        <v>9727.8733722281577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25131.468283887352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932.11233977192978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782.218974985111</v>
      </c>
      <c r="M55" s="2">
        <f>M11/'Output-Calculation-sheet'!M10*'Output-Calculation-sheet'!M46</f>
        <v>17574.465999373806</v>
      </c>
      <c r="N55" s="2">
        <f>N11/'Output-Calculation-sheet'!N10*'Output-Calculation-sheet'!N46</f>
        <v>12800.86199822916</v>
      </c>
      <c r="O55" s="2">
        <f>O11/'Output-Calculation-sheet'!O10*'Output-Calculation-sheet'!O46</f>
        <v>0</v>
      </c>
      <c r="P55" s="2">
        <f>P11/'Output-Calculation-sheet'!P10*'Output-Calculation-sheet'!P46</f>
        <v>5075.5435833790798</v>
      </c>
      <c r="Q55" s="2">
        <f>Q11/'Output-Calculation-sheet'!Q10*'Output-Calculation-sheet'!Q46</f>
        <v>1877.5723632273239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5382.9456022810155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1248.4989743776757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83.775757541817597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193.82627876462951</v>
      </c>
    </row>
    <row r="56" spans="1:27" x14ac:dyDescent="0.25">
      <c r="A56" s="2">
        <v>2035</v>
      </c>
      <c r="B56" s="2">
        <f>B12/'Output-Calculation-sheet'!B11*'Output-Calculation-sheet'!B47</f>
        <v>90632.853826443592</v>
      </c>
      <c r="C56" s="2">
        <f>C12/'Output-Calculation-sheet'!C11*'Output-Calculation-sheet'!C47</f>
        <v>32672.957217429059</v>
      </c>
      <c r="D56" s="2">
        <f>D12/'Output-Calculation-sheet'!D11*'Output-Calculation-sheet'!D47</f>
        <v>7133.9593287080697</v>
      </c>
      <c r="E56" s="2">
        <f>E12/'Output-Calculation-sheet'!E11*'Output-Calculation-sheet'!E47</f>
        <v>18948.404828650411</v>
      </c>
      <c r="F56" s="2">
        <f>F12/'Output-Calculation-sheet'!F11*'Output-Calculation-sheet'!F47</f>
        <v>2228.6182849580573</v>
      </c>
      <c r="G56" s="2">
        <f>G12/'Output-Calculation-sheet'!G11*'Output-Calculation-sheet'!G47</f>
        <v>5759.8737962493869</v>
      </c>
      <c r="H56" s="2">
        <f>H12/'Output-Calculation-sheet'!H11*'Output-Calculation-sheet'!H47</f>
        <v>26907.651494300106</v>
      </c>
      <c r="I56" s="2">
        <f>I12/'Output-Calculation-sheet'!I11*'Output-Calculation-sheet'!I47</f>
        <v>3201.9415379394213</v>
      </c>
      <c r="J56" s="2">
        <f>J12/'Output-Calculation-sheet'!J11*'Output-Calculation-sheet'!J47</f>
        <v>1148.9828757898988</v>
      </c>
      <c r="K56" s="2">
        <f>K12/'Output-Calculation-sheet'!K11*'Output-Calculation-sheet'!K47</f>
        <v>4787.4732999222715</v>
      </c>
      <c r="L56" s="2">
        <f>L12/'Output-Calculation-sheet'!L11*'Output-Calculation-sheet'!L47</f>
        <v>1082.2033171176738</v>
      </c>
      <c r="M56" s="2">
        <f>M12/'Output-Calculation-sheet'!M11*'Output-Calculation-sheet'!M47</f>
        <v>18836.802384315</v>
      </c>
      <c r="N56" s="2">
        <f>N12/'Output-Calculation-sheet'!N11*'Output-Calculation-sheet'!N47</f>
        <v>14048.755553126342</v>
      </c>
      <c r="O56" s="2">
        <f>O12/'Output-Calculation-sheet'!O11*'Output-Calculation-sheet'!O47</f>
        <v>0</v>
      </c>
      <c r="P56" s="2">
        <f>P12/'Output-Calculation-sheet'!P11*'Output-Calculation-sheet'!P47</f>
        <v>7251.8381410765069</v>
      </c>
      <c r="Q56" s="2">
        <f>Q12/'Output-Calculation-sheet'!Q11*'Output-Calculation-sheet'!Q47</f>
        <v>2570.6545225169898</v>
      </c>
      <c r="R56" s="2">
        <f>R12/'Output-Calculation-sheet'!R11*'Output-Calculation-sheet'!R47</f>
        <v>5016.5822673231223</v>
      </c>
      <c r="S56" s="2">
        <f>S12/'Output-Calculation-sheet'!S11*'Output-Calculation-sheet'!S47</f>
        <v>6546.9829828499051</v>
      </c>
      <c r="T56" s="2">
        <f>T12/'Output-Calculation-sheet'!T11*'Output-Calculation-sheet'!T47</f>
        <v>1719.2422736391145</v>
      </c>
      <c r="U56" s="2">
        <f>U12/'Output-Calculation-sheet'!U11*'Output-Calculation-sheet'!U47</f>
        <v>1340.9510468513174</v>
      </c>
      <c r="V56" s="2">
        <f>V12/'Output-Calculation-sheet'!V11*'Output-Calculation-sheet'!V47</f>
        <v>772.98311546099978</v>
      </c>
      <c r="W56" s="2">
        <f>W12/'Output-Calculation-sheet'!W11*'Output-Calculation-sheet'!W47</f>
        <v>666.37663816614452</v>
      </c>
      <c r="X56" s="2">
        <f>X12/'Output-Calculation-sheet'!X11*'Output-Calculation-sheet'!X47</f>
        <v>400.81150859977419</v>
      </c>
      <c r="Y56" s="2">
        <f>Y12/'Output-Calculation-sheet'!Y11*'Output-Calculation-sheet'!Y47</f>
        <v>858.46429838456959</v>
      </c>
      <c r="AA56" s="2">
        <f t="shared" si="3"/>
        <v>254.53536453981769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5.1849215789784973</v>
      </c>
      <c r="C63" s="2">
        <f>C8*'Output-Calculation-sheet'!C52/10^9</f>
        <v>3.2397796523198799</v>
      </c>
      <c r="D63" s="2">
        <f>D8*'Output-Calculation-sheet'!D52/10^9</f>
        <v>1.4808726327850805</v>
      </c>
      <c r="E63" s="2">
        <f>E8*'Output-Calculation-sheet'!E52/10^9</f>
        <v>1.3602761190059514</v>
      </c>
      <c r="F63" s="2">
        <f>F8*'Output-Calculation-sheet'!F52/10^9</f>
        <v>0.71688904849122081</v>
      </c>
      <c r="G63" s="2">
        <f>G8*'Output-Calculation-sheet'!G52/10^9</f>
        <v>0.53016192769368864</v>
      </c>
      <c r="H63" s="2">
        <f>H8*'Output-Calculation-sheet'!H52/10^9</f>
        <v>0.91472674440465906</v>
      </c>
      <c r="I63" s="2">
        <f>I8*'Output-Calculation-sheet'!I52/10^9</f>
        <v>0.49148365491070123</v>
      </c>
      <c r="J63" s="2">
        <f>J8*'Output-Calculation-sheet'!J52/10^9</f>
        <v>0.49966113402987422</v>
      </c>
      <c r="K63" s="2">
        <f>K8*'Output-Calculation-sheet'!K52/10^9</f>
        <v>0.50284213573420045</v>
      </c>
      <c r="L63" s="2">
        <f>L8*'Output-Calculation-sheet'!L52/10^9</f>
        <v>0.40991543751946191</v>
      </c>
      <c r="M63" s="2">
        <f>M8*'Output-Calculation-sheet'!M52/10^9</f>
        <v>0.63332541828640088</v>
      </c>
      <c r="N63" s="2">
        <f>N8*'Output-Calculation-sheet'!N52/10^9</f>
        <v>0.56825774271094254</v>
      </c>
      <c r="O63" s="2">
        <f>O8*'Output-Calculation-sheet'!O52/10^9</f>
        <v>0.61449011906405515</v>
      </c>
      <c r="P63" s="2">
        <f>P8*'Output-Calculation-sheet'!P52/10^9</f>
        <v>0.40480146079677581</v>
      </c>
      <c r="Q63" s="2">
        <f>Q8*'Output-Calculation-sheet'!Q52/10^9</f>
        <v>0.41746696593832155</v>
      </c>
      <c r="R63" s="2">
        <f>R8*'Output-Calculation-sheet'!R52/10^9</f>
        <v>0.34190139003678266</v>
      </c>
      <c r="S63" s="2">
        <f>S8*'Output-Calculation-sheet'!S52/10^9</f>
        <v>0.31438313932813511</v>
      </c>
      <c r="T63" s="2">
        <f>T8*'Output-Calculation-sheet'!T52/10^9</f>
        <v>0.11788140978806276</v>
      </c>
      <c r="U63" s="2">
        <f>U8*'Output-Calculation-sheet'!U52/10^9</f>
        <v>0.10708987966898051</v>
      </c>
      <c r="V63" s="2">
        <f>V8*'Output-Calculation-sheet'!V52/10^9</f>
        <v>8.2747647443780409E-2</v>
      </c>
      <c r="W63" s="2">
        <f>W8*'Output-Calculation-sheet'!W52/10^9</f>
        <v>6.4647076064462877E-2</v>
      </c>
      <c r="X63" s="2">
        <f>X8*'Output-Calculation-sheet'!X52/10^9</f>
        <v>7.6289011731479062E-2</v>
      </c>
      <c r="Y63" s="2">
        <f>Y8*'Output-Calculation-sheet'!Y52/10^9</f>
        <v>4.202323371873401E-2</v>
      </c>
      <c r="AA63" s="2">
        <f t="shared" si="4"/>
        <v>19.116834560450123</v>
      </c>
    </row>
    <row r="64" spans="1:27" x14ac:dyDescent="0.25">
      <c r="A64" s="2">
        <v>2032</v>
      </c>
      <c r="B64" s="2">
        <f>B9*'Output-Calculation-sheet'!B53/10^9</f>
        <v>5.9014037598116964</v>
      </c>
      <c r="C64" s="2">
        <f>C9*'Output-Calculation-sheet'!C53/10^9</f>
        <v>3.9071123513880073</v>
      </c>
      <c r="D64" s="2">
        <f>D9*'Output-Calculation-sheet'!D53/10^9</f>
        <v>1.4218820100855083</v>
      </c>
      <c r="E64" s="2">
        <f>E9*'Output-Calculation-sheet'!E53/10^9</f>
        <v>1.3881848795618525</v>
      </c>
      <c r="F64" s="2">
        <f>F9*'Output-Calculation-sheet'!F53/10^9</f>
        <v>0.70010689293720796</v>
      </c>
      <c r="G64" s="2">
        <f>G9*'Output-Calculation-sheet'!G53/10^9</f>
        <v>0.5085366396363904</v>
      </c>
      <c r="H64" s="2">
        <f>H9*'Output-Calculation-sheet'!H53/10^9</f>
        <v>1.0917114399722356</v>
      </c>
      <c r="I64" s="2">
        <f>I9*'Output-Calculation-sheet'!I53/10^9</f>
        <v>0.47484453108077601</v>
      </c>
      <c r="J64" s="2">
        <f>J9*'Output-Calculation-sheet'!J53/10^9</f>
        <v>0.47395835076470944</v>
      </c>
      <c r="K64" s="2">
        <f>K9*'Output-Calculation-sheet'!K53/10^9</f>
        <v>0.51120408142579699</v>
      </c>
      <c r="L64" s="2">
        <f>L9*'Output-Calculation-sheet'!L53/10^9</f>
        <v>0.42139532593029211</v>
      </c>
      <c r="M64" s="2">
        <f>M9*'Output-Calculation-sheet'!M53/10^9</f>
        <v>0.75639169984403376</v>
      </c>
      <c r="N64" s="2">
        <f>N9*'Output-Calculation-sheet'!N53/10^9</f>
        <v>0.67210320677096558</v>
      </c>
      <c r="O64" s="2">
        <f>O9*'Output-Calculation-sheet'!O53/10^9</f>
        <v>0.72313810668275369</v>
      </c>
      <c r="P64" s="2">
        <f>P9*'Output-Calculation-sheet'!P53/10^9</f>
        <v>0.45721013058952142</v>
      </c>
      <c r="Q64" s="2">
        <f>Q9*'Output-Calculation-sheet'!Q53/10^9</f>
        <v>0.46785278297907762</v>
      </c>
      <c r="R64" s="2">
        <f>R9*'Output-Calculation-sheet'!R53/10^9</f>
        <v>0.36578459467191377</v>
      </c>
      <c r="S64" s="2">
        <f>S9*'Output-Calculation-sheet'!S53/10^9</f>
        <v>0.37020456358335418</v>
      </c>
      <c r="T64" s="2">
        <f>T9*'Output-Calculation-sheet'!T53/10^9</f>
        <v>0.11721293976762585</v>
      </c>
      <c r="U64" s="2">
        <f>U9*'Output-Calculation-sheet'!U53/10^9</f>
        <v>0.11562493598451254</v>
      </c>
      <c r="V64" s="2">
        <f>V9*'Output-Calculation-sheet'!V53/10^9</f>
        <v>8.6028125007668127E-2</v>
      </c>
      <c r="W64" s="2">
        <f>W9*'Output-Calculation-sheet'!W53/10^9</f>
        <v>6.2108628840641993E-2</v>
      </c>
      <c r="X64" s="2">
        <f>X9*'Output-Calculation-sheet'!X53/10^9</f>
        <v>9.1477970007514689E-2</v>
      </c>
      <c r="Y64" s="2">
        <f>Y9*'Output-Calculation-sheet'!Y53/10^9</f>
        <v>4.4770048893769177E-2</v>
      </c>
      <c r="AA64" s="2">
        <f t="shared" si="4"/>
        <v>21.130247996217829</v>
      </c>
    </row>
    <row r="65" spans="1:27" x14ac:dyDescent="0.25">
      <c r="A65" s="2">
        <v>2033</v>
      </c>
      <c r="B65" s="2">
        <f>B10*'Output-Calculation-sheet'!B54/10^9</f>
        <v>6.9136560300934455</v>
      </c>
      <c r="C65" s="2">
        <f>C10*'Output-Calculation-sheet'!C54/10^9</f>
        <v>4.5664060667698756</v>
      </c>
      <c r="D65" s="2">
        <f>D10*'Output-Calculation-sheet'!D54/10^9</f>
        <v>1.3280816155375841</v>
      </c>
      <c r="E65" s="2">
        <f>E10*'Output-Calculation-sheet'!E54/10^9</f>
        <v>1.5070617975452636</v>
      </c>
      <c r="F65" s="2">
        <f>F10*'Output-Calculation-sheet'!F54/10^9</f>
        <v>0.68366821771624153</v>
      </c>
      <c r="G65" s="2">
        <f>G10*'Output-Calculation-sheet'!G54/10^9</f>
        <v>0.47184533148769137</v>
      </c>
      <c r="H65" s="2">
        <f>H10*'Output-Calculation-sheet'!H54/10^9</f>
        <v>1.2541529435097776</v>
      </c>
      <c r="I65" s="2">
        <f>I10*'Output-Calculation-sheet'!I54/10^9</f>
        <v>0.46413883306814052</v>
      </c>
      <c r="J65" s="2">
        <f>J10*'Output-Calculation-sheet'!J54/10^9</f>
        <v>0.42805612145148619</v>
      </c>
      <c r="K65" s="2">
        <f>K10*'Output-Calculation-sheet'!K54/10^9</f>
        <v>0.54596607504706607</v>
      </c>
      <c r="L65" s="2">
        <f>L10*'Output-Calculation-sheet'!L54/10^9</f>
        <v>0.45406743211001654</v>
      </c>
      <c r="M65" s="2">
        <f>M10*'Output-Calculation-sheet'!M54/10^9</f>
        <v>0.86905339581797303</v>
      </c>
      <c r="N65" s="2">
        <f>N10*'Output-Calculation-sheet'!N54/10^9</f>
        <v>0.78129448681350711</v>
      </c>
      <c r="O65" s="2">
        <f>O10*'Output-Calculation-sheet'!O54/10^9</f>
        <v>0.82713541134335933</v>
      </c>
      <c r="P65" s="2">
        <f>P10*'Output-Calculation-sheet'!P54/10^9</f>
        <v>0.52723060580951919</v>
      </c>
      <c r="Q65" s="2">
        <f>Q10*'Output-Calculation-sheet'!Q54/10^9</f>
        <v>0.54702573648313224</v>
      </c>
      <c r="R65" s="2">
        <f>R10*'Output-Calculation-sheet'!R54/10^9</f>
        <v>0.40875548986969423</v>
      </c>
      <c r="S65" s="2">
        <f>S10*'Output-Calculation-sheet'!S54/10^9</f>
        <v>0.4322464710179324</v>
      </c>
      <c r="T65" s="2">
        <f>T10*'Output-Calculation-sheet'!T54/10^9</f>
        <v>0.12268608610095325</v>
      </c>
      <c r="U65" s="2">
        <f>U10*'Output-Calculation-sheet'!U54/10^9</f>
        <v>0.13265555789931774</v>
      </c>
      <c r="V65" s="2">
        <f>V10*'Output-Calculation-sheet'!V54/10^9</f>
        <v>9.2575989232398043E-2</v>
      </c>
      <c r="W65" s="2">
        <f>W10*'Output-Calculation-sheet'!W54/10^9</f>
        <v>5.790732755550794E-2</v>
      </c>
      <c r="X65" s="2">
        <f>X10*'Output-Calculation-sheet'!X54/10^9</f>
        <v>0.10652840173533856</v>
      </c>
      <c r="Y65" s="2">
        <f>Y10*'Output-Calculation-sheet'!Y54/10^9</f>
        <v>5.108834766136898E-2</v>
      </c>
      <c r="AA65" s="2">
        <f t="shared" si="4"/>
        <v>23.573283771676589</v>
      </c>
    </row>
    <row r="66" spans="1:27" x14ac:dyDescent="0.25">
      <c r="A66" s="2">
        <v>2034</v>
      </c>
      <c r="B66" s="2">
        <f>B11*'Output-Calculation-sheet'!B55/10^9</f>
        <v>8.1952975126156975</v>
      </c>
      <c r="C66" s="2">
        <f>C11*'Output-Calculation-sheet'!C55/10^9</f>
        <v>5.2207780314022747</v>
      </c>
      <c r="D66" s="2">
        <f>D11*'Output-Calculation-sheet'!D55/10^9</f>
        <v>1.5376328069526943</v>
      </c>
      <c r="E66" s="2">
        <f>E11*'Output-Calculation-sheet'!E55/10^9</f>
        <v>1.8959644112357157</v>
      </c>
      <c r="F66" s="2">
        <f>F11*'Output-Calculation-sheet'!F55/10^9</f>
        <v>0.75933078375797025</v>
      </c>
      <c r="G66" s="2">
        <f>G11*'Output-Calculation-sheet'!G55/10^9</f>
        <v>0.54691421543035967</v>
      </c>
      <c r="H66" s="2">
        <f>H11*'Output-Calculation-sheet'!H55/10^9</f>
        <v>1.440718939275627</v>
      </c>
      <c r="I66" s="2">
        <f>I11*'Output-Calculation-sheet'!I55/10^9</f>
        <v>0.5376072666118995</v>
      </c>
      <c r="J66" s="2">
        <f>J11*'Output-Calculation-sheet'!J55/10^9</f>
        <v>0.47431006594537312</v>
      </c>
      <c r="K66" s="2">
        <f>K11*'Output-Calculation-sheet'!K55/10^9</f>
        <v>0.63387438553172371</v>
      </c>
      <c r="L66" s="2">
        <f>L11*'Output-Calculation-sheet'!L55/10^9</f>
        <v>0.55521888897062532</v>
      </c>
      <c r="M66" s="2">
        <f>M11*'Output-Calculation-sheet'!M55/10^9</f>
        <v>1.0003963063695924</v>
      </c>
      <c r="N66" s="2">
        <f>N11*'Output-Calculation-sheet'!N55/10^9</f>
        <v>0.89558256395340452</v>
      </c>
      <c r="O66" s="2">
        <f>O11*'Output-Calculation-sheet'!O55/10^9</f>
        <v>0.92912580709008319</v>
      </c>
      <c r="P66" s="2">
        <f>P11*'Output-Calculation-sheet'!P55/10^9</f>
        <v>0.6294854171818447</v>
      </c>
      <c r="Q66" s="2">
        <f>Q11*'Output-Calculation-sheet'!Q55/10^9</f>
        <v>0.65347013588136182</v>
      </c>
      <c r="R66" s="2">
        <f>R11*'Output-Calculation-sheet'!R55/10^9</f>
        <v>0.47638921490822456</v>
      </c>
      <c r="S66" s="2">
        <f>S11*'Output-Calculation-sheet'!S55/10^9</f>
        <v>0.50448512834061021</v>
      </c>
      <c r="T66" s="2">
        <f>T11*'Output-Calculation-sheet'!T55/10^9</f>
        <v>0.14025055778975051</v>
      </c>
      <c r="U66" s="2">
        <f>U11*'Output-Calculation-sheet'!U55/10^9</f>
        <v>0.16198003035341582</v>
      </c>
      <c r="V66" s="2">
        <f>V11*'Output-Calculation-sheet'!V55/10^9</f>
        <v>0.10475995918548173</v>
      </c>
      <c r="W66" s="2">
        <f>W11*'Output-Calculation-sheet'!W55/10^9</f>
        <v>6.3824096157116303E-2</v>
      </c>
      <c r="X66" s="2">
        <f>X11*'Output-Calculation-sheet'!X55/10^9</f>
        <v>0.1218161425364748</v>
      </c>
      <c r="Y66" s="2">
        <f>Y11*'Output-Calculation-sheet'!Y55/10^9</f>
        <v>6.6179345883350935E-2</v>
      </c>
      <c r="AA66" s="2">
        <f t="shared" si="4"/>
        <v>27.545392013360676</v>
      </c>
    </row>
    <row r="67" spans="1:27" x14ac:dyDescent="0.25">
      <c r="A67" s="2">
        <v>2035</v>
      </c>
      <c r="B67" s="2">
        <f>B12*'Output-Calculation-sheet'!B56/10^9</f>
        <v>9.6180571864629769</v>
      </c>
      <c r="C67" s="2">
        <f>C12*'Output-Calculation-sheet'!C56/10^9</f>
        <v>5.8657732058722862</v>
      </c>
      <c r="D67" s="2">
        <f>D12*'Output-Calculation-sheet'!D56/10^9</f>
        <v>1.9563226321850504</v>
      </c>
      <c r="E67" s="2">
        <f>E12*'Output-Calculation-sheet'!E56/10^9</f>
        <v>2.645084759047081</v>
      </c>
      <c r="F67" s="2">
        <f>F12*'Output-Calculation-sheet'!F56/10^9</f>
        <v>1.0488938831485763</v>
      </c>
      <c r="G67" s="2">
        <f>G12*'Output-Calculation-sheet'!G56/10^9</f>
        <v>0.76131840414519225</v>
      </c>
      <c r="H67" s="2">
        <f>H12*'Output-Calculation-sheet'!H56/10^9</f>
        <v>1.6595872791664241</v>
      </c>
      <c r="I67" s="2">
        <f>I12*'Output-Calculation-sheet'!I56/10^9</f>
        <v>0.71916573388177241</v>
      </c>
      <c r="J67" s="2">
        <f>J12*'Output-Calculation-sheet'!J56/10^9</f>
        <v>0.59387421435529353</v>
      </c>
      <c r="K67" s="2">
        <f>K12*'Output-Calculation-sheet'!K56/10^9</f>
        <v>0.80294629777866511</v>
      </c>
      <c r="L67" s="2">
        <f>L12*'Output-Calculation-sheet'!L56/10^9</f>
        <v>0.69284743113359315</v>
      </c>
      <c r="M67" s="2">
        <f>M12*'Output-Calculation-sheet'!M56/10^9</f>
        <v>1.1630338087541228</v>
      </c>
      <c r="N67" s="2">
        <f>N12*'Output-Calculation-sheet'!N56/10^9</f>
        <v>1.0180662677693286</v>
      </c>
      <c r="O67" s="2">
        <f>O12*'Output-Calculation-sheet'!O56/10^9</f>
        <v>1.0303433657840841</v>
      </c>
      <c r="P67" s="2">
        <f>P12*'Output-Calculation-sheet'!P56/10^9</f>
        <v>0.81122889230679318</v>
      </c>
      <c r="Q67" s="2">
        <f>Q12*'Output-Calculation-sheet'!Q56/10^9</f>
        <v>0.7604620856392863</v>
      </c>
      <c r="R67" s="2">
        <f>R12*'Output-Calculation-sheet'!R56/10^9</f>
        <v>0.59745954423230641</v>
      </c>
      <c r="S67" s="2">
        <f>S12*'Output-Calculation-sheet'!S56/10^9</f>
        <v>0.57943921727620062</v>
      </c>
      <c r="T67" s="2">
        <f>T12*'Output-Calculation-sheet'!T56/10^9</f>
        <v>0.18366213325448119</v>
      </c>
      <c r="U67" s="2">
        <f>U12*'Output-Calculation-sheet'!U56/10^9</f>
        <v>0.19804483280261909</v>
      </c>
      <c r="V67" s="2">
        <f>V12*'Output-Calculation-sheet'!V56/10^9</f>
        <v>0.12488720143012058</v>
      </c>
      <c r="W67" s="2">
        <f>W12*'Output-Calculation-sheet'!W56/10^9</f>
        <v>9.7168266078910978E-2</v>
      </c>
      <c r="X67" s="2">
        <f>X12*'Output-Calculation-sheet'!X56/10^9</f>
        <v>0.14235322906058079</v>
      </c>
      <c r="Y67" s="2">
        <f>Y12*'Output-Calculation-sheet'!Y56/10^9</f>
        <v>9.1238891783008549E-2</v>
      </c>
      <c r="AA67" s="2">
        <f t="shared" si="4"/>
        <v>33.161258763348748</v>
      </c>
    </row>
    <row r="68" spans="1:27" x14ac:dyDescent="0.25">
      <c r="B68" s="2">
        <f>SUM(B60:B67)</f>
        <v>35.813336067962311</v>
      </c>
      <c r="C68" s="2">
        <f t="shared" ref="C68:Y68" si="5">SUM(C60:C67)</f>
        <v>22.799849307752325</v>
      </c>
      <c r="D68" s="2">
        <f t="shared" si="5"/>
        <v>7.7247916975459177</v>
      </c>
      <c r="E68" s="2">
        <f t="shared" si="5"/>
        <v>8.7965719663958648</v>
      </c>
      <c r="F68" s="2">
        <f t="shared" si="5"/>
        <v>3.9088888260512169</v>
      </c>
      <c r="G68" s="2">
        <f t="shared" si="5"/>
        <v>2.8187765183933222</v>
      </c>
      <c r="H68" s="2">
        <f t="shared" si="5"/>
        <v>6.3608973463287244</v>
      </c>
      <c r="I68" s="2">
        <f t="shared" si="5"/>
        <v>2.6872400195532897</v>
      </c>
      <c r="J68" s="2">
        <f t="shared" si="5"/>
        <v>2.4698598865467365</v>
      </c>
      <c r="K68" s="2">
        <f t="shared" si="5"/>
        <v>2.9968329755174525</v>
      </c>
      <c r="L68" s="2">
        <f t="shared" si="5"/>
        <v>2.5334445156639891</v>
      </c>
      <c r="M68" s="2">
        <f t="shared" si="5"/>
        <v>4.4222006290721225</v>
      </c>
      <c r="N68" s="2">
        <f t="shared" si="5"/>
        <v>3.9353042680181485</v>
      </c>
      <c r="O68" s="2">
        <f t="shared" si="5"/>
        <v>4.1242328099643348</v>
      </c>
      <c r="P68" s="2">
        <f t="shared" si="5"/>
        <v>2.8299565066844541</v>
      </c>
      <c r="Q68" s="2">
        <f t="shared" si="5"/>
        <v>2.8462777069211795</v>
      </c>
      <c r="R68" s="2">
        <f t="shared" si="5"/>
        <v>2.1902902337189216</v>
      </c>
      <c r="S68" s="2">
        <f t="shared" si="5"/>
        <v>2.2007585195462323</v>
      </c>
      <c r="T68" s="2">
        <f t="shared" si="5"/>
        <v>0.68169312670087356</v>
      </c>
      <c r="U68" s="2">
        <f t="shared" si="5"/>
        <v>0.71539523670884564</v>
      </c>
      <c r="V68" s="2">
        <f t="shared" si="5"/>
        <v>0.49099892229944886</v>
      </c>
      <c r="W68" s="2">
        <f t="shared" si="5"/>
        <v>0.34565539469664014</v>
      </c>
      <c r="X68" s="2">
        <f t="shared" si="5"/>
        <v>0.53846475507138791</v>
      </c>
      <c r="Y68" s="2">
        <f t="shared" si="5"/>
        <v>0.29529986794023166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1435.6032961868764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968.38946910146592</v>
      </c>
      <c r="N74" s="2">
        <f>N8/'Output-Calculation-sheet'!N7*'Output-Calculation-sheet'!N61</f>
        <v>40.254196471340826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8.5932582900433676</v>
      </c>
      <c r="Y74" s="2">
        <f>Y8/'Output-Calculation-sheet'!Y7*'Output-Calculation-sheet'!Y61</f>
        <v>0</v>
      </c>
      <c r="AA74" s="2">
        <f t="shared" si="6"/>
        <v>2.4528402200497266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55.030199289923075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2514.2518352510851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1703.669960425688</v>
      </c>
      <c r="N75" s="2">
        <f>N9/'Output-Calculation-sheet'!N8*'Output-Calculation-sheet'!N62</f>
        <v>655.84592073886154</v>
      </c>
      <c r="O75" s="2">
        <f>O9/'Output-Calculation-sheet'!O8*'Output-Calculation-sheet'!O62</f>
        <v>0</v>
      </c>
      <c r="P75" s="2">
        <f>P9/'Output-Calculation-sheet'!P8*'Output-Calculation-sheet'!P62</f>
        <v>42.663373749623887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220.43009348590815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59.823788137123273</v>
      </c>
      <c r="Y75" s="2">
        <f>Y9/'Output-Calculation-sheet'!Y8*'Output-Calculation-sheet'!Y62</f>
        <v>0</v>
      </c>
      <c r="AA75" s="2">
        <f t="shared" si="6"/>
        <v>5.2517151710782137</v>
      </c>
    </row>
    <row r="76" spans="1:27" x14ac:dyDescent="0.25">
      <c r="A76" s="2">
        <v>2033</v>
      </c>
      <c r="B76" s="2">
        <f>B10/'Output-Calculation-sheet'!B9*'Output-Calculation-sheet'!B63</f>
        <v>5667.456504053951</v>
      </c>
      <c r="C76" s="2">
        <f>C10/'Output-Calculation-sheet'!C9*'Output-Calculation-sheet'!C63</f>
        <v>1664.9781826355522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3713.6745004763511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2525.9651184889763</v>
      </c>
      <c r="N76" s="2">
        <f>N10/'Output-Calculation-sheet'!N9*'Output-Calculation-sheet'!N63</f>
        <v>1442.968670582942</v>
      </c>
      <c r="O76" s="2">
        <f>O10/'Output-Calculation-sheet'!O9*'Output-Calculation-sheet'!O63</f>
        <v>0</v>
      </c>
      <c r="P76" s="2">
        <f>P10/'Output-Calculation-sheet'!P9*'Output-Calculation-sheet'!P63</f>
        <v>497.44983762381531</v>
      </c>
      <c r="Q76" s="2">
        <f>Q10/'Output-Calculation-sheet'!Q9*'Output-Calculation-sheet'!Q63</f>
        <v>223.95904399076588</v>
      </c>
      <c r="R76" s="2">
        <f>R10/'Output-Calculation-sheet'!R9*'Output-Calculation-sheet'!R63</f>
        <v>379.1171232982465</v>
      </c>
      <c r="S76" s="2">
        <f>S10/'Output-Calculation-sheet'!S9*'Output-Calculation-sheet'!S63</f>
        <v>641.57036049830356</v>
      </c>
      <c r="T76" s="2">
        <f>T10/'Output-Calculation-sheet'!T9*'Output-Calculation-sheet'!T63</f>
        <v>24.919239106530583</v>
      </c>
      <c r="U76" s="2">
        <f>U10/'Output-Calculation-sheet'!U9*'Output-Calculation-sheet'!U63</f>
        <v>134.58409886259119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144.83207116825301</v>
      </c>
      <c r="Y76" s="2">
        <f>Y10/'Output-Calculation-sheet'!Y9*'Output-Calculation-sheet'!Y63</f>
        <v>6.3898315308602616</v>
      </c>
      <c r="AA76" s="2">
        <f t="shared" si="6"/>
        <v>17.172470517561042</v>
      </c>
    </row>
    <row r="77" spans="1:27" x14ac:dyDescent="0.25">
      <c r="A77" s="2">
        <v>2034</v>
      </c>
      <c r="B77" s="2">
        <f>B11/'Output-Calculation-sheet'!B10*'Output-Calculation-sheet'!B64</f>
        <v>12772.012520582944</v>
      </c>
      <c r="C77" s="2">
        <f>C11/'Output-Calculation-sheet'!C10*'Output-Calculation-sheet'!C64</f>
        <v>3483.6412956151203</v>
      </c>
      <c r="D77" s="2">
        <f>D11/'Output-Calculation-sheet'!D10*'Output-Calculation-sheet'!D64</f>
        <v>1543.3258630090716</v>
      </c>
      <c r="E77" s="2">
        <f>E11/'Output-Calculation-sheet'!E10*'Output-Calculation-sheet'!E64</f>
        <v>2242.4320940022644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4639.303087968965</v>
      </c>
      <c r="I77" s="2">
        <f>I11/'Output-Calculation-sheet'!I10*'Output-Calculation-sheet'!I64</f>
        <v>559.83293064823283</v>
      </c>
      <c r="J77" s="2">
        <f>J11/'Output-Calculation-sheet'!J10*'Output-Calculation-sheet'!J64</f>
        <v>307.97149691206897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222.37599692523293</v>
      </c>
      <c r="M77" s="2">
        <f>M11/'Output-Calculation-sheet'!M10*'Output-Calculation-sheet'!M64</f>
        <v>3238.6670776982687</v>
      </c>
      <c r="N77" s="2">
        <f>N11/'Output-Calculation-sheet'!N10*'Output-Calculation-sheet'!N64</f>
        <v>2242.4635860434937</v>
      </c>
      <c r="O77" s="2">
        <f>O11/'Output-Calculation-sheet'!O10*'Output-Calculation-sheet'!O64</f>
        <v>0</v>
      </c>
      <c r="P77" s="2">
        <f>P11/'Output-Calculation-sheet'!P10*'Output-Calculation-sheet'!P64</f>
        <v>1059.2933376737274</v>
      </c>
      <c r="Q77" s="2">
        <f>Q11/'Output-Calculation-sheet'!Q10*'Output-Calculation-sheet'!Q64</f>
        <v>434.16746975240278</v>
      </c>
      <c r="R77" s="2">
        <f>R11/'Output-Calculation-sheet'!R10*'Output-Calculation-sheet'!R64</f>
        <v>900.52517439976612</v>
      </c>
      <c r="S77" s="2">
        <f>S11/'Output-Calculation-sheet'!S10*'Output-Calculation-sheet'!S64</f>
        <v>973.42132870134174</v>
      </c>
      <c r="T77" s="2">
        <f>T11/'Output-Calculation-sheet'!T10*'Output-Calculation-sheet'!T64</f>
        <v>249.14218980322843</v>
      </c>
      <c r="U77" s="2">
        <f>U11/'Output-Calculation-sheet'!U10*'Output-Calculation-sheet'!U64</f>
        <v>271.15505959871848</v>
      </c>
      <c r="V77" s="2">
        <f>V11/'Output-Calculation-sheet'!V10*'Output-Calculation-sheet'!V64</f>
        <v>129.98604412601108</v>
      </c>
      <c r="W77" s="2">
        <f>W11/'Output-Calculation-sheet'!W10*'Output-Calculation-sheet'!W64</f>
        <v>28.25261460623344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82.660171908641686</v>
      </c>
      <c r="AA77" s="2">
        <f t="shared" si="6"/>
        <v>37.479765915139694</v>
      </c>
    </row>
    <row r="78" spans="1:27" x14ac:dyDescent="0.25">
      <c r="A78" s="2">
        <v>2035</v>
      </c>
      <c r="B78" s="2">
        <f>B12/'Output-Calculation-sheet'!B11*'Output-Calculation-sheet'!B65</f>
        <v>15678.702287342052</v>
      </c>
      <c r="C78" s="2">
        <f>C12/'Output-Calculation-sheet'!C11*'Output-Calculation-sheet'!C65</f>
        <v>6627.0941780367057</v>
      </c>
      <c r="D78" s="2">
        <f>D12/'Output-Calculation-sheet'!D11*'Output-Calculation-sheet'!D65</f>
        <v>1690.4719721286506</v>
      </c>
      <c r="E78" s="2">
        <f>E12/'Output-Calculation-sheet'!E11*'Output-Calculation-sheet'!E65</f>
        <v>3244.9682046978901</v>
      </c>
      <c r="F78" s="2">
        <f>F12/'Output-Calculation-sheet'!F11*'Output-Calculation-sheet'!F65</f>
        <v>707.06108139883929</v>
      </c>
      <c r="G78" s="2">
        <f>G12/'Output-Calculation-sheet'!G11*'Output-Calculation-sheet'!G65</f>
        <v>1300.3958008200061</v>
      </c>
      <c r="H78" s="2">
        <f>H12/'Output-Calculation-sheet'!H11*'Output-Calculation-sheet'!H65</f>
        <v>4998.3680961360278</v>
      </c>
      <c r="I78" s="2">
        <f>I12/'Output-Calculation-sheet'!I11*'Output-Calculation-sheet'!I65</f>
        <v>828.23274018751374</v>
      </c>
      <c r="J78" s="2">
        <f>J12/'Output-Calculation-sheet'!J11*'Output-Calculation-sheet'!J65</f>
        <v>354.76095184443329</v>
      </c>
      <c r="K78" s="2">
        <f>K12/'Output-Calculation-sheet'!K11*'Output-Calculation-sheet'!K65</f>
        <v>1056.5862619204277</v>
      </c>
      <c r="L78" s="2">
        <f>L12/'Output-Calculation-sheet'!L11*'Output-Calculation-sheet'!L65</f>
        <v>305.88220343207308</v>
      </c>
      <c r="M78" s="2">
        <f>M12/'Output-Calculation-sheet'!M11*'Output-Calculation-sheet'!M65</f>
        <v>3516.1760939499527</v>
      </c>
      <c r="N78" s="2">
        <f>N12/'Output-Calculation-sheet'!N11*'Output-Calculation-sheet'!N65</f>
        <v>2468.6260498295228</v>
      </c>
      <c r="O78" s="2">
        <f>O12/'Output-Calculation-sheet'!O11*'Output-Calculation-sheet'!O65</f>
        <v>0</v>
      </c>
      <c r="P78" s="2">
        <f>P12/'Output-Calculation-sheet'!P11*'Output-Calculation-sheet'!P65</f>
        <v>1395.2117663819618</v>
      </c>
      <c r="Q78" s="2">
        <f>Q12/'Output-Calculation-sheet'!Q11*'Output-Calculation-sheet'!Q65</f>
        <v>552.5038827893909</v>
      </c>
      <c r="R78" s="2">
        <f>R12/'Output-Calculation-sheet'!R11*'Output-Calculation-sheet'!R65</f>
        <v>1097.7476780207583</v>
      </c>
      <c r="S78" s="2">
        <f>S12/'Output-Calculation-sheet'!S11*'Output-Calculation-sheet'!S65</f>
        <v>1143.3769389214985</v>
      </c>
      <c r="T78" s="2">
        <f>T12/'Output-Calculation-sheet'!T11*'Output-Calculation-sheet'!T65</f>
        <v>391.83162411426264</v>
      </c>
      <c r="U78" s="2">
        <f>U12/'Output-Calculation-sheet'!U11*'Output-Calculation-sheet'!U65</f>
        <v>291.42936380536099</v>
      </c>
      <c r="V78" s="2">
        <f>V12/'Output-Calculation-sheet'!V11*'Output-Calculation-sheet'!V65</f>
        <v>150.00442709217995</v>
      </c>
      <c r="W78" s="2">
        <f>W12/'Output-Calculation-sheet'!W11*'Output-Calculation-sheet'!W65</f>
        <v>149.63461102669802</v>
      </c>
      <c r="X78" s="2">
        <f>X12/'Output-Calculation-sheet'!X11*'Output-Calculation-sheet'!X65</f>
        <v>78.108997711735526</v>
      </c>
      <c r="Y78" s="2">
        <f>Y12/'Output-Calculation-sheet'!Y11*'Output-Calculation-sheet'!Y65</f>
        <v>135.48752722431504</v>
      </c>
      <c r="AA78" s="2">
        <f t="shared" si="6"/>
        <v>48.162662738812251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368.73668771413162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214.04280803613375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0.58277949575026533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1279.9993087677419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319.85198176345421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1.5998512905311961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2349.5704848436089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426.84277809788171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2.7764132629414906</v>
      </c>
    </row>
    <row r="88" spans="1:27" x14ac:dyDescent="0.25">
      <c r="A88" s="2">
        <v>2034</v>
      </c>
      <c r="B88" s="2">
        <f>B11/'Output-Calculation-sheet'!B10*'Output-Calculation-sheet'!B73</f>
        <v>129.44670894550993</v>
      </c>
      <c r="C88" s="2">
        <f>C11/'Output-Calculation-sheet'!C10*'Output-Calculation-sheet'!C73</f>
        <v>2809.4106630342471</v>
      </c>
      <c r="D88" s="2">
        <f>D11/'Output-Calculation-sheet'!D10*'Output-Calculation-sheet'!D73</f>
        <v>9.8952394457083521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46.421950035230111</v>
      </c>
      <c r="I88" s="2">
        <f>I11/'Output-Calculation-sheet'!I10*'Output-Calculation-sheet'!I73</f>
        <v>0</v>
      </c>
      <c r="J88" s="2">
        <f>J11/'Output-Calculation-sheet'!J10*'Output-Calculation-sheet'!J73</f>
        <v>3.1597028466845076</v>
      </c>
      <c r="K88" s="2">
        <f>K11/'Output-Calculation-sheet'!K10*'Output-Calculation-sheet'!K73</f>
        <v>0</v>
      </c>
      <c r="L88" s="2">
        <f>L11/'Output-Calculation-sheet'!L10*'Output-Calculation-sheet'!L73</f>
        <v>7.4853490429197223</v>
      </c>
      <c r="M88" s="2">
        <f>M11/'Output-Calculation-sheet'!M10*'Output-Calculation-sheet'!M73</f>
        <v>22.478280308859127</v>
      </c>
      <c r="N88" s="2">
        <f>N11/'Output-Calculation-sheet'!N10*'Output-Calculation-sheet'!N73</f>
        <v>11.627633752592569</v>
      </c>
      <c r="O88" s="2">
        <f>O11/'Output-Calculation-sheet'!O10*'Output-Calculation-sheet'!O73</f>
        <v>530.59945765180339</v>
      </c>
      <c r="P88" s="2">
        <f>P11/'Output-Calculation-sheet'!P10*'Output-Calculation-sheet'!P73</f>
        <v>0</v>
      </c>
      <c r="Q88" s="2">
        <f>Q11/'Output-Calculation-sheet'!Q10*'Output-Calculation-sheet'!Q73</f>
        <v>35.656556002689271</v>
      </c>
      <c r="R88" s="2">
        <f>R11/'Output-Calculation-sheet'!R10*'Output-Calculation-sheet'!R73</f>
        <v>0</v>
      </c>
      <c r="S88" s="2">
        <f>S11/'Output-Calculation-sheet'!S10*'Output-Calculation-sheet'!S73</f>
        <v>16.663402681652475</v>
      </c>
      <c r="T88" s="2">
        <f>T11/'Output-Calculation-sheet'!T10*'Output-Calculation-sheet'!T73</f>
        <v>0</v>
      </c>
      <c r="U88" s="2">
        <f>U11/'Output-Calculation-sheet'!U10*'Output-Calculation-sheet'!U73</f>
        <v>3.2504529403219884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3.6260953966882177</v>
      </c>
    </row>
    <row r="89" spans="1:27" x14ac:dyDescent="0.25">
      <c r="A89" s="2">
        <v>2035</v>
      </c>
      <c r="B89" s="2">
        <f>B12/'Output-Calculation-sheet'!B11*'Output-Calculation-sheet'!B74</f>
        <v>769.02106709176178</v>
      </c>
      <c r="C89" s="2">
        <f>C12/'Output-Calculation-sheet'!C11*'Output-Calculation-sheet'!C74</f>
        <v>3149.5553353737923</v>
      </c>
      <c r="D89" s="2">
        <f>D12/'Output-Calculation-sheet'!D11*'Output-Calculation-sheet'!D74</f>
        <v>146.01671140630552</v>
      </c>
      <c r="E89" s="2">
        <f>E12/'Output-Calculation-sheet'!E11*'Output-Calculation-sheet'!E74</f>
        <v>194.78893852724613</v>
      </c>
      <c r="F89" s="2">
        <f>F12/'Output-Calculation-sheet'!F11*'Output-Calculation-sheet'!F74</f>
        <v>62.557706244436694</v>
      </c>
      <c r="G89" s="2">
        <f>G12/'Output-Calculation-sheet'!G11*'Output-Calculation-sheet'!G74</f>
        <v>59.862280441695482</v>
      </c>
      <c r="H89" s="2">
        <f>H12/'Output-Calculation-sheet'!H11*'Output-Calculation-sheet'!H74</f>
        <v>233.77472001378729</v>
      </c>
      <c r="I89" s="2">
        <f>I12/'Output-Calculation-sheet'!I11*'Output-Calculation-sheet'!I74</f>
        <v>50.477270697941478</v>
      </c>
      <c r="J89" s="2">
        <f>J12/'Output-Calculation-sheet'!J11*'Output-Calculation-sheet'!J74</f>
        <v>39.964621766605177</v>
      </c>
      <c r="K89" s="2">
        <f>K12/'Output-Calculation-sheet'!K11*'Output-Calculation-sheet'!K74</f>
        <v>52.918530430919759</v>
      </c>
      <c r="L89" s="2">
        <f>L12/'Output-Calculation-sheet'!L11*'Output-Calculation-sheet'!L74</f>
        <v>55.227872805519198</v>
      </c>
      <c r="M89" s="2">
        <f>M12/'Output-Calculation-sheet'!M11*'Output-Calculation-sheet'!M74</f>
        <v>147.14303464511914</v>
      </c>
      <c r="N89" s="2">
        <f>N12/'Output-Calculation-sheet'!N11*'Output-Calculation-sheet'!N74</f>
        <v>89.466907038142111</v>
      </c>
      <c r="O89" s="2">
        <f>O12/'Output-Calculation-sheet'!O11*'Output-Calculation-sheet'!O74</f>
        <v>638.17584358868942</v>
      </c>
      <c r="P89" s="2">
        <f>P12/'Output-Calculation-sheet'!P11*'Output-Calculation-sheet'!P74</f>
        <v>52.081897656443303</v>
      </c>
      <c r="Q89" s="2">
        <f>Q12/'Output-Calculation-sheet'!Q11*'Output-Calculation-sheet'!Q74</f>
        <v>88.05082324410742</v>
      </c>
      <c r="R89" s="2">
        <f>R12/'Output-Calculation-sheet'!R11*'Output-Calculation-sheet'!R74</f>
        <v>36.205433472508204</v>
      </c>
      <c r="S89" s="2">
        <f>S12/'Output-Calculation-sheet'!S11*'Output-Calculation-sheet'!S74</f>
        <v>56.203309220731022</v>
      </c>
      <c r="T89" s="2">
        <f>T12/'Output-Calculation-sheet'!T11*'Output-Calculation-sheet'!T74</f>
        <v>9.0610843936066985</v>
      </c>
      <c r="U89" s="2">
        <f>U12/'Output-Calculation-sheet'!U11*'Output-Calculation-sheet'!U74</f>
        <v>17.472790850643126</v>
      </c>
      <c r="V89" s="2">
        <f>V12/'Output-Calculation-sheet'!V11*'Output-Calculation-sheet'!V74</f>
        <v>6.6044353679169499</v>
      </c>
      <c r="W89" s="2">
        <f>W12/'Output-Calculation-sheet'!W11*'Output-Calculation-sheet'!W74</f>
        <v>5.0327106212341848</v>
      </c>
      <c r="X89" s="2">
        <f>X12/'Output-Calculation-sheet'!X11*'Output-Calculation-sheet'!X74</f>
        <v>3.5566891548102828</v>
      </c>
      <c r="Y89" s="2">
        <f>Y12/'Output-Calculation-sheet'!Y11*'Output-Calculation-sheet'!Y74</f>
        <v>6.6005251298213867</v>
      </c>
      <c r="AA89" s="2">
        <f t="shared" si="7"/>
        <v>5.9698205391837824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11722744044.935301</v>
      </c>
      <c r="C96" s="2">
        <f>C8/'Output-Calculation-sheet'!C7*'Output-Calculation-sheet'!C79</f>
        <v>3965865256.4114785</v>
      </c>
      <c r="D96" s="2">
        <f>D8/'Output-Calculation-sheet'!D7*'Output-Calculation-sheet'!D79</f>
        <v>4140081093.2521105</v>
      </c>
      <c r="E96" s="2">
        <f>E8/'Output-Calculation-sheet'!E7*'Output-Calculation-sheet'!E79</f>
        <v>7360723091.9324226</v>
      </c>
      <c r="F96" s="2">
        <f>F8/'Output-Calculation-sheet'!F7*'Output-Calculation-sheet'!F79</f>
        <v>3046530064.1166816</v>
      </c>
      <c r="G96" s="2">
        <f>G8/'Output-Calculation-sheet'!G7*'Output-Calculation-sheet'!G79</f>
        <v>2373001590.0253158</v>
      </c>
      <c r="H96" s="2">
        <f>H8/'Output-Calculation-sheet'!H7*'Output-Calculation-sheet'!H79</f>
        <v>2031158245.4682255</v>
      </c>
      <c r="I96" s="2">
        <f>I8/'Output-Calculation-sheet'!I7*'Output-Calculation-sheet'!I79</f>
        <v>1653043791.7508721</v>
      </c>
      <c r="J96" s="2">
        <f>J8/'Output-Calculation-sheet'!J7*'Output-Calculation-sheet'!J79</f>
        <v>1117827764.0181408</v>
      </c>
      <c r="K96" s="2">
        <f>K8/'Output-Calculation-sheet'!K7*'Output-Calculation-sheet'!K79</f>
        <v>1599280443.1280689</v>
      </c>
      <c r="L96" s="2">
        <f>L8/'Output-Calculation-sheet'!L7*'Output-Calculation-sheet'!L79</f>
        <v>1128453606.1311927</v>
      </c>
      <c r="M96" s="2">
        <f>M8/'Output-Calculation-sheet'!M7*'Output-Calculation-sheet'!M79</f>
        <v>1516218569.5323522</v>
      </c>
      <c r="N96" s="2">
        <f>N8/'Output-Calculation-sheet'!N7*'Output-Calculation-sheet'!N79</f>
        <v>1128185730.1499465</v>
      </c>
      <c r="O96" s="2">
        <f>O8/'Output-Calculation-sheet'!O7*'Output-Calculation-sheet'!O79</f>
        <v>570335531.83522987</v>
      </c>
      <c r="P96" s="2">
        <f>P8/'Output-Calculation-sheet'!P7*'Output-Calculation-sheet'!P79</f>
        <v>1907665112.4001946</v>
      </c>
      <c r="Q96" s="2">
        <f>Q8/'Output-Calculation-sheet'!Q7*'Output-Calculation-sheet'!Q79</f>
        <v>889052044.90032697</v>
      </c>
      <c r="R96" s="2">
        <f>R8/'Output-Calculation-sheet'!R7*'Output-Calculation-sheet'!R79</f>
        <v>1109199999.4971697</v>
      </c>
      <c r="S96" s="2">
        <f>S8/'Output-Calculation-sheet'!S7*'Output-Calculation-sheet'!S79</f>
        <v>646311548.46034753</v>
      </c>
      <c r="T96" s="2">
        <f>T8/'Output-Calculation-sheet'!T7*'Output-Calculation-sheet'!T79</f>
        <v>493630934.71630436</v>
      </c>
      <c r="U96" s="2">
        <f>U8/'Output-Calculation-sheet'!U7*'Output-Calculation-sheet'!U79</f>
        <v>310086867.21236426</v>
      </c>
      <c r="V96" s="2">
        <f>V8/'Output-Calculation-sheet'!V7*'Output-Calculation-sheet'!V79</f>
        <v>160888514.05413094</v>
      </c>
      <c r="W96" s="2">
        <f>W8/'Output-Calculation-sheet'!W7*'Output-Calculation-sheet'!W79</f>
        <v>475416427.20177466</v>
      </c>
      <c r="X96" s="2">
        <f>X8/'Output-Calculation-sheet'!X7*'Output-Calculation-sheet'!X79</f>
        <v>167094494.20050004</v>
      </c>
      <c r="Y96" s="2">
        <f>Y8/'Output-Calculation-sheet'!Y7*'Output-Calculation-sheet'!Y79</f>
        <v>261333510.13652372</v>
      </c>
      <c r="AA96" s="2">
        <f t="shared" si="8"/>
        <v>49.774128275466964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1026.243070626077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31.795530541473742</v>
      </c>
      <c r="Y107" s="2">
        <f>Y8/'Output-Calculation-sheet'!Y7*'Output-Calculation-sheet'!Y88</f>
        <v>0</v>
      </c>
      <c r="AA107" s="2">
        <f t="shared" si="9"/>
        <v>1.0580386011675507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752.36600591691706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43.706524684931601</v>
      </c>
      <c r="Y108" s="2">
        <f>Y9/'Output-Calculation-sheet'!Y8*'Output-Calculation-sheet'!Y89</f>
        <v>0</v>
      </c>
      <c r="AA108" s="2">
        <f t="shared" si="9"/>
        <v>0.79607253060184868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4.7023915256093562E-2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7.9947530851197116E-2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126.39926073248851</v>
      </c>
      <c r="Y111" s="2">
        <f>Y12/'Output-Calculation-sheet'!Y11*'Output-Calculation-sheet'!Y92</f>
        <v>0</v>
      </c>
      <c r="AA111" s="2">
        <f t="shared" si="9"/>
        <v>0.12639926073248853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11474463756.166426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7047932902.9861231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4862475774.5313311</v>
      </c>
      <c r="N118" s="2">
        <f>N8/'Output-Calculation-sheet'!N7*'Output-Calculation-sheet'!N97</f>
        <v>1629397829.7439952</v>
      </c>
      <c r="O118" s="2">
        <f>O8/'Output-Calculation-sheet'!O7*'Output-Calculation-sheet'!O97</f>
        <v>2789459385.028904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487800691.60272259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264763757.16041824</v>
      </c>
      <c r="Y118" s="2">
        <f>Y8/'Output-Calculation-sheet'!Y7*'Output-Calculation-sheet'!Y97</f>
        <v>0</v>
      </c>
      <c r="AA118" s="2">
        <f t="shared" si="10"/>
        <v>29927.912744347082</v>
      </c>
    </row>
    <row r="119" spans="1:27" x14ac:dyDescent="0.25">
      <c r="A119" s="2">
        <v>2032</v>
      </c>
      <c r="B119" s="2">
        <f>B9/'Output-Calculation-sheet'!B8*'Output-Calculation-sheet'!B98</f>
        <v>6194520189.422534</v>
      </c>
      <c r="C119" s="2">
        <f>C9/'Output-Calculation-sheet'!C8*'Output-Calculation-sheet'!C98</f>
        <v>15975319617.194954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9688223916.3621464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6684027911.4099026</v>
      </c>
      <c r="N119" s="2">
        <f>N9/'Output-Calculation-sheet'!N8*'Output-Calculation-sheet'!N98</f>
        <v>3134184682.5723958</v>
      </c>
      <c r="O119" s="2">
        <f>O9/'Output-Calculation-sheet'!O8*'Output-Calculation-sheet'!O98</f>
        <v>3373994221.4695301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942705632.79968226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367654858.23545575</v>
      </c>
      <c r="Y119" s="2">
        <f>Y9/'Output-Calculation-sheet'!Y8*'Output-Calculation-sheet'!Y98</f>
        <v>0</v>
      </c>
      <c r="AA119" s="2">
        <f t="shared" si="10"/>
        <v>46360.631029466604</v>
      </c>
    </row>
    <row r="120" spans="1:27" x14ac:dyDescent="0.25">
      <c r="A120" s="2">
        <v>2033</v>
      </c>
      <c r="B120" s="2">
        <f>B10/'Output-Calculation-sheet'!B9*'Output-Calculation-sheet'!B99</f>
        <v>17145233165.566059</v>
      </c>
      <c r="C120" s="2">
        <f>C10/'Output-Calculation-sheet'!C9*'Output-Calculation-sheet'!C99</f>
        <v>23755119506.464024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5062775858.1307421</v>
      </c>
      <c r="O120" s="2">
        <f>O10/'Output-Calculation-sheet'!O9*'Output-Calculation-sheet'!O99</f>
        <v>3934462111.0061426</v>
      </c>
      <c r="P120" s="2">
        <f>P10/'Output-Calculation-sheet'!P9*'Output-Calculation-sheet'!P99</f>
        <v>0</v>
      </c>
      <c r="Q120" s="2">
        <f>Q10/'Output-Calculation-sheet'!Q9*'Output-Calculation-sheet'!Q99</f>
        <v>164714952.28835019</v>
      </c>
      <c r="R120" s="2">
        <f>R10/'Output-Calculation-sheet'!R9*'Output-Calculation-sheet'!R99</f>
        <v>0</v>
      </c>
      <c r="S120" s="2">
        <f>S10/'Output-Calculation-sheet'!S9*'Output-Calculation-sheet'!S99</f>
        <v>2039290233.2368999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555053440.3574599</v>
      </c>
      <c r="Y120" s="2">
        <f>Y10/'Output-Calculation-sheet'!Y9*'Output-Calculation-sheet'!Y99</f>
        <v>0</v>
      </c>
      <c r="AA120" s="2">
        <f t="shared" si="10"/>
        <v>73795.199770629231</v>
      </c>
    </row>
    <row r="121" spans="1:27" x14ac:dyDescent="0.25">
      <c r="A121" s="2">
        <v>2034</v>
      </c>
      <c r="B121" s="2">
        <f>B11/'Output-Calculation-sheet'!B10*'Output-Calculation-sheet'!B100</f>
        <v>35995811214.844254</v>
      </c>
      <c r="C121" s="2">
        <f>C11/'Output-Calculation-sheet'!C10*'Output-Calculation-sheet'!C100</f>
        <v>29300851838.340862</v>
      </c>
      <c r="D121" s="2">
        <f>D11/'Output-Calculation-sheet'!D10*'Output-Calculation-sheet'!D100</f>
        <v>0</v>
      </c>
      <c r="E121" s="2">
        <f>E11/'Output-Calculation-sheet'!E10*'Output-Calculation-sheet'!E100</f>
        <v>864209092.70434511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15049236256.90621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616405519.07943141</v>
      </c>
      <c r="M121" s="2">
        <f>M11/'Output-Calculation-sheet'!M10*'Output-Calculation-sheet'!M100</f>
        <v>10484034382.418365</v>
      </c>
      <c r="N121" s="2">
        <f>N11/'Output-Calculation-sheet'!N10*'Output-Calculation-sheet'!N100</f>
        <v>7029492961.7100897</v>
      </c>
      <c r="O121" s="2">
        <f>O11/'Output-Calculation-sheet'!O10*'Output-Calculation-sheet'!O100</f>
        <v>4488252921.5688963</v>
      </c>
      <c r="P121" s="2">
        <f>P11/'Output-Calculation-sheet'!P10*'Output-Calculation-sheet'!P100</f>
        <v>0</v>
      </c>
      <c r="Q121" s="2">
        <f>Q11/'Output-Calculation-sheet'!Q10*'Output-Calculation-sheet'!Q100</f>
        <v>562316826.39844513</v>
      </c>
      <c r="R121" s="2">
        <f>R11/'Output-Calculation-sheet'!R10*'Output-Calculation-sheet'!R100</f>
        <v>0</v>
      </c>
      <c r="S121" s="2">
        <f>S11/'Output-Calculation-sheet'!S10*'Output-Calculation-sheet'!S100</f>
        <v>2950476734.7741833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46230933.83761923</v>
      </c>
      <c r="AA121" s="2">
        <f t="shared" si="10"/>
        <v>107899.85646254684</v>
      </c>
    </row>
    <row r="122" spans="1:27" x14ac:dyDescent="0.25">
      <c r="A122" s="2">
        <v>2035</v>
      </c>
      <c r="B122" s="2">
        <f>B12/'Output-Calculation-sheet'!B11*'Output-Calculation-sheet'!B101</f>
        <v>45512155178.362251</v>
      </c>
      <c r="C122" s="2">
        <f>C12/'Output-Calculation-sheet'!C11*'Output-Calculation-sheet'!C101</f>
        <v>36442174319.244179</v>
      </c>
      <c r="D122" s="2">
        <f>D12/'Output-Calculation-sheet'!D11*'Output-Calculation-sheet'!D101</f>
        <v>0</v>
      </c>
      <c r="E122" s="2">
        <f>E12/'Output-Calculation-sheet'!E11*'Output-Calculation-sheet'!E101</f>
        <v>2913599893.58814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16774481475.896591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787459392.17605674</v>
      </c>
      <c r="M122" s="2">
        <f>M12/'Output-Calculation-sheet'!M11*'Output-Calculation-sheet'!M101</f>
        <v>11743042918.948154</v>
      </c>
      <c r="N122" s="2">
        <f>N12/'Output-Calculation-sheet'!N11*'Output-Calculation-sheet'!N101</f>
        <v>7862981735.5834026</v>
      </c>
      <c r="O122" s="2">
        <f>O12/'Output-Calculation-sheet'!O11*'Output-Calculation-sheet'!O101</f>
        <v>5037844741.9278698</v>
      </c>
      <c r="P122" s="2">
        <f>P12/'Output-Calculation-sheet'!P11*'Output-Calculation-sheet'!P101</f>
        <v>399173892.3031612</v>
      </c>
      <c r="Q122" s="2">
        <f>Q12/'Output-Calculation-sheet'!Q11*'Output-Calculation-sheet'!Q101</f>
        <v>940941485.4584564</v>
      </c>
      <c r="R122" s="2">
        <f>R12/'Output-Calculation-sheet'!R11*'Output-Calculation-sheet'!R101</f>
        <v>0</v>
      </c>
      <c r="S122" s="2">
        <f>S12/'Output-Calculation-sheet'!S11*'Output-Calculation-sheet'!S101</f>
        <v>3694157805.0320888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334416603.41514307</v>
      </c>
      <c r="Y122" s="2">
        <f>Y12/'Output-Calculation-sheet'!Y11*'Output-Calculation-sheet'!Y101</f>
        <v>328458631.77273679</v>
      </c>
      <c r="AA122" s="2">
        <f t="shared" si="10"/>
        <v>132770.88807370822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3143928214.0935507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2245865113.8204875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147986.75274609288</v>
      </c>
    </row>
    <row r="130" spans="1:27" x14ac:dyDescent="0.25">
      <c r="A130" s="2">
        <v>2032</v>
      </c>
      <c r="B130" s="2">
        <f>B9/'Output-Calculation-sheet'!B8*'Output-Calculation-sheet'!B107</f>
        <v>59711684993.267395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3426740929.2319031</v>
      </c>
      <c r="O130" s="2">
        <f>O9/'Output-Calculation-sheet'!O8*'Output-Calculation-sheet'!O107</f>
        <v>0</v>
      </c>
      <c r="P130" s="2">
        <f>P9/'Output-Calculation-sheet'!P8*'Output-Calculation-sheet'!P107</f>
        <v>5973245345.2393446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2814823415.6054406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197947.9742988316</v>
      </c>
    </row>
    <row r="131" spans="1:27" x14ac:dyDescent="0.25">
      <c r="A131" s="2">
        <v>2033</v>
      </c>
      <c r="B131" s="2">
        <f>B10/'Output-Calculation-sheet'!B9*'Output-Calculation-sheet'!B108</f>
        <v>67939906771.850105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3407415670.1569052</v>
      </c>
      <c r="O131" s="2">
        <f>O10/'Output-Calculation-sheet'!O9*'Output-Calculation-sheet'!O108</f>
        <v>0</v>
      </c>
      <c r="P131" s="2">
        <f>P10/'Output-Calculation-sheet'!P9*'Output-Calculation-sheet'!P108</f>
        <v>7711545569.0001469</v>
      </c>
      <c r="Q131" s="2">
        <f>Q10/'Output-Calculation-sheet'!Q9*'Output-Calculation-sheet'!Q108</f>
        <v>7422555628.5783958</v>
      </c>
      <c r="R131" s="2">
        <f>R10/'Output-Calculation-sheet'!R9*'Output-Calculation-sheet'!R108</f>
        <v>7299044064.4219847</v>
      </c>
      <c r="S131" s="2">
        <f>S10/'Output-Calculation-sheet'!S9*'Output-Calculation-sheet'!S108</f>
        <v>2811662936.9538169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244409.90809542907</v>
      </c>
    </row>
    <row r="132" spans="1:27" x14ac:dyDescent="0.25">
      <c r="A132" s="2">
        <v>2034</v>
      </c>
      <c r="B132" s="2">
        <f>B11/'Output-Calculation-sheet'!B10*'Output-Calculation-sheet'!B109</f>
        <v>67396052440.235535</v>
      </c>
      <c r="C132" s="2">
        <f>C11/'Output-Calculation-sheet'!C10*'Output-Calculation-sheet'!C109</f>
        <v>0</v>
      </c>
      <c r="D132" s="2">
        <f>D11/'Output-Calculation-sheet'!D10*'Output-Calculation-sheet'!D109</f>
        <v>44016716559.639984</v>
      </c>
      <c r="E132" s="2">
        <f>E11/'Output-Calculation-sheet'!E10*'Output-Calculation-sheet'!E109</f>
        <v>34293171843.298244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13989963518.03726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10402580441.346132</v>
      </c>
      <c r="M132" s="2">
        <f>M11/'Output-Calculation-sheet'!M10*'Output-Calculation-sheet'!M109</f>
        <v>0</v>
      </c>
      <c r="N132" s="2">
        <f>N11/'Output-Calculation-sheet'!N10*'Output-Calculation-sheet'!N109</f>
        <v>3296639977.9774146</v>
      </c>
      <c r="O132" s="2">
        <f>O11/'Output-Calculation-sheet'!O10*'Output-Calculation-sheet'!O109</f>
        <v>0</v>
      </c>
      <c r="P132" s="2">
        <f>P11/'Output-Calculation-sheet'!P10*'Output-Calculation-sheet'!P109</f>
        <v>9559522625.865984</v>
      </c>
      <c r="Q132" s="2">
        <f>Q11/'Output-Calculation-sheet'!Q10*'Output-Calculation-sheet'!Q109</f>
        <v>8106257204.9732151</v>
      </c>
      <c r="R132" s="2">
        <f>R11/'Output-Calculation-sheet'!R10*'Output-Calculation-sheet'!R109</f>
        <v>9048159825.9696903</v>
      </c>
      <c r="S132" s="2">
        <f>S11/'Output-Calculation-sheet'!S10*'Output-Calculation-sheet'!S109</f>
        <v>2817828717.5310497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2828515219.6370254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1080710220.3077538</v>
      </c>
      <c r="AA132" s="2">
        <f t="shared" si="11"/>
        <v>281300.403328121</v>
      </c>
    </row>
    <row r="133" spans="1:27" x14ac:dyDescent="0.25">
      <c r="A133" s="2">
        <v>2035</v>
      </c>
      <c r="B133" s="2">
        <f>B12/'Output-Calculation-sheet'!B11*'Output-Calculation-sheet'!B110</f>
        <v>69637102670.532303</v>
      </c>
      <c r="C133" s="2">
        <f>C12/'Output-Calculation-sheet'!C11*'Output-Calculation-sheet'!C110</f>
        <v>0</v>
      </c>
      <c r="D133" s="2">
        <f>D12/'Output-Calculation-sheet'!D11*'Output-Calculation-sheet'!D110</f>
        <v>47867975350.715057</v>
      </c>
      <c r="E133" s="2">
        <f>E12/'Output-Calculation-sheet'!E11*'Output-Calculation-sheet'!E110</f>
        <v>37686392014.790894</v>
      </c>
      <c r="F133" s="2">
        <f>F12/'Output-Calculation-sheet'!F11*'Output-Calculation-sheet'!F110</f>
        <v>25898296086.987469</v>
      </c>
      <c r="G133" s="2">
        <f>G12/'Output-Calculation-sheet'!G11*'Output-Calculation-sheet'!G110</f>
        <v>17853195570.192795</v>
      </c>
      <c r="H133" s="2">
        <f>H12/'Output-Calculation-sheet'!H11*'Output-Calculation-sheet'!H110</f>
        <v>0</v>
      </c>
      <c r="I133" s="2">
        <f>I12/'Output-Calculation-sheet'!I11*'Output-Calculation-sheet'!I110</f>
        <v>16201009815.339544</v>
      </c>
      <c r="J133" s="2">
        <f>J12/'Output-Calculation-sheet'!J11*'Output-Calculation-sheet'!J110</f>
        <v>15172044118.030968</v>
      </c>
      <c r="K133" s="2">
        <f>K12/'Output-Calculation-sheet'!K11*'Output-Calculation-sheet'!K110</f>
        <v>15536185978.806135</v>
      </c>
      <c r="L133" s="2">
        <f>L12/'Output-Calculation-sheet'!L11*'Output-Calculation-sheet'!L110</f>
        <v>11385786147.281954</v>
      </c>
      <c r="M133" s="2">
        <f>M12/'Output-Calculation-sheet'!M11*'Output-Calculation-sheet'!M110</f>
        <v>0</v>
      </c>
      <c r="N133" s="2">
        <f>N12/'Output-Calculation-sheet'!N11*'Output-Calculation-sheet'!N110</f>
        <v>3554746947.8281541</v>
      </c>
      <c r="O133" s="2">
        <f>O12/'Output-Calculation-sheet'!O11*'Output-Calculation-sheet'!O110</f>
        <v>0</v>
      </c>
      <c r="P133" s="2">
        <f>P12/'Output-Calculation-sheet'!P11*'Output-Calculation-sheet'!P110</f>
        <v>10618092720.912066</v>
      </c>
      <c r="Q133" s="2">
        <f>Q12/'Output-Calculation-sheet'!Q11*'Output-Calculation-sheet'!Q110</f>
        <v>8636002194.1809826</v>
      </c>
      <c r="R133" s="2">
        <f>R12/'Output-Calculation-sheet'!R11*'Output-Calculation-sheet'!R110</f>
        <v>10179067107.212</v>
      </c>
      <c r="S133" s="2">
        <f>S12/'Output-Calculation-sheet'!S11*'Output-Calculation-sheet'!S110</f>
        <v>2744968217.2577724</v>
      </c>
      <c r="T133" s="2">
        <f>T12/'Output-Calculation-sheet'!T11*'Output-Calculation-sheet'!T110</f>
        <v>3830659310.7188754</v>
      </c>
      <c r="U133" s="2">
        <f>U12/'Output-Calculation-sheet'!U11*'Output-Calculation-sheet'!U110</f>
        <v>3105706006.1999526</v>
      </c>
      <c r="V133" s="2">
        <f>V12/'Output-Calculation-sheet'!V11*'Output-Calculation-sheet'!V110</f>
        <v>2449281009.7560577</v>
      </c>
      <c r="W133" s="2">
        <f>W12/'Output-Calculation-sheet'!W11*'Output-Calculation-sheet'!W110</f>
        <v>2285645104.0397539</v>
      </c>
      <c r="X133" s="2">
        <f>X12/'Output-Calculation-sheet'!X11*'Output-Calculation-sheet'!X110</f>
        <v>0</v>
      </c>
      <c r="Y133" s="2">
        <f>Y12/'Output-Calculation-sheet'!Y11*'Output-Calculation-sheet'!Y110</f>
        <v>978848636.01732993</v>
      </c>
      <c r="AA133" s="2">
        <f t="shared" si="11"/>
        <v>305621.0050068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8600663290.443346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261943968.46970281</v>
      </c>
      <c r="Y140" s="2">
        <f>Y8/'Output-Calculation-sheet'!Y7*'Output-Calculation-sheet'!Y115</f>
        <v>0</v>
      </c>
      <c r="AA140" s="2">
        <f t="shared" si="12"/>
        <v>8862.607258913049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6374035031.1410313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356320223.81820303</v>
      </c>
      <c r="Y141" s="2">
        <f>Y9/'Output-Calculation-sheet'!Y8*'Output-Calculation-sheet'!Y116</f>
        <v>0</v>
      </c>
      <c r="AA141" s="2">
        <f t="shared" si="12"/>
        <v>6730.3552549592341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379609533.19772774</v>
      </c>
      <c r="Y142" s="2">
        <f>Y10/'Output-Calculation-sheet'!Y9*'Output-Calculation-sheet'!Y117</f>
        <v>0</v>
      </c>
      <c r="AA142" s="2">
        <f t="shared" si="12"/>
        <v>379.60953319772773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646.19045401950086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1032391406.0396305</v>
      </c>
      <c r="Y144" s="2">
        <f>Y12/'Output-Calculation-sheet'!Y11*'Output-Calculation-sheet'!Y119</f>
        <v>0</v>
      </c>
      <c r="AA144" s="2">
        <f t="shared" si="12"/>
        <v>1032.3914060396305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25814491377.826752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6298133675.7894163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196027.54268537473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29786976280.685658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6788035429.6409206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171766.6788856184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34328927827.943405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7182728504.2462225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138480.26185251164</v>
      </c>
    </row>
    <row r="154" spans="1:27" x14ac:dyDescent="0.25">
      <c r="A154" s="2">
        <v>2034</v>
      </c>
      <c r="B154" s="2">
        <f>B11/'Output-Calculation-sheet'!B10*'Output-Calculation-sheet'!B127</f>
        <v>18055968340.325504</v>
      </c>
      <c r="C154" s="2">
        <f>C11/'Output-Calculation-sheet'!C10*'Output-Calculation-sheet'!C127</f>
        <v>33321816660.826527</v>
      </c>
      <c r="D154" s="2">
        <f>D11/'Output-Calculation-sheet'!D10*'Output-Calculation-sheet'!D127</f>
        <v>6701946724.1838102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2911761797.3523598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2149746487.7302351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1854315577.0063312</v>
      </c>
      <c r="M154" s="2">
        <f>M11/'Output-Calculation-sheet'!M10*'Output-Calculation-sheet'!M127</f>
        <v>1871125178.7962046</v>
      </c>
      <c r="N154" s="2">
        <f>N11/'Output-Calculation-sheet'!N10*'Output-Calculation-sheet'!N127</f>
        <v>1738728911.0869279</v>
      </c>
      <c r="O154" s="2">
        <f>O11/'Output-Calculation-sheet'!O10*'Output-Calculation-sheet'!O127</f>
        <v>7521432859.2639217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2313148776.3212042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1199577696.4328365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510960150.6786195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98795.175621638147</v>
      </c>
    </row>
    <row r="155" spans="1:27" x14ac:dyDescent="0.25">
      <c r="A155" s="2">
        <v>2035</v>
      </c>
      <c r="B155" s="2">
        <f>B12/'Output-Calculation-sheet'!B11*'Output-Calculation-sheet'!B128</f>
        <v>17072887867.717024</v>
      </c>
      <c r="C155" s="2">
        <f>C12/'Output-Calculation-sheet'!C11*'Output-Calculation-sheet'!C128</f>
        <v>30159918184.805332</v>
      </c>
      <c r="D155" s="2">
        <f>D12/'Output-Calculation-sheet'!D11*'Output-Calculation-sheet'!D128</f>
        <v>7033708426.562541</v>
      </c>
      <c r="E155" s="2">
        <f>E12/'Output-Calculation-sheet'!E11*'Output-Calculation-sheet'!E128</f>
        <v>3833651460.2684827</v>
      </c>
      <c r="F155" s="2">
        <f>F12/'Output-Calculation-sheet'!F11*'Output-Calculation-sheet'!F128</f>
        <v>2088251043.0296807</v>
      </c>
      <c r="G155" s="2">
        <f>G12/'Output-Calculation-sheet'!G11*'Output-Calculation-sheet'!G128</f>
        <v>1970153701.3643332</v>
      </c>
      <c r="H155" s="2">
        <f>H12/'Output-Calculation-sheet'!H11*'Output-Calculation-sheet'!H128</f>
        <v>2877650822.1132803</v>
      </c>
      <c r="I155" s="2">
        <f>I12/'Output-Calculation-sheet'!I11*'Output-Calculation-sheet'!I128</f>
        <v>1800128840.5084386</v>
      </c>
      <c r="J155" s="2">
        <f>J12/'Output-Calculation-sheet'!J11*'Output-Calculation-sheet'!J128</f>
        <v>2239395933.1882639</v>
      </c>
      <c r="K155" s="2">
        <f>K12/'Output-Calculation-sheet'!K11*'Output-Calculation-sheet'!K128</f>
        <v>1795223109.6752057</v>
      </c>
      <c r="L155" s="2">
        <f>L12/'Output-Calculation-sheet'!L11*'Output-Calculation-sheet'!L128</f>
        <v>1837628570.6425006</v>
      </c>
      <c r="M155" s="2">
        <f>M12/'Output-Calculation-sheet'!M11*'Output-Calculation-sheet'!M128</f>
        <v>1816795000.3612041</v>
      </c>
      <c r="N155" s="2">
        <f>N12/'Output-Calculation-sheet'!N11*'Output-Calculation-sheet'!N128</f>
        <v>1665992689.7349007</v>
      </c>
      <c r="O155" s="2">
        <f>O12/'Output-Calculation-sheet'!O11*'Output-Calculation-sheet'!O128</f>
        <v>7829966989.2160616</v>
      </c>
      <c r="P155" s="2">
        <f>P12/'Output-Calculation-sheet'!P11*'Output-Calculation-sheet'!P128</f>
        <v>963493594.55603862</v>
      </c>
      <c r="Q155" s="2">
        <f>Q12/'Output-Calculation-sheet'!Q11*'Output-Calculation-sheet'!Q128</f>
        <v>2289405160.0079279</v>
      </c>
      <c r="R155" s="2">
        <f>R12/'Output-Calculation-sheet'!R11*'Output-Calculation-sheet'!R128</f>
        <v>1057439530.0164008</v>
      </c>
      <c r="S155" s="2">
        <f>S12/'Output-Calculation-sheet'!S11*'Output-Calculation-sheet'!S128</f>
        <v>1110673638.3686855</v>
      </c>
      <c r="T155" s="2">
        <f>T12/'Output-Calculation-sheet'!T11*'Output-Calculation-sheet'!T128</f>
        <v>273992773.11967498</v>
      </c>
      <c r="U155" s="2">
        <f>U12/'Output-Calculation-sheet'!U11*'Output-Calculation-sheet'!U128</f>
        <v>533301438.90964991</v>
      </c>
      <c r="V155" s="2">
        <f>V12/'Output-Calculation-sheet'!V11*'Output-Calculation-sheet'!V128</f>
        <v>296266252.75006872</v>
      </c>
      <c r="W155" s="2">
        <f>W12/'Output-Calculation-sheet'!W11*'Output-Calculation-sheet'!W128</f>
        <v>106033242.1645309</v>
      </c>
      <c r="X155" s="2">
        <f>X12/'Output-Calculation-sheet'!X11*'Output-Calculation-sheet'!X128</f>
        <v>47752628.416282408</v>
      </c>
      <c r="Y155" s="2">
        <f>Y12/'Output-Calculation-sheet'!Y11*'Output-Calculation-sheet'!Y128</f>
        <v>117614374.45782977</v>
      </c>
      <c r="AA155" s="2">
        <f t="shared" si="13"/>
        <v>90817.325271954353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7270.4705501518056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4661.9071136325056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3235.8362411611793</v>
      </c>
      <c r="N19" s="2">
        <f>N8/'Output-Calculation-sheet'!N7*'Output-Calculation-sheet'!N25</f>
        <v>1106.1261040146906</v>
      </c>
      <c r="O19" s="2">
        <f>O8/'Output-Calculation-sheet'!O7*'Output-Calculation-sheet'!O25</f>
        <v>1728.8260971468271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170.83133748219123</v>
      </c>
      <c r="Y19" s="2">
        <f>Y8/'Output-Calculation-sheet'!Y7*'Output-Calculation-sheet'!Y25</f>
        <v>0</v>
      </c>
      <c r="AA19" s="2">
        <f t="shared" si="0"/>
        <v>19.606712538111392</v>
      </c>
    </row>
    <row r="20" spans="1:27" x14ac:dyDescent="0.25">
      <c r="A20" s="2">
        <v>2032</v>
      </c>
      <c r="B20" s="2">
        <f>B9/'Output-Calculation-sheet'!B8*'Output-Calculation-sheet'!B26</f>
        <v>5488.5248783976922</v>
      </c>
      <c r="C20" s="2">
        <f>C9/'Output-Calculation-sheet'!C8*'Output-Calculation-sheet'!C26</f>
        <v>9279.1469409868587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5966.4082464297935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4149.2898317033341</v>
      </c>
      <c r="N20" s="2">
        <f>N9/'Output-Calculation-sheet'!N8*'Output-Calculation-sheet'!N26</f>
        <v>1868.3701522742904</v>
      </c>
      <c r="O20" s="2">
        <f>O9/'Output-Calculation-sheet'!O8*'Output-Calculation-sheet'!O26</f>
        <v>1945.5676693634218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679.47398241571091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221.7350352245162</v>
      </c>
      <c r="Y20" s="2">
        <f>Y9/'Output-Calculation-sheet'!Y8*'Output-Calculation-sheet'!Y26</f>
        <v>0</v>
      </c>
      <c r="AA20" s="2">
        <f t="shared" si="0"/>
        <v>29.598516736795624</v>
      </c>
    </row>
    <row r="21" spans="1:27" x14ac:dyDescent="0.25">
      <c r="A21" s="2">
        <v>2033</v>
      </c>
      <c r="B21" s="2">
        <f>B10/'Output-Calculation-sheet'!B9*'Output-Calculation-sheet'!B27</f>
        <v>11881.956900966234</v>
      </c>
      <c r="C21" s="2">
        <f>C10/'Output-Calculation-sheet'!C9*'Output-Calculation-sheet'!C27</f>
        <v>12200.433054188414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6861.606840877902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4766.6960954840388</v>
      </c>
      <c r="N21" s="2">
        <f>N10/'Output-Calculation-sheet'!N9*'Output-Calculation-sheet'!N27</f>
        <v>2603.9961844608188</v>
      </c>
      <c r="O21" s="2">
        <f>O10/'Output-Calculation-sheet'!O9*'Output-Calculation-sheet'!O27</f>
        <v>2013.5522875539577</v>
      </c>
      <c r="P21" s="2">
        <f>P10/'Output-Calculation-sheet'!P9*'Output-Calculation-sheet'!P27</f>
        <v>0</v>
      </c>
      <c r="Q21" s="2">
        <f>Q10/'Output-Calculation-sheet'!Q9*'Output-Calculation-sheet'!Q27</f>
        <v>175.83106326677708</v>
      </c>
      <c r="R21" s="2">
        <f>R10/'Output-Calculation-sheet'!R9*'Output-Calculation-sheet'!R27</f>
        <v>0</v>
      </c>
      <c r="S21" s="2">
        <f>S10/'Output-Calculation-sheet'!S9*'Output-Calculation-sheet'!S27</f>
        <v>1133.5261938158508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302.17829377250052</v>
      </c>
      <c r="Y21" s="2">
        <f>Y10/'Output-Calculation-sheet'!Y9*'Output-Calculation-sheet'!Y27</f>
        <v>0</v>
      </c>
      <c r="AA21" s="2">
        <f t="shared" si="0"/>
        <v>41.939776914386499</v>
      </c>
    </row>
    <row r="22" spans="1:27" x14ac:dyDescent="0.25">
      <c r="A22" s="2">
        <v>2034</v>
      </c>
      <c r="B22" s="2">
        <f>B11/'Output-Calculation-sheet'!B10*'Output-Calculation-sheet'!B28</f>
        <v>17932.912513733772</v>
      </c>
      <c r="C22" s="2">
        <f>C11/'Output-Calculation-sheet'!C10*'Output-Calculation-sheet'!C28</f>
        <v>12610.612807958867</v>
      </c>
      <c r="D22" s="2">
        <f>D11/'Output-Calculation-sheet'!D10*'Output-Calculation-sheet'!D28</f>
        <v>0</v>
      </c>
      <c r="E22" s="2">
        <f>E11/'Output-Calculation-sheet'!E10*'Output-Calculation-sheet'!E28</f>
        <v>1027.2176378170659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7212.1559341615839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515.07466009338725</v>
      </c>
      <c r="M22" s="2">
        <f>M11/'Output-Calculation-sheet'!M10*'Output-Calculation-sheet'!M28</f>
        <v>5124.5402734339577</v>
      </c>
      <c r="N22" s="2">
        <f>N11/'Output-Calculation-sheet'!N10*'Output-Calculation-sheet'!N28</f>
        <v>3021.9696287702104</v>
      </c>
      <c r="O22" s="2">
        <f>O11/'Output-Calculation-sheet'!O10*'Output-Calculation-sheet'!O28</f>
        <v>1926.8303791925041</v>
      </c>
      <c r="P22" s="2">
        <f>P11/'Output-Calculation-sheet'!P10*'Output-Calculation-sheet'!P28</f>
        <v>0</v>
      </c>
      <c r="Q22" s="2">
        <f>Q11/'Output-Calculation-sheet'!Q10*'Output-Calculation-sheet'!Q28</f>
        <v>452.56636943063012</v>
      </c>
      <c r="R22" s="2">
        <f>R11/'Output-Calculation-sheet'!R10*'Output-Calculation-sheet'!R28</f>
        <v>0</v>
      </c>
      <c r="S22" s="2">
        <f>S11/'Output-Calculation-sheet'!S10*'Output-Calculation-sheet'!S28</f>
        <v>1327.9020954983541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55.678137114256387</v>
      </c>
      <c r="AA22" s="2">
        <f t="shared" si="0"/>
        <v>51.435258566690351</v>
      </c>
    </row>
    <row r="23" spans="1:27" x14ac:dyDescent="0.25">
      <c r="A23" s="2">
        <v>2035</v>
      </c>
      <c r="B23" s="2">
        <f>B12/'Output-Calculation-sheet'!B11*'Output-Calculation-sheet'!B29</f>
        <v>16850.76807207282</v>
      </c>
      <c r="C23" s="2">
        <f>C12/'Output-Calculation-sheet'!C11*'Output-Calculation-sheet'!C29</f>
        <v>12270.837237570629</v>
      </c>
      <c r="D23" s="2">
        <f>D12/'Output-Calculation-sheet'!D11*'Output-Calculation-sheet'!D29</f>
        <v>0</v>
      </c>
      <c r="E23" s="2">
        <f>E12/'Output-Calculation-sheet'!E11*'Output-Calculation-sheet'!E29</f>
        <v>2241.0675692551072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6091.162741102461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489.01676332163902</v>
      </c>
      <c r="M23" s="2">
        <f>M12/'Output-Calculation-sheet'!M11*'Output-Calculation-sheet'!M29</f>
        <v>4353.0264618551601</v>
      </c>
      <c r="N23" s="2">
        <f>N12/'Output-Calculation-sheet'!N11*'Output-Calculation-sheet'!N29</f>
        <v>2603.7383922416225</v>
      </c>
      <c r="O23" s="2">
        <f>O12/'Output-Calculation-sheet'!O11*'Output-Calculation-sheet'!O29</f>
        <v>1691.5828407559468</v>
      </c>
      <c r="P23" s="2">
        <f>P12/'Output-Calculation-sheet'!P11*'Output-Calculation-sheet'!P29</f>
        <v>354.34567527130093</v>
      </c>
      <c r="Q23" s="2">
        <f>Q12/'Output-Calculation-sheet'!Q11*'Output-Calculation-sheet'!Q29</f>
        <v>527.93783548185581</v>
      </c>
      <c r="R23" s="2">
        <f>R12/'Output-Calculation-sheet'!R11*'Output-Calculation-sheet'!R29</f>
        <v>0</v>
      </c>
      <c r="S23" s="2">
        <f>S12/'Output-Calculation-sheet'!S11*'Output-Calculation-sheet'!S29</f>
        <v>1246.7350146766992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109.88961508944678</v>
      </c>
      <c r="Y23" s="2">
        <f>Y12/'Output-Calculation-sheet'!Y11*'Output-Calculation-sheet'!Y29</f>
        <v>115.95026340775382</v>
      </c>
      <c r="AA23" s="2">
        <f t="shared" si="0"/>
        <v>48.94605848210243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1506.3382013229409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38.723698848582089</v>
      </c>
    </row>
    <row r="31" spans="1:27" x14ac:dyDescent="0.25">
      <c r="A31" s="2">
        <v>2032</v>
      </c>
      <c r="B31" s="2">
        <f>B9/'Output-Calculation-sheet'!B8*'Output-Calculation-sheet'!B17</f>
        <v>23239.997835944632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1591.8370766316987</v>
      </c>
      <c r="O31" s="2">
        <f>O9/'Output-Calculation-sheet'!O8*'Output-Calculation-sheet'!O17</f>
        <v>0</v>
      </c>
      <c r="P31" s="2">
        <f>P9/'Output-Calculation-sheet'!P8*'Output-Calculation-sheet'!P17</f>
        <v>1971.1576161415405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1183.625148925209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50.609960274947504</v>
      </c>
    </row>
    <row r="32" spans="1:27" x14ac:dyDescent="0.25">
      <c r="A32" s="2">
        <v>2033</v>
      </c>
      <c r="B32" s="2">
        <f>B10/'Output-Calculation-sheet'!B9*'Output-Calculation-sheet'!B18</f>
        <v>24065.024620124543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2295.3173325947232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1470.5904835660353</v>
      </c>
      <c r="O32" s="2">
        <f>O10/'Output-Calculation-sheet'!O9*'Output-Calculation-sheet'!O18</f>
        <v>0</v>
      </c>
      <c r="P32" s="2">
        <f>P10/'Output-Calculation-sheet'!P9*'Output-Calculation-sheet'!P18</f>
        <v>2362.3374641515552</v>
      </c>
      <c r="Q32" s="2">
        <f>Q10/'Output-Calculation-sheet'!Q9*'Output-Calculation-sheet'!Q18</f>
        <v>2573.7286829097461</v>
      </c>
      <c r="R32" s="2">
        <f>R10/'Output-Calculation-sheet'!R9*'Output-Calculation-sheet'!R18</f>
        <v>1696.3804356162689</v>
      </c>
      <c r="S32" s="2">
        <f>S10/'Output-Calculation-sheet'!S9*'Output-Calculation-sheet'!S18</f>
        <v>1111.0284099666123</v>
      </c>
      <c r="T32" s="2">
        <f>T10/'Output-Calculation-sheet'!T9*'Output-Calculation-sheet'!T18</f>
        <v>495.27702561445824</v>
      </c>
      <c r="U32" s="2">
        <f>U10/'Output-Calculation-sheet'!U9*'Output-Calculation-sheet'!U18</f>
        <v>547.58965222908523</v>
      </c>
      <c r="V32" s="2">
        <f>V10/'Output-Calculation-sheet'!V9*'Output-Calculation-sheet'!V18</f>
        <v>404.09601973174705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233.9878737131543</v>
      </c>
      <c r="AA32" s="2">
        <f t="shared" si="1"/>
        <v>57.847007806928211</v>
      </c>
    </row>
    <row r="33" spans="1:27" x14ac:dyDescent="0.25">
      <c r="A33" s="2">
        <v>2034</v>
      </c>
      <c r="B33" s="2">
        <f>B11/'Output-Calculation-sheet'!B10*'Output-Calculation-sheet'!B19</f>
        <v>20374.842848630909</v>
      </c>
      <c r="C33" s="2">
        <f>C11/'Output-Calculation-sheet'!C10*'Output-Calculation-sheet'!C19</f>
        <v>0</v>
      </c>
      <c r="D33" s="2">
        <f>D11/'Output-Calculation-sheet'!D10*'Output-Calculation-sheet'!D19</f>
        <v>5955.32543316785</v>
      </c>
      <c r="E33" s="2">
        <f>E11/'Output-Calculation-sheet'!E10*'Output-Calculation-sheet'!E19</f>
        <v>7492.3641593749344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2248.7167948680694</v>
      </c>
      <c r="J33" s="2">
        <f>J11/'Output-Calculation-sheet'!J10*'Output-Calculation-sheet'!J19</f>
        <v>1861.4089135342108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2086.1052578585668</v>
      </c>
      <c r="M33" s="2">
        <f>M11/'Output-Calculation-sheet'!M10*'Output-Calculation-sheet'!M19</f>
        <v>0</v>
      </c>
      <c r="N33" s="2">
        <f>N11/'Output-Calculation-sheet'!N10*'Output-Calculation-sheet'!N19</f>
        <v>1238.2171917284081</v>
      </c>
      <c r="O33" s="2">
        <f>O11/'Output-Calculation-sheet'!O10*'Output-Calculation-sheet'!O19</f>
        <v>0</v>
      </c>
      <c r="P33" s="2">
        <f>P11/'Output-Calculation-sheet'!P10*'Output-Calculation-sheet'!P19</f>
        <v>2667.7791868484155</v>
      </c>
      <c r="Q33" s="2">
        <f>Q11/'Output-Calculation-sheet'!Q10*'Output-Calculation-sheet'!Q19</f>
        <v>2232.9335550872861</v>
      </c>
      <c r="R33" s="2">
        <f>R11/'Output-Calculation-sheet'!R10*'Output-Calculation-sheet'!R19</f>
        <v>1905.0551155274836</v>
      </c>
      <c r="S33" s="2">
        <f>S11/'Output-Calculation-sheet'!S10*'Output-Calculation-sheet'!S19</f>
        <v>955.1939462118778</v>
      </c>
      <c r="T33" s="2">
        <f>T11/'Output-Calculation-sheet'!T10*'Output-Calculation-sheet'!T19</f>
        <v>558.97942931135196</v>
      </c>
      <c r="U33" s="2">
        <f>U11/'Output-Calculation-sheet'!U10*'Output-Calculation-sheet'!U19</f>
        <v>602.55995883246931</v>
      </c>
      <c r="V33" s="2">
        <f>V11/'Output-Calculation-sheet'!V10*'Output-Calculation-sheet'!V19</f>
        <v>438.45272002011222</v>
      </c>
      <c r="W33" s="2">
        <f>W11/'Output-Calculation-sheet'!W10*'Output-Calculation-sheet'!W19</f>
        <v>273.00756387719775</v>
      </c>
      <c r="X33" s="2">
        <f>X11/'Output-Calculation-sheet'!X10*'Output-Calculation-sheet'!X19</f>
        <v>0</v>
      </c>
      <c r="Y33" s="2">
        <f>Y11/'Output-Calculation-sheet'!Y10*'Output-Calculation-sheet'!Y19</f>
        <v>246.07075935685836</v>
      </c>
      <c r="AA33" s="2">
        <f t="shared" si="1"/>
        <v>59.271542995570222</v>
      </c>
    </row>
    <row r="34" spans="1:27" x14ac:dyDescent="0.25">
      <c r="A34" s="2">
        <v>2035</v>
      </c>
      <c r="B34" s="2">
        <f>B12/'Output-Calculation-sheet'!B11*'Output-Calculation-sheet'!B20</f>
        <v>15703.016055318049</v>
      </c>
      <c r="C34" s="2">
        <f>C12/'Output-Calculation-sheet'!C11*'Output-Calculation-sheet'!C20</f>
        <v>0</v>
      </c>
      <c r="D34" s="2">
        <f>D12/'Output-Calculation-sheet'!D11*'Output-Calculation-sheet'!D20</f>
        <v>4896.7129031724298</v>
      </c>
      <c r="E34" s="2">
        <f>E12/'Output-Calculation-sheet'!E11*'Output-Calculation-sheet'!E20</f>
        <v>5731.6032653594903</v>
      </c>
      <c r="F34" s="2">
        <f>F12/'Output-Calculation-sheet'!F11*'Output-Calculation-sheet'!F20</f>
        <v>3329.4828102371553</v>
      </c>
      <c r="G34" s="2">
        <f>G12/'Output-Calculation-sheet'!G11*'Output-Calculation-sheet'!G20</f>
        <v>1767.483408552883</v>
      </c>
      <c r="H34" s="2">
        <f>H12/'Output-Calculation-sheet'!H11*'Output-Calculation-sheet'!H20</f>
        <v>0</v>
      </c>
      <c r="I34" s="2">
        <f>I12/'Output-Calculation-sheet'!I11*'Output-Calculation-sheet'!I20</f>
        <v>1959.2471084796191</v>
      </c>
      <c r="J34" s="2">
        <f>J12/'Output-Calculation-sheet'!J11*'Output-Calculation-sheet'!J20</f>
        <v>1532.4583666685824</v>
      </c>
      <c r="K34" s="2">
        <f>K12/'Output-Calculation-sheet'!K11*'Output-Calculation-sheet'!K20</f>
        <v>2262.4132338054437</v>
      </c>
      <c r="L34" s="2">
        <f>L12/'Output-Calculation-sheet'!L11*'Output-Calculation-sheet'!L20</f>
        <v>1717.7882110043358</v>
      </c>
      <c r="M34" s="2">
        <f>M12/'Output-Calculation-sheet'!M11*'Output-Calculation-sheet'!M20</f>
        <v>0</v>
      </c>
      <c r="N34" s="2">
        <f>N12/'Output-Calculation-sheet'!N11*'Output-Calculation-sheet'!N20</f>
        <v>999.62914561414891</v>
      </c>
      <c r="O34" s="2">
        <f>O12/'Output-Calculation-sheet'!O11*'Output-Calculation-sheet'!O20</f>
        <v>0</v>
      </c>
      <c r="P34" s="2">
        <f>P12/'Output-Calculation-sheet'!P11*'Output-Calculation-sheet'!P20</f>
        <v>2158.7192907442673</v>
      </c>
      <c r="Q34" s="2">
        <f>Q12/'Output-Calculation-sheet'!Q11*'Output-Calculation-sheet'!Q20</f>
        <v>1771.4412409038459</v>
      </c>
      <c r="R34" s="2">
        <f>R12/'Output-Calculation-sheet'!R11*'Output-Calculation-sheet'!R20</f>
        <v>1679.9788462385679</v>
      </c>
      <c r="S34" s="2">
        <f>S12/'Output-Calculation-sheet'!S11*'Output-Calculation-sheet'!S20</f>
        <v>710.7374225208722</v>
      </c>
      <c r="T34" s="2">
        <f>T12/'Output-Calculation-sheet'!T11*'Output-Calculation-sheet'!T20</f>
        <v>520.38576691923936</v>
      </c>
      <c r="U34" s="2">
        <f>U12/'Output-Calculation-sheet'!U11*'Output-Calculation-sheet'!U20</f>
        <v>497.20769360906667</v>
      </c>
      <c r="V34" s="2">
        <f>V12/'Output-Calculation-sheet'!V11*'Output-Calculation-sheet'!V20</f>
        <v>370.14635033923958</v>
      </c>
      <c r="W34" s="2">
        <f>W12/'Output-Calculation-sheet'!W11*'Output-Calculation-sheet'!W20</f>
        <v>291.85333319603546</v>
      </c>
      <c r="X34" s="2">
        <f>X12/'Output-Calculation-sheet'!X11*'Output-Calculation-sheet'!X20</f>
        <v>0</v>
      </c>
      <c r="Y34" s="2">
        <f>Y12/'Output-Calculation-sheet'!Y11*'Output-Calculation-sheet'!Y20</f>
        <v>172.36527648889853</v>
      </c>
      <c r="AA34" s="2">
        <f t="shared" si="1"/>
        <v>48.072669729172148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0.59149626093192265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0.32558199191313619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0.91707825284505884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1.7664429478603307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0.44121958917699172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2.2076625370373226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2.8922802512961825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0.52443038945341192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3.4167106407495944</v>
      </c>
    </row>
    <row r="44" spans="1:27" x14ac:dyDescent="0.25">
      <c r="A44" s="2">
        <v>2034</v>
      </c>
      <c r="B44" s="2">
        <f>B11/'Output-Calculation-sheet'!B10*'Output-Calculation-sheet'!B37*0.0114</f>
        <v>0.18082145731377339</v>
      </c>
      <c r="C44" s="2">
        <f>C11/'Output-Calculation-sheet'!C10*'Output-Calculation-sheet'!C37*0.0114</f>
        <v>2.8750386356915976</v>
      </c>
      <c r="D44" s="2">
        <f>D11/'Output-Calculation-sheet'!D10*'Output-Calculation-sheet'!D37*0.0114</f>
        <v>3.8011757787801255E-2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5.2837376792501133E-2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1.2137741582563576E-2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9.5847865813905083E-3</v>
      </c>
      <c r="M44" s="2">
        <f>M11/'Output-Calculation-sheet'!M10*'Output-Calculation-sheet'!M37*0.0114</f>
        <v>2.7267943006160963E-2</v>
      </c>
      <c r="N44" s="2">
        <f>N11/'Output-Calculation-sheet'!N10*'Output-Calculation-sheet'!N37*0.0114</f>
        <v>1.7866643865419734E-2</v>
      </c>
      <c r="O44" s="2">
        <f>O11/'Output-Calculation-sheet'!O10*'Output-Calculation-sheet'!O37*0.0114</f>
        <v>0.55020371611840635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3.9134788797260046E-2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2.048355410112801E-2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4.9945402754959225E-3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3.8283829419134983</v>
      </c>
    </row>
    <row r="45" spans="1:27" x14ac:dyDescent="0.25">
      <c r="A45" s="2">
        <v>2035</v>
      </c>
      <c r="B45" s="2">
        <f>B12/'Output-Calculation-sheet'!B11*'Output-Calculation-sheet'!B38*0.0114</f>
        <v>0.67032888713776417</v>
      </c>
      <c r="C45" s="2">
        <f>C12/'Output-Calculation-sheet'!C11*'Output-Calculation-sheet'!C38*0.0114</f>
        <v>2.5452288389424695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0.17420609714018293</v>
      </c>
      <c r="F45" s="2">
        <f>F12/'Output-Calculation-sheet'!F11*'Output-Calculation-sheet'!F38*0.0114</f>
        <v>6.2607800117283854E-2</v>
      </c>
      <c r="G45" s="2">
        <f>G12/'Output-Calculation-sheet'!G11*'Output-Calculation-sheet'!G38*0.0114</f>
        <v>5.6165827423416373E-2</v>
      </c>
      <c r="H45" s="2">
        <f>H12/'Output-Calculation-sheet'!H11*'Output-Calculation-sheet'!H38*0.0114</f>
        <v>0.19587509419933286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3.9996623941898152E-2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4.7376083332908568E-2</v>
      </c>
      <c r="M45" s="2">
        <f>M12/'Output-Calculation-sheet'!M11*'Output-Calculation-sheet'!M38*0.0114</f>
        <v>0.11980544647100477</v>
      </c>
      <c r="N45" s="2">
        <f>N12/'Output-Calculation-sheet'!N11*'Output-Calculation-sheet'!N38*0.0114</f>
        <v>7.3593327775199391E-2</v>
      </c>
      <c r="O45" s="2">
        <f>O12/'Output-Calculation-sheet'!O11*'Output-Calculation-sheet'!O38*0.0114</f>
        <v>0.51507005721788535</v>
      </c>
      <c r="P45" s="2">
        <f>P12/'Output-Calculation-sheet'!P11*'Output-Calculation-sheet'!P38*0.0114</f>
        <v>4.7591115685226427E-2</v>
      </c>
      <c r="Q45" s="2">
        <f>Q12/'Output-Calculation-sheet'!Q11*'Output-Calculation-sheet'!Q38*0.0114</f>
        <v>7.0926924993196638E-2</v>
      </c>
      <c r="R45" s="2">
        <f>R12/'Output-Calculation-sheet'!R11*'Output-Calculation-sheet'!R38*0.0114</f>
        <v>3.1971551850289513E-2</v>
      </c>
      <c r="S45" s="2">
        <f>S12/'Output-Calculation-sheet'!S11*'Output-Calculation-sheet'!S38*0.0114</f>
        <v>4.6404859652216551E-2</v>
      </c>
      <c r="T45" s="2">
        <f>T12/'Output-Calculation-sheet'!T11*'Output-Calculation-sheet'!T38*0.0114</f>
        <v>9.4626158309210427E-3</v>
      </c>
      <c r="U45" s="2">
        <f>U12/'Output-Calculation-sheet'!U11*'Output-Calculation-sheet'!U38*0.0114</f>
        <v>1.4400879630487876E-2</v>
      </c>
      <c r="V45" s="2">
        <f>V12/'Output-Calculation-sheet'!V11*'Output-Calculation-sheet'!V38*0.0114</f>
        <v>6.3453349947798473E-3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3.285726663269299E-3</v>
      </c>
      <c r="Y45" s="2">
        <f>Y12/'Output-Calculation-sheet'!Y11*'Output-Calculation-sheet'!Y38*0.0114</f>
        <v>5.5488808902471867E-3</v>
      </c>
      <c r="AA45" s="2">
        <f t="shared" si="2"/>
        <v>4.9556353477114179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6583.1294111407642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4502.3579616736361</v>
      </c>
      <c r="N52" s="2">
        <f>N8/'Output-Calculation-sheet'!N7*'Output-Calculation-sheet'!N43</f>
        <v>142.22210286003616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30.442873039226075</v>
      </c>
      <c r="Y52" s="2">
        <f>Y8/'Output-Calculation-sheet'!Y7*'Output-Calculation-sheet'!Y43</f>
        <v>0</v>
      </c>
      <c r="AA52" s="2">
        <f t="shared" si="3"/>
        <v>11.258152348713663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181.51418762474577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11950.584964380352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8173.4645147650954</v>
      </c>
      <c r="N53" s="2">
        <f>N9/'Output-Calculation-sheet'!N8*'Output-Calculation-sheet'!N44</f>
        <v>2900.4645713117548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904.49655963307021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249.4684129767482</v>
      </c>
      <c r="Y53" s="2">
        <f>Y9/'Output-Calculation-sheet'!Y8*'Output-Calculation-sheet'!Y44</f>
        <v>0</v>
      </c>
      <c r="AA53" s="2">
        <f t="shared" si="3"/>
        <v>24.488562479502498</v>
      </c>
    </row>
    <row r="54" spans="1:27" x14ac:dyDescent="0.25">
      <c r="A54" s="2">
        <v>2033</v>
      </c>
      <c r="B54" s="2">
        <f>B10/'Output-Calculation-sheet'!B9*'Output-Calculation-sheet'!B45</f>
        <v>22691.557309166419</v>
      </c>
      <c r="C54" s="2">
        <f>C10/'Output-Calculation-sheet'!C9*'Output-Calculation-sheet'!C45</f>
        <v>4875.4373241878629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11334.664252580727</v>
      </c>
      <c r="N54" s="2">
        <f>N10/'Output-Calculation-sheet'!N9*'Output-Calculation-sheet'!N45</f>
        <v>6341.6471933805142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664.06643479633772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69.337852034061044</v>
      </c>
    </row>
    <row r="55" spans="1:27" x14ac:dyDescent="0.25">
      <c r="A55" s="2">
        <v>2034</v>
      </c>
      <c r="B55" s="2">
        <f>B11/'Output-Calculation-sheet'!B10*'Output-Calculation-sheet'!B46</f>
        <v>50558.631156811636</v>
      </c>
      <c r="C55" s="2">
        <f>C11/'Output-Calculation-sheet'!C10*'Output-Calculation-sheet'!C46</f>
        <v>10373.928358164498</v>
      </c>
      <c r="D55" s="2">
        <f>D11/'Output-Calculation-sheet'!D10*'Output-Calculation-sheet'!D46</f>
        <v>4378.0208750336005</v>
      </c>
      <c r="E55" s="2">
        <f>E11/'Output-Calculation-sheet'!E10*'Output-Calculation-sheet'!E46</f>
        <v>6555.9358990179553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16936.92843368397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628.18136260636049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527.16326197647788</v>
      </c>
      <c r="M55" s="2">
        <f>M11/'Output-Calculation-sheet'!M10*'Output-Calculation-sheet'!M46</f>
        <v>11844.014425629271</v>
      </c>
      <c r="N55" s="2">
        <f>N11/'Output-Calculation-sheet'!N10*'Output-Calculation-sheet'!N46</f>
        <v>8626.9246629125373</v>
      </c>
      <c r="O55" s="2">
        <f>O11/'Output-Calculation-sheet'!O10*'Output-Calculation-sheet'!O46</f>
        <v>0</v>
      </c>
      <c r="P55" s="2">
        <f>P11/'Output-Calculation-sheet'!P10*'Output-Calculation-sheet'!P46</f>
        <v>3420.5768426530772</v>
      </c>
      <c r="Q55" s="2">
        <f>Q11/'Output-Calculation-sheet'!Q10*'Output-Calculation-sheet'!Q46</f>
        <v>1265.3581711114082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3627.7452394892498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841.40478939385264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56.459256336930096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130.6259457235349</v>
      </c>
    </row>
    <row r="56" spans="1:27" x14ac:dyDescent="0.25">
      <c r="A56" s="2">
        <v>2035</v>
      </c>
      <c r="B56" s="2">
        <f>B12/'Output-Calculation-sheet'!B11*'Output-Calculation-sheet'!B47</f>
        <v>47739.699593719713</v>
      </c>
      <c r="C56" s="2">
        <f>C12/'Output-Calculation-sheet'!C11*'Output-Calculation-sheet'!C47</f>
        <v>17210.063421211875</v>
      </c>
      <c r="D56" s="2">
        <f>D12/'Output-Calculation-sheet'!D11*'Output-Calculation-sheet'!D47</f>
        <v>3757.7220719377801</v>
      </c>
      <c r="E56" s="2">
        <f>E12/'Output-Calculation-sheet'!E11*'Output-Calculation-sheet'!E47</f>
        <v>9980.8305278811567</v>
      </c>
      <c r="F56" s="2">
        <f>F12/'Output-Calculation-sheet'!F11*'Output-Calculation-sheet'!F47</f>
        <v>1173.8962521990723</v>
      </c>
      <c r="G56" s="2">
        <f>G12/'Output-Calculation-sheet'!G11*'Output-Calculation-sheet'!G47</f>
        <v>3033.9400462578774</v>
      </c>
      <c r="H56" s="2">
        <f>H12/'Output-Calculation-sheet'!H11*'Output-Calculation-sheet'!H47</f>
        <v>14173.262176762642</v>
      </c>
      <c r="I56" s="2">
        <f>I12/'Output-Calculation-sheet'!I11*'Output-Calculation-sheet'!I47</f>
        <v>1686.5818594943282</v>
      </c>
      <c r="J56" s="2">
        <f>J12/'Output-Calculation-sheet'!J11*'Output-Calculation-sheet'!J47</f>
        <v>605.21207280503779</v>
      </c>
      <c r="K56" s="2">
        <f>K12/'Output-Calculation-sheet'!K11*'Output-Calculation-sheet'!K47</f>
        <v>2521.7404892590885</v>
      </c>
      <c r="L56" s="2">
        <f>L12/'Output-Calculation-sheet'!L11*'Output-Calculation-sheet'!L47</f>
        <v>570.0367921488853</v>
      </c>
      <c r="M56" s="2">
        <f>M12/'Output-Calculation-sheet'!M11*'Output-Calculation-sheet'!M47</f>
        <v>9922.0453639857351</v>
      </c>
      <c r="N56" s="2">
        <f>N12/'Output-Calculation-sheet'!N11*'Output-Calculation-sheet'!N47</f>
        <v>7400.0027744483386</v>
      </c>
      <c r="O56" s="2">
        <f>O12/'Output-Calculation-sheet'!O11*'Output-Calculation-sheet'!O47</f>
        <v>0</v>
      </c>
      <c r="P56" s="2">
        <f>P12/'Output-Calculation-sheet'!P11*'Output-Calculation-sheet'!P47</f>
        <v>3819.8132326300156</v>
      </c>
      <c r="Q56" s="2">
        <f>Q12/'Output-Calculation-sheet'!Q11*'Output-Calculation-sheet'!Q47</f>
        <v>1354.0594771428448</v>
      </c>
      <c r="R56" s="2">
        <f>R12/'Output-Calculation-sheet'!R11*'Output-Calculation-sheet'!R47</f>
        <v>2642.4207152055069</v>
      </c>
      <c r="S56" s="2">
        <f>S12/'Output-Calculation-sheet'!S11*'Output-Calculation-sheet'!S47</f>
        <v>3448.5397695295537</v>
      </c>
      <c r="T56" s="2">
        <f>T12/'Output-Calculation-sheet'!T11*'Output-Calculation-sheet'!T47</f>
        <v>905.58893609954885</v>
      </c>
      <c r="U56" s="2">
        <f>U12/'Output-Calculation-sheet'!U11*'Output-Calculation-sheet'!U47</f>
        <v>706.32885806678632</v>
      </c>
      <c r="V56" s="2">
        <f>V12/'Output-Calculation-sheet'!V11*'Output-Calculation-sheet'!V47</f>
        <v>407.15899549837354</v>
      </c>
      <c r="W56" s="2">
        <f>W12/'Output-Calculation-sheet'!W11*'Output-Calculation-sheet'!W47</f>
        <v>351.00539351043534</v>
      </c>
      <c r="X56" s="2">
        <f>X12/'Output-Calculation-sheet'!X11*'Output-Calculation-sheet'!X47</f>
        <v>211.12234919690891</v>
      </c>
      <c r="Y56" s="2">
        <f>Y12/'Output-Calculation-sheet'!Y11*'Output-Calculation-sheet'!Y47</f>
        <v>452.18511816137158</v>
      </c>
      <c r="AA56" s="2">
        <f t="shared" si="3"/>
        <v>134.07325628715282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5.0462625277041502</v>
      </c>
      <c r="C63" s="2">
        <f>C8*'Output-Calculation-sheet'!C52/10^9</f>
        <v>3.1531390414473992</v>
      </c>
      <c r="D63" s="2">
        <f>D8*'Output-Calculation-sheet'!D52/10^9</f>
        <v>1.4412700291212894</v>
      </c>
      <c r="E63" s="2">
        <f>E8*'Output-Calculation-sheet'!E52/10^9</f>
        <v>1.3238985975218802</v>
      </c>
      <c r="F63" s="2">
        <f>F8*'Output-Calculation-sheet'!F52/10^9</f>
        <v>0.69771746531129841</v>
      </c>
      <c r="G63" s="2">
        <f>G8*'Output-Calculation-sheet'!G52/10^9</f>
        <v>0.51598394085318788</v>
      </c>
      <c r="H63" s="2">
        <f>H8*'Output-Calculation-sheet'!H52/10^9</f>
        <v>0.89026443757466645</v>
      </c>
      <c r="I63" s="2">
        <f>I8*'Output-Calculation-sheet'!I52/10^9</f>
        <v>0.47834003137296732</v>
      </c>
      <c r="J63" s="2">
        <f>J8*'Output-Calculation-sheet'!J52/10^9</f>
        <v>0.4862988222286424</v>
      </c>
      <c r="K63" s="2">
        <f>K8*'Output-Calculation-sheet'!K52/10^9</f>
        <v>0.48939475520594822</v>
      </c>
      <c r="L63" s="2">
        <f>L8*'Output-Calculation-sheet'!L52/10^9</f>
        <v>0.39895317226561511</v>
      </c>
      <c r="M63" s="2">
        <f>M8*'Output-Calculation-sheet'!M52/10^9</f>
        <v>0.61638855621242872</v>
      </c>
      <c r="N63" s="2">
        <f>N8*'Output-Calculation-sheet'!N52/10^9</f>
        <v>0.55306096908893454</v>
      </c>
      <c r="O63" s="2">
        <f>O8*'Output-Calculation-sheet'!O52/10^9</f>
        <v>0.59805696465101033</v>
      </c>
      <c r="P63" s="2">
        <f>P8*'Output-Calculation-sheet'!P52/10^9</f>
        <v>0.39397595733378826</v>
      </c>
      <c r="Q63" s="2">
        <f>Q8*'Output-Calculation-sheet'!Q52/10^9</f>
        <v>0.40630275206282612</v>
      </c>
      <c r="R63" s="2">
        <f>R8*'Output-Calculation-sheet'!R52/10^9</f>
        <v>0.33275800731637889</v>
      </c>
      <c r="S63" s="2">
        <f>S8*'Output-Calculation-sheet'!S52/10^9</f>
        <v>0.30597567025230049</v>
      </c>
      <c r="T63" s="2">
        <f>T8*'Output-Calculation-sheet'!T52/10^9</f>
        <v>0.11472893695021603</v>
      </c>
      <c r="U63" s="2">
        <f>U8*'Output-Calculation-sheet'!U52/10^9</f>
        <v>0.10422600200182586</v>
      </c>
      <c r="V63" s="2">
        <f>V8*'Output-Calculation-sheet'!V52/10^9</f>
        <v>8.0534747959194741E-2</v>
      </c>
      <c r="W63" s="2">
        <f>W8*'Output-Calculation-sheet'!W52/10^9</f>
        <v>6.2918235599237371E-2</v>
      </c>
      <c r="X63" s="2">
        <f>X8*'Output-Calculation-sheet'!X52/10^9</f>
        <v>7.4248833914280846E-2</v>
      </c>
      <c r="Y63" s="2">
        <f>Y8*'Output-Calculation-sheet'!Y52/10^9</f>
        <v>4.0899416968535877E-2</v>
      </c>
      <c r="AA63" s="2">
        <f t="shared" si="4"/>
        <v>18.605597870918004</v>
      </c>
    </row>
    <row r="64" spans="1:27" x14ac:dyDescent="0.25">
      <c r="A64" s="2">
        <v>2032</v>
      </c>
      <c r="B64" s="2">
        <f>B9*'Output-Calculation-sheet'!B53/10^9</f>
        <v>5.3477808879108064</v>
      </c>
      <c r="C64" s="2">
        <f>C9*'Output-Calculation-sheet'!C53/10^9</f>
        <v>3.5405780743156177</v>
      </c>
      <c r="D64" s="2">
        <f>D9*'Output-Calculation-sheet'!D53/10^9</f>
        <v>1.2884923228235634</v>
      </c>
      <c r="E64" s="2">
        <f>E9*'Output-Calculation-sheet'!E53/10^9</f>
        <v>1.2579563896920209</v>
      </c>
      <c r="F64" s="2">
        <f>F9*'Output-Calculation-sheet'!F53/10^9</f>
        <v>0.63442841973308461</v>
      </c>
      <c r="G64" s="2">
        <f>G9*'Output-Calculation-sheet'!G53/10^9</f>
        <v>0.46082976744784709</v>
      </c>
      <c r="H64" s="2">
        <f>H9*'Output-Calculation-sheet'!H53/10^9</f>
        <v>0.98929573562738171</v>
      </c>
      <c r="I64" s="2">
        <f>I9*'Output-Calculation-sheet'!I53/10^9</f>
        <v>0.43029838516315477</v>
      </c>
      <c r="J64" s="2">
        <f>J9*'Output-Calculation-sheet'!J53/10^9</f>
        <v>0.4294953392523197</v>
      </c>
      <c r="K64" s="2">
        <f>K9*'Output-Calculation-sheet'!K53/10^9</f>
        <v>0.46324697101526713</v>
      </c>
      <c r="L64" s="2">
        <f>L9*'Output-Calculation-sheet'!L53/10^9</f>
        <v>0.38186336030952545</v>
      </c>
      <c r="M64" s="2">
        <f>M9*'Output-Calculation-sheet'!M53/10^9</f>
        <v>0.68543303268735511</v>
      </c>
      <c r="N64" s="2">
        <f>N9*'Output-Calculation-sheet'!N53/10^9</f>
        <v>0.60905181718798729</v>
      </c>
      <c r="O64" s="2">
        <f>O9*'Output-Calculation-sheet'!O53/10^9</f>
        <v>0.65529902776241</v>
      </c>
      <c r="P64" s="2">
        <f>P9*'Output-Calculation-sheet'!P53/10^9</f>
        <v>0.41431830419341853</v>
      </c>
      <c r="Q64" s="2">
        <f>Q9*'Output-Calculation-sheet'!Q53/10^9</f>
        <v>0.42396254738740796</v>
      </c>
      <c r="R64" s="2">
        <f>R9*'Output-Calculation-sheet'!R53/10^9</f>
        <v>0.33146958657529285</v>
      </c>
      <c r="S64" s="2">
        <f>S9*'Output-Calculation-sheet'!S53/10^9</f>
        <v>0.33547490907681826</v>
      </c>
      <c r="T64" s="2">
        <f>T9*'Output-Calculation-sheet'!T53/10^9</f>
        <v>0.1062169518672539</v>
      </c>
      <c r="U64" s="2">
        <f>U9*'Output-Calculation-sheet'!U53/10^9</f>
        <v>0.10477792199793777</v>
      </c>
      <c r="V64" s="2">
        <f>V9*'Output-Calculation-sheet'!V53/10^9</f>
        <v>7.7957648970198426E-2</v>
      </c>
      <c r="W64" s="2">
        <f>W9*'Output-Calculation-sheet'!W53/10^9</f>
        <v>5.6282090127473219E-2</v>
      </c>
      <c r="X64" s="2">
        <f>X9*'Output-Calculation-sheet'!X53/10^9</f>
        <v>8.2896232757792981E-2</v>
      </c>
      <c r="Y64" s="2">
        <f>Y9*'Output-Calculation-sheet'!Y53/10^9</f>
        <v>4.0570078166041405E-2</v>
      </c>
      <c r="AA64" s="2">
        <f t="shared" si="4"/>
        <v>19.147975802047974</v>
      </c>
    </row>
    <row r="65" spans="1:27" x14ac:dyDescent="0.25">
      <c r="A65" s="2">
        <v>2033</v>
      </c>
      <c r="B65" s="2">
        <f>B10*'Output-Calculation-sheet'!B54/10^9</f>
        <v>5.5617451435020877</v>
      </c>
      <c r="C65" s="2">
        <f>C10*'Output-Calculation-sheet'!C54/10^9</f>
        <v>3.6734813902467969</v>
      </c>
      <c r="D65" s="2">
        <f>D10*'Output-Calculation-sheet'!D54/10^9</f>
        <v>1.0683857344419736</v>
      </c>
      <c r="E65" s="2">
        <f>E10*'Output-Calculation-sheet'!E54/10^9</f>
        <v>1.2123677540465667</v>
      </c>
      <c r="F65" s="2">
        <f>F10*'Output-Calculation-sheet'!F54/10^9</f>
        <v>0.54998229201730187</v>
      </c>
      <c r="G65" s="2">
        <f>G10*'Output-Calculation-sheet'!G54/10^9</f>
        <v>0.37957969986689222</v>
      </c>
      <c r="H65" s="2">
        <f>H10*'Output-Calculation-sheet'!H54/10^9</f>
        <v>1.0089132309175748</v>
      </c>
      <c r="I65" s="2">
        <f>I10*'Output-Calculation-sheet'!I54/10^9</f>
        <v>0.37338014640751016</v>
      </c>
      <c r="J65" s="2">
        <f>J10*'Output-Calculation-sheet'!J54/10^9</f>
        <v>0.34435312434786619</v>
      </c>
      <c r="K65" s="2">
        <f>K10*'Output-Calculation-sheet'!K54/10^9</f>
        <v>0.43920671685034263</v>
      </c>
      <c r="L65" s="2">
        <f>L10*'Output-Calculation-sheet'!L54/10^9</f>
        <v>0.36527812844143109</v>
      </c>
      <c r="M65" s="2">
        <f>M10*'Output-Calculation-sheet'!M54/10^9</f>
        <v>0.69911686126642303</v>
      </c>
      <c r="N65" s="2">
        <f>N10*'Output-Calculation-sheet'!N54/10^9</f>
        <v>0.62851851448288598</v>
      </c>
      <c r="O65" s="2">
        <f>O10*'Output-Calculation-sheet'!O54/10^9</f>
        <v>0.66539560791475361</v>
      </c>
      <c r="P65" s="2">
        <f>P10*'Output-Calculation-sheet'!P54/10^9</f>
        <v>0.42413482079569453</v>
      </c>
      <c r="Q65" s="2">
        <f>Q10*'Output-Calculation-sheet'!Q54/10^9</f>
        <v>0.44005916985352134</v>
      </c>
      <c r="R65" s="2">
        <f>R10*'Output-Calculation-sheet'!R54/10^9</f>
        <v>0.32882657898614914</v>
      </c>
      <c r="S65" s="2">
        <f>S10*'Output-Calculation-sheet'!S54/10^9</f>
        <v>0.34772408411926847</v>
      </c>
      <c r="T65" s="2">
        <f>T10*'Output-Calculation-sheet'!T54/10^9</f>
        <v>9.8695789981040311E-2</v>
      </c>
      <c r="U65" s="2">
        <f>U10*'Output-Calculation-sheet'!U54/10^9</f>
        <v>0.10671581023030997</v>
      </c>
      <c r="V65" s="2">
        <f>V10*'Output-Calculation-sheet'!V54/10^9</f>
        <v>7.4473484980598928E-2</v>
      </c>
      <c r="W65" s="2">
        <f>W10*'Output-Calculation-sheet'!W54/10^9</f>
        <v>4.6584006552127799E-2</v>
      </c>
      <c r="X65" s="2">
        <f>X10*'Output-Calculation-sheet'!X54/10^9</f>
        <v>8.5697613305843134E-2</v>
      </c>
      <c r="Y65" s="2">
        <f>Y10*'Output-Calculation-sheet'!Y54/10^9</f>
        <v>4.1098424373207446E-2</v>
      </c>
      <c r="AA65" s="2">
        <f t="shared" si="4"/>
        <v>18.963714127928164</v>
      </c>
    </row>
    <row r="66" spans="1:27" x14ac:dyDescent="0.25">
      <c r="A66" s="2">
        <v>2034</v>
      </c>
      <c r="B66" s="2">
        <f>B11*'Output-Calculation-sheet'!B55/10^9</f>
        <v>5.52308229252613</v>
      </c>
      <c r="C66" s="2">
        <f>C11*'Output-Calculation-sheet'!C55/10^9</f>
        <v>3.5184551450462376</v>
      </c>
      <c r="D66" s="2">
        <f>D11*'Output-Calculation-sheet'!D55/10^9</f>
        <v>1.0362616507106073</v>
      </c>
      <c r="E66" s="2">
        <f>E11*'Output-Calculation-sheet'!E55/10^9</f>
        <v>1.277753181118314</v>
      </c>
      <c r="F66" s="2">
        <f>F11*'Output-Calculation-sheet'!F55/10^9</f>
        <v>0.51173815221322949</v>
      </c>
      <c r="G66" s="2">
        <f>G11*'Output-Calculation-sheet'!G55/10^9</f>
        <v>0.36858359493652326</v>
      </c>
      <c r="H66" s="2">
        <f>H11*'Output-Calculation-sheet'!H55/10^9</f>
        <v>0.97094818702689645</v>
      </c>
      <c r="I66" s="2">
        <f>I11*'Output-Calculation-sheet'!I55/10^9</f>
        <v>0.36231133402866056</v>
      </c>
      <c r="J66" s="2">
        <f>J11*'Output-Calculation-sheet'!J55/10^9</f>
        <v>0.31965325509624787</v>
      </c>
      <c r="K66" s="2">
        <f>K11*'Output-Calculation-sheet'!K55/10^9</f>
        <v>0.42718893231476446</v>
      </c>
      <c r="L66" s="2">
        <f>L11*'Output-Calculation-sheet'!L55/10^9</f>
        <v>0.37418038935488868</v>
      </c>
      <c r="M66" s="2">
        <f>M11*'Output-Calculation-sheet'!M55/10^9</f>
        <v>0.67420018818266647</v>
      </c>
      <c r="N66" s="2">
        <f>N11*'Output-Calculation-sheet'!N55/10^9</f>
        <v>0.60356273739322286</v>
      </c>
      <c r="O66" s="2">
        <f>O11*'Output-Calculation-sheet'!O55/10^9</f>
        <v>0.62616863936528644</v>
      </c>
      <c r="P66" s="2">
        <f>P11*'Output-Calculation-sheet'!P55/10^9</f>
        <v>0.42423106125049148</v>
      </c>
      <c r="Q66" s="2">
        <f>Q11*'Output-Calculation-sheet'!Q55/10^9</f>
        <v>0.44039515717703986</v>
      </c>
      <c r="R66" s="2">
        <f>R11*'Output-Calculation-sheet'!R55/10^9</f>
        <v>0.32105446241087832</v>
      </c>
      <c r="S66" s="2">
        <f>S11*'Output-Calculation-sheet'!S55/10^9</f>
        <v>0.33998922856572272</v>
      </c>
      <c r="T66" s="2">
        <f>T11*'Output-Calculation-sheet'!T55/10^9</f>
        <v>9.451949377713921E-2</v>
      </c>
      <c r="U66" s="2">
        <f>U11*'Output-Calculation-sheet'!U55/10^9</f>
        <v>0.10916370467461611</v>
      </c>
      <c r="V66" s="2">
        <f>V11*'Output-Calculation-sheet'!V55/10^9</f>
        <v>7.0601204489820019E-2</v>
      </c>
      <c r="W66" s="2">
        <f>W11*'Output-Calculation-sheet'!W55/10^9</f>
        <v>4.3013171245975271E-2</v>
      </c>
      <c r="X66" s="2">
        <f>X11*'Output-Calculation-sheet'!X55/10^9</f>
        <v>8.2095931081372642E-2</v>
      </c>
      <c r="Y66" s="2">
        <f>Y11*'Output-Calculation-sheet'!Y55/10^9</f>
        <v>4.4600452005144627E-2</v>
      </c>
      <c r="AA66" s="2">
        <f t="shared" si="4"/>
        <v>18.56375154599187</v>
      </c>
    </row>
    <row r="67" spans="1:27" x14ac:dyDescent="0.25">
      <c r="A67" s="2">
        <v>2035</v>
      </c>
      <c r="B67" s="2">
        <f>B12*'Output-Calculation-sheet'!B56/10^9</f>
        <v>5.0661889300785896</v>
      </c>
      <c r="C67" s="2">
        <f>C12*'Output-Calculation-sheet'!C56/10^9</f>
        <v>3.0897212093693311</v>
      </c>
      <c r="D67" s="2">
        <f>D12*'Output-Calculation-sheet'!D56/10^9</f>
        <v>1.0304679906444705</v>
      </c>
      <c r="E67" s="2">
        <f>E12*'Output-Calculation-sheet'!E56/10^9</f>
        <v>1.3932646547646412</v>
      </c>
      <c r="F67" s="2">
        <f>F12*'Output-Calculation-sheet'!F56/10^9</f>
        <v>0.5524914727179574</v>
      </c>
      <c r="G67" s="2">
        <f>G12*'Output-Calculation-sheet'!G56/10^9</f>
        <v>0.40101475761383681</v>
      </c>
      <c r="H67" s="2">
        <f>H12*'Output-Calculation-sheet'!H56/10^9</f>
        <v>0.87416642875089112</v>
      </c>
      <c r="I67" s="2">
        <f>I12*'Output-Calculation-sheet'!I56/10^9</f>
        <v>0.378811376273751</v>
      </c>
      <c r="J67" s="2">
        <f>J12*'Output-Calculation-sheet'!J56/10^9</f>
        <v>0.31281566664632648</v>
      </c>
      <c r="K67" s="2">
        <f>K12*'Output-Calculation-sheet'!K56/10^9</f>
        <v>0.42294171955841903</v>
      </c>
      <c r="L67" s="2">
        <f>L12*'Output-Calculation-sheet'!L56/10^9</f>
        <v>0.36494854603097132</v>
      </c>
      <c r="M67" s="2">
        <f>M12*'Output-Calculation-sheet'!M56/10^9</f>
        <v>0.61261322250300587</v>
      </c>
      <c r="N67" s="2">
        <f>N12*'Output-Calculation-sheet'!N56/10^9</f>
        <v>0.53625341956987682</v>
      </c>
      <c r="O67" s="2">
        <f>O12*'Output-Calculation-sheet'!O56/10^9</f>
        <v>0.54272022433616418</v>
      </c>
      <c r="P67" s="2">
        <f>P12*'Output-Calculation-sheet'!P56/10^9</f>
        <v>0.42730447056906901</v>
      </c>
      <c r="Q67" s="2">
        <f>Q12*'Output-Calculation-sheet'!Q56/10^9</f>
        <v>0.4005637027644906</v>
      </c>
      <c r="R67" s="2">
        <f>R12*'Output-Calculation-sheet'!R56/10^9</f>
        <v>0.31470419342272876</v>
      </c>
      <c r="S67" s="2">
        <f>S12*'Output-Calculation-sheet'!S56/10^9</f>
        <v>0.30521221607517124</v>
      </c>
      <c r="T67" s="2">
        <f>T12*'Output-Calculation-sheet'!T56/10^9</f>
        <v>9.6741685803039934E-2</v>
      </c>
      <c r="U67" s="2">
        <f>U12*'Output-Calculation-sheet'!U56/10^9</f>
        <v>0.10431758931689905</v>
      </c>
      <c r="V67" s="2">
        <f>V12*'Output-Calculation-sheet'!V56/10^9</f>
        <v>6.5782740227857503E-2</v>
      </c>
      <c r="W67" s="2">
        <f>W12*'Output-Calculation-sheet'!W56/10^9</f>
        <v>5.1182144628622465E-2</v>
      </c>
      <c r="X67" s="2">
        <f>X12*'Output-Calculation-sheet'!X56/10^9</f>
        <v>7.4982747476558947E-2</v>
      </c>
      <c r="Y67" s="2">
        <f>Y12*'Output-Calculation-sheet'!Y56/10^9</f>
        <v>4.8058922356408018E-2</v>
      </c>
      <c r="AA67" s="2">
        <f t="shared" si="4"/>
        <v>17.467270031499073</v>
      </c>
    </row>
    <row r="68" spans="1:27" x14ac:dyDescent="0.25">
      <c r="B68" s="2">
        <f>SUM(B60:B67)</f>
        <v>26.545059781721761</v>
      </c>
      <c r="C68" s="2">
        <f t="shared" ref="C68:Y68" si="5">SUM(C60:C67)</f>
        <v>16.975374860425383</v>
      </c>
      <c r="D68" s="2">
        <f t="shared" si="5"/>
        <v>5.864877727741904</v>
      </c>
      <c r="E68" s="2">
        <f t="shared" si="5"/>
        <v>6.4652405771434225</v>
      </c>
      <c r="F68" s="2">
        <f t="shared" si="5"/>
        <v>2.946357801992872</v>
      </c>
      <c r="G68" s="2">
        <f t="shared" si="5"/>
        <v>2.1259917607182874</v>
      </c>
      <c r="H68" s="2">
        <f t="shared" si="5"/>
        <v>4.733588019897411</v>
      </c>
      <c r="I68" s="2">
        <f t="shared" si="5"/>
        <v>2.0231412732460439</v>
      </c>
      <c r="J68" s="2">
        <f t="shared" si="5"/>
        <v>1.8926162075714026</v>
      </c>
      <c r="K68" s="2">
        <f t="shared" si="5"/>
        <v>2.2419790949447416</v>
      </c>
      <c r="L68" s="2">
        <f t="shared" si="5"/>
        <v>1.8852235964024318</v>
      </c>
      <c r="M68" s="2">
        <f t="shared" si="5"/>
        <v>3.2877518608518796</v>
      </c>
      <c r="N68" s="2">
        <f t="shared" si="5"/>
        <v>2.9304474577229076</v>
      </c>
      <c r="O68" s="2">
        <f t="shared" si="5"/>
        <v>3.0876404640296249</v>
      </c>
      <c r="P68" s="2">
        <f t="shared" si="5"/>
        <v>2.0839646141424617</v>
      </c>
      <c r="Q68" s="2">
        <f t="shared" si="5"/>
        <v>2.1112833292452859</v>
      </c>
      <c r="R68" s="2">
        <f t="shared" si="5"/>
        <v>1.6288128287114279</v>
      </c>
      <c r="S68" s="2">
        <f t="shared" si="5"/>
        <v>1.6343761080892811</v>
      </c>
      <c r="T68" s="2">
        <f t="shared" si="5"/>
        <v>0.51090285837868943</v>
      </c>
      <c r="U68" s="2">
        <f t="shared" si="5"/>
        <v>0.52920102822158877</v>
      </c>
      <c r="V68" s="2">
        <f t="shared" si="5"/>
        <v>0.36934982662766963</v>
      </c>
      <c r="W68" s="2">
        <f t="shared" si="5"/>
        <v>0.2599796481534361</v>
      </c>
      <c r="X68" s="2">
        <f t="shared" si="5"/>
        <v>0.39992135853584854</v>
      </c>
      <c r="Y68" s="2">
        <f t="shared" si="5"/>
        <v>0.21522729386933737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1397.2113189846261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942.49207354700297</v>
      </c>
      <c r="N74" s="2">
        <f>N8/'Output-Calculation-sheet'!N7*'Output-Calculation-sheet'!N61</f>
        <v>39.177688638482365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8.363450948948044</v>
      </c>
      <c r="Y74" s="2">
        <f>Y8/'Output-Calculation-sheet'!Y7*'Output-Calculation-sheet'!Y61</f>
        <v>0</v>
      </c>
      <c r="AA74" s="2">
        <f t="shared" si="6"/>
        <v>2.3872445321190594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49.867702668417955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2278.3846791698684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1543.8451637077903</v>
      </c>
      <c r="N75" s="2">
        <f>N9/'Output-Calculation-sheet'!N8*'Output-Calculation-sheet'!N62</f>
        <v>594.31966072652904</v>
      </c>
      <c r="O75" s="2">
        <f>O9/'Output-Calculation-sheet'!O8*'Output-Calculation-sheet'!O62</f>
        <v>0</v>
      </c>
      <c r="P75" s="2">
        <f>P9/'Output-Calculation-sheet'!P8*'Output-Calculation-sheet'!P62</f>
        <v>38.661034567022099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199.75109127289161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54.211595048080795</v>
      </c>
      <c r="Y75" s="2">
        <f>Y9/'Output-Calculation-sheet'!Y8*'Output-Calculation-sheet'!Y62</f>
        <v>0</v>
      </c>
      <c r="AA75" s="2">
        <f t="shared" si="6"/>
        <v>4.7590409271606005</v>
      </c>
    </row>
    <row r="76" spans="1:27" x14ac:dyDescent="0.25">
      <c r="A76" s="2">
        <v>2033</v>
      </c>
      <c r="B76" s="2">
        <f>B10/'Output-Calculation-sheet'!B9*'Output-Calculation-sheet'!B63</f>
        <v>4559.2301020224959</v>
      </c>
      <c r="C76" s="2">
        <f>C10/'Output-Calculation-sheet'!C9*'Output-Calculation-sheet'!C63</f>
        <v>1339.4048360235029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2987.4947535237329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2032.0325699255031</v>
      </c>
      <c r="N76" s="2">
        <f>N10/'Output-Calculation-sheet'!N9*'Output-Calculation-sheet'!N63</f>
        <v>1160.8075323544654</v>
      </c>
      <c r="O76" s="2">
        <f>O10/'Output-Calculation-sheet'!O9*'Output-Calculation-sheet'!O63</f>
        <v>0</v>
      </c>
      <c r="P76" s="2">
        <f>P10/'Output-Calculation-sheet'!P9*'Output-Calculation-sheet'!P63</f>
        <v>400.1774468526404</v>
      </c>
      <c r="Q76" s="2">
        <f>Q10/'Output-Calculation-sheet'!Q9*'Output-Calculation-sheet'!Q63</f>
        <v>180.16562001887399</v>
      </c>
      <c r="R76" s="2">
        <f>R10/'Output-Calculation-sheet'!R9*'Output-Calculation-sheet'!R63</f>
        <v>304.98376114525973</v>
      </c>
      <c r="S76" s="2">
        <f>S10/'Output-Calculation-sheet'!S9*'Output-Calculation-sheet'!S63</f>
        <v>516.11633861803409</v>
      </c>
      <c r="T76" s="2">
        <f>T10/'Output-Calculation-sheet'!T9*'Output-Calculation-sheet'!T63</f>
        <v>20.046478516901352</v>
      </c>
      <c r="U76" s="2">
        <f>U10/'Output-Calculation-sheet'!U9*'Output-Calculation-sheet'!U63</f>
        <v>108.26724022477933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116.51130240456763</v>
      </c>
      <c r="Y76" s="2">
        <f>Y10/'Output-Calculation-sheet'!Y9*'Output-Calculation-sheet'!Y63</f>
        <v>5.1403503920165692</v>
      </c>
      <c r="AA76" s="2">
        <f t="shared" si="6"/>
        <v>13.814529401990947</v>
      </c>
    </row>
    <row r="77" spans="1:27" x14ac:dyDescent="0.25">
      <c r="A77" s="2">
        <v>2034</v>
      </c>
      <c r="B77" s="2">
        <f>B11/'Output-Calculation-sheet'!B10*'Output-Calculation-sheet'!B64</f>
        <v>8607.4820448878509</v>
      </c>
      <c r="C77" s="2">
        <f>C11/'Output-Calculation-sheet'!C10*'Output-Calculation-sheet'!C64</f>
        <v>2347.7411922759688</v>
      </c>
      <c r="D77" s="2">
        <f>D11/'Output-Calculation-sheet'!D10*'Output-Calculation-sheet'!D64</f>
        <v>1040.0983896510709</v>
      </c>
      <c r="E77" s="2">
        <f>E11/'Output-Calculation-sheet'!E10*'Output-Calculation-sheet'!E64</f>
        <v>1511.2492220704296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3126.5799314032474</v>
      </c>
      <c r="I77" s="2">
        <f>I11/'Output-Calculation-sheet'!I10*'Output-Calculation-sheet'!I64</f>
        <v>377.28994478559048</v>
      </c>
      <c r="J77" s="2">
        <f>J11/'Output-Calculation-sheet'!J10*'Output-Calculation-sheet'!J64</f>
        <v>207.5521869193154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149.86654590756811</v>
      </c>
      <c r="M77" s="2">
        <f>M11/'Output-Calculation-sheet'!M10*'Output-Calculation-sheet'!M64</f>
        <v>2182.644957146103</v>
      </c>
      <c r="N77" s="2">
        <f>N11/'Output-Calculation-sheet'!N10*'Output-Calculation-sheet'!N64</f>
        <v>1511.2704455995326</v>
      </c>
      <c r="O77" s="2">
        <f>O11/'Output-Calculation-sheet'!O10*'Output-Calculation-sheet'!O64</f>
        <v>0</v>
      </c>
      <c r="P77" s="2">
        <f>P11/'Output-Calculation-sheet'!P10*'Output-Calculation-sheet'!P64</f>
        <v>713.89284731767339</v>
      </c>
      <c r="Q77" s="2">
        <f>Q11/'Output-Calculation-sheet'!Q10*'Output-Calculation-sheet'!Q64</f>
        <v>292.59983063324046</v>
      </c>
      <c r="R77" s="2">
        <f>R11/'Output-Calculation-sheet'!R10*'Output-Calculation-sheet'!R64</f>
        <v>606.89372619419453</v>
      </c>
      <c r="S77" s="2">
        <f>S11/'Output-Calculation-sheet'!S10*'Output-Calculation-sheet'!S64</f>
        <v>656.02085774695524</v>
      </c>
      <c r="T77" s="2">
        <f>T11/'Output-Calculation-sheet'!T10*'Output-Calculation-sheet'!T64</f>
        <v>167.90516936147279</v>
      </c>
      <c r="U77" s="2">
        <f>U11/'Output-Calculation-sheet'!U10*'Output-Calculation-sheet'!U64</f>
        <v>182.74037103511523</v>
      </c>
      <c r="V77" s="2">
        <f>V11/'Output-Calculation-sheet'!V10*'Output-Calculation-sheet'!V64</f>
        <v>87.601898220623838</v>
      </c>
      <c r="W77" s="2">
        <f>W11/'Output-Calculation-sheet'!W10*'Output-Calculation-sheet'!W64</f>
        <v>19.040372263367555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55.707426248162029</v>
      </c>
      <c r="AA77" s="2">
        <f t="shared" si="6"/>
        <v>25.258854987909153</v>
      </c>
    </row>
    <row r="78" spans="1:27" x14ac:dyDescent="0.25">
      <c r="A78" s="2">
        <v>2035</v>
      </c>
      <c r="B78" s="2">
        <f>B12/'Output-Calculation-sheet'!B11*'Output-Calculation-sheet'!B65</f>
        <v>8258.556424256496</v>
      </c>
      <c r="C78" s="2">
        <f>C12/'Output-Calculation-sheet'!C11*'Output-Calculation-sheet'!C65</f>
        <v>3490.7373196545373</v>
      </c>
      <c r="D78" s="2">
        <f>D12/'Output-Calculation-sheet'!D11*'Output-Calculation-sheet'!D65</f>
        <v>890.4345467876949</v>
      </c>
      <c r="E78" s="2">
        <f>E12/'Output-Calculation-sheet'!E11*'Output-Calculation-sheet'!E65</f>
        <v>1709.2456073390317</v>
      </c>
      <c r="F78" s="2">
        <f>F12/'Output-Calculation-sheet'!F11*'Output-Calculation-sheet'!F65</f>
        <v>372.43540499154687</v>
      </c>
      <c r="G78" s="2">
        <f>G12/'Output-Calculation-sheet'!G11*'Output-Calculation-sheet'!G65</f>
        <v>684.96689956339742</v>
      </c>
      <c r="H78" s="2">
        <f>H12/'Output-Calculation-sheet'!H11*'Output-Calculation-sheet'!H65</f>
        <v>2632.8266328820523</v>
      </c>
      <c r="I78" s="2">
        <f>I12/'Output-Calculation-sheet'!I11*'Output-Calculation-sheet'!I65</f>
        <v>436.26103053039816</v>
      </c>
      <c r="J78" s="2">
        <f>J12/'Output-Calculation-sheet'!J11*'Output-Calculation-sheet'!J65</f>
        <v>186.86580587065112</v>
      </c>
      <c r="K78" s="2">
        <f>K12/'Output-Calculation-sheet'!K11*'Output-Calculation-sheet'!K65</f>
        <v>556.54333510808499</v>
      </c>
      <c r="L78" s="2">
        <f>L12/'Output-Calculation-sheet'!L11*'Output-Calculation-sheet'!L65</f>
        <v>161.11954866692778</v>
      </c>
      <c r="M78" s="2">
        <f>M12/'Output-Calculation-sheet'!M11*'Output-Calculation-sheet'!M65</f>
        <v>1852.1009033350479</v>
      </c>
      <c r="N78" s="2">
        <f>N12/'Output-Calculation-sheet'!N11*'Output-Calculation-sheet'!N65</f>
        <v>1300.3172806824639</v>
      </c>
      <c r="O78" s="2">
        <f>O12/'Output-Calculation-sheet'!O11*'Output-Calculation-sheet'!O65</f>
        <v>0</v>
      </c>
      <c r="P78" s="2">
        <f>P12/'Output-Calculation-sheet'!P11*'Output-Calculation-sheet'!P65</f>
        <v>734.90999990187026</v>
      </c>
      <c r="Q78" s="2">
        <f>Q12/'Output-Calculation-sheet'!Q11*'Output-Calculation-sheet'!Q65</f>
        <v>291.02437223524259</v>
      </c>
      <c r="R78" s="2">
        <f>R12/'Output-Calculation-sheet'!R11*'Output-Calculation-sheet'!R65</f>
        <v>578.22458596271224</v>
      </c>
      <c r="S78" s="2">
        <f>S12/'Output-Calculation-sheet'!S11*'Output-Calculation-sheet'!S65</f>
        <v>602.2592170718259</v>
      </c>
      <c r="T78" s="2">
        <f>T12/'Output-Calculation-sheet'!T11*'Output-Calculation-sheet'!T65</f>
        <v>206.39230959619684</v>
      </c>
      <c r="U78" s="2">
        <f>U12/'Output-Calculation-sheet'!U11*'Output-Calculation-sheet'!U65</f>
        <v>153.50669976142271</v>
      </c>
      <c r="V78" s="2">
        <f>V12/'Output-Calculation-sheet'!V11*'Output-Calculation-sheet'!V65</f>
        <v>79.012918437081325</v>
      </c>
      <c r="W78" s="2">
        <f>W12/'Output-Calculation-sheet'!W11*'Output-Calculation-sheet'!W65</f>
        <v>78.818122542152906</v>
      </c>
      <c r="X78" s="2">
        <f>X12/'Output-Calculation-sheet'!X11*'Output-Calculation-sheet'!X65</f>
        <v>41.142918146055635</v>
      </c>
      <c r="Y78" s="2">
        <f>Y12/'Output-Calculation-sheet'!Y11*'Output-Calculation-sheet'!Y65</f>
        <v>71.366326616734412</v>
      </c>
      <c r="AA78" s="2">
        <f t="shared" si="6"/>
        <v>25.369068209939631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358.87565538998228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208.31871515597979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0.56719437054596211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1159.9199306752048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289.84600692523628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1.449765937600441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1890.1305151014524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343.37704071354352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2.2335075558149962</v>
      </c>
    </row>
    <row r="88" spans="1:27" x14ac:dyDescent="0.25">
      <c r="A88" s="2">
        <v>2034</v>
      </c>
      <c r="B88" s="2">
        <f>B11/'Output-Calculation-sheet'!B10*'Output-Calculation-sheet'!B73</f>
        <v>87.238422388223995</v>
      </c>
      <c r="C88" s="2">
        <f>C11/'Output-Calculation-sheet'!C10*'Output-Calculation-sheet'!C73</f>
        <v>1893.3548491134768</v>
      </c>
      <c r="D88" s="2">
        <f>D11/'Output-Calculation-sheet'!D10*'Output-Calculation-sheet'!D73</f>
        <v>6.6687294364563598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31.285288890296723</v>
      </c>
      <c r="I88" s="2">
        <f>I11/'Output-Calculation-sheet'!I10*'Output-Calculation-sheet'!I73</f>
        <v>0</v>
      </c>
      <c r="J88" s="2">
        <f>J11/'Output-Calculation-sheet'!J10*'Output-Calculation-sheet'!J73</f>
        <v>2.129428347818171</v>
      </c>
      <c r="K88" s="2">
        <f>K11/'Output-Calculation-sheet'!K10*'Output-Calculation-sheet'!K73</f>
        <v>0</v>
      </c>
      <c r="L88" s="2">
        <f>L11/'Output-Calculation-sheet'!L10*'Output-Calculation-sheet'!L73</f>
        <v>5.0446245165213197</v>
      </c>
      <c r="M88" s="2">
        <f>M11/'Output-Calculation-sheet'!M10*'Output-Calculation-sheet'!M73</f>
        <v>15.148857225644978</v>
      </c>
      <c r="N88" s="2">
        <f>N11/'Output-Calculation-sheet'!N10*'Output-Calculation-sheet'!N73</f>
        <v>7.8362473093946203</v>
      </c>
      <c r="O88" s="2">
        <f>O11/'Output-Calculation-sheet'!O10*'Output-Calculation-sheet'!O73</f>
        <v>357.58853958253684</v>
      </c>
      <c r="P88" s="2">
        <f>P11/'Output-Calculation-sheet'!P10*'Output-Calculation-sheet'!P73</f>
        <v>0</v>
      </c>
      <c r="Q88" s="2">
        <f>Q11/'Output-Calculation-sheet'!Q10*'Output-Calculation-sheet'!Q73</f>
        <v>24.030133472001783</v>
      </c>
      <c r="R88" s="2">
        <f>R11/'Output-Calculation-sheet'!R10*'Output-Calculation-sheet'!R73</f>
        <v>0</v>
      </c>
      <c r="S88" s="2">
        <f>S11/'Output-Calculation-sheet'!S10*'Output-Calculation-sheet'!S73</f>
        <v>11.230018695793865</v>
      </c>
      <c r="T88" s="2">
        <f>T11/'Output-Calculation-sheet'!T10*'Output-Calculation-sheet'!T73</f>
        <v>0</v>
      </c>
      <c r="U88" s="2">
        <f>U11/'Output-Calculation-sheet'!U10*'Output-Calculation-sheet'!U73</f>
        <v>2.1905878401297905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2.4437457268182947</v>
      </c>
    </row>
    <row r="89" spans="1:27" x14ac:dyDescent="0.25">
      <c r="A89" s="2">
        <v>2035</v>
      </c>
      <c r="B89" s="2">
        <f>B12/'Output-Calculation-sheet'!B11*'Output-Calculation-sheet'!B74</f>
        <v>405.07203706180678</v>
      </c>
      <c r="C89" s="2">
        <f>C12/'Output-Calculation-sheet'!C11*'Output-Calculation-sheet'!C74</f>
        <v>1658.9880955582616</v>
      </c>
      <c r="D89" s="2">
        <f>D12/'Output-Calculation-sheet'!D11*'Output-Calculation-sheet'!D74</f>
        <v>76.91244006890193</v>
      </c>
      <c r="E89" s="2">
        <f>E12/'Output-Calculation-sheet'!E11*'Output-Calculation-sheet'!E74</f>
        <v>102.60258854121048</v>
      </c>
      <c r="F89" s="2">
        <f>F12/'Output-Calculation-sheet'!F11*'Output-Calculation-sheet'!F74</f>
        <v>32.95147374593887</v>
      </c>
      <c r="G89" s="2">
        <f>G12/'Output-Calculation-sheet'!G11*'Output-Calculation-sheet'!G74</f>
        <v>31.53169258858463</v>
      </c>
      <c r="H89" s="2">
        <f>H12/'Output-Calculation-sheet'!H11*'Output-Calculation-sheet'!H74</f>
        <v>123.13785161653966</v>
      </c>
      <c r="I89" s="2">
        <f>I12/'Output-Calculation-sheet'!I11*'Output-Calculation-sheet'!I74</f>
        <v>26.588258426079793</v>
      </c>
      <c r="J89" s="2">
        <f>J12/'Output-Calculation-sheet'!J11*'Output-Calculation-sheet'!J74</f>
        <v>21.050854706262186</v>
      </c>
      <c r="K89" s="2">
        <f>K12/'Output-Calculation-sheet'!K11*'Output-Calculation-sheet'!K74</f>
        <v>27.874160848459699</v>
      </c>
      <c r="L89" s="2">
        <f>L12/'Output-Calculation-sheet'!L11*'Output-Calculation-sheet'!L74</f>
        <v>29.090577485119301</v>
      </c>
      <c r="M89" s="2">
        <f>M12/'Output-Calculation-sheet'!M11*'Output-Calculation-sheet'!M74</f>
        <v>77.505716466987735</v>
      </c>
      <c r="N89" s="2">
        <f>N12/'Output-Calculation-sheet'!N11*'Output-Calculation-sheet'!N74</f>
        <v>47.125551996399608</v>
      </c>
      <c r="O89" s="2">
        <f>O12/'Output-Calculation-sheet'!O11*'Output-Calculation-sheet'!O74</f>
        <v>336.15098471061992</v>
      </c>
      <c r="P89" s="2">
        <f>P12/'Output-Calculation-sheet'!P11*'Output-Calculation-sheet'!P74</f>
        <v>27.433475207022752</v>
      </c>
      <c r="Q89" s="2">
        <f>Q12/'Output-Calculation-sheet'!Q11*'Output-Calculation-sheet'!Q74</f>
        <v>46.379647922185995</v>
      </c>
      <c r="R89" s="2">
        <f>R12/'Output-Calculation-sheet'!R11*'Output-Calculation-sheet'!R74</f>
        <v>19.070750226488482</v>
      </c>
      <c r="S89" s="2">
        <f>S12/'Output-Calculation-sheet'!S11*'Output-Calculation-sheet'!S74</f>
        <v>29.604376173662871</v>
      </c>
      <c r="T89" s="2">
        <f>T12/'Output-Calculation-sheet'!T11*'Output-Calculation-sheet'!T74</f>
        <v>4.7728106164733326</v>
      </c>
      <c r="U89" s="2">
        <f>U12/'Output-Calculation-sheet'!U11*'Output-Calculation-sheet'!U74</f>
        <v>9.2035696886576659</v>
      </c>
      <c r="V89" s="2">
        <f>V12/'Output-Calculation-sheet'!V11*'Output-Calculation-sheet'!V74</f>
        <v>3.4788020804714077</v>
      </c>
      <c r="W89" s="2">
        <f>W12/'Output-Calculation-sheet'!W11*'Output-Calculation-sheet'!W74</f>
        <v>2.6509161198865696</v>
      </c>
      <c r="X89" s="2">
        <f>X12/'Output-Calculation-sheet'!X11*'Output-Calculation-sheet'!X74</f>
        <v>1.8734406413377582</v>
      </c>
      <c r="Y89" s="2">
        <f>Y12/'Output-Calculation-sheet'!Y11*'Output-Calculation-sheet'!Y74</f>
        <v>3.4767424124355801</v>
      </c>
      <c r="AA89" s="2">
        <f t="shared" si="7"/>
        <v>3.1445268149097951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11409245654.874218</v>
      </c>
      <c r="C96" s="2">
        <f>C8/'Output-Calculation-sheet'!C7*'Output-Calculation-sheet'!C79</f>
        <v>3859807121.1900306</v>
      </c>
      <c r="D96" s="2">
        <f>D8/'Output-Calculation-sheet'!D7*'Output-Calculation-sheet'!D79</f>
        <v>4029363947.8054681</v>
      </c>
      <c r="E96" s="2">
        <f>E8/'Output-Calculation-sheet'!E7*'Output-Calculation-sheet'!E79</f>
        <v>7163877129.0622187</v>
      </c>
      <c r="F96" s="2">
        <f>F8/'Output-Calculation-sheet'!F7*'Output-Calculation-sheet'!F79</f>
        <v>2965057478.2859011</v>
      </c>
      <c r="G96" s="2">
        <f>G8/'Output-Calculation-sheet'!G7*'Output-Calculation-sheet'!G79</f>
        <v>2309541006.4594116</v>
      </c>
      <c r="H96" s="2">
        <f>H8/'Output-Calculation-sheet'!H7*'Output-Calculation-sheet'!H79</f>
        <v>1976839492.3270876</v>
      </c>
      <c r="I96" s="2">
        <f>I8/'Output-Calculation-sheet'!I7*'Output-Calculation-sheet'!I79</f>
        <v>1608836858.1670702</v>
      </c>
      <c r="J96" s="2">
        <f>J8/'Output-Calculation-sheet'!J7*'Output-Calculation-sheet'!J79</f>
        <v>1087933977.7986362</v>
      </c>
      <c r="K96" s="2">
        <f>K8/'Output-Calculation-sheet'!K7*'Output-Calculation-sheet'!K79</f>
        <v>1556511289.2290351</v>
      </c>
      <c r="L96" s="2">
        <f>L8/'Output-Calculation-sheet'!L7*'Output-Calculation-sheet'!L79</f>
        <v>1098275655.6935911</v>
      </c>
      <c r="M96" s="2">
        <f>M8/'Output-Calculation-sheet'!M7*'Output-Calculation-sheet'!M79</f>
        <v>1475670718.3887055</v>
      </c>
      <c r="N96" s="2">
        <f>N8/'Output-Calculation-sheet'!N7*'Output-Calculation-sheet'!N79</f>
        <v>1098014943.4522109</v>
      </c>
      <c r="O96" s="2">
        <f>O8/'Output-Calculation-sheet'!O7*'Output-Calculation-sheet'!O79</f>
        <v>555083192.42223859</v>
      </c>
      <c r="P96" s="2">
        <f>P8/'Output-Calculation-sheet'!P7*'Output-Calculation-sheet'!P79</f>
        <v>1856648904.9985209</v>
      </c>
      <c r="Q96" s="2">
        <f>Q8/'Output-Calculation-sheet'!Q7*'Output-Calculation-sheet'!Q79</f>
        <v>865276350.08959007</v>
      </c>
      <c r="R96" s="2">
        <f>R8/'Output-Calculation-sheet'!R7*'Output-Calculation-sheet'!R79</f>
        <v>1079536943.4101989</v>
      </c>
      <c r="S96" s="2">
        <f>S8/'Output-Calculation-sheet'!S7*'Output-Calculation-sheet'!S79</f>
        <v>629027401.57941806</v>
      </c>
      <c r="T96" s="2">
        <f>T8/'Output-Calculation-sheet'!T7*'Output-Calculation-sheet'!T79</f>
        <v>480429887.01580739</v>
      </c>
      <c r="U96" s="2">
        <f>U8/'Output-Calculation-sheet'!U7*'Output-Calculation-sheet'!U79</f>
        <v>301794292.25913388</v>
      </c>
      <c r="V96" s="2">
        <f>V8/'Output-Calculation-sheet'!V7*'Output-Calculation-sheet'!V79</f>
        <v>156585913.06395739</v>
      </c>
      <c r="W96" s="2">
        <f>W8/'Output-Calculation-sheet'!W7*'Output-Calculation-sheet'!W79</f>
        <v>462702485.4859919</v>
      </c>
      <c r="X96" s="2">
        <f>X8/'Output-Calculation-sheet'!X7*'Output-Calculation-sheet'!X79</f>
        <v>162625928.24707389</v>
      </c>
      <c r="Y96" s="2">
        <f>Y8/'Output-Calculation-sheet'!Y7*'Output-Calculation-sheet'!Y79</f>
        <v>254344733.9265537</v>
      </c>
      <c r="AA96" s="2">
        <f t="shared" si="8"/>
        <v>48.443031305232054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998.79851078416766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30.945230680137396</v>
      </c>
      <c r="Y107" s="2">
        <f>Y8/'Output-Calculation-sheet'!Y7*'Output-Calculation-sheet'!Y88</f>
        <v>0</v>
      </c>
      <c r="AA107" s="2">
        <f t="shared" si="9"/>
        <v>1.0297437414643049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681.7849974197768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39.606325359195075</v>
      </c>
      <c r="Y108" s="2">
        <f>Y9/'Output-Calculation-sheet'!Y8*'Output-Calculation-sheet'!Y89</f>
        <v>0</v>
      </c>
      <c r="AA108" s="2">
        <f t="shared" si="9"/>
        <v>0.72139132277897189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3.7828759655619881E-2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5.3879287639735901E-2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66.579198176772636</v>
      </c>
      <c r="Y111" s="2">
        <f>Y12/'Output-Calculation-sheet'!Y11*'Output-Calculation-sheet'!Y92</f>
        <v>0</v>
      </c>
      <c r="AA111" s="2">
        <f t="shared" si="9"/>
        <v>6.657919817677263E-2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11167605063.305471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6859451809.3210878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4732439810.1544437</v>
      </c>
      <c r="N118" s="2">
        <f>N8/'Output-Calculation-sheet'!N7*'Output-Calculation-sheet'!N97</f>
        <v>1585823254.1637621</v>
      </c>
      <c r="O118" s="2">
        <f>O8/'Output-Calculation-sheet'!O7*'Output-Calculation-sheet'!O97</f>
        <v>2714861575.5915174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474755560.62468976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257683246.71865231</v>
      </c>
      <c r="Y118" s="2">
        <f>Y8/'Output-Calculation-sheet'!Y7*'Output-Calculation-sheet'!Y97</f>
        <v>0</v>
      </c>
      <c r="AA118" s="2">
        <f t="shared" si="10"/>
        <v>29127.558115151296</v>
      </c>
    </row>
    <row r="119" spans="1:27" x14ac:dyDescent="0.25">
      <c r="A119" s="2">
        <v>2032</v>
      </c>
      <c r="B119" s="2">
        <f>B9/'Output-Calculation-sheet'!B8*'Output-Calculation-sheet'!B98</f>
        <v>5613399460.0343161</v>
      </c>
      <c r="C119" s="2">
        <f>C9/'Output-Calculation-sheet'!C8*'Output-Calculation-sheet'!C98</f>
        <v>14476641898.135059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8779351626.5653839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6056985451.8886242</v>
      </c>
      <c r="N119" s="2">
        <f>N9/'Output-Calculation-sheet'!N8*'Output-Calculation-sheet'!N98</f>
        <v>2840160346.0493054</v>
      </c>
      <c r="O119" s="2">
        <f>O9/'Output-Calculation-sheet'!O8*'Output-Calculation-sheet'!O98</f>
        <v>3057472856.9448004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854268470.89223146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333164396.85222685</v>
      </c>
      <c r="Y119" s="2">
        <f>Y9/'Output-Calculation-sheet'!Y8*'Output-Calculation-sheet'!Y98</f>
        <v>0</v>
      </c>
      <c r="AA119" s="2">
        <f t="shared" si="10"/>
        <v>42011.444507361957</v>
      </c>
    </row>
    <row r="120" spans="1:27" x14ac:dyDescent="0.25">
      <c r="A120" s="2">
        <v>2033</v>
      </c>
      <c r="B120" s="2">
        <f>B10/'Output-Calculation-sheet'!B9*'Output-Calculation-sheet'!B99</f>
        <v>13792618099.270569</v>
      </c>
      <c r="C120" s="2">
        <f>C10/'Output-Calculation-sheet'!C9*'Output-Calculation-sheet'!C99</f>
        <v>19109993319.497303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4072789985.3614335</v>
      </c>
      <c r="O120" s="2">
        <f>O10/'Output-Calculation-sheet'!O9*'Output-Calculation-sheet'!O99</f>
        <v>3165109088.8716974</v>
      </c>
      <c r="P120" s="2">
        <f>P10/'Output-Calculation-sheet'!P9*'Output-Calculation-sheet'!P99</f>
        <v>0</v>
      </c>
      <c r="Q120" s="2">
        <f>Q10/'Output-Calculation-sheet'!Q9*'Output-Calculation-sheet'!Q99</f>
        <v>132506243.00143662</v>
      </c>
      <c r="R120" s="2">
        <f>R10/'Output-Calculation-sheet'!R9*'Output-Calculation-sheet'!R99</f>
        <v>0</v>
      </c>
      <c r="S120" s="2">
        <f>S10/'Output-Calculation-sheet'!S9*'Output-Calculation-sheet'!S99</f>
        <v>1640523118.5247822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446517119.57537222</v>
      </c>
      <c r="Y120" s="2">
        <f>Y10/'Output-Calculation-sheet'!Y9*'Output-Calculation-sheet'!Y99</f>
        <v>0</v>
      </c>
      <c r="AA120" s="2">
        <f t="shared" si="10"/>
        <v>59365.13071399014</v>
      </c>
    </row>
    <row r="121" spans="1:27" x14ac:dyDescent="0.25">
      <c r="A121" s="2">
        <v>2034</v>
      </c>
      <c r="B121" s="2">
        <f>B11/'Output-Calculation-sheet'!B10*'Output-Calculation-sheet'!B100</f>
        <v>24258768790.245686</v>
      </c>
      <c r="C121" s="2">
        <f>C11/'Output-Calculation-sheet'!C10*'Output-Calculation-sheet'!C100</f>
        <v>19746814035.140553</v>
      </c>
      <c r="D121" s="2">
        <f>D11/'Output-Calculation-sheet'!D10*'Output-Calculation-sheet'!D100</f>
        <v>0</v>
      </c>
      <c r="E121" s="2">
        <f>E11/'Output-Calculation-sheet'!E10*'Output-Calculation-sheet'!E100</f>
        <v>582419116.52478981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10142178506.46792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415416084.91970205</v>
      </c>
      <c r="M121" s="2">
        <f>M11/'Output-Calculation-sheet'!M10*'Output-Calculation-sheet'!M100</f>
        <v>7065537835.8910475</v>
      </c>
      <c r="N121" s="2">
        <f>N11/'Output-Calculation-sheet'!N10*'Output-Calculation-sheet'!N100</f>
        <v>4737408012.6429033</v>
      </c>
      <c r="O121" s="2">
        <f>O11/'Output-Calculation-sheet'!O10*'Output-Calculation-sheet'!O100</f>
        <v>3024782223.871202</v>
      </c>
      <c r="P121" s="2">
        <f>P11/'Output-Calculation-sheet'!P10*'Output-Calculation-sheet'!P100</f>
        <v>0</v>
      </c>
      <c r="Q121" s="2">
        <f>Q11/'Output-Calculation-sheet'!Q10*'Output-Calculation-sheet'!Q100</f>
        <v>378963924.35904223</v>
      </c>
      <c r="R121" s="2">
        <f>R11/'Output-Calculation-sheet'!R10*'Output-Calculation-sheet'!R100</f>
        <v>0</v>
      </c>
      <c r="S121" s="2">
        <f>S11/'Output-Calculation-sheet'!S10*'Output-Calculation-sheet'!S100</f>
        <v>1988423944.7385838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31156556.751288179</v>
      </c>
      <c r="AA121" s="2">
        <f t="shared" si="10"/>
        <v>72717.285208624133</v>
      </c>
    </row>
    <row r="122" spans="1:27" x14ac:dyDescent="0.25">
      <c r="A122" s="2">
        <v>2035</v>
      </c>
      <c r="B122" s="2">
        <f>B12/'Output-Calculation-sheet'!B11*'Output-Calculation-sheet'!B101</f>
        <v>23972947163.71204</v>
      </c>
      <c r="C122" s="2">
        <f>C12/'Output-Calculation-sheet'!C11*'Output-Calculation-sheet'!C101</f>
        <v>19195450447.518486</v>
      </c>
      <c r="D122" s="2">
        <f>D12/'Output-Calculation-sheet'!D11*'Output-Calculation-sheet'!D101</f>
        <v>0</v>
      </c>
      <c r="E122" s="2">
        <f>E12/'Output-Calculation-sheet'!E11*'Output-Calculation-sheet'!E101</f>
        <v>1534701576.5668025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8835744133.5039425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414784189.59118861</v>
      </c>
      <c r="M122" s="2">
        <f>M12/'Output-Calculation-sheet'!M11*'Output-Calculation-sheet'!M101</f>
        <v>6185498057.2527847</v>
      </c>
      <c r="N122" s="2">
        <f>N12/'Output-Calculation-sheet'!N11*'Output-Calculation-sheet'!N101</f>
        <v>4141725324.974093</v>
      </c>
      <c r="O122" s="2">
        <f>O12/'Output-Calculation-sheet'!O11*'Output-Calculation-sheet'!O101</f>
        <v>2653620452.4684806</v>
      </c>
      <c r="P122" s="2">
        <f>P12/'Output-Calculation-sheet'!P11*'Output-Calculation-sheet'!P101</f>
        <v>210259755.70294482</v>
      </c>
      <c r="Q122" s="2">
        <f>Q12/'Output-Calculation-sheet'!Q11*'Output-Calculation-sheet'!Q101</f>
        <v>495628924.33106732</v>
      </c>
      <c r="R122" s="2">
        <f>R12/'Output-Calculation-sheet'!R11*'Output-Calculation-sheet'!R101</f>
        <v>0</v>
      </c>
      <c r="S122" s="2">
        <f>S12/'Output-Calculation-sheet'!S11*'Output-Calculation-sheet'!S101</f>
        <v>1945850499.2211957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176149679.85850847</v>
      </c>
      <c r="Y122" s="2">
        <f>Y12/'Output-Calculation-sheet'!Y11*'Output-Calculation-sheet'!Y101</f>
        <v>173011394.29882556</v>
      </c>
      <c r="AA122" s="2">
        <f t="shared" si="10"/>
        <v>69935.371599000369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3059850934.0806208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2185804509.0014939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144029.18030755522</v>
      </c>
    </row>
    <row r="130" spans="1:27" x14ac:dyDescent="0.25">
      <c r="A130" s="2">
        <v>2032</v>
      </c>
      <c r="B130" s="2">
        <f>B9/'Output-Calculation-sheet'!B8*'Output-Calculation-sheet'!B107</f>
        <v>54110008531.620117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3105271287.1408114</v>
      </c>
      <c r="O130" s="2">
        <f>O9/'Output-Calculation-sheet'!O8*'Output-Calculation-sheet'!O107</f>
        <v>0</v>
      </c>
      <c r="P130" s="2">
        <f>P9/'Output-Calculation-sheet'!P8*'Output-Calculation-sheet'!P107</f>
        <v>5412882865.8712921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2550759018.952282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179378.06610773722</v>
      </c>
    </row>
    <row r="131" spans="1:27" x14ac:dyDescent="0.25">
      <c r="A131" s="2">
        <v>2033</v>
      </c>
      <c r="B131" s="2">
        <f>B10/'Output-Calculation-sheet'!B9*'Output-Calculation-sheet'!B108</f>
        <v>54654794061.719429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2741122421.0313993</v>
      </c>
      <c r="O131" s="2">
        <f>O10/'Output-Calculation-sheet'!O9*'Output-Calculation-sheet'!O108</f>
        <v>0</v>
      </c>
      <c r="P131" s="2">
        <f>P10/'Output-Calculation-sheet'!P9*'Output-Calculation-sheet'!P108</f>
        <v>6203613678.5795383</v>
      </c>
      <c r="Q131" s="2">
        <f>Q10/'Output-Calculation-sheet'!Q9*'Output-Calculation-sheet'!Q108</f>
        <v>5971133440.8203115</v>
      </c>
      <c r="R131" s="2">
        <f>R10/'Output-Calculation-sheet'!R9*'Output-Calculation-sheet'!R108</f>
        <v>5871773588.5043755</v>
      </c>
      <c r="S131" s="2">
        <f>S10/'Output-Calculation-sheet'!S9*'Output-Calculation-sheet'!S108</f>
        <v>2261864434.2010083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196617.47900917349</v>
      </c>
    </row>
    <row r="132" spans="1:27" x14ac:dyDescent="0.25">
      <c r="A132" s="2">
        <v>2034</v>
      </c>
      <c r="B132" s="2">
        <f>B11/'Output-Calculation-sheet'!B10*'Output-Calculation-sheet'!B109</f>
        <v>45420430831.92733</v>
      </c>
      <c r="C132" s="2">
        <f>C11/'Output-Calculation-sheet'!C10*'Output-Calculation-sheet'!C109</f>
        <v>0</v>
      </c>
      <c r="D132" s="2">
        <f>D11/'Output-Calculation-sheet'!D10*'Output-Calculation-sheet'!D109</f>
        <v>29664322427.764606</v>
      </c>
      <c r="E132" s="2">
        <f>E11/'Output-Calculation-sheet'!E10*'Output-Calculation-sheet'!E109</f>
        <v>23111303753.245201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9428299541.3666897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7010643328.5348492</v>
      </c>
      <c r="M132" s="2">
        <f>M11/'Output-Calculation-sheet'!M10*'Output-Calculation-sheet'!M109</f>
        <v>0</v>
      </c>
      <c r="N132" s="2">
        <f>N11/'Output-Calculation-sheet'!N10*'Output-Calculation-sheet'!N109</f>
        <v>2221714813.790751</v>
      </c>
      <c r="O132" s="2">
        <f>O11/'Output-Calculation-sheet'!O10*'Output-Calculation-sheet'!O109</f>
        <v>0</v>
      </c>
      <c r="P132" s="2">
        <f>P11/'Output-Calculation-sheet'!P10*'Output-Calculation-sheet'!P109</f>
        <v>6442478757.9275742</v>
      </c>
      <c r="Q132" s="2">
        <f>Q11/'Output-Calculation-sheet'!Q10*'Output-Calculation-sheet'!Q109</f>
        <v>5463075081.5976381</v>
      </c>
      <c r="R132" s="2">
        <f>R11/'Output-Calculation-sheet'!R10*'Output-Calculation-sheet'!R109</f>
        <v>6097854438.8206568</v>
      </c>
      <c r="S132" s="2">
        <f>S11/'Output-Calculation-sheet'!S10*'Output-Calculation-sheet'!S109</f>
        <v>1899028054.7118385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1906230042.2491667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728326393.5135268</v>
      </c>
      <c r="AA132" s="2">
        <f t="shared" si="11"/>
        <v>189577.65402785549</v>
      </c>
    </row>
    <row r="133" spans="1:27" x14ac:dyDescent="0.25">
      <c r="A133" s="2">
        <v>2035</v>
      </c>
      <c r="B133" s="2">
        <f>B12/'Output-Calculation-sheet'!B11*'Output-Calculation-sheet'!B110</f>
        <v>36680455504.958031</v>
      </c>
      <c r="C133" s="2">
        <f>C12/'Output-Calculation-sheet'!C11*'Output-Calculation-sheet'!C110</f>
        <v>0</v>
      </c>
      <c r="D133" s="2">
        <f>D12/'Output-Calculation-sheet'!D11*'Output-Calculation-sheet'!D110</f>
        <v>25213845387.443512</v>
      </c>
      <c r="E133" s="2">
        <f>E12/'Output-Calculation-sheet'!E11*'Output-Calculation-sheet'!E110</f>
        <v>19850826246.766018</v>
      </c>
      <c r="F133" s="2">
        <f>F12/'Output-Calculation-sheet'!F11*'Output-Calculation-sheet'!F110</f>
        <v>13641597091.818106</v>
      </c>
      <c r="G133" s="2">
        <f>G12/'Output-Calculation-sheet'!G11*'Output-Calculation-sheet'!G110</f>
        <v>9403943022.0419426</v>
      </c>
      <c r="H133" s="2">
        <f>H12/'Output-Calculation-sheet'!H11*'Output-Calculation-sheet'!H110</f>
        <v>0</v>
      </c>
      <c r="I133" s="2">
        <f>I12/'Output-Calculation-sheet'!I11*'Output-Calculation-sheet'!I110</f>
        <v>8533675251.8053608</v>
      </c>
      <c r="J133" s="2">
        <f>J12/'Output-Calculation-sheet'!J11*'Output-Calculation-sheet'!J110</f>
        <v>7991680696.7644186</v>
      </c>
      <c r="K133" s="2">
        <f>K12/'Output-Calculation-sheet'!K11*'Output-Calculation-sheet'!K110</f>
        <v>8183487776.7466316</v>
      </c>
      <c r="L133" s="2">
        <f>L12/'Output-Calculation-sheet'!L11*'Output-Calculation-sheet'!L110</f>
        <v>5997317610.1289787</v>
      </c>
      <c r="M133" s="2">
        <f>M12/'Output-Calculation-sheet'!M11*'Output-Calculation-sheet'!M110</f>
        <v>0</v>
      </c>
      <c r="N133" s="2">
        <f>N12/'Output-Calculation-sheet'!N11*'Output-Calculation-sheet'!N110</f>
        <v>1872417608.5857143</v>
      </c>
      <c r="O133" s="2">
        <f>O12/'Output-Calculation-sheet'!O11*'Output-Calculation-sheet'!O110</f>
        <v>0</v>
      </c>
      <c r="P133" s="2">
        <f>P12/'Output-Calculation-sheet'!P11*'Output-Calculation-sheet'!P110</f>
        <v>5592944890.8813496</v>
      </c>
      <c r="Q133" s="2">
        <f>Q12/'Output-Calculation-sheet'!Q11*'Output-Calculation-sheet'!Q110</f>
        <v>4548903990.4932909</v>
      </c>
      <c r="R133" s="2">
        <f>R12/'Output-Calculation-sheet'!R11*'Output-Calculation-sheet'!R110</f>
        <v>5361693749.3016701</v>
      </c>
      <c r="S133" s="2">
        <f>S12/'Output-Calculation-sheet'!S11*'Output-Calculation-sheet'!S110</f>
        <v>1445876992.2122903</v>
      </c>
      <c r="T133" s="2">
        <f>T12/'Output-Calculation-sheet'!T11*'Output-Calculation-sheet'!T110</f>
        <v>2017750926.0582054</v>
      </c>
      <c r="U133" s="2">
        <f>U12/'Output-Calculation-sheet'!U11*'Output-Calculation-sheet'!U110</f>
        <v>1635891020.7805674</v>
      </c>
      <c r="V133" s="2">
        <f>V12/'Output-Calculation-sheet'!V11*'Output-Calculation-sheet'!V110</f>
        <v>1290127527.5990601</v>
      </c>
      <c r="W133" s="2">
        <f>W12/'Output-Calculation-sheet'!W11*'Output-Calculation-sheet'!W110</f>
        <v>1203934401.686883</v>
      </c>
      <c r="X133" s="2">
        <f>X12/'Output-Calculation-sheet'!X11*'Output-Calculation-sheet'!X110</f>
        <v>0</v>
      </c>
      <c r="Y133" s="2">
        <f>Y12/'Output-Calculation-sheet'!Y11*'Output-Calculation-sheet'!Y110</f>
        <v>515596032.32481915</v>
      </c>
      <c r="AA133" s="2">
        <f t="shared" si="11"/>
        <v>160981.96572839684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8370657919.2882586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254938866.92635375</v>
      </c>
      <c r="Y140" s="2">
        <f>Y8/'Output-Calculation-sheet'!Y7*'Output-Calculation-sheet'!Y115</f>
        <v>0</v>
      </c>
      <c r="AA140" s="2">
        <f t="shared" si="12"/>
        <v>8625.5967862146135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5776073643.7897329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322893087.89336073</v>
      </c>
      <c r="Y141" s="2">
        <f>Y9/'Output-Calculation-sheet'!Y8*'Output-Calculation-sheet'!Y116</f>
        <v>0</v>
      </c>
      <c r="AA141" s="2">
        <f t="shared" si="12"/>
        <v>6098.9667316830937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305379884.17410761</v>
      </c>
      <c r="Y142" s="2">
        <f>Y10/'Output-Calculation-sheet'!Y9*'Output-Calculation-sheet'!Y117</f>
        <v>0</v>
      </c>
      <c r="AA142" s="2">
        <f t="shared" si="12"/>
        <v>305.37988417410759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435.48913858228173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543799003.41491699</v>
      </c>
      <c r="Y144" s="2">
        <f>Y12/'Output-Calculation-sheet'!Y11*'Output-Calculation-sheet'!Y119</f>
        <v>0</v>
      </c>
      <c r="AA144" s="2">
        <f t="shared" si="12"/>
        <v>543.79900341491702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25124140939.723419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6129704273.9206181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190785.22750695478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26992598531.774773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6151235810.0801153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155652.892076263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27616176853.119675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5778202618.3685455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111401.53928350611</v>
      </c>
    </row>
    <row r="154" spans="1:27" x14ac:dyDescent="0.25">
      <c r="A154" s="2">
        <v>2034</v>
      </c>
      <c r="B154" s="2">
        <f>B11/'Output-Calculation-sheet'!B10*'Output-Calculation-sheet'!B127</f>
        <v>12168514792.946796</v>
      </c>
      <c r="C154" s="2">
        <f>C11/'Output-Calculation-sheet'!C10*'Output-Calculation-sheet'!C127</f>
        <v>22456675339.840508</v>
      </c>
      <c r="D154" s="2">
        <f>D11/'Output-Calculation-sheet'!D10*'Output-Calculation-sheet'!D127</f>
        <v>4516663760.0175276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1962332666.7829549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1448785323.7207882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1249684652.9797604</v>
      </c>
      <c r="M154" s="2">
        <f>M11/'Output-Calculation-sheet'!M10*'Output-Calculation-sheet'!M127</f>
        <v>1261013200.094389</v>
      </c>
      <c r="N154" s="2">
        <f>N11/'Output-Calculation-sheet'!N10*'Output-Calculation-sheet'!N127</f>
        <v>1171786972.412477</v>
      </c>
      <c r="O154" s="2">
        <f>O11/'Output-Calculation-sheet'!O10*'Output-Calculation-sheet'!O127</f>
        <v>5068942594.8815775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1558907535.3044138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808435120.68701744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344352960.46974665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66581.339386753069</v>
      </c>
    </row>
    <row r="155" spans="1:27" x14ac:dyDescent="0.25">
      <c r="A155" s="2">
        <v>2035</v>
      </c>
      <c r="B155" s="2">
        <f>B12/'Output-Calculation-sheet'!B11*'Output-Calculation-sheet'!B128</f>
        <v>8992925893.7697411</v>
      </c>
      <c r="C155" s="2">
        <f>C12/'Output-Calculation-sheet'!C11*'Output-Calculation-sheet'!C128</f>
        <v>15886352168.397444</v>
      </c>
      <c r="D155" s="2">
        <f>D12/'Output-Calculation-sheet'!D11*'Output-Calculation-sheet'!D128</f>
        <v>3704916188.0847597</v>
      </c>
      <c r="E155" s="2">
        <f>E12/'Output-Calculation-sheet'!E11*'Output-Calculation-sheet'!E128</f>
        <v>2019327002.6640604</v>
      </c>
      <c r="F155" s="2">
        <f>F12/'Output-Calculation-sheet'!F11*'Output-Calculation-sheet'!F128</f>
        <v>1099959598.1101274</v>
      </c>
      <c r="G155" s="2">
        <f>G12/'Output-Calculation-sheet'!G11*'Output-Calculation-sheet'!G128</f>
        <v>1037753329.8984163</v>
      </c>
      <c r="H155" s="2">
        <f>H12/'Output-Calculation-sheet'!H11*'Output-Calculation-sheet'!H128</f>
        <v>1515765861.7522895</v>
      </c>
      <c r="I155" s="2">
        <f>I12/'Output-Calculation-sheet'!I11*'Output-Calculation-sheet'!I128</f>
        <v>948194903.36726201</v>
      </c>
      <c r="J155" s="2">
        <f>J12/'Output-Calculation-sheet'!J11*'Output-Calculation-sheet'!J128</f>
        <v>1179573240.9191022</v>
      </c>
      <c r="K155" s="2">
        <f>K12/'Output-Calculation-sheet'!K11*'Output-Calculation-sheet'!K128</f>
        <v>945610872.23088551</v>
      </c>
      <c r="L155" s="2">
        <f>L12/'Output-Calculation-sheet'!L11*'Output-Calculation-sheet'!L128</f>
        <v>967947407.84950888</v>
      </c>
      <c r="M155" s="2">
        <f>M12/'Output-Calculation-sheet'!M11*'Output-Calculation-sheet'!M128</f>
        <v>956973590.46758795</v>
      </c>
      <c r="N155" s="2">
        <f>N12/'Output-Calculation-sheet'!N11*'Output-Calculation-sheet'!N128</f>
        <v>877540397.05712032</v>
      </c>
      <c r="O155" s="2">
        <f>O12/'Output-Calculation-sheet'!O11*'Output-Calculation-sheet'!O128</f>
        <v>4124335228.4782028</v>
      </c>
      <c r="P155" s="2">
        <f>P12/'Output-Calculation-sheet'!P11*'Output-Calculation-sheet'!P128</f>
        <v>507507960.11190057</v>
      </c>
      <c r="Q155" s="2">
        <f>Q12/'Output-Calculation-sheet'!Q11*'Output-Calculation-sheet'!Q128</f>
        <v>1205914963.2029083</v>
      </c>
      <c r="R155" s="2">
        <f>R12/'Output-Calculation-sheet'!R11*'Output-Calculation-sheet'!R128</f>
        <v>556992783.19291162</v>
      </c>
      <c r="S155" s="2">
        <f>S12/'Output-Calculation-sheet'!S11*'Output-Calculation-sheet'!S128</f>
        <v>585033170.68577576</v>
      </c>
      <c r="T155" s="2">
        <f>T12/'Output-Calculation-sheet'!T11*'Output-Calculation-sheet'!T128</f>
        <v>144322198.04786822</v>
      </c>
      <c r="U155" s="2">
        <f>U12/'Output-Calculation-sheet'!U11*'Output-Calculation-sheet'!U128</f>
        <v>280909729.87785244</v>
      </c>
      <c r="V155" s="2">
        <f>V12/'Output-Calculation-sheet'!V11*'Output-Calculation-sheet'!V128</f>
        <v>156054469.31120113</v>
      </c>
      <c r="W155" s="2">
        <f>W12/'Output-Calculation-sheet'!W11*'Output-Calculation-sheet'!W128</f>
        <v>55851657.695522338</v>
      </c>
      <c r="X155" s="2">
        <f>X12/'Output-Calculation-sheet'!X11*'Output-Calculation-sheet'!X128</f>
        <v>25153087.861156013</v>
      </c>
      <c r="Y155" s="2">
        <f>Y12/'Output-Calculation-sheet'!Y11*'Output-Calculation-sheet'!Y128</f>
        <v>61951871.396129683</v>
      </c>
      <c r="AA155" s="2">
        <f t="shared" si="13"/>
        <v>47836.867574429743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7412.3922521186423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4752.9088978243444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3299.0007067158845</v>
      </c>
      <c r="N19" s="2">
        <f>N8/'Output-Calculation-sheet'!N7*'Output-Calculation-sheet'!N25</f>
        <v>1127.7180076182931</v>
      </c>
      <c r="O19" s="2">
        <f>O8/'Output-Calculation-sheet'!O7*'Output-Calculation-sheet'!O25</f>
        <v>1762.5732859180737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174.16601492810111</v>
      </c>
      <c r="Y19" s="2">
        <f>Y8/'Output-Calculation-sheet'!Y7*'Output-Calculation-sheet'!Y25</f>
        <v>0</v>
      </c>
      <c r="AA19" s="2">
        <f t="shared" si="0"/>
        <v>19.989441275431588</v>
      </c>
    </row>
    <row r="20" spans="1:27" x14ac:dyDescent="0.25">
      <c r="A20" s="2">
        <v>2032</v>
      </c>
      <c r="B20" s="2">
        <f>B9/'Output-Calculation-sheet'!B8*'Output-Calculation-sheet'!B26</f>
        <v>5899.6553416425604</v>
      </c>
      <c r="C20" s="2">
        <f>C9/'Output-Calculation-sheet'!C8*'Output-Calculation-sheet'!C26</f>
        <v>9974.2225878843274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6413.3356523558105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4460.1018419321072</v>
      </c>
      <c r="N20" s="2">
        <f>N9/'Output-Calculation-sheet'!N8*'Output-Calculation-sheet'!N26</f>
        <v>2008.3246761648093</v>
      </c>
      <c r="O20" s="2">
        <f>O9/'Output-Calculation-sheet'!O8*'Output-Calculation-sheet'!O26</f>
        <v>2091.3048491888944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730.37152945114701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238.34460332691793</v>
      </c>
      <c r="Y20" s="2">
        <f>Y9/'Output-Calculation-sheet'!Y8*'Output-Calculation-sheet'!Y26</f>
        <v>0</v>
      </c>
      <c r="AA20" s="2">
        <f t="shared" si="0"/>
        <v>31.815661081946573</v>
      </c>
    </row>
    <row r="21" spans="1:27" x14ac:dyDescent="0.25">
      <c r="A21" s="2">
        <v>2033</v>
      </c>
      <c r="B21" s="2">
        <f>B10/'Output-Calculation-sheet'!B9*'Output-Calculation-sheet'!B27</f>
        <v>13978.124601385718</v>
      </c>
      <c r="C21" s="2">
        <f>C10/'Output-Calculation-sheet'!C9*'Output-Calculation-sheet'!C27</f>
        <v>14352.785054155722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8072.1042995630132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5607.6177110351618</v>
      </c>
      <c r="N21" s="2">
        <f>N10/'Output-Calculation-sheet'!N9*'Output-Calculation-sheet'!N27</f>
        <v>3063.3828611990989</v>
      </c>
      <c r="O21" s="2">
        <f>O10/'Output-Calculation-sheet'!O9*'Output-Calculation-sheet'!O27</f>
        <v>2368.7751943070657</v>
      </c>
      <c r="P21" s="2">
        <f>P10/'Output-Calculation-sheet'!P9*'Output-Calculation-sheet'!P27</f>
        <v>0</v>
      </c>
      <c r="Q21" s="2">
        <f>Q10/'Output-Calculation-sheet'!Q9*'Output-Calculation-sheet'!Q27</f>
        <v>206.8504819216505</v>
      </c>
      <c r="R21" s="2">
        <f>R10/'Output-Calculation-sheet'!R9*'Output-Calculation-sheet'!R27</f>
        <v>0</v>
      </c>
      <c r="S21" s="2">
        <f>S10/'Output-Calculation-sheet'!S9*'Output-Calculation-sheet'!S27</f>
        <v>1333.4983881993369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355.48738961026419</v>
      </c>
      <c r="Y21" s="2">
        <f>Y10/'Output-Calculation-sheet'!Y9*'Output-Calculation-sheet'!Y27</f>
        <v>0</v>
      </c>
      <c r="AA21" s="2">
        <f t="shared" si="0"/>
        <v>49.338625981377042</v>
      </c>
    </row>
    <row r="22" spans="1:27" x14ac:dyDescent="0.25">
      <c r="A22" s="2">
        <v>2034</v>
      </c>
      <c r="B22" s="2">
        <f>B11/'Output-Calculation-sheet'!B10*'Output-Calculation-sheet'!B28</f>
        <v>24167.25663562202</v>
      </c>
      <c r="C22" s="2">
        <f>C11/'Output-Calculation-sheet'!C10*'Output-Calculation-sheet'!C28</f>
        <v>16994.669205518236</v>
      </c>
      <c r="D22" s="2">
        <f>D11/'Output-Calculation-sheet'!D10*'Output-Calculation-sheet'!D28</f>
        <v>0</v>
      </c>
      <c r="E22" s="2">
        <f>E11/'Output-Calculation-sheet'!E10*'Output-Calculation-sheet'!E28</f>
        <v>1384.3279642807834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9719.4487077055946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694.13942032280124</v>
      </c>
      <c r="M22" s="2">
        <f>M11/'Output-Calculation-sheet'!M10*'Output-Calculation-sheet'!M28</f>
        <v>6906.0772940710322</v>
      </c>
      <c r="N22" s="2">
        <f>N11/'Output-Calculation-sheet'!N10*'Output-Calculation-sheet'!N28</f>
        <v>4072.5518237828674</v>
      </c>
      <c r="O22" s="2">
        <f>O11/'Output-Calculation-sheet'!O10*'Output-Calculation-sheet'!O28</f>
        <v>2596.6894240740753</v>
      </c>
      <c r="P22" s="2">
        <f>P11/'Output-Calculation-sheet'!P10*'Output-Calculation-sheet'!P28</f>
        <v>0</v>
      </c>
      <c r="Q22" s="2">
        <f>Q11/'Output-Calculation-sheet'!Q10*'Output-Calculation-sheet'!Q28</f>
        <v>609.90023713691426</v>
      </c>
      <c r="R22" s="2">
        <f>R11/'Output-Calculation-sheet'!R10*'Output-Calculation-sheet'!R28</f>
        <v>0</v>
      </c>
      <c r="S22" s="2">
        <f>S11/'Output-Calculation-sheet'!S10*'Output-Calculation-sheet'!S28</f>
        <v>1789.5448218080458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75.034539292102053</v>
      </c>
      <c r="AA22" s="2">
        <f t="shared" si="0"/>
        <v>69.316631804722334</v>
      </c>
    </row>
    <row r="23" spans="1:27" x14ac:dyDescent="0.25">
      <c r="A23" s="2">
        <v>2035</v>
      </c>
      <c r="B23" s="2">
        <f>B12/'Output-Calculation-sheet'!B11*'Output-Calculation-sheet'!B29</f>
        <v>27510.218252775634</v>
      </c>
      <c r="C23" s="2">
        <f>C12/'Output-Calculation-sheet'!C11*'Output-Calculation-sheet'!C29</f>
        <v>20033.117131872634</v>
      </c>
      <c r="D23" s="2">
        <f>D12/'Output-Calculation-sheet'!D11*'Output-Calculation-sheet'!D29</f>
        <v>0</v>
      </c>
      <c r="E23" s="2">
        <f>E12/'Output-Calculation-sheet'!E11*'Output-Calculation-sheet'!E29</f>
        <v>3658.7209369763459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9944.3073279621149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798.35873538252076</v>
      </c>
      <c r="M23" s="2">
        <f>M12/'Output-Calculation-sheet'!M11*'Output-Calculation-sheet'!M29</f>
        <v>7106.6616971728517</v>
      </c>
      <c r="N23" s="2">
        <f>N12/'Output-Calculation-sheet'!N11*'Output-Calculation-sheet'!N29</f>
        <v>4250.8098822160673</v>
      </c>
      <c r="O23" s="2">
        <f>O12/'Output-Calculation-sheet'!O11*'Output-Calculation-sheet'!O29</f>
        <v>2761.6434421746758</v>
      </c>
      <c r="P23" s="2">
        <f>P12/'Output-Calculation-sheet'!P11*'Output-Calculation-sheet'!P29</f>
        <v>578.49747987431226</v>
      </c>
      <c r="Q23" s="2">
        <f>Q12/'Output-Calculation-sheet'!Q11*'Output-Calculation-sheet'!Q29</f>
        <v>861.90047930659375</v>
      </c>
      <c r="R23" s="2">
        <f>R12/'Output-Calculation-sheet'!R11*'Output-Calculation-sheet'!R29</f>
        <v>0</v>
      </c>
      <c r="S23" s="2">
        <f>S12/'Output-Calculation-sheet'!S11*'Output-Calculation-sheet'!S29</f>
        <v>2035.3940075868852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179.40353115621014</v>
      </c>
      <c r="Y23" s="2">
        <f>Y12/'Output-Calculation-sheet'!Y11*'Output-Calculation-sheet'!Y29</f>
        <v>189.29802126353465</v>
      </c>
      <c r="AA23" s="2">
        <f t="shared" si="0"/>
        <v>79.908330925720378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1535.7423615894245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39.479596724673101</v>
      </c>
    </row>
    <row r="31" spans="1:27" x14ac:dyDescent="0.25">
      <c r="A31" s="2">
        <v>2032</v>
      </c>
      <c r="B31" s="2">
        <f>B9/'Output-Calculation-sheet'!B8*'Output-Calculation-sheet'!B17</f>
        <v>24980.842833059964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1711.0772603287448</v>
      </c>
      <c r="O31" s="2">
        <f>O9/'Output-Calculation-sheet'!O8*'Output-Calculation-sheet'!O17</f>
        <v>0</v>
      </c>
      <c r="P31" s="2">
        <f>P9/'Output-Calculation-sheet'!P8*'Output-Calculation-sheet'!P17</f>
        <v>2118.8116692446961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1272.2872879456963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54.401014679117019</v>
      </c>
    </row>
    <row r="32" spans="1:27" x14ac:dyDescent="0.25">
      <c r="A32" s="2">
        <v>2033</v>
      </c>
      <c r="B32" s="2">
        <f>B10/'Output-Calculation-sheet'!B9*'Output-Calculation-sheet'!B18</f>
        <v>28310.480796994081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2700.2481108242609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1730.0262228039653</v>
      </c>
      <c r="O32" s="2">
        <f>O10/'Output-Calculation-sheet'!O9*'Output-Calculation-sheet'!O18</f>
        <v>0</v>
      </c>
      <c r="P32" s="2">
        <f>P10/'Output-Calculation-sheet'!P9*'Output-Calculation-sheet'!P18</f>
        <v>2779.0916681196477</v>
      </c>
      <c r="Q32" s="2">
        <f>Q10/'Output-Calculation-sheet'!Q9*'Output-Calculation-sheet'!Q18</f>
        <v>3027.7756870963958</v>
      </c>
      <c r="R32" s="2">
        <f>R10/'Output-Calculation-sheet'!R9*'Output-Calculation-sheet'!R18</f>
        <v>1995.6491424799672</v>
      </c>
      <c r="S32" s="2">
        <f>S10/'Output-Calculation-sheet'!S9*'Output-Calculation-sheet'!S18</f>
        <v>1307.0316345727417</v>
      </c>
      <c r="T32" s="2">
        <f>T10/'Output-Calculation-sheet'!T9*'Output-Calculation-sheet'!T18</f>
        <v>582.65183369581382</v>
      </c>
      <c r="U32" s="2">
        <f>U10/'Output-Calculation-sheet'!U9*'Output-Calculation-sheet'!U18</f>
        <v>644.19324637216846</v>
      </c>
      <c r="V32" s="2">
        <f>V10/'Output-Calculation-sheet'!V9*'Output-Calculation-sheet'!V18</f>
        <v>475.38503647282624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275.26708615731513</v>
      </c>
      <c r="AA32" s="2">
        <f t="shared" si="1"/>
        <v>68.052147443559662</v>
      </c>
    </row>
    <row r="33" spans="1:27" x14ac:dyDescent="0.25">
      <c r="A33" s="2">
        <v>2034</v>
      </c>
      <c r="B33" s="2">
        <f>B11/'Output-Calculation-sheet'!B10*'Output-Calculation-sheet'!B19</f>
        <v>27458.119569602961</v>
      </c>
      <c r="C33" s="2">
        <f>C11/'Output-Calculation-sheet'!C10*'Output-Calculation-sheet'!C19</f>
        <v>0</v>
      </c>
      <c r="D33" s="2">
        <f>D11/'Output-Calculation-sheet'!D10*'Output-Calculation-sheet'!D19</f>
        <v>8025.6833897891029</v>
      </c>
      <c r="E33" s="2">
        <f>E11/'Output-Calculation-sheet'!E10*'Output-Calculation-sheet'!E19</f>
        <v>10097.070808128885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3030.47906137891</v>
      </c>
      <c r="J33" s="2">
        <f>J11/'Output-Calculation-sheet'!J10*'Output-Calculation-sheet'!J19</f>
        <v>2508.5243059522049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2811.3359219802237</v>
      </c>
      <c r="M33" s="2">
        <f>M11/'Output-Calculation-sheet'!M10*'Output-Calculation-sheet'!M19</f>
        <v>0</v>
      </c>
      <c r="N33" s="2">
        <f>N11/'Output-Calculation-sheet'!N10*'Output-Calculation-sheet'!N19</f>
        <v>1668.6811258473683</v>
      </c>
      <c r="O33" s="2">
        <f>O11/'Output-Calculation-sheet'!O10*'Output-Calculation-sheet'!O19</f>
        <v>0</v>
      </c>
      <c r="P33" s="2">
        <f>P11/'Output-Calculation-sheet'!P10*'Output-Calculation-sheet'!P19</f>
        <v>3595.2277247971092</v>
      </c>
      <c r="Q33" s="2">
        <f>Q11/'Output-Calculation-sheet'!Q10*'Output-Calculation-sheet'!Q19</f>
        <v>3009.2088072564061</v>
      </c>
      <c r="R33" s="2">
        <f>R11/'Output-Calculation-sheet'!R10*'Output-Calculation-sheet'!R19</f>
        <v>2567.344029961554</v>
      </c>
      <c r="S33" s="2">
        <f>S11/'Output-Calculation-sheet'!S10*'Output-Calculation-sheet'!S19</f>
        <v>1287.2653684791007</v>
      </c>
      <c r="T33" s="2">
        <f>T11/'Output-Calculation-sheet'!T10*'Output-Calculation-sheet'!T19</f>
        <v>753.30760197794007</v>
      </c>
      <c r="U33" s="2">
        <f>U11/'Output-Calculation-sheet'!U10*'Output-Calculation-sheet'!U19</f>
        <v>812.0388226007218</v>
      </c>
      <c r="V33" s="2">
        <f>V11/'Output-Calculation-sheet'!V10*'Output-Calculation-sheet'!V19</f>
        <v>590.88000341258385</v>
      </c>
      <c r="W33" s="2">
        <f>W11/'Output-Calculation-sheet'!W10*'Output-Calculation-sheet'!W19</f>
        <v>367.91814238949217</v>
      </c>
      <c r="X33" s="2">
        <f>X11/'Output-Calculation-sheet'!X10*'Output-Calculation-sheet'!X19</f>
        <v>0</v>
      </c>
      <c r="Y33" s="2">
        <f>Y11/'Output-Calculation-sheet'!Y10*'Output-Calculation-sheet'!Y19</f>
        <v>331.61680721663225</v>
      </c>
      <c r="AA33" s="2">
        <f t="shared" si="1"/>
        <v>79.877186132828967</v>
      </c>
    </row>
    <row r="34" spans="1:27" x14ac:dyDescent="0.25">
      <c r="A34" s="2">
        <v>2035</v>
      </c>
      <c r="B34" s="2">
        <f>B12/'Output-Calculation-sheet'!B11*'Output-Calculation-sheet'!B20</f>
        <v>25636.421856911817</v>
      </c>
      <c r="C34" s="2">
        <f>C12/'Output-Calculation-sheet'!C11*'Output-Calculation-sheet'!C20</f>
        <v>0</v>
      </c>
      <c r="D34" s="2">
        <f>D12/'Output-Calculation-sheet'!D11*'Output-Calculation-sheet'!D20</f>
        <v>7994.2730272760473</v>
      </c>
      <c r="E34" s="2">
        <f>E12/'Output-Calculation-sheet'!E11*'Output-Calculation-sheet'!E20</f>
        <v>9357.2979044014028</v>
      </c>
      <c r="F34" s="2">
        <f>F12/'Output-Calculation-sheet'!F11*'Output-Calculation-sheet'!F20</f>
        <v>5435.6453300363873</v>
      </c>
      <c r="G34" s="2">
        <f>G12/'Output-Calculation-sheet'!G11*'Output-Calculation-sheet'!G20</f>
        <v>2885.5571520229441</v>
      </c>
      <c r="H34" s="2">
        <f>H12/'Output-Calculation-sheet'!H11*'Output-Calculation-sheet'!H20</f>
        <v>0</v>
      </c>
      <c r="I34" s="2">
        <f>I12/'Output-Calculation-sheet'!I11*'Output-Calculation-sheet'!I20</f>
        <v>3198.6266343979005</v>
      </c>
      <c r="J34" s="2">
        <f>J12/'Output-Calculation-sheet'!J11*'Output-Calculation-sheet'!J20</f>
        <v>2501.8600902955081</v>
      </c>
      <c r="K34" s="2">
        <f>K12/'Output-Calculation-sheet'!K11*'Output-Calculation-sheet'!K20</f>
        <v>3693.5694310045506</v>
      </c>
      <c r="L34" s="2">
        <f>L12/'Output-Calculation-sheet'!L11*'Output-Calculation-sheet'!L20</f>
        <v>2804.425792026298</v>
      </c>
      <c r="M34" s="2">
        <f>M12/'Output-Calculation-sheet'!M11*'Output-Calculation-sheet'!M20</f>
        <v>0</v>
      </c>
      <c r="N34" s="2">
        <f>N12/'Output-Calculation-sheet'!N11*'Output-Calculation-sheet'!N20</f>
        <v>1631.974035252274</v>
      </c>
      <c r="O34" s="2">
        <f>O12/'Output-Calculation-sheet'!O11*'Output-Calculation-sheet'!O20</f>
        <v>0</v>
      </c>
      <c r="P34" s="2">
        <f>P12/'Output-Calculation-sheet'!P11*'Output-Calculation-sheet'!P20</f>
        <v>3524.2808268944736</v>
      </c>
      <c r="Q34" s="2">
        <f>Q12/'Output-Calculation-sheet'!Q11*'Output-Calculation-sheet'!Q20</f>
        <v>2892.0186279222744</v>
      </c>
      <c r="R34" s="2">
        <f>R12/'Output-Calculation-sheet'!R11*'Output-Calculation-sheet'!R20</f>
        <v>2742.6989987871852</v>
      </c>
      <c r="S34" s="2">
        <f>S12/'Output-Calculation-sheet'!S11*'Output-Calculation-sheet'!S20</f>
        <v>1160.3353348841883</v>
      </c>
      <c r="T34" s="2">
        <f>T12/'Output-Calculation-sheet'!T11*'Output-Calculation-sheet'!T20</f>
        <v>849.57112710562023</v>
      </c>
      <c r="U34" s="2">
        <f>U12/'Output-Calculation-sheet'!U11*'Output-Calculation-sheet'!U20</f>
        <v>811.73108012886246</v>
      </c>
      <c r="V34" s="2">
        <f>V12/'Output-Calculation-sheet'!V11*'Output-Calculation-sheet'!V20</f>
        <v>604.29333783170625</v>
      </c>
      <c r="W34" s="2">
        <f>W12/'Output-Calculation-sheet'!W11*'Output-Calculation-sheet'!W20</f>
        <v>476.47376426298047</v>
      </c>
      <c r="X34" s="2">
        <f>X12/'Output-Calculation-sheet'!X11*'Output-Calculation-sheet'!X20</f>
        <v>0</v>
      </c>
      <c r="Y34" s="2">
        <f>Y12/'Output-Calculation-sheet'!Y11*'Output-Calculation-sheet'!Y20</f>
        <v>281.40001423842057</v>
      </c>
      <c r="AA34" s="2">
        <f t="shared" si="1"/>
        <v>78.482454365680837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0.60304244016192121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0.3319374471898377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0.93497988735175896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1.8987623822329167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0.47427014795372535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2.373032530186642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3.4025248594747564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0.61694831833104158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4.0194731778057982</v>
      </c>
    </row>
    <row r="44" spans="1:27" x14ac:dyDescent="0.25">
      <c r="A44" s="2">
        <v>2034</v>
      </c>
      <c r="B44" s="2">
        <f>B11/'Output-Calculation-sheet'!B10*'Output-Calculation-sheet'!B37*0.0114</f>
        <v>0.24368370507481352</v>
      </c>
      <c r="C44" s="2">
        <f>C11/'Output-Calculation-sheet'!C10*'Output-Calculation-sheet'!C37*0.0114</f>
        <v>3.8745405406330611</v>
      </c>
      <c r="D44" s="2">
        <f>D11/'Output-Calculation-sheet'!D10*'Output-Calculation-sheet'!D37*0.0114</f>
        <v>5.1226475617129341E-2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7.120619385833192E-2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1.6357405166507445E-2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1.2916920044790971E-2</v>
      </c>
      <c r="M44" s="2">
        <f>M11/'Output-Calculation-sheet'!M10*'Output-Calculation-sheet'!M37*0.0114</f>
        <v>3.6747593345516152E-2</v>
      </c>
      <c r="N44" s="2">
        <f>N11/'Output-Calculation-sheet'!N10*'Output-Calculation-sheet'!N37*0.0114</f>
        <v>2.4077949813349028E-2</v>
      </c>
      <c r="O44" s="2">
        <f>O11/'Output-Calculation-sheet'!O10*'Output-Calculation-sheet'!O37*0.0114</f>
        <v>0.74148102820013839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5.2739926295850226E-2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2.7604624089505415E-2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6.7308830354478027E-3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5.1593132451744426</v>
      </c>
    </row>
    <row r="45" spans="1:27" x14ac:dyDescent="0.25">
      <c r="A45" s="2">
        <v>2035</v>
      </c>
      <c r="B45" s="2">
        <f>B12/'Output-Calculation-sheet'!B11*'Output-Calculation-sheet'!B38*0.0114</f>
        <v>1.0943651890184538</v>
      </c>
      <c r="C45" s="2">
        <f>C12/'Output-Calculation-sheet'!C11*'Output-Calculation-sheet'!C38*0.0114</f>
        <v>4.1552883858517724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0.28440530026837785</v>
      </c>
      <c r="F45" s="2">
        <f>F12/'Output-Calculation-sheet'!F11*'Output-Calculation-sheet'!F38*0.0114</f>
        <v>0.10221221004205318</v>
      </c>
      <c r="G45" s="2">
        <f>G12/'Output-Calculation-sheet'!G11*'Output-Calculation-sheet'!G38*0.0114</f>
        <v>9.1695177582243437E-2</v>
      </c>
      <c r="H45" s="2">
        <f>H12/'Output-Calculation-sheet'!H11*'Output-Calculation-sheet'!H38*0.0114</f>
        <v>0.319781660317148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6.5297667697378686E-2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7.734522170594911E-2</v>
      </c>
      <c r="M45" s="2">
        <f>M12/'Output-Calculation-sheet'!M11*'Output-Calculation-sheet'!M38*0.0114</f>
        <v>0.19559191404164536</v>
      </c>
      <c r="N45" s="2">
        <f>N12/'Output-Calculation-sheet'!N11*'Output-Calculation-sheet'!N38*0.0114</f>
        <v>0.12014695712293112</v>
      </c>
      <c r="O45" s="2">
        <f>O12/'Output-Calculation-sheet'!O11*'Output-Calculation-sheet'!O38*0.0114</f>
        <v>0.8408928085015559</v>
      </c>
      <c r="P45" s="2">
        <f>P12/'Output-Calculation-sheet'!P11*'Output-Calculation-sheet'!P38*0.0114</f>
        <v>7.7696279112850083E-2</v>
      </c>
      <c r="Q45" s="2">
        <f>Q12/'Output-Calculation-sheet'!Q11*'Output-Calculation-sheet'!Q38*0.0114</f>
        <v>0.11579384264358146</v>
      </c>
      <c r="R45" s="2">
        <f>R12/'Output-Calculation-sheet'!R11*'Output-Calculation-sheet'!R38*0.0114</f>
        <v>5.2196099638869682E-2</v>
      </c>
      <c r="S45" s="2">
        <f>S12/'Output-Calculation-sheet'!S11*'Output-Calculation-sheet'!S38*0.0114</f>
        <v>7.5759621849976796E-2</v>
      </c>
      <c r="T45" s="2">
        <f>T12/'Output-Calculation-sheet'!T11*'Output-Calculation-sheet'!T38*0.0114</f>
        <v>1.5448472475402472E-2</v>
      </c>
      <c r="U45" s="2">
        <f>U12/'Output-Calculation-sheet'!U11*'Output-Calculation-sheet'!U38*0.0114</f>
        <v>2.3510580643695204E-2</v>
      </c>
      <c r="V45" s="2">
        <f>V12/'Output-Calculation-sheet'!V11*'Output-Calculation-sheet'!V38*0.0114</f>
        <v>1.0359263734848592E-2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5.3642099421752718E-3</v>
      </c>
      <c r="Y45" s="2">
        <f>Y12/'Output-Calculation-sheet'!Y11*'Output-Calculation-sheet'!Y38*0.0114</f>
        <v>9.0589891034313173E-3</v>
      </c>
      <c r="AA45" s="2">
        <f t="shared" si="2"/>
        <v>8.0904686014078315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6711.6340139518625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4590.2452999658344</v>
      </c>
      <c r="N52" s="2">
        <f>N8/'Output-Calculation-sheet'!N7*'Output-Calculation-sheet'!N43</f>
        <v>144.99831971642342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31.037126784521423</v>
      </c>
      <c r="Y52" s="2">
        <f>Y8/'Output-Calculation-sheet'!Y7*'Output-Calculation-sheet'!Y43</f>
        <v>0</v>
      </c>
      <c r="AA52" s="2">
        <f t="shared" si="3"/>
        <v>11.477914760418642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195.11092148258041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12845.770764082372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8785.7164999017441</v>
      </c>
      <c r="N53" s="2">
        <f>N9/'Output-Calculation-sheet'!N8*'Output-Calculation-sheet'!N44</f>
        <v>3117.7304795928994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972.24993559551956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268.15541293839095</v>
      </c>
      <c r="Y53" s="2">
        <f>Y9/'Output-Calculation-sheet'!Y8*'Output-Calculation-sheet'!Y44</f>
        <v>0</v>
      </c>
      <c r="AA53" s="2">
        <f t="shared" si="3"/>
        <v>26.322934056467648</v>
      </c>
    </row>
    <row r="54" spans="1:27" x14ac:dyDescent="0.25">
      <c r="A54" s="2">
        <v>2033</v>
      </c>
      <c r="B54" s="2">
        <f>B10/'Output-Calculation-sheet'!B9*'Output-Calculation-sheet'!B45</f>
        <v>26694.711831619228</v>
      </c>
      <c r="C54" s="2">
        <f>C10/'Output-Calculation-sheet'!C9*'Output-Calculation-sheet'!C45</f>
        <v>5735.5426359274761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13334.280755096996</v>
      </c>
      <c r="N54" s="2">
        <f>N10/'Output-Calculation-sheet'!N9*'Output-Calculation-sheet'!N45</f>
        <v>7460.4154337483224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781.21840085334395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81.570160824748953</v>
      </c>
    </row>
    <row r="55" spans="1:27" x14ac:dyDescent="0.25">
      <c r="A55" s="2">
        <v>2034</v>
      </c>
      <c r="B55" s="2">
        <f>B11/'Output-Calculation-sheet'!B10*'Output-Calculation-sheet'!B46</f>
        <v>68135.246484734045</v>
      </c>
      <c r="C55" s="2">
        <f>C11/'Output-Calculation-sheet'!C10*'Output-Calculation-sheet'!C46</f>
        <v>13980.405511894103</v>
      </c>
      <c r="D55" s="2">
        <f>D11/'Output-Calculation-sheet'!D10*'Output-Calculation-sheet'!D46</f>
        <v>5900.0317969553353</v>
      </c>
      <c r="E55" s="2">
        <f>E11/'Output-Calculation-sheet'!E10*'Output-Calculation-sheet'!E46</f>
        <v>8835.0949817501787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22825.020518141177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846.56746037187645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710.43060246350342</v>
      </c>
      <c r="M55" s="2">
        <f>M11/'Output-Calculation-sheet'!M10*'Output-Calculation-sheet'!M46</f>
        <v>15961.564302562643</v>
      </c>
      <c r="N55" s="2">
        <f>N11/'Output-Calculation-sheet'!N10*'Output-Calculation-sheet'!N46</f>
        <v>11626.059188384186</v>
      </c>
      <c r="O55" s="2">
        <f>O11/'Output-Calculation-sheet'!O10*'Output-Calculation-sheet'!O46</f>
        <v>0</v>
      </c>
      <c r="P55" s="2">
        <f>P11/'Output-Calculation-sheet'!P10*'Output-Calculation-sheet'!P46</f>
        <v>4609.734103980798</v>
      </c>
      <c r="Q55" s="2">
        <f>Q11/'Output-Calculation-sheet'!Q10*'Output-Calculation-sheet'!Q46</f>
        <v>1705.2576168991573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4888.9242137466172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1133.9176201383775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76.087213178896263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176.03781600751338</v>
      </c>
    </row>
    <row r="56" spans="1:27" x14ac:dyDescent="0.25">
      <c r="A56" s="2">
        <v>2035</v>
      </c>
      <c r="B56" s="2">
        <f>B12/'Output-Calculation-sheet'!B11*'Output-Calculation-sheet'!B47</f>
        <v>77938.854153585198</v>
      </c>
      <c r="C56" s="2">
        <f>C12/'Output-Calculation-sheet'!C11*'Output-Calculation-sheet'!C47</f>
        <v>28096.796468661472</v>
      </c>
      <c r="D56" s="2">
        <f>D12/'Output-Calculation-sheet'!D11*'Output-Calculation-sheet'!D47</f>
        <v>6134.7799631524031</v>
      </c>
      <c r="E56" s="2">
        <f>E12/'Output-Calculation-sheet'!E11*'Output-Calculation-sheet'!E47</f>
        <v>16294.499158233377</v>
      </c>
      <c r="F56" s="2">
        <f>F12/'Output-Calculation-sheet'!F11*'Output-Calculation-sheet'!F47</f>
        <v>1916.4789382884971</v>
      </c>
      <c r="G56" s="2">
        <f>G12/'Output-Calculation-sheet'!G11*'Output-Calculation-sheet'!G47</f>
        <v>4953.1482767671496</v>
      </c>
      <c r="H56" s="2">
        <f>H12/'Output-Calculation-sheet'!H11*'Output-Calculation-sheet'!H47</f>
        <v>23138.977058425993</v>
      </c>
      <c r="I56" s="2">
        <f>I12/'Output-Calculation-sheet'!I11*'Output-Calculation-sheet'!I47</f>
        <v>2753.478942764516</v>
      </c>
      <c r="J56" s="2">
        <f>J12/'Output-Calculation-sheet'!J11*'Output-Calculation-sheet'!J47</f>
        <v>988.05681384191428</v>
      </c>
      <c r="K56" s="2">
        <f>K12/'Output-Calculation-sheet'!K11*'Output-Calculation-sheet'!K47</f>
        <v>4116.941788033585</v>
      </c>
      <c r="L56" s="2">
        <f>L12/'Output-Calculation-sheet'!L11*'Output-Calculation-sheet'!L47</f>
        <v>930.63037228064491</v>
      </c>
      <c r="M56" s="2">
        <f>M12/'Output-Calculation-sheet'!M11*'Output-Calculation-sheet'!M47</f>
        <v>16198.527705663895</v>
      </c>
      <c r="N56" s="2">
        <f>N12/'Output-Calculation-sheet'!N11*'Output-Calculation-sheet'!N47</f>
        <v>12081.092714913679</v>
      </c>
      <c r="O56" s="2">
        <f>O12/'Output-Calculation-sheet'!O11*'Output-Calculation-sheet'!O47</f>
        <v>0</v>
      </c>
      <c r="P56" s="2">
        <f>P12/'Output-Calculation-sheet'!P11*'Output-Calculation-sheet'!P47</f>
        <v>6236.1487182682304</v>
      </c>
      <c r="Q56" s="2">
        <f>Q12/'Output-Calculation-sheet'!Q11*'Output-Calculation-sheet'!Q47</f>
        <v>2210.609723195646</v>
      </c>
      <c r="R56" s="2">
        <f>R12/'Output-Calculation-sheet'!R11*'Output-Calculation-sheet'!R47</f>
        <v>4313.9618491002648</v>
      </c>
      <c r="S56" s="2">
        <f>S12/'Output-Calculation-sheet'!S11*'Output-Calculation-sheet'!S47</f>
        <v>5630.0152792658191</v>
      </c>
      <c r="T56" s="2">
        <f>T12/'Output-Calculation-sheet'!T11*'Output-Calculation-sheet'!T47</f>
        <v>1478.4459184793066</v>
      </c>
      <c r="U56" s="2">
        <f>U12/'Output-Calculation-sheet'!U11*'Output-Calculation-sheet'!U47</f>
        <v>1153.1380030002886</v>
      </c>
      <c r="V56" s="2">
        <f>V12/'Output-Calculation-sheet'!V11*'Output-Calculation-sheet'!V47</f>
        <v>664.71942298611793</v>
      </c>
      <c r="W56" s="2">
        <f>W12/'Output-Calculation-sheet'!W11*'Output-Calculation-sheet'!W47</f>
        <v>573.04420439902549</v>
      </c>
      <c r="X56" s="2">
        <f>X12/'Output-Calculation-sheet'!X11*'Output-Calculation-sheet'!X47</f>
        <v>344.67401602134964</v>
      </c>
      <c r="Y56" s="2">
        <f>Y12/'Output-Calculation-sheet'!Y11*'Output-Calculation-sheet'!Y47</f>
        <v>738.22814711295553</v>
      </c>
      <c r="AA56" s="2">
        <f t="shared" si="3"/>
        <v>218.88524763644128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5.1447670414853519</v>
      </c>
      <c r="C63" s="2">
        <f>C8*'Output-Calculation-sheet'!C52/10^9</f>
        <v>3.2146892335860571</v>
      </c>
      <c r="D63" s="2">
        <f>D8*'Output-Calculation-sheet'!D52/10^9</f>
        <v>1.4694040397215271</v>
      </c>
      <c r="E63" s="2">
        <f>E8*'Output-Calculation-sheet'!E52/10^9</f>
        <v>1.3497414836041146</v>
      </c>
      <c r="F63" s="2">
        <f>F8*'Output-Calculation-sheet'!F52/10^9</f>
        <v>0.71133711337752958</v>
      </c>
      <c r="G63" s="2">
        <f>G8*'Output-Calculation-sheet'!G52/10^9</f>
        <v>0.5260560976095221</v>
      </c>
      <c r="H63" s="2">
        <f>H8*'Output-Calculation-sheet'!H52/10^9</f>
        <v>0.907642658600334</v>
      </c>
      <c r="I63" s="2">
        <f>I8*'Output-Calculation-sheet'!I52/10^9</f>
        <v>0.4876773680560661</v>
      </c>
      <c r="J63" s="2">
        <f>J8*'Output-Calculation-sheet'!J52/10^9</f>
        <v>0.4957915168264791</v>
      </c>
      <c r="K63" s="2">
        <f>K8*'Output-Calculation-sheet'!K52/10^9</f>
        <v>0.49894788331689582</v>
      </c>
      <c r="L63" s="2">
        <f>L8*'Output-Calculation-sheet'!L52/10^9</f>
        <v>0.40674085434512258</v>
      </c>
      <c r="M63" s="2">
        <f>M8*'Output-Calculation-sheet'!M52/10^9</f>
        <v>0.6284206402937984</v>
      </c>
      <c r="N63" s="2">
        <f>N8*'Output-Calculation-sheet'!N52/10^9</f>
        <v>0.563856880231562</v>
      </c>
      <c r="O63" s="2">
        <f>O8*'Output-Calculation-sheet'!O52/10^9</f>
        <v>0.6097312107277818</v>
      </c>
      <c r="P63" s="2">
        <f>P8*'Output-Calculation-sheet'!P52/10^9</f>
        <v>0.4016664827286896</v>
      </c>
      <c r="Q63" s="2">
        <f>Q8*'Output-Calculation-sheet'!Q52/10^9</f>
        <v>0.41423390007983607</v>
      </c>
      <c r="R63" s="2">
        <f>R8*'Output-Calculation-sheet'!R52/10^9</f>
        <v>0.3392535405030786</v>
      </c>
      <c r="S63" s="2">
        <f>S8*'Output-Calculation-sheet'!S52/10^9</f>
        <v>0.31194840442171995</v>
      </c>
      <c r="T63" s="2">
        <f>T8*'Output-Calculation-sheet'!T52/10^9</f>
        <v>0.11696847920329353</v>
      </c>
      <c r="U63" s="2">
        <f>U8*'Output-Calculation-sheet'!U52/10^9</f>
        <v>0.10626052390673739</v>
      </c>
      <c r="V63" s="2">
        <f>V8*'Output-Calculation-sheet'!V52/10^9</f>
        <v>8.2106809687386526E-2</v>
      </c>
      <c r="W63" s="2">
        <f>W8*'Output-Calculation-sheet'!W52/10^9</f>
        <v>6.4146417877041631E-2</v>
      </c>
      <c r="X63" s="2">
        <f>X8*'Output-Calculation-sheet'!X52/10^9</f>
        <v>7.5698192770145778E-2</v>
      </c>
      <c r="Y63" s="2">
        <f>Y8*'Output-Calculation-sheet'!Y52/10^9</f>
        <v>4.1697785495797807E-2</v>
      </c>
      <c r="AA63" s="2">
        <f t="shared" si="4"/>
        <v>18.968784558455869</v>
      </c>
    </row>
    <row r="64" spans="1:27" x14ac:dyDescent="0.25">
      <c r="A64" s="2">
        <v>2032</v>
      </c>
      <c r="B64" s="2">
        <f>B9*'Output-Calculation-sheet'!B53/10^9</f>
        <v>5.7483686018214133</v>
      </c>
      <c r="C64" s="2">
        <f>C9*'Output-Calculation-sheet'!C53/10^9</f>
        <v>3.8057931432273508</v>
      </c>
      <c r="D64" s="2">
        <f>D9*'Output-Calculation-sheet'!D53/10^9</f>
        <v>1.3850097764758025</v>
      </c>
      <c r="E64" s="2">
        <f>E9*'Output-Calculation-sheet'!E53/10^9</f>
        <v>1.3521864796878795</v>
      </c>
      <c r="F64" s="2">
        <f>F9*'Output-Calculation-sheet'!F53/10^9</f>
        <v>0.68195172624613087</v>
      </c>
      <c r="G64" s="2">
        <f>G9*'Output-Calculation-sheet'!G53/10^9</f>
        <v>0.49534927131555462</v>
      </c>
      <c r="H64" s="2">
        <f>H9*'Output-Calculation-sheet'!H53/10^9</f>
        <v>1.0634011871077071</v>
      </c>
      <c r="I64" s="2">
        <f>I9*'Output-Calculation-sheet'!I53/10^9</f>
        <v>0.46253086626603596</v>
      </c>
      <c r="J64" s="2">
        <f>J9*'Output-Calculation-sheet'!J53/10^9</f>
        <v>0.46166766637127199</v>
      </c>
      <c r="K64" s="2">
        <f>K9*'Output-Calculation-sheet'!K53/10^9</f>
        <v>0.49794754102450611</v>
      </c>
      <c r="L64" s="2">
        <f>L9*'Output-Calculation-sheet'!L53/10^9</f>
        <v>0.41046770550220502</v>
      </c>
      <c r="M64" s="2">
        <f>M9*'Output-Calculation-sheet'!M53/10^9</f>
        <v>0.73677695596284865</v>
      </c>
      <c r="N64" s="2">
        <f>N9*'Output-Calculation-sheet'!N53/10^9</f>
        <v>0.65467423145929304</v>
      </c>
      <c r="O64" s="2">
        <f>O9*'Output-Calculation-sheet'!O53/10^9</f>
        <v>0.70438569472975088</v>
      </c>
      <c r="P64" s="2">
        <f>P9*'Output-Calculation-sheet'!P53/10^9</f>
        <v>0.44535376091591722</v>
      </c>
      <c r="Q64" s="2">
        <f>Q9*'Output-Calculation-sheet'!Q53/10^9</f>
        <v>0.45572042812361518</v>
      </c>
      <c r="R64" s="2">
        <f>R9*'Output-Calculation-sheet'!R53/10^9</f>
        <v>0.35629907130928018</v>
      </c>
      <c r="S64" s="2">
        <f>S9*'Output-Calculation-sheet'!S53/10^9</f>
        <v>0.36060442162009532</v>
      </c>
      <c r="T64" s="2">
        <f>T9*'Output-Calculation-sheet'!T53/10^9</f>
        <v>0.11417337469363466</v>
      </c>
      <c r="U64" s="2">
        <f>U9*'Output-Calculation-sheet'!U53/10^9</f>
        <v>0.1126265510127019</v>
      </c>
      <c r="V64" s="2">
        <f>V9*'Output-Calculation-sheet'!V53/10^9</f>
        <v>8.3797244315889058E-2</v>
      </c>
      <c r="W64" s="2">
        <f>W9*'Output-Calculation-sheet'!W53/10^9</f>
        <v>6.0498028343872939E-2</v>
      </c>
      <c r="X64" s="2">
        <f>X9*'Output-Calculation-sheet'!X53/10^9</f>
        <v>8.9105763976118357E-2</v>
      </c>
      <c r="Y64" s="2">
        <f>Y9*'Output-Calculation-sheet'!Y53/10^9</f>
        <v>4.3609072322000224E-2</v>
      </c>
      <c r="AA64" s="2">
        <f t="shared" si="4"/>
        <v>20.582298563830879</v>
      </c>
    </row>
    <row r="65" spans="1:27" x14ac:dyDescent="0.25">
      <c r="A65" s="2">
        <v>2033</v>
      </c>
      <c r="B65" s="2">
        <f>B10*'Output-Calculation-sheet'!B54/10^9</f>
        <v>6.5429261581231692</v>
      </c>
      <c r="C65" s="2">
        <f>C10*'Output-Calculation-sheet'!C54/10^9</f>
        <v>4.32154240431269</v>
      </c>
      <c r="D65" s="2">
        <f>D10*'Output-Calculation-sheet'!D54/10^9</f>
        <v>1.2568661073967098</v>
      </c>
      <c r="E65" s="2">
        <f>E10*'Output-Calculation-sheet'!E54/10^9</f>
        <v>1.4262488637193238</v>
      </c>
      <c r="F65" s="2">
        <f>F10*'Output-Calculation-sheet'!F54/10^9</f>
        <v>0.64700798618015454</v>
      </c>
      <c r="G65" s="2">
        <f>G10*'Output-Calculation-sheet'!G54/10^9</f>
        <v>0.44654364471432728</v>
      </c>
      <c r="H65" s="2">
        <f>H10*'Output-Calculation-sheet'!H54/10^9</f>
        <v>1.1869017007295894</v>
      </c>
      <c r="I65" s="2">
        <f>I10*'Output-Calculation-sheet'!I54/10^9</f>
        <v>0.4392503906274397</v>
      </c>
      <c r="J65" s="2">
        <f>J10*'Output-Calculation-sheet'!J54/10^9</f>
        <v>0.40510253648702604</v>
      </c>
      <c r="K65" s="2">
        <f>K10*'Output-Calculation-sheet'!K54/10^9</f>
        <v>0.516689823491986</v>
      </c>
      <c r="L65" s="2">
        <f>L10*'Output-Calculation-sheet'!L54/10^9</f>
        <v>0.42971904679271239</v>
      </c>
      <c r="M65" s="2">
        <f>M10*'Output-Calculation-sheet'!M54/10^9</f>
        <v>0.82245228451527841</v>
      </c>
      <c r="N65" s="2">
        <f>N10*'Output-Calculation-sheet'!N54/10^9</f>
        <v>0.73939925745776791</v>
      </c>
      <c r="O65" s="2">
        <f>O10*'Output-Calculation-sheet'!O54/10^9</f>
        <v>0.78278206142044437</v>
      </c>
      <c r="P65" s="2">
        <f>P10*'Output-Calculation-sheet'!P54/10^9</f>
        <v>0.4989590033260019</v>
      </c>
      <c r="Q65" s="2">
        <f>Q10*'Output-Calculation-sheet'!Q54/10^9</f>
        <v>0.517692662872281</v>
      </c>
      <c r="R65" s="2">
        <f>R10*'Output-Calculation-sheet'!R54/10^9</f>
        <v>0.38683685958682623</v>
      </c>
      <c r="S65" s="2">
        <f>S10*'Output-Calculation-sheet'!S54/10^9</f>
        <v>0.40906818760860919</v>
      </c>
      <c r="T65" s="2">
        <f>T10*'Output-Calculation-sheet'!T54/10^9</f>
        <v>0.11610730972058914</v>
      </c>
      <c r="U65" s="2">
        <f>U10*'Output-Calculation-sheet'!U54/10^9</f>
        <v>0.12554219012659462</v>
      </c>
      <c r="V65" s="2">
        <f>V10*'Output-Calculation-sheet'!V54/10^9</f>
        <v>8.7611801762518302E-2</v>
      </c>
      <c r="W65" s="2">
        <f>W10*'Output-Calculation-sheet'!W54/10^9</f>
        <v>5.4802172188022288E-2</v>
      </c>
      <c r="X65" s="2">
        <f>X10*'Output-Calculation-sheet'!X54/10^9</f>
        <v>0.10081604628047711</v>
      </c>
      <c r="Y65" s="2">
        <f>Y10*'Output-Calculation-sheet'!Y54/10^9</f>
        <v>4.8348845362551796E-2</v>
      </c>
      <c r="AA65" s="2">
        <f t="shared" si="4"/>
        <v>22.309217344803095</v>
      </c>
    </row>
    <row r="66" spans="1:27" x14ac:dyDescent="0.25">
      <c r="A66" s="2">
        <v>2034</v>
      </c>
      <c r="B66" s="2">
        <f>B11*'Output-Calculation-sheet'!B55/10^9</f>
        <v>7.4431717146289404</v>
      </c>
      <c r="C66" s="2">
        <f>C11*'Output-Calculation-sheet'!C55/10^9</f>
        <v>4.7416396185581409</v>
      </c>
      <c r="D66" s="2">
        <f>D11*'Output-Calculation-sheet'!D55/10^9</f>
        <v>1.3965161116576637</v>
      </c>
      <c r="E66" s="2">
        <f>E11*'Output-Calculation-sheet'!E55/10^9</f>
        <v>1.7219617293855463</v>
      </c>
      <c r="F66" s="2">
        <f>F11*'Output-Calculation-sheet'!F55/10^9</f>
        <v>0.6896429816018298</v>
      </c>
      <c r="G66" s="2">
        <f>G11*'Output-Calculation-sheet'!G55/10^9</f>
        <v>0.4967210052293099</v>
      </c>
      <c r="H66" s="2">
        <f>H11*'Output-Calculation-sheet'!H55/10^9</f>
        <v>1.3084965421986159</v>
      </c>
      <c r="I66" s="2">
        <f>I11*'Output-Calculation-sheet'!I55/10^9</f>
        <v>0.48826820432874174</v>
      </c>
      <c r="J66" s="2">
        <f>J11*'Output-Calculation-sheet'!J55/10^9</f>
        <v>0.4307801225487905</v>
      </c>
      <c r="K66" s="2">
        <f>K11*'Output-Calculation-sheet'!K55/10^9</f>
        <v>0.57570038058467854</v>
      </c>
      <c r="L66" s="2">
        <f>L11*'Output-Calculation-sheet'!L55/10^9</f>
        <v>0.50426351495503707</v>
      </c>
      <c r="M66" s="2">
        <f>M11*'Output-Calculation-sheet'!M55/10^9</f>
        <v>0.90858464619826051</v>
      </c>
      <c r="N66" s="2">
        <f>N11*'Output-Calculation-sheet'!N55/10^9</f>
        <v>0.81339021528765265</v>
      </c>
      <c r="O66" s="2">
        <f>O11*'Output-Calculation-sheet'!O55/10^9</f>
        <v>0.84385501759013293</v>
      </c>
      <c r="P66" s="2">
        <f>P11*'Output-Calculation-sheet'!P55/10^9</f>
        <v>0.5717142110736958</v>
      </c>
      <c r="Q66" s="2">
        <f>Q11*'Output-Calculation-sheet'!Q55/10^9</f>
        <v>0.5934977252820286</v>
      </c>
      <c r="R66" s="2">
        <f>R11*'Output-Calculation-sheet'!R55/10^9</f>
        <v>0.43266845701461976</v>
      </c>
      <c r="S66" s="2">
        <f>S11*'Output-Calculation-sheet'!S55/10^9</f>
        <v>0.45818585987091343</v>
      </c>
      <c r="T66" s="2">
        <f>T11*'Output-Calculation-sheet'!T55/10^9</f>
        <v>0.12737902231061501</v>
      </c>
      <c r="U66" s="2">
        <f>U11*'Output-Calculation-sheet'!U55/10^9</f>
        <v>0.1471142662490694</v>
      </c>
      <c r="V66" s="2">
        <f>V11*'Output-Calculation-sheet'!V55/10^9</f>
        <v>9.5145583651445459E-2</v>
      </c>
      <c r="W66" s="2">
        <f>W11*'Output-Calculation-sheet'!W55/10^9</f>
        <v>5.7966621284598431E-2</v>
      </c>
      <c r="X66" s="2">
        <f>X11*'Output-Calculation-sheet'!X55/10^9</f>
        <v>0.1106364308454868</v>
      </c>
      <c r="Y66" s="2">
        <f>Y11*'Output-Calculation-sheet'!Y55/10^9</f>
        <v>6.0105717286447181E-2</v>
      </c>
      <c r="AA66" s="2">
        <f t="shared" si="4"/>
        <v>25.017405699622259</v>
      </c>
    </row>
    <row r="67" spans="1:27" x14ac:dyDescent="0.25">
      <c r="A67" s="2">
        <v>2035</v>
      </c>
      <c r="B67" s="2">
        <f>B12*'Output-Calculation-sheet'!B56/10^9</f>
        <v>8.2709561119200465</v>
      </c>
      <c r="C67" s="2">
        <f>C12*'Output-Calculation-sheet'!C56/10^9</f>
        <v>5.0442154592852582</v>
      </c>
      <c r="D67" s="2">
        <f>D12*'Output-Calculation-sheet'!D56/10^9</f>
        <v>1.682320900974895</v>
      </c>
      <c r="E67" s="2">
        <f>E12*'Output-Calculation-sheet'!E56/10^9</f>
        <v>2.274615291867732</v>
      </c>
      <c r="F67" s="2">
        <f>F12*'Output-Calculation-sheet'!F56/10^9</f>
        <v>0.90198624372846092</v>
      </c>
      <c r="G67" s="2">
        <f>G12*'Output-Calculation-sheet'!G56/10^9</f>
        <v>0.65468846626784738</v>
      </c>
      <c r="H67" s="2">
        <f>H12*'Output-Calculation-sheet'!H56/10^9</f>
        <v>1.4271461776298864</v>
      </c>
      <c r="I67" s="2">
        <f>I12*'Output-Calculation-sheet'!I56/10^9</f>
        <v>0.61843968140517447</v>
      </c>
      <c r="J67" s="2">
        <f>J12*'Output-Calculation-sheet'!J56/10^9</f>
        <v>0.51069643980147472</v>
      </c>
      <c r="K67" s="2">
        <f>K12*'Output-Calculation-sheet'!K56/10^9</f>
        <v>0.69048597449629956</v>
      </c>
      <c r="L67" s="2">
        <f>L12*'Output-Calculation-sheet'!L56/10^9</f>
        <v>0.59580750915350722</v>
      </c>
      <c r="M67" s="2">
        <f>M12*'Output-Calculation-sheet'!M56/10^9</f>
        <v>1.0001397790006363</v>
      </c>
      <c r="N67" s="2">
        <f>N12*'Output-Calculation-sheet'!N56/10^9</f>
        <v>0.87547633129045055</v>
      </c>
      <c r="O67" s="2">
        <f>O12*'Output-Calculation-sheet'!O56/10^9</f>
        <v>0.88603390408225124</v>
      </c>
      <c r="P67" s="2">
        <f>P12*'Output-Calculation-sheet'!P56/10^9</f>
        <v>0.69760851229233101</v>
      </c>
      <c r="Q67" s="2">
        <f>Q12*'Output-Calculation-sheet'!Q56/10^9</f>
        <v>0.65395208337441435</v>
      </c>
      <c r="R67" s="2">
        <f>R12*'Output-Calculation-sheet'!R56/10^9</f>
        <v>0.51377960987258497</v>
      </c>
      <c r="S67" s="2">
        <f>S12*'Output-Calculation-sheet'!S56/10^9</f>
        <v>0.49828320238748758</v>
      </c>
      <c r="T67" s="2">
        <f>T12*'Output-Calculation-sheet'!T56/10^9</f>
        <v>0.15793849153937684</v>
      </c>
      <c r="U67" s="2">
        <f>U12*'Output-Calculation-sheet'!U56/10^9</f>
        <v>0.17030675619276345</v>
      </c>
      <c r="V67" s="2">
        <f>V12*'Output-Calculation-sheet'!V56/10^9</f>
        <v>0.10739555213113744</v>
      </c>
      <c r="W67" s="2">
        <f>W12*'Output-Calculation-sheet'!W56/10^9</f>
        <v>8.3558919294135739E-2</v>
      </c>
      <c r="X67" s="2">
        <f>X12*'Output-Calculation-sheet'!X56/10^9</f>
        <v>0.12241529522275083</v>
      </c>
      <c r="Y67" s="2">
        <f>Y12*'Output-Calculation-sheet'!Y56/10^9</f>
        <v>7.8460010686940099E-2</v>
      </c>
      <c r="AA67" s="2">
        <f t="shared" si="4"/>
        <v>28.516706703897835</v>
      </c>
    </row>
    <row r="68" spans="1:27" x14ac:dyDescent="0.25">
      <c r="B68" s="2">
        <f>SUM(B60:B67)</f>
        <v>33.150189627978918</v>
      </c>
      <c r="C68" s="2">
        <f t="shared" ref="C68:Y68" si="5">SUM(C60:C67)</f>
        <v>21.127879858969496</v>
      </c>
      <c r="D68" s="2">
        <f t="shared" si="5"/>
        <v>7.1901169362265982</v>
      </c>
      <c r="E68" s="2">
        <f t="shared" si="5"/>
        <v>8.1247538482645965</v>
      </c>
      <c r="F68" s="2">
        <f t="shared" si="5"/>
        <v>3.6319260511341058</v>
      </c>
      <c r="G68" s="2">
        <f t="shared" si="5"/>
        <v>2.6193584851365612</v>
      </c>
      <c r="H68" s="2">
        <f t="shared" si="5"/>
        <v>5.893588266266133</v>
      </c>
      <c r="I68" s="2">
        <f t="shared" si="5"/>
        <v>2.4961665106834579</v>
      </c>
      <c r="J68" s="2">
        <f t="shared" si="5"/>
        <v>2.3040382820350422</v>
      </c>
      <c r="K68" s="2">
        <f t="shared" si="5"/>
        <v>2.7797716029143658</v>
      </c>
      <c r="L68" s="2">
        <f t="shared" si="5"/>
        <v>2.3469986307485842</v>
      </c>
      <c r="M68" s="2">
        <f t="shared" si="5"/>
        <v>4.096374305970822</v>
      </c>
      <c r="N68" s="2">
        <f t="shared" si="5"/>
        <v>3.6467969157267262</v>
      </c>
      <c r="O68" s="2">
        <f t="shared" si="5"/>
        <v>3.8267878885503612</v>
      </c>
      <c r="P68" s="2">
        <f t="shared" si="5"/>
        <v>2.6153019703366356</v>
      </c>
      <c r="Q68" s="2">
        <f t="shared" si="5"/>
        <v>2.6350967997321755</v>
      </c>
      <c r="R68" s="2">
        <f t="shared" si="5"/>
        <v>2.0288375382863899</v>
      </c>
      <c r="S68" s="2">
        <f t="shared" si="5"/>
        <v>2.0380900759088254</v>
      </c>
      <c r="T68" s="2">
        <f t="shared" si="5"/>
        <v>0.63256667746750916</v>
      </c>
      <c r="U68" s="2">
        <f t="shared" si="5"/>
        <v>0.66185028748786678</v>
      </c>
      <c r="V68" s="2">
        <f t="shared" si="5"/>
        <v>0.45605699154837681</v>
      </c>
      <c r="W68" s="2">
        <f t="shared" si="5"/>
        <v>0.32097215898767101</v>
      </c>
      <c r="X68" s="2">
        <f t="shared" si="5"/>
        <v>0.49867172909497892</v>
      </c>
      <c r="Y68" s="2">
        <f t="shared" si="5"/>
        <v>0.27222143115373709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1424.4852907351187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960.88979323314493</v>
      </c>
      <c r="N74" s="2">
        <f>N8/'Output-Calculation-sheet'!N7*'Output-Calculation-sheet'!N61</f>
        <v>39.942448527453244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8.5267079465251889</v>
      </c>
      <c r="Y74" s="2">
        <f>Y8/'Output-Calculation-sheet'!Y7*'Output-Calculation-sheet'!Y61</f>
        <v>0</v>
      </c>
      <c r="AA74" s="2">
        <f t="shared" si="6"/>
        <v>2.4338442404422418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53.603156575116728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2449.0522755369607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1659.490403803492</v>
      </c>
      <c r="N75" s="2">
        <f>N9/'Output-Calculation-sheet'!N8*'Output-Calculation-sheet'!N62</f>
        <v>638.83852924651001</v>
      </c>
      <c r="O75" s="2">
        <f>O9/'Output-Calculation-sheet'!O8*'Output-Calculation-sheet'!O62</f>
        <v>0</v>
      </c>
      <c r="P75" s="2">
        <f>P9/'Output-Calculation-sheet'!P8*'Output-Calculation-sheet'!P62</f>
        <v>41.557027461875478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214.7139019566736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58.272438112322753</v>
      </c>
      <c r="Y75" s="2">
        <f>Y9/'Output-Calculation-sheet'!Y8*'Output-Calculation-sheet'!Y62</f>
        <v>0</v>
      </c>
      <c r="AA75" s="2">
        <f t="shared" si="6"/>
        <v>5.1155277326929518</v>
      </c>
    </row>
    <row r="76" spans="1:27" x14ac:dyDescent="0.25">
      <c r="A76" s="2">
        <v>2033</v>
      </c>
      <c r="B76" s="2">
        <f>B10/'Output-Calculation-sheet'!B9*'Output-Calculation-sheet'!B63</f>
        <v>5363.5513900304186</v>
      </c>
      <c r="C76" s="2">
        <f>C10/'Output-Calculation-sheet'!C9*'Output-Calculation-sheet'!C63</f>
        <v>1575.6973237390421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3514.5367264667484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2390.5156947828127</v>
      </c>
      <c r="N76" s="2">
        <f>N10/'Output-Calculation-sheet'!N9*'Output-Calculation-sheet'!N63</f>
        <v>1365.5925922571157</v>
      </c>
      <c r="O76" s="2">
        <f>O10/'Output-Calculation-sheet'!O9*'Output-Calculation-sheet'!O63</f>
        <v>0</v>
      </c>
      <c r="P76" s="2">
        <f>P10/'Output-Calculation-sheet'!P9*'Output-Calculation-sheet'!P63</f>
        <v>470.77516451147375</v>
      </c>
      <c r="Q76" s="2">
        <f>Q10/'Output-Calculation-sheet'!Q9*'Output-Calculation-sheet'!Q63</f>
        <v>211.94972398064678</v>
      </c>
      <c r="R76" s="2">
        <f>R10/'Output-Calculation-sheet'!R9*'Output-Calculation-sheet'!R63</f>
        <v>358.78778640755962</v>
      </c>
      <c r="S76" s="2">
        <f>S10/'Output-Calculation-sheet'!S9*'Output-Calculation-sheet'!S63</f>
        <v>607.16753562935412</v>
      </c>
      <c r="T76" s="2">
        <f>T10/'Output-Calculation-sheet'!T9*'Output-Calculation-sheet'!T63</f>
        <v>23.582998731922896</v>
      </c>
      <c r="U76" s="2">
        <f>U10/'Output-Calculation-sheet'!U9*'Output-Calculation-sheet'!U63</f>
        <v>127.36731724612292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137.06576417124862</v>
      </c>
      <c r="Y76" s="2">
        <f>Y10/'Output-Calculation-sheet'!Y9*'Output-Calculation-sheet'!Y63</f>
        <v>6.0471906162651159</v>
      </c>
      <c r="AA76" s="2">
        <f t="shared" si="6"/>
        <v>16.251633876473086</v>
      </c>
    </row>
    <row r="77" spans="1:27" x14ac:dyDescent="0.25">
      <c r="A77" s="2">
        <v>2034</v>
      </c>
      <c r="B77" s="2">
        <f>B11/'Output-Calculation-sheet'!B10*'Output-Calculation-sheet'!B64</f>
        <v>11599.857379887595</v>
      </c>
      <c r="C77" s="2">
        <f>C11/'Output-Calculation-sheet'!C10*'Output-Calculation-sheet'!C64</f>
        <v>3163.9291087993583</v>
      </c>
      <c r="D77" s="2">
        <f>D11/'Output-Calculation-sheet'!D10*'Output-Calculation-sheet'!D64</f>
        <v>1401.6866858489479</v>
      </c>
      <c r="E77" s="2">
        <f>E11/'Output-Calculation-sheet'!E10*'Output-Calculation-sheet'!E64</f>
        <v>2036.6322404232749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4213.5297061277743</v>
      </c>
      <c r="I77" s="2">
        <f>I11/'Output-Calculation-sheet'!I10*'Output-Calculation-sheet'!I64</f>
        <v>508.45410162404096</v>
      </c>
      <c r="J77" s="2">
        <f>J11/'Output-Calculation-sheet'!J10*'Output-Calculation-sheet'!J64</f>
        <v>279.70732376697032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201.96737553192506</v>
      </c>
      <c r="M77" s="2">
        <f>M11/'Output-Calculation-sheet'!M10*'Output-Calculation-sheet'!M64</f>
        <v>2941.4374705391033</v>
      </c>
      <c r="N77" s="2">
        <f>N11/'Output-Calculation-sheet'!N10*'Output-Calculation-sheet'!N64</f>
        <v>2036.6608422733184</v>
      </c>
      <c r="O77" s="2">
        <f>O11/'Output-Calculation-sheet'!O10*'Output-Calculation-sheet'!O64</f>
        <v>0</v>
      </c>
      <c r="P77" s="2">
        <f>P11/'Output-Calculation-sheet'!P10*'Output-Calculation-sheet'!P64</f>
        <v>962.07638543087751</v>
      </c>
      <c r="Q77" s="2">
        <f>Q11/'Output-Calculation-sheet'!Q10*'Output-Calculation-sheet'!Q64</f>
        <v>394.32162472423471</v>
      </c>
      <c r="R77" s="2">
        <f>R11/'Output-Calculation-sheet'!R10*'Output-Calculation-sheet'!R64</f>
        <v>817.87921623168859</v>
      </c>
      <c r="S77" s="2">
        <f>S11/'Output-Calculation-sheet'!S10*'Output-Calculation-sheet'!S64</f>
        <v>884.08530490235341</v>
      </c>
      <c r="T77" s="2">
        <f>T11/'Output-Calculation-sheet'!T10*'Output-Calculation-sheet'!T64</f>
        <v>226.27709332204984</v>
      </c>
      <c r="U77" s="2">
        <f>U11/'Output-Calculation-sheet'!U10*'Output-Calculation-sheet'!U64</f>
        <v>246.26972562946514</v>
      </c>
      <c r="V77" s="2">
        <f>V11/'Output-Calculation-sheet'!V10*'Output-Calculation-sheet'!V64</f>
        <v>118.05653735521736</v>
      </c>
      <c r="W77" s="2">
        <f>W11/'Output-Calculation-sheet'!W10*'Output-Calculation-sheet'!W64</f>
        <v>25.659722734618711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75.07401073965363</v>
      </c>
      <c r="AA77" s="2">
        <f t="shared" si="6"/>
        <v>34.040049565136925</v>
      </c>
    </row>
    <row r="78" spans="1:27" x14ac:dyDescent="0.25">
      <c r="A78" s="2">
        <v>2035</v>
      </c>
      <c r="B78" s="2">
        <f>B12/'Output-Calculation-sheet'!B11*'Output-Calculation-sheet'!B65</f>
        <v>13482.749789945403</v>
      </c>
      <c r="C78" s="2">
        <f>C12/'Output-Calculation-sheet'!C11*'Output-Calculation-sheet'!C65</f>
        <v>5698.9061338966321</v>
      </c>
      <c r="D78" s="2">
        <f>D12/'Output-Calculation-sheet'!D11*'Output-Calculation-sheet'!D65</f>
        <v>1453.7051733884302</v>
      </c>
      <c r="E78" s="2">
        <f>E12/'Output-Calculation-sheet'!E11*'Output-Calculation-sheet'!E65</f>
        <v>2790.4793125379856</v>
      </c>
      <c r="F78" s="2">
        <f>F12/'Output-Calculation-sheet'!F11*'Output-Calculation-sheet'!F65</f>
        <v>608.03040149599542</v>
      </c>
      <c r="G78" s="2">
        <f>G12/'Output-Calculation-sheet'!G11*'Output-Calculation-sheet'!G65</f>
        <v>1118.2629077986087</v>
      </c>
      <c r="H78" s="2">
        <f>H12/'Output-Calculation-sheet'!H11*'Output-Calculation-sheet'!H65</f>
        <v>4298.2987471262522</v>
      </c>
      <c r="I78" s="2">
        <f>I12/'Output-Calculation-sheet'!I11*'Output-Calculation-sheet'!I65</f>
        <v>712.23080833701954</v>
      </c>
      <c r="J78" s="2">
        <f>J12/'Output-Calculation-sheet'!J11*'Output-Calculation-sheet'!J65</f>
        <v>305.07328102166753</v>
      </c>
      <c r="K78" s="2">
        <f>K12/'Output-Calculation-sheet'!K11*'Output-Calculation-sheet'!K65</f>
        <v>908.60123114065846</v>
      </c>
      <c r="L78" s="2">
        <f>L12/'Output-Calculation-sheet'!L11*'Output-Calculation-sheet'!L65</f>
        <v>263.04046970783878</v>
      </c>
      <c r="M78" s="2">
        <f>M12/'Output-Calculation-sheet'!M11*'Output-Calculation-sheet'!M65</f>
        <v>3023.7019380353072</v>
      </c>
      <c r="N78" s="2">
        <f>N12/'Output-Calculation-sheet'!N11*'Output-Calculation-sheet'!N65</f>
        <v>2122.8713158016872</v>
      </c>
      <c r="O78" s="2">
        <f>O12/'Output-Calculation-sheet'!O11*'Output-Calculation-sheet'!O65</f>
        <v>0</v>
      </c>
      <c r="P78" s="2">
        <f>P12/'Output-Calculation-sheet'!P11*'Output-Calculation-sheet'!P65</f>
        <v>1199.7989888042416</v>
      </c>
      <c r="Q78" s="2">
        <f>Q12/'Output-Calculation-sheet'!Q11*'Output-Calculation-sheet'!Q65</f>
        <v>475.12041960492678</v>
      </c>
      <c r="R78" s="2">
        <f>R12/'Output-Calculation-sheet'!R11*'Output-Calculation-sheet'!R65</f>
        <v>943.99759648453221</v>
      </c>
      <c r="S78" s="2">
        <f>S12/'Output-Calculation-sheet'!S11*'Output-Calculation-sheet'!S65</f>
        <v>983.23604215114176</v>
      </c>
      <c r="T78" s="2">
        <f>T12/'Output-Calculation-sheet'!T11*'Output-Calculation-sheet'!T65</f>
        <v>336.95185040828665</v>
      </c>
      <c r="U78" s="2">
        <f>U12/'Output-Calculation-sheet'!U11*'Output-Calculation-sheet'!U65</f>
        <v>250.61188876600369</v>
      </c>
      <c r="V78" s="2">
        <f>V12/'Output-Calculation-sheet'!V11*'Output-Calculation-sheet'!V65</f>
        <v>128.99486965198514</v>
      </c>
      <c r="W78" s="2">
        <f>W12/'Output-Calculation-sheet'!W11*'Output-Calculation-sheet'!W65</f>
        <v>128.6768498702574</v>
      </c>
      <c r="X78" s="2">
        <f>X12/'Output-Calculation-sheet'!X11*'Output-Calculation-sheet'!X65</f>
        <v>67.169084098303912</v>
      </c>
      <c r="Y78" s="2">
        <f>Y12/'Output-Calculation-sheet'!Y11*'Output-Calculation-sheet'!Y65</f>
        <v>116.5112007196315</v>
      </c>
      <c r="AA78" s="2">
        <f t="shared" si="6"/>
        <v>41.4170203007928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365.88101267134107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212.38515712868872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0.57826616980002976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1246.8063763033188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311.55758257388976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1.5583639588772085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2223.5798423760466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403.95425605008666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2.6275340984261333</v>
      </c>
    </row>
    <row r="88" spans="1:27" x14ac:dyDescent="0.25">
      <c r="A88" s="2">
        <v>2034</v>
      </c>
      <c r="B88" s="2">
        <f>B11/'Output-Calculation-sheet'!B10*'Output-Calculation-sheet'!B73</f>
        <v>117.56669981679599</v>
      </c>
      <c r="C88" s="2">
        <f>C11/'Output-Calculation-sheet'!C10*'Output-Calculation-sheet'!C73</f>
        <v>2551.5761874030241</v>
      </c>
      <c r="D88" s="2">
        <f>D11/'Output-Calculation-sheet'!D10*'Output-Calculation-sheet'!D73</f>
        <v>8.9871009854612876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42.161562152959689</v>
      </c>
      <c r="I88" s="2">
        <f>I11/'Output-Calculation-sheet'!I10*'Output-Calculation-sheet'!I73</f>
        <v>0</v>
      </c>
      <c r="J88" s="2">
        <f>J11/'Output-Calculation-sheet'!J10*'Output-Calculation-sheet'!J73</f>
        <v>2.8697202046504287</v>
      </c>
      <c r="K88" s="2">
        <f>K11/'Output-Calculation-sheet'!K10*'Output-Calculation-sheet'!K73</f>
        <v>0</v>
      </c>
      <c r="L88" s="2">
        <f>L11/'Output-Calculation-sheet'!L10*'Output-Calculation-sheet'!L73</f>
        <v>6.7983789709426166</v>
      </c>
      <c r="M88" s="2">
        <f>M11/'Output-Calculation-sheet'!M10*'Output-Calculation-sheet'!M73</f>
        <v>20.41532963639786</v>
      </c>
      <c r="N88" s="2">
        <f>N11/'Output-Calculation-sheet'!N10*'Output-Calculation-sheet'!N73</f>
        <v>10.560504304100451</v>
      </c>
      <c r="O88" s="2">
        <f>O11/'Output-Calculation-sheet'!O10*'Output-Calculation-sheet'!O73</f>
        <v>481.90353906149346</v>
      </c>
      <c r="P88" s="2">
        <f>P11/'Output-Calculation-sheet'!P10*'Output-Calculation-sheet'!P73</f>
        <v>0</v>
      </c>
      <c r="Q88" s="2">
        <f>Q11/'Output-Calculation-sheet'!Q10*'Output-Calculation-sheet'!Q73</f>
        <v>32.384165269381718</v>
      </c>
      <c r="R88" s="2">
        <f>R11/'Output-Calculation-sheet'!R10*'Output-Calculation-sheet'!R73</f>
        <v>0</v>
      </c>
      <c r="S88" s="2">
        <f>S11/'Output-Calculation-sheet'!S10*'Output-Calculation-sheet'!S73</f>
        <v>15.13411408415867</v>
      </c>
      <c r="T88" s="2">
        <f>T11/'Output-Calculation-sheet'!T10*'Output-Calculation-sheet'!T73</f>
        <v>0</v>
      </c>
      <c r="U88" s="2">
        <f>U11/'Output-Calculation-sheet'!U10*'Output-Calculation-sheet'!U73</f>
        <v>2.9521416822139486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3.2933094435715802</v>
      </c>
    </row>
    <row r="89" spans="1:27" x14ac:dyDescent="0.25">
      <c r="A89" s="2">
        <v>2035</v>
      </c>
      <c r="B89" s="2">
        <f>B12/'Output-Calculation-sheet'!B11*'Output-Calculation-sheet'!B74</f>
        <v>661.31229745754513</v>
      </c>
      <c r="C89" s="2">
        <f>C12/'Output-Calculation-sheet'!C11*'Output-Calculation-sheet'!C74</f>
        <v>2708.4299298619617</v>
      </c>
      <c r="D89" s="2">
        <f>D12/'Output-Calculation-sheet'!D11*'Output-Calculation-sheet'!D74</f>
        <v>125.56567176042931</v>
      </c>
      <c r="E89" s="2">
        <f>E12/'Output-Calculation-sheet'!E11*'Output-Calculation-sheet'!E74</f>
        <v>167.50688111044809</v>
      </c>
      <c r="F89" s="2">
        <f>F12/'Output-Calculation-sheet'!F11*'Output-Calculation-sheet'!F74</f>
        <v>53.795900022133253</v>
      </c>
      <c r="G89" s="2">
        <f>G12/'Output-Calculation-sheet'!G11*'Output-Calculation-sheet'!G74</f>
        <v>51.477994432136661</v>
      </c>
      <c r="H89" s="2">
        <f>H12/'Output-Calculation-sheet'!H11*'Output-Calculation-sheet'!H74</f>
        <v>201.03233031633573</v>
      </c>
      <c r="I89" s="2">
        <f>I12/'Output-Calculation-sheet'!I11*'Output-Calculation-sheet'!I74</f>
        <v>43.407445235383854</v>
      </c>
      <c r="J89" s="2">
        <f>J12/'Output-Calculation-sheet'!J11*'Output-Calculation-sheet'!J74</f>
        <v>34.367193524936148</v>
      </c>
      <c r="K89" s="2">
        <f>K12/'Output-Calculation-sheet'!K11*'Output-Calculation-sheet'!K74</f>
        <v>45.506783149248605</v>
      </c>
      <c r="L89" s="2">
        <f>L12/'Output-Calculation-sheet'!L11*'Output-Calculation-sheet'!L74</f>
        <v>47.49267999488103</v>
      </c>
      <c r="M89" s="2">
        <f>M12/'Output-Calculation-sheet'!M11*'Output-Calculation-sheet'!M74</f>
        <v>126.53424263659073</v>
      </c>
      <c r="N89" s="2">
        <f>N12/'Output-Calculation-sheet'!N11*'Output-Calculation-sheet'!N74</f>
        <v>76.936209385736589</v>
      </c>
      <c r="O89" s="2">
        <f>O12/'Output-Calculation-sheet'!O11*'Output-Calculation-sheet'!O74</f>
        <v>548.79320133785745</v>
      </c>
      <c r="P89" s="2">
        <f>P12/'Output-Calculation-sheet'!P11*'Output-Calculation-sheet'!P74</f>
        <v>44.787328811918599</v>
      </c>
      <c r="Q89" s="2">
        <f>Q12/'Output-Calculation-sheet'!Q11*'Output-Calculation-sheet'!Q74</f>
        <v>75.718461696759803</v>
      </c>
      <c r="R89" s="2">
        <f>R12/'Output-Calculation-sheet'!R11*'Output-Calculation-sheet'!R74</f>
        <v>31.134515574062618</v>
      </c>
      <c r="S89" s="2">
        <f>S12/'Output-Calculation-sheet'!S11*'Output-Calculation-sheet'!S74</f>
        <v>48.331497192967646</v>
      </c>
      <c r="T89" s="2">
        <f>T12/'Output-Calculation-sheet'!T11*'Output-Calculation-sheet'!T74</f>
        <v>7.7919926959266848</v>
      </c>
      <c r="U89" s="2">
        <f>U12/'Output-Calculation-sheet'!U11*'Output-Calculation-sheet'!U74</f>
        <v>15.025559058000693</v>
      </c>
      <c r="V89" s="2">
        <f>V12/'Output-Calculation-sheet'!V11*'Output-Calculation-sheet'!V74</f>
        <v>5.6794209072634816</v>
      </c>
      <c r="W89" s="2">
        <f>W12/'Output-Calculation-sheet'!W11*'Output-Calculation-sheet'!W74</f>
        <v>4.3278312724952155</v>
      </c>
      <c r="X89" s="2">
        <f>X12/'Output-Calculation-sheet'!X11*'Output-Calculation-sheet'!X74</f>
        <v>3.0585407565034441</v>
      </c>
      <c r="Y89" s="2">
        <f>Y12/'Output-Calculation-sheet'!Y11*'Output-Calculation-sheet'!Y74</f>
        <v>5.6760583354832814</v>
      </c>
      <c r="AA89" s="2">
        <f t="shared" si="7"/>
        <v>5.1336899665270055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11631957451.906898</v>
      </c>
      <c r="C96" s="2">
        <f>C8/'Output-Calculation-sheet'!C7*'Output-Calculation-sheet'!C79</f>
        <v>3935151679.9946275</v>
      </c>
      <c r="D96" s="2">
        <f>D8/'Output-Calculation-sheet'!D7*'Output-Calculation-sheet'!D79</f>
        <v>4108018305.2327781</v>
      </c>
      <c r="E96" s="2">
        <f>E8/'Output-Calculation-sheet'!E7*'Output-Calculation-sheet'!E79</f>
        <v>7303718096.4142656</v>
      </c>
      <c r="F96" s="2">
        <f>F8/'Output-Calculation-sheet'!F7*'Output-Calculation-sheet'!F79</f>
        <v>3022936263.5509133</v>
      </c>
      <c r="G96" s="2">
        <f>G8/'Output-Calculation-sheet'!G7*'Output-Calculation-sheet'!G79</f>
        <v>2354623919.3380113</v>
      </c>
      <c r="H96" s="2">
        <f>H8/'Output-Calculation-sheet'!H7*'Output-Calculation-sheet'!H79</f>
        <v>2015427974.7823889</v>
      </c>
      <c r="I96" s="2">
        <f>I8/'Output-Calculation-sheet'!I7*'Output-Calculation-sheet'!I79</f>
        <v>1640241822.0580637</v>
      </c>
      <c r="J96" s="2">
        <f>J8/'Output-Calculation-sheet'!J7*'Output-Calculation-sheet'!J79</f>
        <v>1109170765.8017883</v>
      </c>
      <c r="K96" s="2">
        <f>K8/'Output-Calculation-sheet'!K7*'Output-Calculation-sheet'!K79</f>
        <v>1586894842.7795501</v>
      </c>
      <c r="L96" s="2">
        <f>L8/'Output-Calculation-sheet'!L7*'Output-Calculation-sheet'!L79</f>
        <v>1119714316.2602749</v>
      </c>
      <c r="M96" s="2">
        <f>M8/'Output-Calculation-sheet'!M7*'Output-Calculation-sheet'!M79</f>
        <v>1504476240.4593472</v>
      </c>
      <c r="N96" s="2">
        <f>N8/'Output-Calculation-sheet'!N7*'Output-Calculation-sheet'!N79</f>
        <v>1119448514.8400357</v>
      </c>
      <c r="O96" s="2">
        <f>O8/'Output-Calculation-sheet'!O7*'Output-Calculation-sheet'!O79</f>
        <v>565918577.95311105</v>
      </c>
      <c r="P96" s="2">
        <f>P8/'Output-Calculation-sheet'!P7*'Output-Calculation-sheet'!P79</f>
        <v>1892891232.1951768</v>
      </c>
      <c r="Q96" s="2">
        <f>Q8/'Output-Calculation-sheet'!Q7*'Output-Calculation-sheet'!Q79</f>
        <v>882166796.37216294</v>
      </c>
      <c r="R96" s="2">
        <f>R8/'Output-Calculation-sheet'!R7*'Output-Calculation-sheet'!R79</f>
        <v>1100609818.8572571</v>
      </c>
      <c r="S96" s="2">
        <f>S8/'Output-Calculation-sheet'!S7*'Output-Calculation-sheet'!S79</f>
        <v>641306199.60220397</v>
      </c>
      <c r="T96" s="2">
        <f>T8/'Output-Calculation-sheet'!T7*'Output-Calculation-sheet'!T79</f>
        <v>489808018.28952456</v>
      </c>
      <c r="U96" s="2">
        <f>U8/'Output-Calculation-sheet'!U7*'Output-Calculation-sheet'!U79</f>
        <v>307685404.71270114</v>
      </c>
      <c r="V96" s="2">
        <f>V8/'Output-Calculation-sheet'!V7*'Output-Calculation-sheet'!V79</f>
        <v>159642515.67760858</v>
      </c>
      <c r="W96" s="2">
        <f>W8/'Output-Calculation-sheet'!W7*'Output-Calculation-sheet'!W79</f>
        <v>471734572.72044009</v>
      </c>
      <c r="X96" s="2">
        <f>X8/'Output-Calculation-sheet'!X7*'Output-Calculation-sheet'!X79</f>
        <v>165800433.71567512</v>
      </c>
      <c r="Y96" s="2">
        <f>Y8/'Output-Calculation-sheet'!Y7*'Output-Calculation-sheet'!Y79</f>
        <v>259309617.18633181</v>
      </c>
      <c r="AA96" s="2">
        <f t="shared" si="8"/>
        <v>49.38865338070115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1018.2953485190335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31.549290592846859</v>
      </c>
      <c r="Y107" s="2">
        <f>Y8/'Output-Calculation-sheet'!Y7*'Output-Calculation-sheet'!Y88</f>
        <v>0</v>
      </c>
      <c r="AA107" s="2">
        <f t="shared" si="9"/>
        <v>1.0498446391118803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732.85565630042402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42.573127414961036</v>
      </c>
      <c r="Y108" s="2">
        <f>Y9/'Output-Calculation-sheet'!Y8*'Output-Calculation-sheet'!Y89</f>
        <v>0</v>
      </c>
      <c r="AA108" s="2">
        <f t="shared" si="9"/>
        <v>0.77542878371538504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4.4502359366337056E-2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7.2610323099317031E-2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108.69583303881471</v>
      </c>
      <c r="Y111" s="2">
        <f>Y12/'Output-Calculation-sheet'!Y11*'Output-Calculation-sheet'!Y92</f>
        <v>0</v>
      </c>
      <c r="AA111" s="2">
        <f t="shared" si="9"/>
        <v>0.10869583303881471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11385599965.636061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6993350305.7970858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4824818413.1182785</v>
      </c>
      <c r="N118" s="2">
        <f>N8/'Output-Calculation-sheet'!N7*'Output-Calculation-sheet'!N97</f>
        <v>1616778985.8041039</v>
      </c>
      <c r="O118" s="2">
        <f>O8/'Output-Calculation-sheet'!O7*'Output-Calculation-sheet'!O97</f>
        <v>2767856463.9903536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484022927.3951484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262713298.72015411</v>
      </c>
      <c r="Y118" s="2">
        <f>Y8/'Output-Calculation-sheet'!Y7*'Output-Calculation-sheet'!Y97</f>
        <v>0</v>
      </c>
      <c r="AA118" s="2">
        <f t="shared" si="10"/>
        <v>29696.136530169275</v>
      </c>
    </row>
    <row r="119" spans="1:27" x14ac:dyDescent="0.25">
      <c r="A119" s="2">
        <v>2032</v>
      </c>
      <c r="B119" s="2">
        <f>B9/'Output-Calculation-sheet'!B8*'Output-Calculation-sheet'!B98</f>
        <v>6033883938.380372</v>
      </c>
      <c r="C119" s="2">
        <f>C9/'Output-Calculation-sheet'!C8*'Output-Calculation-sheet'!C98</f>
        <v>15561047748.828386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9436988966.5045547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6510697749.7965069</v>
      </c>
      <c r="N119" s="2">
        <f>N9/'Output-Calculation-sheet'!N8*'Output-Calculation-sheet'!N98</f>
        <v>3052909028.9161396</v>
      </c>
      <c r="O119" s="2">
        <f>O9/'Output-Calculation-sheet'!O8*'Output-Calculation-sheet'!O98</f>
        <v>3286499828.6511407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918259397.40798092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358120835.21213484</v>
      </c>
      <c r="Y119" s="2">
        <f>Y9/'Output-Calculation-sheet'!Y8*'Output-Calculation-sheet'!Y98</f>
        <v>0</v>
      </c>
      <c r="AA119" s="2">
        <f t="shared" si="10"/>
        <v>45158.40749369721</v>
      </c>
    </row>
    <row r="120" spans="1:27" x14ac:dyDescent="0.25">
      <c r="A120" s="2">
        <v>2033</v>
      </c>
      <c r="B120" s="2">
        <f>B10/'Output-Calculation-sheet'!B9*'Output-Calculation-sheet'!B99</f>
        <v>16225857068.649515</v>
      </c>
      <c r="C120" s="2">
        <f>C10/'Output-Calculation-sheet'!C9*'Output-Calculation-sheet'!C99</f>
        <v>22481302531.05529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4791295437.7093</v>
      </c>
      <c r="O120" s="2">
        <f>O10/'Output-Calculation-sheet'!O9*'Output-Calculation-sheet'!O99</f>
        <v>3723485078.2558603</v>
      </c>
      <c r="P120" s="2">
        <f>P10/'Output-Calculation-sheet'!P9*'Output-Calculation-sheet'!P99</f>
        <v>0</v>
      </c>
      <c r="Q120" s="2">
        <f>Q10/'Output-Calculation-sheet'!Q9*'Output-Calculation-sheet'!Q99</f>
        <v>155882468.73584914</v>
      </c>
      <c r="R120" s="2">
        <f>R10/'Output-Calculation-sheet'!R9*'Output-Calculation-sheet'!R99</f>
        <v>0</v>
      </c>
      <c r="S120" s="2">
        <f>S10/'Output-Calculation-sheet'!S9*'Output-Calculation-sheet'!S99</f>
        <v>1929937699.0947096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525289898.46519703</v>
      </c>
      <c r="Y120" s="2">
        <f>Y10/'Output-Calculation-sheet'!Y9*'Output-Calculation-sheet'!Y99</f>
        <v>0</v>
      </c>
      <c r="AA120" s="2">
        <f t="shared" si="10"/>
        <v>69838.091571450204</v>
      </c>
    </row>
    <row r="121" spans="1:27" x14ac:dyDescent="0.25">
      <c r="A121" s="2">
        <v>2034</v>
      </c>
      <c r="B121" s="2">
        <f>B11/'Output-Calculation-sheet'!B10*'Output-Calculation-sheet'!B100</f>
        <v>32692285236.382935</v>
      </c>
      <c r="C121" s="2">
        <f>C11/'Output-Calculation-sheet'!C10*'Output-Calculation-sheet'!C100</f>
        <v>26611757691.767288</v>
      </c>
      <c r="D121" s="2">
        <f>D11/'Output-Calculation-sheet'!D10*'Output-Calculation-sheet'!D100</f>
        <v>0</v>
      </c>
      <c r="E121" s="2">
        <f>E11/'Output-Calculation-sheet'!E10*'Output-Calculation-sheet'!E100</f>
        <v>784896053.43065464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13668088249.601694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559834724.40024149</v>
      </c>
      <c r="M121" s="2">
        <f>M11/'Output-Calculation-sheet'!M10*'Output-Calculation-sheet'!M100</f>
        <v>9521859096.6696186</v>
      </c>
      <c r="N121" s="2">
        <f>N11/'Output-Calculation-sheet'!N10*'Output-Calculation-sheet'!N100</f>
        <v>6384359213.3465099</v>
      </c>
      <c r="O121" s="2">
        <f>O11/'Output-Calculation-sheet'!O10*'Output-Calculation-sheet'!O100</f>
        <v>4076342212.4085679</v>
      </c>
      <c r="P121" s="2">
        <f>P11/'Output-Calculation-sheet'!P10*'Output-Calculation-sheet'!P100</f>
        <v>0</v>
      </c>
      <c r="Q121" s="2">
        <f>Q11/'Output-Calculation-sheet'!Q10*'Output-Calculation-sheet'!Q100</f>
        <v>510710037.12383312</v>
      </c>
      <c r="R121" s="2">
        <f>R11/'Output-Calculation-sheet'!R10*'Output-Calculation-sheet'!R100</f>
        <v>0</v>
      </c>
      <c r="S121" s="2">
        <f>S11/'Output-Calculation-sheet'!S10*'Output-Calculation-sheet'!S100</f>
        <v>2679695879.6353302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41988076.522095822</v>
      </c>
      <c r="AA121" s="2">
        <f t="shared" si="10"/>
        <v>97997.315948352931</v>
      </c>
    </row>
    <row r="122" spans="1:27" x14ac:dyDescent="0.25">
      <c r="A122" s="2">
        <v>2035</v>
      </c>
      <c r="B122" s="2">
        <f>B12/'Output-Calculation-sheet'!B11*'Output-Calculation-sheet'!B101</f>
        <v>39137741722.822922</v>
      </c>
      <c r="C122" s="2">
        <f>C12/'Output-Calculation-sheet'!C11*'Output-Calculation-sheet'!C101</f>
        <v>31338098596.630611</v>
      </c>
      <c r="D122" s="2">
        <f>D12/'Output-Calculation-sheet'!D11*'Output-Calculation-sheet'!D101</f>
        <v>0</v>
      </c>
      <c r="E122" s="2">
        <f>E12/'Output-Calculation-sheet'!E11*'Output-Calculation-sheet'!E101</f>
        <v>2505522308.7548018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14425054602.776623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677168158.42748797</v>
      </c>
      <c r="M122" s="2">
        <f>M12/'Output-Calculation-sheet'!M11*'Output-Calculation-sheet'!M101</f>
        <v>10098317229.774307</v>
      </c>
      <c r="N122" s="2">
        <f>N12/'Output-Calculation-sheet'!N11*'Output-Calculation-sheet'!N101</f>
        <v>6761695796.0462608</v>
      </c>
      <c r="O122" s="2">
        <f>O12/'Output-Calculation-sheet'!O11*'Output-Calculation-sheet'!O101</f>
        <v>4332246310.3877478</v>
      </c>
      <c r="P122" s="2">
        <f>P12/'Output-Calculation-sheet'!P11*'Output-Calculation-sheet'!P101</f>
        <v>343265763.57962829</v>
      </c>
      <c r="Q122" s="2">
        <f>Q12/'Output-Calculation-sheet'!Q11*'Output-Calculation-sheet'!Q101</f>
        <v>809153613.79481936</v>
      </c>
      <c r="R122" s="2">
        <f>R12/'Output-Calculation-sheet'!R11*'Output-Calculation-sheet'!R101</f>
        <v>0</v>
      </c>
      <c r="S122" s="2">
        <f>S12/'Output-Calculation-sheet'!S11*'Output-Calculation-sheet'!S101</f>
        <v>3176755604.9605441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287578353.5407728</v>
      </c>
      <c r="Y122" s="2">
        <f>Y12/'Output-Calculation-sheet'!Y11*'Output-Calculation-sheet'!Y101</f>
        <v>282454852.91948676</v>
      </c>
      <c r="AA122" s="2">
        <f t="shared" si="10"/>
        <v>114175.05291441601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3119580115.2022557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2228472049.423317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146840.67184185624</v>
      </c>
    </row>
    <row r="130" spans="1:27" x14ac:dyDescent="0.25">
      <c r="A130" s="2">
        <v>2032</v>
      </c>
      <c r="B130" s="2">
        <f>B9/'Output-Calculation-sheet'!B8*'Output-Calculation-sheet'!B107</f>
        <v>58163242026.351631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3337878709.1838546</v>
      </c>
      <c r="O130" s="2">
        <f>O9/'Output-Calculation-sheet'!O8*'Output-Calculation-sheet'!O107</f>
        <v>0</v>
      </c>
      <c r="P130" s="2">
        <f>P9/'Output-Calculation-sheet'!P8*'Output-Calculation-sheet'!P107</f>
        <v>5818347191.7951565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2741829435.9263296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192814.78891555514</v>
      </c>
    </row>
    <row r="131" spans="1:27" x14ac:dyDescent="0.25">
      <c r="A131" s="2">
        <v>2033</v>
      </c>
      <c r="B131" s="2">
        <f>B10/'Output-Calculation-sheet'!B9*'Output-Calculation-sheet'!B108</f>
        <v>64296776013.020607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3224700364.4419193</v>
      </c>
      <c r="O131" s="2">
        <f>O10/'Output-Calculation-sheet'!O9*'Output-Calculation-sheet'!O108</f>
        <v>0</v>
      </c>
      <c r="P131" s="2">
        <f>P10/'Output-Calculation-sheet'!P9*'Output-Calculation-sheet'!P108</f>
        <v>7298030593.8488979</v>
      </c>
      <c r="Q131" s="2">
        <f>Q10/'Output-Calculation-sheet'!Q9*'Output-Calculation-sheet'!Q108</f>
        <v>7024537114.7996702</v>
      </c>
      <c r="R131" s="2">
        <f>R10/'Output-Calculation-sheet'!R9*'Output-Calculation-sheet'!R108</f>
        <v>6907648591.5014153</v>
      </c>
      <c r="S131" s="2">
        <f>S10/'Output-Calculation-sheet'!S9*'Output-Calculation-sheet'!S108</f>
        <v>2660893584.8044915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231303.95466903897</v>
      </c>
    </row>
    <row r="132" spans="1:27" x14ac:dyDescent="0.25">
      <c r="A132" s="2">
        <v>2034</v>
      </c>
      <c r="B132" s="2">
        <f>B11/'Output-Calculation-sheet'!B10*'Output-Calculation-sheet'!B109</f>
        <v>61210760247.397179</v>
      </c>
      <c r="C132" s="2">
        <f>C11/'Output-Calculation-sheet'!C10*'Output-Calculation-sheet'!C109</f>
        <v>0</v>
      </c>
      <c r="D132" s="2">
        <f>D11/'Output-Calculation-sheet'!D10*'Output-Calculation-sheet'!D109</f>
        <v>39977069674.79985</v>
      </c>
      <c r="E132" s="2">
        <f>E11/'Output-Calculation-sheet'!E10*'Output-Calculation-sheet'!E109</f>
        <v>31145906085.290958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12706030572.514332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9447880614.5827141</v>
      </c>
      <c r="M132" s="2">
        <f>M11/'Output-Calculation-sheet'!M10*'Output-Calculation-sheet'!M109</f>
        <v>0</v>
      </c>
      <c r="N132" s="2">
        <f>N11/'Output-Calculation-sheet'!N10*'Output-Calculation-sheet'!N109</f>
        <v>2994089891.1386604</v>
      </c>
      <c r="O132" s="2">
        <f>O11/'Output-Calculation-sheet'!O10*'Output-Calculation-sheet'!O109</f>
        <v>0</v>
      </c>
      <c r="P132" s="2">
        <f>P11/'Output-Calculation-sheet'!P10*'Output-Calculation-sheet'!P109</f>
        <v>8682194673.7954464</v>
      </c>
      <c r="Q132" s="2">
        <f>Q11/'Output-Calculation-sheet'!Q10*'Output-Calculation-sheet'!Q109</f>
        <v>7362303106.9565344</v>
      </c>
      <c r="R132" s="2">
        <f>R11/'Output-Calculation-sheet'!R10*'Output-Calculation-sheet'!R109</f>
        <v>8217762342.6637926</v>
      </c>
      <c r="S132" s="2">
        <f>S11/'Output-Calculation-sheet'!S10*'Output-Calculation-sheet'!S109</f>
        <v>2559221672.5152302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2568927417.8016062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981527727.47083652</v>
      </c>
      <c r="AA132" s="2">
        <f t="shared" si="11"/>
        <v>255483.97750569446</v>
      </c>
    </row>
    <row r="133" spans="1:27" x14ac:dyDescent="0.25">
      <c r="A133" s="2">
        <v>2035</v>
      </c>
      <c r="B133" s="2">
        <f>B12/'Output-Calculation-sheet'!B11*'Output-Calculation-sheet'!B110</f>
        <v>59883759140.036186</v>
      </c>
      <c r="C133" s="2">
        <f>C12/'Output-Calculation-sheet'!C11*'Output-Calculation-sheet'!C110</f>
        <v>0</v>
      </c>
      <c r="D133" s="2">
        <f>D12/'Output-Calculation-sheet'!D11*'Output-Calculation-sheet'!D110</f>
        <v>41163606705.257233</v>
      </c>
      <c r="E133" s="2">
        <f>E12/'Output-Calculation-sheet'!E11*'Output-Calculation-sheet'!E110</f>
        <v>32408051681.129337</v>
      </c>
      <c r="F133" s="2">
        <f>F12/'Output-Calculation-sheet'!F11*'Output-Calculation-sheet'!F110</f>
        <v>22270991548.112957</v>
      </c>
      <c r="G133" s="2">
        <f>G12/'Output-Calculation-sheet'!G11*'Output-Calculation-sheet'!G110</f>
        <v>15352684451.327618</v>
      </c>
      <c r="H133" s="2">
        <f>H12/'Output-Calculation-sheet'!H11*'Output-Calculation-sheet'!H110</f>
        <v>0</v>
      </c>
      <c r="I133" s="2">
        <f>I12/'Output-Calculation-sheet'!I11*'Output-Calculation-sheet'!I110</f>
        <v>13931903143.60532</v>
      </c>
      <c r="J133" s="2">
        <f>J12/'Output-Calculation-sheet'!J11*'Output-Calculation-sheet'!J110</f>
        <v>13047053952.326994</v>
      </c>
      <c r="K133" s="2">
        <f>K12/'Output-Calculation-sheet'!K11*'Output-Calculation-sheet'!K110</f>
        <v>13360194256.090557</v>
      </c>
      <c r="L133" s="2">
        <f>L12/'Output-Calculation-sheet'!L11*'Output-Calculation-sheet'!L110</f>
        <v>9791097692.4132442</v>
      </c>
      <c r="M133" s="2">
        <f>M12/'Output-Calculation-sheet'!M11*'Output-Calculation-sheet'!M110</f>
        <v>0</v>
      </c>
      <c r="N133" s="2">
        <f>N12/'Output-Calculation-sheet'!N11*'Output-Calculation-sheet'!N110</f>
        <v>3056870574.2204704</v>
      </c>
      <c r="O133" s="2">
        <f>O12/'Output-Calculation-sheet'!O11*'Output-Calculation-sheet'!O110</f>
        <v>0</v>
      </c>
      <c r="P133" s="2">
        <f>P12/'Output-Calculation-sheet'!P11*'Output-Calculation-sheet'!P110</f>
        <v>9130927086.8722801</v>
      </c>
      <c r="Q133" s="2">
        <f>Q12/'Output-Calculation-sheet'!Q11*'Output-Calculation-sheet'!Q110</f>
        <v>7426447331.9048395</v>
      </c>
      <c r="R133" s="2">
        <f>R12/'Output-Calculation-sheet'!R11*'Output-Calculation-sheet'!R110</f>
        <v>8753391217.3587704</v>
      </c>
      <c r="S133" s="2">
        <f>S12/'Output-Calculation-sheet'!S11*'Output-Calculation-sheet'!S110</f>
        <v>2360509114.6171103</v>
      </c>
      <c r="T133" s="2">
        <f>T12/'Output-Calculation-sheet'!T11*'Output-Calculation-sheet'!T110</f>
        <v>3294138766.7424717</v>
      </c>
      <c r="U133" s="2">
        <f>U12/'Output-Calculation-sheet'!U11*'Output-Calculation-sheet'!U110</f>
        <v>2670722119.4276042</v>
      </c>
      <c r="V133" s="2">
        <f>V12/'Output-Calculation-sheet'!V11*'Output-Calculation-sheet'!V110</f>
        <v>2106235733.9654551</v>
      </c>
      <c r="W133" s="2">
        <f>W12/'Output-Calculation-sheet'!W11*'Output-Calculation-sheet'!W110</f>
        <v>1965518604.895072</v>
      </c>
      <c r="X133" s="2">
        <f>X12/'Output-Calculation-sheet'!X11*'Output-Calculation-sheet'!X110</f>
        <v>0</v>
      </c>
      <c r="Y133" s="2">
        <f>Y12/'Output-Calculation-sheet'!Y11*'Output-Calculation-sheet'!Y110</f>
        <v>841751504.67050087</v>
      </c>
      <c r="AA133" s="2">
        <f t="shared" si="11"/>
        <v>262815.85462497396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8534055599.0247879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259915347.83527222</v>
      </c>
      <c r="Y140" s="2">
        <f>Y8/'Output-Calculation-sheet'!Y7*'Output-Calculation-sheet'!Y115</f>
        <v>0</v>
      </c>
      <c r="AA140" s="2">
        <f t="shared" si="12"/>
        <v>8793.9709468600595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6208743602.5712662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347080130.44948715</v>
      </c>
      <c r="Y141" s="2">
        <f>Y9/'Output-Calculation-sheet'!Y8*'Output-Calculation-sheet'!Y116</f>
        <v>0</v>
      </c>
      <c r="AA141" s="2">
        <f t="shared" si="12"/>
        <v>6555.823733020753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359253791.8897258</v>
      </c>
      <c r="Y142" s="2">
        <f>Y10/'Output-Calculation-sheet'!Y9*'Output-Calculation-sheet'!Y117</f>
        <v>0</v>
      </c>
      <c r="AA142" s="2">
        <f t="shared" si="12"/>
        <v>359.25379188972579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586.88613832715703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887795096.67454636</v>
      </c>
      <c r="Y144" s="2">
        <f>Y12/'Output-Calculation-sheet'!Y11*'Output-Calculation-sheet'!Y119</f>
        <v>0</v>
      </c>
      <c r="AA144" s="2">
        <f t="shared" si="12"/>
        <v>887.79509667454636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25614571485.865414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6249357886.0365553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194509.41069580658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29014540635.42268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6612008145.8456717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167312.42665842199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32488113219.415901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6797570202.0128279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131054.55691093989</v>
      </c>
    </row>
    <row r="154" spans="1:27" x14ac:dyDescent="0.25">
      <c r="A154" s="2">
        <v>2034</v>
      </c>
      <c r="B154" s="2">
        <f>B11/'Output-Calculation-sheet'!B10*'Output-Calculation-sheet'!B127</f>
        <v>16398876627.0002</v>
      </c>
      <c r="C154" s="2">
        <f>C11/'Output-Calculation-sheet'!C10*'Output-Calculation-sheet'!C127</f>
        <v>30263697305.450806</v>
      </c>
      <c r="D154" s="2">
        <f>D11/'Output-Calculation-sheet'!D10*'Output-Calculation-sheet'!D127</f>
        <v>6086873626.4430752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2644534016.7855487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1952452882.456682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1684135228.9557307</v>
      </c>
      <c r="M154" s="2">
        <f>M11/'Output-Calculation-sheet'!M10*'Output-Calculation-sheet'!M127</f>
        <v>1699402124.6826959</v>
      </c>
      <c r="N154" s="2">
        <f>N11/'Output-Calculation-sheet'!N10*'Output-Calculation-sheet'!N127</f>
        <v>1579156562.7102177</v>
      </c>
      <c r="O154" s="2">
        <f>O11/'Output-Calculation-sheet'!O10*'Output-Calculation-sheet'!O127</f>
        <v>6831151184.6121693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2100858878.782465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1089486106.6171184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464066635.16231316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89728.219823233012</v>
      </c>
    </row>
    <row r="155" spans="1:27" x14ac:dyDescent="0.25">
      <c r="A155" s="2">
        <v>2035</v>
      </c>
      <c r="B155" s="2">
        <f>B12/'Output-Calculation-sheet'!B11*'Output-Calculation-sheet'!B128</f>
        <v>14681666319.926418</v>
      </c>
      <c r="C155" s="2">
        <f>C12/'Output-Calculation-sheet'!C11*'Output-Calculation-sheet'!C128</f>
        <v>25935732633.895836</v>
      </c>
      <c r="D155" s="2">
        <f>D12/'Output-Calculation-sheet'!D11*'Output-Calculation-sheet'!D128</f>
        <v>6048570160.5123138</v>
      </c>
      <c r="E155" s="2">
        <f>E12/'Output-Calculation-sheet'!E11*'Output-Calculation-sheet'!E128</f>
        <v>3296711837.0752134</v>
      </c>
      <c r="F155" s="2">
        <f>F12/'Output-Calculation-sheet'!F11*'Output-Calculation-sheet'!F128</f>
        <v>1795771473.6692512</v>
      </c>
      <c r="G155" s="2">
        <f>G12/'Output-Calculation-sheet'!G11*'Output-Calculation-sheet'!G128</f>
        <v>1694214796.3786137</v>
      </c>
      <c r="H155" s="2">
        <f>H12/'Output-Calculation-sheet'!H11*'Output-Calculation-sheet'!H128</f>
        <v>2474608249.2240133</v>
      </c>
      <c r="I155" s="2">
        <f>I12/'Output-Calculation-sheet'!I11*'Output-Calculation-sheet'!I128</f>
        <v>1548003546.558465</v>
      </c>
      <c r="J155" s="2">
        <f>J12/'Output-Calculation-sheet'!J11*'Output-Calculation-sheet'!J128</f>
        <v>1925747073.6066377</v>
      </c>
      <c r="K155" s="2">
        <f>K12/'Output-Calculation-sheet'!K11*'Output-Calculation-sheet'!K128</f>
        <v>1543784910.3378704</v>
      </c>
      <c r="L155" s="2">
        <f>L12/'Output-Calculation-sheet'!L11*'Output-Calculation-sheet'!L128</f>
        <v>1580251080.1439593</v>
      </c>
      <c r="M155" s="2">
        <f>M12/'Output-Calculation-sheet'!M11*'Output-Calculation-sheet'!M128</f>
        <v>1562335451.019428</v>
      </c>
      <c r="N155" s="2">
        <f>N12/'Output-Calculation-sheet'!N11*'Output-Calculation-sheet'!N128</f>
        <v>1432654449.0680375</v>
      </c>
      <c r="O155" s="2">
        <f>O12/'Output-Calculation-sheet'!O11*'Output-Calculation-sheet'!O128</f>
        <v>6733305081.2733479</v>
      </c>
      <c r="P155" s="2">
        <f>P12/'Output-Calculation-sheet'!P11*'Output-Calculation-sheet'!P128</f>
        <v>828547083.90641952</v>
      </c>
      <c r="Q155" s="2">
        <f>Q12/'Output-Calculation-sheet'!Q11*'Output-Calculation-sheet'!Q128</f>
        <v>1968752028.9939542</v>
      </c>
      <c r="R155" s="2">
        <f>R12/'Output-Calculation-sheet'!R11*'Output-Calculation-sheet'!R128</f>
        <v>909334990.86330068</v>
      </c>
      <c r="S155" s="2">
        <f>S12/'Output-Calculation-sheet'!S11*'Output-Calculation-sheet'!S128</f>
        <v>955113152.22198367</v>
      </c>
      <c r="T155" s="2">
        <f>T12/'Output-Calculation-sheet'!T11*'Output-Calculation-sheet'!T128</f>
        <v>235617459.69296768</v>
      </c>
      <c r="U155" s="2">
        <f>U12/'Output-Calculation-sheet'!U11*'Output-Calculation-sheet'!U128</f>
        <v>458607461.99905163</v>
      </c>
      <c r="V155" s="2">
        <f>V12/'Output-Calculation-sheet'!V11*'Output-Calculation-sheet'!V128</f>
        <v>254771325.06424221</v>
      </c>
      <c r="W155" s="2">
        <f>W12/'Output-Calculation-sheet'!W11*'Output-Calculation-sheet'!W128</f>
        <v>91182270.529828176</v>
      </c>
      <c r="X155" s="2">
        <f>X12/'Output-Calculation-sheet'!X11*'Output-Calculation-sheet'!X128</f>
        <v>41064415.214310423</v>
      </c>
      <c r="Y155" s="2">
        <f>Y12/'Output-Calculation-sheet'!Y11*'Output-Calculation-sheet'!Y128</f>
        <v>101141354.26859313</v>
      </c>
      <c r="AA155" s="2">
        <f t="shared" si="13"/>
        <v>78097.488605444043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7444.0885013265633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4773.2328876732263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3313.107616466551</v>
      </c>
      <c r="N19" s="2">
        <f>N8/'Output-Calculation-sheet'!N7*'Output-Calculation-sheet'!N25</f>
        <v>1132.540260649427</v>
      </c>
      <c r="O19" s="2">
        <f>O8/'Output-Calculation-sheet'!O7*'Output-Calculation-sheet'!O25</f>
        <v>1770.1102537710251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174.91076901354958</v>
      </c>
      <c r="Y19" s="2">
        <f>Y8/'Output-Calculation-sheet'!Y7*'Output-Calculation-sheet'!Y25</f>
        <v>0</v>
      </c>
      <c r="AA19" s="2">
        <f t="shared" si="0"/>
        <v>20.074918445371175</v>
      </c>
    </row>
    <row r="20" spans="1:27" x14ac:dyDescent="0.25">
      <c r="A20" s="2">
        <v>2032</v>
      </c>
      <c r="B20" s="2">
        <f>B9/'Output-Calculation-sheet'!B8*'Output-Calculation-sheet'!B26</f>
        <v>5979.3313471238434</v>
      </c>
      <c r="C20" s="2">
        <f>C9/'Output-Calculation-sheet'!C8*'Output-Calculation-sheet'!C26</f>
        <v>10108.926425238074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6499.9490114419914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4520.33639432986</v>
      </c>
      <c r="N20" s="2">
        <f>N9/'Output-Calculation-sheet'!N8*'Output-Calculation-sheet'!N26</f>
        <v>2035.4474958279911</v>
      </c>
      <c r="O20" s="2">
        <f>O9/'Output-Calculation-sheet'!O8*'Output-Calculation-sheet'!O26</f>
        <v>2119.548332405765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740.23534057468282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241.56349406229131</v>
      </c>
      <c r="Y20" s="2">
        <f>Y9/'Output-Calculation-sheet'!Y8*'Output-Calculation-sheet'!Y26</f>
        <v>0</v>
      </c>
      <c r="AA20" s="2">
        <f t="shared" si="0"/>
        <v>32.245337841004499</v>
      </c>
    </row>
    <row r="21" spans="1:27" x14ac:dyDescent="0.25">
      <c r="A21" s="2">
        <v>2033</v>
      </c>
      <c r="B21" s="2">
        <f>B10/'Output-Calculation-sheet'!B9*'Output-Calculation-sheet'!B27</f>
        <v>14363.470222106305</v>
      </c>
      <c r="C21" s="2">
        <f>C10/'Output-Calculation-sheet'!C9*'Output-Calculation-sheet'!C27</f>
        <v>14748.459225296998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8294.6341546430031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5762.2071848912155</v>
      </c>
      <c r="N21" s="2">
        <f>N10/'Output-Calculation-sheet'!N9*'Output-Calculation-sheet'!N27</f>
        <v>3147.8334726950457</v>
      </c>
      <c r="O21" s="2">
        <f>O10/'Output-Calculation-sheet'!O9*'Output-Calculation-sheet'!O27</f>
        <v>2434.0770265362116</v>
      </c>
      <c r="P21" s="2">
        <f>P10/'Output-Calculation-sheet'!P9*'Output-Calculation-sheet'!P27</f>
        <v>0</v>
      </c>
      <c r="Q21" s="2">
        <f>Q10/'Output-Calculation-sheet'!Q9*'Output-Calculation-sheet'!Q27</f>
        <v>212.55288690268409</v>
      </c>
      <c r="R21" s="2">
        <f>R10/'Output-Calculation-sheet'!R9*'Output-Calculation-sheet'!R27</f>
        <v>0</v>
      </c>
      <c r="S21" s="2">
        <f>S10/'Output-Calculation-sheet'!S9*'Output-Calculation-sheet'!S27</f>
        <v>1370.2599552038002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365.28738157729305</v>
      </c>
      <c r="Y21" s="2">
        <f>Y10/'Output-Calculation-sheet'!Y9*'Output-Calculation-sheet'!Y27</f>
        <v>0</v>
      </c>
      <c r="AA21" s="2">
        <f t="shared" si="0"/>
        <v>50.698781509852552</v>
      </c>
    </row>
    <row r="22" spans="1:27" x14ac:dyDescent="0.25">
      <c r="A22" s="2">
        <v>2034</v>
      </c>
      <c r="B22" s="2">
        <f>B11/'Output-Calculation-sheet'!B10*'Output-Calculation-sheet'!B28</f>
        <v>25332.486487110582</v>
      </c>
      <c r="C22" s="2">
        <f>C11/'Output-Calculation-sheet'!C10*'Output-Calculation-sheet'!C28</f>
        <v>17814.071100115347</v>
      </c>
      <c r="D22" s="2">
        <f>D11/'Output-Calculation-sheet'!D10*'Output-Calculation-sheet'!D28</f>
        <v>0</v>
      </c>
      <c r="E22" s="2">
        <f>E11/'Output-Calculation-sheet'!E10*'Output-Calculation-sheet'!E28</f>
        <v>1451.0736562950251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10188.074168385197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727.60751253740932</v>
      </c>
      <c r="M22" s="2">
        <f>M11/'Output-Calculation-sheet'!M10*'Output-Calculation-sheet'!M28</f>
        <v>7239.0554032982745</v>
      </c>
      <c r="N22" s="2">
        <f>N11/'Output-Calculation-sheet'!N10*'Output-Calculation-sheet'!N28</f>
        <v>4268.9108490688122</v>
      </c>
      <c r="O22" s="2">
        <f>O11/'Output-Calculation-sheet'!O10*'Output-Calculation-sheet'!O28</f>
        <v>2721.8894034344089</v>
      </c>
      <c r="P22" s="2">
        <f>P11/'Output-Calculation-sheet'!P10*'Output-Calculation-sheet'!P28</f>
        <v>0</v>
      </c>
      <c r="Q22" s="2">
        <f>Q11/'Output-Calculation-sheet'!Q10*'Output-Calculation-sheet'!Q28</f>
        <v>639.30671770924232</v>
      </c>
      <c r="R22" s="2">
        <f>R11/'Output-Calculation-sheet'!R10*'Output-Calculation-sheet'!R28</f>
        <v>0</v>
      </c>
      <c r="S22" s="2">
        <f>S11/'Output-Calculation-sheet'!S10*'Output-Calculation-sheet'!S28</f>
        <v>1875.8281380481665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78.652346906515987</v>
      </c>
      <c r="AA22" s="2">
        <f t="shared" si="0"/>
        <v>72.658749191122396</v>
      </c>
    </row>
    <row r="23" spans="1:27" x14ac:dyDescent="0.25">
      <c r="A23" s="2">
        <v>2035</v>
      </c>
      <c r="B23" s="2">
        <f>B12/'Output-Calculation-sheet'!B11*'Output-Calculation-sheet'!B29</f>
        <v>29628.203391447681</v>
      </c>
      <c r="C23" s="2">
        <f>C12/'Output-Calculation-sheet'!C11*'Output-Calculation-sheet'!C29</f>
        <v>21575.44747533699</v>
      </c>
      <c r="D23" s="2">
        <f>D12/'Output-Calculation-sheet'!D11*'Output-Calculation-sheet'!D29</f>
        <v>0</v>
      </c>
      <c r="E23" s="2">
        <f>E12/'Output-Calculation-sheet'!E11*'Output-Calculation-sheet'!E29</f>
        <v>3940.4023289544825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10709.909946650401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859.82360350288138</v>
      </c>
      <c r="M23" s="2">
        <f>M12/'Output-Calculation-sheet'!M11*'Output-Calculation-sheet'!M29</f>
        <v>7653.7967188538723</v>
      </c>
      <c r="N23" s="2">
        <f>N12/'Output-Calculation-sheet'!N11*'Output-Calculation-sheet'!N29</f>
        <v>4578.075630351148</v>
      </c>
      <c r="O23" s="2">
        <f>O12/'Output-Calculation-sheet'!O11*'Output-Calculation-sheet'!O29</f>
        <v>2974.259704070269</v>
      </c>
      <c r="P23" s="2">
        <f>P12/'Output-Calculation-sheet'!P11*'Output-Calculation-sheet'!P29</f>
        <v>623.03544223705751</v>
      </c>
      <c r="Q23" s="2">
        <f>Q12/'Output-Calculation-sheet'!Q11*'Output-Calculation-sheet'!Q29</f>
        <v>928.25736493404588</v>
      </c>
      <c r="R23" s="2">
        <f>R12/'Output-Calculation-sheet'!R11*'Output-Calculation-sheet'!R29</f>
        <v>0</v>
      </c>
      <c r="S23" s="2">
        <f>S12/'Output-Calculation-sheet'!S11*'Output-Calculation-sheet'!S29</f>
        <v>2192.0970267996177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193.21563578303557</v>
      </c>
      <c r="Y23" s="2">
        <f>Y12/'Output-Calculation-sheet'!Y11*'Output-Calculation-sheet'!Y29</f>
        <v>203.8718931293364</v>
      </c>
      <c r="AA23" s="2">
        <f t="shared" si="0"/>
        <v>86.060396162050836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1542.3093740944885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39.648416060435579</v>
      </c>
    </row>
    <row r="31" spans="1:27" x14ac:dyDescent="0.25">
      <c r="A31" s="2">
        <v>2032</v>
      </c>
      <c r="B31" s="2">
        <f>B9/'Output-Calculation-sheet'!B8*'Output-Calculation-sheet'!B17</f>
        <v>25318.214027686361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1734.1856951911263</v>
      </c>
      <c r="O31" s="2">
        <f>O9/'Output-Calculation-sheet'!O8*'Output-Calculation-sheet'!O17</f>
        <v>0</v>
      </c>
      <c r="P31" s="2">
        <f>P9/'Output-Calculation-sheet'!P8*'Output-Calculation-sheet'!P17</f>
        <v>2147.4266374752883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1289.4697779485618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55.135711079628088</v>
      </c>
    </row>
    <row r="32" spans="1:27" x14ac:dyDescent="0.25">
      <c r="A32" s="2">
        <v>2033</v>
      </c>
      <c r="B32" s="2">
        <f>B10/'Output-Calculation-sheet'!B9*'Output-Calculation-sheet'!B18</f>
        <v>29090.937410933151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2774.6879097270407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1777.7191750204015</v>
      </c>
      <c r="O32" s="2">
        <f>O10/'Output-Calculation-sheet'!O9*'Output-Calculation-sheet'!O18</f>
        <v>0</v>
      </c>
      <c r="P32" s="2">
        <f>P10/'Output-Calculation-sheet'!P9*'Output-Calculation-sheet'!P18</f>
        <v>2855.705007493144</v>
      </c>
      <c r="Q32" s="2">
        <f>Q10/'Output-Calculation-sheet'!Q9*'Output-Calculation-sheet'!Q18</f>
        <v>3111.244688469526</v>
      </c>
      <c r="R32" s="2">
        <f>R10/'Output-Calculation-sheet'!R9*'Output-Calculation-sheet'!R18</f>
        <v>2050.6647242893619</v>
      </c>
      <c r="S32" s="2">
        <f>S10/'Output-Calculation-sheet'!S9*'Output-Calculation-sheet'!S18</f>
        <v>1343.0635723962139</v>
      </c>
      <c r="T32" s="2">
        <f>T10/'Output-Calculation-sheet'!T9*'Output-Calculation-sheet'!T18</f>
        <v>598.71424113044509</v>
      </c>
      <c r="U32" s="2">
        <f>U10/'Output-Calculation-sheet'!U9*'Output-Calculation-sheet'!U18</f>
        <v>661.95221286204219</v>
      </c>
      <c r="V32" s="2">
        <f>V10/'Output-Calculation-sheet'!V9*'Output-Calculation-sheet'!V18</f>
        <v>488.49033830585893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282.85558384238527</v>
      </c>
      <c r="AA32" s="2">
        <f t="shared" si="1"/>
        <v>69.92819288927042</v>
      </c>
    </row>
    <row r="33" spans="1:27" x14ac:dyDescent="0.25">
      <c r="A33" s="2">
        <v>2034</v>
      </c>
      <c r="B33" s="2">
        <f>B11/'Output-Calculation-sheet'!B10*'Output-Calculation-sheet'!B19</f>
        <v>28782.019136303625</v>
      </c>
      <c r="C33" s="2">
        <f>C11/'Output-Calculation-sheet'!C10*'Output-Calculation-sheet'!C19</f>
        <v>0</v>
      </c>
      <c r="D33" s="2">
        <f>D11/'Output-Calculation-sheet'!D10*'Output-Calculation-sheet'!D19</f>
        <v>8412.6435650948042</v>
      </c>
      <c r="E33" s="2">
        <f>E11/'Output-Calculation-sheet'!E10*'Output-Calculation-sheet'!E19</f>
        <v>10583.903405457437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3176.5943081307832</v>
      </c>
      <c r="J33" s="2">
        <f>J11/'Output-Calculation-sheet'!J10*'Output-Calculation-sheet'!J19</f>
        <v>2629.4733838120269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2946.8851317330987</v>
      </c>
      <c r="M33" s="2">
        <f>M11/'Output-Calculation-sheet'!M10*'Output-Calculation-sheet'!M19</f>
        <v>0</v>
      </c>
      <c r="N33" s="2">
        <f>N11/'Output-Calculation-sheet'!N10*'Output-Calculation-sheet'!N19</f>
        <v>1749.1369711164136</v>
      </c>
      <c r="O33" s="2">
        <f>O11/'Output-Calculation-sheet'!O10*'Output-Calculation-sheet'!O19</f>
        <v>0</v>
      </c>
      <c r="P33" s="2">
        <f>P11/'Output-Calculation-sheet'!P10*'Output-Calculation-sheet'!P19</f>
        <v>3768.5724585828229</v>
      </c>
      <c r="Q33" s="2">
        <f>Q11/'Output-Calculation-sheet'!Q10*'Output-Calculation-sheet'!Q19</f>
        <v>3154.2985038009892</v>
      </c>
      <c r="R33" s="2">
        <f>R11/'Output-Calculation-sheet'!R10*'Output-Calculation-sheet'!R19</f>
        <v>2691.1291143779076</v>
      </c>
      <c r="S33" s="2">
        <f>S11/'Output-Calculation-sheet'!S10*'Output-Calculation-sheet'!S19</f>
        <v>1349.3311650548021</v>
      </c>
      <c r="T33" s="2">
        <f>T11/'Output-Calculation-sheet'!T10*'Output-Calculation-sheet'!T19</f>
        <v>789.62850171482364</v>
      </c>
      <c r="U33" s="2">
        <f>U11/'Output-Calculation-sheet'!U10*'Output-Calculation-sheet'!U19</f>
        <v>851.1914616829456</v>
      </c>
      <c r="V33" s="2">
        <f>V11/'Output-Calculation-sheet'!V10*'Output-Calculation-sheet'!V19</f>
        <v>619.36941902995932</v>
      </c>
      <c r="W33" s="2">
        <f>W11/'Output-Calculation-sheet'!W10*'Output-Calculation-sheet'!W19</f>
        <v>385.65740046417784</v>
      </c>
      <c r="X33" s="2">
        <f>X11/'Output-Calculation-sheet'!X10*'Output-Calculation-sheet'!X19</f>
        <v>0</v>
      </c>
      <c r="Y33" s="2">
        <f>Y11/'Output-Calculation-sheet'!Y10*'Output-Calculation-sheet'!Y19</f>
        <v>347.60578804512187</v>
      </c>
      <c r="AA33" s="2">
        <f t="shared" si="1"/>
        <v>83.728483081349381</v>
      </c>
    </row>
    <row r="34" spans="1:27" x14ac:dyDescent="0.25">
      <c r="A34" s="2">
        <v>2035</v>
      </c>
      <c r="B34" s="2">
        <f>B12/'Output-Calculation-sheet'!B11*'Output-Calculation-sheet'!B20</f>
        <v>27610.145220454673</v>
      </c>
      <c r="C34" s="2">
        <f>C12/'Output-Calculation-sheet'!C11*'Output-Calculation-sheet'!C20</f>
        <v>0</v>
      </c>
      <c r="D34" s="2">
        <f>D12/'Output-Calculation-sheet'!D11*'Output-Calculation-sheet'!D20</f>
        <v>8609.7443881602594</v>
      </c>
      <c r="E34" s="2">
        <f>E12/'Output-Calculation-sheet'!E11*'Output-Calculation-sheet'!E20</f>
        <v>10077.707234401891</v>
      </c>
      <c r="F34" s="2">
        <f>F12/'Output-Calculation-sheet'!F11*'Output-Calculation-sheet'!F20</f>
        <v>5854.1304151900713</v>
      </c>
      <c r="G34" s="2">
        <f>G12/'Output-Calculation-sheet'!G11*'Output-Calculation-sheet'!G20</f>
        <v>3107.7134107853349</v>
      </c>
      <c r="H34" s="2">
        <f>H12/'Output-Calculation-sheet'!H11*'Output-Calculation-sheet'!H20</f>
        <v>0</v>
      </c>
      <c r="I34" s="2">
        <f>I12/'Output-Calculation-sheet'!I11*'Output-Calculation-sheet'!I20</f>
        <v>3444.885810299998</v>
      </c>
      <c r="J34" s="2">
        <f>J12/'Output-Calculation-sheet'!J11*'Output-Calculation-sheet'!J20</f>
        <v>2694.47588278374</v>
      </c>
      <c r="K34" s="2">
        <f>K12/'Output-Calculation-sheet'!K11*'Output-Calculation-sheet'!K20</f>
        <v>3977.9337748872722</v>
      </c>
      <c r="L34" s="2">
        <f>L12/'Output-Calculation-sheet'!L11*'Output-Calculation-sheet'!L20</f>
        <v>3020.3358257251771</v>
      </c>
      <c r="M34" s="2">
        <f>M12/'Output-Calculation-sheet'!M11*'Output-Calculation-sheet'!M20</f>
        <v>0</v>
      </c>
      <c r="N34" s="2">
        <f>N12/'Output-Calculation-sheet'!N11*'Output-Calculation-sheet'!N20</f>
        <v>1757.6181403481778</v>
      </c>
      <c r="O34" s="2">
        <f>O12/'Output-Calculation-sheet'!O11*'Output-Calculation-sheet'!O20</f>
        <v>0</v>
      </c>
      <c r="P34" s="2">
        <f>P12/'Output-Calculation-sheet'!P11*'Output-Calculation-sheet'!P20</f>
        <v>3795.6118046164061</v>
      </c>
      <c r="Q34" s="2">
        <f>Q12/'Output-Calculation-sheet'!Q11*'Output-Calculation-sheet'!Q20</f>
        <v>3114.6723494747775</v>
      </c>
      <c r="R34" s="2">
        <f>R12/'Output-Calculation-sheet'!R11*'Output-Calculation-sheet'!R20</f>
        <v>2953.8567462796423</v>
      </c>
      <c r="S34" s="2">
        <f>S12/'Output-Calculation-sheet'!S11*'Output-Calculation-sheet'!S20</f>
        <v>1249.6684318658092</v>
      </c>
      <c r="T34" s="2">
        <f>T12/'Output-Calculation-sheet'!T11*'Output-Calculation-sheet'!T20</f>
        <v>914.9787878126748</v>
      </c>
      <c r="U34" s="2">
        <f>U12/'Output-Calculation-sheet'!U11*'Output-Calculation-sheet'!U20</f>
        <v>874.22547215854695</v>
      </c>
      <c r="V34" s="2">
        <f>V12/'Output-Calculation-sheet'!V11*'Output-Calculation-sheet'!V20</f>
        <v>650.81729838941465</v>
      </c>
      <c r="W34" s="2">
        <f>W12/'Output-Calculation-sheet'!W11*'Output-Calculation-sheet'!W20</f>
        <v>513.15701927766236</v>
      </c>
      <c r="X34" s="2">
        <f>X12/'Output-Calculation-sheet'!X11*'Output-Calculation-sheet'!X20</f>
        <v>0</v>
      </c>
      <c r="Y34" s="2">
        <f>Y12/'Output-Calculation-sheet'!Y11*'Output-Calculation-sheet'!Y20</f>
        <v>303.06472960718889</v>
      </c>
      <c r="AA34" s="2">
        <f t="shared" si="1"/>
        <v>84.524742742518711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0.6056211195971416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0.33335685022325962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0.93897796982040127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1.9244055415725128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0.48067525956104984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2.4050808011335625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3.4963248570696792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0.63395620311239687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4.1302810601820763</v>
      </c>
    </row>
    <row r="44" spans="1:27" x14ac:dyDescent="0.25">
      <c r="A44" s="2">
        <v>2034</v>
      </c>
      <c r="B44" s="2">
        <f>B11/'Output-Calculation-sheet'!B10*'Output-Calculation-sheet'!B37*0.0114</f>
        <v>0.25543297110677077</v>
      </c>
      <c r="C44" s="2">
        <f>C11/'Output-Calculation-sheet'!C10*'Output-Calculation-sheet'!C37*0.0114</f>
        <v>4.0613524062419071</v>
      </c>
      <c r="D44" s="2">
        <f>D11/'Output-Calculation-sheet'!D10*'Output-Calculation-sheet'!D37*0.0114</f>
        <v>5.3696371951479818E-2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7.4639416914866696E-2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1.7146081228514978E-2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1.3539712323302897E-2</v>
      </c>
      <c r="M44" s="2">
        <f>M11/'Output-Calculation-sheet'!M10*'Output-Calculation-sheet'!M37*0.0114</f>
        <v>3.8519387032410798E-2</v>
      </c>
      <c r="N44" s="2">
        <f>N11/'Output-Calculation-sheet'!N10*'Output-Calculation-sheet'!N37*0.0114</f>
        <v>2.5238873715808172E-2</v>
      </c>
      <c r="O44" s="2">
        <f>O11/'Output-Calculation-sheet'!O10*'Output-Calculation-sheet'!O37*0.0114</f>
        <v>0.7772317069551995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5.528279400366648E-2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2.8935587405416109E-2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7.0554141130969427E-3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5.4080707229924405</v>
      </c>
    </row>
    <row r="45" spans="1:27" x14ac:dyDescent="0.25">
      <c r="A45" s="2">
        <v>2035</v>
      </c>
      <c r="B45" s="2">
        <f>B12/'Output-Calculation-sheet'!B11*'Output-Calculation-sheet'!B38*0.0114</f>
        <v>1.178619308172425</v>
      </c>
      <c r="C45" s="2">
        <f>C12/'Output-Calculation-sheet'!C11*'Output-Calculation-sheet'!C38*0.0114</f>
        <v>4.4752000262199001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0.30630138970660725</v>
      </c>
      <c r="F45" s="2">
        <f>F12/'Output-Calculation-sheet'!F11*'Output-Calculation-sheet'!F38*0.0114</f>
        <v>0.11008142939432251</v>
      </c>
      <c r="G45" s="2">
        <f>G12/'Output-Calculation-sheet'!G11*'Output-Calculation-sheet'!G38*0.0114</f>
        <v>9.8754700760962377E-2</v>
      </c>
      <c r="H45" s="2">
        <f>H12/'Output-Calculation-sheet'!H11*'Output-Calculation-sheet'!H38*0.0114</f>
        <v>0.34440134155516428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7.0324872080209794E-2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8.3299955638456796E-2</v>
      </c>
      <c r="M45" s="2">
        <f>M12/'Output-Calculation-sheet'!M11*'Output-Calculation-sheet'!M38*0.0114</f>
        <v>0.21065034663488114</v>
      </c>
      <c r="N45" s="2">
        <f>N12/'Output-Calculation-sheet'!N11*'Output-Calculation-sheet'!N38*0.0114</f>
        <v>0.12939695533468148</v>
      </c>
      <c r="O45" s="2">
        <f>O12/'Output-Calculation-sheet'!O11*'Output-Calculation-sheet'!O38*0.0114</f>
        <v>0.90563233383930197</v>
      </c>
      <c r="P45" s="2">
        <f>P12/'Output-Calculation-sheet'!P11*'Output-Calculation-sheet'!P38*0.0114</f>
        <v>8.3678040616124577E-2</v>
      </c>
      <c r="Q45" s="2">
        <f>Q12/'Output-Calculation-sheet'!Q11*'Output-Calculation-sheet'!Q38*0.0114</f>
        <v>0.12470869877505146</v>
      </c>
      <c r="R45" s="2">
        <f>R12/'Output-Calculation-sheet'!R11*'Output-Calculation-sheet'!R38*0.0114</f>
        <v>5.6214626948103877E-2</v>
      </c>
      <c r="S45" s="2">
        <f>S12/'Output-Calculation-sheet'!S11*'Output-Calculation-sheet'!S38*0.0114</f>
        <v>8.1592281980671172E-2</v>
      </c>
      <c r="T45" s="2">
        <f>T12/'Output-Calculation-sheet'!T11*'Output-Calculation-sheet'!T38*0.0114</f>
        <v>1.6637835453821789E-2</v>
      </c>
      <c r="U45" s="2">
        <f>U12/'Output-Calculation-sheet'!U11*'Output-Calculation-sheet'!U38*0.0114</f>
        <v>2.5320637545002165E-2</v>
      </c>
      <c r="V45" s="2">
        <f>V12/'Output-Calculation-sheet'!V11*'Output-Calculation-sheet'!V38*0.0114</f>
        <v>1.1156813446609964E-2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5.7771952857974635E-3</v>
      </c>
      <c r="Y45" s="2">
        <f>Y12/'Output-Calculation-sheet'!Y11*'Output-Calculation-sheet'!Y38*0.0114</f>
        <v>9.7564319269001481E-3</v>
      </c>
      <c r="AA45" s="2">
        <f t="shared" si="2"/>
        <v>8.7133459666554103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6740.3337396359393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4609.8737213990935</v>
      </c>
      <c r="N52" s="2">
        <f>N8/'Output-Calculation-sheet'!N7*'Output-Calculation-sheet'!N43</f>
        <v>145.61834935329918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31.169845139378978</v>
      </c>
      <c r="Y52" s="2">
        <f>Y8/'Output-Calculation-sheet'!Y7*'Output-Calculation-sheet'!Y43</f>
        <v>0</v>
      </c>
      <c r="AA52" s="2">
        <f t="shared" si="3"/>
        <v>11.52699565552771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197.74593284329077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13019.255424209203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8904.3693288326376</v>
      </c>
      <c r="N53" s="2">
        <f>N9/'Output-Calculation-sheet'!N8*'Output-Calculation-sheet'!N44</f>
        <v>3159.8360427819584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985.38036215635589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271.77690451948484</v>
      </c>
      <c r="Y53" s="2">
        <f>Y9/'Output-Calculation-sheet'!Y8*'Output-Calculation-sheet'!Y44</f>
        <v>0</v>
      </c>
      <c r="AA53" s="2">
        <f t="shared" si="3"/>
        <v>26.678430456971366</v>
      </c>
    </row>
    <row r="54" spans="1:27" x14ac:dyDescent="0.25">
      <c r="A54" s="2">
        <v>2033</v>
      </c>
      <c r="B54" s="2">
        <f>B10/'Output-Calculation-sheet'!B9*'Output-Calculation-sheet'!B45</f>
        <v>27430.625310290947</v>
      </c>
      <c r="C54" s="2">
        <f>C10/'Output-Calculation-sheet'!C9*'Output-Calculation-sheet'!C45</f>
        <v>5893.6587137446495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13701.877041506261</v>
      </c>
      <c r="N54" s="2">
        <f>N10/'Output-Calculation-sheet'!N9*'Output-Calculation-sheet'!N45</f>
        <v>7666.0823953853769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802.75484427332378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83.81886765428851</v>
      </c>
    </row>
    <row r="55" spans="1:27" x14ac:dyDescent="0.25">
      <c r="A55" s="2">
        <v>2034</v>
      </c>
      <c r="B55" s="2">
        <f>B11/'Output-Calculation-sheet'!B10*'Output-Calculation-sheet'!B46</f>
        <v>71420.403105511563</v>
      </c>
      <c r="C55" s="2">
        <f>C11/'Output-Calculation-sheet'!C10*'Output-Calculation-sheet'!C46</f>
        <v>14654.473987434792</v>
      </c>
      <c r="D55" s="2">
        <f>D11/'Output-Calculation-sheet'!D10*'Output-Calculation-sheet'!D46</f>
        <v>6184.5031905520173</v>
      </c>
      <c r="E55" s="2">
        <f>E11/'Output-Calculation-sheet'!E10*'Output-Calculation-sheet'!E46</f>
        <v>9261.0811236069949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23925.534145715053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887.38490568630152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744.68417778165929</v>
      </c>
      <c r="M55" s="2">
        <f>M11/'Output-Calculation-sheet'!M10*'Output-Calculation-sheet'!M46</f>
        <v>16731.154806036913</v>
      </c>
      <c r="N55" s="2">
        <f>N11/'Output-Calculation-sheet'!N10*'Output-Calculation-sheet'!N46</f>
        <v>12186.612313040885</v>
      </c>
      <c r="O55" s="2">
        <f>O11/'Output-Calculation-sheet'!O10*'Output-Calculation-sheet'!O46</f>
        <v>0</v>
      </c>
      <c r="P55" s="2">
        <f>P11/'Output-Calculation-sheet'!P10*'Output-Calculation-sheet'!P46</f>
        <v>4831.9934967769996</v>
      </c>
      <c r="Q55" s="2">
        <f>Q11/'Output-Calculation-sheet'!Q10*'Output-Calculation-sheet'!Q46</f>
        <v>1787.4770061185495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5124.6448220644843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1188.5897196669016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79.755775707501314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184.52551989941719</v>
      </c>
    </row>
    <row r="56" spans="1:27" x14ac:dyDescent="0.25">
      <c r="A56" s="2">
        <v>2035</v>
      </c>
      <c r="B56" s="2">
        <f>B12/'Output-Calculation-sheet'!B11*'Output-Calculation-sheet'!B47</f>
        <v>83939.291275008858</v>
      </c>
      <c r="C56" s="2">
        <f>C12/'Output-Calculation-sheet'!C11*'Output-Calculation-sheet'!C47</f>
        <v>30259.941697758826</v>
      </c>
      <c r="D56" s="2">
        <f>D12/'Output-Calculation-sheet'!D11*'Output-Calculation-sheet'!D47</f>
        <v>6607.0907486064189</v>
      </c>
      <c r="E56" s="2">
        <f>E12/'Output-Calculation-sheet'!E11*'Output-Calculation-sheet'!E47</f>
        <v>17548.996914017647</v>
      </c>
      <c r="F56" s="2">
        <f>F12/'Output-Calculation-sheet'!F11*'Output-Calculation-sheet'!F47</f>
        <v>2064.0268011435473</v>
      </c>
      <c r="G56" s="2">
        <f>G12/'Output-Calculation-sheet'!G11*'Output-Calculation-sheet'!G47</f>
        <v>5334.4863797018097</v>
      </c>
      <c r="H56" s="2">
        <f>H12/'Output-Calculation-sheet'!H11*'Output-Calculation-sheet'!H47</f>
        <v>24920.424558533523</v>
      </c>
      <c r="I56" s="2">
        <f>I12/'Output-Calculation-sheet'!I11*'Output-Calculation-sheet'!I47</f>
        <v>2965.4666277343831</v>
      </c>
      <c r="J56" s="2">
        <f>J12/'Output-Calculation-sheet'!J11*'Output-Calculation-sheet'!J47</f>
        <v>1064.1263538452797</v>
      </c>
      <c r="K56" s="2">
        <f>K12/'Output-Calculation-sheet'!K11*'Output-Calculation-sheet'!K47</f>
        <v>4433.9011608641986</v>
      </c>
      <c r="L56" s="2">
        <f>L12/'Output-Calculation-sheet'!L11*'Output-Calculation-sheet'!L47</f>
        <v>1002.27870600073</v>
      </c>
      <c r="M56" s="2">
        <f>M12/'Output-Calculation-sheet'!M11*'Output-Calculation-sheet'!M47</f>
        <v>17445.636711987467</v>
      </c>
      <c r="N56" s="2">
        <f>N12/'Output-Calculation-sheet'!N11*'Output-Calculation-sheet'!N47</f>
        <v>13011.204377205737</v>
      </c>
      <c r="O56" s="2">
        <f>O12/'Output-Calculation-sheet'!O11*'Output-Calculation-sheet'!O47</f>
        <v>0</v>
      </c>
      <c r="P56" s="2">
        <f>P12/'Output-Calculation-sheet'!P11*'Output-Calculation-sheet'!P47</f>
        <v>6716.2637862942092</v>
      </c>
      <c r="Q56" s="2">
        <f>Q12/'Output-Calculation-sheet'!Q11*'Output-Calculation-sheet'!Q47</f>
        <v>2380.802431160073</v>
      </c>
      <c r="R56" s="2">
        <f>R12/'Output-Calculation-sheet'!R11*'Output-Calculation-sheet'!R47</f>
        <v>4646.0896061845142</v>
      </c>
      <c r="S56" s="2">
        <f>S12/'Output-Calculation-sheet'!S11*'Output-Calculation-sheet'!S47</f>
        <v>6063.4647191218064</v>
      </c>
      <c r="T56" s="2">
        <f>T12/'Output-Calculation-sheet'!T11*'Output-Calculation-sheet'!T47</f>
        <v>1592.2700421157519</v>
      </c>
      <c r="U56" s="2">
        <f>U12/'Output-Calculation-sheet'!U11*'Output-Calculation-sheet'!U47</f>
        <v>1241.9169843501061</v>
      </c>
      <c r="V56" s="2">
        <f>V12/'Output-Calculation-sheet'!V11*'Output-Calculation-sheet'!V47</f>
        <v>715.89552949080598</v>
      </c>
      <c r="W56" s="2">
        <f>W12/'Output-Calculation-sheet'!W11*'Output-Calculation-sheet'!W47</f>
        <v>617.16232434875837</v>
      </c>
      <c r="X56" s="2">
        <f>X12/'Output-Calculation-sheet'!X11*'Output-Calculation-sheet'!X47</f>
        <v>371.21013568830193</v>
      </c>
      <c r="Y56" s="2">
        <f>Y12/'Output-Calculation-sheet'!Y11*'Output-Calculation-sheet'!Y47</f>
        <v>795.06361930616117</v>
      </c>
      <c r="AA56" s="2">
        <f t="shared" si="3"/>
        <v>235.73701149046894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5.1667666622173787</v>
      </c>
      <c r="C63" s="2">
        <f>C8*'Output-Calculation-sheet'!C52/10^9</f>
        <v>3.2284356176963476</v>
      </c>
      <c r="D63" s="2">
        <f>D8*'Output-Calculation-sheet'!D52/10^9</f>
        <v>1.4756873818661405</v>
      </c>
      <c r="E63" s="2">
        <f>E8*'Output-Calculation-sheet'!E52/10^9</f>
        <v>1.355513134776293</v>
      </c>
      <c r="F63" s="2">
        <f>F8*'Output-Calculation-sheet'!F52/10^9</f>
        <v>0.71437887339906836</v>
      </c>
      <c r="G63" s="2">
        <f>G8*'Output-Calculation-sheet'!G52/10^9</f>
        <v>0.52830557451253035</v>
      </c>
      <c r="H63" s="2">
        <f>H8*'Output-Calculation-sheet'!H52/10^9</f>
        <v>0.91152384390734675</v>
      </c>
      <c r="I63" s="2">
        <f>I8*'Output-Calculation-sheet'!I52/10^9</f>
        <v>0.48976273305905149</v>
      </c>
      <c r="J63" s="2">
        <f>J8*'Output-Calculation-sheet'!J52/10^9</f>
        <v>0.49791157887095794</v>
      </c>
      <c r="K63" s="2">
        <f>K8*'Output-Calculation-sheet'!K52/10^9</f>
        <v>0.50108144235066887</v>
      </c>
      <c r="L63" s="2">
        <f>L8*'Output-Calculation-sheet'!L52/10^9</f>
        <v>0.40848012542574857</v>
      </c>
      <c r="M63" s="2">
        <f>M8*'Output-Calculation-sheet'!M52/10^9</f>
        <v>0.63110783985699759</v>
      </c>
      <c r="N63" s="2">
        <f>N8*'Output-Calculation-sheet'!N52/10^9</f>
        <v>0.56626799766646485</v>
      </c>
      <c r="O63" s="2">
        <f>O8*'Output-Calculation-sheet'!O52/10^9</f>
        <v>0.6123384921219297</v>
      </c>
      <c r="P63" s="2">
        <f>P8*'Output-Calculation-sheet'!P52/10^9</f>
        <v>0.40338405520758802</v>
      </c>
      <c r="Q63" s="2">
        <f>Q8*'Output-Calculation-sheet'!Q52/10^9</f>
        <v>0.41600521229331849</v>
      </c>
      <c r="R63" s="2">
        <f>R8*'Output-Calculation-sheet'!R52/10^9</f>
        <v>0.34070422800027383</v>
      </c>
      <c r="S63" s="2">
        <f>S8*'Output-Calculation-sheet'!S52/10^9</f>
        <v>0.31328233198926586</v>
      </c>
      <c r="T63" s="2">
        <f>T8*'Output-Calculation-sheet'!T52/10^9</f>
        <v>0.11746864999029413</v>
      </c>
      <c r="U63" s="2">
        <f>U8*'Output-Calculation-sheet'!U52/10^9</f>
        <v>0.10671490623462211</v>
      </c>
      <c r="V63" s="2">
        <f>V8*'Output-Calculation-sheet'!V52/10^9</f>
        <v>8.2457907931111407E-2</v>
      </c>
      <c r="W63" s="2">
        <f>W8*'Output-Calculation-sheet'!W52/10^9</f>
        <v>6.4420715401736869E-2</v>
      </c>
      <c r="X63" s="2">
        <f>X8*'Output-Calculation-sheet'!X52/10^9</f>
        <v>7.6021887024446205E-2</v>
      </c>
      <c r="Y63" s="2">
        <f>Y8*'Output-Calculation-sheet'!Y52/10^9</f>
        <v>4.1876090064085533E-2</v>
      </c>
      <c r="AA63" s="2">
        <f t="shared" si="4"/>
        <v>19.049897281863668</v>
      </c>
    </row>
    <row r="64" spans="1:27" x14ac:dyDescent="0.25">
      <c r="A64" s="2">
        <v>2032</v>
      </c>
      <c r="B64" s="2">
        <f>B9*'Output-Calculation-sheet'!B53/10^9</f>
        <v>5.8260014501327921</v>
      </c>
      <c r="C64" s="2">
        <f>C9*'Output-Calculation-sheet'!C53/10^9</f>
        <v>3.8571911279875883</v>
      </c>
      <c r="D64" s="2">
        <f>D9*'Output-Calculation-sheet'!D53/10^9</f>
        <v>1.4037146058517145</v>
      </c>
      <c r="E64" s="2">
        <f>E9*'Output-Calculation-sheet'!E53/10^9</f>
        <v>1.3704480239863861</v>
      </c>
      <c r="F64" s="2">
        <f>F9*'Output-Calculation-sheet'!F53/10^9</f>
        <v>0.69116161840624257</v>
      </c>
      <c r="G64" s="2">
        <f>G9*'Output-Calculation-sheet'!G53/10^9</f>
        <v>0.50203906062882298</v>
      </c>
      <c r="H64" s="2">
        <f>H9*'Output-Calculation-sheet'!H53/10^9</f>
        <v>1.0777626292439533</v>
      </c>
      <c r="I64" s="2">
        <f>I9*'Output-Calculation-sheet'!I53/10^9</f>
        <v>0.46877743656578741</v>
      </c>
      <c r="J64" s="2">
        <f>J9*'Output-Calculation-sheet'!J53/10^9</f>
        <v>0.46790257898670723</v>
      </c>
      <c r="K64" s="2">
        <f>K9*'Output-Calculation-sheet'!K53/10^9</f>
        <v>0.50467242048111061</v>
      </c>
      <c r="L64" s="2">
        <f>L9*'Output-Calculation-sheet'!L53/10^9</f>
        <v>0.4160111525782807</v>
      </c>
      <c r="M64" s="2">
        <f>M9*'Output-Calculation-sheet'!M53/10^9</f>
        <v>0.74672727363097069</v>
      </c>
      <c r="N64" s="2">
        <f>N9*'Output-Calculation-sheet'!N53/10^9</f>
        <v>0.66351573568853506</v>
      </c>
      <c r="O64" s="2">
        <f>O9*'Output-Calculation-sheet'!O53/10^9</f>
        <v>0.71389856204558944</v>
      </c>
      <c r="P64" s="2">
        <f>P9*'Output-Calculation-sheet'!P53/10^9</f>
        <v>0.45136835103025541</v>
      </c>
      <c r="Q64" s="2">
        <f>Q9*'Output-Calculation-sheet'!Q53/10^9</f>
        <v>0.46187502211706694</v>
      </c>
      <c r="R64" s="2">
        <f>R9*'Output-Calculation-sheet'!R53/10^9</f>
        <v>0.36111096032900547</v>
      </c>
      <c r="S64" s="2">
        <f>S9*'Output-Calculation-sheet'!S53/10^9</f>
        <v>0.36547445524236072</v>
      </c>
      <c r="T64" s="2">
        <f>T9*'Output-Calculation-sheet'!T53/10^9</f>
        <v>0.11571530856961829</v>
      </c>
      <c r="U64" s="2">
        <f>U9*'Output-Calculation-sheet'!U53/10^9</f>
        <v>0.11414759473071126</v>
      </c>
      <c r="V64" s="2">
        <f>V9*'Output-Calculation-sheet'!V53/10^9</f>
        <v>8.4928942578040442E-2</v>
      </c>
      <c r="W64" s="2">
        <f>W9*'Output-Calculation-sheet'!W53/10^9</f>
        <v>6.131506611282693E-2</v>
      </c>
      <c r="X64" s="2">
        <f>X9*'Output-Calculation-sheet'!X53/10^9</f>
        <v>9.0309154840134201E-2</v>
      </c>
      <c r="Y64" s="2">
        <f>Y9*'Output-Calculation-sheet'!Y53/10^9</f>
        <v>4.4198021418879817E-2</v>
      </c>
      <c r="AA64" s="2">
        <f t="shared" si="4"/>
        <v>20.860266553183376</v>
      </c>
    </row>
    <row r="65" spans="1:27" x14ac:dyDescent="0.25">
      <c r="A65" s="2">
        <v>2033</v>
      </c>
      <c r="B65" s="2">
        <f>B10*'Output-Calculation-sheet'!B54/10^9</f>
        <v>6.7232999932141073</v>
      </c>
      <c r="C65" s="2">
        <f>C10*'Output-Calculation-sheet'!C54/10^9</f>
        <v>4.4406776594165907</v>
      </c>
      <c r="D65" s="2">
        <f>D10*'Output-Calculation-sheet'!D54/10^9</f>
        <v>1.2915150938758713</v>
      </c>
      <c r="E65" s="2">
        <f>E10*'Output-Calculation-sheet'!E54/10^9</f>
        <v>1.4655673538147311</v>
      </c>
      <c r="F65" s="2">
        <f>F10*'Output-Calculation-sheet'!F54/10^9</f>
        <v>0.66484454874885923</v>
      </c>
      <c r="G65" s="2">
        <f>G10*'Output-Calculation-sheet'!G54/10^9</f>
        <v>0.45885385390606792</v>
      </c>
      <c r="H65" s="2">
        <f>H10*'Output-Calculation-sheet'!H54/10^9</f>
        <v>1.2196219250547198</v>
      </c>
      <c r="I65" s="2">
        <f>I10*'Output-Calculation-sheet'!I54/10^9</f>
        <v>0.45135954112187082</v>
      </c>
      <c r="J65" s="2">
        <f>J10*'Output-Calculation-sheet'!J54/10^9</f>
        <v>0.41627030704493057</v>
      </c>
      <c r="K65" s="2">
        <f>K10*'Output-Calculation-sheet'!K54/10^9</f>
        <v>0.5309338058881502</v>
      </c>
      <c r="L65" s="2">
        <f>L10*'Output-Calculation-sheet'!L54/10^9</f>
        <v>0.4415654394629695</v>
      </c>
      <c r="M65" s="2">
        <f>M10*'Output-Calculation-sheet'!M54/10^9</f>
        <v>0.84512545385146987</v>
      </c>
      <c r="N65" s="2">
        <f>N10*'Output-Calculation-sheet'!N54/10^9</f>
        <v>0.75978284066013524</v>
      </c>
      <c r="O65" s="2">
        <f>O10*'Output-Calculation-sheet'!O54/10^9</f>
        <v>0.8043616114637383</v>
      </c>
      <c r="P65" s="2">
        <f>P10*'Output-Calculation-sheet'!P54/10^9</f>
        <v>0.51271418668097946</v>
      </c>
      <c r="Q65" s="2">
        <f>Q10*'Output-Calculation-sheet'!Q54/10^9</f>
        <v>0.53196429130641543</v>
      </c>
      <c r="R65" s="2">
        <f>R10*'Output-Calculation-sheet'!R54/10^9</f>
        <v>0.39750108630006575</v>
      </c>
      <c r="S65" s="2">
        <f>S10*'Output-Calculation-sheet'!S54/10^9</f>
        <v>0.42034528229522106</v>
      </c>
      <c r="T65" s="2">
        <f>T10*'Output-Calculation-sheet'!T54/10^9</f>
        <v>0.11930812847205759</v>
      </c>
      <c r="U65" s="2">
        <f>U10*'Output-Calculation-sheet'!U54/10^9</f>
        <v>0.12900310742133372</v>
      </c>
      <c r="V65" s="2">
        <f>V10*'Output-Calculation-sheet'!V54/10^9</f>
        <v>9.0027063115195011E-2</v>
      </c>
      <c r="W65" s="2">
        <f>W10*'Output-Calculation-sheet'!W54/10^9</f>
        <v>5.6312945461322227E-2</v>
      </c>
      <c r="X65" s="2">
        <f>X10*'Output-Calculation-sheet'!X54/10^9</f>
        <v>0.10359531911144719</v>
      </c>
      <c r="Y65" s="2">
        <f>Y10*'Output-Calculation-sheet'!Y54/10^9</f>
        <v>4.9681714853893229E-2</v>
      </c>
      <c r="AA65" s="2">
        <f t="shared" si="4"/>
        <v>22.924232552542136</v>
      </c>
    </row>
    <row r="66" spans="1:27" x14ac:dyDescent="0.25">
      <c r="A66" s="2">
        <v>2034</v>
      </c>
      <c r="B66" s="2">
        <f>B11*'Output-Calculation-sheet'!B55/10^9</f>
        <v>7.8020459551936359</v>
      </c>
      <c r="C66" s="2">
        <f>C11*'Output-Calculation-sheet'!C55/10^9</f>
        <v>4.9702588661561871</v>
      </c>
      <c r="D66" s="2">
        <f>D11*'Output-Calculation-sheet'!D55/10^9</f>
        <v>1.463849458008184</v>
      </c>
      <c r="E66" s="2">
        <f>E11*'Output-Calculation-sheet'!E55/10^9</f>
        <v>1.8049865112403227</v>
      </c>
      <c r="F66" s="2">
        <f>F11*'Output-Calculation-sheet'!F55/10^9</f>
        <v>0.72289427698665865</v>
      </c>
      <c r="G66" s="2">
        <f>G11*'Output-Calculation-sheet'!G55/10^9</f>
        <v>0.52067052303686567</v>
      </c>
      <c r="H66" s="2">
        <f>H11*'Output-Calculation-sheet'!H55/10^9</f>
        <v>1.3715860047109649</v>
      </c>
      <c r="I66" s="2">
        <f>I11*'Output-Calculation-sheet'!I55/10^9</f>
        <v>0.51181016839171922</v>
      </c>
      <c r="J66" s="2">
        <f>J11*'Output-Calculation-sheet'!J55/10^9</f>
        <v>0.45155028549239407</v>
      </c>
      <c r="K66" s="2">
        <f>K11*'Output-Calculation-sheet'!K55/10^9</f>
        <v>0.60345790718709047</v>
      </c>
      <c r="L66" s="2">
        <f>L11*'Output-Calculation-sheet'!L55/10^9</f>
        <v>0.52857669660826945</v>
      </c>
      <c r="M66" s="2">
        <f>M11*'Output-Calculation-sheet'!M55/10^9</f>
        <v>0.95239226442803826</v>
      </c>
      <c r="N66" s="2">
        <f>N11*'Output-Calculation-sheet'!N55/10^9</f>
        <v>0.85260801207989867</v>
      </c>
      <c r="O66" s="2">
        <f>O11*'Output-Calculation-sheet'!O55/10^9</f>
        <v>0.88454168185036552</v>
      </c>
      <c r="P66" s="2">
        <f>P11*'Output-Calculation-sheet'!P55/10^9</f>
        <v>0.59927954359395275</v>
      </c>
      <c r="Q66" s="2">
        <f>Q11*'Output-Calculation-sheet'!Q55/10^9</f>
        <v>0.62211335496296771</v>
      </c>
      <c r="R66" s="2">
        <f>R11*'Output-Calculation-sheet'!R55/10^9</f>
        <v>0.45352966643993009</v>
      </c>
      <c r="S66" s="2">
        <f>S11*'Output-Calculation-sheet'!S55/10^9</f>
        <v>0.48027739675907644</v>
      </c>
      <c r="T66" s="2">
        <f>T11*'Output-Calculation-sheet'!T55/10^9</f>
        <v>0.13352063124404193</v>
      </c>
      <c r="U66" s="2">
        <f>U11*'Output-Calculation-sheet'!U55/10^9</f>
        <v>0.15420741451979947</v>
      </c>
      <c r="V66" s="2">
        <f>V11*'Output-Calculation-sheet'!V55/10^9</f>
        <v>9.9733049907112736E-2</v>
      </c>
      <c r="W66" s="2">
        <f>W11*'Output-Calculation-sheet'!W55/10^9</f>
        <v>6.0761495296536877E-2</v>
      </c>
      <c r="X66" s="2">
        <f>X11*'Output-Calculation-sheet'!X55/10^9</f>
        <v>0.11597079187069685</v>
      </c>
      <c r="Y66" s="2">
        <f>Y11*'Output-Calculation-sheet'!Y55/10^9</f>
        <v>6.3003728305375484E-2</v>
      </c>
      <c r="AA66" s="2">
        <f t="shared" si="4"/>
        <v>26.223625684270083</v>
      </c>
    </row>
    <row r="67" spans="1:27" x14ac:dyDescent="0.25">
      <c r="A67" s="2">
        <v>2035</v>
      </c>
      <c r="B67" s="2">
        <f>B12*'Output-Calculation-sheet'!B56/10^9</f>
        <v>8.9077290363183455</v>
      </c>
      <c r="C67" s="2">
        <f>C12*'Output-Calculation-sheet'!C56/10^9</f>
        <v>5.4325647366650589</v>
      </c>
      <c r="D67" s="2">
        <f>D12*'Output-Calculation-sheet'!D56/10^9</f>
        <v>1.8118411626464908</v>
      </c>
      <c r="E67" s="2">
        <f>E12*'Output-Calculation-sheet'!E56/10^9</f>
        <v>2.4497357267587194</v>
      </c>
      <c r="F67" s="2">
        <f>F12*'Output-Calculation-sheet'!F56/10^9</f>
        <v>0.97142929365085684</v>
      </c>
      <c r="G67" s="2">
        <f>G12*'Output-Calculation-sheet'!G56/10^9</f>
        <v>0.7050922991009585</v>
      </c>
      <c r="H67" s="2">
        <f>H12*'Output-Calculation-sheet'!H56/10^9</f>
        <v>1.5370207837547485</v>
      </c>
      <c r="I67" s="2">
        <f>I12*'Output-Calculation-sheet'!I56/10^9</f>
        <v>0.66605275529451324</v>
      </c>
      <c r="J67" s="2">
        <f>J12*'Output-Calculation-sheet'!J56/10^9</f>
        <v>0.55001446555952616</v>
      </c>
      <c r="K67" s="2">
        <f>K12*'Output-Calculation-sheet'!K56/10^9</f>
        <v>0.74364582292087889</v>
      </c>
      <c r="L67" s="2">
        <f>L12*'Output-Calculation-sheet'!L56/10^9</f>
        <v>0.64167815395542638</v>
      </c>
      <c r="M67" s="2">
        <f>M12*'Output-Calculation-sheet'!M56/10^9</f>
        <v>1.0771395748239345</v>
      </c>
      <c r="N67" s="2">
        <f>N12*'Output-Calculation-sheet'!N56/10^9</f>
        <v>0.94287840865293127</v>
      </c>
      <c r="O67" s="2">
        <f>O12*'Output-Calculation-sheet'!O56/10^9</f>
        <v>0.95424879877929514</v>
      </c>
      <c r="P67" s="2">
        <f>P12*'Output-Calculation-sheet'!P56/10^9</f>
        <v>0.75131671802411237</v>
      </c>
      <c r="Q67" s="2">
        <f>Q12*'Output-Calculation-sheet'!Q56/10^9</f>
        <v>0.70429922279963098</v>
      </c>
      <c r="R67" s="2">
        <f>R12*'Output-Calculation-sheet'!R56/10^9</f>
        <v>0.55333500591721896</v>
      </c>
      <c r="S67" s="2">
        <f>S12*'Output-Calculation-sheet'!S56/10^9</f>
        <v>0.53664554498359318</v>
      </c>
      <c r="T67" s="2">
        <f>T12*'Output-Calculation-sheet'!T56/10^9</f>
        <v>0.17009802349332387</v>
      </c>
      <c r="U67" s="2">
        <f>U12*'Output-Calculation-sheet'!U56/10^9</f>
        <v>0.18341850889924455</v>
      </c>
      <c r="V67" s="2">
        <f>V12*'Output-Calculation-sheet'!V56/10^9</f>
        <v>0.11566383198567039</v>
      </c>
      <c r="W67" s="2">
        <f>W12*'Output-Calculation-sheet'!W56/10^9</f>
        <v>8.9992039803843821E-2</v>
      </c>
      <c r="X67" s="2">
        <f>X12*'Output-Calculation-sheet'!X56/10^9</f>
        <v>0.13183993059443777</v>
      </c>
      <c r="Y67" s="2">
        <f>Y12*'Output-Calculation-sheet'!Y56/10^9</f>
        <v>8.450057114662396E-2</v>
      </c>
      <c r="AA67" s="2">
        <f t="shared" si="4"/>
        <v>30.712180416529382</v>
      </c>
    </row>
    <row r="68" spans="1:27" x14ac:dyDescent="0.25">
      <c r="B68" s="2">
        <f>SUM(B60:B67)</f>
        <v>34.425843097076253</v>
      </c>
      <c r="C68" s="2">
        <f t="shared" ref="C68:Y68" si="5">SUM(C60:C67)</f>
        <v>21.929128007921769</v>
      </c>
      <c r="D68" s="2">
        <f t="shared" si="5"/>
        <v>7.4466077022484001</v>
      </c>
      <c r="E68" s="2">
        <f t="shared" si="5"/>
        <v>8.4462507505764535</v>
      </c>
      <c r="F68" s="2">
        <f t="shared" si="5"/>
        <v>3.7647086111916854</v>
      </c>
      <c r="G68" s="2">
        <f t="shared" si="5"/>
        <v>2.7149613111852453</v>
      </c>
      <c r="H68" s="2">
        <f t="shared" si="5"/>
        <v>6.1175151866717332</v>
      </c>
      <c r="I68" s="2">
        <f t="shared" si="5"/>
        <v>2.5877626344329423</v>
      </c>
      <c r="J68" s="2">
        <f t="shared" si="5"/>
        <v>2.3836492159545157</v>
      </c>
      <c r="K68" s="2">
        <f t="shared" si="5"/>
        <v>2.8837913988278991</v>
      </c>
      <c r="L68" s="2">
        <f t="shared" si="5"/>
        <v>2.4363115680306944</v>
      </c>
      <c r="M68" s="2">
        <f t="shared" si="5"/>
        <v>4.2524924065914114</v>
      </c>
      <c r="N68" s="2">
        <f t="shared" si="5"/>
        <v>3.7850529947479652</v>
      </c>
      <c r="O68" s="2">
        <f t="shared" si="5"/>
        <v>3.9693891462609185</v>
      </c>
      <c r="P68" s="2">
        <f t="shared" si="5"/>
        <v>2.7180628545368877</v>
      </c>
      <c r="Q68" s="2">
        <f t="shared" si="5"/>
        <v>2.7362571034793994</v>
      </c>
      <c r="R68" s="2">
        <f t="shared" si="5"/>
        <v>2.1061809469864938</v>
      </c>
      <c r="S68" s="2">
        <f t="shared" si="5"/>
        <v>2.1160250112695174</v>
      </c>
      <c r="T68" s="2">
        <f t="shared" si="5"/>
        <v>0.6561107417693357</v>
      </c>
      <c r="U68" s="2">
        <f t="shared" si="5"/>
        <v>0.6874915318057111</v>
      </c>
      <c r="V68" s="2">
        <f t="shared" si="5"/>
        <v>0.47281079551712996</v>
      </c>
      <c r="W68" s="2">
        <f t="shared" si="5"/>
        <v>0.33280226207626673</v>
      </c>
      <c r="X68" s="2">
        <f t="shared" si="5"/>
        <v>0.51773708344116232</v>
      </c>
      <c r="Y68" s="2">
        <f t="shared" si="5"/>
        <v>0.28326012578885801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1430.5765550978829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964.99866946523593</v>
      </c>
      <c r="N74" s="2">
        <f>N8/'Output-Calculation-sheet'!N7*'Output-Calculation-sheet'!N61</f>
        <v>40.11324707122148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8.5631691389181022</v>
      </c>
      <c r="Y74" s="2">
        <f>Y8/'Output-Calculation-sheet'!Y7*'Output-Calculation-sheet'!Y61</f>
        <v>0</v>
      </c>
      <c r="AA74" s="2">
        <f t="shared" si="6"/>
        <v>2.4442516407732584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54.327077745044562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2482.1272080931558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1681.9021480245988</v>
      </c>
      <c r="N75" s="2">
        <f>N9/'Output-Calculation-sheet'!N8*'Output-Calculation-sheet'!N62</f>
        <v>647.46616920347856</v>
      </c>
      <c r="O75" s="2">
        <f>O9/'Output-Calculation-sheet'!O8*'Output-Calculation-sheet'!O62</f>
        <v>0</v>
      </c>
      <c r="P75" s="2">
        <f>P9/'Output-Calculation-sheet'!P8*'Output-Calculation-sheet'!P62</f>
        <v>42.1182632894105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217.61365542336412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59.05941884756556</v>
      </c>
      <c r="Y75" s="2">
        <f>Y9/'Output-Calculation-sheet'!Y8*'Output-Calculation-sheet'!Y62</f>
        <v>0</v>
      </c>
      <c r="AA75" s="2">
        <f t="shared" si="6"/>
        <v>5.1846139406266172</v>
      </c>
    </row>
    <row r="76" spans="1:27" x14ac:dyDescent="0.25">
      <c r="A76" s="2">
        <v>2033</v>
      </c>
      <c r="B76" s="2">
        <f>B10/'Output-Calculation-sheet'!B9*'Output-Calculation-sheet'!B63</f>
        <v>5511.4125014883275</v>
      </c>
      <c r="C76" s="2">
        <f>C10/'Output-Calculation-sheet'!C9*'Output-Calculation-sheet'!C63</f>
        <v>1619.1357735024524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3611.4246406202224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2456.4168639680593</v>
      </c>
      <c r="N76" s="2">
        <f>N10/'Output-Calculation-sheet'!N9*'Output-Calculation-sheet'!N63</f>
        <v>1403.2389246601463</v>
      </c>
      <c r="O76" s="2">
        <f>O10/'Output-Calculation-sheet'!O9*'Output-Calculation-sheet'!O63</f>
        <v>0</v>
      </c>
      <c r="P76" s="2">
        <f>P10/'Output-Calculation-sheet'!P9*'Output-Calculation-sheet'!P63</f>
        <v>483.75338248862118</v>
      </c>
      <c r="Q76" s="2">
        <f>Q10/'Output-Calculation-sheet'!Q9*'Output-Calculation-sheet'!Q63</f>
        <v>217.79270365624515</v>
      </c>
      <c r="R76" s="2">
        <f>R10/'Output-Calculation-sheet'!R9*'Output-Calculation-sheet'!R63</f>
        <v>368.67876293000955</v>
      </c>
      <c r="S76" s="2">
        <f>S10/'Output-Calculation-sheet'!S9*'Output-Calculation-sheet'!S63</f>
        <v>623.90578611506578</v>
      </c>
      <c r="T76" s="2">
        <f>T10/'Output-Calculation-sheet'!T9*'Output-Calculation-sheet'!T63</f>
        <v>24.233129242556966</v>
      </c>
      <c r="U76" s="2">
        <f>U10/'Output-Calculation-sheet'!U9*'Output-Calculation-sheet'!U63</f>
        <v>130.87854921202319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140.84436061965025</v>
      </c>
      <c r="Y76" s="2">
        <f>Y10/'Output-Calculation-sheet'!Y9*'Output-Calculation-sheet'!Y63</f>
        <v>6.213898131621602</v>
      </c>
      <c r="AA76" s="2">
        <f t="shared" si="6"/>
        <v>16.699655061177097</v>
      </c>
    </row>
    <row r="77" spans="1:27" x14ac:dyDescent="0.25">
      <c r="A77" s="2">
        <v>2034</v>
      </c>
      <c r="B77" s="2">
        <f>B11/'Output-Calculation-sheet'!B10*'Output-Calculation-sheet'!B64</f>
        <v>12159.147178305671</v>
      </c>
      <c r="C77" s="2">
        <f>C11/'Output-Calculation-sheet'!C10*'Output-Calculation-sheet'!C64</f>
        <v>3316.4786803602656</v>
      </c>
      <c r="D77" s="2">
        <f>D11/'Output-Calculation-sheet'!D10*'Output-Calculation-sheet'!D64</f>
        <v>1469.2693326263993</v>
      </c>
      <c r="E77" s="2">
        <f>E11/'Output-Calculation-sheet'!E10*'Output-Calculation-sheet'!E64</f>
        <v>2134.8289335285767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4416.6860125195017</v>
      </c>
      <c r="I77" s="2">
        <f>I11/'Output-Calculation-sheet'!I10*'Output-Calculation-sheet'!I64</f>
        <v>532.96933337983944</v>
      </c>
      <c r="J77" s="2">
        <f>J11/'Output-Calculation-sheet'!J10*'Output-Calculation-sheet'!J64</f>
        <v>293.19347688096707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211.70527911547526</v>
      </c>
      <c r="M77" s="2">
        <f>M11/'Output-Calculation-sheet'!M10*'Output-Calculation-sheet'!M64</f>
        <v>3083.2595564562607</v>
      </c>
      <c r="N77" s="2">
        <f>N11/'Output-Calculation-sheet'!N10*'Output-Calculation-sheet'!N64</f>
        <v>2134.8589144234156</v>
      </c>
      <c r="O77" s="2">
        <f>O11/'Output-Calculation-sheet'!O10*'Output-Calculation-sheet'!O64</f>
        <v>0</v>
      </c>
      <c r="P77" s="2">
        <f>P11/'Output-Calculation-sheet'!P10*'Output-Calculation-sheet'!P64</f>
        <v>1008.4631202025806</v>
      </c>
      <c r="Q77" s="2">
        <f>Q11/'Output-Calculation-sheet'!Q10*'Output-Calculation-sheet'!Q64</f>
        <v>413.33393278815004</v>
      </c>
      <c r="R77" s="2">
        <f>R11/'Output-Calculation-sheet'!R10*'Output-Calculation-sheet'!R64</f>
        <v>857.31345123958374</v>
      </c>
      <c r="S77" s="2">
        <f>S11/'Output-Calculation-sheet'!S10*'Output-Calculation-sheet'!S64</f>
        <v>926.71168174217064</v>
      </c>
      <c r="T77" s="2">
        <f>T11/'Output-Calculation-sheet'!T10*'Output-Calculation-sheet'!T64</f>
        <v>237.18709555450349</v>
      </c>
      <c r="U77" s="2">
        <f>U11/'Output-Calculation-sheet'!U10*'Output-Calculation-sheet'!U64</f>
        <v>258.14367723878337</v>
      </c>
      <c r="V77" s="2">
        <f>V11/'Output-Calculation-sheet'!V10*'Output-Calculation-sheet'!V64</f>
        <v>123.74866052681929</v>
      </c>
      <c r="W77" s="2">
        <f>W11/'Output-Calculation-sheet'!W10*'Output-Calculation-sheet'!W64</f>
        <v>26.896912183222756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78.693721479013107</v>
      </c>
      <c r="AA77" s="2">
        <f t="shared" si="6"/>
        <v>35.681298404319747</v>
      </c>
    </row>
    <row r="78" spans="1:27" x14ac:dyDescent="0.25">
      <c r="A78" s="2">
        <v>2035</v>
      </c>
      <c r="B78" s="2">
        <f>B12/'Output-Calculation-sheet'!B11*'Output-Calculation-sheet'!B65</f>
        <v>14520.77367696625</v>
      </c>
      <c r="C78" s="2">
        <f>C12/'Output-Calculation-sheet'!C11*'Output-Calculation-sheet'!C65</f>
        <v>6137.6594141277801</v>
      </c>
      <c r="D78" s="2">
        <f>D12/'Output-Calculation-sheet'!D11*'Output-Calculation-sheet'!D65</f>
        <v>1565.6245309506598</v>
      </c>
      <c r="E78" s="2">
        <f>E12/'Output-Calculation-sheet'!E11*'Output-Calculation-sheet'!E65</f>
        <v>3005.3156202481559</v>
      </c>
      <c r="F78" s="2">
        <f>F12/'Output-Calculation-sheet'!F11*'Output-Calculation-sheet'!F65</f>
        <v>654.84207497660793</v>
      </c>
      <c r="G78" s="2">
        <f>G12/'Output-Calculation-sheet'!G11*'Output-Calculation-sheet'!G65</f>
        <v>1204.3568892451822</v>
      </c>
      <c r="H78" s="2">
        <f>H12/'Output-Calculation-sheet'!H11*'Output-Calculation-sheet'!H65</f>
        <v>4629.2206171142361</v>
      </c>
      <c r="I78" s="2">
        <f>I12/'Output-Calculation-sheet'!I11*'Output-Calculation-sheet'!I65</f>
        <v>767.06477052159767</v>
      </c>
      <c r="J78" s="2">
        <f>J12/'Output-Calculation-sheet'!J11*'Output-Calculation-sheet'!J65</f>
        <v>328.5605783405328</v>
      </c>
      <c r="K78" s="2">
        <f>K12/'Output-Calculation-sheet'!K11*'Output-Calculation-sheet'!K65</f>
        <v>978.5535625563092</v>
      </c>
      <c r="L78" s="2">
        <f>L12/'Output-Calculation-sheet'!L11*'Output-Calculation-sheet'!L65</f>
        <v>283.29170147166928</v>
      </c>
      <c r="M78" s="2">
        <f>M12/'Output-Calculation-sheet'!M11*'Output-Calculation-sheet'!M65</f>
        <v>3256.493830476456</v>
      </c>
      <c r="N78" s="2">
        <f>N12/'Output-Calculation-sheet'!N11*'Output-Calculation-sheet'!N65</f>
        <v>2286.3091285034288</v>
      </c>
      <c r="O78" s="2">
        <f>O12/'Output-Calculation-sheet'!O11*'Output-Calculation-sheet'!O65</f>
        <v>0</v>
      </c>
      <c r="P78" s="2">
        <f>P12/'Output-Calculation-sheet'!P11*'Output-Calculation-sheet'!P65</f>
        <v>1292.1703543939984</v>
      </c>
      <c r="Q78" s="2">
        <f>Q12/'Output-Calculation-sheet'!Q11*'Output-Calculation-sheet'!Q65</f>
        <v>511.69948192121103</v>
      </c>
      <c r="R78" s="2">
        <f>R12/'Output-Calculation-sheet'!R11*'Output-Calculation-sheet'!R65</f>
        <v>1016.6750598883222</v>
      </c>
      <c r="S78" s="2">
        <f>S12/'Output-Calculation-sheet'!S11*'Output-Calculation-sheet'!S65</f>
        <v>1058.9344355971018</v>
      </c>
      <c r="T78" s="2">
        <f>T12/'Output-Calculation-sheet'!T11*'Output-Calculation-sheet'!T65</f>
        <v>362.89344800142084</v>
      </c>
      <c r="U78" s="2">
        <f>U12/'Output-Calculation-sheet'!U11*'Output-Calculation-sheet'!U65</f>
        <v>269.9062560844954</v>
      </c>
      <c r="V78" s="2">
        <f>V12/'Output-Calculation-sheet'!V11*'Output-Calculation-sheet'!V65</f>
        <v>138.92606010556426</v>
      </c>
      <c r="W78" s="2">
        <f>W12/'Output-Calculation-sheet'!W11*'Output-Calculation-sheet'!W65</f>
        <v>138.58355628792978</v>
      </c>
      <c r="X78" s="2">
        <f>X12/'Output-Calculation-sheet'!X11*'Output-Calculation-sheet'!X65</f>
        <v>72.340367022752048</v>
      </c>
      <c r="Y78" s="2">
        <f>Y12/'Output-Calculation-sheet'!Y11*'Output-Calculation-sheet'!Y65</f>
        <v>125.48128555667631</v>
      </c>
      <c r="AA78" s="2">
        <f t="shared" si="6"/>
        <v>44.60567670035833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367.44556232867507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213.29334070012482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0.58073890302879994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1263.6447415839557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315.76522899039725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1.579409970574353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2284.8789636113256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415.09037108549796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2.6999693346968234</v>
      </c>
    </row>
    <row r="88" spans="1:27" x14ac:dyDescent="0.25">
      <c r="A88" s="2">
        <v>2034</v>
      </c>
      <c r="B88" s="2">
        <f>B11/'Output-Calculation-sheet'!B10*'Output-Calculation-sheet'!B73</f>
        <v>123.23520535852977</v>
      </c>
      <c r="C88" s="2">
        <f>C11/'Output-Calculation-sheet'!C10*'Output-Calculation-sheet'!C73</f>
        <v>2674.6010216544632</v>
      </c>
      <c r="D88" s="2">
        <f>D11/'Output-Calculation-sheet'!D10*'Output-Calculation-sheet'!D73</f>
        <v>9.4204161318385644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44.194391594328962</v>
      </c>
      <c r="I88" s="2">
        <f>I11/'Output-Calculation-sheet'!I10*'Output-Calculation-sheet'!I73</f>
        <v>0</v>
      </c>
      <c r="J88" s="2">
        <f>J11/'Output-Calculation-sheet'!J10*'Output-Calculation-sheet'!J73</f>
        <v>3.0080844260552593</v>
      </c>
      <c r="K88" s="2">
        <f>K11/'Output-Calculation-sheet'!K10*'Output-Calculation-sheet'!K73</f>
        <v>0</v>
      </c>
      <c r="L88" s="2">
        <f>L11/'Output-Calculation-sheet'!L10*'Output-Calculation-sheet'!L73</f>
        <v>7.1261643806857347</v>
      </c>
      <c r="M88" s="2">
        <f>M11/'Output-Calculation-sheet'!M10*'Output-Calculation-sheet'!M73</f>
        <v>21.399659462450444</v>
      </c>
      <c r="N88" s="2">
        <f>N11/'Output-Calculation-sheet'!N10*'Output-Calculation-sheet'!N73</f>
        <v>11.069681454301829</v>
      </c>
      <c r="O88" s="2">
        <f>O11/'Output-Calculation-sheet'!O10*'Output-Calculation-sheet'!O73</f>
        <v>505.13862932096288</v>
      </c>
      <c r="P88" s="2">
        <f>P11/'Output-Calculation-sheet'!P10*'Output-Calculation-sheet'!P73</f>
        <v>0</v>
      </c>
      <c r="Q88" s="2">
        <f>Q11/'Output-Calculation-sheet'!Q10*'Output-Calculation-sheet'!Q73</f>
        <v>33.945575265409239</v>
      </c>
      <c r="R88" s="2">
        <f>R11/'Output-Calculation-sheet'!R10*'Output-Calculation-sheet'!R73</f>
        <v>0</v>
      </c>
      <c r="S88" s="2">
        <f>S11/'Output-Calculation-sheet'!S10*'Output-Calculation-sheet'!S73</f>
        <v>15.863808884548305</v>
      </c>
      <c r="T88" s="2">
        <f>T11/'Output-Calculation-sheet'!T10*'Output-Calculation-sheet'!T73</f>
        <v>0</v>
      </c>
      <c r="U88" s="2">
        <f>U11/'Output-Calculation-sheet'!U10*'Output-Calculation-sheet'!U73</f>
        <v>3.0944798741653257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3.4520971178077389</v>
      </c>
    </row>
    <row r="89" spans="1:27" x14ac:dyDescent="0.25">
      <c r="A89" s="2">
        <v>2035</v>
      </c>
      <c r="B89" s="2">
        <f>B12/'Output-Calculation-sheet'!B11*'Output-Calculation-sheet'!B74</f>
        <v>712.22609265780056</v>
      </c>
      <c r="C89" s="2">
        <f>C12/'Output-Calculation-sheet'!C11*'Output-Calculation-sheet'!C74</f>
        <v>2916.9493348290039</v>
      </c>
      <c r="D89" s="2">
        <f>D12/'Output-Calculation-sheet'!D11*'Output-Calculation-sheet'!D74</f>
        <v>135.23285157966356</v>
      </c>
      <c r="E89" s="2">
        <f>E12/'Output-Calculation-sheet'!E11*'Output-Calculation-sheet'!E74</f>
        <v>180.40307413797669</v>
      </c>
      <c r="F89" s="2">
        <f>F12/'Output-Calculation-sheet'!F11*'Output-Calculation-sheet'!F74</f>
        <v>57.937594418064478</v>
      </c>
      <c r="G89" s="2">
        <f>G12/'Output-Calculation-sheet'!G11*'Output-Calculation-sheet'!G74</f>
        <v>55.441235514926248</v>
      </c>
      <c r="H89" s="2">
        <f>H12/'Output-Calculation-sheet'!H11*'Output-Calculation-sheet'!H74</f>
        <v>216.50961530514712</v>
      </c>
      <c r="I89" s="2">
        <f>I12/'Output-Calculation-sheet'!I11*'Output-Calculation-sheet'!I74</f>
        <v>46.749342528655539</v>
      </c>
      <c r="J89" s="2">
        <f>J12/'Output-Calculation-sheet'!J11*'Output-Calculation-sheet'!J74</f>
        <v>37.013090568531467</v>
      </c>
      <c r="K89" s="2">
        <f>K12/'Output-Calculation-sheet'!K11*'Output-Calculation-sheet'!K74</f>
        <v>49.010306441331387</v>
      </c>
      <c r="L89" s="2">
        <f>L12/'Output-Calculation-sheet'!L11*'Output-Calculation-sheet'!L74</f>
        <v>51.149095567473466</v>
      </c>
      <c r="M89" s="2">
        <f>M12/'Output-Calculation-sheet'!M11*'Output-Calculation-sheet'!M74</f>
        <v>136.27599179230248</v>
      </c>
      <c r="N89" s="2">
        <f>N12/'Output-Calculation-sheet'!N11*'Output-Calculation-sheet'!N74</f>
        <v>82.859453854664466</v>
      </c>
      <c r="O89" s="2">
        <f>O12/'Output-Calculation-sheet'!O11*'Output-Calculation-sheet'!O74</f>
        <v>591.0442599793339</v>
      </c>
      <c r="P89" s="2">
        <f>P12/'Output-Calculation-sheet'!P11*'Output-Calculation-sheet'!P74</f>
        <v>48.235462009294871</v>
      </c>
      <c r="Q89" s="2">
        <f>Q12/'Output-Calculation-sheet'!Q11*'Output-Calculation-sheet'!Q74</f>
        <v>81.547952947003338</v>
      </c>
      <c r="R89" s="2">
        <f>R12/'Output-Calculation-sheet'!R11*'Output-Calculation-sheet'!R74</f>
        <v>33.531531863781254</v>
      </c>
      <c r="S89" s="2">
        <f>S12/'Output-Calculation-sheet'!S11*'Output-Calculation-sheet'!S74</f>
        <v>52.052492491656245</v>
      </c>
      <c r="T89" s="2">
        <f>T12/'Output-Calculation-sheet'!T11*'Output-Calculation-sheet'!T74</f>
        <v>8.3918906894276564</v>
      </c>
      <c r="U89" s="2">
        <f>U12/'Output-Calculation-sheet'!U11*'Output-Calculation-sheet'!U74</f>
        <v>16.182362340790856</v>
      </c>
      <c r="V89" s="2">
        <f>V12/'Output-Calculation-sheet'!V11*'Output-Calculation-sheet'!V74</f>
        <v>6.1166740387116034</v>
      </c>
      <c r="W89" s="2">
        <f>W12/'Output-Calculation-sheet'!W11*'Output-Calculation-sheet'!W74</f>
        <v>4.6610268230939527</v>
      </c>
      <c r="X89" s="2">
        <f>X12/'Output-Calculation-sheet'!X11*'Output-Calculation-sheet'!X74</f>
        <v>3.2940148559371503</v>
      </c>
      <c r="Y89" s="2">
        <f>Y12/'Output-Calculation-sheet'!Y11*'Output-Calculation-sheet'!Y74</f>
        <v>6.1130525857770346</v>
      </c>
      <c r="AA89" s="2">
        <f t="shared" si="7"/>
        <v>5.5289277998203499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11681697051.43581</v>
      </c>
      <c r="C96" s="2">
        <f>C8/'Output-Calculation-sheet'!C7*'Output-Calculation-sheet'!C79</f>
        <v>3951978845.1091599</v>
      </c>
      <c r="D96" s="2">
        <f>D8/'Output-Calculation-sheet'!D7*'Output-Calculation-sheet'!D79</f>
        <v>4125584668.0916977</v>
      </c>
      <c r="E96" s="2">
        <f>E8/'Output-Calculation-sheet'!E7*'Output-Calculation-sheet'!E79</f>
        <v>7334949642.3247223</v>
      </c>
      <c r="F96" s="2">
        <f>F8/'Output-Calculation-sheet'!F7*'Output-Calculation-sheet'!F79</f>
        <v>3035862689.7153931</v>
      </c>
      <c r="G96" s="2">
        <f>G8/'Output-Calculation-sheet'!G7*'Output-Calculation-sheet'!G79</f>
        <v>2364692564.3853564</v>
      </c>
      <c r="H96" s="2">
        <f>H8/'Output-Calculation-sheet'!H7*'Output-Calculation-sheet'!H79</f>
        <v>2024046178.6194921</v>
      </c>
      <c r="I96" s="2">
        <f>I8/'Output-Calculation-sheet'!I7*'Output-Calculation-sheet'!I79</f>
        <v>1647255686.3794439</v>
      </c>
      <c r="J96" s="2">
        <f>J8/'Output-Calculation-sheet'!J7*'Output-Calculation-sheet'!J79</f>
        <v>1113913708.6751833</v>
      </c>
      <c r="K96" s="2">
        <f>K8/'Output-Calculation-sheet'!K7*'Output-Calculation-sheet'!K79</f>
        <v>1593680589.2285633</v>
      </c>
      <c r="L96" s="2">
        <f>L8/'Output-Calculation-sheet'!L7*'Output-Calculation-sheet'!L79</f>
        <v>1124502344.5786254</v>
      </c>
      <c r="M96" s="2">
        <f>M8/'Output-Calculation-sheet'!M7*'Output-Calculation-sheet'!M79</f>
        <v>1510909555.4031653</v>
      </c>
      <c r="N96" s="2">
        <f>N8/'Output-Calculation-sheet'!N7*'Output-Calculation-sheet'!N79</f>
        <v>1124235406.5606763</v>
      </c>
      <c r="O96" s="2">
        <f>O8/'Output-Calculation-sheet'!O7*'Output-Calculation-sheet'!O79</f>
        <v>568338511.44665587</v>
      </c>
      <c r="P96" s="2">
        <f>P8/'Output-Calculation-sheet'!P7*'Output-Calculation-sheet'!P79</f>
        <v>1900985454.705056</v>
      </c>
      <c r="Q96" s="2">
        <f>Q8/'Output-Calculation-sheet'!Q7*'Output-Calculation-sheet'!Q79</f>
        <v>885939043.93674302</v>
      </c>
      <c r="R96" s="2">
        <f>R8/'Output-Calculation-sheet'!R7*'Output-Calculation-sheet'!R79</f>
        <v>1105316154.1283314</v>
      </c>
      <c r="S96" s="2">
        <f>S8/'Output-Calculation-sheet'!S7*'Output-Calculation-sheet'!S79</f>
        <v>644048499.31190526</v>
      </c>
      <c r="T96" s="2">
        <f>T8/'Output-Calculation-sheet'!T7*'Output-Calculation-sheet'!T79</f>
        <v>491902494.20009261</v>
      </c>
      <c r="U96" s="2">
        <f>U8/'Output-Calculation-sheet'!U7*'Output-Calculation-sheet'!U79</f>
        <v>309001103.19892561</v>
      </c>
      <c r="V96" s="2">
        <f>V8/'Output-Calculation-sheet'!V7*'Output-Calculation-sheet'!V79</f>
        <v>160325165.59533933</v>
      </c>
      <c r="W96" s="2">
        <f>W8/'Output-Calculation-sheet'!W7*'Output-Calculation-sheet'!W79</f>
        <v>473751764.48099023</v>
      </c>
      <c r="X96" s="2">
        <f>X8/'Output-Calculation-sheet'!X7*'Output-Calculation-sheet'!X79</f>
        <v>166509415.60533854</v>
      </c>
      <c r="Y96" s="2">
        <f>Y8/'Output-Calculation-sheet'!Y7*'Output-Calculation-sheet'!Y79</f>
        <v>260418455.19284716</v>
      </c>
      <c r="AA96" s="2">
        <f t="shared" si="8"/>
        <v>49.599844992309528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1022.6496975653487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31.684199019566751</v>
      </c>
      <c r="Y107" s="2">
        <f>Y8/'Output-Calculation-sheet'!Y7*'Output-Calculation-sheet'!Y88</f>
        <v>0</v>
      </c>
      <c r="AA107" s="2">
        <f t="shared" si="9"/>
        <v>1.0543338965849154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742.75301604553124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43.148085872165638</v>
      </c>
      <c r="Y108" s="2">
        <f>Y9/'Output-Calculation-sheet'!Y8*'Output-Calculation-sheet'!Y89</f>
        <v>0</v>
      </c>
      <c r="AA108" s="2">
        <f t="shared" si="9"/>
        <v>0.78590110191769691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4.5729189844858596E-2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7.6111246570988361E-2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117.06422026484333</v>
      </c>
      <c r="Y111" s="2">
        <f>Y12/'Output-Calculation-sheet'!Y11*'Output-Calculation-sheet'!Y92</f>
        <v>0</v>
      </c>
      <c r="AA111" s="2">
        <f t="shared" si="9"/>
        <v>0.11706422026484332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11434286111.972874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7023254683.027998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4845449896.3970346</v>
      </c>
      <c r="N118" s="2">
        <f>N8/'Output-Calculation-sheet'!N7*'Output-Calculation-sheet'!N97</f>
        <v>1623692520.3156552</v>
      </c>
      <c r="O118" s="2">
        <f>O8/'Output-Calculation-sheet'!O7*'Output-Calculation-sheet'!O97</f>
        <v>2779692139.3392015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486092665.58590317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263836691.26378119</v>
      </c>
      <c r="Y118" s="2">
        <f>Y8/'Output-Calculation-sheet'!Y7*'Output-Calculation-sheet'!Y97</f>
        <v>0</v>
      </c>
      <c r="AA118" s="2">
        <f t="shared" si="10"/>
        <v>29823.120655126193</v>
      </c>
    </row>
    <row r="119" spans="1:27" x14ac:dyDescent="0.25">
      <c r="A119" s="2">
        <v>2032</v>
      </c>
      <c r="B119" s="2">
        <f>B9/'Output-Calculation-sheet'!B8*'Output-Calculation-sheet'!B98</f>
        <v>6115372727.4549494</v>
      </c>
      <c r="C119" s="2">
        <f>C9/'Output-Calculation-sheet'!C8*'Output-Calculation-sheet'!C98</f>
        <v>15771202758.558992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9564437358.1613903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6598626003.1536465</v>
      </c>
      <c r="N119" s="2">
        <f>N9/'Output-Calculation-sheet'!N8*'Output-Calculation-sheet'!N98</f>
        <v>3094139165.6674929</v>
      </c>
      <c r="O119" s="2">
        <f>O9/'Output-Calculation-sheet'!O8*'Output-Calculation-sheet'!O98</f>
        <v>3330884655.0855827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930660671.13404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362957327.51159495</v>
      </c>
      <c r="Y119" s="2">
        <f>Y9/'Output-Calculation-sheet'!Y8*'Output-Calculation-sheet'!Y98</f>
        <v>0</v>
      </c>
      <c r="AA119" s="2">
        <f t="shared" si="10"/>
        <v>45768.280666727696</v>
      </c>
    </row>
    <row r="120" spans="1:27" x14ac:dyDescent="0.25">
      <c r="A120" s="2">
        <v>2033</v>
      </c>
      <c r="B120" s="2">
        <f>B10/'Output-Calculation-sheet'!B9*'Output-Calculation-sheet'!B99</f>
        <v>16673167644.434654</v>
      </c>
      <c r="C120" s="2">
        <f>C10/'Output-Calculation-sheet'!C9*'Output-Calculation-sheet'!C99</f>
        <v>23101061742.357349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4923380732.9224186</v>
      </c>
      <c r="O120" s="2">
        <f>O10/'Output-Calculation-sheet'!O9*'Output-Calculation-sheet'!O99</f>
        <v>3826133230.9688578</v>
      </c>
      <c r="P120" s="2">
        <f>P10/'Output-Calculation-sheet'!P9*'Output-Calculation-sheet'!P99</f>
        <v>0</v>
      </c>
      <c r="Q120" s="2">
        <f>Q10/'Output-Calculation-sheet'!Q9*'Output-Calculation-sheet'!Q99</f>
        <v>160179799.62875861</v>
      </c>
      <c r="R120" s="2">
        <f>R10/'Output-Calculation-sheet'!R9*'Output-Calculation-sheet'!R99</f>
        <v>0</v>
      </c>
      <c r="S120" s="2">
        <f>S10/'Output-Calculation-sheet'!S9*'Output-Calculation-sheet'!S99</f>
        <v>1983141763.4322093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539770965.68663657</v>
      </c>
      <c r="Y120" s="2">
        <f>Y10/'Output-Calculation-sheet'!Y9*'Output-Calculation-sheet'!Y99</f>
        <v>0</v>
      </c>
      <c r="AA120" s="2">
        <f t="shared" si="10"/>
        <v>71763.371500910405</v>
      </c>
    </row>
    <row r="121" spans="1:27" x14ac:dyDescent="0.25">
      <c r="A121" s="2">
        <v>2034</v>
      </c>
      <c r="B121" s="2">
        <f>B11/'Output-Calculation-sheet'!B10*'Output-Calculation-sheet'!B100</f>
        <v>34268551307.669754</v>
      </c>
      <c r="C121" s="2">
        <f>C11/'Output-Calculation-sheet'!C10*'Output-Calculation-sheet'!C100</f>
        <v>27894849725.362919</v>
      </c>
      <c r="D121" s="2">
        <f>D11/'Output-Calculation-sheet'!D10*'Output-Calculation-sheet'!D100</f>
        <v>0</v>
      </c>
      <c r="E121" s="2">
        <f>E11/'Output-Calculation-sheet'!E10*'Output-Calculation-sheet'!E100</f>
        <v>822739997.63840914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14327098276.322758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586827284.73121047</v>
      </c>
      <c r="M121" s="2">
        <f>M11/'Output-Calculation-sheet'!M10*'Output-Calculation-sheet'!M100</f>
        <v>9980957728.6903229</v>
      </c>
      <c r="N121" s="2">
        <f>N11/'Output-Calculation-sheet'!N10*'Output-Calculation-sheet'!N100</f>
        <v>6692182565.0070438</v>
      </c>
      <c r="O121" s="2">
        <f>O11/'Output-Calculation-sheet'!O10*'Output-Calculation-sheet'!O100</f>
        <v>4272883992.1561375</v>
      </c>
      <c r="P121" s="2">
        <f>P11/'Output-Calculation-sheet'!P10*'Output-Calculation-sheet'!P100</f>
        <v>0</v>
      </c>
      <c r="Q121" s="2">
        <f>Q11/'Output-Calculation-sheet'!Q10*'Output-Calculation-sheet'!Q100</f>
        <v>535334039.32995719</v>
      </c>
      <c r="R121" s="2">
        <f>R11/'Output-Calculation-sheet'!R10*'Output-Calculation-sheet'!R100</f>
        <v>0</v>
      </c>
      <c r="S121" s="2">
        <f>S11/'Output-Calculation-sheet'!S10*'Output-Calculation-sheet'!S100</f>
        <v>2808898034.3912644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44012541.313768394</v>
      </c>
      <c r="AA121" s="2">
        <f t="shared" si="10"/>
        <v>102722.27913430532</v>
      </c>
    </row>
    <row r="122" spans="1:27" x14ac:dyDescent="0.25">
      <c r="A122" s="2">
        <v>2035</v>
      </c>
      <c r="B122" s="2">
        <f>B12/'Output-Calculation-sheet'!B11*'Output-Calculation-sheet'!B101</f>
        <v>42150918665.603462</v>
      </c>
      <c r="C122" s="2">
        <f>C12/'Output-Calculation-sheet'!C11*'Output-Calculation-sheet'!C101</f>
        <v>33750788546.671505</v>
      </c>
      <c r="D122" s="2">
        <f>D12/'Output-Calculation-sheet'!D11*'Output-Calculation-sheet'!D101</f>
        <v>0</v>
      </c>
      <c r="E122" s="2">
        <f>E12/'Output-Calculation-sheet'!E11*'Output-Calculation-sheet'!E101</f>
        <v>2698420051.9058776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15535625627.42239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729302681.05297232</v>
      </c>
      <c r="M122" s="2">
        <f>M12/'Output-Calculation-sheet'!M11*'Output-Calculation-sheet'!M101</f>
        <v>10875776922.086998</v>
      </c>
      <c r="N122" s="2">
        <f>N12/'Output-Calculation-sheet'!N11*'Output-Calculation-sheet'!N101</f>
        <v>7282272226.1079311</v>
      </c>
      <c r="O122" s="2">
        <f>O12/'Output-Calculation-sheet'!O11*'Output-Calculation-sheet'!O101</f>
        <v>4665781770.490551</v>
      </c>
      <c r="P122" s="2">
        <f>P12/'Output-Calculation-sheet'!P11*'Output-Calculation-sheet'!P101</f>
        <v>369693463.25093913</v>
      </c>
      <c r="Q122" s="2">
        <f>Q12/'Output-Calculation-sheet'!Q11*'Output-Calculation-sheet'!Q101</f>
        <v>871449569.18031669</v>
      </c>
      <c r="R122" s="2">
        <f>R12/'Output-Calculation-sheet'!R11*'Output-Calculation-sheet'!R101</f>
        <v>0</v>
      </c>
      <c r="S122" s="2">
        <f>S12/'Output-Calculation-sheet'!S11*'Output-Calculation-sheet'!S101</f>
        <v>3421330951.4255152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309718733.28645796</v>
      </c>
      <c r="Y122" s="2">
        <f>Y12/'Output-Calculation-sheet'!Y11*'Output-Calculation-sheet'!Y101</f>
        <v>304200779.2997297</v>
      </c>
      <c r="AA122" s="2">
        <f t="shared" si="10"/>
        <v>122965.27998778467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3132919801.6883926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2238001254.4395819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147468.57959015807</v>
      </c>
    </row>
    <row r="130" spans="1:27" x14ac:dyDescent="0.25">
      <c r="A130" s="2">
        <v>2032</v>
      </c>
      <c r="B130" s="2">
        <f>B9/'Output-Calculation-sheet'!B8*'Output-Calculation-sheet'!B107</f>
        <v>58948748046.981392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3382957417.5028968</v>
      </c>
      <c r="O130" s="2">
        <f>O9/'Output-Calculation-sheet'!O8*'Output-Calculation-sheet'!O107</f>
        <v>0</v>
      </c>
      <c r="P130" s="2">
        <f>P9/'Output-Calculation-sheet'!P8*'Output-Calculation-sheet'!P107</f>
        <v>5896925114.7245321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2778858381.6044993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195418.79055444247</v>
      </c>
    </row>
    <row r="131" spans="1:27" x14ac:dyDescent="0.25">
      <c r="A131" s="2">
        <v>2033</v>
      </c>
      <c r="B131" s="2">
        <f>B10/'Output-Calculation-sheet'!B9*'Output-Calculation-sheet'!B108</f>
        <v>66069294270.628189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3313598138.5718317</v>
      </c>
      <c r="O131" s="2">
        <f>O10/'Output-Calculation-sheet'!O9*'Output-Calculation-sheet'!O108</f>
        <v>0</v>
      </c>
      <c r="P131" s="2">
        <f>P10/'Output-Calculation-sheet'!P9*'Output-Calculation-sheet'!P108</f>
        <v>7499220968.7684174</v>
      </c>
      <c r="Q131" s="2">
        <f>Q10/'Output-Calculation-sheet'!Q9*'Output-Calculation-sheet'!Q108</f>
        <v>7218187886.4138327</v>
      </c>
      <c r="R131" s="2">
        <f>R10/'Output-Calculation-sheet'!R9*'Output-Calculation-sheet'!R108</f>
        <v>7098077008.0536556</v>
      </c>
      <c r="S131" s="2">
        <f>S10/'Output-Calculation-sheet'!S9*'Output-Calculation-sheet'!S108</f>
        <v>2734248467.4763966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237680.48718172178</v>
      </c>
    </row>
    <row r="132" spans="1:27" x14ac:dyDescent="0.25">
      <c r="A132" s="2">
        <v>2034</v>
      </c>
      <c r="B132" s="2">
        <f>B11/'Output-Calculation-sheet'!B10*'Output-Calculation-sheet'!B109</f>
        <v>64162051167.50293</v>
      </c>
      <c r="C132" s="2">
        <f>C11/'Output-Calculation-sheet'!C10*'Output-Calculation-sheet'!C109</f>
        <v>0</v>
      </c>
      <c r="D132" s="2">
        <f>D11/'Output-Calculation-sheet'!D10*'Output-Calculation-sheet'!D109</f>
        <v>41904573307.605797</v>
      </c>
      <c r="E132" s="2">
        <f>E11/'Output-Calculation-sheet'!E10*'Output-Calculation-sheet'!E109</f>
        <v>32647613129.223557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13318654766.490788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9903412357.030674</v>
      </c>
      <c r="M132" s="2">
        <f>M11/'Output-Calculation-sheet'!M10*'Output-Calculation-sheet'!M109</f>
        <v>0</v>
      </c>
      <c r="N132" s="2">
        <f>N11/'Output-Calculation-sheet'!N10*'Output-Calculation-sheet'!N109</f>
        <v>3138450625.6563096</v>
      </c>
      <c r="O132" s="2">
        <f>O11/'Output-Calculation-sheet'!O10*'Output-Calculation-sheet'!O109</f>
        <v>0</v>
      </c>
      <c r="P132" s="2">
        <f>P11/'Output-Calculation-sheet'!P10*'Output-Calculation-sheet'!P109</f>
        <v>9100808692.0464725</v>
      </c>
      <c r="Q132" s="2">
        <f>Q11/'Output-Calculation-sheet'!Q10*'Output-Calculation-sheet'!Q109</f>
        <v>7717278248.9545641</v>
      </c>
      <c r="R132" s="2">
        <f>R11/'Output-Calculation-sheet'!R10*'Output-Calculation-sheet'!R109</f>
        <v>8613983648.9744244</v>
      </c>
      <c r="S132" s="2">
        <f>S11/'Output-Calculation-sheet'!S10*'Output-Calculation-sheet'!S109</f>
        <v>2682615135.5943508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2692788845.6277862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1028852313.1843408</v>
      </c>
      <c r="AA132" s="2">
        <f t="shared" si="11"/>
        <v>267802.19639396784</v>
      </c>
    </row>
    <row r="133" spans="1:27" x14ac:dyDescent="0.25">
      <c r="A133" s="2">
        <v>2035</v>
      </c>
      <c r="B133" s="2">
        <f>B12/'Output-Calculation-sheet'!B11*'Output-Calculation-sheet'!B110</f>
        <v>64494151930.853699</v>
      </c>
      <c r="C133" s="2">
        <f>C12/'Output-Calculation-sheet'!C11*'Output-Calculation-sheet'!C110</f>
        <v>0</v>
      </c>
      <c r="D133" s="2">
        <f>D12/'Output-Calculation-sheet'!D11*'Output-Calculation-sheet'!D110</f>
        <v>44332753036.805496</v>
      </c>
      <c r="E133" s="2">
        <f>E12/'Output-Calculation-sheet'!E11*'Output-Calculation-sheet'!E110</f>
        <v>34903116285.970207</v>
      </c>
      <c r="F133" s="2">
        <f>F12/'Output-Calculation-sheet'!F11*'Output-Calculation-sheet'!F110</f>
        <v>23985613681.931725</v>
      </c>
      <c r="G133" s="2">
        <f>G12/'Output-Calculation-sheet'!G11*'Output-Calculation-sheet'!G110</f>
        <v>16534672802.268915</v>
      </c>
      <c r="H133" s="2">
        <f>H12/'Output-Calculation-sheet'!H11*'Output-Calculation-sheet'!H110</f>
        <v>0</v>
      </c>
      <c r="I133" s="2">
        <f>I12/'Output-Calculation-sheet'!I11*'Output-Calculation-sheet'!I110</f>
        <v>15004506913.60985</v>
      </c>
      <c r="J133" s="2">
        <f>J12/'Output-Calculation-sheet'!J11*'Output-Calculation-sheet'!J110</f>
        <v>14051534037.529261</v>
      </c>
      <c r="K133" s="2">
        <f>K12/'Output-Calculation-sheet'!K11*'Output-Calculation-sheet'!K110</f>
        <v>14388782710.902853</v>
      </c>
      <c r="L133" s="2">
        <f>L12/'Output-Calculation-sheet'!L11*'Output-Calculation-sheet'!L110</f>
        <v>10544904849.203981</v>
      </c>
      <c r="M133" s="2">
        <f>M12/'Output-Calculation-sheet'!M11*'Output-Calculation-sheet'!M110</f>
        <v>0</v>
      </c>
      <c r="N133" s="2">
        <f>N12/'Output-Calculation-sheet'!N11*'Output-Calculation-sheet'!N110</f>
        <v>3292216087.9329853</v>
      </c>
      <c r="O133" s="2">
        <f>O12/'Output-Calculation-sheet'!O11*'Output-Calculation-sheet'!O110</f>
        <v>0</v>
      </c>
      <c r="P133" s="2">
        <f>P12/'Output-Calculation-sheet'!P11*'Output-Calculation-sheet'!P110</f>
        <v>9833908346.2209721</v>
      </c>
      <c r="Q133" s="2">
        <f>Q12/'Output-Calculation-sheet'!Q11*'Output-Calculation-sheet'!Q110</f>
        <v>7998202340.810235</v>
      </c>
      <c r="R133" s="2">
        <f>R12/'Output-Calculation-sheet'!R11*'Output-Calculation-sheet'!R110</f>
        <v>9427306354.6724396</v>
      </c>
      <c r="S133" s="2">
        <f>S12/'Output-Calculation-sheet'!S11*'Output-Calculation-sheet'!S110</f>
        <v>2542242431.9801788</v>
      </c>
      <c r="T133" s="2">
        <f>T12/'Output-Calculation-sheet'!T11*'Output-Calculation-sheet'!T110</f>
        <v>3547751329.4846849</v>
      </c>
      <c r="U133" s="2">
        <f>U12/'Output-Calculation-sheet'!U11*'Output-Calculation-sheet'!U110</f>
        <v>2876338436.4809837</v>
      </c>
      <c r="V133" s="2">
        <f>V12/'Output-Calculation-sheet'!V11*'Output-Calculation-sheet'!V110</f>
        <v>2268392789.2853913</v>
      </c>
      <c r="W133" s="2">
        <f>W12/'Output-Calculation-sheet'!W11*'Output-Calculation-sheet'!W110</f>
        <v>2116841984.3281367</v>
      </c>
      <c r="X133" s="2">
        <f>X12/'Output-Calculation-sheet'!X11*'Output-Calculation-sheet'!X110</f>
        <v>0</v>
      </c>
      <c r="Y133" s="2">
        <f>Y12/'Output-Calculation-sheet'!Y11*'Output-Calculation-sheet'!Y110</f>
        <v>906557140.19711411</v>
      </c>
      <c r="AA133" s="2">
        <f t="shared" si="11"/>
        <v>283049.79349046911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8570548210.8322144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261026776.0163154</v>
      </c>
      <c r="Y140" s="2">
        <f>Y8/'Output-Calculation-sheet'!Y7*'Output-Calculation-sheet'!Y115</f>
        <v>0</v>
      </c>
      <c r="AA140" s="2">
        <f t="shared" si="12"/>
        <v>8831.5749868485291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6292593905.7946749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351767515.86011314</v>
      </c>
      <c r="Y141" s="2">
        <f>Y9/'Output-Calculation-sheet'!Y8*'Output-Calculation-sheet'!Y116</f>
        <v>0</v>
      </c>
      <c r="AA141" s="2">
        <f t="shared" si="12"/>
        <v>6644.3614216547876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369157615.14068228</v>
      </c>
      <c r="Y142" s="2">
        <f>Y10/'Output-Calculation-sheet'!Y9*'Output-Calculation-sheet'!Y117</f>
        <v>0</v>
      </c>
      <c r="AA142" s="2">
        <f t="shared" si="12"/>
        <v>369.15761514068225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615.18298881848079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956145583.88861573</v>
      </c>
      <c r="Y144" s="2">
        <f>Y12/'Output-Calculation-sheet'!Y11*'Output-Calculation-sheet'!Y119</f>
        <v>0</v>
      </c>
      <c r="AA144" s="2">
        <f t="shared" si="12"/>
        <v>956.14558388861576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25724102365.176075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6276080865.3673754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195341.15550166706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29406387712.045486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6701304616.0228596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169572.01388031061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33383737812.241131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6984964003.6553402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134667.43782459985</v>
      </c>
    </row>
    <row r="154" spans="1:27" x14ac:dyDescent="0.25">
      <c r="A154" s="2">
        <v>2034</v>
      </c>
      <c r="B154" s="2">
        <f>B11/'Output-Calculation-sheet'!B10*'Output-Calculation-sheet'!B127</f>
        <v>17189552245.038422</v>
      </c>
      <c r="C154" s="2">
        <f>C11/'Output-Calculation-sheet'!C10*'Output-Calculation-sheet'!C127</f>
        <v>31722868449.632179</v>
      </c>
      <c r="D154" s="2">
        <f>D11/'Output-Calculation-sheet'!D10*'Output-Calculation-sheet'!D127</f>
        <v>6380353641.9329414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2772040834.2160983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2046590848.4064474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1765336197.3697543</v>
      </c>
      <c r="M154" s="2">
        <f>M11/'Output-Calculation-sheet'!M10*'Output-Calculation-sheet'!M127</f>
        <v>1781339189.9946356</v>
      </c>
      <c r="N154" s="2">
        <f>N11/'Output-Calculation-sheet'!N10*'Output-Calculation-sheet'!N127</f>
        <v>1655295960.5238607</v>
      </c>
      <c r="O154" s="2">
        <f>O11/'Output-Calculation-sheet'!O10*'Output-Calculation-sheet'!O127</f>
        <v>7160516714.1944113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2202152274.0664725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1142015930.4756157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486441714.98721701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94054.486632716405</v>
      </c>
    </row>
    <row r="155" spans="1:27" x14ac:dyDescent="0.25">
      <c r="A155" s="2">
        <v>2035</v>
      </c>
      <c r="B155" s="2">
        <f>B12/'Output-Calculation-sheet'!B11*'Output-Calculation-sheet'!B128</f>
        <v>15811993632.88435</v>
      </c>
      <c r="C155" s="2">
        <f>C12/'Output-Calculation-sheet'!C11*'Output-Calculation-sheet'!C128</f>
        <v>27932499645.136143</v>
      </c>
      <c r="D155" s="2">
        <f>D12/'Output-Calculation-sheet'!D11*'Output-Calculation-sheet'!D128</f>
        <v>6514243736.5075817</v>
      </c>
      <c r="E155" s="2">
        <f>E12/'Output-Calculation-sheet'!E11*'Output-Calculation-sheet'!E128</f>
        <v>3550522498.0177183</v>
      </c>
      <c r="F155" s="2">
        <f>F12/'Output-Calculation-sheet'!F11*'Output-Calculation-sheet'!F128</f>
        <v>1934026185.3816507</v>
      </c>
      <c r="G155" s="2">
        <f>G12/'Output-Calculation-sheet'!G11*'Output-Calculation-sheet'!G128</f>
        <v>1824650757.5722756</v>
      </c>
      <c r="H155" s="2">
        <f>H12/'Output-Calculation-sheet'!H11*'Output-Calculation-sheet'!H128</f>
        <v>2665125948.7832637</v>
      </c>
      <c r="I155" s="2">
        <f>I12/'Output-Calculation-sheet'!I11*'Output-Calculation-sheet'!I128</f>
        <v>1667182844.814002</v>
      </c>
      <c r="J155" s="2">
        <f>J12/'Output-Calculation-sheet'!J11*'Output-Calculation-sheet'!J128</f>
        <v>2074008481.2502697</v>
      </c>
      <c r="K155" s="2">
        <f>K12/'Output-Calculation-sheet'!K11*'Output-Calculation-sheet'!K128</f>
        <v>1662639419.8644125</v>
      </c>
      <c r="L155" s="2">
        <f>L12/'Output-Calculation-sheet'!L11*'Output-Calculation-sheet'!L128</f>
        <v>1701913084.8711545</v>
      </c>
      <c r="M155" s="2">
        <f>M12/'Output-Calculation-sheet'!M11*'Output-Calculation-sheet'!M128</f>
        <v>1682618148.7601407</v>
      </c>
      <c r="N155" s="2">
        <f>N12/'Output-Calculation-sheet'!N11*'Output-Calculation-sheet'!N128</f>
        <v>1542953131.691988</v>
      </c>
      <c r="O155" s="2">
        <f>O12/'Output-Calculation-sheet'!O11*'Output-Calculation-sheet'!O128</f>
        <v>7251695737.6194878</v>
      </c>
      <c r="P155" s="2">
        <f>P12/'Output-Calculation-sheet'!P11*'Output-Calculation-sheet'!P128</f>
        <v>892336123.82895124</v>
      </c>
      <c r="Q155" s="2">
        <f>Q12/'Output-Calculation-sheet'!Q11*'Output-Calculation-sheet'!Q128</f>
        <v>2120324346.6261096</v>
      </c>
      <c r="R155" s="2">
        <f>R12/'Output-Calculation-sheet'!R11*'Output-Calculation-sheet'!R128</f>
        <v>979343813.73145938</v>
      </c>
      <c r="S155" s="2">
        <f>S12/'Output-Calculation-sheet'!S11*'Output-Calculation-sheet'!S128</f>
        <v>1028646391.5285194</v>
      </c>
      <c r="T155" s="2">
        <f>T12/'Output-Calculation-sheet'!T11*'Output-Calculation-sheet'!T128</f>
        <v>253757420.39615175</v>
      </c>
      <c r="U155" s="2">
        <f>U12/'Output-Calculation-sheet'!U11*'Output-Calculation-sheet'!U128</f>
        <v>493915207.65461719</v>
      </c>
      <c r="V155" s="2">
        <f>V12/'Output-Calculation-sheet'!V11*'Output-Calculation-sheet'!V128</f>
        <v>274385923.36687142</v>
      </c>
      <c r="W155" s="2">
        <f>W12/'Output-Calculation-sheet'!W11*'Output-Calculation-sheet'!W128</f>
        <v>98202305.489858553</v>
      </c>
      <c r="X155" s="2">
        <f>X12/'Output-Calculation-sheet'!X11*'Output-Calculation-sheet'!X128</f>
        <v>44225924.888752662</v>
      </c>
      <c r="Y155" s="2">
        <f>Y12/'Output-Calculation-sheet'!Y11*'Output-Calculation-sheet'!Y128</f>
        <v>108928129.46891101</v>
      </c>
      <c r="AA155" s="2">
        <f t="shared" si="13"/>
        <v>84110.138840134634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7208.8645817825509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4622.4046770017922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3208.4175447032308</v>
      </c>
      <c r="N19" s="2">
        <f>N8/'Output-Calculation-sheet'!N7*'Output-Calculation-sheet'!N25</f>
        <v>1096.753399826388</v>
      </c>
      <c r="O19" s="2">
        <f>O8/'Output-Calculation-sheet'!O7*'Output-Calculation-sheet'!O25</f>
        <v>1714.1769757286067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169.38380669297899</v>
      </c>
      <c r="Y19" s="2">
        <f>Y8/'Output-Calculation-sheet'!Y7*'Output-Calculation-sheet'!Y25</f>
        <v>0</v>
      </c>
      <c r="AA19" s="2">
        <f t="shared" si="0"/>
        <v>19.440576040601922</v>
      </c>
    </row>
    <row r="20" spans="1:27" x14ac:dyDescent="0.25">
      <c r="A20" s="2">
        <v>2032</v>
      </c>
      <c r="B20" s="2">
        <f>B9/'Output-Calculation-sheet'!B8*'Output-Calculation-sheet'!B26</f>
        <v>5305.0700350974521</v>
      </c>
      <c r="C20" s="2">
        <f>C9/'Output-Calculation-sheet'!C8*'Output-Calculation-sheet'!C26</f>
        <v>8968.989934189136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5766.98007325668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4010.5991392590945</v>
      </c>
      <c r="N20" s="2">
        <f>N9/'Output-Calculation-sheet'!N8*'Output-Calculation-sheet'!N26</f>
        <v>1805.919573820797</v>
      </c>
      <c r="O20" s="2">
        <f>O9/'Output-Calculation-sheet'!O8*'Output-Calculation-sheet'!O26</f>
        <v>1880.5367512531845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656.7624532284633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214.32350534307341</v>
      </c>
      <c r="Y20" s="2">
        <f>Y9/'Output-Calculation-sheet'!Y8*'Output-Calculation-sheet'!Y26</f>
        <v>0</v>
      </c>
      <c r="AA20" s="2">
        <f t="shared" si="0"/>
        <v>28.609181465447879</v>
      </c>
    </row>
    <row r="21" spans="1:27" x14ac:dyDescent="0.25">
      <c r="A21" s="2">
        <v>2033</v>
      </c>
      <c r="B21" s="2">
        <f>B10/'Output-Calculation-sheet'!B9*'Output-Calculation-sheet'!B27</f>
        <v>11018.392502063354</v>
      </c>
      <c r="C21" s="2">
        <f>C10/'Output-Calculation-sheet'!C9*'Output-Calculation-sheet'!C27</f>
        <v>11313.722243451652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6362.9146274287214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4420.2591337311615</v>
      </c>
      <c r="N21" s="2">
        <f>N10/'Output-Calculation-sheet'!N9*'Output-Calculation-sheet'!N27</f>
        <v>2414.7412983741315</v>
      </c>
      <c r="O21" s="2">
        <f>O10/'Output-Calculation-sheet'!O9*'Output-Calculation-sheet'!O27</f>
        <v>1867.2100574521423</v>
      </c>
      <c r="P21" s="2">
        <f>P10/'Output-Calculation-sheet'!P9*'Output-Calculation-sheet'!P27</f>
        <v>0</v>
      </c>
      <c r="Q21" s="2">
        <f>Q10/'Output-Calculation-sheet'!Q9*'Output-Calculation-sheet'!Q27</f>
        <v>163.05190174279608</v>
      </c>
      <c r="R21" s="2">
        <f>R10/'Output-Calculation-sheet'!R9*'Output-Calculation-sheet'!R27</f>
        <v>0</v>
      </c>
      <c r="S21" s="2">
        <f>S10/'Output-Calculation-sheet'!S9*'Output-Calculation-sheet'!S27</f>
        <v>1051.1430582463511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280.21638810341614</v>
      </c>
      <c r="Y21" s="2">
        <f>Y10/'Output-Calculation-sheet'!Y9*'Output-Calculation-sheet'!Y27</f>
        <v>0</v>
      </c>
      <c r="AA21" s="2">
        <f t="shared" si="0"/>
        <v>38.891651210593714</v>
      </c>
    </row>
    <row r="22" spans="1:27" x14ac:dyDescent="0.25">
      <c r="A22" s="2">
        <v>2034</v>
      </c>
      <c r="B22" s="2">
        <f>B11/'Output-Calculation-sheet'!B10*'Output-Calculation-sheet'!B28</f>
        <v>15707.34909618524</v>
      </c>
      <c r="C22" s="2">
        <f>C11/'Output-Calculation-sheet'!C10*'Output-Calculation-sheet'!C28</f>
        <v>11045.573190620169</v>
      </c>
      <c r="D22" s="2">
        <f>D11/'Output-Calculation-sheet'!D10*'Output-Calculation-sheet'!D28</f>
        <v>0</v>
      </c>
      <c r="E22" s="2">
        <f>E11/'Output-Calculation-sheet'!E10*'Output-Calculation-sheet'!E28</f>
        <v>899.73483239795394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6317.0915994399929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451.15133921998319</v>
      </c>
      <c r="M22" s="2">
        <f>M11/'Output-Calculation-sheet'!M10*'Output-Calculation-sheet'!M28</f>
        <v>4488.5593999660059</v>
      </c>
      <c r="N22" s="2">
        <f>N11/'Output-Calculation-sheet'!N10*'Output-Calculation-sheet'!N28</f>
        <v>2646.9282042618961</v>
      </c>
      <c r="O22" s="2">
        <f>O11/'Output-Calculation-sheet'!O10*'Output-Calculation-sheet'!O28</f>
        <v>1687.7011691175733</v>
      </c>
      <c r="P22" s="2">
        <f>P11/'Output-Calculation-sheet'!P10*'Output-Calculation-sheet'!P28</f>
        <v>0</v>
      </c>
      <c r="Q22" s="2">
        <f>Q11/'Output-Calculation-sheet'!Q10*'Output-Calculation-sheet'!Q28</f>
        <v>396.40063756492253</v>
      </c>
      <c r="R22" s="2">
        <f>R11/'Output-Calculation-sheet'!R10*'Output-Calculation-sheet'!R28</f>
        <v>0</v>
      </c>
      <c r="S22" s="2">
        <f>S11/'Output-Calculation-sheet'!S10*'Output-Calculation-sheet'!S28</f>
        <v>1163.1028570275334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48.76820404990665</v>
      </c>
      <c r="AA22" s="2">
        <f t="shared" si="0"/>
        <v>45.051887781241632</v>
      </c>
    </row>
    <row r="23" spans="1:27" x14ac:dyDescent="0.25">
      <c r="A23" s="2">
        <v>2035</v>
      </c>
      <c r="B23" s="2">
        <f>B12/'Output-Calculation-sheet'!B11*'Output-Calculation-sheet'!B29</f>
        <v>13638.38638709617</v>
      </c>
      <c r="C23" s="2">
        <f>C12/'Output-Calculation-sheet'!C11*'Output-Calculation-sheet'!C29</f>
        <v>9931.5603195866479</v>
      </c>
      <c r="D23" s="2">
        <f>D12/'Output-Calculation-sheet'!D11*'Output-Calculation-sheet'!D29</f>
        <v>0</v>
      </c>
      <c r="E23" s="2">
        <f>E12/'Output-Calculation-sheet'!E11*'Output-Calculation-sheet'!E29</f>
        <v>1813.8369300653362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4929.9610946232833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395.79202202664135</v>
      </c>
      <c r="M23" s="2">
        <f>M12/'Output-Calculation-sheet'!M11*'Output-Calculation-sheet'!M29</f>
        <v>3523.178088150607</v>
      </c>
      <c r="N23" s="2">
        <f>N12/'Output-Calculation-sheet'!N11*'Output-Calculation-sheet'!N29</f>
        <v>2107.3692363709333</v>
      </c>
      <c r="O23" s="2">
        <f>O12/'Output-Calculation-sheet'!O11*'Output-Calculation-sheet'!O29</f>
        <v>1369.1043808410489</v>
      </c>
      <c r="P23" s="2">
        <f>P12/'Output-Calculation-sheet'!P11*'Output-Calculation-sheet'!P29</f>
        <v>286.79424067059972</v>
      </c>
      <c r="Q23" s="2">
        <f>Q12/'Output-Calculation-sheet'!Q11*'Output-Calculation-sheet'!Q29</f>
        <v>427.29329356813446</v>
      </c>
      <c r="R23" s="2">
        <f>R12/'Output-Calculation-sheet'!R11*'Output-Calculation-sheet'!R29</f>
        <v>0</v>
      </c>
      <c r="S23" s="2">
        <f>S12/'Output-Calculation-sheet'!S11*'Output-Calculation-sheet'!S29</f>
        <v>1009.0610576180836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88.940576720832567</v>
      </c>
      <c r="Y23" s="2">
        <f>Y12/'Output-Calculation-sheet'!Y11*'Output-Calculation-sheet'!Y29</f>
        <v>93.845840573960217</v>
      </c>
      <c r="AA23" s="2">
        <f t="shared" si="0"/>
        <v>39.615123467912269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1493.5743199559824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38.395575524245615</v>
      </c>
    </row>
    <row r="31" spans="1:27" x14ac:dyDescent="0.25">
      <c r="A31" s="2">
        <v>2032</v>
      </c>
      <c r="B31" s="2">
        <f>B9/'Output-Calculation-sheet'!B8*'Output-Calculation-sheet'!B17</f>
        <v>22463.197100637441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1538.6296615387319</v>
      </c>
      <c r="O31" s="2">
        <f>O9/'Output-Calculation-sheet'!O8*'Output-Calculation-sheet'!O17</f>
        <v>0</v>
      </c>
      <c r="P31" s="2">
        <f>P9/'Output-Calculation-sheet'!P8*'Output-Calculation-sheet'!P17</f>
        <v>1905.2713498675885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1144.0622843972651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48.918314060822588</v>
      </c>
    </row>
    <row r="32" spans="1:27" x14ac:dyDescent="0.25">
      <c r="A32" s="2">
        <v>2033</v>
      </c>
      <c r="B32" s="2">
        <f>B10/'Output-Calculation-sheet'!B9*'Output-Calculation-sheet'!B18</f>
        <v>22316.011499316897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2128.4968038607458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1363.7099757879164</v>
      </c>
      <c r="O32" s="2">
        <f>O10/'Output-Calculation-sheet'!O9*'Output-Calculation-sheet'!O18</f>
        <v>0</v>
      </c>
      <c r="P32" s="2">
        <f>P10/'Output-Calculation-sheet'!P9*'Output-Calculation-sheet'!P18</f>
        <v>2190.6460037937163</v>
      </c>
      <c r="Q32" s="2">
        <f>Q10/'Output-Calculation-sheet'!Q9*'Output-Calculation-sheet'!Q18</f>
        <v>2386.6735974957173</v>
      </c>
      <c r="R32" s="2">
        <f>R10/'Output-Calculation-sheet'!R9*'Output-Calculation-sheet'!R18</f>
        <v>1573.0898225124256</v>
      </c>
      <c r="S32" s="2">
        <f>S10/'Output-Calculation-sheet'!S9*'Output-Calculation-sheet'!S18</f>
        <v>1030.2803825992671</v>
      </c>
      <c r="T32" s="2">
        <f>T10/'Output-Calculation-sheet'!T9*'Output-Calculation-sheet'!T18</f>
        <v>459.28096785394115</v>
      </c>
      <c r="U32" s="2">
        <f>U10/'Output-Calculation-sheet'!U9*'Output-Calculation-sheet'!U18</f>
        <v>507.79158421604677</v>
      </c>
      <c r="V32" s="2">
        <f>V10/'Output-Calculation-sheet'!V9*'Output-Calculation-sheet'!V18</f>
        <v>374.7268729415988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216.98195463788554</v>
      </c>
      <c r="AA32" s="2">
        <f t="shared" si="1"/>
        <v>53.642766288339821</v>
      </c>
    </row>
    <row r="33" spans="1:27" x14ac:dyDescent="0.25">
      <c r="A33" s="2">
        <v>2034</v>
      </c>
      <c r="B33" s="2">
        <f>B11/'Output-Calculation-sheet'!B10*'Output-Calculation-sheet'!B19</f>
        <v>17846.223760823181</v>
      </c>
      <c r="C33" s="2">
        <f>C11/'Output-Calculation-sheet'!C10*'Output-Calculation-sheet'!C19</f>
        <v>0</v>
      </c>
      <c r="D33" s="2">
        <f>D11/'Output-Calculation-sheet'!D10*'Output-Calculation-sheet'!D19</f>
        <v>5216.239999415563</v>
      </c>
      <c r="E33" s="2">
        <f>E11/'Output-Calculation-sheet'!E10*'Output-Calculation-sheet'!E19</f>
        <v>6562.524593644247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1969.6398835602949</v>
      </c>
      <c r="J33" s="2">
        <f>J11/'Output-Calculation-sheet'!J10*'Output-Calculation-sheet'!J19</f>
        <v>1630.3988319377129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1827.2092450948812</v>
      </c>
      <c r="M33" s="2">
        <f>M11/'Output-Calculation-sheet'!M10*'Output-Calculation-sheet'!M19</f>
        <v>0</v>
      </c>
      <c r="N33" s="2">
        <f>N11/'Output-Calculation-sheet'!N10*'Output-Calculation-sheet'!N19</f>
        <v>1084.5482947893322</v>
      </c>
      <c r="O33" s="2">
        <f>O11/'Output-Calculation-sheet'!O10*'Output-Calculation-sheet'!O19</f>
        <v>0</v>
      </c>
      <c r="P33" s="2">
        <f>P11/'Output-Calculation-sheet'!P10*'Output-Calculation-sheet'!P19</f>
        <v>2336.694553507336</v>
      </c>
      <c r="Q33" s="2">
        <f>Q11/'Output-Calculation-sheet'!Q10*'Output-Calculation-sheet'!Q19</f>
        <v>1955.815422145246</v>
      </c>
      <c r="R33" s="2">
        <f>R11/'Output-Calculation-sheet'!R10*'Output-Calculation-sheet'!R19</f>
        <v>1668.6283237118971</v>
      </c>
      <c r="S33" s="2">
        <f>S11/'Output-Calculation-sheet'!S10*'Output-Calculation-sheet'!S19</f>
        <v>836.64963826831786</v>
      </c>
      <c r="T33" s="2">
        <f>T11/'Output-Calculation-sheet'!T10*'Output-Calculation-sheet'!T19</f>
        <v>489.60730874338748</v>
      </c>
      <c r="U33" s="2">
        <f>U11/'Output-Calculation-sheet'!U10*'Output-Calculation-sheet'!U19</f>
        <v>527.77927832504622</v>
      </c>
      <c r="V33" s="2">
        <f>V11/'Output-Calculation-sheet'!V10*'Output-Calculation-sheet'!V19</f>
        <v>384.03856207147459</v>
      </c>
      <c r="W33" s="2">
        <f>W11/'Output-Calculation-sheet'!W10*'Output-Calculation-sheet'!W19</f>
        <v>239.12597066617792</v>
      </c>
      <c r="X33" s="2">
        <f>X11/'Output-Calculation-sheet'!X10*'Output-Calculation-sheet'!X19</f>
        <v>0</v>
      </c>
      <c r="Y33" s="2">
        <f>Y11/'Output-Calculation-sheet'!Y10*'Output-Calculation-sheet'!Y19</f>
        <v>215.53215723444228</v>
      </c>
      <c r="AA33" s="2">
        <f t="shared" si="1"/>
        <v>51.915650432576257</v>
      </c>
    </row>
    <row r="34" spans="1:27" x14ac:dyDescent="0.25">
      <c r="A34" s="2">
        <v>2035</v>
      </c>
      <c r="B34" s="2">
        <f>B12/'Output-Calculation-sheet'!B11*'Output-Calculation-sheet'!B20</f>
        <v>12709.43849498119</v>
      </c>
      <c r="C34" s="2">
        <f>C12/'Output-Calculation-sheet'!C11*'Output-Calculation-sheet'!C20</f>
        <v>0</v>
      </c>
      <c r="D34" s="2">
        <f>D12/'Output-Calculation-sheet'!D11*'Output-Calculation-sheet'!D20</f>
        <v>3963.2177188900091</v>
      </c>
      <c r="E34" s="2">
        <f>E12/'Output-Calculation-sheet'!E11*'Output-Calculation-sheet'!E20</f>
        <v>4638.9469973221885</v>
      </c>
      <c r="F34" s="2">
        <f>F12/'Output-Calculation-sheet'!F11*'Output-Calculation-sheet'!F20</f>
        <v>2694.7598377112649</v>
      </c>
      <c r="G34" s="2">
        <f>G12/'Output-Calculation-sheet'!G11*'Output-Calculation-sheet'!G20</f>
        <v>1430.5354839330319</v>
      </c>
      <c r="H34" s="2">
        <f>H12/'Output-Calculation-sheet'!H11*'Output-Calculation-sheet'!H20</f>
        <v>0</v>
      </c>
      <c r="I34" s="2">
        <f>I12/'Output-Calculation-sheet'!I11*'Output-Calculation-sheet'!I20</f>
        <v>1585.7419067758262</v>
      </c>
      <c r="J34" s="2">
        <f>J12/'Output-Calculation-sheet'!J11*'Output-Calculation-sheet'!J20</f>
        <v>1240.3149362314778</v>
      </c>
      <c r="K34" s="2">
        <f>K12/'Output-Calculation-sheet'!K11*'Output-Calculation-sheet'!K20</f>
        <v>1831.1133188674178</v>
      </c>
      <c r="L34" s="2">
        <f>L12/'Output-Calculation-sheet'!L11*'Output-Calculation-sheet'!L20</f>
        <v>1390.3140351034422</v>
      </c>
      <c r="M34" s="2">
        <f>M12/'Output-Calculation-sheet'!M11*'Output-Calculation-sheet'!M20</f>
        <v>0</v>
      </c>
      <c r="N34" s="2">
        <f>N12/'Output-Calculation-sheet'!N11*'Output-Calculation-sheet'!N20</f>
        <v>809.06273668815265</v>
      </c>
      <c r="O34" s="2">
        <f>O12/'Output-Calculation-sheet'!O11*'Output-Calculation-sheet'!O20</f>
        <v>0</v>
      </c>
      <c r="P34" s="2">
        <f>P12/'Output-Calculation-sheet'!P11*'Output-Calculation-sheet'!P20</f>
        <v>1747.1872891801604</v>
      </c>
      <c r="Q34" s="2">
        <f>Q12/'Output-Calculation-sheet'!Q11*'Output-Calculation-sheet'!Q20</f>
        <v>1433.7388065725049</v>
      </c>
      <c r="R34" s="2">
        <f>R12/'Output-Calculation-sheet'!R11*'Output-Calculation-sheet'!R20</f>
        <v>1359.7125382742968</v>
      </c>
      <c r="S34" s="2">
        <f>S12/'Output-Calculation-sheet'!S11*'Output-Calculation-sheet'!S20</f>
        <v>575.24449607572706</v>
      </c>
      <c r="T34" s="2">
        <f>T12/'Output-Calculation-sheet'!T11*'Output-Calculation-sheet'!T20</f>
        <v>421.18092951218938</v>
      </c>
      <c r="U34" s="2">
        <f>U12/'Output-Calculation-sheet'!U11*'Output-Calculation-sheet'!U20</f>
        <v>402.42145705606583</v>
      </c>
      <c r="V34" s="2">
        <f>V12/'Output-Calculation-sheet'!V11*'Output-Calculation-sheet'!V20</f>
        <v>299.58272074651092</v>
      </c>
      <c r="W34" s="2">
        <f>W12/'Output-Calculation-sheet'!W11*'Output-Calculation-sheet'!W20</f>
        <v>236.2152579315526</v>
      </c>
      <c r="X34" s="2">
        <f>X12/'Output-Calculation-sheet'!X11*'Output-Calculation-sheet'!X20</f>
        <v>0</v>
      </c>
      <c r="Y34" s="2">
        <f>Y12/'Output-Calculation-sheet'!Y11*'Output-Calculation-sheet'!Y20</f>
        <v>139.50605873985481</v>
      </c>
      <c r="AA34" s="2">
        <f t="shared" si="1"/>
        <v>38.908235020592869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0.58648424696526902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0.32282318919781805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0.90930743616308707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1.7073993029141248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0.42647175211934291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2.1338710550334676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2.6820732729771355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0.48631550502743737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3.168388778004573</v>
      </c>
    </row>
    <row r="44" spans="1:27" x14ac:dyDescent="0.25">
      <c r="A44" s="2">
        <v>2034</v>
      </c>
      <c r="B44" s="2">
        <f>B11/'Output-Calculation-sheet'!B10*'Output-Calculation-sheet'!B37*0.0114</f>
        <v>0.15838061731094896</v>
      </c>
      <c r="C44" s="2">
        <f>C11/'Output-Calculation-sheet'!C10*'Output-Calculation-sheet'!C37*0.0114</f>
        <v>2.5182320764261372</v>
      </c>
      <c r="D44" s="2">
        <f>D11/'Output-Calculation-sheet'!D10*'Output-Calculation-sheet'!D37*0.0114</f>
        <v>3.3294310050047689E-2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4.627999617858463E-2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1.0631387630458853E-2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8.3952670114814821E-3</v>
      </c>
      <c r="M44" s="2">
        <f>M11/'Output-Calculation-sheet'!M10*'Output-Calculation-sheet'!M37*0.0114</f>
        <v>2.3883855988514835E-2</v>
      </c>
      <c r="N44" s="2">
        <f>N11/'Output-Calculation-sheet'!N10*'Output-Calculation-sheet'!N37*0.0114</f>
        <v>1.5649304715920534E-2</v>
      </c>
      <c r="O44" s="2">
        <f>O11/'Output-Calculation-sheet'!O10*'Output-Calculation-sheet'!O37*0.0114</f>
        <v>0.48192070509860691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3.4277967339286196E-2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1.794144340751179E-2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4.3746930467703244E-3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3.3532616242042694</v>
      </c>
    </row>
    <row r="45" spans="1:27" x14ac:dyDescent="0.25">
      <c r="A45" s="2">
        <v>2035</v>
      </c>
      <c r="B45" s="2">
        <f>B12/'Output-Calculation-sheet'!B11*'Output-Calculation-sheet'!B38*0.0114</f>
        <v>0.54253932699771712</v>
      </c>
      <c r="C45" s="2">
        <f>C12/'Output-Calculation-sheet'!C11*'Output-Calculation-sheet'!C38*0.0114</f>
        <v>2.0600137750758045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0.14099595066669052</v>
      </c>
      <c r="F45" s="2">
        <f>F12/'Output-Calculation-sheet'!F11*'Output-Calculation-sheet'!F38*0.0114</f>
        <v>5.0672430193893669E-2</v>
      </c>
      <c r="G45" s="2">
        <f>G12/'Output-Calculation-sheet'!G11*'Output-Calculation-sheet'!G38*0.0114</f>
        <v>4.5458536541194416E-2</v>
      </c>
      <c r="H45" s="2">
        <f>H12/'Output-Calculation-sheet'!H11*'Output-Calculation-sheet'!H38*0.0114</f>
        <v>0.15853403280333375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3.2371783242512317E-2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3.8344443840060097E-2</v>
      </c>
      <c r="M45" s="2">
        <f>M12/'Output-Calculation-sheet'!M11*'Output-Calculation-sheet'!M38*0.0114</f>
        <v>9.6966082689021127E-2</v>
      </c>
      <c r="N45" s="2">
        <f>N12/'Output-Calculation-sheet'!N11*'Output-Calculation-sheet'!N38*0.0114</f>
        <v>5.9563708634375677E-2</v>
      </c>
      <c r="O45" s="2">
        <f>O12/'Output-Calculation-sheet'!O11*'Output-Calculation-sheet'!O38*0.0114</f>
        <v>0.41687859133278893</v>
      </c>
      <c r="P45" s="2">
        <f>P12/'Output-Calculation-sheet'!P11*'Output-Calculation-sheet'!P38*0.0114</f>
        <v>3.8518483046705958E-2</v>
      </c>
      <c r="Q45" s="2">
        <f>Q12/'Output-Calculation-sheet'!Q11*'Output-Calculation-sheet'!Q38*0.0114</f>
        <v>5.7405621166253015E-2</v>
      </c>
      <c r="R45" s="2">
        <f>R12/'Output-Calculation-sheet'!R11*'Output-Calculation-sheet'!R38*0.0114</f>
        <v>2.5876587682195206E-2</v>
      </c>
      <c r="S45" s="2">
        <f>S12/'Output-Calculation-sheet'!S11*'Output-Calculation-sheet'!S38*0.0114</f>
        <v>3.7558371432623174E-2</v>
      </c>
      <c r="T45" s="2">
        <f>T12/'Output-Calculation-sheet'!T11*'Output-Calculation-sheet'!T38*0.0114</f>
        <v>7.658690119214202E-3</v>
      </c>
      <c r="U45" s="2">
        <f>U12/'Output-Calculation-sheet'!U11*'Output-Calculation-sheet'!U38*0.0114</f>
        <v>1.1655537591794564E-2</v>
      </c>
      <c r="V45" s="2">
        <f>V12/'Output-Calculation-sheet'!V11*'Output-Calculation-sheet'!V38*0.0114</f>
        <v>5.1356786850443583E-3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2.6593452360381686E-3</v>
      </c>
      <c r="Y45" s="2">
        <f>Y12/'Output-Calculation-sheet'!Y11*'Output-Calculation-sheet'!Y38*0.0114</f>
        <v>4.4910582872829327E-3</v>
      </c>
      <c r="AA45" s="2">
        <f t="shared" si="2"/>
        <v>4.0109073590332853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6527.347593516185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4464.2074567976979</v>
      </c>
      <c r="N52" s="2">
        <f>N8/'Output-Calculation-sheet'!N7*'Output-Calculation-sheet'!N43</f>
        <v>141.0169909886977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30.184916877986321</v>
      </c>
      <c r="Y52" s="2">
        <f>Y8/'Output-Calculation-sheet'!Y7*'Output-Calculation-sheet'!Y43</f>
        <v>0</v>
      </c>
      <c r="AA52" s="2">
        <f t="shared" si="3"/>
        <v>11.162756958180568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175.44704616410803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11551.134703962358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7900.2651242188222</v>
      </c>
      <c r="N53" s="2">
        <f>N9/'Output-Calculation-sheet'!N8*'Output-Calculation-sheet'!N44</f>
        <v>2803.5160678036068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874.2636139346381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241.12989040010103</v>
      </c>
      <c r="Y53" s="2">
        <f>Y9/'Output-Calculation-sheet'!Y8*'Output-Calculation-sheet'!Y44</f>
        <v>0</v>
      </c>
      <c r="AA53" s="2">
        <f t="shared" si="3"/>
        <v>23.670028266419592</v>
      </c>
    </row>
    <row r="54" spans="1:27" x14ac:dyDescent="0.25">
      <c r="A54" s="2">
        <v>2033</v>
      </c>
      <c r="B54" s="2">
        <f>B10/'Output-Calculation-sheet'!B9*'Output-Calculation-sheet'!B45</f>
        <v>21042.365916604893</v>
      </c>
      <c r="C54" s="2">
        <f>C10/'Output-Calculation-sheet'!C9*'Output-Calculation-sheet'!C45</f>
        <v>4521.0971984541475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10510.87633585719</v>
      </c>
      <c r="N54" s="2">
        <f>N10/'Output-Calculation-sheet'!N9*'Output-Calculation-sheet'!N45</f>
        <v>5880.7449369381911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615.80299331307128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64.298471651512983</v>
      </c>
    </row>
    <row r="55" spans="1:27" x14ac:dyDescent="0.25">
      <c r="A55" s="2">
        <v>2034</v>
      </c>
      <c r="B55" s="2">
        <f>B11/'Output-Calculation-sheet'!B10*'Output-Calculation-sheet'!B46</f>
        <v>44284.054182337699</v>
      </c>
      <c r="C55" s="2">
        <f>C11/'Output-Calculation-sheet'!C10*'Output-Calculation-sheet'!C46</f>
        <v>9086.4723784111484</v>
      </c>
      <c r="D55" s="2">
        <f>D11/'Output-Calculation-sheet'!D10*'Output-Calculation-sheet'!D46</f>
        <v>3834.6867627818078</v>
      </c>
      <c r="E55" s="2">
        <f>E11/'Output-Calculation-sheet'!E10*'Output-Calculation-sheet'!E46</f>
        <v>5742.3117265098144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14834.971582069551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550.22093876936162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461.73968563148151</v>
      </c>
      <c r="M55" s="2">
        <f>M11/'Output-Calculation-sheet'!M10*'Output-Calculation-sheet'!M46</f>
        <v>10374.113471034732</v>
      </c>
      <c r="N55" s="2">
        <f>N11/'Output-Calculation-sheet'!N10*'Output-Calculation-sheet'!N46</f>
        <v>7556.2805095425074</v>
      </c>
      <c r="O55" s="2">
        <f>O11/'Output-Calculation-sheet'!O10*'Output-Calculation-sheet'!O46</f>
        <v>0</v>
      </c>
      <c r="P55" s="2">
        <f>P11/'Output-Calculation-sheet'!P10*'Output-Calculation-sheet'!P46</f>
        <v>2996.0662852022324</v>
      </c>
      <c r="Q55" s="2">
        <f>Q11/'Output-Calculation-sheet'!Q10*'Output-Calculation-sheet'!Q46</f>
        <v>1108.3209439702537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3177.5240561198511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736.98228037915851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49.452382501503983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114.41461775534586</v>
      </c>
    </row>
    <row r="56" spans="1:27" x14ac:dyDescent="0.25">
      <c r="A56" s="2">
        <v>2035</v>
      </c>
      <c r="B56" s="2">
        <f>B12/'Output-Calculation-sheet'!B11*'Output-Calculation-sheet'!B47</f>
        <v>38638.741348658077</v>
      </c>
      <c r="C56" s="2">
        <f>C12/'Output-Calculation-sheet'!C11*'Output-Calculation-sheet'!C47</f>
        <v>13929.186710125139</v>
      </c>
      <c r="D56" s="2">
        <f>D12/'Output-Calculation-sheet'!D11*'Output-Calculation-sheet'!D47</f>
        <v>3041.360805229031</v>
      </c>
      <c r="E56" s="2">
        <f>E12/'Output-Calculation-sheet'!E11*'Output-Calculation-sheet'!E47</f>
        <v>8078.1138652645241</v>
      </c>
      <c r="F56" s="2">
        <f>F12/'Output-Calculation-sheet'!F11*'Output-Calculation-sheet'!F47</f>
        <v>950.10806613550631</v>
      </c>
      <c r="G56" s="2">
        <f>G12/'Output-Calculation-sheet'!G11*'Output-Calculation-sheet'!G47</f>
        <v>2455.5584914094316</v>
      </c>
      <c r="H56" s="2">
        <f>H12/'Output-Calculation-sheet'!H11*'Output-Calculation-sheet'!H47</f>
        <v>11471.312471071635</v>
      </c>
      <c r="I56" s="2">
        <f>I12/'Output-Calculation-sheet'!I11*'Output-Calculation-sheet'!I47</f>
        <v>1365.0567721819741</v>
      </c>
      <c r="J56" s="2">
        <f>J12/'Output-Calculation-sheet'!J11*'Output-Calculation-sheet'!J47</f>
        <v>489.83619380117318</v>
      </c>
      <c r="K56" s="2">
        <f>K12/'Output-Calculation-sheet'!K11*'Output-Calculation-sheet'!K47</f>
        <v>2041.0031764367964</v>
      </c>
      <c r="L56" s="2">
        <f>L12/'Output-Calculation-sheet'!L11*'Output-Calculation-sheet'!L47</f>
        <v>461.36662690598627</v>
      </c>
      <c r="M56" s="2">
        <f>M12/'Output-Calculation-sheet'!M11*'Output-Calculation-sheet'!M47</f>
        <v>8030.5353349800062</v>
      </c>
      <c r="N56" s="2">
        <f>N12/'Output-Calculation-sheet'!N11*'Output-Calculation-sheet'!N47</f>
        <v>5989.2876497881434</v>
      </c>
      <c r="O56" s="2">
        <f>O12/'Output-Calculation-sheet'!O11*'Output-Calculation-sheet'!O47</f>
        <v>0</v>
      </c>
      <c r="P56" s="2">
        <f>P12/'Output-Calculation-sheet'!P11*'Output-Calculation-sheet'!P47</f>
        <v>3091.6150866435046</v>
      </c>
      <c r="Q56" s="2">
        <f>Q12/'Output-Calculation-sheet'!Q11*'Output-Calculation-sheet'!Q47</f>
        <v>1095.925494992103</v>
      </c>
      <c r="R56" s="2">
        <f>R12/'Output-Calculation-sheet'!R11*'Output-Calculation-sheet'!R47</f>
        <v>2138.677273172309</v>
      </c>
      <c r="S56" s="2">
        <f>S12/'Output-Calculation-sheet'!S11*'Output-Calculation-sheet'!S47</f>
        <v>2791.1201226524349</v>
      </c>
      <c r="T56" s="2">
        <f>T12/'Output-Calculation-sheet'!T11*'Output-Calculation-sheet'!T47</f>
        <v>732.95008070725385</v>
      </c>
      <c r="U56" s="2">
        <f>U12/'Output-Calculation-sheet'!U11*'Output-Calculation-sheet'!U47</f>
        <v>571.67636759754282</v>
      </c>
      <c r="V56" s="2">
        <f>V12/'Output-Calculation-sheet'!V11*'Output-Calculation-sheet'!V47</f>
        <v>329.53938229034634</v>
      </c>
      <c r="W56" s="2">
        <f>W12/'Output-Calculation-sheet'!W11*'Output-Calculation-sheet'!W47</f>
        <v>284.0907405629722</v>
      </c>
      <c r="X56" s="2">
        <f>X12/'Output-Calculation-sheet'!X11*'Output-Calculation-sheet'!X47</f>
        <v>170.87459521034722</v>
      </c>
      <c r="Y56" s="2">
        <f>Y12/'Output-Calculation-sheet'!Y11*'Output-Calculation-sheet'!Y47</f>
        <v>365.98185516542497</v>
      </c>
      <c r="AA56" s="2">
        <f t="shared" si="3"/>
        <v>108.51391851098164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5.0035032747066657</v>
      </c>
      <c r="C63" s="2">
        <f>C8*'Output-Calculation-sheet'!C52/10^9</f>
        <v>3.1264210755727948</v>
      </c>
      <c r="D63" s="2">
        <f>D8*'Output-Calculation-sheet'!D52/10^9</f>
        <v>1.4290574996552636</v>
      </c>
      <c r="E63" s="2">
        <f>E8*'Output-Calculation-sheet'!E52/10^9</f>
        <v>1.3126806090078724</v>
      </c>
      <c r="F63" s="2">
        <f>F8*'Output-Calculation-sheet'!F52/10^9</f>
        <v>0.69180539128498264</v>
      </c>
      <c r="G63" s="2">
        <f>G8*'Output-Calculation-sheet'!G52/10^9</f>
        <v>0.51161177675184488</v>
      </c>
      <c r="H63" s="2">
        <f>H8*'Output-Calculation-sheet'!H52/10^9</f>
        <v>0.88272082641453986</v>
      </c>
      <c r="I63" s="2">
        <f>I8*'Output-Calculation-sheet'!I52/10^9</f>
        <v>0.47428684105478408</v>
      </c>
      <c r="J63" s="2">
        <f>J8*'Output-Calculation-sheet'!J52/10^9</f>
        <v>0.48217819349442675</v>
      </c>
      <c r="K63" s="2">
        <f>K8*'Output-Calculation-sheet'!K52/10^9</f>
        <v>0.48524789323857975</v>
      </c>
      <c r="L63" s="2">
        <f>L8*'Output-Calculation-sheet'!L52/10^9</f>
        <v>0.39557266252530726</v>
      </c>
      <c r="M63" s="2">
        <f>M8*'Output-Calculation-sheet'!M52/10^9</f>
        <v>0.61116561862740537</v>
      </c>
      <c r="N63" s="2">
        <f>N8*'Output-Calculation-sheet'!N52/10^9</f>
        <v>0.54837463464428815</v>
      </c>
      <c r="O63" s="2">
        <f>O8*'Output-Calculation-sheet'!O52/10^9</f>
        <v>0.59298935888971149</v>
      </c>
      <c r="P63" s="2">
        <f>P8*'Output-Calculation-sheet'!P52/10^9</f>
        <v>0.39063762177512956</v>
      </c>
      <c r="Q63" s="2">
        <f>Q8*'Output-Calculation-sheet'!Q52/10^9</f>
        <v>0.40285996602590296</v>
      </c>
      <c r="R63" s="2">
        <f>R8*'Output-Calculation-sheet'!R52/10^9</f>
        <v>0.32993839899365196</v>
      </c>
      <c r="S63" s="2">
        <f>S8*'Output-Calculation-sheet'!S52/10^9</f>
        <v>0.3033830007224127</v>
      </c>
      <c r="T63" s="2">
        <f>T8*'Output-Calculation-sheet'!T52/10^9</f>
        <v>0.11375678704436908</v>
      </c>
      <c r="U63" s="2">
        <f>U8*'Output-Calculation-sheet'!U52/10^9</f>
        <v>0.10334284818966383</v>
      </c>
      <c r="V63" s="2">
        <f>V8*'Output-Calculation-sheet'!V52/10^9</f>
        <v>7.9852340802577276E-2</v>
      </c>
      <c r="W63" s="2">
        <f>W8*'Output-Calculation-sheet'!W52/10^9</f>
        <v>6.2385101078515741E-2</v>
      </c>
      <c r="X63" s="2">
        <f>X8*'Output-Calculation-sheet'!X52/10^9</f>
        <v>7.3619690135755839E-2</v>
      </c>
      <c r="Y63" s="2">
        <f>Y8*'Output-Calculation-sheet'!Y52/10^9</f>
        <v>4.0552857805589808E-2</v>
      </c>
      <c r="AA63" s="2">
        <f t="shared" si="4"/>
        <v>18.447944268442036</v>
      </c>
    </row>
    <row r="64" spans="1:27" x14ac:dyDescent="0.25">
      <c r="A64" s="2">
        <v>2032</v>
      </c>
      <c r="B64" s="2">
        <f>B9*'Output-Calculation-sheet'!B53/10^9</f>
        <v>5.1690304355520826</v>
      </c>
      <c r="C64" s="2">
        <f>C9*'Output-Calculation-sheet'!C53/10^9</f>
        <v>3.4222336720933821</v>
      </c>
      <c r="D64" s="2">
        <f>D9*'Output-Calculation-sheet'!D53/10^9</f>
        <v>1.2454242558266317</v>
      </c>
      <c r="E64" s="2">
        <f>E9*'Output-Calculation-sheet'!E53/10^9</f>
        <v>1.2159089912630177</v>
      </c>
      <c r="F64" s="2">
        <f>F9*'Output-Calculation-sheet'!F53/10^9</f>
        <v>0.61322254585876779</v>
      </c>
      <c r="G64" s="2">
        <f>G9*'Output-Calculation-sheet'!G53/10^9</f>
        <v>0.44542645696856359</v>
      </c>
      <c r="H64" s="2">
        <f>H9*'Output-Calculation-sheet'!H53/10^9</f>
        <v>0.95622836357784458</v>
      </c>
      <c r="I64" s="2">
        <f>I9*'Output-Calculation-sheet'!I53/10^9</f>
        <v>0.41591559113899823</v>
      </c>
      <c r="J64" s="2">
        <f>J9*'Output-Calculation-sheet'!J53/10^9</f>
        <v>0.41513938716930382</v>
      </c>
      <c r="K64" s="2">
        <f>K9*'Output-Calculation-sheet'!K53/10^9</f>
        <v>0.44776286511070812</v>
      </c>
      <c r="L64" s="2">
        <f>L9*'Output-Calculation-sheet'!L53/10^9</f>
        <v>0.36909951492669485</v>
      </c>
      <c r="M64" s="2">
        <f>M9*'Output-Calculation-sheet'!M53/10^9</f>
        <v>0.66252232126844712</v>
      </c>
      <c r="N64" s="2">
        <f>N9*'Output-Calculation-sheet'!N53/10^9</f>
        <v>0.5886941604114424</v>
      </c>
      <c r="O64" s="2">
        <f>O9*'Output-Calculation-sheet'!O53/10^9</f>
        <v>0.63339555039527295</v>
      </c>
      <c r="P64" s="2">
        <f>P9*'Output-Calculation-sheet'!P53/10^9</f>
        <v>0.40046964699385157</v>
      </c>
      <c r="Q64" s="2">
        <f>Q9*'Output-Calculation-sheet'!Q53/10^9</f>
        <v>0.40979152977896932</v>
      </c>
      <c r="R64" s="2">
        <f>R9*'Output-Calculation-sheet'!R53/10^9</f>
        <v>0.32039016133604376</v>
      </c>
      <c r="S64" s="2">
        <f>S9*'Output-Calculation-sheet'!S53/10^9</f>
        <v>0.32426160527672382</v>
      </c>
      <c r="T64" s="2">
        <f>T9*'Output-Calculation-sheet'!T53/10^9</f>
        <v>0.10266663284850787</v>
      </c>
      <c r="U64" s="2">
        <f>U9*'Output-Calculation-sheet'!U53/10^9</f>
        <v>0.10127570278834423</v>
      </c>
      <c r="V64" s="2">
        <f>V9*'Output-Calculation-sheet'!V53/10^9</f>
        <v>7.5351901780790001E-2</v>
      </c>
      <c r="W64" s="2">
        <f>W9*'Output-Calculation-sheet'!W53/10^9</f>
        <v>5.4400852043705997E-2</v>
      </c>
      <c r="X64" s="2">
        <f>X9*'Output-Calculation-sheet'!X53/10^9</f>
        <v>8.0125412596146792E-2</v>
      </c>
      <c r="Y64" s="2">
        <f>Y9*'Output-Calculation-sheet'!Y53/10^9</f>
        <v>3.9214016656340743E-2</v>
      </c>
      <c r="AA64" s="2">
        <f t="shared" si="4"/>
        <v>18.507951573660584</v>
      </c>
    </row>
    <row r="65" spans="1:27" x14ac:dyDescent="0.25">
      <c r="A65" s="2">
        <v>2033</v>
      </c>
      <c r="B65" s="2">
        <f>B10*'Output-Calculation-sheet'!B54/10^9</f>
        <v>5.1575251028361579</v>
      </c>
      <c r="C65" s="2">
        <f>C10*'Output-Calculation-sheet'!C54/10^9</f>
        <v>3.4064977801319158</v>
      </c>
      <c r="D65" s="2">
        <f>D10*'Output-Calculation-sheet'!D54/10^9</f>
        <v>0.9907369184893785</v>
      </c>
      <c r="E65" s="2">
        <f>E10*'Output-Calculation-sheet'!E54/10^9</f>
        <v>1.124254521563177</v>
      </c>
      <c r="F65" s="2">
        <f>F10*'Output-Calculation-sheet'!F54/10^9</f>
        <v>0.51001033021238007</v>
      </c>
      <c r="G65" s="2">
        <f>G10*'Output-Calculation-sheet'!G54/10^9</f>
        <v>0.35199236571954889</v>
      </c>
      <c r="H65" s="2">
        <f>H10*'Output-Calculation-sheet'!H54/10^9</f>
        <v>0.93558679529217326</v>
      </c>
      <c r="I65" s="2">
        <f>I10*'Output-Calculation-sheet'!I54/10^9</f>
        <v>0.34624338733809717</v>
      </c>
      <c r="J65" s="2">
        <f>J10*'Output-Calculation-sheet'!J54/10^9</f>
        <v>0.31932600959595092</v>
      </c>
      <c r="K65" s="2">
        <f>K10*'Output-Calculation-sheet'!K54/10^9</f>
        <v>0.40728577254864012</v>
      </c>
      <c r="L65" s="2">
        <f>L10*'Output-Calculation-sheet'!L54/10^9</f>
        <v>0.33873021297186379</v>
      </c>
      <c r="M65" s="2">
        <f>M10*'Output-Calculation-sheet'!M54/10^9</f>
        <v>0.64830600266001703</v>
      </c>
      <c r="N65" s="2">
        <f>N10*'Output-Calculation-sheet'!N54/10^9</f>
        <v>0.58283864729580614</v>
      </c>
      <c r="O65" s="2">
        <f>O10*'Output-Calculation-sheet'!O54/10^9</f>
        <v>0.61703556394465686</v>
      </c>
      <c r="P65" s="2">
        <f>P10*'Output-Calculation-sheet'!P54/10^9</f>
        <v>0.3933092813136897</v>
      </c>
      <c r="Q65" s="2">
        <f>Q10*'Output-Calculation-sheet'!Q54/10^9</f>
        <v>0.40807627043184841</v>
      </c>
      <c r="R65" s="2">
        <f>R10*'Output-Calculation-sheet'!R54/10^9</f>
        <v>0.30492791234459848</v>
      </c>
      <c r="S65" s="2">
        <f>S10*'Output-Calculation-sheet'!S54/10^9</f>
        <v>0.32245197261530473</v>
      </c>
      <c r="T65" s="2">
        <f>T10*'Output-Calculation-sheet'!T54/10^9</f>
        <v>9.1522714766275728E-2</v>
      </c>
      <c r="U65" s="2">
        <f>U10*'Output-Calculation-sheet'!U54/10^9</f>
        <v>9.8959850897762894E-2</v>
      </c>
      <c r="V65" s="2">
        <f>V10*'Output-Calculation-sheet'!V54/10^9</f>
        <v>6.9060853809866124E-2</v>
      </c>
      <c r="W65" s="2">
        <f>W10*'Output-Calculation-sheet'!W54/10^9</f>
        <v>4.3198344581463301E-2</v>
      </c>
      <c r="X65" s="2">
        <f>X10*'Output-Calculation-sheet'!X54/10^9</f>
        <v>7.9469227818613014E-2</v>
      </c>
      <c r="Y65" s="2">
        <f>Y10*'Output-Calculation-sheet'!Y54/10^9</f>
        <v>3.8111447022968266E-2</v>
      </c>
      <c r="AA65" s="2">
        <f t="shared" si="4"/>
        <v>17.585457286202153</v>
      </c>
    </row>
    <row r="66" spans="1:27" x14ac:dyDescent="0.25">
      <c r="A66" s="2">
        <v>2034</v>
      </c>
      <c r="B66" s="2">
        <f>B11*'Output-Calculation-sheet'!B55/10^9</f>
        <v>4.8376403771126393</v>
      </c>
      <c r="C66" s="2">
        <f>C11*'Output-Calculation-sheet'!C55/10^9</f>
        <v>3.0817974046427552</v>
      </c>
      <c r="D66" s="2">
        <f>D11*'Output-Calculation-sheet'!D55/10^9</f>
        <v>0.90765643841931065</v>
      </c>
      <c r="E66" s="2">
        <f>E11*'Output-Calculation-sheet'!E55/10^9</f>
        <v>1.11917767173715</v>
      </c>
      <c r="F66" s="2">
        <f>F11*'Output-Calculation-sheet'!F55/10^9</f>
        <v>0.44822890852192038</v>
      </c>
      <c r="G66" s="2">
        <f>G11*'Output-Calculation-sheet'!G55/10^9</f>
        <v>0.32284054206817142</v>
      </c>
      <c r="H66" s="2">
        <f>H11*'Output-Calculation-sheet'!H55/10^9</f>
        <v>0.85044869963313263</v>
      </c>
      <c r="I66" s="2">
        <f>I11*'Output-Calculation-sheet'!I55/10^9</f>
        <v>0.31734669985895392</v>
      </c>
      <c r="J66" s="2">
        <f>J11*'Output-Calculation-sheet'!J55/10^9</f>
        <v>0.27998270017117971</v>
      </c>
      <c r="K66" s="2">
        <f>K11*'Output-Calculation-sheet'!K55/10^9</f>
        <v>0.37417266630592494</v>
      </c>
      <c r="L66" s="2">
        <f>L11*'Output-Calculation-sheet'!L55/10^9</f>
        <v>0.32774274653058211</v>
      </c>
      <c r="M66" s="2">
        <f>M11*'Output-Calculation-sheet'!M55/10^9</f>
        <v>0.59052859976809347</v>
      </c>
      <c r="N66" s="2">
        <f>N11*'Output-Calculation-sheet'!N55/10^9</f>
        <v>0.52865760709109944</v>
      </c>
      <c r="O66" s="2">
        <f>O11*'Output-Calculation-sheet'!O55/10^9</f>
        <v>0.54845800446868165</v>
      </c>
      <c r="P66" s="2">
        <f>P11*'Output-Calculation-sheet'!P55/10^9</f>
        <v>0.37158188171627965</v>
      </c>
      <c r="Q66" s="2">
        <f>Q11*'Output-Calculation-sheet'!Q55/10^9</f>
        <v>0.38573993313977695</v>
      </c>
      <c r="R66" s="2">
        <f>R11*'Output-Calculation-sheet'!R55/10^9</f>
        <v>0.28121001070593937</v>
      </c>
      <c r="S66" s="2">
        <f>S11*'Output-Calculation-sheet'!S55/10^9</f>
        <v>0.29779487843565144</v>
      </c>
      <c r="T66" s="2">
        <f>T11*'Output-Calculation-sheet'!T55/10^9</f>
        <v>8.2789155638562706E-2</v>
      </c>
      <c r="U66" s="2">
        <f>U11*'Output-Calculation-sheet'!U55/10^9</f>
        <v>9.5615947306043919E-2</v>
      </c>
      <c r="V66" s="2">
        <f>V11*'Output-Calculation-sheet'!V55/10^9</f>
        <v>6.1839244722990641E-2</v>
      </c>
      <c r="W66" s="2">
        <f>W11*'Output-Calculation-sheet'!W55/10^9</f>
        <v>3.7675023283424279E-2</v>
      </c>
      <c r="X66" s="2">
        <f>X11*'Output-Calculation-sheet'!X55/10^9</f>
        <v>7.1907418713157964E-2</v>
      </c>
      <c r="Y66" s="2">
        <f>Y11*'Output-Calculation-sheet'!Y55/10^9</f>
        <v>3.9065314625047524E-2</v>
      </c>
      <c r="AA66" s="2">
        <f t="shared" si="4"/>
        <v>16.25989787461647</v>
      </c>
    </row>
    <row r="67" spans="1:27" x14ac:dyDescent="0.25">
      <c r="A67" s="2">
        <v>2035</v>
      </c>
      <c r="B67" s="2">
        <f>B12*'Output-Calculation-sheet'!B56/10^9</f>
        <v>4.1003853262305201</v>
      </c>
      <c r="C67" s="2">
        <f>C12*'Output-Calculation-sheet'!C56/10^9</f>
        <v>2.5007056949304682</v>
      </c>
      <c r="D67" s="2">
        <f>D12*'Output-Calculation-sheet'!D56/10^9</f>
        <v>0.83402255350222221</v>
      </c>
      <c r="E67" s="2">
        <f>E12*'Output-Calculation-sheet'!E56/10^9</f>
        <v>1.1276567109517457</v>
      </c>
      <c r="F67" s="2">
        <f>F12*'Output-Calculation-sheet'!F56/10^9</f>
        <v>0.44716609642212057</v>
      </c>
      <c r="G67" s="2">
        <f>G12*'Output-Calculation-sheet'!G56/10^9</f>
        <v>0.324566464144115</v>
      </c>
      <c r="H67" s="2">
        <f>H12*'Output-Calculation-sheet'!H56/10^9</f>
        <v>0.70751786927099214</v>
      </c>
      <c r="I67" s="2">
        <f>I12*'Output-Calculation-sheet'!I56/10^9</f>
        <v>0.30659587120016496</v>
      </c>
      <c r="J67" s="2">
        <f>J12*'Output-Calculation-sheet'!J56/10^9</f>
        <v>0.25318139276572887</v>
      </c>
      <c r="K67" s="2">
        <f>K12*'Output-Calculation-sheet'!K56/10^9</f>
        <v>0.34231333348658644</v>
      </c>
      <c r="L67" s="2">
        <f>L12*'Output-Calculation-sheet'!L56/10^9</f>
        <v>0.29537581081709574</v>
      </c>
      <c r="M67" s="2">
        <f>M12*'Output-Calculation-sheet'!M56/10^9</f>
        <v>0.49582640972829861</v>
      </c>
      <c r="N67" s="2">
        <f>N12*'Output-Calculation-sheet'!N56/10^9</f>
        <v>0.43402361875816414</v>
      </c>
      <c r="O67" s="2">
        <f>O12*'Output-Calculation-sheet'!O56/10^9</f>
        <v>0.43925761056882312</v>
      </c>
      <c r="P67" s="2">
        <f>P12*'Output-Calculation-sheet'!P56/10^9</f>
        <v>0.34584438226367764</v>
      </c>
      <c r="Q67" s="2">
        <f>Q12*'Output-Calculation-sheet'!Q56/10^9</f>
        <v>0.32420139708658713</v>
      </c>
      <c r="R67" s="2">
        <f>R12*'Output-Calculation-sheet'!R56/10^9</f>
        <v>0.25470989625997831</v>
      </c>
      <c r="S67" s="2">
        <f>S12*'Output-Calculation-sheet'!S56/10^9</f>
        <v>0.24702744201873203</v>
      </c>
      <c r="T67" s="2">
        <f>T12*'Output-Calculation-sheet'!T56/10^9</f>
        <v>7.8299130643640413E-2</v>
      </c>
      <c r="U67" s="2">
        <f>U12*'Output-Calculation-sheet'!U56/10^9</f>
        <v>8.4430785824665067E-2</v>
      </c>
      <c r="V67" s="2">
        <f>V12*'Output-Calculation-sheet'!V56/10^9</f>
        <v>5.3242108905195679E-2</v>
      </c>
      <c r="W67" s="2">
        <f>W12*'Output-Calculation-sheet'!W56/10^9</f>
        <v>4.1424928619264147E-2</v>
      </c>
      <c r="X67" s="2">
        <f>X12*'Output-Calculation-sheet'!X56/10^9</f>
        <v>6.0688253382718077E-2</v>
      </c>
      <c r="Y67" s="2">
        <f>Y12*'Output-Calculation-sheet'!Y56/10^9</f>
        <v>3.8897108407208648E-2</v>
      </c>
      <c r="AA67" s="2">
        <f t="shared" si="4"/>
        <v>14.137360196188713</v>
      </c>
    </row>
    <row r="68" spans="1:27" x14ac:dyDescent="0.25">
      <c r="B68" s="2">
        <f>SUM(B60:B67)</f>
        <v>24.268084516438062</v>
      </c>
      <c r="C68" s="2">
        <f t="shared" ref="C68:Y68" si="5">SUM(C60:C67)</f>
        <v>15.537655627371317</v>
      </c>
      <c r="D68" s="2">
        <f t="shared" si="5"/>
        <v>5.4068976658928065</v>
      </c>
      <c r="E68" s="2">
        <f t="shared" si="5"/>
        <v>5.8996785045229627</v>
      </c>
      <c r="F68" s="2">
        <f t="shared" si="5"/>
        <v>2.7104332723001714</v>
      </c>
      <c r="G68" s="2">
        <f t="shared" si="5"/>
        <v>1.9564376056522439</v>
      </c>
      <c r="H68" s="2">
        <f t="shared" si="5"/>
        <v>4.3325025541886824</v>
      </c>
      <c r="I68" s="2">
        <f t="shared" si="5"/>
        <v>1.8603883905909986</v>
      </c>
      <c r="J68" s="2">
        <f t="shared" si="5"/>
        <v>1.7498076831965901</v>
      </c>
      <c r="K68" s="2">
        <f t="shared" si="5"/>
        <v>2.0567825306904393</v>
      </c>
      <c r="L68" s="2">
        <f t="shared" si="5"/>
        <v>1.7265209477715437</v>
      </c>
      <c r="M68" s="2">
        <f t="shared" si="5"/>
        <v>3.0083489520522613</v>
      </c>
      <c r="N68" s="2">
        <f t="shared" si="5"/>
        <v>2.6825886682008004</v>
      </c>
      <c r="O68" s="2">
        <f t="shared" si="5"/>
        <v>2.8311360882671459</v>
      </c>
      <c r="P68" s="2">
        <f t="shared" si="5"/>
        <v>1.901842814062628</v>
      </c>
      <c r="Q68" s="2">
        <f t="shared" si="5"/>
        <v>1.9306690964630846</v>
      </c>
      <c r="R68" s="2">
        <f t="shared" si="5"/>
        <v>1.491176379640212</v>
      </c>
      <c r="S68" s="2">
        <f t="shared" si="5"/>
        <v>1.4949188990688247</v>
      </c>
      <c r="T68" s="2">
        <f t="shared" si="5"/>
        <v>0.46903442094135578</v>
      </c>
      <c r="U68" s="2">
        <f t="shared" si="5"/>
        <v>0.48362513500647991</v>
      </c>
      <c r="V68" s="2">
        <f t="shared" si="5"/>
        <v>0.33934645002141972</v>
      </c>
      <c r="W68" s="2">
        <f t="shared" si="5"/>
        <v>0.23908424960637345</v>
      </c>
      <c r="X68" s="2">
        <f t="shared" si="5"/>
        <v>0.36581000264639163</v>
      </c>
      <c r="Y68" s="2">
        <f t="shared" si="5"/>
        <v>0.195840744517155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1385.3721187941057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934.50591412710162</v>
      </c>
      <c r="N74" s="2">
        <f>N8/'Output-Calculation-sheet'!N7*'Output-Calculation-sheet'!N61</f>
        <v>38.845718454380247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8.2925836658658003</v>
      </c>
      <c r="Y74" s="2">
        <f>Y8/'Output-Calculation-sheet'!Y7*'Output-Calculation-sheet'!Y61</f>
        <v>0</v>
      </c>
      <c r="AA74" s="2">
        <f t="shared" si="6"/>
        <v>2.3670163350414537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48.200866536402749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2202.2292979781191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1492.2418861672991</v>
      </c>
      <c r="N75" s="2">
        <f>N9/'Output-Calculation-sheet'!N8*'Output-Calculation-sheet'!N62</f>
        <v>574.45442869342446</v>
      </c>
      <c r="O75" s="2">
        <f>O9/'Output-Calculation-sheet'!O8*'Output-Calculation-sheet'!O62</f>
        <v>0</v>
      </c>
      <c r="P75" s="2">
        <f>P9/'Output-Calculation-sheet'!P8*'Output-Calculation-sheet'!P62</f>
        <v>37.368783152396325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193.07437831988074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52.39956360157214</v>
      </c>
      <c r="Y75" s="2">
        <f>Y9/'Output-Calculation-sheet'!Y8*'Output-Calculation-sheet'!Y62</f>
        <v>0</v>
      </c>
      <c r="AA75" s="2">
        <f t="shared" si="6"/>
        <v>4.5999692044490947</v>
      </c>
    </row>
    <row r="76" spans="1:27" x14ac:dyDescent="0.25">
      <c r="A76" s="2">
        <v>2033</v>
      </c>
      <c r="B76" s="2">
        <f>B10/'Output-Calculation-sheet'!B9*'Output-Calculation-sheet'!B63</f>
        <v>4227.8714853124147</v>
      </c>
      <c r="C76" s="2">
        <f>C10/'Output-Calculation-sheet'!C9*'Output-Calculation-sheet'!C63</f>
        <v>1242.0587219322974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2770.3677152290193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1884.3472181417335</v>
      </c>
      <c r="N76" s="2">
        <f>N10/'Output-Calculation-sheet'!N9*'Output-Calculation-sheet'!N63</f>
        <v>1076.4416263614803</v>
      </c>
      <c r="O76" s="2">
        <f>O10/'Output-Calculation-sheet'!O9*'Output-Calculation-sheet'!O63</f>
        <v>0</v>
      </c>
      <c r="P76" s="2">
        <f>P10/'Output-Calculation-sheet'!P9*'Output-Calculation-sheet'!P63</f>
        <v>371.09309658726556</v>
      </c>
      <c r="Q76" s="2">
        <f>Q10/'Output-Calculation-sheet'!Q9*'Output-Calculation-sheet'!Q63</f>
        <v>167.07142883039128</v>
      </c>
      <c r="R76" s="2">
        <f>R10/'Output-Calculation-sheet'!R9*'Output-Calculation-sheet'!R63</f>
        <v>282.81795793929729</v>
      </c>
      <c r="S76" s="2">
        <f>S10/'Output-Calculation-sheet'!S9*'Output-Calculation-sheet'!S63</f>
        <v>478.60570805124649</v>
      </c>
      <c r="T76" s="2">
        <f>T10/'Output-Calculation-sheet'!T9*'Output-Calculation-sheet'!T63</f>
        <v>18.589527838250127</v>
      </c>
      <c r="U76" s="2">
        <f>U10/'Output-Calculation-sheet'!U9*'Output-Calculation-sheet'!U63</f>
        <v>100.39852507921421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108.04342007971169</v>
      </c>
      <c r="Y76" s="2">
        <f>Y10/'Output-Calculation-sheet'!Y9*'Output-Calculation-sheet'!Y63</f>
        <v>4.7667567463376335</v>
      </c>
      <c r="AA76" s="2">
        <f t="shared" si="6"/>
        <v>12.810508273267081</v>
      </c>
    </row>
    <row r="77" spans="1:27" x14ac:dyDescent="0.25">
      <c r="A77" s="2">
        <v>2034</v>
      </c>
      <c r="B77" s="2">
        <f>B11/'Output-Calculation-sheet'!B10*'Output-Calculation-sheet'!B64</f>
        <v>7539.2508168797194</v>
      </c>
      <c r="C77" s="2">
        <f>C11/'Output-Calculation-sheet'!C10*'Output-Calculation-sheet'!C64</f>
        <v>2056.374861937848</v>
      </c>
      <c r="D77" s="2">
        <f>D11/'Output-Calculation-sheet'!D10*'Output-Calculation-sheet'!D64</f>
        <v>911.01701902118634</v>
      </c>
      <c r="E77" s="2">
        <f>E11/'Output-Calculation-sheet'!E10*'Output-Calculation-sheet'!E64</f>
        <v>1323.695695510658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2738.5558493115382</v>
      </c>
      <c r="I77" s="2">
        <f>I11/'Output-Calculation-sheet'!I10*'Output-Calculation-sheet'!I64</f>
        <v>330.46639070419678</v>
      </c>
      <c r="J77" s="2">
        <f>J11/'Output-Calculation-sheet'!J10*'Output-Calculation-sheet'!J64</f>
        <v>181.79393074725942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131.26736399382128</v>
      </c>
      <c r="M77" s="2">
        <f>M11/'Output-Calculation-sheet'!M10*'Output-Calculation-sheet'!M64</f>
        <v>1911.7678887167006</v>
      </c>
      <c r="N77" s="2">
        <f>N11/'Output-Calculation-sheet'!N10*'Output-Calculation-sheet'!N64</f>
        <v>1323.7142850944988</v>
      </c>
      <c r="O77" s="2">
        <f>O11/'Output-Calculation-sheet'!O10*'Output-Calculation-sheet'!O64</f>
        <v>0</v>
      </c>
      <c r="P77" s="2">
        <f>P11/'Output-Calculation-sheet'!P10*'Output-Calculation-sheet'!P64</f>
        <v>625.29520296832447</v>
      </c>
      <c r="Q77" s="2">
        <f>Q11/'Output-Calculation-sheet'!Q10*'Output-Calculation-sheet'!Q64</f>
        <v>256.28673991027398</v>
      </c>
      <c r="R77" s="2">
        <f>R11/'Output-Calculation-sheet'!R10*'Output-Calculation-sheet'!R64</f>
        <v>531.57520365508617</v>
      </c>
      <c r="S77" s="2">
        <f>S11/'Output-Calculation-sheet'!S10*'Output-Calculation-sheet'!S64</f>
        <v>574.60541443665682</v>
      </c>
      <c r="T77" s="2">
        <f>T11/'Output-Calculation-sheet'!T10*'Output-Calculation-sheet'!T64</f>
        <v>147.06730477801477</v>
      </c>
      <c r="U77" s="2">
        <f>U11/'Output-Calculation-sheet'!U10*'Output-Calculation-sheet'!U64</f>
        <v>160.06138431873384</v>
      </c>
      <c r="V77" s="2">
        <f>V11/'Output-Calculation-sheet'!V10*'Output-Calculation-sheet'!V64</f>
        <v>76.730068012434344</v>
      </c>
      <c r="W77" s="2">
        <f>W11/'Output-Calculation-sheet'!W10*'Output-Calculation-sheet'!W64</f>
        <v>16.677367596200213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48.793858256975831</v>
      </c>
      <c r="AA77" s="2">
        <f t="shared" si="6"/>
        <v>22.124105761468563</v>
      </c>
    </row>
    <row r="78" spans="1:27" x14ac:dyDescent="0.25">
      <c r="A78" s="2">
        <v>2035</v>
      </c>
      <c r="B78" s="2">
        <f>B12/'Output-Calculation-sheet'!B11*'Output-Calculation-sheet'!B65</f>
        <v>6684.169115134604</v>
      </c>
      <c r="C78" s="2">
        <f>C12/'Output-Calculation-sheet'!C11*'Output-Calculation-sheet'!C65</f>
        <v>2825.2732538765949</v>
      </c>
      <c r="D78" s="2">
        <f>D12/'Output-Calculation-sheet'!D11*'Output-Calculation-sheet'!D65</f>
        <v>720.68468034024738</v>
      </c>
      <c r="E78" s="2">
        <f>E12/'Output-Calculation-sheet'!E11*'Output-Calculation-sheet'!E65</f>
        <v>1383.3999686916959</v>
      </c>
      <c r="F78" s="2">
        <f>F12/'Output-Calculation-sheet'!F11*'Output-Calculation-sheet'!F65</f>
        <v>301.43539664091651</v>
      </c>
      <c r="G78" s="2">
        <f>G12/'Output-Calculation-sheet'!G11*'Output-Calculation-sheet'!G65</f>
        <v>554.38679107448922</v>
      </c>
      <c r="H78" s="2">
        <f>H12/'Output-Calculation-sheet'!H11*'Output-Calculation-sheet'!H65</f>
        <v>2130.9121789524356</v>
      </c>
      <c r="I78" s="2">
        <f>I12/'Output-Calculation-sheet'!I11*'Output-Calculation-sheet'!I65</f>
        <v>353.09348954052922</v>
      </c>
      <c r="J78" s="2">
        <f>J12/'Output-Calculation-sheet'!J11*'Output-Calculation-sheet'!J65</f>
        <v>151.24224914256658</v>
      </c>
      <c r="K78" s="2">
        <f>K12/'Output-Calculation-sheet'!K11*'Output-Calculation-sheet'!K65</f>
        <v>450.44552348607067</v>
      </c>
      <c r="L78" s="2">
        <f>L12/'Output-Calculation-sheet'!L11*'Output-Calculation-sheet'!L65</f>
        <v>130.4041839419728</v>
      </c>
      <c r="M78" s="2">
        <f>M12/'Output-Calculation-sheet'!M11*'Output-Calculation-sheet'!M65</f>
        <v>1499.0217442631997</v>
      </c>
      <c r="N78" s="2">
        <f>N12/'Output-Calculation-sheet'!N11*'Output-Calculation-sheet'!N65</f>
        <v>1052.4285554174226</v>
      </c>
      <c r="O78" s="2">
        <f>O12/'Output-Calculation-sheet'!O11*'Output-Calculation-sheet'!O65</f>
        <v>0</v>
      </c>
      <c r="P78" s="2">
        <f>P12/'Output-Calculation-sheet'!P11*'Output-Calculation-sheet'!P65</f>
        <v>594.80888322318367</v>
      </c>
      <c r="Q78" s="2">
        <f>Q12/'Output-Calculation-sheet'!Q11*'Output-Calculation-sheet'!Q65</f>
        <v>235.54432769058337</v>
      </c>
      <c r="R78" s="2">
        <f>R12/'Output-Calculation-sheet'!R11*'Output-Calculation-sheet'!R65</f>
        <v>467.99352339006504</v>
      </c>
      <c r="S78" s="2">
        <f>S12/'Output-Calculation-sheet'!S11*'Output-Calculation-sheet'!S65</f>
        <v>487.44626194390418</v>
      </c>
      <c r="T78" s="2">
        <f>T12/'Output-Calculation-sheet'!T11*'Output-Calculation-sheet'!T65</f>
        <v>167.0462766776335</v>
      </c>
      <c r="U78" s="2">
        <f>U12/'Output-Calculation-sheet'!U11*'Output-Calculation-sheet'!U65</f>
        <v>124.24262653190226</v>
      </c>
      <c r="V78" s="2">
        <f>V12/'Output-Calculation-sheet'!V11*'Output-Calculation-sheet'!V65</f>
        <v>63.95012420846124</v>
      </c>
      <c r="W78" s="2">
        <f>W12/'Output-Calculation-sheet'!W11*'Output-Calculation-sheet'!W65</f>
        <v>63.792463639501356</v>
      </c>
      <c r="X78" s="2">
        <f>X12/'Output-Calculation-sheet'!X11*'Output-Calculation-sheet'!X65</f>
        <v>33.299551235206884</v>
      </c>
      <c r="Y78" s="2">
        <f>Y12/'Output-Calculation-sheet'!Y11*'Output-Calculation-sheet'!Y65</f>
        <v>57.761256535234054</v>
      </c>
      <c r="AA78" s="2">
        <f t="shared" si="6"/>
        <v>20.532782425578418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355.83474048331379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206.55353694803628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0.56238827743135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1121.1494169511293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280.15785665539676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1.401307273606526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1752.7584108490928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318.42086638701255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2.0711792772361055</v>
      </c>
    </row>
    <row r="88" spans="1:27" x14ac:dyDescent="0.25">
      <c r="A88" s="2">
        <v>2034</v>
      </c>
      <c r="B88" s="2">
        <f>B11/'Output-Calculation-sheet'!B10*'Output-Calculation-sheet'!B73</f>
        <v>76.411701334229761</v>
      </c>
      <c r="C88" s="2">
        <f>C11/'Output-Calculation-sheet'!C10*'Output-Calculation-sheet'!C73</f>
        <v>1658.3801184110332</v>
      </c>
      <c r="D88" s="2">
        <f>D11/'Output-Calculation-sheet'!D10*'Output-Calculation-sheet'!D73</f>
        <v>5.8411070263241553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27.402629316267216</v>
      </c>
      <c r="I88" s="2">
        <f>I11/'Output-Calculation-sheet'!I10*'Output-Calculation-sheet'!I73</f>
        <v>0</v>
      </c>
      <c r="J88" s="2">
        <f>J11/'Output-Calculation-sheet'!J10*'Output-Calculation-sheet'!J73</f>
        <v>1.8651557246419039</v>
      </c>
      <c r="K88" s="2">
        <f>K11/'Output-Calculation-sheet'!K10*'Output-Calculation-sheet'!K73</f>
        <v>0</v>
      </c>
      <c r="L88" s="2">
        <f>L11/'Output-Calculation-sheet'!L10*'Output-Calculation-sheet'!L73</f>
        <v>4.418561584990254</v>
      </c>
      <c r="M88" s="2">
        <f>M11/'Output-Calculation-sheet'!M10*'Output-Calculation-sheet'!M73</f>
        <v>13.268808882508242</v>
      </c>
      <c r="N88" s="2">
        <f>N11/'Output-Calculation-sheet'!N10*'Output-Calculation-sheet'!N73</f>
        <v>6.8637301385616381</v>
      </c>
      <c r="O88" s="2">
        <f>O11/'Output-Calculation-sheet'!O10*'Output-Calculation-sheet'!O73</f>
        <v>313.21002763585699</v>
      </c>
      <c r="P88" s="2">
        <f>P11/'Output-Calculation-sheet'!P10*'Output-Calculation-sheet'!P73</f>
        <v>0</v>
      </c>
      <c r="Q88" s="2">
        <f>Q11/'Output-Calculation-sheet'!Q10*'Output-Calculation-sheet'!Q73</f>
        <v>21.047874682017838</v>
      </c>
      <c r="R88" s="2">
        <f>R11/'Output-Calculation-sheet'!R10*'Output-Calculation-sheet'!R73</f>
        <v>0</v>
      </c>
      <c r="S88" s="2">
        <f>S11/'Output-Calculation-sheet'!S10*'Output-Calculation-sheet'!S73</f>
        <v>9.8363176576270774</v>
      </c>
      <c r="T88" s="2">
        <f>T11/'Output-Calculation-sheet'!T10*'Output-Calculation-sheet'!T73</f>
        <v>0</v>
      </c>
      <c r="U88" s="2">
        <f>U11/'Output-Calculation-sheet'!U10*'Output-Calculation-sheet'!U73</f>
        <v>1.9187250205133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2.1404647574145717</v>
      </c>
    </row>
    <row r="89" spans="1:27" x14ac:dyDescent="0.25">
      <c r="A89" s="2">
        <v>2035</v>
      </c>
      <c r="B89" s="2">
        <f>B12/'Output-Calculation-sheet'!B11*'Output-Calculation-sheet'!B74</f>
        <v>327.85027557366919</v>
      </c>
      <c r="C89" s="2">
        <f>C12/'Output-Calculation-sheet'!C11*'Output-Calculation-sheet'!C74</f>
        <v>1342.7234035886395</v>
      </c>
      <c r="D89" s="2">
        <f>D12/'Output-Calculation-sheet'!D11*'Output-Calculation-sheet'!D74</f>
        <v>62.250074960828123</v>
      </c>
      <c r="E89" s="2">
        <f>E12/'Output-Calculation-sheet'!E11*'Output-Calculation-sheet'!E74</f>
        <v>83.042727836271354</v>
      </c>
      <c r="F89" s="2">
        <f>F12/'Output-Calculation-sheet'!F11*'Output-Calculation-sheet'!F74</f>
        <v>26.669700102049298</v>
      </c>
      <c r="G89" s="2">
        <f>G12/'Output-Calculation-sheet'!G11*'Output-Calculation-sheet'!G74</f>
        <v>25.520581917863531</v>
      </c>
      <c r="H89" s="2">
        <f>H12/'Output-Calculation-sheet'!H11*'Output-Calculation-sheet'!H74</f>
        <v>99.663207756481739</v>
      </c>
      <c r="I89" s="2">
        <f>I12/'Output-Calculation-sheet'!I11*'Output-Calculation-sheet'!I74</f>
        <v>21.519549745380569</v>
      </c>
      <c r="J89" s="2">
        <f>J12/'Output-Calculation-sheet'!J11*'Output-Calculation-sheet'!J74</f>
        <v>17.037780653953849</v>
      </c>
      <c r="K89" s="2">
        <f>K12/'Output-Calculation-sheet'!K11*'Output-Calculation-sheet'!K74</f>
        <v>22.560311449387733</v>
      </c>
      <c r="L89" s="2">
        <f>L12/'Output-Calculation-sheet'!L11*'Output-Calculation-sheet'!L74</f>
        <v>23.544833936879005</v>
      </c>
      <c r="M89" s="2">
        <f>M12/'Output-Calculation-sheet'!M11*'Output-Calculation-sheet'!M74</f>
        <v>62.730250862414984</v>
      </c>
      <c r="N89" s="2">
        <f>N12/'Output-Calculation-sheet'!N11*'Output-Calculation-sheet'!N74</f>
        <v>38.141673072889681</v>
      </c>
      <c r="O89" s="2">
        <f>O12/'Output-Calculation-sheet'!O11*'Output-Calculation-sheet'!O74</f>
        <v>272.06813329087277</v>
      </c>
      <c r="P89" s="2">
        <f>P12/'Output-Calculation-sheet'!P11*'Output-Calculation-sheet'!P74</f>
        <v>22.203636843965842</v>
      </c>
      <c r="Q89" s="2">
        <f>Q12/'Output-Calculation-sheet'!Q11*'Output-Calculation-sheet'!Q74</f>
        <v>37.537965993881556</v>
      </c>
      <c r="R89" s="2">
        <f>R12/'Output-Calculation-sheet'!R11*'Output-Calculation-sheet'!R74</f>
        <v>15.435157564818192</v>
      </c>
      <c r="S89" s="2">
        <f>S12/'Output-Calculation-sheet'!S11*'Output-Calculation-sheet'!S74</f>
        <v>23.960683529584159</v>
      </c>
      <c r="T89" s="2">
        <f>T12/'Output-Calculation-sheet'!T11*'Output-Calculation-sheet'!T74</f>
        <v>3.8629358057440051</v>
      </c>
      <c r="U89" s="2">
        <f>U12/'Output-Calculation-sheet'!U11*'Output-Calculation-sheet'!U74</f>
        <v>7.4490277842296075</v>
      </c>
      <c r="V89" s="2">
        <f>V12/'Output-Calculation-sheet'!V11*'Output-Calculation-sheet'!V74</f>
        <v>2.815613314169056</v>
      </c>
      <c r="W89" s="2">
        <f>W12/'Output-Calculation-sheet'!W11*'Output-Calculation-sheet'!W74</f>
        <v>2.1455531384776481</v>
      </c>
      <c r="X89" s="2">
        <f>X12/'Output-Calculation-sheet'!X11*'Output-Calculation-sheet'!X74</f>
        <v>1.5162933363375521</v>
      </c>
      <c r="Y89" s="2">
        <f>Y12/'Output-Calculation-sheet'!Y11*'Output-Calculation-sheet'!Y74</f>
        <v>2.8139462952900582</v>
      </c>
      <c r="AA89" s="2">
        <f t="shared" si="7"/>
        <v>2.5450633183540798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11312569982.77256</v>
      </c>
      <c r="C96" s="2">
        <f>C8/'Output-Calculation-sheet'!C7*'Output-Calculation-sheet'!C79</f>
        <v>3827101238.7056441</v>
      </c>
      <c r="D96" s="2">
        <f>D8/'Output-Calculation-sheet'!D7*'Output-Calculation-sheet'!D79</f>
        <v>3995221334.0359178</v>
      </c>
      <c r="E96" s="2">
        <f>E8/'Output-Calculation-sheet'!E7*'Output-Calculation-sheet'!E79</f>
        <v>7103174374.7122917</v>
      </c>
      <c r="F96" s="2">
        <f>F8/'Output-Calculation-sheet'!F7*'Output-Calculation-sheet'!F79</f>
        <v>2939933212.1245461</v>
      </c>
      <c r="G96" s="2">
        <f>G8/'Output-Calculation-sheet'!G7*'Output-Calculation-sheet'!G79</f>
        <v>2289971226.3179507</v>
      </c>
      <c r="H96" s="2">
        <f>H8/'Output-Calculation-sheet'!H7*'Output-Calculation-sheet'!H79</f>
        <v>1960088841.8161862</v>
      </c>
      <c r="I96" s="2">
        <f>I8/'Output-Calculation-sheet'!I7*'Output-Calculation-sheet'!I79</f>
        <v>1595204459.5607016</v>
      </c>
      <c r="J96" s="2">
        <f>J8/'Output-Calculation-sheet'!J7*'Output-Calculation-sheet'!J79</f>
        <v>1078715423.6814339</v>
      </c>
      <c r="K96" s="2">
        <f>K8/'Output-Calculation-sheet'!K7*'Output-Calculation-sheet'!K79</f>
        <v>1543322268.7125251</v>
      </c>
      <c r="L96" s="2">
        <f>L8/'Output-Calculation-sheet'!L7*'Output-Calculation-sheet'!L79</f>
        <v>1088969471.8862762</v>
      </c>
      <c r="M96" s="2">
        <f>M8/'Output-Calculation-sheet'!M7*'Output-Calculation-sheet'!M79</f>
        <v>1463166696.4036922</v>
      </c>
      <c r="N96" s="2">
        <f>N8/'Output-Calculation-sheet'!N7*'Output-Calculation-sheet'!N79</f>
        <v>1088710968.7770264</v>
      </c>
      <c r="O96" s="2">
        <f>O8/'Output-Calculation-sheet'!O7*'Output-Calculation-sheet'!O79</f>
        <v>550379722.76937616</v>
      </c>
      <c r="P96" s="2">
        <f>P8/'Output-Calculation-sheet'!P7*'Output-Calculation-sheet'!P79</f>
        <v>1840916683.4146285</v>
      </c>
      <c r="Q96" s="2">
        <f>Q8/'Output-Calculation-sheet'!Q7*'Output-Calculation-sheet'!Q79</f>
        <v>857944474.23828483</v>
      </c>
      <c r="R96" s="2">
        <f>R8/'Output-Calculation-sheet'!R7*'Output-Calculation-sheet'!R79</f>
        <v>1070389541.1436729</v>
      </c>
      <c r="S96" s="2">
        <f>S8/'Output-Calculation-sheet'!S7*'Output-Calculation-sheet'!S79</f>
        <v>623697369.37066543</v>
      </c>
      <c r="T96" s="2">
        <f>T8/'Output-Calculation-sheet'!T7*'Output-Calculation-sheet'!T79</f>
        <v>476358988.41041762</v>
      </c>
      <c r="U96" s="2">
        <f>U8/'Output-Calculation-sheet'!U7*'Output-Calculation-sheet'!U79</f>
        <v>299237053.42642182</v>
      </c>
      <c r="V96" s="2">
        <f>V8/'Output-Calculation-sheet'!V7*'Output-Calculation-sheet'!V79</f>
        <v>155259090.16566676</v>
      </c>
      <c r="W96" s="2">
        <f>W8/'Output-Calculation-sheet'!W7*'Output-Calculation-sheet'!W79</f>
        <v>458781799.13032943</v>
      </c>
      <c r="X96" s="2">
        <f>X8/'Output-Calculation-sheet'!X7*'Output-Calculation-sheet'!X79</f>
        <v>161247925.58239064</v>
      </c>
      <c r="Y96" s="2">
        <f>Y8/'Output-Calculation-sheet'!Y7*'Output-Calculation-sheet'!Y79</f>
        <v>252189556.55184594</v>
      </c>
      <c r="AA96" s="2">
        <f t="shared" si="8"/>
        <v>48.032551703710446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990.33524158609032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30.683017816566956</v>
      </c>
      <c r="Y107" s="2">
        <f>Y8/'Output-Calculation-sheet'!Y7*'Output-Calculation-sheet'!Y88</f>
        <v>0</v>
      </c>
      <c r="AA107" s="2">
        <f t="shared" si="9"/>
        <v>1.0210182594026573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658.99622217738136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38.282477444964499</v>
      </c>
      <c r="Y108" s="2">
        <f>Y9/'Output-Calculation-sheet'!Y8*'Output-Calculation-sheet'!Y89</f>
        <v>0</v>
      </c>
      <c r="AA108" s="2">
        <f t="shared" si="9"/>
        <v>0.69727869962234579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3.5079417071269117E-2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4.7192600720210837E-2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53.886732414457626</v>
      </c>
      <c r="Y111" s="2">
        <f>Y12/'Output-Calculation-sheet'!Y11*'Output-Calculation-sheet'!Y92</f>
        <v>0</v>
      </c>
      <c r="AA111" s="2">
        <f t="shared" si="9"/>
        <v>5.3886732414457628E-2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11072976920.664007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6801328587.6835785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4692339718.2494307</v>
      </c>
      <c r="N118" s="2">
        <f>N8/'Output-Calculation-sheet'!N7*'Output-Calculation-sheet'!N97</f>
        <v>1572385860.1792417</v>
      </c>
      <c r="O118" s="2">
        <f>O8/'Output-Calculation-sheet'!O7*'Output-Calculation-sheet'!O97</f>
        <v>2691857331.891046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470732743.14001375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255499780.6228705</v>
      </c>
      <c r="Y118" s="2">
        <f>Y8/'Output-Calculation-sheet'!Y7*'Output-Calculation-sheet'!Y97</f>
        <v>0</v>
      </c>
      <c r="AA118" s="2">
        <f t="shared" si="10"/>
        <v>28880.747209098157</v>
      </c>
    </row>
    <row r="119" spans="1:27" x14ac:dyDescent="0.25">
      <c r="A119" s="2">
        <v>2032</v>
      </c>
      <c r="B119" s="2">
        <f>B9/'Output-Calculation-sheet'!B8*'Output-Calculation-sheet'!B98</f>
        <v>5425770663.3834238</v>
      </c>
      <c r="C119" s="2">
        <f>C9/'Output-Calculation-sheet'!C8*'Output-Calculation-sheet'!C98</f>
        <v>13992757770.837196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8485900360.0386553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5854529720.7828817</v>
      </c>
      <c r="N119" s="2">
        <f>N9/'Output-Calculation-sheet'!N8*'Output-Calculation-sheet'!N98</f>
        <v>2745227521.1507978</v>
      </c>
      <c r="O119" s="2">
        <f>O9/'Output-Calculation-sheet'!O8*'Output-Calculation-sheet'!O98</f>
        <v>2955276325.7651339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825714407.28933084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322028322.30179369</v>
      </c>
      <c r="Y119" s="2">
        <f>Y9/'Output-Calculation-sheet'!Y8*'Output-Calculation-sheet'!Y98</f>
        <v>0</v>
      </c>
      <c r="AA119" s="2">
        <f t="shared" si="10"/>
        <v>40607.205091549215</v>
      </c>
    </row>
    <row r="120" spans="1:27" x14ac:dyDescent="0.25">
      <c r="A120" s="2">
        <v>2033</v>
      </c>
      <c r="B120" s="2">
        <f>B10/'Output-Calculation-sheet'!B9*'Output-Calculation-sheet'!B99</f>
        <v>12790189454.101439</v>
      </c>
      <c r="C120" s="2">
        <f>C10/'Output-Calculation-sheet'!C9*'Output-Calculation-sheet'!C99</f>
        <v>17721105105.919643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3776785171.938798</v>
      </c>
      <c r="O120" s="2">
        <f>O10/'Output-Calculation-sheet'!O9*'Output-Calculation-sheet'!O99</f>
        <v>2935073283.2737775</v>
      </c>
      <c r="P120" s="2">
        <f>P10/'Output-Calculation-sheet'!P9*'Output-Calculation-sheet'!P99</f>
        <v>0</v>
      </c>
      <c r="Q120" s="2">
        <f>Q10/'Output-Calculation-sheet'!Q9*'Output-Calculation-sheet'!Q99</f>
        <v>122875870.24027056</v>
      </c>
      <c r="R120" s="2">
        <f>R10/'Output-Calculation-sheet'!R9*'Output-Calculation-sheet'!R99</f>
        <v>0</v>
      </c>
      <c r="S120" s="2">
        <f>S10/'Output-Calculation-sheet'!S9*'Output-Calculation-sheet'!S99</f>
        <v>1521292138.9358962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414064865.18833649</v>
      </c>
      <c r="Y120" s="2">
        <f>Y10/'Output-Calculation-sheet'!Y9*'Output-Calculation-sheet'!Y99</f>
        <v>0</v>
      </c>
      <c r="AA120" s="2">
        <f t="shared" si="10"/>
        <v>55050.554096004867</v>
      </c>
    </row>
    <row r="121" spans="1:27" x14ac:dyDescent="0.25">
      <c r="A121" s="2">
        <v>2034</v>
      </c>
      <c r="B121" s="2">
        <f>B11/'Output-Calculation-sheet'!B10*'Output-Calculation-sheet'!B100</f>
        <v>21248135222.887817</v>
      </c>
      <c r="C121" s="2">
        <f>C11/'Output-Calculation-sheet'!C10*'Output-Calculation-sheet'!C100</f>
        <v>17296136439.067654</v>
      </c>
      <c r="D121" s="2">
        <f>D11/'Output-Calculation-sheet'!D10*'Output-Calculation-sheet'!D100</f>
        <v>0</v>
      </c>
      <c r="E121" s="2">
        <f>E11/'Output-Calculation-sheet'!E10*'Output-Calculation-sheet'!E100</f>
        <v>510138014.47704285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8883483833.1428013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363860887.68386674</v>
      </c>
      <c r="M121" s="2">
        <f>M11/'Output-Calculation-sheet'!M10*'Output-Calculation-sheet'!M100</f>
        <v>6188669534.6141949</v>
      </c>
      <c r="N121" s="2">
        <f>N11/'Output-Calculation-sheet'!N10*'Output-Calculation-sheet'!N100</f>
        <v>4149472173.5055213</v>
      </c>
      <c r="O121" s="2">
        <f>O11/'Output-Calculation-sheet'!O10*'Output-Calculation-sheet'!O100</f>
        <v>2649391742.3560934</v>
      </c>
      <c r="P121" s="2">
        <f>P11/'Output-Calculation-sheet'!P10*'Output-Calculation-sheet'!P100</f>
        <v>0</v>
      </c>
      <c r="Q121" s="2">
        <f>Q11/'Output-Calculation-sheet'!Q10*'Output-Calculation-sheet'!Q100</f>
        <v>331932621.10709167</v>
      </c>
      <c r="R121" s="2">
        <f>R11/'Output-Calculation-sheet'!R10*'Output-Calculation-sheet'!R100</f>
        <v>0</v>
      </c>
      <c r="S121" s="2">
        <f>S11/'Output-Calculation-sheet'!S10*'Output-Calculation-sheet'!S100</f>
        <v>1741650667.5813675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27289873.47441737</v>
      </c>
      <c r="AA121" s="2">
        <f t="shared" si="10"/>
        <v>63692.709325603733</v>
      </c>
    </row>
    <row r="122" spans="1:27" x14ac:dyDescent="0.25">
      <c r="A122" s="2">
        <v>2035</v>
      </c>
      <c r="B122" s="2">
        <f>B12/'Output-Calculation-sheet'!B11*'Output-Calculation-sheet'!B101</f>
        <v>19402813857.370209</v>
      </c>
      <c r="C122" s="2">
        <f>C12/'Output-Calculation-sheet'!C11*'Output-Calculation-sheet'!C101</f>
        <v>15536085296.402258</v>
      </c>
      <c r="D122" s="2">
        <f>D12/'Output-Calculation-sheet'!D11*'Output-Calculation-sheet'!D101</f>
        <v>0</v>
      </c>
      <c r="E122" s="2">
        <f>E12/'Output-Calculation-sheet'!E11*'Output-Calculation-sheet'!E101</f>
        <v>1242130507.0831108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7151323428.9872704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335710931.43692613</v>
      </c>
      <c r="M122" s="2">
        <f>M12/'Output-Calculation-sheet'!M11*'Output-Calculation-sheet'!M101</f>
        <v>5006312598.9644566</v>
      </c>
      <c r="N122" s="2">
        <f>N12/'Output-Calculation-sheet'!N11*'Output-Calculation-sheet'!N101</f>
        <v>3352158788.8230724</v>
      </c>
      <c r="O122" s="2">
        <f>O12/'Output-Calculation-sheet'!O11*'Output-Calculation-sheet'!O101</f>
        <v>2147741924.918335</v>
      </c>
      <c r="P122" s="2">
        <f>P12/'Output-Calculation-sheet'!P11*'Output-Calculation-sheet'!P101</f>
        <v>170176444.04504961</v>
      </c>
      <c r="Q122" s="2">
        <f>Q12/'Output-Calculation-sheet'!Q11*'Output-Calculation-sheet'!Q101</f>
        <v>401143659.7866869</v>
      </c>
      <c r="R122" s="2">
        <f>R12/'Output-Calculation-sheet'!R11*'Output-Calculation-sheet'!R101</f>
        <v>0</v>
      </c>
      <c r="S122" s="2">
        <f>S12/'Output-Calculation-sheet'!S11*'Output-Calculation-sheet'!S101</f>
        <v>1574899188.3571842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142569014.39734253</v>
      </c>
      <c r="Y122" s="2">
        <f>Y12/'Output-Calculation-sheet'!Y11*'Output-Calculation-sheet'!Y101</f>
        <v>140029002.51937151</v>
      </c>
      <c r="AA122" s="2">
        <f t="shared" si="10"/>
        <v>56603.094643091281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3033923440.3153548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2167283203.8790751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142808.75625589708</v>
      </c>
    </row>
    <row r="130" spans="1:27" x14ac:dyDescent="0.25">
      <c r="A130" s="2">
        <v>2032</v>
      </c>
      <c r="B130" s="2">
        <f>B9/'Output-Calculation-sheet'!B8*'Output-Calculation-sheet'!B107</f>
        <v>52301372631.068085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3001477085.6005492</v>
      </c>
      <c r="O130" s="2">
        <f>O9/'Output-Calculation-sheet'!O8*'Output-Calculation-sheet'!O107</f>
        <v>0</v>
      </c>
      <c r="P130" s="2">
        <f>P9/'Output-Calculation-sheet'!P8*'Output-Calculation-sheet'!P107</f>
        <v>5231956369.232933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2465499480.8274999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173382.32485878764</v>
      </c>
    </row>
    <row r="131" spans="1:27" x14ac:dyDescent="0.25">
      <c r="A131" s="2">
        <v>2033</v>
      </c>
      <c r="B131" s="2">
        <f>B10/'Output-Calculation-sheet'!B9*'Output-Calculation-sheet'!B108</f>
        <v>50682558278.13134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2541901387.3610377</v>
      </c>
      <c r="O131" s="2">
        <f>O10/'Output-Calculation-sheet'!O9*'Output-Calculation-sheet'!O108</f>
        <v>0</v>
      </c>
      <c r="P131" s="2">
        <f>P10/'Output-Calculation-sheet'!P9*'Output-Calculation-sheet'!P108</f>
        <v>5752743509.4634924</v>
      </c>
      <c r="Q131" s="2">
        <f>Q10/'Output-Calculation-sheet'!Q9*'Output-Calculation-sheet'!Q108</f>
        <v>5537159617.8575687</v>
      </c>
      <c r="R131" s="2">
        <f>R10/'Output-Calculation-sheet'!R9*'Output-Calculation-sheet'!R108</f>
        <v>5445021103.8999043</v>
      </c>
      <c r="S131" s="2">
        <f>S10/'Output-Calculation-sheet'!S9*'Output-Calculation-sheet'!S108</f>
        <v>2097475216.4315219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182327.58917961619</v>
      </c>
    </row>
    <row r="132" spans="1:27" x14ac:dyDescent="0.25">
      <c r="A132" s="2">
        <v>2034</v>
      </c>
      <c r="B132" s="2">
        <f>B11/'Output-Calculation-sheet'!B10*'Output-Calculation-sheet'!B109</f>
        <v>39783530011.081024</v>
      </c>
      <c r="C132" s="2">
        <f>C11/'Output-Calculation-sheet'!C10*'Output-Calculation-sheet'!C109</f>
        <v>0</v>
      </c>
      <c r="D132" s="2">
        <f>D11/'Output-Calculation-sheet'!D10*'Output-Calculation-sheet'!D109</f>
        <v>25982832834.201004</v>
      </c>
      <c r="E132" s="2">
        <f>E11/'Output-Calculation-sheet'!E10*'Output-Calculation-sheet'!E109</f>
        <v>20243076290.155586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8258200789.5389872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6140587707.9813728</v>
      </c>
      <c r="M132" s="2">
        <f>M11/'Output-Calculation-sheet'!M10*'Output-Calculation-sheet'!M109</f>
        <v>0</v>
      </c>
      <c r="N132" s="2">
        <f>N11/'Output-Calculation-sheet'!N10*'Output-Calculation-sheet'!N109</f>
        <v>1945988982.3056769</v>
      </c>
      <c r="O132" s="2">
        <f>O11/'Output-Calculation-sheet'!O10*'Output-Calculation-sheet'!O109</f>
        <v>0</v>
      </c>
      <c r="P132" s="2">
        <f>P11/'Output-Calculation-sheet'!P10*'Output-Calculation-sheet'!P109</f>
        <v>5642935179.5491953</v>
      </c>
      <c r="Q132" s="2">
        <f>Q11/'Output-Calculation-sheet'!Q10*'Output-Calculation-sheet'!Q109</f>
        <v>4785080358.787653</v>
      </c>
      <c r="R132" s="2">
        <f>R11/'Output-Calculation-sheet'!R10*'Output-Calculation-sheet'!R109</f>
        <v>5341080448.3056288</v>
      </c>
      <c r="S132" s="2">
        <f>S11/'Output-Calculation-sheet'!S10*'Output-Calculation-sheet'!S109</f>
        <v>1663349251.0468864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1669657436.1979911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637937474.46887183</v>
      </c>
      <c r="AA132" s="2">
        <f t="shared" si="11"/>
        <v>166050.12656872443</v>
      </c>
    </row>
    <row r="133" spans="1:27" x14ac:dyDescent="0.25">
      <c r="A133" s="2">
        <v>2035</v>
      </c>
      <c r="B133" s="2">
        <f>B12/'Output-Calculation-sheet'!B11*'Output-Calculation-sheet'!B110</f>
        <v>29687799564.484116</v>
      </c>
      <c r="C133" s="2">
        <f>C12/'Output-Calculation-sheet'!C11*'Output-Calculation-sheet'!C110</f>
        <v>0</v>
      </c>
      <c r="D133" s="2">
        <f>D12/'Output-Calculation-sheet'!D11*'Output-Calculation-sheet'!D110</f>
        <v>20407150832.986145</v>
      </c>
      <c r="E133" s="2">
        <f>E12/'Output-Calculation-sheet'!E11*'Output-Calculation-sheet'!E110</f>
        <v>16066522148.933828</v>
      </c>
      <c r="F133" s="2">
        <f>F12/'Output-Calculation-sheet'!F11*'Output-Calculation-sheet'!F110</f>
        <v>11041002480.097441</v>
      </c>
      <c r="G133" s="2">
        <f>G12/'Output-Calculation-sheet'!G11*'Output-Calculation-sheet'!G110</f>
        <v>7611202524.9106741</v>
      </c>
      <c r="H133" s="2">
        <f>H12/'Output-Calculation-sheet'!H11*'Output-Calculation-sheet'!H110</f>
        <v>0</v>
      </c>
      <c r="I133" s="2">
        <f>I12/'Output-Calculation-sheet'!I11*'Output-Calculation-sheet'!I110</f>
        <v>6906840085.1715631</v>
      </c>
      <c r="J133" s="2">
        <f>J12/'Output-Calculation-sheet'!J11*'Output-Calculation-sheet'!J110</f>
        <v>6468169804.4024954</v>
      </c>
      <c r="K133" s="2">
        <f>K12/'Output-Calculation-sheet'!K11*'Output-Calculation-sheet'!K110</f>
        <v>6623411337.4524651</v>
      </c>
      <c r="L133" s="2">
        <f>L12/'Output-Calculation-sheet'!L11*'Output-Calculation-sheet'!L110</f>
        <v>4854006327.9746809</v>
      </c>
      <c r="M133" s="2">
        <f>M12/'Output-Calculation-sheet'!M11*'Output-Calculation-sheet'!M110</f>
        <v>0</v>
      </c>
      <c r="N133" s="2">
        <f>N12/'Output-Calculation-sheet'!N11*'Output-Calculation-sheet'!N110</f>
        <v>1515465331.5902698</v>
      </c>
      <c r="O133" s="2">
        <f>O12/'Output-Calculation-sheet'!O11*'Output-Calculation-sheet'!O110</f>
        <v>0</v>
      </c>
      <c r="P133" s="2">
        <f>P12/'Output-Calculation-sheet'!P11*'Output-Calculation-sheet'!P110</f>
        <v>4526722054.2898483</v>
      </c>
      <c r="Q133" s="2">
        <f>Q12/'Output-Calculation-sheet'!Q11*'Output-Calculation-sheet'!Q110</f>
        <v>3681714091.298368</v>
      </c>
      <c r="R133" s="2">
        <f>R12/'Output-Calculation-sheet'!R11*'Output-Calculation-sheet'!R110</f>
        <v>4339555961.4547224</v>
      </c>
      <c r="S133" s="2">
        <f>S12/'Output-Calculation-sheet'!S11*'Output-Calculation-sheet'!S110</f>
        <v>1170239184.5678022</v>
      </c>
      <c r="T133" s="2">
        <f>T12/'Output-Calculation-sheet'!T11*'Output-Calculation-sheet'!T110</f>
        <v>1633092725.7915673</v>
      </c>
      <c r="U133" s="2">
        <f>U12/'Output-Calculation-sheet'!U11*'Output-Calculation-sheet'!U110</f>
        <v>1324029488.3390481</v>
      </c>
      <c r="V133" s="2">
        <f>V12/'Output-Calculation-sheet'!V11*'Output-Calculation-sheet'!V110</f>
        <v>1044181347.3883185</v>
      </c>
      <c r="W133" s="2">
        <f>W12/'Output-Calculation-sheet'!W11*'Output-Calculation-sheet'!W110</f>
        <v>974419829.68930364</v>
      </c>
      <c r="X133" s="2">
        <f>X12/'Output-Calculation-sheet'!X11*'Output-Calculation-sheet'!X110</f>
        <v>0</v>
      </c>
      <c r="Y133" s="2">
        <f>Y12/'Output-Calculation-sheet'!Y11*'Output-Calculation-sheet'!Y110</f>
        <v>417304296.06670225</v>
      </c>
      <c r="AA133" s="2">
        <f t="shared" si="11"/>
        <v>130292.82941688938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8299729568.3034992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252778655.1954045</v>
      </c>
      <c r="Y140" s="2">
        <f>Y8/'Output-Calculation-sheet'!Y7*'Output-Calculation-sheet'!Y115</f>
        <v>0</v>
      </c>
      <c r="AA140" s="2">
        <f t="shared" si="12"/>
        <v>8552.508223498904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5583007435.8942795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312100333.52772862</v>
      </c>
      <c r="Y141" s="2">
        <f>Y9/'Output-Calculation-sheet'!Y8*'Output-Calculation-sheet'!Y116</f>
        <v>0</v>
      </c>
      <c r="AA141" s="2">
        <f t="shared" si="12"/>
        <v>5895.1077694220085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283185291.28744268</v>
      </c>
      <c r="Y142" s="2">
        <f>Y10/'Output-Calculation-sheet'!Y9*'Output-Calculation-sheet'!Y117</f>
        <v>0</v>
      </c>
      <c r="AA142" s="2">
        <f t="shared" si="12"/>
        <v>283.18529128744268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381.44277579396231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440130734.32433492</v>
      </c>
      <c r="Y144" s="2">
        <f>Y12/'Output-Calculation-sheet'!Y11*'Output-Calculation-sheet'!Y119</f>
        <v>0</v>
      </c>
      <c r="AA144" s="2">
        <f t="shared" si="12"/>
        <v>440.13073432433492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24911252788.762547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6077764531.5054379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189168.6184291738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26090366503.383434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5945629745.3098459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150450.16865644744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25609070838.266132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5358250744.0720892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103305.02756325291</v>
      </c>
    </row>
    <row r="154" spans="1:27" x14ac:dyDescent="0.25">
      <c r="A154" s="2">
        <v>2034</v>
      </c>
      <c r="B154" s="2">
        <f>B11/'Output-Calculation-sheet'!B10*'Output-Calculation-sheet'!B127</f>
        <v>10658341732.751463</v>
      </c>
      <c r="C154" s="2">
        <f>C11/'Output-Calculation-sheet'!C10*'Output-Calculation-sheet'!C127</f>
        <v>19669690510.809669</v>
      </c>
      <c r="D154" s="2">
        <f>D11/'Output-Calculation-sheet'!D10*'Output-Calculation-sheet'!D127</f>
        <v>3956123377.859087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1718797446.6725602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1268983876.862402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1094592587.2032957</v>
      </c>
      <c r="M154" s="2">
        <f>M11/'Output-Calculation-sheet'!M10*'Output-Calculation-sheet'!M127</f>
        <v>1104515205.4141288</v>
      </c>
      <c r="N154" s="2">
        <f>N11/'Output-Calculation-sheet'!N10*'Output-Calculation-sheet'!N127</f>
        <v>1026362395.2857037</v>
      </c>
      <c r="O154" s="2">
        <f>O11/'Output-Calculation-sheet'!O10*'Output-Calculation-sheet'!O127</f>
        <v>4439861669.1712494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1365439375.6143913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708104311.13867784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301617049.55962104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58318.264823875594</v>
      </c>
    </row>
    <row r="155" spans="1:27" x14ac:dyDescent="0.25">
      <c r="A155" s="2">
        <v>2035</v>
      </c>
      <c r="B155" s="2">
        <f>B12/'Output-Calculation-sheet'!B11*'Output-Calculation-sheet'!B128</f>
        <v>7278540513.1189842</v>
      </c>
      <c r="C155" s="2">
        <f>C12/'Output-Calculation-sheet'!C11*'Output-Calculation-sheet'!C128</f>
        <v>12857823941.756708</v>
      </c>
      <c r="D155" s="2">
        <f>D12/'Output-Calculation-sheet'!D11*'Output-Calculation-sheet'!D128</f>
        <v>2998621682.334497</v>
      </c>
      <c r="E155" s="2">
        <f>E12/'Output-Calculation-sheet'!E11*'Output-Calculation-sheet'!E128</f>
        <v>1634368343.7120309</v>
      </c>
      <c r="F155" s="2">
        <f>F12/'Output-Calculation-sheet'!F11*'Output-Calculation-sheet'!F128</f>
        <v>890266481.92277765</v>
      </c>
      <c r="G155" s="2">
        <f>G12/'Output-Calculation-sheet'!G11*'Output-Calculation-sheet'!G128</f>
        <v>839919036.75339568</v>
      </c>
      <c r="H155" s="2">
        <f>H12/'Output-Calculation-sheet'!H11*'Output-Calculation-sheet'!H128</f>
        <v>1226804642.1699147</v>
      </c>
      <c r="I155" s="2">
        <f>I12/'Output-Calculation-sheet'!I11*'Output-Calculation-sheet'!I128</f>
        <v>767433769.61138606</v>
      </c>
      <c r="J155" s="2">
        <f>J12/'Output-Calculation-sheet'!J11*'Output-Calculation-sheet'!J128</f>
        <v>954702810.14644969</v>
      </c>
      <c r="K155" s="2">
        <f>K12/'Output-Calculation-sheet'!K11*'Output-Calculation-sheet'!K128</f>
        <v>765342350.69662464</v>
      </c>
      <c r="L155" s="2">
        <f>L12/'Output-Calculation-sheet'!L11*'Output-Calculation-sheet'!L128</f>
        <v>783420713.77259624</v>
      </c>
      <c r="M155" s="2">
        <f>M12/'Output-Calculation-sheet'!M11*'Output-Calculation-sheet'!M128</f>
        <v>774538913.19496489</v>
      </c>
      <c r="N155" s="2">
        <f>N12/'Output-Calculation-sheet'!N11*'Output-Calculation-sheet'!N128</f>
        <v>710248634.01841235</v>
      </c>
      <c r="O155" s="2">
        <f>O12/'Output-Calculation-sheet'!O11*'Output-Calculation-sheet'!O128</f>
        <v>3338083890.0228858</v>
      </c>
      <c r="P155" s="2">
        <f>P12/'Output-Calculation-sheet'!P11*'Output-Calculation-sheet'!P128</f>
        <v>410758110.54597598</v>
      </c>
      <c r="Q155" s="2">
        <f>Q12/'Output-Calculation-sheet'!Q11*'Output-Calculation-sheet'!Q128</f>
        <v>976022822.6866219</v>
      </c>
      <c r="R155" s="2">
        <f>R12/'Output-Calculation-sheet'!R11*'Output-Calculation-sheet'!R128</f>
        <v>450809290.08801949</v>
      </c>
      <c r="S155" s="2">
        <f>S12/'Output-Calculation-sheet'!S11*'Output-Calculation-sheet'!S128</f>
        <v>473504139.21512741</v>
      </c>
      <c r="T155" s="2">
        <f>T12/'Output-Calculation-sheet'!T11*'Output-Calculation-sheet'!T128</f>
        <v>116809031.65915567</v>
      </c>
      <c r="U155" s="2">
        <f>U12/'Output-Calculation-sheet'!U11*'Output-Calculation-sheet'!U128</f>
        <v>227357911.49594122</v>
      </c>
      <c r="V155" s="2">
        <f>V12/'Output-Calculation-sheet'!V11*'Output-Calculation-sheet'!V128</f>
        <v>126304696.66404916</v>
      </c>
      <c r="W155" s="2">
        <f>W12/'Output-Calculation-sheet'!W11*'Output-Calculation-sheet'!W128</f>
        <v>45204259.221500665</v>
      </c>
      <c r="X155" s="2">
        <f>X12/'Output-Calculation-sheet'!X11*'Output-Calculation-sheet'!X128</f>
        <v>20357975.945770979</v>
      </c>
      <c r="Y155" s="2">
        <f>Y12/'Output-Calculation-sheet'!Y11*'Output-Calculation-sheet'!Y128</f>
        <v>50141545.82688842</v>
      </c>
      <c r="AA155" s="2">
        <f t="shared" si="13"/>
        <v>38717.385506580678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7337.6512022716497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4704.9840998957179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3265.7360375133826</v>
      </c>
      <c r="N19" s="2">
        <f>N8/'Output-Calculation-sheet'!N7*'Output-Calculation-sheet'!N25</f>
        <v>1116.3469380696386</v>
      </c>
      <c r="O19" s="2">
        <f>O8/'Output-Calculation-sheet'!O7*'Output-Calculation-sheet'!O25</f>
        <v>1744.8008079728963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172.40985438496844</v>
      </c>
      <c r="Y19" s="2">
        <f>Y8/'Output-Calculation-sheet'!Y7*'Output-Calculation-sheet'!Y25</f>
        <v>0</v>
      </c>
      <c r="AA19" s="2">
        <f t="shared" si="0"/>
        <v>19.78788261852787</v>
      </c>
    </row>
    <row r="20" spans="1:27" x14ac:dyDescent="0.25">
      <c r="A20" s="2">
        <v>2032</v>
      </c>
      <c r="B20" s="2">
        <f>B9/'Output-Calculation-sheet'!B8*'Output-Calculation-sheet'!B26</f>
        <v>5625.7319434371457</v>
      </c>
      <c r="C20" s="2">
        <f>C9/'Output-Calculation-sheet'!C8*'Output-Calculation-sheet'!C26</f>
        <v>9511.1153744094136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6115.5618682967352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4253.0174985026279</v>
      </c>
      <c r="N20" s="2">
        <f>N9/'Output-Calculation-sheet'!N8*'Output-Calculation-sheet'!N26</f>
        <v>1915.0773442212301</v>
      </c>
      <c r="O20" s="2">
        <f>O9/'Output-Calculation-sheet'!O8*'Output-Calculation-sheet'!O26</f>
        <v>1994.204714045442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696.46008213530388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227.27816640705311</v>
      </c>
      <c r="Y20" s="2">
        <f>Y9/'Output-Calculation-sheet'!Y8*'Output-Calculation-sheet'!Y26</f>
        <v>0</v>
      </c>
      <c r="AA20" s="2">
        <f t="shared" si="0"/>
        <v>30.338446991454951</v>
      </c>
    </row>
    <row r="21" spans="1:27" x14ac:dyDescent="0.25">
      <c r="A21" s="2">
        <v>2033</v>
      </c>
      <c r="B21" s="2">
        <f>B10/'Output-Calculation-sheet'!B9*'Output-Calculation-sheet'!B27</f>
        <v>12407.337065986701</v>
      </c>
      <c r="C21" s="2">
        <f>C10/'Output-Calculation-sheet'!C9*'Output-Calculation-sheet'!C27</f>
        <v>12739.895163397836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7165.0040139540688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4977.4633623678446</v>
      </c>
      <c r="N21" s="2">
        <f>N10/'Output-Calculation-sheet'!N9*'Output-Calculation-sheet'!N27</f>
        <v>2719.1361362808302</v>
      </c>
      <c r="O21" s="2">
        <f>O10/'Output-Calculation-sheet'!O9*'Output-Calculation-sheet'!O27</f>
        <v>2102.5847964184209</v>
      </c>
      <c r="P21" s="2">
        <f>P10/'Output-Calculation-sheet'!P9*'Output-Calculation-sheet'!P27</f>
        <v>0</v>
      </c>
      <c r="Q21" s="2">
        <f>Q10/'Output-Calculation-sheet'!Q9*'Output-Calculation-sheet'!Q27</f>
        <v>183.60572141482271</v>
      </c>
      <c r="R21" s="2">
        <f>R10/'Output-Calculation-sheet'!R9*'Output-Calculation-sheet'!R27</f>
        <v>0</v>
      </c>
      <c r="S21" s="2">
        <f>S10/'Output-Calculation-sheet'!S9*'Output-Calculation-sheet'!S27</f>
        <v>1183.6469090924368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315.53960144017014</v>
      </c>
      <c r="Y21" s="2">
        <f>Y10/'Output-Calculation-sheet'!Y9*'Output-Calculation-sheet'!Y27</f>
        <v>0</v>
      </c>
      <c r="AA21" s="2">
        <f t="shared" si="0"/>
        <v>43.794212770353127</v>
      </c>
    </row>
    <row r="22" spans="1:27" x14ac:dyDescent="0.25">
      <c r="A22" s="2">
        <v>2034</v>
      </c>
      <c r="B22" s="2">
        <f>B11/'Output-Calculation-sheet'!B10*'Output-Calculation-sheet'!B28</f>
        <v>19210.894417916552</v>
      </c>
      <c r="C22" s="2">
        <f>C11/'Output-Calculation-sheet'!C10*'Output-Calculation-sheet'!C28</f>
        <v>13509.3031326278</v>
      </c>
      <c r="D22" s="2">
        <f>D11/'Output-Calculation-sheet'!D10*'Output-Calculation-sheet'!D28</f>
        <v>0</v>
      </c>
      <c r="E22" s="2">
        <f>E11/'Output-Calculation-sheet'!E10*'Output-Calculation-sheet'!E28</f>
        <v>1100.4218957301191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7726.1273689156515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551.78125164109736</v>
      </c>
      <c r="M22" s="2">
        <f>M11/'Output-Calculation-sheet'!M10*'Output-Calculation-sheet'!M28</f>
        <v>5489.7386053663149</v>
      </c>
      <c r="N22" s="2">
        <f>N11/'Output-Calculation-sheet'!N10*'Output-Calculation-sheet'!N28</f>
        <v>3237.3290968767201</v>
      </c>
      <c r="O22" s="2">
        <f>O11/'Output-Calculation-sheet'!O10*'Output-Calculation-sheet'!O28</f>
        <v>2064.1451826385037</v>
      </c>
      <c r="P22" s="2">
        <f>P11/'Output-Calculation-sheet'!P10*'Output-Calculation-sheet'!P28</f>
        <v>0</v>
      </c>
      <c r="Q22" s="2">
        <f>Q11/'Output-Calculation-sheet'!Q10*'Output-Calculation-sheet'!Q28</f>
        <v>484.81833241383777</v>
      </c>
      <c r="R22" s="2">
        <f>R11/'Output-Calculation-sheet'!R10*'Output-Calculation-sheet'!R28</f>
        <v>0</v>
      </c>
      <c r="S22" s="2">
        <f>S11/'Output-Calculation-sheet'!S10*'Output-Calculation-sheet'!S28</f>
        <v>1422.5345121386308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59.646017492646294</v>
      </c>
      <c r="AA22" s="2">
        <f t="shared" si="0"/>
        <v>55.100771886673989</v>
      </c>
    </row>
    <row r="23" spans="1:27" x14ac:dyDescent="0.25">
      <c r="A23" s="2">
        <v>2035</v>
      </c>
      <c r="B23" s="2">
        <f>B12/'Output-Calculation-sheet'!B11*'Output-Calculation-sheet'!B29</f>
        <v>18752.938710984035</v>
      </c>
      <c r="C23" s="2">
        <f>C12/'Output-Calculation-sheet'!C11*'Output-Calculation-sheet'!C29</f>
        <v>13656.010080038815</v>
      </c>
      <c r="D23" s="2">
        <f>D12/'Output-Calculation-sheet'!D11*'Output-Calculation-sheet'!D29</f>
        <v>0</v>
      </c>
      <c r="E23" s="2">
        <f>E12/'Output-Calculation-sheet'!E11*'Output-Calculation-sheet'!E29</f>
        <v>2494.0467160702715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6778.7534119489446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544.21859893810858</v>
      </c>
      <c r="M23" s="2">
        <f>M12/'Output-Calculation-sheet'!M11*'Output-Calculation-sheet'!M29</f>
        <v>4844.4105394668759</v>
      </c>
      <c r="N23" s="2">
        <f>N12/'Output-Calculation-sheet'!N11*'Output-Calculation-sheet'!N29</f>
        <v>2897.6570255018014</v>
      </c>
      <c r="O23" s="2">
        <f>O12/'Output-Calculation-sheet'!O11*'Output-Calculation-sheet'!O29</f>
        <v>1882.5343273119054</v>
      </c>
      <c r="P23" s="2">
        <f>P12/'Output-Calculation-sheet'!P11*'Output-Calculation-sheet'!P29</f>
        <v>394.34539140550589</v>
      </c>
      <c r="Q23" s="2">
        <f>Q12/'Output-Calculation-sheet'!Q11*'Output-Calculation-sheet'!Q29</f>
        <v>587.53321092876229</v>
      </c>
      <c r="R23" s="2">
        <f>R12/'Output-Calculation-sheet'!R11*'Output-Calculation-sheet'!R29</f>
        <v>0</v>
      </c>
      <c r="S23" s="2">
        <f>S12/'Output-Calculation-sheet'!S11*'Output-Calculation-sheet'!S29</f>
        <v>1387.4706018782649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122.29431963765245</v>
      </c>
      <c r="Y23" s="2">
        <f>Y12/'Output-Calculation-sheet'!Y11*'Output-Calculation-sheet'!Y29</f>
        <v>129.03911405746311</v>
      </c>
      <c r="AA23" s="2">
        <f t="shared" si="0"/>
        <v>54.471252048168402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1520.2570779595835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39.081513837748908</v>
      </c>
    </row>
    <row r="31" spans="1:27" x14ac:dyDescent="0.25">
      <c r="A31" s="2">
        <v>2032</v>
      </c>
      <c r="B31" s="2">
        <f>B9/'Output-Calculation-sheet'!B8*'Output-Calculation-sheet'!B17</f>
        <v>23820.972135094413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1631.6312468586145</v>
      </c>
      <c r="O31" s="2">
        <f>O9/'Output-Calculation-sheet'!O8*'Output-Calculation-sheet'!O17</f>
        <v>0</v>
      </c>
      <c r="P31" s="2">
        <f>P9/'Output-Calculation-sheet'!P8*'Output-Calculation-sheet'!P17</f>
        <v>2020.4343812529535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1213.2144714461131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51.875153430656802</v>
      </c>
    </row>
    <row r="32" spans="1:27" x14ac:dyDescent="0.25">
      <c r="A32" s="2">
        <v>2033</v>
      </c>
      <c r="B32" s="2">
        <f>B10/'Output-Calculation-sheet'!B9*'Output-Calculation-sheet'!B18</f>
        <v>25129.09905765381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2396.8085439350793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1535.6150479011096</v>
      </c>
      <c r="O32" s="2">
        <f>O10/'Output-Calculation-sheet'!O9*'Output-Calculation-sheet'!O18</f>
        <v>0</v>
      </c>
      <c r="P32" s="2">
        <f>P10/'Output-Calculation-sheet'!P9*'Output-Calculation-sheet'!P18</f>
        <v>2466.7920802635745</v>
      </c>
      <c r="Q32" s="2">
        <f>Q10/'Output-Calculation-sheet'!Q9*'Output-Calculation-sheet'!Q18</f>
        <v>2687.5303076265536</v>
      </c>
      <c r="R32" s="2">
        <f>R10/'Output-Calculation-sheet'!R9*'Output-Calculation-sheet'!R18</f>
        <v>1771.3886721071028</v>
      </c>
      <c r="S32" s="2">
        <f>S10/'Output-Calculation-sheet'!S9*'Output-Calculation-sheet'!S18</f>
        <v>1160.1543489205924</v>
      </c>
      <c r="T32" s="2">
        <f>T10/'Output-Calculation-sheet'!T9*'Output-Calculation-sheet'!T18</f>
        <v>517.17650964869267</v>
      </c>
      <c r="U32" s="2">
        <f>U10/'Output-Calculation-sheet'!U9*'Output-Calculation-sheet'!U18</f>
        <v>571.80222464030339</v>
      </c>
      <c r="V32" s="2">
        <f>V10/'Output-Calculation-sheet'!V9*'Output-Calculation-sheet'!V18</f>
        <v>421.96378640522443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244.33403038825625</v>
      </c>
      <c r="AA32" s="2">
        <f t="shared" si="1"/>
        <v>60.404807903398286</v>
      </c>
    </row>
    <row r="33" spans="1:27" x14ac:dyDescent="0.25">
      <c r="A33" s="2">
        <v>2034</v>
      </c>
      <c r="B33" s="2">
        <f>B11/'Output-Calculation-sheet'!B10*'Output-Calculation-sheet'!B19</f>
        <v>21826.847950489107</v>
      </c>
      <c r="C33" s="2">
        <f>C11/'Output-Calculation-sheet'!C10*'Output-Calculation-sheet'!C19</f>
        <v>0</v>
      </c>
      <c r="D33" s="2">
        <f>D11/'Output-Calculation-sheet'!D10*'Output-Calculation-sheet'!D19</f>
        <v>6379.7293403011336</v>
      </c>
      <c r="E33" s="2">
        <f>E11/'Output-Calculation-sheet'!E10*'Output-Calculation-sheet'!E19</f>
        <v>8026.3045222633245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2408.9707061762524</v>
      </c>
      <c r="J33" s="2">
        <f>J11/'Output-Calculation-sheet'!J10*'Output-Calculation-sheet'!J19</f>
        <v>1994.0614821540278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2234.7707224183287</v>
      </c>
      <c r="M33" s="2">
        <f>M11/'Output-Calculation-sheet'!M10*'Output-Calculation-sheet'!M19</f>
        <v>0</v>
      </c>
      <c r="N33" s="2">
        <f>N11/'Output-Calculation-sheet'!N10*'Output-Calculation-sheet'!N19</f>
        <v>1326.4582492401225</v>
      </c>
      <c r="O33" s="2">
        <f>O11/'Output-Calculation-sheet'!O10*'Output-Calculation-sheet'!O19</f>
        <v>0</v>
      </c>
      <c r="P33" s="2">
        <f>P11/'Output-Calculation-sheet'!P10*'Output-Calculation-sheet'!P19</f>
        <v>2857.8974134631212</v>
      </c>
      <c r="Q33" s="2">
        <f>Q11/'Output-Calculation-sheet'!Q10*'Output-Calculation-sheet'!Q19</f>
        <v>2392.0626800667687</v>
      </c>
      <c r="R33" s="2">
        <f>R11/'Output-Calculation-sheet'!R10*'Output-Calculation-sheet'!R19</f>
        <v>2040.8181134370768</v>
      </c>
      <c r="S33" s="2">
        <f>S11/'Output-Calculation-sheet'!S10*'Output-Calculation-sheet'!S19</f>
        <v>1023.2654642828458</v>
      </c>
      <c r="T33" s="2">
        <f>T11/'Output-Calculation-sheet'!T10*'Output-Calculation-sheet'!T19</f>
        <v>598.81487683964576</v>
      </c>
      <c r="U33" s="2">
        <f>U11/'Output-Calculation-sheet'!U10*'Output-Calculation-sheet'!U19</f>
        <v>645.50115552783427</v>
      </c>
      <c r="V33" s="2">
        <f>V11/'Output-Calculation-sheet'!V10*'Output-Calculation-sheet'!V19</f>
        <v>469.69887937076396</v>
      </c>
      <c r="W33" s="2">
        <f>W11/'Output-Calculation-sheet'!W10*'Output-Calculation-sheet'!W19</f>
        <v>292.46333973473793</v>
      </c>
      <c r="X33" s="2">
        <f>X11/'Output-Calculation-sheet'!X10*'Output-Calculation-sheet'!X19</f>
        <v>0</v>
      </c>
      <c r="Y33" s="2">
        <f>Y11/'Output-Calculation-sheet'!Y10*'Output-Calculation-sheet'!Y19</f>
        <v>263.60689451425361</v>
      </c>
      <c r="AA33" s="2">
        <f t="shared" si="1"/>
        <v>63.495506020166445</v>
      </c>
    </row>
    <row r="34" spans="1:27" x14ac:dyDescent="0.25">
      <c r="A34" s="2">
        <v>2035</v>
      </c>
      <c r="B34" s="2">
        <f>B12/'Output-Calculation-sheet'!B11*'Output-Calculation-sheet'!B20</f>
        <v>17475.624636423701</v>
      </c>
      <c r="C34" s="2">
        <f>C12/'Output-Calculation-sheet'!C11*'Output-Calculation-sheet'!C20</f>
        <v>0</v>
      </c>
      <c r="D34" s="2">
        <f>D12/'Output-Calculation-sheet'!D11*'Output-Calculation-sheet'!D20</f>
        <v>5449.470111137879</v>
      </c>
      <c r="E34" s="2">
        <f>E12/'Output-Calculation-sheet'!E11*'Output-Calculation-sheet'!E20</f>
        <v>6378.6056689664465</v>
      </c>
      <c r="F34" s="2">
        <f>F12/'Output-Calculation-sheet'!F11*'Output-Calculation-sheet'!F20</f>
        <v>3705.325882630334</v>
      </c>
      <c r="G34" s="2">
        <f>G12/'Output-Calculation-sheet'!G11*'Output-Calculation-sheet'!G20</f>
        <v>1967.002803166356</v>
      </c>
      <c r="H34" s="2">
        <f>H12/'Output-Calculation-sheet'!H11*'Output-Calculation-sheet'!H20</f>
        <v>0</v>
      </c>
      <c r="I34" s="2">
        <f>I12/'Output-Calculation-sheet'!I11*'Output-Calculation-sheet'!I20</f>
        <v>2180.4134261324134</v>
      </c>
      <c r="J34" s="2">
        <f>J12/'Output-Calculation-sheet'!J11*'Output-Calculation-sheet'!J20</f>
        <v>1705.4473543493227</v>
      </c>
      <c r="K34" s="2">
        <f>K12/'Output-Calculation-sheet'!K11*'Output-Calculation-sheet'!K20</f>
        <v>2517.8019500955443</v>
      </c>
      <c r="L34" s="2">
        <f>L12/'Output-Calculation-sheet'!L11*'Output-Calculation-sheet'!L20</f>
        <v>1911.6978467470306</v>
      </c>
      <c r="M34" s="2">
        <f>M12/'Output-Calculation-sheet'!M11*'Output-Calculation-sheet'!M20</f>
        <v>0</v>
      </c>
      <c r="N34" s="2">
        <f>N12/'Output-Calculation-sheet'!N11*'Output-Calculation-sheet'!N20</f>
        <v>1112.4706020067795</v>
      </c>
      <c r="O34" s="2">
        <f>O12/'Output-Calculation-sheet'!O11*'Output-Calculation-sheet'!O20</f>
        <v>0</v>
      </c>
      <c r="P34" s="2">
        <f>P12/'Output-Calculation-sheet'!P11*'Output-Calculation-sheet'!P20</f>
        <v>2402.4026905122801</v>
      </c>
      <c r="Q34" s="2">
        <f>Q12/'Output-Calculation-sheet'!Q11*'Output-Calculation-sheet'!Q20</f>
        <v>1971.4074087717802</v>
      </c>
      <c r="R34" s="2">
        <f>R12/'Output-Calculation-sheet'!R11*'Output-Calculation-sheet'!R20</f>
        <v>1869.6204353720093</v>
      </c>
      <c r="S34" s="2">
        <f>S12/'Output-Calculation-sheet'!S11*'Output-Calculation-sheet'!S20</f>
        <v>790.96782218646649</v>
      </c>
      <c r="T34" s="2">
        <f>T12/'Output-Calculation-sheet'!T11*'Output-Calculation-sheet'!T20</f>
        <v>579.12863979644646</v>
      </c>
      <c r="U34" s="2">
        <f>U12/'Output-Calculation-sheet'!U11*'Output-Calculation-sheet'!U20</f>
        <v>553.33414862754046</v>
      </c>
      <c r="V34" s="2">
        <f>V12/'Output-Calculation-sheet'!V11*'Output-Calculation-sheet'!V20</f>
        <v>411.92969912809019</v>
      </c>
      <c r="W34" s="2">
        <f>W12/'Output-Calculation-sheet'!W11*'Output-Calculation-sheet'!W20</f>
        <v>324.79870630303009</v>
      </c>
      <c r="X34" s="2">
        <f>X12/'Output-Calculation-sheet'!X11*'Output-Calculation-sheet'!X20</f>
        <v>0</v>
      </c>
      <c r="Y34" s="2">
        <f>Y12/'Output-Calculation-sheet'!Y11*'Output-Calculation-sheet'!Y20</f>
        <v>191.8224410942544</v>
      </c>
      <c r="AA34" s="2">
        <f t="shared" si="1"/>
        <v>53.499272273447708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0.59696180876156435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0.32859043688025669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0.92555224564182104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1.8106020721797806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0.45224959199380738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2.2628516641735881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3.020167154806821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0.547618937169014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3.5677860919758349</v>
      </c>
    </row>
    <row r="44" spans="1:27" x14ac:dyDescent="0.25">
      <c r="A44" s="2">
        <v>2034</v>
      </c>
      <c r="B44" s="2">
        <f>B11/'Output-Calculation-sheet'!B10*'Output-Calculation-sheet'!B37*0.0114</f>
        <v>0.19370762681680226</v>
      </c>
      <c r="C44" s="2">
        <f>C11/'Output-Calculation-sheet'!C10*'Output-Calculation-sheet'!C37*0.0114</f>
        <v>3.0799271247993376</v>
      </c>
      <c r="D44" s="2">
        <f>D11/'Output-Calculation-sheet'!D10*'Output-Calculation-sheet'!D37*0.0114</f>
        <v>4.0720650643983169E-2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5.660281151224282E-2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1.3002732926734996E-2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1.0267842599039066E-2</v>
      </c>
      <c r="M44" s="2">
        <f>M11/'Output-Calculation-sheet'!M10*'Output-Calculation-sheet'!M37*0.0114</f>
        <v>2.9211182159280851E-2</v>
      </c>
      <c r="N44" s="2">
        <f>N11/'Output-Calculation-sheet'!N10*'Output-Calculation-sheet'!N37*0.0114</f>
        <v>1.9139903160640074E-2</v>
      </c>
      <c r="O44" s="2">
        <f>O11/'Output-Calculation-sheet'!O10*'Output-Calculation-sheet'!O37*0.0114</f>
        <v>0.58941376592347505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4.1923714013317993E-2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2.1943306467317417E-2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5.3504742090891158E-3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4.101211135231261</v>
      </c>
    </row>
    <row r="45" spans="1:27" x14ac:dyDescent="0.25">
      <c r="A45" s="2">
        <v>2035</v>
      </c>
      <c r="B45" s="2">
        <f>B12/'Output-Calculation-sheet'!B11*'Output-Calculation-sheet'!B38*0.0114</f>
        <v>0.74599783718643908</v>
      </c>
      <c r="C45" s="2">
        <f>C12/'Output-Calculation-sheet'!C11*'Output-Calculation-sheet'!C38*0.0114</f>
        <v>2.8325427195940178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0.19387105969156704</v>
      </c>
      <c r="F45" s="2">
        <f>F12/'Output-Calculation-sheet'!F11*'Output-Calculation-sheet'!F38*0.0114</f>
        <v>6.9675176431559502E-2</v>
      </c>
      <c r="G45" s="2">
        <f>G12/'Output-Calculation-sheet'!G11*'Output-Calculation-sheet'!G38*0.0114</f>
        <v>6.2506012474805236E-2</v>
      </c>
      <c r="H45" s="2">
        <f>H12/'Output-Calculation-sheet'!H11*'Output-Calculation-sheet'!H38*0.0114</f>
        <v>0.21798612507260437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4.4511575627924974E-2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5.2724052892339134E-2</v>
      </c>
      <c r="M45" s="2">
        <f>M12/'Output-Calculation-sheet'!M11*'Output-Calculation-sheet'!M38*0.0114</f>
        <v>0.1333294829828171</v>
      </c>
      <c r="N45" s="2">
        <f>N12/'Output-Calculation-sheet'!N11*'Output-Calculation-sheet'!N38*0.0114</f>
        <v>8.1900786919792176E-2</v>
      </c>
      <c r="O45" s="2">
        <f>O12/'Output-Calculation-sheet'!O11*'Output-Calculation-sheet'!O38*0.0114</f>
        <v>0.57321287513761843</v>
      </c>
      <c r="P45" s="2">
        <f>P12/'Output-Calculation-sheet'!P11*'Output-Calculation-sheet'!P38*0.0114</f>
        <v>5.2963358810422384E-2</v>
      </c>
      <c r="Q45" s="2">
        <f>Q12/'Output-Calculation-sheet'!Q11*'Output-Calculation-sheet'!Q38*0.0114</f>
        <v>7.8933391740188097E-2</v>
      </c>
      <c r="R45" s="2">
        <f>R12/'Output-Calculation-sheet'!R11*'Output-Calculation-sheet'!R38*0.0114</f>
        <v>3.5580606758050012E-2</v>
      </c>
      <c r="S45" s="2">
        <f>S12/'Output-Calculation-sheet'!S11*'Output-Calculation-sheet'!S38*0.0114</f>
        <v>5.1643194258431564E-2</v>
      </c>
      <c r="T45" s="2">
        <f>T12/'Output-Calculation-sheet'!T11*'Output-Calculation-sheet'!T38*0.0114</f>
        <v>1.05307873186472E-2</v>
      </c>
      <c r="U45" s="2">
        <f>U12/'Output-Calculation-sheet'!U11*'Output-Calculation-sheet'!U38*0.0114</f>
        <v>1.6026498729299614E-2</v>
      </c>
      <c r="V45" s="2">
        <f>V12/'Output-Calculation-sheet'!V11*'Output-Calculation-sheet'!V38*0.0114</f>
        <v>7.0616174733886313E-3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3.6566303965369171E-3</v>
      </c>
      <c r="Y45" s="2">
        <f>Y12/'Output-Calculation-sheet'!Y11*'Output-Calculation-sheet'!Y38*0.0114</f>
        <v>6.1752569855740595E-3</v>
      </c>
      <c r="AA45" s="2">
        <f t="shared" si="2"/>
        <v>5.5150439168193106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6643.9588889275265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4543.9606807625523</v>
      </c>
      <c r="N52" s="2">
        <f>N8/'Output-Calculation-sheet'!N7*'Output-Calculation-sheet'!N43</f>
        <v>143.53626451574812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30.724171484638813</v>
      </c>
      <c r="Y52" s="2">
        <f>Y8/'Output-Calculation-sheet'!Y7*'Output-Calculation-sheet'!Y43</f>
        <v>0</v>
      </c>
      <c r="AA52" s="2">
        <f t="shared" si="3"/>
        <v>11.362180005690465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186.05184200343609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12249.336400293669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8377.7921077198062</v>
      </c>
      <c r="N53" s="2">
        <f>N9/'Output-Calculation-sheet'!N8*'Output-Calculation-sheet'!N44</f>
        <v>2972.9729847557669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927.10797545701894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255.70484799762448</v>
      </c>
      <c r="Y53" s="2">
        <f>Y9/'Output-Calculation-sheet'!Y8*'Output-Calculation-sheet'!Y44</f>
        <v>0</v>
      </c>
      <c r="AA53" s="2">
        <f t="shared" si="3"/>
        <v>25.100749516874338</v>
      </c>
    </row>
    <row r="54" spans="1:27" x14ac:dyDescent="0.25">
      <c r="A54" s="2">
        <v>2033</v>
      </c>
      <c r="B54" s="2">
        <f>B10/'Output-Calculation-sheet'!B9*'Output-Calculation-sheet'!B45</f>
        <v>23694.90164234539</v>
      </c>
      <c r="C54" s="2">
        <f>C10/'Output-Calculation-sheet'!C9*'Output-Calculation-sheet'!C45</f>
        <v>5091.0127624155903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11835.844977700865</v>
      </c>
      <c r="N54" s="2">
        <f>N10/'Output-Calculation-sheet'!N9*'Output-Calculation-sheet'!N45</f>
        <v>6622.0534999114634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693.42921872206318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72.403738608759625</v>
      </c>
    </row>
    <row r="55" spans="1:27" x14ac:dyDescent="0.25">
      <c r="A55" s="2">
        <v>2034</v>
      </c>
      <c r="B55" s="2">
        <f>B11/'Output-Calculation-sheet'!B10*'Output-Calculation-sheet'!B46</f>
        <v>54161.671971803262</v>
      </c>
      <c r="C55" s="2">
        <f>C11/'Output-Calculation-sheet'!C10*'Output-Calculation-sheet'!C46</f>
        <v>11113.22225182898</v>
      </c>
      <c r="D55" s="2">
        <f>D11/'Output-Calculation-sheet'!D10*'Output-Calculation-sheet'!D46</f>
        <v>4690.018797855254</v>
      </c>
      <c r="E55" s="2">
        <f>E11/'Output-Calculation-sheet'!E10*'Output-Calculation-sheet'!E46</f>
        <v>7023.1420730017226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18143.931927071346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672.94845848891646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564.73134294714862</v>
      </c>
      <c r="M55" s="2">
        <f>M11/'Output-Calculation-sheet'!M10*'Output-Calculation-sheet'!M46</f>
        <v>12688.073420354298</v>
      </c>
      <c r="N55" s="2">
        <f>N11/'Output-Calculation-sheet'!N10*'Output-Calculation-sheet'!N46</f>
        <v>9241.7190305037984</v>
      </c>
      <c r="O55" s="2">
        <f>O11/'Output-Calculation-sheet'!O10*'Output-Calculation-sheet'!O46</f>
        <v>0</v>
      </c>
      <c r="P55" s="2">
        <f>P11/'Output-Calculation-sheet'!P10*'Output-Calculation-sheet'!P46</f>
        <v>3664.3428959045759</v>
      </c>
      <c r="Q55" s="2">
        <f>Q11/'Output-Calculation-sheet'!Q10*'Output-Calculation-sheet'!Q46</f>
        <v>1355.5334197639484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3886.2750664485843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901.36716829435488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60.482802867196995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139.93495198359392</v>
      </c>
    </row>
    <row r="56" spans="1:27" x14ac:dyDescent="0.25">
      <c r="A56" s="2">
        <v>2035</v>
      </c>
      <c r="B56" s="2">
        <f>B12/'Output-Calculation-sheet'!B11*'Output-Calculation-sheet'!B47</f>
        <v>53128.715363755458</v>
      </c>
      <c r="C56" s="2">
        <f>C12/'Output-Calculation-sheet'!C11*'Output-Calculation-sheet'!C47</f>
        <v>19152.792511874755</v>
      </c>
      <c r="D56" s="2">
        <f>D12/'Output-Calculation-sheet'!D11*'Output-Calculation-sheet'!D47</f>
        <v>4181.9062138033933</v>
      </c>
      <c r="E56" s="2">
        <f>E12/'Output-Calculation-sheet'!E11*'Output-Calculation-sheet'!E47</f>
        <v>11107.499810900306</v>
      </c>
      <c r="F56" s="2">
        <f>F12/'Output-Calculation-sheet'!F11*'Output-Calculation-sheet'!F47</f>
        <v>1306.4095580917406</v>
      </c>
      <c r="G56" s="2">
        <f>G12/'Output-Calculation-sheet'!G11*'Output-Calculation-sheet'!G47</f>
        <v>3376.4212703495668</v>
      </c>
      <c r="H56" s="2">
        <f>H12/'Output-Calculation-sheet'!H11*'Output-Calculation-sheet'!H47</f>
        <v>15773.187061783769</v>
      </c>
      <c r="I56" s="2">
        <f>I12/'Output-Calculation-sheet'!I11*'Output-Calculation-sheet'!I47</f>
        <v>1876.9688186838837</v>
      </c>
      <c r="J56" s="2">
        <f>J12/'Output-Calculation-sheet'!J11*'Output-Calculation-sheet'!J47</f>
        <v>673.53042068570676</v>
      </c>
      <c r="K56" s="2">
        <f>K12/'Output-Calculation-sheet'!K11*'Output-Calculation-sheet'!K47</f>
        <v>2806.4029270248816</v>
      </c>
      <c r="L56" s="2">
        <f>L12/'Output-Calculation-sheet'!L11*'Output-Calculation-sheet'!L47</f>
        <v>634.3844375788758</v>
      </c>
      <c r="M56" s="2">
        <f>M12/'Output-Calculation-sheet'!M11*'Output-Calculation-sheet'!M47</f>
        <v>11042.078782557212</v>
      </c>
      <c r="N56" s="2">
        <f>N12/'Output-Calculation-sheet'!N11*'Output-Calculation-sheet'!N47</f>
        <v>8235.3396531717335</v>
      </c>
      <c r="O56" s="2">
        <f>O12/'Output-Calculation-sheet'!O11*'Output-Calculation-sheet'!O47</f>
        <v>0</v>
      </c>
      <c r="P56" s="2">
        <f>P12/'Output-Calculation-sheet'!P11*'Output-Calculation-sheet'!P47</f>
        <v>4251.0064308365336</v>
      </c>
      <c r="Q56" s="2">
        <f>Q12/'Output-Calculation-sheet'!Q11*'Output-Calculation-sheet'!Q47</f>
        <v>1506.9102059490456</v>
      </c>
      <c r="R56" s="2">
        <f>R12/'Output-Calculation-sheet'!R11*'Output-Calculation-sheet'!R47</f>
        <v>2940.7059374942733</v>
      </c>
      <c r="S56" s="2">
        <f>S12/'Output-Calculation-sheet'!S11*'Output-Calculation-sheet'!S47</f>
        <v>3837.8223867170955</v>
      </c>
      <c r="T56" s="2">
        <f>T12/'Output-Calculation-sheet'!T11*'Output-Calculation-sheet'!T47</f>
        <v>1007.8148214600084</v>
      </c>
      <c r="U56" s="2">
        <f>U12/'Output-Calculation-sheet'!U11*'Output-Calculation-sheet'!U47</f>
        <v>786.06160434183823</v>
      </c>
      <c r="V56" s="2">
        <f>V12/'Output-Calculation-sheet'!V11*'Output-Calculation-sheet'!V47</f>
        <v>453.12045454243719</v>
      </c>
      <c r="W56" s="2">
        <f>W12/'Output-Calculation-sheet'!W11*'Output-Calculation-sheet'!W47</f>
        <v>390.62804755085131</v>
      </c>
      <c r="X56" s="2">
        <f>X12/'Output-Calculation-sheet'!X11*'Output-Calculation-sheet'!X47</f>
        <v>234.9545408301133</v>
      </c>
      <c r="Y56" s="2">
        <f>Y12/'Output-Calculation-sheet'!Y11*'Output-Calculation-sheet'!Y47</f>
        <v>503.22927540335974</v>
      </c>
      <c r="AA56" s="2">
        <f t="shared" si="3"/>
        <v>149.20789053538687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5.0928910375152547</v>
      </c>
      <c r="C63" s="2">
        <f>C8*'Output-Calculation-sheet'!C52/10^9</f>
        <v>3.182274698564469</v>
      </c>
      <c r="D63" s="2">
        <f>D8*'Output-Calculation-sheet'!D52/10^9</f>
        <v>1.4545876623843983</v>
      </c>
      <c r="E63" s="2">
        <f>E8*'Output-Calculation-sheet'!E52/10^9</f>
        <v>1.3361316944732473</v>
      </c>
      <c r="F63" s="2">
        <f>F8*'Output-Calculation-sheet'!F52/10^9</f>
        <v>0.70416451904622313</v>
      </c>
      <c r="G63" s="2">
        <f>G8*'Output-Calculation-sheet'!G52/10^9</f>
        <v>0.52075173922205142</v>
      </c>
      <c r="H63" s="2">
        <f>H8*'Output-Calculation-sheet'!H52/10^9</f>
        <v>0.89849066517064013</v>
      </c>
      <c r="I63" s="2">
        <f>I8*'Output-Calculation-sheet'!I52/10^9</f>
        <v>0.48275999222983246</v>
      </c>
      <c r="J63" s="2">
        <f>J8*'Output-Calculation-sheet'!J52/10^9</f>
        <v>0.49079232395966166</v>
      </c>
      <c r="K63" s="2">
        <f>K8*'Output-Calculation-sheet'!K52/10^9</f>
        <v>0.49391686399821622</v>
      </c>
      <c r="L63" s="2">
        <f>L8*'Output-Calculation-sheet'!L52/10^9</f>
        <v>0.40263958211944828</v>
      </c>
      <c r="M63" s="2">
        <f>M8*'Output-Calculation-sheet'!M52/10^9</f>
        <v>0.62208411400059627</v>
      </c>
      <c r="N63" s="2">
        <f>N8*'Output-Calculation-sheet'!N52/10^9</f>
        <v>0.55817136686981139</v>
      </c>
      <c r="O63" s="2">
        <f>O8*'Output-Calculation-sheet'!O52/10^9</f>
        <v>0.60358313474040437</v>
      </c>
      <c r="P63" s="2">
        <f>P8*'Output-Calculation-sheet'!P52/10^9</f>
        <v>0.39761637669188216</v>
      </c>
      <c r="Q63" s="2">
        <f>Q8*'Output-Calculation-sheet'!Q52/10^9</f>
        <v>0.41005707355458942</v>
      </c>
      <c r="R63" s="2">
        <f>R8*'Output-Calculation-sheet'!R52/10^9</f>
        <v>0.33583276015051938</v>
      </c>
      <c r="S63" s="2">
        <f>S8*'Output-Calculation-sheet'!S52/10^9</f>
        <v>0.3088029487507914</v>
      </c>
      <c r="T63" s="2">
        <f>T8*'Output-Calculation-sheet'!T52/10^9</f>
        <v>0.11578905606467568</v>
      </c>
      <c r="U63" s="2">
        <f>U8*'Output-Calculation-sheet'!U52/10^9</f>
        <v>0.10518907182433969</v>
      </c>
      <c r="V63" s="2">
        <f>V8*'Output-Calculation-sheet'!V52/10^9</f>
        <v>8.1278905692712122E-2</v>
      </c>
      <c r="W63" s="2">
        <f>W8*'Output-Calculation-sheet'!W52/10^9</f>
        <v>6.3499613113750297E-2</v>
      </c>
      <c r="X63" s="2">
        <f>X8*'Output-Calculation-sheet'!X52/10^9</f>
        <v>7.4934908501488304E-2</v>
      </c>
      <c r="Y63" s="2">
        <f>Y8*'Output-Calculation-sheet'!Y52/10^9</f>
        <v>4.1277336043279975E-2</v>
      </c>
      <c r="AA63" s="2">
        <f t="shared" si="4"/>
        <v>18.777517444682289</v>
      </c>
    </row>
    <row r="64" spans="1:27" x14ac:dyDescent="0.25">
      <c r="A64" s="2">
        <v>2032</v>
      </c>
      <c r="B64" s="2">
        <f>B9*'Output-Calculation-sheet'!B53/10^9</f>
        <v>5.4814695085076286</v>
      </c>
      <c r="C64" s="2">
        <f>C9*'Output-Calculation-sheet'!C53/10^9</f>
        <v>3.6290886189306049</v>
      </c>
      <c r="D64" s="2">
        <f>D9*'Output-Calculation-sheet'!D53/10^9</f>
        <v>1.3207032089646322</v>
      </c>
      <c r="E64" s="2">
        <f>E9*'Output-Calculation-sheet'!E53/10^9</f>
        <v>1.2894039112030575</v>
      </c>
      <c r="F64" s="2">
        <f>F9*'Output-Calculation-sheet'!F53/10^9</f>
        <v>0.65028843009612558</v>
      </c>
      <c r="G64" s="2">
        <f>G9*'Output-Calculation-sheet'!G53/10^9</f>
        <v>0.47235000308041147</v>
      </c>
      <c r="H64" s="2">
        <f>H9*'Output-Calculation-sheet'!H53/10^9</f>
        <v>1.0140270372701483</v>
      </c>
      <c r="I64" s="2">
        <f>I9*'Output-Calculation-sheet'!I53/10^9</f>
        <v>0.44105536993183631</v>
      </c>
      <c r="J64" s="2">
        <f>J9*'Output-Calculation-sheet'!J53/10^9</f>
        <v>0.44023224875944017</v>
      </c>
      <c r="K64" s="2">
        <f>K9*'Output-Calculation-sheet'!K53/10^9</f>
        <v>0.47482763406948608</v>
      </c>
      <c r="L64" s="2">
        <f>L9*'Output-Calculation-sheet'!L53/10^9</f>
        <v>0.39140952290785724</v>
      </c>
      <c r="M64" s="2">
        <f>M9*'Output-Calculation-sheet'!M53/10^9</f>
        <v>0.70256810208756537</v>
      </c>
      <c r="N64" s="2">
        <f>N9*'Output-Calculation-sheet'!N53/10^9</f>
        <v>0.62427744049202283</v>
      </c>
      <c r="O64" s="2">
        <f>O9*'Output-Calculation-sheet'!O53/10^9</f>
        <v>0.67168078029420097</v>
      </c>
      <c r="P64" s="2">
        <f>P9*'Output-Calculation-sheet'!P53/10^9</f>
        <v>0.42467580457284637</v>
      </c>
      <c r="Q64" s="2">
        <f>Q9*'Output-Calculation-sheet'!Q53/10^9</f>
        <v>0.43456114320367761</v>
      </c>
      <c r="R64" s="2">
        <f>R9*'Output-Calculation-sheet'!R53/10^9</f>
        <v>0.33975596044285827</v>
      </c>
      <c r="S64" s="2">
        <f>S9*'Output-Calculation-sheet'!S53/10^9</f>
        <v>0.34386141158680522</v>
      </c>
      <c r="T64" s="2">
        <f>T9*'Output-Calculation-sheet'!T53/10^9</f>
        <v>0.10887225844707896</v>
      </c>
      <c r="U64" s="2">
        <f>U9*'Output-Calculation-sheet'!U53/10^9</f>
        <v>0.10739725441908676</v>
      </c>
      <c r="V64" s="2">
        <f>V9*'Output-Calculation-sheet'!V53/10^9</f>
        <v>7.9906504163453837E-2</v>
      </c>
      <c r="W64" s="2">
        <f>W9*'Output-Calculation-sheet'!W53/10^9</f>
        <v>5.7689080269955922E-2</v>
      </c>
      <c r="X64" s="2">
        <f>X9*'Output-Calculation-sheet'!X53/10^9</f>
        <v>8.4968547095711167E-2</v>
      </c>
      <c r="Y64" s="2">
        <f>Y9*'Output-Calculation-sheet'!Y53/10^9</f>
        <v>4.1584285348647609E-2</v>
      </c>
      <c r="AA64" s="2">
        <f t="shared" si="4"/>
        <v>19.626654066145136</v>
      </c>
    </row>
    <row r="65" spans="1:27" x14ac:dyDescent="0.25">
      <c r="A65" s="2">
        <v>2033</v>
      </c>
      <c r="B65" s="2">
        <f>B10*'Output-Calculation-sheet'!B54/10^9</f>
        <v>5.8076668048622047</v>
      </c>
      <c r="C65" s="2">
        <f>C10*'Output-Calculation-sheet'!C54/10^9</f>
        <v>3.8359103802770957</v>
      </c>
      <c r="D65" s="2">
        <f>D10*'Output-Calculation-sheet'!D54/10^9</f>
        <v>1.1156261577278883</v>
      </c>
      <c r="E65" s="2">
        <f>E10*'Output-Calculation-sheet'!E54/10^9</f>
        <v>1.2659745779052431</v>
      </c>
      <c r="F65" s="2">
        <f>F10*'Output-Calculation-sheet'!F54/10^9</f>
        <v>0.57430065891146986</v>
      </c>
      <c r="G65" s="2">
        <f>G10*'Output-Calculation-sheet'!G54/10^9</f>
        <v>0.39636343734520868</v>
      </c>
      <c r="H65" s="2">
        <f>H10*'Output-Calculation-sheet'!H54/10^9</f>
        <v>1.0535239801543195</v>
      </c>
      <c r="I65" s="2">
        <f>I10*'Output-Calculation-sheet'!I54/10^9</f>
        <v>0.38988976048623086</v>
      </c>
      <c r="J65" s="2">
        <f>J10*'Output-Calculation-sheet'!J54/10^9</f>
        <v>0.35957926115370531</v>
      </c>
      <c r="K65" s="2">
        <f>K10*'Output-Calculation-sheet'!K54/10^9</f>
        <v>0.45862696044322826</v>
      </c>
      <c r="L65" s="2">
        <f>L10*'Output-Calculation-sheet'!L54/10^9</f>
        <v>0.38142949853967822</v>
      </c>
      <c r="M65" s="2">
        <f>M10*'Output-Calculation-sheet'!M54/10^9</f>
        <v>0.73002945714622092</v>
      </c>
      <c r="N65" s="2">
        <f>N10*'Output-Calculation-sheet'!N54/10^9</f>
        <v>0.65630948895028074</v>
      </c>
      <c r="O65" s="2">
        <f>O10*'Output-Calculation-sheet'!O54/10^9</f>
        <v>0.69481716340463429</v>
      </c>
      <c r="P65" s="2">
        <f>P10*'Output-Calculation-sheet'!P54/10^9</f>
        <v>0.44288863584466592</v>
      </c>
      <c r="Q65" s="2">
        <f>Q10*'Output-Calculation-sheet'!Q54/10^9</f>
        <v>0.45951710605068202</v>
      </c>
      <c r="R65" s="2">
        <f>R10*'Output-Calculation-sheet'!R54/10^9</f>
        <v>0.3433661841850883</v>
      </c>
      <c r="S65" s="2">
        <f>S10*'Output-Calculation-sheet'!S54/10^9</f>
        <v>0.36309927342679044</v>
      </c>
      <c r="T65" s="2">
        <f>T10*'Output-Calculation-sheet'!T54/10^9</f>
        <v>0.10305978581600653</v>
      </c>
      <c r="U65" s="2">
        <f>U10*'Output-Calculation-sheet'!U54/10^9</f>
        <v>0.11143442438254059</v>
      </c>
      <c r="V65" s="2">
        <f>V10*'Output-Calculation-sheet'!V54/10^9</f>
        <v>7.7766451968686118E-2</v>
      </c>
      <c r="W65" s="2">
        <f>W10*'Output-Calculation-sheet'!W54/10^9</f>
        <v>4.8643794620175852E-2</v>
      </c>
      <c r="X65" s="2">
        <f>X10*'Output-Calculation-sheet'!X54/10^9</f>
        <v>8.9486873492170091E-2</v>
      </c>
      <c r="Y65" s="2">
        <f>Y10*'Output-Calculation-sheet'!Y54/10^9</f>
        <v>4.2915658449988278E-2</v>
      </c>
      <c r="AA65" s="2">
        <f t="shared" si="4"/>
        <v>19.802225775544205</v>
      </c>
    </row>
    <row r="66" spans="1:27" x14ac:dyDescent="0.25">
      <c r="A66" s="2">
        <v>2034</v>
      </c>
      <c r="B66" s="2">
        <f>B11*'Output-Calculation-sheet'!B55/10^9</f>
        <v>5.916682563522552</v>
      </c>
      <c r="C66" s="2">
        <f>C11*'Output-Calculation-sheet'!C55/10^9</f>
        <v>3.7691964567324598</v>
      </c>
      <c r="D66" s="2">
        <f>D11*'Output-Calculation-sheet'!D55/10^9</f>
        <v>1.1101104266187318</v>
      </c>
      <c r="E66" s="2">
        <f>E11*'Output-Calculation-sheet'!E55/10^9</f>
        <v>1.3688117552473409</v>
      </c>
      <c r="F66" s="2">
        <f>F11*'Output-Calculation-sheet'!F55/10^9</f>
        <v>0.54820696884898712</v>
      </c>
      <c r="G66" s="2">
        <f>G11*'Output-Calculation-sheet'!G55/10^9</f>
        <v>0.39485055877448133</v>
      </c>
      <c r="H66" s="2">
        <f>H11*'Output-Calculation-sheet'!H55/10^9</f>
        <v>1.0401424248267601</v>
      </c>
      <c r="I66" s="2">
        <f>I11*'Output-Calculation-sheet'!I55/10^9</f>
        <v>0.38813130767847032</v>
      </c>
      <c r="J66" s="2">
        <f>J11*'Output-Calculation-sheet'!J55/10^9</f>
        <v>0.34243321765465945</v>
      </c>
      <c r="K66" s="2">
        <f>K11*'Output-Calculation-sheet'!K55/10^9</f>
        <v>0.45763238229799102</v>
      </c>
      <c r="L66" s="2">
        <f>L11*'Output-Calculation-sheet'!L55/10^9</f>
        <v>0.40084620652928199</v>
      </c>
      <c r="M66" s="2">
        <f>M11*'Output-Calculation-sheet'!M55/10^9</f>
        <v>0.72224679743446596</v>
      </c>
      <c r="N66" s="2">
        <f>N11*'Output-Calculation-sheet'!N55/10^9</f>
        <v>0.64657539670535813</v>
      </c>
      <c r="O66" s="2">
        <f>O11*'Output-Calculation-sheet'!O55/10^9</f>
        <v>0.67079229932363049</v>
      </c>
      <c r="P66" s="2">
        <f>P11*'Output-Calculation-sheet'!P55/10^9</f>
        <v>0.45446371972441063</v>
      </c>
      <c r="Q66" s="2">
        <f>Q11*'Output-Calculation-sheet'!Q55/10^9</f>
        <v>0.47177974354196844</v>
      </c>
      <c r="R66" s="2">
        <f>R11*'Output-Calculation-sheet'!R55/10^9</f>
        <v>0.34393428145332361</v>
      </c>
      <c r="S66" s="2">
        <f>S11*'Output-Calculation-sheet'!S55/10^9</f>
        <v>0.36421842621508932</v>
      </c>
      <c r="T66" s="2">
        <f>T11*'Output-Calculation-sheet'!T55/10^9</f>
        <v>0.1012553880468063</v>
      </c>
      <c r="U66" s="2">
        <f>U11*'Output-Calculation-sheet'!U55/10^9</f>
        <v>0.11694321283096663</v>
      </c>
      <c r="V66" s="2">
        <f>V11*'Output-Calculation-sheet'!V55/10^9</f>
        <v>7.5632571351304356E-2</v>
      </c>
      <c r="W66" s="2">
        <f>W11*'Output-Calculation-sheet'!W55/10^9</f>
        <v>4.6078487850390357E-2</v>
      </c>
      <c r="X66" s="2">
        <f>X11*'Output-Calculation-sheet'!X55/10^9</f>
        <v>8.7946465078495573E-2</v>
      </c>
      <c r="Y66" s="2">
        <f>Y11*'Output-Calculation-sheet'!Y55/10^9</f>
        <v>4.7778885543884937E-2</v>
      </c>
      <c r="AA66" s="2">
        <f t="shared" si="4"/>
        <v>19.886689943831811</v>
      </c>
    </row>
    <row r="67" spans="1:27" x14ac:dyDescent="0.25">
      <c r="A67" s="2">
        <v>2035</v>
      </c>
      <c r="B67" s="2">
        <f>B12*'Output-Calculation-sheet'!B56/10^9</f>
        <v>5.6380771545651482</v>
      </c>
      <c r="C67" s="2">
        <f>C12*'Output-Calculation-sheet'!C56/10^9</f>
        <v>3.438499196327919</v>
      </c>
      <c r="D67" s="2">
        <f>D12*'Output-Calculation-sheet'!D56/10^9</f>
        <v>1.1467906382388147</v>
      </c>
      <c r="E67" s="2">
        <f>E12*'Output-Calculation-sheet'!E56/10^9</f>
        <v>1.5505409941689179</v>
      </c>
      <c r="F67" s="2">
        <f>F12*'Output-Calculation-sheet'!F56/10^9</f>
        <v>0.61485854424596997</v>
      </c>
      <c r="G67" s="2">
        <f>G12*'Output-Calculation-sheet'!G56/10^9</f>
        <v>0.44628263468867124</v>
      </c>
      <c r="H67" s="2">
        <f>H12*'Output-Calculation-sheet'!H56/10^9</f>
        <v>0.97284523716957905</v>
      </c>
      <c r="I67" s="2">
        <f>I12*'Output-Calculation-sheet'!I56/10^9</f>
        <v>0.42157286195508825</v>
      </c>
      <c r="J67" s="2">
        <f>J12*'Output-Calculation-sheet'!J56/10^9</f>
        <v>0.34812733754115271</v>
      </c>
      <c r="K67" s="2">
        <f>K12*'Output-Calculation-sheet'!K56/10^9</f>
        <v>0.47068478488776594</v>
      </c>
      <c r="L67" s="2">
        <f>L12*'Output-Calculation-sheet'!L56/10^9</f>
        <v>0.40614514941452612</v>
      </c>
      <c r="M67" s="2">
        <f>M12*'Output-Calculation-sheet'!M56/10^9</f>
        <v>0.68176703673093253</v>
      </c>
      <c r="N67" s="2">
        <f>N12*'Output-Calculation-sheet'!N56/10^9</f>
        <v>0.59678748575360774</v>
      </c>
      <c r="O67" s="2">
        <f>O12*'Output-Calculation-sheet'!O56/10^9</f>
        <v>0.60398428490955092</v>
      </c>
      <c r="P67" s="2">
        <f>P12*'Output-Calculation-sheet'!P56/10^9</f>
        <v>0.47554001771537791</v>
      </c>
      <c r="Q67" s="2">
        <f>Q12*'Output-Calculation-sheet'!Q56/10^9</f>
        <v>0.44578066327057908</v>
      </c>
      <c r="R67" s="2">
        <f>R12*'Output-Calculation-sheet'!R56/10^9</f>
        <v>0.35022904748935491</v>
      </c>
      <c r="S67" s="2">
        <f>S12*'Output-Calculation-sheet'!S56/10^9</f>
        <v>0.33966558422860282</v>
      </c>
      <c r="T67" s="2">
        <f>T12*'Output-Calculation-sheet'!T56/10^9</f>
        <v>0.10766220844665142</v>
      </c>
      <c r="U67" s="2">
        <f>U12*'Output-Calculation-sheet'!U56/10^9</f>
        <v>0.11609330509863043</v>
      </c>
      <c r="V67" s="2">
        <f>V12*'Output-Calculation-sheet'!V56/10^9</f>
        <v>7.3208514321558033E-2</v>
      </c>
      <c r="W67" s="2">
        <f>W12*'Output-Calculation-sheet'!W56/10^9</f>
        <v>5.6959755021968594E-2</v>
      </c>
      <c r="X67" s="2">
        <f>X12*'Output-Calculation-sheet'!X56/10^9</f>
        <v>8.3447048929451692E-2</v>
      </c>
      <c r="Y67" s="2">
        <f>Y12*'Output-Calculation-sheet'!Y56/10^9</f>
        <v>5.3483973051609235E-2</v>
      </c>
      <c r="AA67" s="2">
        <f t="shared" si="4"/>
        <v>19.439033458171419</v>
      </c>
    </row>
    <row r="68" spans="1:27" x14ac:dyDescent="0.25">
      <c r="B68" s="2">
        <f>SUM(B60:B67)</f>
        <v>27.936787068972791</v>
      </c>
      <c r="C68" s="2">
        <f t="shared" ref="C68:Y68" si="5">SUM(C60:C67)</f>
        <v>17.854969350832548</v>
      </c>
      <c r="D68" s="2">
        <f t="shared" si="5"/>
        <v>6.1478180939344655</v>
      </c>
      <c r="E68" s="2">
        <f t="shared" si="5"/>
        <v>6.8108629329978063</v>
      </c>
      <c r="F68" s="2">
        <f t="shared" si="5"/>
        <v>3.0918191211487756</v>
      </c>
      <c r="G68" s="2">
        <f t="shared" si="5"/>
        <v>2.2305983731108241</v>
      </c>
      <c r="H68" s="2">
        <f t="shared" si="5"/>
        <v>4.9790293445914475</v>
      </c>
      <c r="I68" s="2">
        <f t="shared" si="5"/>
        <v>2.1234092922814582</v>
      </c>
      <c r="J68" s="2">
        <f t="shared" si="5"/>
        <v>1.9811643890686192</v>
      </c>
      <c r="K68" s="2">
        <f t="shared" si="5"/>
        <v>2.3556886256966876</v>
      </c>
      <c r="L68" s="2">
        <f t="shared" si="5"/>
        <v>1.9824699595107917</v>
      </c>
      <c r="M68" s="2">
        <f t="shared" si="5"/>
        <v>3.4586955073997814</v>
      </c>
      <c r="N68" s="2">
        <f t="shared" si="5"/>
        <v>3.0821211787710805</v>
      </c>
      <c r="O68" s="2">
        <f t="shared" si="5"/>
        <v>3.2448576626724206</v>
      </c>
      <c r="P68" s="2">
        <f t="shared" si="5"/>
        <v>2.1951845545491828</v>
      </c>
      <c r="Q68" s="2">
        <f t="shared" si="5"/>
        <v>2.2216957296214965</v>
      </c>
      <c r="R68" s="2">
        <f t="shared" si="5"/>
        <v>1.7131182337211444</v>
      </c>
      <c r="S68" s="2">
        <f t="shared" si="5"/>
        <v>1.719647644208079</v>
      </c>
      <c r="T68" s="2">
        <f t="shared" si="5"/>
        <v>0.5366386968212189</v>
      </c>
      <c r="U68" s="2">
        <f t="shared" si="5"/>
        <v>0.55705726855556414</v>
      </c>
      <c r="V68" s="2">
        <f t="shared" si="5"/>
        <v>0.38779294749771454</v>
      </c>
      <c r="W68" s="2">
        <f t="shared" si="5"/>
        <v>0.27287073087624103</v>
      </c>
      <c r="X68" s="2">
        <f t="shared" si="5"/>
        <v>0.42078384309731687</v>
      </c>
      <c r="Y68" s="2">
        <f t="shared" si="5"/>
        <v>0.22704013843741003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1410.1218406504702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951.20089530508699</v>
      </c>
      <c r="N74" s="2">
        <f>N8/'Output-Calculation-sheet'!N7*'Output-Calculation-sheet'!N61</f>
        <v>39.539698587236849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8.4407309660868126</v>
      </c>
      <c r="Y74" s="2">
        <f>Y8/'Output-Calculation-sheet'!Y7*'Output-Calculation-sheet'!Y61</f>
        <v>0</v>
      </c>
      <c r="AA74" s="2">
        <f t="shared" si="6"/>
        <v>2.4093031655088808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51.114340203090343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2335.3417818132693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1582.4395890735987</v>
      </c>
      <c r="N75" s="2">
        <f>N9/'Output-Calculation-sheet'!N8*'Output-Calculation-sheet'!N62</f>
        <v>609.17699637685723</v>
      </c>
      <c r="O75" s="2">
        <f>O9/'Output-Calculation-sheet'!O8*'Output-Calculation-sheet'!O62</f>
        <v>0</v>
      </c>
      <c r="P75" s="2">
        <f>P9/'Output-Calculation-sheet'!P8*'Output-Calculation-sheet'!P62</f>
        <v>39.627517766398363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204.74464811725502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55.566825098495734</v>
      </c>
      <c r="Y75" s="2">
        <f>Y9/'Output-Calculation-sheet'!Y8*'Output-Calculation-sheet'!Y62</f>
        <v>0</v>
      </c>
      <c r="AA75" s="2">
        <f t="shared" si="6"/>
        <v>4.8780116984489643</v>
      </c>
    </row>
    <row r="76" spans="1:27" x14ac:dyDescent="0.25">
      <c r="A76" s="2">
        <v>2033</v>
      </c>
      <c r="B76" s="2">
        <f>B10/'Output-Calculation-sheet'!B9*'Output-Calculation-sheet'!B63</f>
        <v>4760.8239205602549</v>
      </c>
      <c r="C76" s="2">
        <f>C10/'Output-Calculation-sheet'!C9*'Output-Calculation-sheet'!C63</f>
        <v>1398.6288123133024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3119.5917220354136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2121.8822147115075</v>
      </c>
      <c r="N76" s="2">
        <f>N10/'Output-Calculation-sheet'!N9*'Output-Calculation-sheet'!N63</f>
        <v>1212.1345366508535</v>
      </c>
      <c r="O76" s="2">
        <f>O10/'Output-Calculation-sheet'!O9*'Output-Calculation-sheet'!O63</f>
        <v>0</v>
      </c>
      <c r="P76" s="2">
        <f>P10/'Output-Calculation-sheet'!P9*'Output-Calculation-sheet'!P63</f>
        <v>417.87194741490168</v>
      </c>
      <c r="Q76" s="2">
        <f>Q10/'Output-Calculation-sheet'!Q9*'Output-Calculation-sheet'!Q63</f>
        <v>188.13193768569147</v>
      </c>
      <c r="R76" s="2">
        <f>R10/'Output-Calculation-sheet'!R9*'Output-Calculation-sheet'!R63</f>
        <v>318.46911714297681</v>
      </c>
      <c r="S76" s="2">
        <f>S10/'Output-Calculation-sheet'!S9*'Output-Calculation-sheet'!S63</f>
        <v>538.93726697292936</v>
      </c>
      <c r="T76" s="2">
        <f>T10/'Output-Calculation-sheet'!T9*'Output-Calculation-sheet'!T63</f>
        <v>20.932866363539013</v>
      </c>
      <c r="U76" s="2">
        <f>U10/'Output-Calculation-sheet'!U9*'Output-Calculation-sheet'!U63</f>
        <v>113.05445339258505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121.66304027016145</v>
      </c>
      <c r="Y76" s="2">
        <f>Y10/'Output-Calculation-sheet'!Y9*'Output-Calculation-sheet'!Y63</f>
        <v>5.3676393949754244</v>
      </c>
      <c r="AA76" s="2">
        <f t="shared" si="6"/>
        <v>14.425361422119545</v>
      </c>
    </row>
    <row r="77" spans="1:27" x14ac:dyDescent="0.25">
      <c r="A77" s="2">
        <v>2034</v>
      </c>
      <c r="B77" s="2">
        <f>B11/'Output-Calculation-sheet'!B10*'Output-Calculation-sheet'!B64</f>
        <v>9220.8908420099287</v>
      </c>
      <c r="C77" s="2">
        <f>C11/'Output-Calculation-sheet'!C10*'Output-Calculation-sheet'!C64</f>
        <v>2515.0520380259481</v>
      </c>
      <c r="D77" s="2">
        <f>D11/'Output-Calculation-sheet'!D10*'Output-Calculation-sheet'!D64</f>
        <v>1114.2205892394386</v>
      </c>
      <c r="E77" s="2">
        <f>E11/'Output-Calculation-sheet'!E10*'Output-Calculation-sheet'!E64</f>
        <v>1618.9477990326045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3349.3944112739482</v>
      </c>
      <c r="I77" s="2">
        <f>I11/'Output-Calculation-sheet'!I10*'Output-Calculation-sheet'!I64</f>
        <v>404.1773631955582</v>
      </c>
      <c r="J77" s="2">
        <f>J11/'Output-Calculation-sheet'!J10*'Output-Calculation-sheet'!J64</f>
        <v>222.34331127534563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160.54672591544863</v>
      </c>
      <c r="M77" s="2">
        <f>M11/'Output-Calculation-sheet'!M10*'Output-Calculation-sheet'!M64</f>
        <v>2338.1902851207024</v>
      </c>
      <c r="N77" s="2">
        <f>N11/'Output-Calculation-sheet'!N10*'Output-Calculation-sheet'!N64</f>
        <v>1618.9705350480995</v>
      </c>
      <c r="O77" s="2">
        <f>O11/'Output-Calculation-sheet'!O10*'Output-Calculation-sheet'!O64</f>
        <v>0</v>
      </c>
      <c r="P77" s="2">
        <f>P11/'Output-Calculation-sheet'!P10*'Output-Calculation-sheet'!P64</f>
        <v>764.76813819408835</v>
      </c>
      <c r="Q77" s="2">
        <f>Q11/'Output-Calculation-sheet'!Q10*'Output-Calculation-sheet'!Q64</f>
        <v>313.45184161750473</v>
      </c>
      <c r="R77" s="2">
        <f>R11/'Output-Calculation-sheet'!R10*'Output-Calculation-sheet'!R64</f>
        <v>650.14376710329122</v>
      </c>
      <c r="S77" s="2">
        <f>S11/'Output-Calculation-sheet'!S10*'Output-Calculation-sheet'!S64</f>
        <v>702.77192421900793</v>
      </c>
      <c r="T77" s="2">
        <f>T11/'Output-Calculation-sheet'!T10*'Output-Calculation-sheet'!T64</f>
        <v>179.87086472179826</v>
      </c>
      <c r="U77" s="2">
        <f>U11/'Output-Calculation-sheet'!U10*'Output-Calculation-sheet'!U64</f>
        <v>195.76329116410542</v>
      </c>
      <c r="V77" s="2">
        <f>V11/'Output-Calculation-sheet'!V10*'Output-Calculation-sheet'!V64</f>
        <v>93.844812784127129</v>
      </c>
      <c r="W77" s="2">
        <f>W11/'Output-Calculation-sheet'!W10*'Output-Calculation-sheet'!W64</f>
        <v>20.397276847765205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59.677393905073593</v>
      </c>
      <c r="AA77" s="2">
        <f t="shared" si="6"/>
        <v>27.058917279530949</v>
      </c>
    </row>
    <row r="78" spans="1:27" x14ac:dyDescent="0.25">
      <c r="A78" s="2">
        <v>2035</v>
      </c>
      <c r="B78" s="2">
        <f>B12/'Output-Calculation-sheet'!B11*'Output-Calculation-sheet'!B65</f>
        <v>9190.8096890822999</v>
      </c>
      <c r="C78" s="2">
        <f>C12/'Output-Calculation-sheet'!C11*'Output-Calculation-sheet'!C65</f>
        <v>3884.7833363819941</v>
      </c>
      <c r="D78" s="2">
        <f>D12/'Output-Calculation-sheet'!D11*'Output-Calculation-sheet'!D65</f>
        <v>990.94975437510914</v>
      </c>
      <c r="E78" s="2">
        <f>E12/'Output-Calculation-sheet'!E11*'Output-Calculation-sheet'!E65</f>
        <v>1902.1909256213889</v>
      </c>
      <c r="F78" s="2">
        <f>F12/'Output-Calculation-sheet'!F11*'Output-Calculation-sheet'!F65</f>
        <v>414.47714986844875</v>
      </c>
      <c r="G78" s="2">
        <f>G12/'Output-Calculation-sheet'!G11*'Output-Calculation-sheet'!G65</f>
        <v>762.28823704800197</v>
      </c>
      <c r="H78" s="2">
        <f>H12/'Output-Calculation-sheet'!H11*'Output-Calculation-sheet'!H65</f>
        <v>2930.0288433089904</v>
      </c>
      <c r="I78" s="2">
        <f>I12/'Output-Calculation-sheet'!I11*'Output-Calculation-sheet'!I65</f>
        <v>485.5076238979367</v>
      </c>
      <c r="J78" s="2">
        <f>J12/'Output-Calculation-sheet'!J11*'Output-Calculation-sheet'!J65</f>
        <v>207.95983836954548</v>
      </c>
      <c r="K78" s="2">
        <f>K12/'Output-Calculation-sheet'!K11*'Output-Calculation-sheet'!K65</f>
        <v>619.36779431352829</v>
      </c>
      <c r="L78" s="2">
        <f>L12/'Output-Calculation-sheet'!L11*'Output-Calculation-sheet'!L65</f>
        <v>179.30725818367011</v>
      </c>
      <c r="M78" s="2">
        <f>M12/'Output-Calculation-sheet'!M11*'Output-Calculation-sheet'!M65</f>
        <v>2061.1722016614217</v>
      </c>
      <c r="N78" s="2">
        <f>N12/'Output-Calculation-sheet'!N11*'Output-Calculation-sheet'!N65</f>
        <v>1447.1014119460306</v>
      </c>
      <c r="O78" s="2">
        <f>O12/'Output-Calculation-sheet'!O11*'Output-Calculation-sheet'!O65</f>
        <v>0</v>
      </c>
      <c r="P78" s="2">
        <f>P12/'Output-Calculation-sheet'!P11*'Output-Calculation-sheet'!P65</f>
        <v>817.86908034713463</v>
      </c>
      <c r="Q78" s="2">
        <f>Q12/'Output-Calculation-sheet'!Q11*'Output-Calculation-sheet'!Q65</f>
        <v>323.87616947710859</v>
      </c>
      <c r="R78" s="2">
        <f>R12/'Output-Calculation-sheet'!R11*'Output-Calculation-sheet'!R65</f>
        <v>643.49649673915496</v>
      </c>
      <c r="S78" s="2">
        <f>S12/'Output-Calculation-sheet'!S11*'Output-Calculation-sheet'!S65</f>
        <v>670.24423679483266</v>
      </c>
      <c r="T78" s="2">
        <f>T12/'Output-Calculation-sheet'!T11*'Output-Calculation-sheet'!T65</f>
        <v>229.69055865711732</v>
      </c>
      <c r="U78" s="2">
        <f>U12/'Output-Calculation-sheet'!U11*'Output-Calculation-sheet'!U65</f>
        <v>170.8350456215897</v>
      </c>
      <c r="V78" s="2">
        <f>V12/'Output-Calculation-sheet'!V11*'Output-Calculation-sheet'!V65</f>
        <v>87.932158966822641</v>
      </c>
      <c r="W78" s="2">
        <f>W12/'Output-Calculation-sheet'!W11*'Output-Calculation-sheet'!W65</f>
        <v>87.715373864617234</v>
      </c>
      <c r="X78" s="2">
        <f>X12/'Output-Calculation-sheet'!X11*'Output-Calculation-sheet'!X65</f>
        <v>45.787267327162589</v>
      </c>
      <c r="Y78" s="2">
        <f>Y12/'Output-Calculation-sheet'!Y11*'Output-Calculation-sheet'!Y65</f>
        <v>79.422394477657818</v>
      </c>
      <c r="AA78" s="2">
        <f t="shared" si="6"/>
        <v>28.232812846331562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362.19174069597835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210.24362318447797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0.57243536388045624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1188.9166489000063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297.09183723569805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1.4860084861357044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1973.7057283605975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358.56001838447344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2.3322657467450707</v>
      </c>
    </row>
    <row r="88" spans="1:27" x14ac:dyDescent="0.25">
      <c r="A88" s="2">
        <v>2034</v>
      </c>
      <c r="B88" s="2">
        <f>B11/'Output-Calculation-sheet'!B10*'Output-Calculation-sheet'!B73</f>
        <v>93.455433990562497</v>
      </c>
      <c r="C88" s="2">
        <f>C11/'Output-Calculation-sheet'!C10*'Output-Calculation-sheet'!C73</f>
        <v>2028.2840321734313</v>
      </c>
      <c r="D88" s="2">
        <f>D11/'Output-Calculation-sheet'!D10*'Output-Calculation-sheet'!D73</f>
        <v>7.1439737971900295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33.514822605933247</v>
      </c>
      <c r="I88" s="2">
        <f>I11/'Output-Calculation-sheet'!I10*'Output-Calculation-sheet'!I73</f>
        <v>0</v>
      </c>
      <c r="J88" s="2">
        <f>J11/'Output-Calculation-sheet'!J10*'Output-Calculation-sheet'!J73</f>
        <v>2.2811812152166659</v>
      </c>
      <c r="K88" s="2">
        <f>K11/'Output-Calculation-sheet'!K10*'Output-Calculation-sheet'!K73</f>
        <v>0</v>
      </c>
      <c r="L88" s="2">
        <f>L11/'Output-Calculation-sheet'!L10*'Output-Calculation-sheet'!L73</f>
        <v>5.4041276837047718</v>
      </c>
      <c r="M88" s="2">
        <f>M11/'Output-Calculation-sheet'!M10*'Output-Calculation-sheet'!M73</f>
        <v>16.228434532933804</v>
      </c>
      <c r="N88" s="2">
        <f>N11/'Output-Calculation-sheet'!N10*'Output-Calculation-sheet'!N73</f>
        <v>8.3946943687017868</v>
      </c>
      <c r="O88" s="2">
        <f>O11/'Output-Calculation-sheet'!O10*'Output-Calculation-sheet'!O73</f>
        <v>383.07194515760136</v>
      </c>
      <c r="P88" s="2">
        <f>P11/'Output-Calculation-sheet'!P10*'Output-Calculation-sheet'!P73</f>
        <v>0</v>
      </c>
      <c r="Q88" s="2">
        <f>Q11/'Output-Calculation-sheet'!Q10*'Output-Calculation-sheet'!Q73</f>
        <v>25.742631411686489</v>
      </c>
      <c r="R88" s="2">
        <f>R11/'Output-Calculation-sheet'!R10*'Output-Calculation-sheet'!R73</f>
        <v>0</v>
      </c>
      <c r="S88" s="2">
        <f>S11/'Output-Calculation-sheet'!S10*'Output-Calculation-sheet'!S73</f>
        <v>12.030321528134548</v>
      </c>
      <c r="T88" s="2">
        <f>T11/'Output-Calculation-sheet'!T10*'Output-Calculation-sheet'!T73</f>
        <v>0</v>
      </c>
      <c r="U88" s="2">
        <f>U11/'Output-Calculation-sheet'!U10*'Output-Calculation-sheet'!U73</f>
        <v>2.3466992145127699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2.6178982976796097</v>
      </c>
    </row>
    <row r="89" spans="1:27" x14ac:dyDescent="0.25">
      <c r="A89" s="2">
        <v>2035</v>
      </c>
      <c r="B89" s="2">
        <f>B12/'Output-Calculation-sheet'!B11*'Output-Calculation-sheet'!B74</f>
        <v>450.79791330954407</v>
      </c>
      <c r="C89" s="2">
        <f>C12/'Output-Calculation-sheet'!C11*'Output-Calculation-sheet'!C74</f>
        <v>1846.2601790726117</v>
      </c>
      <c r="D89" s="2">
        <f>D12/'Output-Calculation-sheet'!D11*'Output-Calculation-sheet'!D74</f>
        <v>85.594571627554828</v>
      </c>
      <c r="E89" s="2">
        <f>E12/'Output-Calculation-sheet'!E11*'Output-Calculation-sheet'!E74</f>
        <v>114.18470934215101</v>
      </c>
      <c r="F89" s="2">
        <f>F12/'Output-Calculation-sheet'!F11*'Output-Calculation-sheet'!F74</f>
        <v>36.671145490294471</v>
      </c>
      <c r="G89" s="2">
        <f>G12/'Output-Calculation-sheet'!G11*'Output-Calculation-sheet'!G74</f>
        <v>35.091094722697676</v>
      </c>
      <c r="H89" s="2">
        <f>H12/'Output-Calculation-sheet'!H11*'Output-Calculation-sheet'!H74</f>
        <v>137.03806108365478</v>
      </c>
      <c r="I89" s="2">
        <f>I12/'Output-Calculation-sheet'!I11*'Output-Calculation-sheet'!I74</f>
        <v>29.589629301374938</v>
      </c>
      <c r="J89" s="2">
        <f>J12/'Output-Calculation-sheet'!J11*'Output-Calculation-sheet'!J74</f>
        <v>23.427145067328929</v>
      </c>
      <c r="K89" s="2">
        <f>K12/'Output-Calculation-sheet'!K11*'Output-Calculation-sheet'!K74</f>
        <v>31.020688657960694</v>
      </c>
      <c r="L89" s="2">
        <f>L12/'Output-Calculation-sheet'!L11*'Output-Calculation-sheet'!L74</f>
        <v>32.374418442664378</v>
      </c>
      <c r="M89" s="2">
        <f>M12/'Output-Calculation-sheet'!M11*'Output-Calculation-sheet'!M74</f>
        <v>86.254819034936503</v>
      </c>
      <c r="N89" s="2">
        <f>N12/'Output-Calculation-sheet'!N11*'Output-Calculation-sheet'!N74</f>
        <v>52.445240746884458</v>
      </c>
      <c r="O89" s="2">
        <f>O12/'Output-Calculation-sheet'!O11*'Output-Calculation-sheet'!O74</f>
        <v>374.09682377402464</v>
      </c>
      <c r="P89" s="2">
        <f>P12/'Output-Calculation-sheet'!P11*'Output-Calculation-sheet'!P74</f>
        <v>30.53025695838884</v>
      </c>
      <c r="Q89" s="2">
        <f>Q12/'Output-Calculation-sheet'!Q11*'Output-Calculation-sheet'!Q74</f>
        <v>51.615136544620604</v>
      </c>
      <c r="R89" s="2">
        <f>R12/'Output-Calculation-sheet'!R11*'Output-Calculation-sheet'!R74</f>
        <v>21.223519820591232</v>
      </c>
      <c r="S89" s="2">
        <f>S12/'Output-Calculation-sheet'!S11*'Output-Calculation-sheet'!S74</f>
        <v>32.946216432811205</v>
      </c>
      <c r="T89" s="2">
        <f>T12/'Output-Calculation-sheet'!T11*'Output-Calculation-sheet'!T74</f>
        <v>5.311581323001878</v>
      </c>
      <c r="U89" s="2">
        <f>U12/'Output-Calculation-sheet'!U11*'Output-Calculation-sheet'!U74</f>
        <v>10.242499187898249</v>
      </c>
      <c r="V89" s="2">
        <f>V12/'Output-Calculation-sheet'!V11*'Output-Calculation-sheet'!V74</f>
        <v>3.8715008077788546</v>
      </c>
      <c r="W89" s="2">
        <f>W12/'Output-Calculation-sheet'!W11*'Output-Calculation-sheet'!W74</f>
        <v>2.9501603316576479</v>
      </c>
      <c r="X89" s="2">
        <f>X12/'Output-Calculation-sheet'!X11*'Output-Calculation-sheet'!X74</f>
        <v>2.0849208401306982</v>
      </c>
      <c r="Y89" s="2">
        <f>Y12/'Output-Calculation-sheet'!Y11*'Output-Calculation-sheet'!Y74</f>
        <v>3.8692086375777315</v>
      </c>
      <c r="AA89" s="2">
        <f t="shared" si="7"/>
        <v>3.4994914405581392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11514669445.260653</v>
      </c>
      <c r="C96" s="2">
        <f>C8/'Output-Calculation-sheet'!C7*'Output-Calculation-sheet'!C79</f>
        <v>3895472537.5712233</v>
      </c>
      <c r="D96" s="2">
        <f>D8/'Output-Calculation-sheet'!D7*'Output-Calculation-sheet'!D79</f>
        <v>4066596104.3453374</v>
      </c>
      <c r="E96" s="2">
        <f>E8/'Output-Calculation-sheet'!E7*'Output-Calculation-sheet'!E79</f>
        <v>7230072835.917366</v>
      </c>
      <c r="F96" s="2">
        <f>F8/'Output-Calculation-sheet'!F7*'Output-Calculation-sheet'!F79</f>
        <v>2992455222.8459015</v>
      </c>
      <c r="G96" s="2">
        <f>G8/'Output-Calculation-sheet'!G7*'Output-Calculation-sheet'!G79</f>
        <v>2330881643.1955333</v>
      </c>
      <c r="H96" s="2">
        <f>H8/'Output-Calculation-sheet'!H7*'Output-Calculation-sheet'!H79</f>
        <v>1995105898.2377784</v>
      </c>
      <c r="I96" s="2">
        <f>I8/'Output-Calculation-sheet'!I7*'Output-Calculation-sheet'!I79</f>
        <v>1623702843.5995877</v>
      </c>
      <c r="J96" s="2">
        <f>J8/'Output-Calculation-sheet'!J7*'Output-Calculation-sheet'!J79</f>
        <v>1097986712.843457</v>
      </c>
      <c r="K96" s="2">
        <f>K8/'Output-Calculation-sheet'!K7*'Output-Calculation-sheet'!K79</f>
        <v>1570893775.578577</v>
      </c>
      <c r="L96" s="2">
        <f>L8/'Output-Calculation-sheet'!L7*'Output-Calculation-sheet'!L79</f>
        <v>1108423949.9818201</v>
      </c>
      <c r="M96" s="2">
        <f>M8/'Output-Calculation-sheet'!M7*'Output-Calculation-sheet'!M79</f>
        <v>1489306221.1380346</v>
      </c>
      <c r="N96" s="2">
        <f>N8/'Output-Calculation-sheet'!N7*'Output-Calculation-sheet'!N79</f>
        <v>1108160828.7053893</v>
      </c>
      <c r="O96" s="2">
        <f>O8/'Output-Calculation-sheet'!O7*'Output-Calculation-sheet'!O79</f>
        <v>560212275.96510661</v>
      </c>
      <c r="P96" s="2">
        <f>P8/'Output-Calculation-sheet'!P7*'Output-Calculation-sheet'!P79</f>
        <v>1873804725.0152586</v>
      </c>
      <c r="Q96" s="2">
        <f>Q8/'Output-Calculation-sheet'!Q7*'Output-Calculation-sheet'!Q79</f>
        <v>873271682.58724833</v>
      </c>
      <c r="R96" s="2">
        <f>R8/'Output-Calculation-sheet'!R7*'Output-Calculation-sheet'!R79</f>
        <v>1089512088.119952</v>
      </c>
      <c r="S96" s="2">
        <f>S8/'Output-Calculation-sheet'!S7*'Output-Calculation-sheet'!S79</f>
        <v>634839744.91371202</v>
      </c>
      <c r="T96" s="2">
        <f>T8/'Output-Calculation-sheet'!T7*'Output-Calculation-sheet'!T79</f>
        <v>484869158.57119673</v>
      </c>
      <c r="U96" s="2">
        <f>U8/'Output-Calculation-sheet'!U7*'Output-Calculation-sheet'!U79</f>
        <v>304582933.95985466</v>
      </c>
      <c r="V96" s="2">
        <f>V8/'Output-Calculation-sheet'!V7*'Output-Calculation-sheet'!V79</f>
        <v>158032799.29777867</v>
      </c>
      <c r="W96" s="2">
        <f>W8/'Output-Calculation-sheet'!W7*'Output-Calculation-sheet'!W79</f>
        <v>466977952.18350458</v>
      </c>
      <c r="X96" s="2">
        <f>X8/'Output-Calculation-sheet'!X7*'Output-Calculation-sheet'!X79</f>
        <v>164128625.47084641</v>
      </c>
      <c r="Y96" s="2">
        <f>Y8/'Output-Calculation-sheet'!Y7*'Output-Calculation-sheet'!Y79</f>
        <v>256694931.89112377</v>
      </c>
      <c r="AA96" s="2">
        <f t="shared" si="8"/>
        <v>48.890654937196231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1008.0276156719398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31.231171014088297</v>
      </c>
      <c r="Y107" s="2">
        <f>Y8/'Output-Calculation-sheet'!Y7*'Output-Calculation-sheet'!Y88</f>
        <v>0</v>
      </c>
      <c r="AA107" s="2">
        <f t="shared" si="9"/>
        <v>1.0392587866860281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698.82886996412583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40.596439785189865</v>
      </c>
      <c r="Y108" s="2">
        <f>Y9/'Output-Calculation-sheet'!Y8*'Output-Calculation-sheet'!Y89</f>
        <v>0</v>
      </c>
      <c r="AA108" s="2">
        <f t="shared" si="9"/>
        <v>0.73942530974931575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3.950142015725603E-2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5.7718973723137459E-2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74.094879087721736</v>
      </c>
      <c r="Y111" s="2">
        <f>Y12/'Output-Calculation-sheet'!Y11*'Output-Calculation-sheet'!Y92</f>
        <v>0</v>
      </c>
      <c r="AA111" s="2">
        <f t="shared" si="9"/>
        <v>7.4094879087721735E-2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11270796044.631166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6922834563.2372313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4776168533.1265001</v>
      </c>
      <c r="N118" s="2">
        <f>N8/'Output-Calculation-sheet'!N7*'Output-Calculation-sheet'!N97</f>
        <v>1600476589.1338499</v>
      </c>
      <c r="O118" s="2">
        <f>O8/'Output-Calculation-sheet'!O7*'Output-Calculation-sheet'!O97</f>
        <v>2739947458.245913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479142400.23022562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260064293.23214874</v>
      </c>
      <c r="Y118" s="2">
        <f>Y8/'Output-Calculation-sheet'!Y7*'Output-Calculation-sheet'!Y97</f>
        <v>0</v>
      </c>
      <c r="AA118" s="2">
        <f t="shared" si="10"/>
        <v>29396.702778531253</v>
      </c>
    </row>
    <row r="119" spans="1:27" x14ac:dyDescent="0.25">
      <c r="A119" s="2">
        <v>2032</v>
      </c>
      <c r="B119" s="2">
        <f>B9/'Output-Calculation-sheet'!B8*'Output-Calculation-sheet'!B98</f>
        <v>5753728251.8080015</v>
      </c>
      <c r="C119" s="2">
        <f>C9/'Output-Calculation-sheet'!C8*'Output-Calculation-sheet'!C98</f>
        <v>14838541969.73502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8998825728.6818829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6208403403.9345903</v>
      </c>
      <c r="N119" s="2">
        <f>N9/'Output-Calculation-sheet'!N8*'Output-Calculation-sheet'!N98</f>
        <v>2911161220.4111309</v>
      </c>
      <c r="O119" s="2">
        <f>O9/'Output-Calculation-sheet'!O8*'Output-Calculation-sheet'!O98</f>
        <v>3133906304.2614617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875624239.92740512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341493139.10638952</v>
      </c>
      <c r="Y119" s="2">
        <f>Y9/'Output-Calculation-sheet'!Y8*'Output-Calculation-sheet'!Y98</f>
        <v>0</v>
      </c>
      <c r="AA119" s="2">
        <f t="shared" si="10"/>
        <v>43061.684257865891</v>
      </c>
    </row>
    <row r="120" spans="1:27" x14ac:dyDescent="0.25">
      <c r="A120" s="2">
        <v>2033</v>
      </c>
      <c r="B120" s="2">
        <f>B10/'Output-Calculation-sheet'!B9*'Output-Calculation-sheet'!B99</f>
        <v>14402481275.29924</v>
      </c>
      <c r="C120" s="2">
        <f>C10/'Output-Calculation-sheet'!C9*'Output-Calculation-sheet'!C99</f>
        <v>19954972940.903023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4252875058.2528281</v>
      </c>
      <c r="O120" s="2">
        <f>O10/'Output-Calculation-sheet'!O9*'Output-Calculation-sheet'!O99</f>
        <v>3305059565.8241916</v>
      </c>
      <c r="P120" s="2">
        <f>P10/'Output-Calculation-sheet'!P9*'Output-Calculation-sheet'!P99</f>
        <v>0</v>
      </c>
      <c r="Q120" s="2">
        <f>Q10/'Output-Calculation-sheet'!Q9*'Output-Calculation-sheet'!Q99</f>
        <v>138365223.33561677</v>
      </c>
      <c r="R120" s="2">
        <f>R10/'Output-Calculation-sheet'!R9*'Output-Calculation-sheet'!R99</f>
        <v>0</v>
      </c>
      <c r="S120" s="2">
        <f>S10/'Output-Calculation-sheet'!S9*'Output-Calculation-sheet'!S99</f>
        <v>1713061532.3495584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466260604.58564836</v>
      </c>
      <c r="Y120" s="2">
        <f>Y10/'Output-Calculation-sheet'!Y9*'Output-Calculation-sheet'!Y99</f>
        <v>0</v>
      </c>
      <c r="AA120" s="2">
        <f t="shared" si="10"/>
        <v>61990.05709867023</v>
      </c>
    </row>
    <row r="121" spans="1:27" x14ac:dyDescent="0.25">
      <c r="A121" s="2">
        <v>2034</v>
      </c>
      <c r="B121" s="2">
        <f>B11/'Output-Calculation-sheet'!B10*'Output-Calculation-sheet'!B100</f>
        <v>25987560335.285854</v>
      </c>
      <c r="C121" s="2">
        <f>C11/'Output-Calculation-sheet'!C10*'Output-Calculation-sheet'!C100</f>
        <v>21154062912.468498</v>
      </c>
      <c r="D121" s="2">
        <f>D11/'Output-Calculation-sheet'!D10*'Output-Calculation-sheet'!D100</f>
        <v>0</v>
      </c>
      <c r="E121" s="2">
        <f>E11/'Output-Calculation-sheet'!E10*'Output-Calculation-sheet'!E100</f>
        <v>623924984.07412231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10864956838.784603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445020547.59843618</v>
      </c>
      <c r="M121" s="2">
        <f>M11/'Output-Calculation-sheet'!M10*'Output-Calculation-sheet'!M100</f>
        <v>7569060589.9708567</v>
      </c>
      <c r="N121" s="2">
        <f>N11/'Output-Calculation-sheet'!N10*'Output-Calculation-sheet'!N100</f>
        <v>5075017517.415287</v>
      </c>
      <c r="O121" s="2">
        <f>O11/'Output-Calculation-sheet'!O10*'Output-Calculation-sheet'!O100</f>
        <v>3240342130.4530625</v>
      </c>
      <c r="P121" s="2">
        <f>P11/'Output-Calculation-sheet'!P10*'Output-Calculation-sheet'!P100</f>
        <v>0</v>
      </c>
      <c r="Q121" s="2">
        <f>Q11/'Output-Calculation-sheet'!Q10*'Output-Calculation-sheet'!Q100</f>
        <v>405970638.25997955</v>
      </c>
      <c r="R121" s="2">
        <f>R11/'Output-Calculation-sheet'!R10*'Output-Calculation-sheet'!R100</f>
        <v>0</v>
      </c>
      <c r="S121" s="2">
        <f>S11/'Output-Calculation-sheet'!S10*'Output-Calculation-sheet'!S100</f>
        <v>2130128189.2261152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33376916.422049753</v>
      </c>
      <c r="AA121" s="2">
        <f t="shared" si="10"/>
        <v>77899.453724014398</v>
      </c>
    </row>
    <row r="122" spans="1:27" x14ac:dyDescent="0.25">
      <c r="A122" s="2">
        <v>2035</v>
      </c>
      <c r="B122" s="2">
        <f>B12/'Output-Calculation-sheet'!B11*'Output-Calculation-sheet'!B101</f>
        <v>26679093021.749096</v>
      </c>
      <c r="C122" s="2">
        <f>C12/'Output-Calculation-sheet'!C11*'Output-Calculation-sheet'!C101</f>
        <v>21362296616.53429</v>
      </c>
      <c r="D122" s="2">
        <f>D12/'Output-Calculation-sheet'!D11*'Output-Calculation-sheet'!D101</f>
        <v>0</v>
      </c>
      <c r="E122" s="2">
        <f>E12/'Output-Calculation-sheet'!E11*'Output-Calculation-sheet'!E101</f>
        <v>1707943785.2275631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9833152263.0204849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461606405.85755301</v>
      </c>
      <c r="M122" s="2">
        <f>M12/'Output-Calculation-sheet'!M11*'Output-Calculation-sheet'!M101</f>
        <v>6883737611.7481356</v>
      </c>
      <c r="N122" s="2">
        <f>N12/'Output-Calculation-sheet'!N11*'Output-Calculation-sheet'!N101</f>
        <v>4609257028.8053007</v>
      </c>
      <c r="O122" s="2">
        <f>O12/'Output-Calculation-sheet'!O11*'Output-Calculation-sheet'!O101</f>
        <v>2953169938.2788877</v>
      </c>
      <c r="P122" s="2">
        <f>P12/'Output-Calculation-sheet'!P11*'Output-Calculation-sheet'!P101</f>
        <v>233994574.91902751</v>
      </c>
      <c r="Q122" s="2">
        <f>Q12/'Output-Calculation-sheet'!Q11*'Output-Calculation-sheet'!Q101</f>
        <v>551577162.63245249</v>
      </c>
      <c r="R122" s="2">
        <f>R12/'Output-Calculation-sheet'!R11*'Output-Calculation-sheet'!R101</f>
        <v>0</v>
      </c>
      <c r="S122" s="2">
        <f>S12/'Output-Calculation-sheet'!S11*'Output-Calculation-sheet'!S101</f>
        <v>2165504563.1486206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196034040.47918424</v>
      </c>
      <c r="Y122" s="2">
        <f>Y12/'Output-Calculation-sheet'!Y11*'Output-Calculation-sheet'!Y101</f>
        <v>192541494.82746184</v>
      </c>
      <c r="AA122" s="2">
        <f t="shared" si="10"/>
        <v>77829.908507228058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3088124589.7846184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2206001794.9004302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145360.03973276066</v>
      </c>
    </row>
    <row r="130" spans="1:27" x14ac:dyDescent="0.25">
      <c r="A130" s="2">
        <v>2032</v>
      </c>
      <c r="B130" s="2">
        <f>B9/'Output-Calculation-sheet'!B8*'Output-Calculation-sheet'!B107</f>
        <v>55462699031.230423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3182899642.4639025</v>
      </c>
      <c r="O130" s="2">
        <f>O9/'Output-Calculation-sheet'!O8*'Output-Calculation-sheet'!O107</f>
        <v>0</v>
      </c>
      <c r="P130" s="2">
        <f>P9/'Output-Calculation-sheet'!P8*'Output-Calculation-sheet'!P107</f>
        <v>5548198964.0731411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2614525179.5086198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183862.31980584204</v>
      </c>
    </row>
    <row r="131" spans="1:27" x14ac:dyDescent="0.25">
      <c r="A131" s="2">
        <v>2033</v>
      </c>
      <c r="B131" s="2">
        <f>B10/'Output-Calculation-sheet'!B9*'Output-Calculation-sheet'!B108</f>
        <v>57071445204.509789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2862325633.7602453</v>
      </c>
      <c r="O131" s="2">
        <f>O10/'Output-Calculation-sheet'!O9*'Output-Calculation-sheet'!O108</f>
        <v>0</v>
      </c>
      <c r="P131" s="2">
        <f>P10/'Output-Calculation-sheet'!P9*'Output-Calculation-sheet'!P108</f>
        <v>6477916607.4102545</v>
      </c>
      <c r="Q131" s="2">
        <f>Q10/'Output-Calculation-sheet'!Q9*'Output-Calculation-sheet'!Q108</f>
        <v>6235156875.5663443</v>
      </c>
      <c r="R131" s="2">
        <f>R10/'Output-Calculation-sheet'!R9*'Output-Calculation-sheet'!R108</f>
        <v>6131403664.8127995</v>
      </c>
      <c r="S131" s="2">
        <f>S10/'Output-Calculation-sheet'!S9*'Output-Calculation-sheet'!S108</f>
        <v>2361876470.9049811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205311.2425389291</v>
      </c>
    </row>
    <row r="132" spans="1:27" x14ac:dyDescent="0.25">
      <c r="A132" s="2">
        <v>2034</v>
      </c>
      <c r="B132" s="2">
        <f>B11/'Output-Calculation-sheet'!B10*'Output-Calculation-sheet'!B109</f>
        <v>48657299836.832932</v>
      </c>
      <c r="C132" s="2">
        <f>C11/'Output-Calculation-sheet'!C10*'Output-Calculation-sheet'!C109</f>
        <v>0</v>
      </c>
      <c r="D132" s="2">
        <f>D11/'Output-Calculation-sheet'!D10*'Output-Calculation-sheet'!D109</f>
        <v>31778338610.774086</v>
      </c>
      <c r="E132" s="2">
        <f>E11/'Output-Calculation-sheet'!E10*'Output-Calculation-sheet'!E109</f>
        <v>24758321657.118824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10100203572.117615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7510254047.3004551</v>
      </c>
      <c r="M132" s="2">
        <f>M11/'Output-Calculation-sheet'!M10*'Output-Calculation-sheet'!M109</f>
        <v>0</v>
      </c>
      <c r="N132" s="2">
        <f>N11/'Output-Calculation-sheet'!N10*'Output-Calculation-sheet'!N109</f>
        <v>2380044439.6172829</v>
      </c>
      <c r="O132" s="2">
        <f>O11/'Output-Calculation-sheet'!O10*'Output-Calculation-sheet'!O109</f>
        <v>0</v>
      </c>
      <c r="P132" s="2">
        <f>P11/'Output-Calculation-sheet'!P10*'Output-Calculation-sheet'!P109</f>
        <v>6901599453.7101431</v>
      </c>
      <c r="Q132" s="2">
        <f>Q11/'Output-Calculation-sheet'!Q10*'Output-Calculation-sheet'!Q109</f>
        <v>5852398962.4857407</v>
      </c>
      <c r="R132" s="2">
        <f>R11/'Output-Calculation-sheet'!R10*'Output-Calculation-sheet'!R109</f>
        <v>6532415619.0631447</v>
      </c>
      <c r="S132" s="2">
        <f>S11/'Output-Calculation-sheet'!S10*'Output-Calculation-sheet'!S109</f>
        <v>2034361536.5206919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2042076770.8460033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780230285.34014201</v>
      </c>
      <c r="AA132" s="2">
        <f t="shared" si="11"/>
        <v>203087.83041997682</v>
      </c>
    </row>
    <row r="133" spans="1:27" x14ac:dyDescent="0.25">
      <c r="A133" s="2">
        <v>2035</v>
      </c>
      <c r="B133" s="2">
        <f>B12/'Output-Calculation-sheet'!B11*'Output-Calculation-sheet'!B110</f>
        <v>40821067089.248718</v>
      </c>
      <c r="C133" s="2">
        <f>C12/'Output-Calculation-sheet'!C11*'Output-Calculation-sheet'!C110</f>
        <v>0</v>
      </c>
      <c r="D133" s="2">
        <f>D12/'Output-Calculation-sheet'!D11*'Output-Calculation-sheet'!D110</f>
        <v>28060067956.344044</v>
      </c>
      <c r="E133" s="2">
        <f>E12/'Output-Calculation-sheet'!E11*'Output-Calculation-sheet'!E110</f>
        <v>22091653411.63018</v>
      </c>
      <c r="F133" s="2">
        <f>F12/'Output-Calculation-sheet'!F11*'Output-Calculation-sheet'!F110</f>
        <v>15181505857.099754</v>
      </c>
      <c r="G133" s="2">
        <f>G12/'Output-Calculation-sheet'!G11*'Output-Calculation-sheet'!G110</f>
        <v>10465491328.327648</v>
      </c>
      <c r="H133" s="2">
        <f>H12/'Output-Calculation-sheet'!H11*'Output-Calculation-sheet'!H110</f>
        <v>0</v>
      </c>
      <c r="I133" s="2">
        <f>I12/'Output-Calculation-sheet'!I11*'Output-Calculation-sheet'!I110</f>
        <v>9496984843.1877232</v>
      </c>
      <c r="J133" s="2">
        <f>J12/'Output-Calculation-sheet'!J11*'Output-Calculation-sheet'!J110</f>
        <v>8893808143.5324192</v>
      </c>
      <c r="K133" s="2">
        <f>K12/'Output-Calculation-sheet'!K11*'Output-Calculation-sheet'!K110</f>
        <v>9107267043.4386234</v>
      </c>
      <c r="L133" s="2">
        <f>L12/'Output-Calculation-sheet'!L11*'Output-Calculation-sheet'!L110</f>
        <v>6674314731.0566092</v>
      </c>
      <c r="M133" s="2">
        <f>M12/'Output-Calculation-sheet'!M11*'Output-Calculation-sheet'!M110</f>
        <v>0</v>
      </c>
      <c r="N133" s="2">
        <f>N12/'Output-Calculation-sheet'!N11*'Output-Calculation-sheet'!N110</f>
        <v>2083782324.0454752</v>
      </c>
      <c r="O133" s="2">
        <f>O12/'Output-Calculation-sheet'!O11*'Output-Calculation-sheet'!O110</f>
        <v>0</v>
      </c>
      <c r="P133" s="2">
        <f>P12/'Output-Calculation-sheet'!P11*'Output-Calculation-sheet'!P110</f>
        <v>6224295076.8776083</v>
      </c>
      <c r="Q133" s="2">
        <f>Q12/'Output-Calculation-sheet'!Q11*'Output-Calculation-sheet'!Q110</f>
        <v>5062399373.7858105</v>
      </c>
      <c r="R133" s="2">
        <f>R12/'Output-Calculation-sheet'!R11*'Output-Calculation-sheet'!R110</f>
        <v>5966939538.7596731</v>
      </c>
      <c r="S133" s="2">
        <f>S12/'Output-Calculation-sheet'!S11*'Output-Calculation-sheet'!S110</f>
        <v>1609092386.9230886</v>
      </c>
      <c r="T133" s="2">
        <f>T12/'Output-Calculation-sheet'!T11*'Output-Calculation-sheet'!T110</f>
        <v>2245521348.8524532</v>
      </c>
      <c r="U133" s="2">
        <f>U12/'Output-Calculation-sheet'!U11*'Output-Calculation-sheet'!U110</f>
        <v>1820555829.819418</v>
      </c>
      <c r="V133" s="2">
        <f>V12/'Output-Calculation-sheet'!V11*'Output-Calculation-sheet'!V110</f>
        <v>1435761405.7079871</v>
      </c>
      <c r="W133" s="2">
        <f>W12/'Output-Calculation-sheet'!W11*'Output-Calculation-sheet'!W110</f>
        <v>1339838513.6103833</v>
      </c>
      <c r="X133" s="2">
        <f>X12/'Output-Calculation-sheet'!X11*'Output-Calculation-sheet'!X110</f>
        <v>0</v>
      </c>
      <c r="Y133" s="2">
        <f>Y12/'Output-Calculation-sheet'!Y11*'Output-Calculation-sheet'!Y110</f>
        <v>573798224.06068492</v>
      </c>
      <c r="AA133" s="2">
        <f t="shared" si="11"/>
        <v>179154.14442630828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8448004530.3240709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257294554.80276617</v>
      </c>
      <c r="Y140" s="2">
        <f>Y8/'Output-Calculation-sheet'!Y7*'Output-Calculation-sheet'!Y115</f>
        <v>0</v>
      </c>
      <c r="AA140" s="2">
        <f t="shared" si="12"/>
        <v>8705.2990851268369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5920469110.6364641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330965058.75856489</v>
      </c>
      <c r="Y141" s="2">
        <f>Y9/'Output-Calculation-sheet'!Y8*'Output-Calculation-sheet'!Y116</f>
        <v>0</v>
      </c>
      <c r="AA141" s="2">
        <f t="shared" si="12"/>
        <v>6251.4341693950291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318882755.39966112</v>
      </c>
      <c r="Y142" s="2">
        <f>Y10/'Output-Calculation-sheet'!Y9*'Output-Calculation-sheet'!Y117</f>
        <v>0</v>
      </c>
      <c r="AA142" s="2">
        <f t="shared" si="12"/>
        <v>318.88275539966111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466.52409947611727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605184840.15190053</v>
      </c>
      <c r="Y144" s="2">
        <f>Y12/'Output-Calculation-sheet'!Y11*'Output-Calculation-sheet'!Y119</f>
        <v>0</v>
      </c>
      <c r="AA144" s="2">
        <f t="shared" si="12"/>
        <v>605.18484015190052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25356293200.108582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6186344009.6272955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192548.1224819551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27667383707.097561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6305009917.0698767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159544.04260575131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28837271296.842712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6033695301.136425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116327.34061237164</v>
      </c>
    </row>
    <row r="154" spans="1:27" x14ac:dyDescent="0.25">
      <c r="A154" s="2">
        <v>2034</v>
      </c>
      <c r="B154" s="2">
        <f>B11/'Output-Calculation-sheet'!B10*'Output-Calculation-sheet'!B127</f>
        <v>13035699177.761967</v>
      </c>
      <c r="C154" s="2">
        <f>C11/'Output-Calculation-sheet'!C10*'Output-Calculation-sheet'!C127</f>
        <v>24057041409.236355</v>
      </c>
      <c r="D154" s="2">
        <f>D11/'Output-Calculation-sheet'!D10*'Output-Calculation-sheet'!D127</f>
        <v>4838542013.098835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2102177526.6859264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1552032435.719064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1338742934.5734482</v>
      </c>
      <c r="M154" s="2">
        <f>M11/'Output-Calculation-sheet'!M10*'Output-Calculation-sheet'!M127</f>
        <v>1350878806.1091428</v>
      </c>
      <c r="N154" s="2">
        <f>N11/'Output-Calculation-sheet'!N10*'Output-Calculation-sheet'!N127</f>
        <v>1255293906.6683269</v>
      </c>
      <c r="O154" s="2">
        <f>O11/'Output-Calculation-sheet'!O10*'Output-Calculation-sheet'!O127</f>
        <v>5430178780.2830734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1670002463.0740921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866047929.21171117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368893137.7440781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71326.232154581929</v>
      </c>
    </row>
    <row r="155" spans="1:27" x14ac:dyDescent="0.25">
      <c r="A155" s="2">
        <v>2035</v>
      </c>
      <c r="B155" s="2">
        <f>B12/'Output-Calculation-sheet'!B11*'Output-Calculation-sheet'!B128</f>
        <v>10008077222.176161</v>
      </c>
      <c r="C155" s="2">
        <f>C12/'Output-Calculation-sheet'!C11*'Output-Calculation-sheet'!C128</f>
        <v>17679656338.562309</v>
      </c>
      <c r="D155" s="2">
        <f>D12/'Output-Calculation-sheet'!D11*'Output-Calculation-sheet'!D128</f>
        <v>4123139426.4831033</v>
      </c>
      <c r="E155" s="2">
        <f>E12/'Output-Calculation-sheet'!E11*'Output-Calculation-sheet'!E128</f>
        <v>2247275338.2176261</v>
      </c>
      <c r="F155" s="2">
        <f>F12/'Output-Calculation-sheet'!F11*'Output-Calculation-sheet'!F128</f>
        <v>1224126689.0441782</v>
      </c>
      <c r="G155" s="2">
        <f>G12/'Output-Calculation-sheet'!G11*'Output-Calculation-sheet'!G128</f>
        <v>1154898370.7726443</v>
      </c>
      <c r="H155" s="2">
        <f>H12/'Output-Calculation-sheet'!H11*'Output-Calculation-sheet'!H128</f>
        <v>1686870544.0645239</v>
      </c>
      <c r="I155" s="2">
        <f>I12/'Output-Calculation-sheet'!I11*'Output-Calculation-sheet'!I128</f>
        <v>1055230291.7505167</v>
      </c>
      <c r="J155" s="2">
        <f>J12/'Output-Calculation-sheet'!J11*'Output-Calculation-sheet'!J128</f>
        <v>1312727384.1441984</v>
      </c>
      <c r="K155" s="2">
        <f>K12/'Output-Calculation-sheet'!K11*'Output-Calculation-sheet'!K128</f>
        <v>1052354566.6013436</v>
      </c>
      <c r="L155" s="2">
        <f>L12/'Output-Calculation-sheet'!L11*'Output-Calculation-sheet'!L128</f>
        <v>1077212524.5104535</v>
      </c>
      <c r="M155" s="2">
        <f>M12/'Output-Calculation-sheet'!M11*'Output-Calculation-sheet'!M128</f>
        <v>1064999946.1930438</v>
      </c>
      <c r="N155" s="2">
        <f>N12/'Output-Calculation-sheet'!N11*'Output-Calculation-sheet'!N128</f>
        <v>976600070.21866596</v>
      </c>
      <c r="O155" s="2">
        <f>O12/'Output-Calculation-sheet'!O11*'Output-Calculation-sheet'!O128</f>
        <v>4589903880.487628</v>
      </c>
      <c r="P155" s="2">
        <f>P12/'Output-Calculation-sheet'!P11*'Output-Calculation-sheet'!P128</f>
        <v>564797143.40666723</v>
      </c>
      <c r="Q155" s="2">
        <f>Q12/'Output-Calculation-sheet'!Q11*'Output-Calculation-sheet'!Q128</f>
        <v>1342042647.4851418</v>
      </c>
      <c r="R155" s="2">
        <f>R12/'Output-Calculation-sheet'!R11*'Output-Calculation-sheet'!R128</f>
        <v>619867977.59018803</v>
      </c>
      <c r="S155" s="2">
        <f>S12/'Output-Calculation-sheet'!S11*'Output-Calculation-sheet'!S128</f>
        <v>651073657.10799062</v>
      </c>
      <c r="T155" s="2">
        <f>T12/'Output-Calculation-sheet'!T11*'Output-Calculation-sheet'!T128</f>
        <v>160613766.86512366</v>
      </c>
      <c r="U155" s="2">
        <f>U12/'Output-Calculation-sheet'!U11*'Output-Calculation-sheet'!U128</f>
        <v>312619752.71317369</v>
      </c>
      <c r="V155" s="2">
        <f>V12/'Output-Calculation-sheet'!V11*'Output-Calculation-sheet'!V128</f>
        <v>173670415.85589316</v>
      </c>
      <c r="W155" s="2">
        <f>W12/'Output-Calculation-sheet'!W11*'Output-Calculation-sheet'!W128</f>
        <v>62156378.225087717</v>
      </c>
      <c r="X155" s="2">
        <f>X12/'Output-Calculation-sheet'!X11*'Output-Calculation-sheet'!X128</f>
        <v>27992451.918794464</v>
      </c>
      <c r="Y155" s="2">
        <f>Y12/'Output-Calculation-sheet'!Y11*'Output-Calculation-sheet'!Y128</f>
        <v>68945204.298896611</v>
      </c>
      <c r="AA155" s="2">
        <f t="shared" si="13"/>
        <v>53236.851988693357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7361.788056264365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4720.460920901065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3276.4785205973167</v>
      </c>
      <c r="N19" s="2">
        <f>N8/'Output-Calculation-sheet'!N7*'Output-Calculation-sheet'!N25</f>
        <v>1120.0191081287796</v>
      </c>
      <c r="O19" s="2">
        <f>O8/'Output-Calculation-sheet'!O7*'Output-Calculation-sheet'!O25</f>
        <v>1750.5402470914221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172.97698838568346</v>
      </c>
      <c r="Y19" s="2">
        <f>Y8/'Output-Calculation-sheet'!Y7*'Output-Calculation-sheet'!Y25</f>
        <v>0</v>
      </c>
      <c r="AA19" s="2">
        <f t="shared" si="0"/>
        <v>19.852973915514095</v>
      </c>
    </row>
    <row r="20" spans="1:27" x14ac:dyDescent="0.25">
      <c r="A20" s="2">
        <v>2032</v>
      </c>
      <c r="B20" s="2">
        <f>B9/'Output-Calculation-sheet'!B8*'Output-Calculation-sheet'!B26</f>
        <v>5749.1752825999902</v>
      </c>
      <c r="C20" s="2">
        <f>C9/'Output-Calculation-sheet'!C8*'Output-Calculation-sheet'!C26</f>
        <v>9719.8142340039958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6249.7533629270783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4346.3398762504021</v>
      </c>
      <c r="N20" s="2">
        <f>N9/'Output-Calculation-sheet'!N8*'Output-Calculation-sheet'!N26</f>
        <v>1957.0991725811041</v>
      </c>
      <c r="O20" s="2">
        <f>O9/'Output-Calculation-sheet'!O8*'Output-Calculation-sheet'!O26</f>
        <v>2037.9628047883236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711.7422461269075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232.26524649941771</v>
      </c>
      <c r="Y20" s="2">
        <f>Y9/'Output-Calculation-sheet'!Y8*'Output-Calculation-sheet'!Y26</f>
        <v>0</v>
      </c>
      <c r="AA20" s="2">
        <f t="shared" si="0"/>
        <v>31.004152225777215</v>
      </c>
    </row>
    <row r="21" spans="1:27" x14ac:dyDescent="0.25">
      <c r="A21" s="2">
        <v>2033</v>
      </c>
      <c r="B21" s="2">
        <f>B10/'Output-Calculation-sheet'!B9*'Output-Calculation-sheet'!B27</f>
        <v>13222.120922497275</v>
      </c>
      <c r="C21" s="2">
        <f>C10/'Output-Calculation-sheet'!C9*'Output-Calculation-sheet'!C27</f>
        <v>13576.517950186628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7635.5263807887077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5304.3309869404047</v>
      </c>
      <c r="N21" s="2">
        <f>N10/'Output-Calculation-sheet'!N9*'Output-Calculation-sheet'!N27</f>
        <v>2897.7004982960857</v>
      </c>
      <c r="O21" s="2">
        <f>O10/'Output-Calculation-sheet'!O9*'Output-Calculation-sheet'!O27</f>
        <v>2240.6605285400783</v>
      </c>
      <c r="P21" s="2">
        <f>P10/'Output-Calculation-sheet'!P9*'Output-Calculation-sheet'!P27</f>
        <v>0</v>
      </c>
      <c r="Q21" s="2">
        <f>Q10/'Output-Calculation-sheet'!Q9*'Output-Calculation-sheet'!Q27</f>
        <v>195.66302081566542</v>
      </c>
      <c r="R21" s="2">
        <f>R10/'Output-Calculation-sheet'!R9*'Output-Calculation-sheet'!R27</f>
        <v>0</v>
      </c>
      <c r="S21" s="2">
        <f>S10/'Output-Calculation-sheet'!S9*'Output-Calculation-sheet'!S27</f>
        <v>1261.3764322131547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336.26093527481152</v>
      </c>
      <c r="Y21" s="2">
        <f>Y10/'Output-Calculation-sheet'!Y9*'Output-Calculation-sheet'!Y27</f>
        <v>0</v>
      </c>
      <c r="AA21" s="2">
        <f t="shared" si="0"/>
        <v>46.670157655552806</v>
      </c>
    </row>
    <row r="22" spans="1:27" x14ac:dyDescent="0.25">
      <c r="A22" s="2">
        <v>2034</v>
      </c>
      <c r="B22" s="2">
        <f>B11/'Output-Calculation-sheet'!B10*'Output-Calculation-sheet'!B28</f>
        <v>21960.407279423485</v>
      </c>
      <c r="C22" s="2">
        <f>C11/'Output-Calculation-sheet'!C10*'Output-Calculation-sheet'!C28</f>
        <v>15442.789513070069</v>
      </c>
      <c r="D22" s="2">
        <f>D11/'Output-Calculation-sheet'!D10*'Output-Calculation-sheet'!D28</f>
        <v>0</v>
      </c>
      <c r="E22" s="2">
        <f>E11/'Output-Calculation-sheet'!E10*'Output-Calculation-sheet'!E28</f>
        <v>1257.9171215938372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8831.9106868783219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630.75361050798494</v>
      </c>
      <c r="M22" s="2">
        <f>M11/'Output-Calculation-sheet'!M10*'Output-Calculation-sheet'!M28</f>
        <v>6275.4441833267401</v>
      </c>
      <c r="N22" s="2">
        <f>N11/'Output-Calculation-sheet'!N10*'Output-Calculation-sheet'!N28</f>
        <v>3700.6640044118849</v>
      </c>
      <c r="O22" s="2">
        <f>O11/'Output-Calculation-sheet'!O10*'Output-Calculation-sheet'!O28</f>
        <v>2359.5709761605967</v>
      </c>
      <c r="P22" s="2">
        <f>P11/'Output-Calculation-sheet'!P10*'Output-Calculation-sheet'!P28</f>
        <v>0</v>
      </c>
      <c r="Q22" s="2">
        <f>Q11/'Output-Calculation-sheet'!Q10*'Output-Calculation-sheet'!Q28</f>
        <v>554.20678520877857</v>
      </c>
      <c r="R22" s="2">
        <f>R11/'Output-Calculation-sheet'!R10*'Output-Calculation-sheet'!R28</f>
        <v>0</v>
      </c>
      <c r="S22" s="2">
        <f>S11/'Output-Calculation-sheet'!S10*'Output-Calculation-sheet'!S28</f>
        <v>1626.1313281939474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68.182709677095062</v>
      </c>
      <c r="AA22" s="2">
        <f t="shared" si="0"/>
        <v>62.986936772369113</v>
      </c>
    </row>
    <row r="23" spans="1:27" x14ac:dyDescent="0.25">
      <c r="A23" s="2">
        <v>2035</v>
      </c>
      <c r="B23" s="2">
        <f>B12/'Output-Calculation-sheet'!B11*'Output-Calculation-sheet'!B29</f>
        <v>23772.057003960697</v>
      </c>
      <c r="C23" s="2">
        <f>C12/'Output-Calculation-sheet'!C11*'Output-Calculation-sheet'!C29</f>
        <v>17310.964167936003</v>
      </c>
      <c r="D23" s="2">
        <f>D12/'Output-Calculation-sheet'!D11*'Output-Calculation-sheet'!D29</f>
        <v>0</v>
      </c>
      <c r="E23" s="2">
        <f>E12/'Output-Calculation-sheet'!E11*'Output-Calculation-sheet'!E29</f>
        <v>3161.5642550058951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8593.0485353880576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689.87563794439961</v>
      </c>
      <c r="M23" s="2">
        <f>M12/'Output-Calculation-sheet'!M11*'Output-Calculation-sheet'!M29</f>
        <v>6140.9897013816662</v>
      </c>
      <c r="N23" s="2">
        <f>N12/'Output-Calculation-sheet'!N11*'Output-Calculation-sheet'!N29</f>
        <v>3673.198587686391</v>
      </c>
      <c r="O23" s="2">
        <f>O12/'Output-Calculation-sheet'!O11*'Output-Calculation-sheet'!O29</f>
        <v>2386.3840238841758</v>
      </c>
      <c r="P23" s="2">
        <f>P12/'Output-Calculation-sheet'!P11*'Output-Calculation-sheet'!P29</f>
        <v>499.88971159224616</v>
      </c>
      <c r="Q23" s="2">
        <f>Q12/'Output-Calculation-sheet'!Q11*'Output-Calculation-sheet'!Q29</f>
        <v>744.78316157125175</v>
      </c>
      <c r="R23" s="2">
        <f>R12/'Output-Calculation-sheet'!R11*'Output-Calculation-sheet'!R29</f>
        <v>0</v>
      </c>
      <c r="S23" s="2">
        <f>S12/'Output-Calculation-sheet'!S11*'Output-Calculation-sheet'!S29</f>
        <v>1758.8192841397617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155.0257046371114</v>
      </c>
      <c r="Y23" s="2">
        <f>Y12/'Output-Calculation-sheet'!Y11*'Output-Calculation-sheet'!Y29</f>
        <v>163.57570524761957</v>
      </c>
      <c r="AA23" s="2">
        <f t="shared" si="0"/>
        <v>69.050175480375302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1525.2578911776802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39.210070615294285</v>
      </c>
    </row>
    <row r="31" spans="1:27" x14ac:dyDescent="0.25">
      <c r="A31" s="2">
        <v>2032</v>
      </c>
      <c r="B31" s="2">
        <f>B9/'Output-Calculation-sheet'!B8*'Output-Calculation-sheet'!B17</f>
        <v>24343.666847893779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1667.4335231525686</v>
      </c>
      <c r="O31" s="2">
        <f>O9/'Output-Calculation-sheet'!O8*'Output-Calculation-sheet'!O17</f>
        <v>0</v>
      </c>
      <c r="P31" s="2">
        <f>P9/'Output-Calculation-sheet'!P8*'Output-Calculation-sheet'!P17</f>
        <v>2064.7680198068188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1239.8355843931497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53.013430587024928</v>
      </c>
    </row>
    <row r="32" spans="1:27" x14ac:dyDescent="0.25">
      <c r="A32" s="2">
        <v>2033</v>
      </c>
      <c r="B32" s="2">
        <f>B10/'Output-Calculation-sheet'!B9*'Output-Calculation-sheet'!B18</f>
        <v>26779.314904288676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2554.2058080183219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1636.4581493813248</v>
      </c>
      <c r="O32" s="2">
        <f>O10/'Output-Calculation-sheet'!O9*'Output-Calculation-sheet'!O18</f>
        <v>0</v>
      </c>
      <c r="P32" s="2">
        <f>P10/'Output-Calculation-sheet'!P9*'Output-Calculation-sheet'!P18</f>
        <v>2628.7851295115715</v>
      </c>
      <c r="Q32" s="2">
        <f>Q10/'Output-Calculation-sheet'!Q9*'Output-Calculation-sheet'!Q18</f>
        <v>2864.019130078228</v>
      </c>
      <c r="R32" s="2">
        <f>R10/'Output-Calculation-sheet'!R9*'Output-Calculation-sheet'!R18</f>
        <v>1887.7149140688209</v>
      </c>
      <c r="S32" s="2">
        <f>S10/'Output-Calculation-sheet'!S9*'Output-Calculation-sheet'!S18</f>
        <v>1236.341126916041</v>
      </c>
      <c r="T32" s="2">
        <f>T10/'Output-Calculation-sheet'!T9*'Output-Calculation-sheet'!T18</f>
        <v>551.1392422469246</v>
      </c>
      <c r="U32" s="2">
        <f>U10/'Output-Calculation-sheet'!U9*'Output-Calculation-sheet'!U18</f>
        <v>609.35220166405554</v>
      </c>
      <c r="V32" s="2">
        <f>V10/'Output-Calculation-sheet'!V9*'Output-Calculation-sheet'!V18</f>
        <v>449.67394527062402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260.3793286257216</v>
      </c>
      <c r="AA32" s="2">
        <f t="shared" si="1"/>
        <v>64.371562580373521</v>
      </c>
    </row>
    <row r="33" spans="1:27" x14ac:dyDescent="0.25">
      <c r="A33" s="2">
        <v>2034</v>
      </c>
      <c r="B33" s="2">
        <f>B11/'Output-Calculation-sheet'!B10*'Output-Calculation-sheet'!B19</f>
        <v>24950.76284276275</v>
      </c>
      <c r="C33" s="2">
        <f>C11/'Output-Calculation-sheet'!C10*'Output-Calculation-sheet'!C19</f>
        <v>0</v>
      </c>
      <c r="D33" s="2">
        <f>D11/'Output-Calculation-sheet'!D10*'Output-Calculation-sheet'!D19</f>
        <v>7292.8126925125644</v>
      </c>
      <c r="E33" s="2">
        <f>E11/'Output-Calculation-sheet'!E10*'Output-Calculation-sheet'!E19</f>
        <v>9175.0499702500019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2753.7488198619858</v>
      </c>
      <c r="J33" s="2">
        <f>J11/'Output-Calculation-sheet'!J10*'Output-Calculation-sheet'!J19</f>
        <v>2279.4567153246803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2554.6168841919211</v>
      </c>
      <c r="M33" s="2">
        <f>M11/'Output-Calculation-sheet'!M10*'Output-Calculation-sheet'!M19</f>
        <v>0</v>
      </c>
      <c r="N33" s="2">
        <f>N11/'Output-Calculation-sheet'!N10*'Output-Calculation-sheet'!N19</f>
        <v>1516.3043822310103</v>
      </c>
      <c r="O33" s="2">
        <f>O11/'Output-Calculation-sheet'!O10*'Output-Calculation-sheet'!O19</f>
        <v>0</v>
      </c>
      <c r="P33" s="2">
        <f>P11/'Output-Calculation-sheet'!P10*'Output-Calculation-sheet'!P19</f>
        <v>3266.9270777902466</v>
      </c>
      <c r="Q33" s="2">
        <f>Q11/'Output-Calculation-sheet'!Q10*'Output-Calculation-sheet'!Q19</f>
        <v>2734.4208733552841</v>
      </c>
      <c r="R33" s="2">
        <f>R11/'Output-Calculation-sheet'!R10*'Output-Calculation-sheet'!R19</f>
        <v>2332.9052765239958</v>
      </c>
      <c r="S33" s="2">
        <f>S11/'Output-Calculation-sheet'!S10*'Output-Calculation-sheet'!S19</f>
        <v>1169.7178622595704</v>
      </c>
      <c r="T33" s="2">
        <f>T11/'Output-Calculation-sheet'!T10*'Output-Calculation-sheet'!T19</f>
        <v>684.51880970790307</v>
      </c>
      <c r="U33" s="2">
        <f>U11/'Output-Calculation-sheet'!U10*'Output-Calculation-sheet'!U19</f>
        <v>737.88694926714788</v>
      </c>
      <c r="V33" s="2">
        <f>V11/'Output-Calculation-sheet'!V10*'Output-Calculation-sheet'!V19</f>
        <v>536.92339696849115</v>
      </c>
      <c r="W33" s="2">
        <f>W11/'Output-Calculation-sheet'!W10*'Output-Calculation-sheet'!W19</f>
        <v>334.32144881736258</v>
      </c>
      <c r="X33" s="2">
        <f>X11/'Output-Calculation-sheet'!X10*'Output-Calculation-sheet'!X19</f>
        <v>0</v>
      </c>
      <c r="Y33" s="2">
        <f>Y11/'Output-Calculation-sheet'!Y10*'Output-Calculation-sheet'!Y19</f>
        <v>301.33499457464876</v>
      </c>
      <c r="AA33" s="2">
        <f t="shared" si="1"/>
        <v>72.583146952049333</v>
      </c>
    </row>
    <row r="34" spans="1:27" x14ac:dyDescent="0.25">
      <c r="A34" s="2">
        <v>2035</v>
      </c>
      <c r="B34" s="2">
        <f>B12/'Output-Calculation-sheet'!B11*'Output-Calculation-sheet'!B20</f>
        <v>22152.877020472322</v>
      </c>
      <c r="C34" s="2">
        <f>C12/'Output-Calculation-sheet'!C11*'Output-Calculation-sheet'!C20</f>
        <v>0</v>
      </c>
      <c r="D34" s="2">
        <f>D12/'Output-Calculation-sheet'!D11*'Output-Calculation-sheet'!D20</f>
        <v>6907.9900553118141</v>
      </c>
      <c r="E34" s="2">
        <f>E12/'Output-Calculation-sheet'!E11*'Output-Calculation-sheet'!E20</f>
        <v>8085.8035055403043</v>
      </c>
      <c r="F34" s="2">
        <f>F12/'Output-Calculation-sheet'!F11*'Output-Calculation-sheet'!F20</f>
        <v>4697.0354597568676</v>
      </c>
      <c r="G34" s="2">
        <f>G12/'Output-Calculation-sheet'!G11*'Output-Calculation-sheet'!G20</f>
        <v>2493.4600109599273</v>
      </c>
      <c r="H34" s="2">
        <f>H12/'Output-Calculation-sheet'!H11*'Output-Calculation-sheet'!H20</f>
        <v>0</v>
      </c>
      <c r="I34" s="2">
        <f>I12/'Output-Calculation-sheet'!I11*'Output-Calculation-sheet'!I20</f>
        <v>2763.9887836812068</v>
      </c>
      <c r="J34" s="2">
        <f>J12/'Output-Calculation-sheet'!J11*'Output-Calculation-sheet'!J20</f>
        <v>2161.9007212506731</v>
      </c>
      <c r="K34" s="2">
        <f>K12/'Output-Calculation-sheet'!K11*'Output-Calculation-sheet'!K20</f>
        <v>3191.6774434556851</v>
      </c>
      <c r="L34" s="2">
        <f>L12/'Output-Calculation-sheet'!L11*'Output-Calculation-sheet'!L20</f>
        <v>2423.3529948349446</v>
      </c>
      <c r="M34" s="2">
        <f>M12/'Output-Calculation-sheet'!M11*'Output-Calculation-sheet'!M20</f>
        <v>0</v>
      </c>
      <c r="N34" s="2">
        <f>N12/'Output-Calculation-sheet'!N11*'Output-Calculation-sheet'!N20</f>
        <v>1410.2170851038807</v>
      </c>
      <c r="O34" s="2">
        <f>O12/'Output-Calculation-sheet'!O11*'Output-Calculation-sheet'!O20</f>
        <v>0</v>
      </c>
      <c r="P34" s="2">
        <f>P12/'Output-Calculation-sheet'!P11*'Output-Calculation-sheet'!P20</f>
        <v>3045.3922228133642</v>
      </c>
      <c r="Q34" s="2">
        <f>Q12/'Output-Calculation-sheet'!Q11*'Output-Calculation-sheet'!Q20</f>
        <v>2499.0434844168522</v>
      </c>
      <c r="R34" s="2">
        <f>R12/'Output-Calculation-sheet'!R11*'Output-Calculation-sheet'!R20</f>
        <v>2370.0138015915818</v>
      </c>
      <c r="S34" s="2">
        <f>S12/'Output-Calculation-sheet'!S11*'Output-Calculation-sheet'!S20</f>
        <v>1002.6658993079313</v>
      </c>
      <c r="T34" s="2">
        <f>T12/'Output-Calculation-sheet'!T11*'Output-Calculation-sheet'!T20</f>
        <v>734.12915437107699</v>
      </c>
      <c r="U34" s="2">
        <f>U12/'Output-Calculation-sheet'!U11*'Output-Calculation-sheet'!U20</f>
        <v>701.43091310309717</v>
      </c>
      <c r="V34" s="2">
        <f>V12/'Output-Calculation-sheet'!V11*'Output-Calculation-sheet'!V20</f>
        <v>522.18036011399579</v>
      </c>
      <c r="W34" s="2">
        <f>W12/'Output-Calculation-sheet'!W11*'Output-Calculation-sheet'!W20</f>
        <v>411.72924841512281</v>
      </c>
      <c r="X34" s="2">
        <f>X12/'Output-Calculation-sheet'!X11*'Output-Calculation-sheet'!X20</f>
        <v>0</v>
      </c>
      <c r="Y34" s="2">
        <f>Y12/'Output-Calculation-sheet'!Y11*'Output-Calculation-sheet'!Y20</f>
        <v>243.16263571322838</v>
      </c>
      <c r="AA34" s="2">
        <f t="shared" si="1"/>
        <v>67.818050800213896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0.59892548618641173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0.32967131946512612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0.9285968056515379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1.8503314385861862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0.46217313622450529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2.3125045748106916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3.2185000789961711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0.58358080933802037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3.8020808883341912</v>
      </c>
    </row>
    <row r="44" spans="1:27" x14ac:dyDescent="0.25">
      <c r="A44" s="2">
        <v>2034</v>
      </c>
      <c r="B44" s="2">
        <f>B11/'Output-Calculation-sheet'!B10*'Output-Calculation-sheet'!B37*0.0114</f>
        <v>0.22143156302292008</v>
      </c>
      <c r="C44" s="2">
        <f>C11/'Output-Calculation-sheet'!C10*'Output-Calculation-sheet'!C37*0.0114</f>
        <v>3.5207342552701664</v>
      </c>
      <c r="D44" s="2">
        <f>D11/'Output-Calculation-sheet'!D10*'Output-Calculation-sheet'!D37*0.0114</f>
        <v>4.6548695410610165E-2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6.4703952191316041E-2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1.4863717670030193E-2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1.1737402770045851E-2</v>
      </c>
      <c r="M44" s="2">
        <f>M11/'Output-Calculation-sheet'!M10*'Output-Calculation-sheet'!M37*0.0114</f>
        <v>3.3391962049042746E-2</v>
      </c>
      <c r="N44" s="2">
        <f>N11/'Output-Calculation-sheet'!N10*'Output-Calculation-sheet'!N37*0.0114</f>
        <v>2.1879255569921832E-2</v>
      </c>
      <c r="O44" s="2">
        <f>O11/'Output-Calculation-sheet'!O10*'Output-Calculation-sheet'!O37*0.0114</f>
        <v>0.67377218749932943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4.7923944318797845E-2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2.5083889203517829E-2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6.1162479067120466E-3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4.6881870728824104</v>
      </c>
    </row>
    <row r="45" spans="1:27" x14ac:dyDescent="0.25">
      <c r="A45" s="2">
        <v>2035</v>
      </c>
      <c r="B45" s="2">
        <f>B12/'Output-Calculation-sheet'!B11*'Output-Calculation-sheet'!B38*0.0114</f>
        <v>0.94565995142085424</v>
      </c>
      <c r="C45" s="2">
        <f>C12/'Output-Calculation-sheet'!C11*'Output-Calculation-sheet'!C38*0.0114</f>
        <v>3.5906568050000049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0.24575955552538364</v>
      </c>
      <c r="F45" s="2">
        <f>F12/'Output-Calculation-sheet'!F11*'Output-Calculation-sheet'!F38*0.0114</f>
        <v>8.8323344485838062E-2</v>
      </c>
      <c r="G45" s="2">
        <f>G12/'Output-Calculation-sheet'!G11*'Output-Calculation-sheet'!G38*0.0114</f>
        <v>7.9235394224960815E-2</v>
      </c>
      <c r="H45" s="2">
        <f>H12/'Output-Calculation-sheet'!H11*'Output-Calculation-sheet'!H38*0.0114</f>
        <v>0.27632888216411916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5.6424847831629051E-2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6.6835348323428509E-2</v>
      </c>
      <c r="M45" s="2">
        <f>M12/'Output-Calculation-sheet'!M11*'Output-Calculation-sheet'!M38*0.0114</f>
        <v>0.16901436722126523</v>
      </c>
      <c r="N45" s="2">
        <f>N12/'Output-Calculation-sheet'!N11*'Output-Calculation-sheet'!N38*0.0114</f>
        <v>0.10382107067764071</v>
      </c>
      <c r="O45" s="2">
        <f>O12/'Output-Calculation-sheet'!O11*'Output-Calculation-sheet'!O38*0.0114</f>
        <v>0.72663006866195001</v>
      </c>
      <c r="P45" s="2">
        <f>P12/'Output-Calculation-sheet'!P11*'Output-Calculation-sheet'!P38*0.0114</f>
        <v>6.7138703120974363E-2</v>
      </c>
      <c r="Q45" s="2">
        <f>Q12/'Output-Calculation-sheet'!Q11*'Output-Calculation-sheet'!Q38*0.0114</f>
        <v>0.10005946891217937</v>
      </c>
      <c r="R45" s="2">
        <f>R12/'Output-Calculation-sheet'!R11*'Output-Calculation-sheet'!R38*0.0114</f>
        <v>4.5103555507940464E-2</v>
      </c>
      <c r="S45" s="2">
        <f>S12/'Output-Calculation-sheet'!S11*'Output-Calculation-sheet'!S38*0.0114</f>
        <v>6.546520397141696E-2</v>
      </c>
      <c r="T45" s="2">
        <f>T12/'Output-Calculation-sheet'!T11*'Output-Calculation-sheet'!T38*0.0114</f>
        <v>1.3349293158455138E-2</v>
      </c>
      <c r="U45" s="2">
        <f>U12/'Output-Calculation-sheet'!U11*'Output-Calculation-sheet'!U38*0.0114</f>
        <v>2.0315900736329048E-2</v>
      </c>
      <c r="V45" s="2">
        <f>V12/'Output-Calculation-sheet'!V11*'Output-Calculation-sheet'!V38*0.0114</f>
        <v>8.9516195677232444E-3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4.6353069014178887E-3</v>
      </c>
      <c r="Y45" s="2">
        <f>Y12/'Output-Calculation-sheet'!Y11*'Output-Calculation-sheet'!Y38*0.0114</f>
        <v>7.8280296937775252E-3</v>
      </c>
      <c r="AA45" s="2">
        <f t="shared" si="2"/>
        <v>6.9911143202950194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6665.813875109754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4558.9078229033857</v>
      </c>
      <c r="N52" s="2">
        <f>N8/'Output-Calculation-sheet'!N7*'Output-Calculation-sheet'!N43</f>
        <v>144.00842021840728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30.825237182738817</v>
      </c>
      <c r="Y52" s="2">
        <f>Y8/'Output-Calculation-sheet'!Y7*'Output-Calculation-sheet'!Y43</f>
        <v>0</v>
      </c>
      <c r="AA52" s="2">
        <f t="shared" si="3"/>
        <v>11.399555355414286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190.1343082256482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12518.119023245545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8561.6228772955747</v>
      </c>
      <c r="N53" s="2">
        <f>N9/'Output-Calculation-sheet'!N8*'Output-Calculation-sheet'!N44</f>
        <v>3038.2078228477772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947.45116020268154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261.3156841686897</v>
      </c>
      <c r="Y53" s="2">
        <f>Y9/'Output-Calculation-sheet'!Y8*'Output-Calculation-sheet'!Y44</f>
        <v>0</v>
      </c>
      <c r="AA53" s="2">
        <f t="shared" si="3"/>
        <v>25.651525907752276</v>
      </c>
    </row>
    <row r="54" spans="1:27" x14ac:dyDescent="0.25">
      <c r="A54" s="2">
        <v>2033</v>
      </c>
      <c r="B54" s="2">
        <f>B10/'Output-Calculation-sheet'!B9*'Output-Calculation-sheet'!B45</f>
        <v>25250.934434644936</v>
      </c>
      <c r="C54" s="2">
        <f>C10/'Output-Calculation-sheet'!C9*'Output-Calculation-sheet'!C45</f>
        <v>5425.3371214657682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12613.099223692891</v>
      </c>
      <c r="N54" s="2">
        <f>N10/'Output-Calculation-sheet'!N9*'Output-Calculation-sheet'!N45</f>
        <v>7056.9205676780393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738.96638193787885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77.15845729300915</v>
      </c>
    </row>
    <row r="55" spans="1:27" x14ac:dyDescent="0.25">
      <c r="A55" s="2">
        <v>2034</v>
      </c>
      <c r="B55" s="2">
        <f>B11/'Output-Calculation-sheet'!B10*'Output-Calculation-sheet'!B46</f>
        <v>61913.430450487518</v>
      </c>
      <c r="C55" s="2">
        <f>C11/'Output-Calculation-sheet'!C10*'Output-Calculation-sheet'!C46</f>
        <v>12703.775343708536</v>
      </c>
      <c r="D55" s="2">
        <f>D11/'Output-Calculation-sheet'!D10*'Output-Calculation-sheet'!D46</f>
        <v>5361.2664100115044</v>
      </c>
      <c r="E55" s="2">
        <f>E11/'Output-Calculation-sheet'!E10*'Output-Calculation-sheet'!E46</f>
        <v>8028.3123184797023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20740.738359220759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769.2625811682293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645.55715235252171</v>
      </c>
      <c r="M55" s="2">
        <f>M11/'Output-Calculation-sheet'!M10*'Output-Calculation-sheet'!M46</f>
        <v>14504.023281828362</v>
      </c>
      <c r="N55" s="2">
        <f>N11/'Output-Calculation-sheet'!N10*'Output-Calculation-sheet'!N46</f>
        <v>10564.417744266204</v>
      </c>
      <c r="O55" s="2">
        <f>O11/'Output-Calculation-sheet'!O10*'Output-Calculation-sheet'!O46</f>
        <v>0</v>
      </c>
      <c r="P55" s="2">
        <f>P11/'Output-Calculation-sheet'!P10*'Output-Calculation-sheet'!P46</f>
        <v>4188.7931220150722</v>
      </c>
      <c r="Q55" s="2">
        <f>Q11/'Output-Calculation-sheet'!Q10*'Output-Calculation-sheet'!Q46</f>
        <v>1549.5408663077969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4442.4887984124998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1030.3731670912705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69.139257937204206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159.96280398690394</v>
      </c>
    </row>
    <row r="56" spans="1:27" x14ac:dyDescent="0.25">
      <c r="A56" s="2">
        <v>2035</v>
      </c>
      <c r="B56" s="2">
        <f>B12/'Output-Calculation-sheet'!B11*'Output-Calculation-sheet'!B47</f>
        <v>67348.316423315613</v>
      </c>
      <c r="C56" s="2">
        <f>C12/'Output-Calculation-sheet'!C11*'Output-Calculation-sheet'!C47</f>
        <v>24278.929419773423</v>
      </c>
      <c r="D56" s="2">
        <f>D12/'Output-Calculation-sheet'!D11*'Output-Calculation-sheet'!D47</f>
        <v>5301.1698289998385</v>
      </c>
      <c r="E56" s="2">
        <f>E12/'Output-Calculation-sheet'!E11*'Output-Calculation-sheet'!E47</f>
        <v>14080.35949701822</v>
      </c>
      <c r="F56" s="2">
        <f>F12/'Output-Calculation-sheet'!F11*'Output-Calculation-sheet'!F47</f>
        <v>1656.0627091094636</v>
      </c>
      <c r="G56" s="2">
        <f>G12/'Output-Calculation-sheet'!G11*'Output-Calculation-sheet'!G47</f>
        <v>4280.1013827834095</v>
      </c>
      <c r="H56" s="2">
        <f>H12/'Output-Calculation-sheet'!H11*'Output-Calculation-sheet'!H47</f>
        <v>19994.791629497278</v>
      </c>
      <c r="I56" s="2">
        <f>I12/'Output-Calculation-sheet'!I11*'Output-Calculation-sheet'!I47</f>
        <v>2379.3289382573098</v>
      </c>
      <c r="J56" s="2">
        <f>J12/'Output-Calculation-sheet'!J11*'Output-Calculation-sheet'!J47</f>
        <v>853.79703955754474</v>
      </c>
      <c r="K56" s="2">
        <f>K12/'Output-Calculation-sheet'!K11*'Output-Calculation-sheet'!K47</f>
        <v>3557.5208443592733</v>
      </c>
      <c r="L56" s="2">
        <f>L12/'Output-Calculation-sheet'!L11*'Output-Calculation-sheet'!L47</f>
        <v>804.17385482721727</v>
      </c>
      <c r="M56" s="2">
        <f>M12/'Output-Calculation-sheet'!M11*'Output-Calculation-sheet'!M47</f>
        <v>13997.428899366405</v>
      </c>
      <c r="N56" s="2">
        <f>N12/'Output-Calculation-sheet'!N11*'Output-Calculation-sheet'!N47</f>
        <v>10439.48186998066</v>
      </c>
      <c r="O56" s="2">
        <f>O12/'Output-Calculation-sheet'!O11*'Output-Calculation-sheet'!O47</f>
        <v>0</v>
      </c>
      <c r="P56" s="2">
        <f>P12/'Output-Calculation-sheet'!P11*'Output-Calculation-sheet'!P47</f>
        <v>5388.7643294466261</v>
      </c>
      <c r="Q56" s="2">
        <f>Q12/'Output-Calculation-sheet'!Q11*'Output-Calculation-sheet'!Q47</f>
        <v>1910.2262246870607</v>
      </c>
      <c r="R56" s="2">
        <f>R12/'Output-Calculation-sheet'!R11*'Output-Calculation-sheet'!R47</f>
        <v>3727.7692982089038</v>
      </c>
      <c r="S56" s="2">
        <f>S12/'Output-Calculation-sheet'!S11*'Output-Calculation-sheet'!S47</f>
        <v>4864.9939059779472</v>
      </c>
      <c r="T56" s="2">
        <f>T12/'Output-Calculation-sheet'!T11*'Output-Calculation-sheet'!T47</f>
        <v>1277.5507750767154</v>
      </c>
      <c r="U56" s="2">
        <f>U12/'Output-Calculation-sheet'!U11*'Output-Calculation-sheet'!U47</f>
        <v>996.44655992471041</v>
      </c>
      <c r="V56" s="2">
        <f>V12/'Output-Calculation-sheet'!V11*'Output-Calculation-sheet'!V47</f>
        <v>574.39558892890818</v>
      </c>
      <c r="W56" s="2">
        <f>W12/'Output-Calculation-sheet'!W11*'Output-Calculation-sheet'!W47</f>
        <v>495.17744161802534</v>
      </c>
      <c r="X56" s="2">
        <f>X12/'Output-Calculation-sheet'!X11*'Output-Calculation-sheet'!X47</f>
        <v>297.8387987095266</v>
      </c>
      <c r="Y56" s="2">
        <f>Y12/'Output-Calculation-sheet'!Y11*'Output-Calculation-sheet'!Y47</f>
        <v>637.9157531157299</v>
      </c>
      <c r="AA56" s="2">
        <f t="shared" si="3"/>
        <v>189.14254101253985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5.1096438599082381</v>
      </c>
      <c r="C63" s="2">
        <f>C8*'Output-Calculation-sheet'!C52/10^9</f>
        <v>3.1927426395508411</v>
      </c>
      <c r="D63" s="2">
        <f>D8*'Output-Calculation-sheet'!D52/10^9</f>
        <v>1.4593724591890909</v>
      </c>
      <c r="E63" s="2">
        <f>E8*'Output-Calculation-sheet'!E52/10^9</f>
        <v>1.340526836015892</v>
      </c>
      <c r="F63" s="2">
        <f>F8*'Output-Calculation-sheet'!F52/10^9</f>
        <v>0.70648083467837086</v>
      </c>
      <c r="G63" s="2">
        <f>G8*'Output-Calculation-sheet'!G52/10^9</f>
        <v>0.52246472725453841</v>
      </c>
      <c r="H63" s="2">
        <f>H8*'Output-Calculation-sheet'!H52/10^9</f>
        <v>0.90144620740087411</v>
      </c>
      <c r="I63" s="2">
        <f>I8*'Output-Calculation-sheet'!I52/10^9</f>
        <v>0.48434800822088547</v>
      </c>
      <c r="J63" s="2">
        <f>J8*'Output-Calculation-sheet'!J52/10^9</f>
        <v>0.49240676192320143</v>
      </c>
      <c r="K63" s="2">
        <f>K8*'Output-Calculation-sheet'!K52/10^9</f>
        <v>0.49554157998732917</v>
      </c>
      <c r="L63" s="2">
        <f>L8*'Output-Calculation-sheet'!L52/10^9</f>
        <v>0.40396404583915968</v>
      </c>
      <c r="M63" s="2">
        <f>M8*'Output-Calculation-sheet'!M52/10^9</f>
        <v>0.6241304300514563</v>
      </c>
      <c r="N63" s="2">
        <f>N8*'Output-Calculation-sheet'!N52/10^9</f>
        <v>0.56000744498441024</v>
      </c>
      <c r="O63" s="2">
        <f>O8*'Output-Calculation-sheet'!O52/10^9</f>
        <v>0.60556859270155472</v>
      </c>
      <c r="P63" s="2">
        <f>P8*'Output-Calculation-sheet'!P52/10^9</f>
        <v>0.39892431681669394</v>
      </c>
      <c r="Q63" s="2">
        <f>Q8*'Output-Calculation-sheet'!Q52/10^9</f>
        <v>0.41140593675893522</v>
      </c>
      <c r="R63" s="2">
        <f>R8*'Output-Calculation-sheet'!R52/10^9</f>
        <v>0.33693746601269142</v>
      </c>
      <c r="S63" s="2">
        <f>S8*'Output-Calculation-sheet'!S52/10^9</f>
        <v>0.30981874133632753</v>
      </c>
      <c r="T63" s="2">
        <f>T8*'Output-Calculation-sheet'!T52/10^9</f>
        <v>0.11616993864728226</v>
      </c>
      <c r="U63" s="2">
        <f>U8*'Output-Calculation-sheet'!U52/10^9</f>
        <v>0.10553508626387417</v>
      </c>
      <c r="V63" s="2">
        <f>V8*'Output-Calculation-sheet'!V52/10^9</f>
        <v>8.154626878006975E-2</v>
      </c>
      <c r="W63" s="2">
        <f>W8*'Output-Calculation-sheet'!W52/10^9</f>
        <v>6.3708492065348066E-2</v>
      </c>
      <c r="X63" s="2">
        <f>X8*'Output-Calculation-sheet'!X52/10^9</f>
        <v>7.5181403312375203E-2</v>
      </c>
      <c r="Y63" s="2">
        <f>Y8*'Output-Calculation-sheet'!Y52/10^9</f>
        <v>4.1413115873340109E-2</v>
      </c>
      <c r="AA63" s="2">
        <f t="shared" si="4"/>
        <v>18.839285193572781</v>
      </c>
    </row>
    <row r="64" spans="1:27" x14ac:dyDescent="0.25">
      <c r="A64" s="2">
        <v>2032</v>
      </c>
      <c r="B64" s="2">
        <f>B9*'Output-Calculation-sheet'!B53/10^9</f>
        <v>5.6017473508315696</v>
      </c>
      <c r="C64" s="2">
        <f>C9*'Output-Calculation-sheet'!C53/10^9</f>
        <v>3.708720357830158</v>
      </c>
      <c r="D64" s="2">
        <f>D9*'Output-Calculation-sheet'!D53/10^9</f>
        <v>1.3496829072148953</v>
      </c>
      <c r="E64" s="2">
        <f>E9*'Output-Calculation-sheet'!E53/10^9</f>
        <v>1.3176968206286861</v>
      </c>
      <c r="F64" s="2">
        <f>F9*'Output-Calculation-sheet'!F53/10^9</f>
        <v>0.66455746673653526</v>
      </c>
      <c r="G64" s="2">
        <f>G9*'Output-Calculation-sheet'!G53/10^9</f>
        <v>0.48271460313958175</v>
      </c>
      <c r="H64" s="2">
        <f>H9*'Output-Calculation-sheet'!H53/10^9</f>
        <v>1.0362774545919433</v>
      </c>
      <c r="I64" s="2">
        <f>I9*'Output-Calculation-sheet'!I53/10^9</f>
        <v>0.45073328352023667</v>
      </c>
      <c r="J64" s="2">
        <f>J9*'Output-Calculation-sheet'!J53/10^9</f>
        <v>0.44989210090675563</v>
      </c>
      <c r="K64" s="2">
        <f>K9*'Output-Calculation-sheet'!K53/10^9</f>
        <v>0.48524659986196533</v>
      </c>
      <c r="L64" s="2">
        <f>L9*'Output-Calculation-sheet'!L53/10^9</f>
        <v>0.39999807617944461</v>
      </c>
      <c r="M64" s="2">
        <f>M9*'Output-Calculation-sheet'!M53/10^9</f>
        <v>0.71798429208434689</v>
      </c>
      <c r="N64" s="2">
        <f>N9*'Output-Calculation-sheet'!N53/10^9</f>
        <v>0.63797572768259325</v>
      </c>
      <c r="O64" s="2">
        <f>O9*'Output-Calculation-sheet'!O53/10^9</f>
        <v>0.68641922130146327</v>
      </c>
      <c r="P64" s="2">
        <f>P9*'Output-Calculation-sheet'!P53/10^9</f>
        <v>0.43399430746370932</v>
      </c>
      <c r="Q64" s="2">
        <f>Q9*'Output-Calculation-sheet'!Q53/10^9</f>
        <v>0.44409655639556694</v>
      </c>
      <c r="R64" s="2">
        <f>R9*'Output-Calculation-sheet'!R53/10^9</f>
        <v>0.34721109884604362</v>
      </c>
      <c r="S64" s="2">
        <f>S9*'Output-Calculation-sheet'!S53/10^9</f>
        <v>0.35140663437422265</v>
      </c>
      <c r="T64" s="2">
        <f>T9*'Output-Calculation-sheet'!T53/10^9</f>
        <v>0.11126120183436314</v>
      </c>
      <c r="U64" s="2">
        <f>U9*'Output-Calculation-sheet'!U53/10^9</f>
        <v>0.10975383234276108</v>
      </c>
      <c r="V64" s="2">
        <f>V9*'Output-Calculation-sheet'!V53/10^9</f>
        <v>8.1659862800861599E-2</v>
      </c>
      <c r="W64" s="2">
        <f>W9*'Output-Calculation-sheet'!W53/10^9</f>
        <v>5.8954930255941167E-2</v>
      </c>
      <c r="X64" s="2">
        <f>X9*'Output-Calculation-sheet'!X53/10^9</f>
        <v>8.6832980254412592E-2</v>
      </c>
      <c r="Y64" s="2">
        <f>Y9*'Output-Calculation-sheet'!Y53/10^9</f>
        <v>4.249675382239456E-2</v>
      </c>
      <c r="AA64" s="2">
        <f t="shared" si="4"/>
        <v>20.05731442090045</v>
      </c>
    </row>
    <row r="65" spans="1:27" x14ac:dyDescent="0.25">
      <c r="A65" s="2">
        <v>2033</v>
      </c>
      <c r="B65" s="2">
        <f>B10*'Output-Calculation-sheet'!B54/10^9</f>
        <v>6.1890534901297682</v>
      </c>
      <c r="C65" s="2">
        <f>C10*'Output-Calculation-sheet'!C54/10^9</f>
        <v>4.0878127696656401</v>
      </c>
      <c r="D65" s="2">
        <f>D10*'Output-Calculation-sheet'!D54/10^9</f>
        <v>1.1888887908282255</v>
      </c>
      <c r="E65" s="2">
        <f>E10*'Output-Calculation-sheet'!E54/10^9</f>
        <v>1.3491105194327531</v>
      </c>
      <c r="F65" s="2">
        <f>F10*'Output-Calculation-sheet'!F54/10^9</f>
        <v>0.61201470691192494</v>
      </c>
      <c r="G65" s="2">
        <f>G10*'Output-Calculation-sheet'!G54/10^9</f>
        <v>0.42239243360301554</v>
      </c>
      <c r="H65" s="2">
        <f>H10*'Output-Calculation-sheet'!H54/10^9</f>
        <v>1.1227083931279698</v>
      </c>
      <c r="I65" s="2">
        <f>I10*'Output-Calculation-sheet'!I54/10^9</f>
        <v>0.41549363349890389</v>
      </c>
      <c r="J65" s="2">
        <f>J10*'Output-Calculation-sheet'!J54/10^9</f>
        <v>0.38319265825623161</v>
      </c>
      <c r="K65" s="2">
        <f>K10*'Output-Calculation-sheet'!K54/10^9</f>
        <v>0.48874477231069668</v>
      </c>
      <c r="L65" s="2">
        <f>L10*'Output-Calculation-sheet'!L54/10^9</f>
        <v>0.40647779022017327</v>
      </c>
      <c r="M65" s="2">
        <f>M10*'Output-Calculation-sheet'!M54/10^9</f>
        <v>0.77797014041261969</v>
      </c>
      <c r="N65" s="2">
        <f>N10*'Output-Calculation-sheet'!N54/10^9</f>
        <v>0.69940901736861882</v>
      </c>
      <c r="O65" s="2">
        <f>O10*'Output-Calculation-sheet'!O54/10^9</f>
        <v>0.7404454722800764</v>
      </c>
      <c r="P65" s="2">
        <f>P10*'Output-Calculation-sheet'!P54/10^9</f>
        <v>0.47197291950674802</v>
      </c>
      <c r="Q65" s="2">
        <f>Q10*'Output-Calculation-sheet'!Q54/10^9</f>
        <v>0.48969337335198282</v>
      </c>
      <c r="R65" s="2">
        <f>R10*'Output-Calculation-sheet'!R54/10^9</f>
        <v>0.36591487632246888</v>
      </c>
      <c r="S65" s="2">
        <f>S10*'Output-Calculation-sheet'!S54/10^9</f>
        <v>0.38694382804197036</v>
      </c>
      <c r="T65" s="2">
        <f>T10*'Output-Calculation-sheet'!T54/10^9</f>
        <v>0.10982767237310806</v>
      </c>
      <c r="U65" s="2">
        <f>U10*'Output-Calculation-sheet'!U54/10^9</f>
        <v>0.11875226942564382</v>
      </c>
      <c r="V65" s="2">
        <f>V10*'Output-Calculation-sheet'!V54/10^9</f>
        <v>8.2873337459521385E-2</v>
      </c>
      <c r="W65" s="2">
        <f>W10*'Output-Calculation-sheet'!W54/10^9</f>
        <v>5.183820921253731E-2</v>
      </c>
      <c r="X65" s="2">
        <f>X10*'Output-Calculation-sheet'!X54/10^9</f>
        <v>9.5363433426284006E-2</v>
      </c>
      <c r="Y65" s="2">
        <f>Y10*'Output-Calculation-sheet'!Y54/10^9</f>
        <v>4.573390909560264E-2</v>
      </c>
      <c r="AA65" s="2">
        <f t="shared" si="4"/>
        <v>21.102628416262483</v>
      </c>
    </row>
    <row r="66" spans="1:27" x14ac:dyDescent="0.25">
      <c r="A66" s="2">
        <v>2034</v>
      </c>
      <c r="B66" s="2">
        <f>B11*'Output-Calculation-sheet'!B55/10^9</f>
        <v>6.7634934642522504</v>
      </c>
      <c r="C66" s="2">
        <f>C11*'Output-Calculation-sheet'!C55/10^9</f>
        <v>4.3086535954728129</v>
      </c>
      <c r="D66" s="2">
        <f>D11*'Output-Calculation-sheet'!D55/10^9</f>
        <v>1.2689923000641732</v>
      </c>
      <c r="E66" s="2">
        <f>E11*'Output-Calculation-sheet'!E55/10^9</f>
        <v>1.5647196314847147</v>
      </c>
      <c r="F66" s="2">
        <f>F11*'Output-Calculation-sheet'!F55/10^9</f>
        <v>0.62666776712458827</v>
      </c>
      <c r="G66" s="2">
        <f>G11*'Output-Calculation-sheet'!G55/10^9</f>
        <v>0.45136259127574468</v>
      </c>
      <c r="H66" s="2">
        <f>H11*'Output-Calculation-sheet'!H55/10^9</f>
        <v>1.1890102970166667</v>
      </c>
      <c r="I66" s="2">
        <f>I11*'Output-Calculation-sheet'!I55/10^9</f>
        <v>0.44368166359631811</v>
      </c>
      <c r="J66" s="2">
        <f>J11*'Output-Calculation-sheet'!J55/10^9</f>
        <v>0.39144314481716586</v>
      </c>
      <c r="K66" s="2">
        <f>K11*'Output-Calculation-sheet'!K55/10^9</f>
        <v>0.52312991164763412</v>
      </c>
      <c r="L66" s="2">
        <f>L11*'Output-Calculation-sheet'!L55/10^9</f>
        <v>0.45821635163354374</v>
      </c>
      <c r="M66" s="2">
        <f>M11*'Output-Calculation-sheet'!M55/10^9</f>
        <v>0.82561662579999107</v>
      </c>
      <c r="N66" s="2">
        <f>N11*'Output-Calculation-sheet'!N55/10^9</f>
        <v>0.73911493861847921</v>
      </c>
      <c r="O66" s="2">
        <f>O11*'Output-Calculation-sheet'!O55/10^9</f>
        <v>0.76679782693040577</v>
      </c>
      <c r="P66" s="2">
        <f>P11*'Output-Calculation-sheet'!P55/10^9</f>
        <v>0.51950774189680804</v>
      </c>
      <c r="Q66" s="2">
        <f>Q11*'Output-Calculation-sheet'!Q55/10^9</f>
        <v>0.53930207979807332</v>
      </c>
      <c r="R66" s="2">
        <f>R11*'Output-Calculation-sheet'!R55/10^9</f>
        <v>0.39315904474633939</v>
      </c>
      <c r="S66" s="2">
        <f>S11*'Output-Calculation-sheet'!S55/10^9</f>
        <v>0.41634630873274303</v>
      </c>
      <c r="T66" s="2">
        <f>T11*'Output-Calculation-sheet'!T55/10^9</f>
        <v>0.11574732088840917</v>
      </c>
      <c r="U66" s="2">
        <f>U11*'Output-Calculation-sheet'!U55/10^9</f>
        <v>0.13368042770237901</v>
      </c>
      <c r="V66" s="2">
        <f>V11*'Output-Calculation-sheet'!V55/10^9</f>
        <v>8.6457300442798951E-2</v>
      </c>
      <c r="W66" s="2">
        <f>W11*'Output-Calculation-sheet'!W55/10^9</f>
        <v>5.2673360125846835E-2</v>
      </c>
      <c r="X66" s="2">
        <f>X11*'Output-Calculation-sheet'!X55/10^9</f>
        <v>0.10053359046667514</v>
      </c>
      <c r="Y66" s="2">
        <f>Y11*'Output-Calculation-sheet'!Y55/10^9</f>
        <v>5.4617123132076666E-2</v>
      </c>
      <c r="AA66" s="2">
        <f t="shared" si="4"/>
        <v>22.732924407666641</v>
      </c>
    </row>
    <row r="67" spans="1:27" x14ac:dyDescent="0.25">
      <c r="A67" s="2">
        <v>2035</v>
      </c>
      <c r="B67" s="2">
        <f>B12*'Output-Calculation-sheet'!B56/10^9</f>
        <v>7.1470767103050088</v>
      </c>
      <c r="C67" s="2">
        <f>C12*'Output-Calculation-sheet'!C56/10^9</f>
        <v>4.3587941155752388</v>
      </c>
      <c r="D67" s="2">
        <f>D12*'Output-Calculation-sheet'!D56/10^9</f>
        <v>1.4537226854932246</v>
      </c>
      <c r="E67" s="2">
        <f>E12*'Output-Calculation-sheet'!E56/10^9</f>
        <v>1.9655345473278758</v>
      </c>
      <c r="F67" s="2">
        <f>F12*'Output-Calculation-sheet'!F56/10^9</f>
        <v>0.77942196625568283</v>
      </c>
      <c r="G67" s="2">
        <f>G12*'Output-Calculation-sheet'!G56/10^9</f>
        <v>0.56572766515164308</v>
      </c>
      <c r="H67" s="2">
        <f>H12*'Output-Calculation-sheet'!H56/10^9</f>
        <v>1.2332217787541291</v>
      </c>
      <c r="I67" s="2">
        <f>I12*'Output-Calculation-sheet'!I56/10^9</f>
        <v>0.53440446109117257</v>
      </c>
      <c r="J67" s="2">
        <f>J12*'Output-Calculation-sheet'!J56/10^9</f>
        <v>0.44130165624751255</v>
      </c>
      <c r="K67" s="2">
        <f>K12*'Output-Calculation-sheet'!K56/10^9</f>
        <v>0.59666091324103809</v>
      </c>
      <c r="L67" s="2">
        <f>L12*'Output-Calculation-sheet'!L56/10^9</f>
        <v>0.51484760829027532</v>
      </c>
      <c r="M67" s="2">
        <f>M12*'Output-Calculation-sheet'!M56/10^9</f>
        <v>0.86423813943871464</v>
      </c>
      <c r="N67" s="2">
        <f>N12*'Output-Calculation-sheet'!N56/10^9</f>
        <v>0.75651429086554656</v>
      </c>
      <c r="O67" s="2">
        <f>O12*'Output-Calculation-sheet'!O56/10^9</f>
        <v>0.76563727273083304</v>
      </c>
      <c r="P67" s="2">
        <f>P12*'Output-Calculation-sheet'!P56/10^9</f>
        <v>0.60281562175495695</v>
      </c>
      <c r="Q67" s="2">
        <f>Q12*'Output-Calculation-sheet'!Q56/10^9</f>
        <v>0.56509134391425442</v>
      </c>
      <c r="R67" s="2">
        <f>R12*'Output-Calculation-sheet'!R56/10^9</f>
        <v>0.44396587701122631</v>
      </c>
      <c r="S67" s="2">
        <f>S12*'Output-Calculation-sheet'!S56/10^9</f>
        <v>0.43057516237903065</v>
      </c>
      <c r="T67" s="2">
        <f>T12*'Output-Calculation-sheet'!T56/10^9</f>
        <v>0.1364773914003688</v>
      </c>
      <c r="U67" s="2">
        <f>U12*'Output-Calculation-sheet'!U56/10^9</f>
        <v>0.14716502352595959</v>
      </c>
      <c r="V67" s="2">
        <f>V12*'Output-Calculation-sheet'!V56/10^9</f>
        <v>9.2802360336623174E-2</v>
      </c>
      <c r="W67" s="2">
        <f>W12*'Output-Calculation-sheet'!W56/10^9</f>
        <v>7.2204712241755203E-2</v>
      </c>
      <c r="X67" s="2">
        <f>X12*'Output-Calculation-sheet'!X56/10^9</f>
        <v>0.10578118099438562</v>
      </c>
      <c r="Y67" s="2">
        <f>Y12*'Output-Calculation-sheet'!Y56/10^9</f>
        <v>6.7798656827926906E-2</v>
      </c>
      <c r="AA67" s="2">
        <f t="shared" si="4"/>
        <v>24.641781141154382</v>
      </c>
    </row>
    <row r="68" spans="1:27" x14ac:dyDescent="0.25">
      <c r="B68" s="2">
        <f>SUM(B60:B67)</f>
        <v>30.811014875426835</v>
      </c>
      <c r="C68" s="2">
        <f t="shared" ref="C68:Y68" si="5">SUM(C60:C67)</f>
        <v>19.65672347809469</v>
      </c>
      <c r="D68" s="2">
        <f t="shared" si="5"/>
        <v>6.7206591427896099</v>
      </c>
      <c r="E68" s="2">
        <f t="shared" si="5"/>
        <v>7.5375883548899214</v>
      </c>
      <c r="F68" s="2">
        <f t="shared" si="5"/>
        <v>3.3891427417071021</v>
      </c>
      <c r="G68" s="2">
        <f t="shared" si="5"/>
        <v>2.4446620204245235</v>
      </c>
      <c r="H68" s="2">
        <f t="shared" si="5"/>
        <v>5.4826641308915836</v>
      </c>
      <c r="I68" s="2">
        <f t="shared" si="5"/>
        <v>2.3286610499275167</v>
      </c>
      <c r="J68" s="2">
        <f t="shared" si="5"/>
        <v>2.1582363221508674</v>
      </c>
      <c r="K68" s="2">
        <f t="shared" si="5"/>
        <v>2.5893237770486639</v>
      </c>
      <c r="L68" s="2">
        <f t="shared" si="5"/>
        <v>2.1835038721625963</v>
      </c>
      <c r="M68" s="2">
        <f t="shared" si="5"/>
        <v>3.8099396277871285</v>
      </c>
      <c r="N68" s="2">
        <f t="shared" si="5"/>
        <v>3.393021419519648</v>
      </c>
      <c r="O68" s="2">
        <f t="shared" si="5"/>
        <v>3.5648683859443331</v>
      </c>
      <c r="P68" s="2">
        <f t="shared" si="5"/>
        <v>2.4272149074389162</v>
      </c>
      <c r="Q68" s="2">
        <f t="shared" si="5"/>
        <v>2.449589290218813</v>
      </c>
      <c r="R68" s="2">
        <f t="shared" si="5"/>
        <v>1.8871883629387696</v>
      </c>
      <c r="S68" s="2">
        <f t="shared" si="5"/>
        <v>1.8950906748642942</v>
      </c>
      <c r="T68" s="2">
        <f t="shared" si="5"/>
        <v>0.58948352514353142</v>
      </c>
      <c r="U68" s="2">
        <f t="shared" si="5"/>
        <v>0.61488663926061771</v>
      </c>
      <c r="V68" s="2">
        <f t="shared" si="5"/>
        <v>0.42533912981987487</v>
      </c>
      <c r="W68" s="2">
        <f t="shared" si="5"/>
        <v>0.2993797039014286</v>
      </c>
      <c r="X68" s="2">
        <f t="shared" si="5"/>
        <v>0.46369258845413258</v>
      </c>
      <c r="Y68" s="2">
        <f t="shared" si="5"/>
        <v>0.2520595587513409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1414.7603692533537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954.32982532571975</v>
      </c>
      <c r="N74" s="2">
        <f>N8/'Output-Calculation-sheet'!N7*'Output-Calculation-sheet'!N61</f>
        <v>39.669762541683284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8.4684963484011373</v>
      </c>
      <c r="Y74" s="2">
        <f>Y8/'Output-Calculation-sheet'!Y7*'Output-Calculation-sheet'!Y61</f>
        <v>0</v>
      </c>
      <c r="AA74" s="2">
        <f t="shared" si="6"/>
        <v>2.4172284534691575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52.235923118382956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2386.5853160825895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1617.1624711559207</v>
      </c>
      <c r="N75" s="2">
        <f>N9/'Output-Calculation-sheet'!N8*'Output-Calculation-sheet'!N62</f>
        <v>622.54394015057812</v>
      </c>
      <c r="O75" s="2">
        <f>O9/'Output-Calculation-sheet'!O8*'Output-Calculation-sheet'!O62</f>
        <v>0</v>
      </c>
      <c r="P75" s="2">
        <f>P9/'Output-Calculation-sheet'!P8*'Output-Calculation-sheet'!P62</f>
        <v>40.497049618431539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209.23728361667654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56.786107230279136</v>
      </c>
      <c r="Y75" s="2">
        <f>Y9/'Output-Calculation-sheet'!Y8*'Output-Calculation-sheet'!Y62</f>
        <v>0</v>
      </c>
      <c r="AA75" s="2">
        <f t="shared" si="6"/>
        <v>4.9850480909728585</v>
      </c>
    </row>
    <row r="76" spans="1:27" x14ac:dyDescent="0.25">
      <c r="A76" s="2">
        <v>2033</v>
      </c>
      <c r="B76" s="2">
        <f>B10/'Output-Calculation-sheet'!B9*'Output-Calculation-sheet'!B63</f>
        <v>5073.4649372048198</v>
      </c>
      <c r="C76" s="2">
        <f>C10/'Output-Calculation-sheet'!C9*'Output-Calculation-sheet'!C63</f>
        <v>1490.4760936003934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3324.4538097259701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2261.2251990093509</v>
      </c>
      <c r="N76" s="2">
        <f>N10/'Output-Calculation-sheet'!N9*'Output-Calculation-sheet'!N63</f>
        <v>1291.7348285692142</v>
      </c>
      <c r="O76" s="2">
        <f>O10/'Output-Calculation-sheet'!O9*'Output-Calculation-sheet'!O63</f>
        <v>0</v>
      </c>
      <c r="P76" s="2">
        <f>P10/'Output-Calculation-sheet'!P9*'Output-Calculation-sheet'!P63</f>
        <v>445.3133971822067</v>
      </c>
      <c r="Q76" s="2">
        <f>Q10/'Output-Calculation-sheet'!Q9*'Output-Calculation-sheet'!Q63</f>
        <v>200.4864715316827</v>
      </c>
      <c r="R76" s="2">
        <f>R10/'Output-Calculation-sheet'!R9*'Output-Calculation-sheet'!R63</f>
        <v>339.382830864563</v>
      </c>
      <c r="S76" s="2">
        <f>S10/'Output-Calculation-sheet'!S9*'Output-Calculation-sheet'!S63</f>
        <v>574.32901803652055</v>
      </c>
      <c r="T76" s="2">
        <f>T10/'Output-Calculation-sheet'!T9*'Output-Calculation-sheet'!T63</f>
        <v>22.307517627770491</v>
      </c>
      <c r="U76" s="2">
        <f>U10/'Output-Calculation-sheet'!U9*'Output-Calculation-sheet'!U63</f>
        <v>120.47868496145469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129.65259359807692</v>
      </c>
      <c r="Y76" s="2">
        <f>Y10/'Output-Calculation-sheet'!Y9*'Output-Calculation-sheet'!Y63</f>
        <v>5.7201296919131543</v>
      </c>
      <c r="AA76" s="2">
        <f t="shared" si="6"/>
        <v>15.372667967316449</v>
      </c>
    </row>
    <row r="77" spans="1:27" x14ac:dyDescent="0.25">
      <c r="A77" s="2">
        <v>2034</v>
      </c>
      <c r="B77" s="2">
        <f>B11/'Output-Calculation-sheet'!B10*'Output-Calculation-sheet'!B64</f>
        <v>10540.608571602621</v>
      </c>
      <c r="C77" s="2">
        <f>C11/'Output-Calculation-sheet'!C10*'Output-Calculation-sheet'!C64</f>
        <v>2875.0127861034721</v>
      </c>
      <c r="D77" s="2">
        <f>D11/'Output-Calculation-sheet'!D10*'Output-Calculation-sheet'!D64</f>
        <v>1273.6907197822684</v>
      </c>
      <c r="E77" s="2">
        <f>E11/'Output-Calculation-sheet'!E10*'Output-Calculation-sheet'!E64</f>
        <v>1850.6557923573237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3828.7683962492883</v>
      </c>
      <c r="I77" s="2">
        <f>I11/'Output-Calculation-sheet'!I10*'Output-Calculation-sheet'!I64</f>
        <v>462.0242720515941</v>
      </c>
      <c r="J77" s="2">
        <f>J11/'Output-Calculation-sheet'!J10*'Output-Calculation-sheet'!J64</f>
        <v>254.16566065286631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183.524588277009</v>
      </c>
      <c r="M77" s="2">
        <f>M11/'Output-Calculation-sheet'!M10*'Output-Calculation-sheet'!M64</f>
        <v>2672.838122006121</v>
      </c>
      <c r="N77" s="2">
        <f>N11/'Output-Calculation-sheet'!N10*'Output-Calculation-sheet'!N64</f>
        <v>1850.6817824101197</v>
      </c>
      <c r="O77" s="2">
        <f>O11/'Output-Calculation-sheet'!O10*'Output-Calculation-sheet'!O64</f>
        <v>0</v>
      </c>
      <c r="P77" s="2">
        <f>P11/'Output-Calculation-sheet'!P10*'Output-Calculation-sheet'!P64</f>
        <v>874.22373074964855</v>
      </c>
      <c r="Q77" s="2">
        <f>Q11/'Output-Calculation-sheet'!Q10*'Output-Calculation-sheet'!Q64</f>
        <v>358.31387933640406</v>
      </c>
      <c r="R77" s="2">
        <f>R11/'Output-Calculation-sheet'!R10*'Output-Calculation-sheet'!R64</f>
        <v>743.19402341056298</v>
      </c>
      <c r="S77" s="2">
        <f>S11/'Output-Calculation-sheet'!S10*'Output-Calculation-sheet'!S64</f>
        <v>803.35445839524334</v>
      </c>
      <c r="T77" s="2">
        <f>T11/'Output-Calculation-sheet'!T10*'Output-Calculation-sheet'!T64</f>
        <v>205.61444777442921</v>
      </c>
      <c r="U77" s="2">
        <f>U11/'Output-Calculation-sheet'!U10*'Output-Calculation-sheet'!U64</f>
        <v>223.78143936467262</v>
      </c>
      <c r="V77" s="2">
        <f>V11/'Output-Calculation-sheet'!V10*'Output-Calculation-sheet'!V64</f>
        <v>107.2761249407868</v>
      </c>
      <c r="W77" s="2">
        <f>W11/'Output-Calculation-sheet'!W10*'Output-Calculation-sheet'!W64</f>
        <v>23.316587828952223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68.218576762764329</v>
      </c>
      <c r="AA77" s="2">
        <f t="shared" si="6"/>
        <v>30.931659456966294</v>
      </c>
    </row>
    <row r="78" spans="1:27" x14ac:dyDescent="0.25">
      <c r="A78" s="2">
        <v>2035</v>
      </c>
      <c r="B78" s="2">
        <f>B12/'Output-Calculation-sheet'!B11*'Output-Calculation-sheet'!B65</f>
        <v>11650.678072842378</v>
      </c>
      <c r="C78" s="2">
        <f>C12/'Output-Calculation-sheet'!C11*'Output-Calculation-sheet'!C65</f>
        <v>4924.5236889948474</v>
      </c>
      <c r="D78" s="2">
        <f>D12/'Output-Calculation-sheet'!D11*'Output-Calculation-sheet'!D65</f>
        <v>1256.1718678933294</v>
      </c>
      <c r="E78" s="2">
        <f>E12/'Output-Calculation-sheet'!E11*'Output-Calculation-sheet'!E65</f>
        <v>2411.3015998821875</v>
      </c>
      <c r="F78" s="2">
        <f>F12/'Output-Calculation-sheet'!F11*'Output-Calculation-sheet'!F65</f>
        <v>525.40962167923067</v>
      </c>
      <c r="G78" s="2">
        <f>G12/'Output-Calculation-sheet'!G11*'Output-Calculation-sheet'!G65</f>
        <v>966.3103849392852</v>
      </c>
      <c r="H78" s="2">
        <f>H12/'Output-Calculation-sheet'!H11*'Output-Calculation-sheet'!H65</f>
        <v>3714.2345399760229</v>
      </c>
      <c r="I78" s="2">
        <f>I12/'Output-Calculation-sheet'!I11*'Output-Calculation-sheet'!I65</f>
        <v>615.45100152218413</v>
      </c>
      <c r="J78" s="2">
        <f>J12/'Output-Calculation-sheet'!J11*'Output-Calculation-sheet'!J65</f>
        <v>263.61911636599581</v>
      </c>
      <c r="K78" s="2">
        <f>K12/'Output-Calculation-sheet'!K11*'Output-Calculation-sheet'!K65</f>
        <v>785.1380916749124</v>
      </c>
      <c r="L78" s="2">
        <f>L12/'Output-Calculation-sheet'!L11*'Output-Calculation-sheet'!L65</f>
        <v>227.29783467321076</v>
      </c>
      <c r="M78" s="2">
        <f>M12/'Output-Calculation-sheet'!M11*'Output-Calculation-sheet'!M65</f>
        <v>2612.8333179148622</v>
      </c>
      <c r="N78" s="2">
        <f>N12/'Output-Calculation-sheet'!N11*'Output-Calculation-sheet'!N65</f>
        <v>1834.4099442475019</v>
      </c>
      <c r="O78" s="2">
        <f>O12/'Output-Calculation-sheet'!O11*'Output-Calculation-sheet'!O65</f>
        <v>0</v>
      </c>
      <c r="P78" s="2">
        <f>P12/'Output-Calculation-sheet'!P11*'Output-Calculation-sheet'!P65</f>
        <v>1036.7671275116527</v>
      </c>
      <c r="Q78" s="2">
        <f>Q12/'Output-Calculation-sheet'!Q11*'Output-Calculation-sheet'!Q65</f>
        <v>410.55979981018436</v>
      </c>
      <c r="R78" s="2">
        <f>R12/'Output-Calculation-sheet'!R11*'Output-Calculation-sheet'!R65</f>
        <v>815.72470523631841</v>
      </c>
      <c r="S78" s="2">
        <f>S12/'Output-Calculation-sheet'!S11*'Output-Calculation-sheet'!S65</f>
        <v>849.63132707997977</v>
      </c>
      <c r="T78" s="2">
        <f>T12/'Output-Calculation-sheet'!T11*'Output-Calculation-sheet'!T65</f>
        <v>291.16594139298252</v>
      </c>
      <c r="U78" s="2">
        <f>U12/'Output-Calculation-sheet'!U11*'Output-Calculation-sheet'!U65</f>
        <v>216.55808219604401</v>
      </c>
      <c r="V78" s="2">
        <f>V12/'Output-Calculation-sheet'!V11*'Output-Calculation-sheet'!V65</f>
        <v>111.46670544048047</v>
      </c>
      <c r="W78" s="2">
        <f>W12/'Output-Calculation-sheet'!W11*'Output-Calculation-sheet'!W65</f>
        <v>111.19189902818106</v>
      </c>
      <c r="X78" s="2">
        <f>X12/'Output-Calculation-sheet'!X11*'Output-Calculation-sheet'!X65</f>
        <v>58.0419712201886</v>
      </c>
      <c r="Y78" s="2">
        <f>Y12/'Output-Calculation-sheet'!Y11*'Output-Calculation-sheet'!Y65</f>
        <v>100.67935047471092</v>
      </c>
      <c r="AA78" s="2">
        <f t="shared" si="6"/>
        <v>35.789165991996676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363.38315316865624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210.93520956488976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0.57431836273354597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1215.0046037834104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303.61081268549373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1.5186154164689041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2103.3180340808312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382.1064823046562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2.4854245163854873</v>
      </c>
    </row>
    <row r="88" spans="1:27" x14ac:dyDescent="0.25">
      <c r="A88" s="2">
        <v>2034</v>
      </c>
      <c r="B88" s="2">
        <f>B11/'Output-Calculation-sheet'!B10*'Output-Calculation-sheet'!B73</f>
        <v>106.83101724790004</v>
      </c>
      <c r="C88" s="2">
        <f>C11/'Output-Calculation-sheet'!C10*'Output-Calculation-sheet'!C73</f>
        <v>2318.5772851543516</v>
      </c>
      <c r="D88" s="2">
        <f>D11/'Output-Calculation-sheet'!D10*'Output-Calculation-sheet'!D73</f>
        <v>8.1664377913351167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38.311550639595026</v>
      </c>
      <c r="I88" s="2">
        <f>I11/'Output-Calculation-sheet'!I10*'Output-Calculation-sheet'!I73</f>
        <v>0</v>
      </c>
      <c r="J88" s="2">
        <f>J11/'Output-Calculation-sheet'!J10*'Output-Calculation-sheet'!J73</f>
        <v>2.6076697666719637</v>
      </c>
      <c r="K88" s="2">
        <f>K11/'Output-Calculation-sheet'!K10*'Output-Calculation-sheet'!K73</f>
        <v>0</v>
      </c>
      <c r="L88" s="2">
        <f>L11/'Output-Calculation-sheet'!L10*'Output-Calculation-sheet'!L73</f>
        <v>6.1775804052872889</v>
      </c>
      <c r="M88" s="2">
        <f>M11/'Output-Calculation-sheet'!M10*'Output-Calculation-sheet'!M73</f>
        <v>18.551090027245969</v>
      </c>
      <c r="N88" s="2">
        <f>N11/'Output-Calculation-sheet'!N10*'Output-Calculation-sheet'!N73</f>
        <v>9.5961647236499257</v>
      </c>
      <c r="O88" s="2">
        <f>O11/'Output-Calculation-sheet'!O10*'Output-Calculation-sheet'!O73</f>
        <v>437.89819203505061</v>
      </c>
      <c r="P88" s="2">
        <f>P11/'Output-Calculation-sheet'!P10*'Output-Calculation-sheet'!P73</f>
        <v>0</v>
      </c>
      <c r="Q88" s="2">
        <f>Q11/'Output-Calculation-sheet'!Q10*'Output-Calculation-sheet'!Q73</f>
        <v>29.426983353647795</v>
      </c>
      <c r="R88" s="2">
        <f>R11/'Output-Calculation-sheet'!R10*'Output-Calculation-sheet'!R73</f>
        <v>0</v>
      </c>
      <c r="S88" s="2">
        <f>S11/'Output-Calculation-sheet'!S10*'Output-Calculation-sheet'!S73</f>
        <v>13.75213223877074</v>
      </c>
      <c r="T88" s="2">
        <f>T11/'Output-Calculation-sheet'!T10*'Output-Calculation-sheet'!T73</f>
        <v>0</v>
      </c>
      <c r="U88" s="2">
        <f>U11/'Output-Calculation-sheet'!U10*'Output-Calculation-sheet'!U73</f>
        <v>2.6825648713649324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2.9925786682548714</v>
      </c>
    </row>
    <row r="89" spans="1:27" x14ac:dyDescent="0.25">
      <c r="A89" s="2">
        <v>2035</v>
      </c>
      <c r="B89" s="2">
        <f>B12/'Output-Calculation-sheet'!B11*'Output-Calculation-sheet'!B74</f>
        <v>571.45143263248497</v>
      </c>
      <c r="C89" s="2">
        <f>C12/'Output-Calculation-sheet'!C11*'Output-Calculation-sheet'!C74</f>
        <v>2340.4013044286094</v>
      </c>
      <c r="D89" s="2">
        <f>D12/'Output-Calculation-sheet'!D11*'Output-Calculation-sheet'!D74</f>
        <v>108.50347603216042</v>
      </c>
      <c r="E89" s="2">
        <f>E12/'Output-Calculation-sheet'!E11*'Output-Calculation-sheet'!E74</f>
        <v>144.74560287835877</v>
      </c>
      <c r="F89" s="2">
        <f>F12/'Output-Calculation-sheet'!F11*'Output-Calculation-sheet'!F74</f>
        <v>46.485970782020033</v>
      </c>
      <c r="G89" s="2">
        <f>G12/'Output-Calculation-sheet'!G11*'Output-Calculation-sheet'!G74</f>
        <v>44.483028336820105</v>
      </c>
      <c r="H89" s="2">
        <f>H12/'Output-Calculation-sheet'!H11*'Output-Calculation-sheet'!H74</f>
        <v>173.71552533709246</v>
      </c>
      <c r="I89" s="2">
        <f>I12/'Output-Calculation-sheet'!I11*'Output-Calculation-sheet'!I74</f>
        <v>37.509126719768418</v>
      </c>
      <c r="J89" s="2">
        <f>J12/'Output-Calculation-sheet'!J11*'Output-Calculation-sheet'!J74</f>
        <v>29.69728833243634</v>
      </c>
      <c r="K89" s="2">
        <f>K12/'Output-Calculation-sheet'!K11*'Output-Calculation-sheet'!K74</f>
        <v>39.323201043004055</v>
      </c>
      <c r="L89" s="2">
        <f>L12/'Output-Calculation-sheet'!L11*'Output-Calculation-sheet'!L74</f>
        <v>41.03924897052628</v>
      </c>
      <c r="M89" s="2">
        <f>M12/'Output-Calculation-sheet'!M11*'Output-Calculation-sheet'!M74</f>
        <v>109.34043493480974</v>
      </c>
      <c r="N89" s="2">
        <f>N12/'Output-Calculation-sheet'!N11*'Output-Calculation-sheet'!N74</f>
        <v>66.481913679541847</v>
      </c>
      <c r="O89" s="2">
        <f>O12/'Output-Calculation-sheet'!O11*'Output-Calculation-sheet'!O74</f>
        <v>474.2217290214831</v>
      </c>
      <c r="P89" s="2">
        <f>P12/'Output-Calculation-sheet'!P11*'Output-Calculation-sheet'!P74</f>
        <v>38.701508064722063</v>
      </c>
      <c r="Q89" s="2">
        <f>Q12/'Output-Calculation-sheet'!Q11*'Output-Calculation-sheet'!Q74</f>
        <v>65.429636768729736</v>
      </c>
      <c r="R89" s="2">
        <f>R12/'Output-Calculation-sheet'!R11*'Output-Calculation-sheet'!R74</f>
        <v>26.90387521526273</v>
      </c>
      <c r="S89" s="2">
        <f>S12/'Output-Calculation-sheet'!S11*'Output-Calculation-sheet'!S74</f>
        <v>41.764085468208584</v>
      </c>
      <c r="T89" s="2">
        <f>T12/'Output-Calculation-sheet'!T11*'Output-Calculation-sheet'!T74</f>
        <v>6.7331961106243012</v>
      </c>
      <c r="U89" s="2">
        <f>U12/'Output-Calculation-sheet'!U11*'Output-Calculation-sheet'!U74</f>
        <v>12.983846335247886</v>
      </c>
      <c r="V89" s="2">
        <f>V12/'Output-Calculation-sheet'!V11*'Output-Calculation-sheet'!V74</f>
        <v>4.9076861665149369</v>
      </c>
      <c r="W89" s="2">
        <f>W12/'Output-Calculation-sheet'!W11*'Output-Calculation-sheet'!W74</f>
        <v>3.7397541076541563</v>
      </c>
      <c r="X89" s="2">
        <f>X12/'Output-Calculation-sheet'!X11*'Output-Calculation-sheet'!X74</f>
        <v>2.6429381455452869</v>
      </c>
      <c r="Y89" s="2">
        <f>Y12/'Output-Calculation-sheet'!Y11*'Output-Calculation-sheet'!Y74</f>
        <v>4.9047805098856676</v>
      </c>
      <c r="AA89" s="2">
        <f t="shared" si="7"/>
        <v>4.4361105900215136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11552546401.729856</v>
      </c>
      <c r="C96" s="2">
        <f>C8/'Output-Calculation-sheet'!C7*'Output-Calculation-sheet'!C79</f>
        <v>3908286508.8653178</v>
      </c>
      <c r="D96" s="2">
        <f>D8/'Output-Calculation-sheet'!D7*'Output-Calculation-sheet'!D79</f>
        <v>4079972978.4583426</v>
      </c>
      <c r="E96" s="2">
        <f>E8/'Output-Calculation-sheet'!E7*'Output-Calculation-sheet'!E79</f>
        <v>7253855816.0000401</v>
      </c>
      <c r="F96" s="2">
        <f>F8/'Output-Calculation-sheet'!F7*'Output-Calculation-sheet'!F79</f>
        <v>3002298761.7117457</v>
      </c>
      <c r="G96" s="2">
        <f>G8/'Output-Calculation-sheet'!G7*'Output-Calculation-sheet'!G79</f>
        <v>2338548967.2949257</v>
      </c>
      <c r="H96" s="2">
        <f>H8/'Output-Calculation-sheet'!H7*'Output-Calculation-sheet'!H79</f>
        <v>2001668704.0237584</v>
      </c>
      <c r="I96" s="2">
        <f>I8/'Output-Calculation-sheet'!I7*'Output-Calculation-sheet'!I79</f>
        <v>1629043936.7345936</v>
      </c>
      <c r="J96" s="2">
        <f>J8/'Output-Calculation-sheet'!J7*'Output-Calculation-sheet'!J79</f>
        <v>1101598487.8165765</v>
      </c>
      <c r="K96" s="2">
        <f>K8/'Output-Calculation-sheet'!K7*'Output-Calculation-sheet'!K79</f>
        <v>1576061155.8006659</v>
      </c>
      <c r="L96" s="2">
        <f>L8/'Output-Calculation-sheet'!L7*'Output-Calculation-sheet'!L79</f>
        <v>1112070057.7491746</v>
      </c>
      <c r="M96" s="2">
        <f>M8/'Output-Calculation-sheet'!M7*'Output-Calculation-sheet'!M79</f>
        <v>1494205222.9874172</v>
      </c>
      <c r="N96" s="2">
        <f>N8/'Output-Calculation-sheet'!N7*'Output-Calculation-sheet'!N79</f>
        <v>1111806070.9478424</v>
      </c>
      <c r="O96" s="2">
        <f>O8/'Output-Calculation-sheet'!O7*'Output-Calculation-sheet'!O79</f>
        <v>562055067.55292571</v>
      </c>
      <c r="P96" s="2">
        <f>P8/'Output-Calculation-sheet'!P7*'Output-Calculation-sheet'!P79</f>
        <v>1879968516.3718922</v>
      </c>
      <c r="Q96" s="2">
        <f>Q8/'Output-Calculation-sheet'!Q7*'Output-Calculation-sheet'!Q79</f>
        <v>876144268.17595232</v>
      </c>
      <c r="R96" s="2">
        <f>R8/'Output-Calculation-sheet'!R7*'Output-Calculation-sheet'!R79</f>
        <v>1093095986.2188568</v>
      </c>
      <c r="S96" s="2">
        <f>S8/'Output-Calculation-sheet'!S7*'Output-Calculation-sheet'!S79</f>
        <v>636928020.00465822</v>
      </c>
      <c r="T96" s="2">
        <f>T8/'Output-Calculation-sheet'!T7*'Output-Calculation-sheet'!T79</f>
        <v>486464112.56442833</v>
      </c>
      <c r="U96" s="2">
        <f>U8/'Output-Calculation-sheet'!U7*'Output-Calculation-sheet'!U79</f>
        <v>305584845.0078187</v>
      </c>
      <c r="V96" s="2">
        <f>V8/'Output-Calculation-sheet'!V7*'Output-Calculation-sheet'!V79</f>
        <v>158552640.66084725</v>
      </c>
      <c r="W96" s="2">
        <f>W8/'Output-Calculation-sheet'!W7*'Output-Calculation-sheet'!W79</f>
        <v>468514053.90583521</v>
      </c>
      <c r="X96" s="2">
        <f>X8/'Output-Calculation-sheet'!X7*'Output-Calculation-sheet'!X79</f>
        <v>164668518.76364681</v>
      </c>
      <c r="Y96" s="2">
        <f>Y8/'Output-Calculation-sheet'!Y7*'Output-Calculation-sheet'!Y79</f>
        <v>257539317.63813341</v>
      </c>
      <c r="AA96" s="2">
        <f t="shared" si="8"/>
        <v>49.051478416985269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1011.3434744814408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31.333904462982034</v>
      </c>
      <c r="Y107" s="2">
        <f>Y8/'Output-Calculation-sheet'!Y7*'Output-Calculation-sheet'!Y88</f>
        <v>0</v>
      </c>
      <c r="AA107" s="2">
        <f t="shared" si="9"/>
        <v>1.0426773789444228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714.16301138414201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41.487232331936298</v>
      </c>
      <c r="Y108" s="2">
        <f>Y9/'Output-Calculation-sheet'!Y8*'Output-Calculation-sheet'!Y89</f>
        <v>0</v>
      </c>
      <c r="AA108" s="2">
        <f t="shared" si="9"/>
        <v>0.75565024371607836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4.2095459416623397E-2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6.5979862422663113E-2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93.92595563399405</v>
      </c>
      <c r="Y111" s="2">
        <f>Y12/'Output-Calculation-sheet'!Y11*'Output-Calculation-sheet'!Y92</f>
        <v>0</v>
      </c>
      <c r="AA111" s="2">
        <f t="shared" si="9"/>
        <v>9.3925955633994057E-2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11307870791.169502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6945606897.661747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4791879511.9330416</v>
      </c>
      <c r="N118" s="2">
        <f>N8/'Output-Calculation-sheet'!N7*'Output-Calculation-sheet'!N97</f>
        <v>1605741280.6115158</v>
      </c>
      <c r="O118" s="2">
        <f>O8/'Output-Calculation-sheet'!O7*'Output-Calculation-sheet'!O97</f>
        <v>2748960384.8520346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480718516.32477319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260919762.33274052</v>
      </c>
      <c r="Y118" s="2">
        <f>Y8/'Output-Calculation-sheet'!Y7*'Output-Calculation-sheet'!Y97</f>
        <v>0</v>
      </c>
      <c r="AA118" s="2">
        <f t="shared" si="10"/>
        <v>29493.401831576048</v>
      </c>
    </row>
    <row r="119" spans="1:27" x14ac:dyDescent="0.25">
      <c r="A119" s="2">
        <v>2032</v>
      </c>
      <c r="B119" s="2">
        <f>B9/'Output-Calculation-sheet'!B8*'Output-Calculation-sheet'!B98</f>
        <v>5879980166.2575245</v>
      </c>
      <c r="C119" s="2">
        <f>C9/'Output-Calculation-sheet'!C8*'Output-Calculation-sheet'!C98</f>
        <v>15164138565.425812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9196283607.525341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6344632085.7767267</v>
      </c>
      <c r="N119" s="2">
        <f>N9/'Output-Calculation-sheet'!N8*'Output-Calculation-sheet'!N98</f>
        <v>2975039745.997148</v>
      </c>
      <c r="O119" s="2">
        <f>O9/'Output-Calculation-sheet'!O8*'Output-Calculation-sheet'!O98</f>
        <v>3202672442.1989117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894837736.25380945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348986395.77349246</v>
      </c>
      <c r="Y119" s="2">
        <f>Y9/'Output-Calculation-sheet'!Y8*'Output-Calculation-sheet'!Y98</f>
        <v>0</v>
      </c>
      <c r="AA119" s="2">
        <f t="shared" si="10"/>
        <v>44006.570745208766</v>
      </c>
    </row>
    <row r="120" spans="1:27" x14ac:dyDescent="0.25">
      <c r="A120" s="2">
        <v>2033</v>
      </c>
      <c r="B120" s="2">
        <f>B10/'Output-Calculation-sheet'!B9*'Output-Calculation-sheet'!B99</f>
        <v>15348285292.26107</v>
      </c>
      <c r="C120" s="2">
        <f>C10/'Output-Calculation-sheet'!C9*'Output-Calculation-sheet'!C99</f>
        <v>21265406414.49062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4532159317.4610538</v>
      </c>
      <c r="O120" s="2">
        <f>O10/'Output-Calculation-sheet'!O9*'Output-Calculation-sheet'!O99</f>
        <v>3522101237.5961051</v>
      </c>
      <c r="P120" s="2">
        <f>P10/'Output-Calculation-sheet'!P9*'Output-Calculation-sheet'!P99</f>
        <v>0</v>
      </c>
      <c r="Q120" s="2">
        <f>Q10/'Output-Calculation-sheet'!Q9*'Output-Calculation-sheet'!Q99</f>
        <v>147451600.99077034</v>
      </c>
      <c r="R120" s="2">
        <f>R10/'Output-Calculation-sheet'!R9*'Output-Calculation-sheet'!R99</f>
        <v>0</v>
      </c>
      <c r="S120" s="2">
        <f>S10/'Output-Calculation-sheet'!S9*'Output-Calculation-sheet'!S99</f>
        <v>1825557459.1019666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496879714.191746</v>
      </c>
      <c r="Y120" s="2">
        <f>Y10/'Output-Calculation-sheet'!Y9*'Output-Calculation-sheet'!Y99</f>
        <v>0</v>
      </c>
      <c r="AA120" s="2">
        <f t="shared" si="10"/>
        <v>66060.914327706778</v>
      </c>
    </row>
    <row r="121" spans="1:27" x14ac:dyDescent="0.25">
      <c r="A121" s="2">
        <v>2034</v>
      </c>
      <c r="B121" s="2">
        <f>B11/'Output-Calculation-sheet'!B10*'Output-Calculation-sheet'!B100</f>
        <v>29706967137.83519</v>
      </c>
      <c r="C121" s="2">
        <f>C11/'Output-Calculation-sheet'!C10*'Output-Calculation-sheet'!C100</f>
        <v>24181687071.22263</v>
      </c>
      <c r="D121" s="2">
        <f>D11/'Output-Calculation-sheet'!D10*'Output-Calculation-sheet'!D100</f>
        <v>0</v>
      </c>
      <c r="E121" s="2">
        <f>E11/'Output-Calculation-sheet'!E10*'Output-Calculation-sheet'!E100</f>
        <v>713222740.38927865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12419977543.083275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508713038.56937248</v>
      </c>
      <c r="M121" s="2">
        <f>M11/'Output-Calculation-sheet'!M10*'Output-Calculation-sheet'!M100</f>
        <v>8652364104.5766678</v>
      </c>
      <c r="N121" s="2">
        <f>N11/'Output-Calculation-sheet'!N10*'Output-Calculation-sheet'!N100</f>
        <v>5801367141.3813972</v>
      </c>
      <c r="O121" s="2">
        <f>O11/'Output-Calculation-sheet'!O10*'Output-Calculation-sheet'!O100</f>
        <v>3704108271.14115</v>
      </c>
      <c r="P121" s="2">
        <f>P11/'Output-Calculation-sheet'!P10*'Output-Calculation-sheet'!P100</f>
        <v>0</v>
      </c>
      <c r="Q121" s="2">
        <f>Q11/'Output-Calculation-sheet'!Q10*'Output-Calculation-sheet'!Q100</f>
        <v>464074205.27812839</v>
      </c>
      <c r="R121" s="2">
        <f>R11/'Output-Calculation-sheet'!R10*'Output-Calculation-sheet'!R100</f>
        <v>0</v>
      </c>
      <c r="S121" s="2">
        <f>S11/'Output-Calculation-sheet'!S10*'Output-Calculation-sheet'!S100</f>
        <v>2434997641.1904902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38153906.966242254</v>
      </c>
      <c r="AA121" s="2">
        <f t="shared" si="10"/>
        <v>89048.62487966803</v>
      </c>
    </row>
    <row r="122" spans="1:27" x14ac:dyDescent="0.25">
      <c r="A122" s="2">
        <v>2035</v>
      </c>
      <c r="B122" s="2">
        <f>B12/'Output-Calculation-sheet'!B11*'Output-Calculation-sheet'!B101</f>
        <v>33819601818.221367</v>
      </c>
      <c r="C122" s="2">
        <f>C12/'Output-Calculation-sheet'!C11*'Output-Calculation-sheet'!C101</f>
        <v>27079794838.039139</v>
      </c>
      <c r="D122" s="2">
        <f>D12/'Output-Calculation-sheet'!D11*'Output-Calculation-sheet'!D101</f>
        <v>0</v>
      </c>
      <c r="E122" s="2">
        <f>E12/'Output-Calculation-sheet'!E11*'Output-Calculation-sheet'!E101</f>
        <v>2165065307.7754087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12464940014.347338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585152757.25888371</v>
      </c>
      <c r="M122" s="2">
        <f>M12/'Output-Calculation-sheet'!M11*'Output-Calculation-sheet'!M101</f>
        <v>8726131164.2285042</v>
      </c>
      <c r="N122" s="2">
        <f>N12/'Output-Calculation-sheet'!N11*'Output-Calculation-sheet'!N101</f>
        <v>5842898679.6873341</v>
      </c>
      <c r="O122" s="2">
        <f>O12/'Output-Calculation-sheet'!O11*'Output-Calculation-sheet'!O101</f>
        <v>3743569218.5155654</v>
      </c>
      <c r="P122" s="2">
        <f>P12/'Output-Calculation-sheet'!P11*'Output-Calculation-sheet'!P101</f>
        <v>296621903.3358525</v>
      </c>
      <c r="Q122" s="2">
        <f>Q12/'Output-Calculation-sheet'!Q11*'Output-Calculation-sheet'!Q101</f>
        <v>699203679.71455514</v>
      </c>
      <c r="R122" s="2">
        <f>R12/'Output-Calculation-sheet'!R11*'Output-Calculation-sheet'!R101</f>
        <v>0</v>
      </c>
      <c r="S122" s="2">
        <f>S12/'Output-Calculation-sheet'!S11*'Output-Calculation-sheet'!S101</f>
        <v>2745089647.5950112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248501445.92315853</v>
      </c>
      <c r="Y122" s="2">
        <f>Y12/'Output-Calculation-sheet'!Y11*'Output-Calculation-sheet'!Y101</f>
        <v>244074140.12318552</v>
      </c>
      <c r="AA122" s="2">
        <f t="shared" si="10"/>
        <v>98660.64461476529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3098282828.4743876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2213258332.6893482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145838.19465709379</v>
      </c>
    </row>
    <row r="130" spans="1:27" x14ac:dyDescent="0.25">
      <c r="A130" s="2">
        <v>2032</v>
      </c>
      <c r="B130" s="2">
        <f>B9/'Output-Calculation-sheet'!B8*'Output-Calculation-sheet'!B107</f>
        <v>56679696363.530602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3252740822.9603028</v>
      </c>
      <c r="O130" s="2">
        <f>O9/'Output-Calculation-sheet'!O8*'Output-Calculation-sheet'!O107</f>
        <v>0</v>
      </c>
      <c r="P130" s="2">
        <f>P9/'Output-Calculation-sheet'!P8*'Output-Calculation-sheet'!P107</f>
        <v>5669941025.9685698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2671894731.0138927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187896.74215857021</v>
      </c>
    </row>
    <row r="131" spans="1:27" x14ac:dyDescent="0.25">
      <c r="A131" s="2">
        <v>2033</v>
      </c>
      <c r="B131" s="2">
        <f>B10/'Output-Calculation-sheet'!B9*'Output-Calculation-sheet'!B108</f>
        <v>60819299556.580162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3050293181.1929359</v>
      </c>
      <c r="O131" s="2">
        <f>O10/'Output-Calculation-sheet'!O9*'Output-Calculation-sheet'!O108</f>
        <v>0</v>
      </c>
      <c r="P131" s="2">
        <f>P10/'Output-Calculation-sheet'!P9*'Output-Calculation-sheet'!P108</f>
        <v>6903318274.7840624</v>
      </c>
      <c r="Q131" s="2">
        <f>Q10/'Output-Calculation-sheet'!Q9*'Output-Calculation-sheet'!Q108</f>
        <v>6644616628.1307697</v>
      </c>
      <c r="R131" s="2">
        <f>R10/'Output-Calculation-sheet'!R9*'Output-Calculation-sheet'!R108</f>
        <v>6534049993.9380512</v>
      </c>
      <c r="S131" s="2">
        <f>S10/'Output-Calculation-sheet'!S9*'Output-Calculation-sheet'!S108</f>
        <v>2516979762.5565886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218793.93307044028</v>
      </c>
    </row>
    <row r="132" spans="1:27" x14ac:dyDescent="0.25">
      <c r="A132" s="2">
        <v>2034</v>
      </c>
      <c r="B132" s="2">
        <f>B11/'Output-Calculation-sheet'!B10*'Output-Calculation-sheet'!B109</f>
        <v>55621258348.978065</v>
      </c>
      <c r="C132" s="2">
        <f>C11/'Output-Calculation-sheet'!C10*'Output-Calculation-sheet'!C109</f>
        <v>0</v>
      </c>
      <c r="D132" s="2">
        <f>D11/'Output-Calculation-sheet'!D10*'Output-Calculation-sheet'!D109</f>
        <v>36326536566.937843</v>
      </c>
      <c r="E132" s="2">
        <f>E11/'Output-Calculation-sheet'!E10*'Output-Calculation-sheet'!E109</f>
        <v>28301796642.962643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11545770812.31212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8585141017.5280809</v>
      </c>
      <c r="M132" s="2">
        <f>M11/'Output-Calculation-sheet'!M10*'Output-Calculation-sheet'!M109</f>
        <v>0</v>
      </c>
      <c r="N132" s="2">
        <f>N11/'Output-Calculation-sheet'!N10*'Output-Calculation-sheet'!N109</f>
        <v>2720682551.2703624</v>
      </c>
      <c r="O132" s="2">
        <f>O11/'Output-Calculation-sheet'!O10*'Output-Calculation-sheet'!O109</f>
        <v>0</v>
      </c>
      <c r="P132" s="2">
        <f>P11/'Output-Calculation-sheet'!P10*'Output-Calculation-sheet'!P109</f>
        <v>7889374205.3764563</v>
      </c>
      <c r="Q132" s="2">
        <f>Q11/'Output-Calculation-sheet'!Q10*'Output-Calculation-sheet'!Q109</f>
        <v>6690009428.0878687</v>
      </c>
      <c r="R132" s="2">
        <f>R11/'Output-Calculation-sheet'!R10*'Output-Calculation-sheet'!R109</f>
        <v>7467351826.1234522</v>
      </c>
      <c r="S132" s="2">
        <f>S11/'Output-Calculation-sheet'!S10*'Output-Calculation-sheet'!S109</f>
        <v>2325524617.63169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2334344076.2344093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891898860.35866022</v>
      </c>
      <c r="AA132" s="2">
        <f t="shared" si="11"/>
        <v>232154.2856098245</v>
      </c>
    </row>
    <row r="133" spans="1:27" x14ac:dyDescent="0.25">
      <c r="A133" s="2">
        <v>2035</v>
      </c>
      <c r="B133" s="2">
        <f>B12/'Output-Calculation-sheet'!B11*'Output-Calculation-sheet'!B110</f>
        <v>51746595494.376465</v>
      </c>
      <c r="C133" s="2">
        <f>C12/'Output-Calculation-sheet'!C11*'Output-Calculation-sheet'!C110</f>
        <v>0</v>
      </c>
      <c r="D133" s="2">
        <f>D12/'Output-Calculation-sheet'!D11*'Output-Calculation-sheet'!D110</f>
        <v>35570186906.360291</v>
      </c>
      <c r="E133" s="2">
        <f>E12/'Output-Calculation-sheet'!E11*'Output-Calculation-sheet'!E110</f>
        <v>28004359866.297352</v>
      </c>
      <c r="F133" s="2">
        <f>F12/'Output-Calculation-sheet'!F11*'Output-Calculation-sheet'!F110</f>
        <v>19244750287.033863</v>
      </c>
      <c r="G133" s="2">
        <f>G12/'Output-Calculation-sheet'!G11*'Output-Calculation-sheet'!G110</f>
        <v>13266521064.548742</v>
      </c>
      <c r="H133" s="2">
        <f>H12/'Output-Calculation-sheet'!H11*'Output-Calculation-sheet'!H110</f>
        <v>0</v>
      </c>
      <c r="I133" s="2">
        <f>I12/'Output-Calculation-sheet'!I11*'Output-Calculation-sheet'!I110</f>
        <v>12038799280.337576</v>
      </c>
      <c r="J133" s="2">
        <f>J12/'Output-Calculation-sheet'!J11*'Output-Calculation-sheet'!J110</f>
        <v>11274185738.500093</v>
      </c>
      <c r="K133" s="2">
        <f>K12/'Output-Calculation-sheet'!K11*'Output-Calculation-sheet'!K110</f>
        <v>11544775709.212301</v>
      </c>
      <c r="L133" s="2">
        <f>L12/'Output-Calculation-sheet'!L11*'Output-Calculation-sheet'!L110</f>
        <v>8460657430.5135508</v>
      </c>
      <c r="M133" s="2">
        <f>M12/'Output-Calculation-sheet'!M11*'Output-Calculation-sheet'!M110</f>
        <v>0</v>
      </c>
      <c r="N133" s="2">
        <f>N12/'Output-Calculation-sheet'!N11*'Output-Calculation-sheet'!N110</f>
        <v>2641494912.0502625</v>
      </c>
      <c r="O133" s="2">
        <f>O12/'Output-Calculation-sheet'!O11*'Output-Calculation-sheet'!O110</f>
        <v>0</v>
      </c>
      <c r="P133" s="2">
        <f>P12/'Output-Calculation-sheet'!P11*'Output-Calculation-sheet'!P110</f>
        <v>7890192553.679081</v>
      </c>
      <c r="Q133" s="2">
        <f>Q12/'Output-Calculation-sheet'!Q11*'Output-Calculation-sheet'!Q110</f>
        <v>6417322017.90662</v>
      </c>
      <c r="R133" s="2">
        <f>R12/'Output-Calculation-sheet'!R11*'Output-Calculation-sheet'!R110</f>
        <v>7563957257.0830784</v>
      </c>
      <c r="S133" s="2">
        <f>S12/'Output-Calculation-sheet'!S11*'Output-Calculation-sheet'!S110</f>
        <v>2039756890.1651704</v>
      </c>
      <c r="T133" s="2">
        <f>T12/'Output-Calculation-sheet'!T11*'Output-Calculation-sheet'!T110</f>
        <v>2846522474.7556458</v>
      </c>
      <c r="U133" s="2">
        <f>U12/'Output-Calculation-sheet'!U11*'Output-Calculation-sheet'!U110</f>
        <v>2307817331.0517473</v>
      </c>
      <c r="V133" s="2">
        <f>V12/'Output-Calculation-sheet'!V11*'Output-Calculation-sheet'!V110</f>
        <v>1820034849.2892835</v>
      </c>
      <c r="W133" s="2">
        <f>W12/'Output-Calculation-sheet'!W11*'Output-Calculation-sheet'!W110</f>
        <v>1698438736.0575271</v>
      </c>
      <c r="X133" s="2">
        <f>X12/'Output-Calculation-sheet'!X11*'Output-Calculation-sheet'!X110</f>
        <v>0</v>
      </c>
      <c r="Y133" s="2">
        <f>Y12/'Output-Calculation-sheet'!Y11*'Output-Calculation-sheet'!Y110</f>
        <v>727372082.92333066</v>
      </c>
      <c r="AA133" s="2">
        <f t="shared" si="11"/>
        <v>227103.74088214198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8475793838.6813698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258140912.98077184</v>
      </c>
      <c r="Y140" s="2">
        <f>Y8/'Output-Calculation-sheet'!Y7*'Output-Calculation-sheet'!Y115</f>
        <v>0</v>
      </c>
      <c r="AA140" s="2">
        <f t="shared" si="12"/>
        <v>8733.9347516621419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6050379757.6021471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338227301.68271363</v>
      </c>
      <c r="Y141" s="2">
        <f>Y9/'Output-Calculation-sheet'!Y8*'Output-Calculation-sheet'!Y116</f>
        <v>0</v>
      </c>
      <c r="AA141" s="2">
        <f t="shared" si="12"/>
        <v>6388.607059284861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339823632.54658103</v>
      </c>
      <c r="Y142" s="2">
        <f>Y10/'Output-Calculation-sheet'!Y9*'Output-Calculation-sheet'!Y117</f>
        <v>0</v>
      </c>
      <c r="AA142" s="2">
        <f t="shared" si="12"/>
        <v>339.82363254658105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533.29423436979698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767159149.81353378</v>
      </c>
      <c r="Y144" s="2">
        <f>Y12/'Output-Calculation-sheet'!Y11*'Output-Calculation-sheet'!Y119</f>
        <v>0</v>
      </c>
      <c r="AA144" s="2">
        <f t="shared" si="12"/>
        <v>767.15914981353376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25439701518.36961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6206693693.4692936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193181.50035599191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28274478795.353237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6443358399.6217155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163044.85806599882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30731001030.589939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6429925169.0221558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123966.50111052564</v>
      </c>
    </row>
    <row r="154" spans="1:27" x14ac:dyDescent="0.25">
      <c r="A154" s="2">
        <v>2034</v>
      </c>
      <c r="B154" s="2">
        <f>B11/'Output-Calculation-sheet'!B10*'Output-Calculation-sheet'!B127</f>
        <v>14901402136.108606</v>
      </c>
      <c r="C154" s="2">
        <f>C11/'Output-Calculation-sheet'!C10*'Output-Calculation-sheet'!C127</f>
        <v>27500147353.476604</v>
      </c>
      <c r="D154" s="2">
        <f>D11/'Output-Calculation-sheet'!D10*'Output-Calculation-sheet'!D127</f>
        <v>5531046651.6933613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2403046607.5863585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1774163329.2971206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1530347283.4801991</v>
      </c>
      <c r="M154" s="2">
        <f>M11/'Output-Calculation-sheet'!M10*'Output-Calculation-sheet'!M127</f>
        <v>1544220072.3164158</v>
      </c>
      <c r="N154" s="2">
        <f>N11/'Output-Calculation-sheet'!N10*'Output-Calculation-sheet'!N127</f>
        <v>1434954815.0192127</v>
      </c>
      <c r="O154" s="2">
        <f>O11/'Output-Calculation-sheet'!O10*'Output-Calculation-sheet'!O127</f>
        <v>6207360002.1394567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1909017531.8721464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989998947.22512949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421690077.05800474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81534.626850091401</v>
      </c>
    </row>
    <row r="155" spans="1:27" x14ac:dyDescent="0.25">
      <c r="A155" s="2">
        <v>2035</v>
      </c>
      <c r="B155" s="2">
        <f>B12/'Output-Calculation-sheet'!B11*'Output-Calculation-sheet'!B128</f>
        <v>12686682652.37071</v>
      </c>
      <c r="C155" s="2">
        <f>C12/'Output-Calculation-sheet'!C11*'Output-Calculation-sheet'!C128</f>
        <v>22411516657.097023</v>
      </c>
      <c r="D155" s="2">
        <f>D12/'Output-Calculation-sheet'!D11*'Output-Calculation-sheet'!D128</f>
        <v>5226674442.455472</v>
      </c>
      <c r="E155" s="2">
        <f>E12/'Output-Calculation-sheet'!E11*'Output-Calculation-sheet'!E128</f>
        <v>2848745909.4831748</v>
      </c>
      <c r="F155" s="2">
        <f>F12/'Output-Calculation-sheet'!F11*'Output-Calculation-sheet'!F128</f>
        <v>1551757294.1772223</v>
      </c>
      <c r="G155" s="2">
        <f>G12/'Output-Calculation-sheet'!G11*'Output-Calculation-sheet'!G128</f>
        <v>1464000406.9179838</v>
      </c>
      <c r="H155" s="2">
        <f>H12/'Output-Calculation-sheet'!H11*'Output-Calculation-sheet'!H128</f>
        <v>2138351932.4529293</v>
      </c>
      <c r="I155" s="2">
        <f>I12/'Output-Calculation-sheet'!I11*'Output-Calculation-sheet'!I128</f>
        <v>1337656728.6015012</v>
      </c>
      <c r="J155" s="2">
        <f>J12/'Output-Calculation-sheet'!J11*'Output-Calculation-sheet'!J128</f>
        <v>1664071465.6768901</v>
      </c>
      <c r="K155" s="2">
        <f>K12/'Output-Calculation-sheet'!K11*'Output-Calculation-sheet'!K128</f>
        <v>1334011331.8331628</v>
      </c>
      <c r="L155" s="2">
        <f>L12/'Output-Calculation-sheet'!L11*'Output-Calculation-sheet'!L128</f>
        <v>1365522381.9957325</v>
      </c>
      <c r="M155" s="2">
        <f>M12/'Output-Calculation-sheet'!M11*'Output-Calculation-sheet'!M128</f>
        <v>1350041175.9617817</v>
      </c>
      <c r="N155" s="2">
        <f>N12/'Output-Calculation-sheet'!N11*'Output-Calculation-sheet'!N128</f>
        <v>1237981571.6942599</v>
      </c>
      <c r="O155" s="2">
        <f>O12/'Output-Calculation-sheet'!O11*'Output-Calculation-sheet'!O128</f>
        <v>5818365770.3602028</v>
      </c>
      <c r="P155" s="2">
        <f>P12/'Output-Calculation-sheet'!P11*'Output-Calculation-sheet'!P128</f>
        <v>715961913.79185319</v>
      </c>
      <c r="Q155" s="2">
        <f>Q12/'Output-Calculation-sheet'!Q11*'Output-Calculation-sheet'!Q128</f>
        <v>1701232793.9341433</v>
      </c>
      <c r="R155" s="2">
        <f>R12/'Output-Calculation-sheet'!R11*'Output-Calculation-sheet'!R128</f>
        <v>785772146.18489802</v>
      </c>
      <c r="S155" s="2">
        <f>S12/'Output-Calculation-sheet'!S11*'Output-Calculation-sheet'!S128</f>
        <v>825329849.84816587</v>
      </c>
      <c r="T155" s="2">
        <f>T12/'Output-Calculation-sheet'!T11*'Output-Calculation-sheet'!T128</f>
        <v>203601135.82103327</v>
      </c>
      <c r="U155" s="2">
        <f>U12/'Output-Calculation-sheet'!U11*'Output-Calculation-sheet'!U128</f>
        <v>396290666.57743567</v>
      </c>
      <c r="V155" s="2">
        <f>V12/'Output-Calculation-sheet'!V11*'Output-Calculation-sheet'!V128</f>
        <v>220152323.28412026</v>
      </c>
      <c r="W155" s="2">
        <f>W12/'Output-Calculation-sheet'!W11*'Output-Calculation-sheet'!W128</f>
        <v>78792182.33999081</v>
      </c>
      <c r="X155" s="2">
        <f>X12/'Output-Calculation-sheet'!X11*'Output-Calculation-sheet'!X128</f>
        <v>35484473.817666143</v>
      </c>
      <c r="Y155" s="2">
        <f>Y12/'Output-Calculation-sheet'!Y11*'Output-Calculation-sheet'!Y128</f>
        <v>87397999.428383127</v>
      </c>
      <c r="AA155" s="2">
        <f t="shared" si="13"/>
        <v>67485.395206105735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8916.884888917868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5717.6064201539821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3968.5986048345198</v>
      </c>
      <c r="N19" s="2">
        <f>N8/'Output-Calculation-sheet'!N7*'Output-Calculation-sheet'!N25</f>
        <v>1356.6108375090312</v>
      </c>
      <c r="O19" s="2">
        <f>O8/'Output-Calculation-sheet'!O7*'Output-Calculation-sheet'!O25</f>
        <v>2120.3226386624342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209.5164764427488</v>
      </c>
      <c r="Y19" s="2">
        <f>Y8/'Output-Calculation-sheet'!Y7*'Output-Calculation-sheet'!Y25</f>
        <v>0</v>
      </c>
      <c r="AA19" s="2">
        <f t="shared" si="0"/>
        <v>24.046696502854488</v>
      </c>
    </row>
    <row r="20" spans="1:27" x14ac:dyDescent="0.25">
      <c r="A20" s="2">
        <v>2032</v>
      </c>
      <c r="B20" s="2">
        <f>B9/'Output-Calculation-sheet'!B8*'Output-Calculation-sheet'!B26</f>
        <v>7258.7796214077089</v>
      </c>
      <c r="C20" s="2">
        <f>C9/'Output-Calculation-sheet'!C8*'Output-Calculation-sheet'!C26</f>
        <v>12272.019205813753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7890.7982657859375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5487.5911362317083</v>
      </c>
      <c r="N20" s="2">
        <f>N9/'Output-Calculation-sheet'!N8*'Output-Calculation-sheet'!N26</f>
        <v>2470.9894711335123</v>
      </c>
      <c r="O20" s="2">
        <f>O9/'Output-Calculation-sheet'!O8*'Output-Calculation-sheet'!O26</f>
        <v>2573.0860774685552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898.6297786948877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293.25288501010129</v>
      </c>
      <c r="Y20" s="2">
        <f>Y9/'Output-Calculation-sheet'!Y8*'Output-Calculation-sheet'!Y26</f>
        <v>0</v>
      </c>
      <c r="AA20" s="2">
        <f t="shared" si="0"/>
        <v>39.14514644154616</v>
      </c>
    </row>
    <row r="21" spans="1:27" x14ac:dyDescent="0.25">
      <c r="A21" s="2">
        <v>2033</v>
      </c>
      <c r="B21" s="2">
        <f>B10/'Output-Calculation-sheet'!B9*'Output-Calculation-sheet'!B27</f>
        <v>17141.426489295503</v>
      </c>
      <c r="C21" s="2">
        <f>C10/'Output-Calculation-sheet'!C9*'Output-Calculation-sheet'!C27</f>
        <v>17600.874004090616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9898.851699402403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6876.6425765192871</v>
      </c>
      <c r="N21" s="2">
        <f>N10/'Output-Calculation-sheet'!N9*'Output-Calculation-sheet'!N27</f>
        <v>3756.6378624644999</v>
      </c>
      <c r="O21" s="2">
        <f>O10/'Output-Calculation-sheet'!O9*'Output-Calculation-sheet'!O27</f>
        <v>2904.837882104438</v>
      </c>
      <c r="P21" s="2">
        <f>P10/'Output-Calculation-sheet'!P9*'Output-Calculation-sheet'!P27</f>
        <v>0</v>
      </c>
      <c r="Q21" s="2">
        <f>Q10/'Output-Calculation-sheet'!Q9*'Output-Calculation-sheet'!Q27</f>
        <v>253.66151978526619</v>
      </c>
      <c r="R21" s="2">
        <f>R10/'Output-Calculation-sheet'!R9*'Output-Calculation-sheet'!R27</f>
        <v>0</v>
      </c>
      <c r="S21" s="2">
        <f>S10/'Output-Calculation-sheet'!S9*'Output-Calculation-sheet'!S27</f>
        <v>1635.2740619186457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435.93551571802482</v>
      </c>
      <c r="Y21" s="2">
        <f>Y10/'Output-Calculation-sheet'!Y9*'Output-Calculation-sheet'!Y27</f>
        <v>0</v>
      </c>
      <c r="AA21" s="2">
        <f t="shared" si="0"/>
        <v>60.504141611298692</v>
      </c>
    </row>
    <row r="22" spans="1:27" x14ac:dyDescent="0.25">
      <c r="A22" s="2">
        <v>2034</v>
      </c>
      <c r="B22" s="2">
        <f>B11/'Output-Calculation-sheet'!B10*'Output-Calculation-sheet'!B28</f>
        <v>28707.785731829121</v>
      </c>
      <c r="C22" s="2">
        <f>C11/'Output-Calculation-sheet'!C10*'Output-Calculation-sheet'!C28</f>
        <v>20187.617051089219</v>
      </c>
      <c r="D22" s="2">
        <f>D11/'Output-Calculation-sheet'!D10*'Output-Calculation-sheet'!D28</f>
        <v>0</v>
      </c>
      <c r="E22" s="2">
        <f>E11/'Output-Calculation-sheet'!E10*'Output-Calculation-sheet'!E28</f>
        <v>1644.414638382023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11545.532665922887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824.55390146644834</v>
      </c>
      <c r="M22" s="2">
        <f>M11/'Output-Calculation-sheet'!M10*'Output-Calculation-sheet'!M28</f>
        <v>8203.5867866530261</v>
      </c>
      <c r="N22" s="2">
        <f>N11/'Output-Calculation-sheet'!N10*'Output-Calculation-sheet'!N28</f>
        <v>4837.7003191417189</v>
      </c>
      <c r="O22" s="2">
        <f>O11/'Output-Calculation-sheet'!O10*'Output-Calculation-sheet'!O28</f>
        <v>3084.5538127214359</v>
      </c>
      <c r="P22" s="2">
        <f>P11/'Output-Calculation-sheet'!P10*'Output-Calculation-sheet'!P28</f>
        <v>0</v>
      </c>
      <c r="Q22" s="2">
        <f>Q11/'Output-Calculation-sheet'!Q10*'Output-Calculation-sheet'!Q28</f>
        <v>724.48791310928448</v>
      </c>
      <c r="R22" s="2">
        <f>R11/'Output-Calculation-sheet'!R10*'Output-Calculation-sheet'!R28</f>
        <v>0</v>
      </c>
      <c r="S22" s="2">
        <f>S11/'Output-Calculation-sheet'!S10*'Output-Calculation-sheet'!S28</f>
        <v>2125.7633862440853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89.131981712360243</v>
      </c>
      <c r="AA22" s="2">
        <f t="shared" si="0"/>
        <v>82.339797334255593</v>
      </c>
    </row>
    <row r="23" spans="1:27" x14ac:dyDescent="0.25">
      <c r="A23" s="2">
        <v>2035</v>
      </c>
      <c r="B23" s="2">
        <f>B12/'Output-Calculation-sheet'!B11*'Output-Calculation-sheet'!B29</f>
        <v>30663.566181596398</v>
      </c>
      <c r="C23" s="2">
        <f>C12/'Output-Calculation-sheet'!C11*'Output-Calculation-sheet'!C29</f>
        <v>22329.405290518585</v>
      </c>
      <c r="D23" s="2">
        <f>D12/'Output-Calculation-sheet'!D11*'Output-Calculation-sheet'!D29</f>
        <v>0</v>
      </c>
      <c r="E23" s="2">
        <f>E12/'Output-Calculation-sheet'!E11*'Output-Calculation-sheet'!E29</f>
        <v>4078.1003829239785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11084.169637597646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889.87029089046132</v>
      </c>
      <c r="M23" s="2">
        <f>M12/'Output-Calculation-sheet'!M11*'Output-Calculation-sheet'!M29</f>
        <v>7921.2599943473515</v>
      </c>
      <c r="N23" s="2">
        <f>N12/'Output-Calculation-sheet'!N11*'Output-Calculation-sheet'!N29</f>
        <v>4738.0572902421554</v>
      </c>
      <c r="O23" s="2">
        <f>O12/'Output-Calculation-sheet'!O11*'Output-Calculation-sheet'!O29</f>
        <v>3078.1957337089066</v>
      </c>
      <c r="P23" s="2">
        <f>P12/'Output-Calculation-sheet'!P11*'Output-Calculation-sheet'!P29</f>
        <v>644.80752558998529</v>
      </c>
      <c r="Q23" s="2">
        <f>Q12/'Output-Calculation-sheet'!Q11*'Output-Calculation-sheet'!Q29</f>
        <v>960.6954821778213</v>
      </c>
      <c r="R23" s="2">
        <f>R12/'Output-Calculation-sheet'!R11*'Output-Calculation-sheet'!R29</f>
        <v>0</v>
      </c>
      <c r="S23" s="2">
        <f>S12/'Output-Calculation-sheet'!S11*'Output-Calculation-sheet'!S29</f>
        <v>2268.7002438073378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199.96759023405801</v>
      </c>
      <c r="Y23" s="2">
        <f>Y12/'Output-Calculation-sheet'!Y11*'Output-Calculation-sheet'!Y29</f>
        <v>210.99623237172929</v>
      </c>
      <c r="AA23" s="2">
        <f t="shared" si="0"/>
        <v>89.067791876006424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1847.4518605533447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47.492767177045828</v>
      </c>
    </row>
    <row r="31" spans="1:27" x14ac:dyDescent="0.25">
      <c r="A31" s="2">
        <v>2032</v>
      </c>
      <c r="B31" s="2">
        <f>B9/'Output-Calculation-sheet'!B8*'Output-Calculation-sheet'!B17</f>
        <v>30735.767156140198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2105.2641262379916</v>
      </c>
      <c r="O31" s="2">
        <f>O9/'Output-Calculation-sheet'!O8*'Output-Calculation-sheet'!O17</f>
        <v>0</v>
      </c>
      <c r="P31" s="2">
        <f>P9/'Output-Calculation-sheet'!P8*'Output-Calculation-sheet'!P17</f>
        <v>2606.9297400739702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1565.3885699270452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66.9335671101651</v>
      </c>
    </row>
    <row r="32" spans="1:27" x14ac:dyDescent="0.25">
      <c r="A32" s="2">
        <v>2033</v>
      </c>
      <c r="B32" s="2">
        <f>B10/'Output-Calculation-sheet'!B9*'Output-Calculation-sheet'!B18</f>
        <v>34717.248507727396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3311.3243596329476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2121.5376288610191</v>
      </c>
      <c r="O32" s="2">
        <f>O10/'Output-Calculation-sheet'!O9*'Output-Calculation-sheet'!O18</f>
        <v>0</v>
      </c>
      <c r="P32" s="2">
        <f>P10/'Output-Calculation-sheet'!P9*'Output-Calculation-sheet'!P18</f>
        <v>3408.0105088892983</v>
      </c>
      <c r="Q32" s="2">
        <f>Q10/'Output-Calculation-sheet'!Q9*'Output-Calculation-sheet'!Q18</f>
        <v>3712.9726516598589</v>
      </c>
      <c r="R32" s="2">
        <f>R10/'Output-Calculation-sheet'!R9*'Output-Calculation-sheet'!R18</f>
        <v>2447.2720089256272</v>
      </c>
      <c r="S32" s="2">
        <f>S10/'Output-Calculation-sheet'!S9*'Output-Calculation-sheet'!S18</f>
        <v>1602.8177829371575</v>
      </c>
      <c r="T32" s="2">
        <f>T10/'Output-Calculation-sheet'!T9*'Output-Calculation-sheet'!T18</f>
        <v>714.50812329716325</v>
      </c>
      <c r="U32" s="2">
        <f>U10/'Output-Calculation-sheet'!U9*'Output-Calculation-sheet'!U18</f>
        <v>789.97658788178683</v>
      </c>
      <c r="V32" s="2">
        <f>V10/'Output-Calculation-sheet'!V9*'Output-Calculation-sheet'!V18</f>
        <v>582.96644858940408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337.56105749840174</v>
      </c>
      <c r="AA32" s="2">
        <f t="shared" si="1"/>
        <v>83.45260298558469</v>
      </c>
    </row>
    <row r="33" spans="1:27" x14ac:dyDescent="0.25">
      <c r="A33" s="2">
        <v>2034</v>
      </c>
      <c r="B33" s="2">
        <f>B11/'Output-Calculation-sheet'!B10*'Output-Calculation-sheet'!B19</f>
        <v>32616.933940330855</v>
      </c>
      <c r="C33" s="2">
        <f>C11/'Output-Calculation-sheet'!C10*'Output-Calculation-sheet'!C19</f>
        <v>0</v>
      </c>
      <c r="D33" s="2">
        <f>D11/'Output-Calculation-sheet'!D10*'Output-Calculation-sheet'!D19</f>
        <v>9533.5437769945911</v>
      </c>
      <c r="E33" s="2">
        <f>E11/'Output-Calculation-sheet'!E10*'Output-Calculation-sheet'!E19</f>
        <v>11994.102170935554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3599.8435763961179</v>
      </c>
      <c r="J33" s="2">
        <f>J11/'Output-Calculation-sheet'!J10*'Output-Calculation-sheet'!J19</f>
        <v>2979.82428722232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3339.5279607136622</v>
      </c>
      <c r="M33" s="2">
        <f>M11/'Output-Calculation-sheet'!M10*'Output-Calculation-sheet'!M19</f>
        <v>0</v>
      </c>
      <c r="N33" s="2">
        <f>N11/'Output-Calculation-sheet'!N10*'Output-Calculation-sheet'!N19</f>
        <v>1982.1918945058894</v>
      </c>
      <c r="O33" s="2">
        <f>O11/'Output-Calculation-sheet'!O10*'Output-Calculation-sheet'!O19</f>
        <v>0</v>
      </c>
      <c r="P33" s="2">
        <f>P11/'Output-Calculation-sheet'!P10*'Output-Calculation-sheet'!P19</f>
        <v>4270.6968662912313</v>
      </c>
      <c r="Q33" s="2">
        <f>Q11/'Output-Calculation-sheet'!Q10*'Output-Calculation-sheet'!Q19</f>
        <v>3574.5770802018274</v>
      </c>
      <c r="R33" s="2">
        <f>R11/'Output-Calculation-sheet'!R10*'Output-Calculation-sheet'!R19</f>
        <v>3049.695024274733</v>
      </c>
      <c r="S33" s="2">
        <f>S11/'Output-Calculation-sheet'!S10*'Output-Calculation-sheet'!S19</f>
        <v>1529.1159826486835</v>
      </c>
      <c r="T33" s="2">
        <f>T11/'Output-Calculation-sheet'!T10*'Output-Calculation-sheet'!T19</f>
        <v>894.83856416970218</v>
      </c>
      <c r="U33" s="2">
        <f>U11/'Output-Calculation-sheet'!U10*'Output-Calculation-sheet'!U19</f>
        <v>964.60416987450571</v>
      </c>
      <c r="V33" s="2">
        <f>V11/'Output-Calculation-sheet'!V10*'Output-Calculation-sheet'!V19</f>
        <v>701.89416974155154</v>
      </c>
      <c r="W33" s="2">
        <f>W11/'Output-Calculation-sheet'!W10*'Output-Calculation-sheet'!W19</f>
        <v>437.04237339879973</v>
      </c>
      <c r="X33" s="2">
        <f>X11/'Output-Calculation-sheet'!X10*'Output-Calculation-sheet'!X19</f>
        <v>0</v>
      </c>
      <c r="Y33" s="2">
        <f>Y11/'Output-Calculation-sheet'!Y10*'Output-Calculation-sheet'!Y19</f>
        <v>393.92076602588435</v>
      </c>
      <c r="AA33" s="2">
        <f t="shared" si="1"/>
        <v>94.884462019686183</v>
      </c>
    </row>
    <row r="34" spans="1:27" x14ac:dyDescent="0.25">
      <c r="A34" s="2">
        <v>2035</v>
      </c>
      <c r="B34" s="2">
        <f>B12/'Output-Calculation-sheet'!B11*'Output-Calculation-sheet'!B20</f>
        <v>28574.986612090077</v>
      </c>
      <c r="C34" s="2">
        <f>C12/'Output-Calculation-sheet'!C11*'Output-Calculation-sheet'!C20</f>
        <v>0</v>
      </c>
      <c r="D34" s="2">
        <f>D12/'Output-Calculation-sheet'!D11*'Output-Calculation-sheet'!D20</f>
        <v>8910.6134234648398</v>
      </c>
      <c r="E34" s="2">
        <f>E12/'Output-Calculation-sheet'!E11*'Output-Calculation-sheet'!E20</f>
        <v>10429.874490129721</v>
      </c>
      <c r="F34" s="2">
        <f>F12/'Output-Calculation-sheet'!F11*'Output-Calculation-sheet'!F20</f>
        <v>6058.7040344705165</v>
      </c>
      <c r="G34" s="2">
        <f>G12/'Output-Calculation-sheet'!G11*'Output-Calculation-sheet'!G20</f>
        <v>3216.3130037293354</v>
      </c>
      <c r="H34" s="2">
        <f>H12/'Output-Calculation-sheet'!H11*'Output-Calculation-sheet'!H20</f>
        <v>0</v>
      </c>
      <c r="I34" s="2">
        <f>I12/'Output-Calculation-sheet'!I11*'Output-Calculation-sheet'!I20</f>
        <v>3565.267952179227</v>
      </c>
      <c r="J34" s="2">
        <f>J12/'Output-Calculation-sheet'!J11*'Output-Calculation-sheet'!J20</f>
        <v>2788.634817469353</v>
      </c>
      <c r="K34" s="2">
        <f>K12/'Output-Calculation-sheet'!K11*'Output-Calculation-sheet'!K20</f>
        <v>4116.9433718506489</v>
      </c>
      <c r="L34" s="2">
        <f>L12/'Output-Calculation-sheet'!L11*'Output-Calculation-sheet'!L20</f>
        <v>3125.8819935569936</v>
      </c>
      <c r="M34" s="2">
        <f>M12/'Output-Calculation-sheet'!M11*'Output-Calculation-sheet'!M20</f>
        <v>0</v>
      </c>
      <c r="N34" s="2">
        <f>N12/'Output-Calculation-sheet'!N11*'Output-Calculation-sheet'!N20</f>
        <v>1819.0384160822155</v>
      </c>
      <c r="O34" s="2">
        <f>O12/'Output-Calculation-sheet'!O11*'Output-Calculation-sheet'!O20</f>
        <v>0</v>
      </c>
      <c r="P34" s="2">
        <f>P12/'Output-Calculation-sheet'!P11*'Output-Calculation-sheet'!P20</f>
        <v>3928.2501281903355</v>
      </c>
      <c r="Q34" s="2">
        <f>Q12/'Output-Calculation-sheet'!Q11*'Output-Calculation-sheet'!Q20</f>
        <v>3223.5151237579494</v>
      </c>
      <c r="R34" s="2">
        <f>R12/'Output-Calculation-sheet'!R11*'Output-Calculation-sheet'!R20</f>
        <v>3057.0797909618077</v>
      </c>
      <c r="S34" s="2">
        <f>S12/'Output-Calculation-sheet'!S11*'Output-Calculation-sheet'!S20</f>
        <v>1293.3383154994158</v>
      </c>
      <c r="T34" s="2">
        <f>T12/'Output-Calculation-sheet'!T11*'Output-Calculation-sheet'!T20</f>
        <v>946.952882838297</v>
      </c>
      <c r="U34" s="2">
        <f>U12/'Output-Calculation-sheet'!U11*'Output-Calculation-sheet'!U20</f>
        <v>904.77543538495092</v>
      </c>
      <c r="V34" s="2">
        <f>V12/'Output-Calculation-sheet'!V11*'Output-Calculation-sheet'!V20</f>
        <v>673.56022360276108</v>
      </c>
      <c r="W34" s="2">
        <f>W12/'Output-Calculation-sheet'!W11*'Output-Calculation-sheet'!W20</f>
        <v>531.08938177174048</v>
      </c>
      <c r="X34" s="2">
        <f>X12/'Output-Calculation-sheet'!X11*'Output-Calculation-sheet'!X20</f>
        <v>0</v>
      </c>
      <c r="Y34" s="2">
        <f>Y12/'Output-Calculation-sheet'!Y11*'Output-Calculation-sheet'!Y20</f>
        <v>313.65538000525987</v>
      </c>
      <c r="AA34" s="2">
        <f t="shared" si="1"/>
        <v>87.478474777035458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0.72544191391369517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0.39931076314357755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1.1247526770572727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2.3361869275249085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0.58352942428837506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2.9197163518132836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4.1725289636425957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0.75656603070469419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4.9290949943472899</v>
      </c>
    </row>
    <row r="44" spans="1:27" x14ac:dyDescent="0.25">
      <c r="A44" s="2">
        <v>2034</v>
      </c>
      <c r="B44" s="2">
        <f>B11/'Output-Calculation-sheet'!B10*'Output-Calculation-sheet'!B37*0.0114</f>
        <v>0.28946684752437285</v>
      </c>
      <c r="C44" s="2">
        <f>C11/'Output-Calculation-sheet'!C10*'Output-Calculation-sheet'!C37*0.0114</f>
        <v>4.6024867996737955</v>
      </c>
      <c r="D44" s="2">
        <f>D11/'Output-Calculation-sheet'!D10*'Output-Calculation-sheet'!D37*0.0114</f>
        <v>6.0850873890488953E-2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8.4584369127400819E-2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1.9430624242085151E-2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1.5343742922581154E-2</v>
      </c>
      <c r="M44" s="2">
        <f>M11/'Output-Calculation-sheet'!M10*'Output-Calculation-sheet'!M37*0.0114</f>
        <v>4.3651708252582765E-2</v>
      </c>
      <c r="N44" s="2">
        <f>N11/'Output-Calculation-sheet'!N10*'Output-Calculation-sheet'!N37*0.0114</f>
        <v>2.8601699999515402E-2</v>
      </c>
      <c r="O44" s="2">
        <f>O11/'Output-Calculation-sheet'!O10*'Output-Calculation-sheet'!O37*0.0114</f>
        <v>0.88079002109037086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6.2648670738326862E-2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3.2790963638012996E-2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7.9954771400417898E-3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6.128641798239574</v>
      </c>
    </row>
    <row r="45" spans="1:27" x14ac:dyDescent="0.25">
      <c r="A45" s="2">
        <v>2035</v>
      </c>
      <c r="B45" s="2">
        <f>B12/'Output-Calculation-sheet'!B11*'Output-Calculation-sheet'!B38*0.0114</f>
        <v>1.2198063676545667</v>
      </c>
      <c r="C45" s="2">
        <f>C12/'Output-Calculation-sheet'!C11*'Output-Calculation-sheet'!C38*0.0114</f>
        <v>4.6315866799904111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0.3170051457623862</v>
      </c>
      <c r="F45" s="2">
        <f>F12/'Output-Calculation-sheet'!F11*'Output-Calculation-sheet'!F38*0.0114</f>
        <v>0.11392824434882506</v>
      </c>
      <c r="G45" s="2">
        <f>G12/'Output-Calculation-sheet'!G11*'Output-Calculation-sheet'!G38*0.0114</f>
        <v>0.1022057011867825</v>
      </c>
      <c r="H45" s="2">
        <f>H12/'Output-Calculation-sheet'!H11*'Output-Calculation-sheet'!H38*0.0114</f>
        <v>0.35643650714426106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7.2782387131386822E-2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8.6210887271725919E-2</v>
      </c>
      <c r="M45" s="2">
        <f>M12/'Output-Calculation-sheet'!M11*'Output-Calculation-sheet'!M38*0.0114</f>
        <v>0.2180115601298796</v>
      </c>
      <c r="N45" s="2">
        <f>N12/'Output-Calculation-sheet'!N11*'Output-Calculation-sheet'!N38*0.0114</f>
        <v>0.13391875474796403</v>
      </c>
      <c r="O45" s="2">
        <f>O12/'Output-Calculation-sheet'!O11*'Output-Calculation-sheet'!O38*0.0114</f>
        <v>0.93727981538330296</v>
      </c>
      <c r="P45" s="2">
        <f>P12/'Output-Calculation-sheet'!P11*'Output-Calculation-sheet'!P38*0.0114</f>
        <v>8.6602184495584253E-2</v>
      </c>
      <c r="Q45" s="2">
        <f>Q12/'Output-Calculation-sheet'!Q11*'Output-Calculation-sheet'!Q38*0.0114</f>
        <v>0.1290666662364475</v>
      </c>
      <c r="R45" s="2">
        <f>R12/'Output-Calculation-sheet'!R11*'Output-Calculation-sheet'!R38*0.0114</f>
        <v>5.8179056995892667E-2</v>
      </c>
      <c r="S45" s="2">
        <f>S12/'Output-Calculation-sheet'!S11*'Output-Calculation-sheet'!S38*0.0114</f>
        <v>8.4443538656953213E-2</v>
      </c>
      <c r="T45" s="2">
        <f>T12/'Output-Calculation-sheet'!T11*'Output-Calculation-sheet'!T38*0.0114</f>
        <v>1.7219247546546804E-2</v>
      </c>
      <c r="U45" s="2">
        <f>U12/'Output-Calculation-sheet'!U11*'Output-Calculation-sheet'!U38*0.0114</f>
        <v>2.6205471687341855E-2</v>
      </c>
      <c r="V45" s="2">
        <f>V12/'Output-Calculation-sheet'!V11*'Output-Calculation-sheet'!V38*0.0114</f>
        <v>1.1546690259140052E-2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5.9790803934197459E-3</v>
      </c>
      <c r="Y45" s="2">
        <f>Y12/'Output-Calculation-sheet'!Y11*'Output-Calculation-sheet'!Y38*0.0114</f>
        <v>1.0097372160375361E-2</v>
      </c>
      <c r="AA45" s="2">
        <f t="shared" si="2"/>
        <v>9.017835377382605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8073.8938096333013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5521.9270054134877</v>
      </c>
      <c r="N52" s="2">
        <f>N8/'Output-Calculation-sheet'!N7*'Output-Calculation-sheet'!N43</f>
        <v>174.42861656819446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37.336729817721668</v>
      </c>
      <c r="Y52" s="2">
        <f>Y8/'Output-Calculation-sheet'!Y7*'Output-Calculation-sheet'!Y43</f>
        <v>0</v>
      </c>
      <c r="AA52" s="2">
        <f t="shared" si="3"/>
        <v>13.807586161432706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240.05930834215852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15805.096000342826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10809.712804544381</v>
      </c>
      <c r="N53" s="2">
        <f>N9/'Output-Calculation-sheet'!N8*'Output-Calculation-sheet'!N44</f>
        <v>3835.9729780434595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1196.2305610637304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329.9313153207741</v>
      </c>
      <c r="Y53" s="2">
        <f>Y9/'Output-Calculation-sheet'!Y8*'Output-Calculation-sheet'!Y44</f>
        <v>0</v>
      </c>
      <c r="AA53" s="2">
        <f t="shared" si="3"/>
        <v>32.387040638809353</v>
      </c>
    </row>
    <row r="54" spans="1:27" x14ac:dyDescent="0.25">
      <c r="A54" s="2">
        <v>2033</v>
      </c>
      <c r="B54" s="2">
        <f>B10/'Output-Calculation-sheet'!B9*'Output-Calculation-sheet'!B45</f>
        <v>32735.824981075446</v>
      </c>
      <c r="C54" s="2">
        <f>C10/'Output-Calculation-sheet'!C9*'Output-Calculation-sheet'!C45</f>
        <v>7033.5173904677085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16351.878372043111</v>
      </c>
      <c r="N54" s="2">
        <f>N10/'Output-Calculation-sheet'!N9*'Output-Calculation-sheet'!N45</f>
        <v>9148.7353549935378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958.01104741798099</v>
      </c>
      <c r="R54" s="2">
        <f>R10/'Output-Calculation-sheet'!R9*'Output-Calculation-sheet'!R45</f>
        <v>1624.240898160107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100.02979336432819</v>
      </c>
    </row>
    <row r="55" spans="1:27" x14ac:dyDescent="0.25">
      <c r="A55" s="2">
        <v>2034</v>
      </c>
      <c r="B55" s="2">
        <f>B11/'Output-Calculation-sheet'!B10*'Output-Calculation-sheet'!B46</f>
        <v>80936.454077538452</v>
      </c>
      <c r="C55" s="2">
        <f>C11/'Output-Calculation-sheet'!C10*'Output-Calculation-sheet'!C46</f>
        <v>16607.035375623174</v>
      </c>
      <c r="D55" s="2">
        <f>D11/'Output-Calculation-sheet'!D10*'Output-Calculation-sheet'!D46</f>
        <v>7008.5260893168415</v>
      </c>
      <c r="E55" s="2">
        <f>E11/'Output-Calculation-sheet'!E10*'Output-Calculation-sheet'!E46</f>
        <v>10495.027113776283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27113.371130158284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1005.620026564056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843.90586074196347</v>
      </c>
      <c r="M55" s="2">
        <f>M11/'Output-Calculation-sheet'!M10*'Output-Calculation-sheet'!M46</f>
        <v>18960.413043629153</v>
      </c>
      <c r="N55" s="2">
        <f>N11/'Output-Calculation-sheet'!N10*'Output-Calculation-sheet'!N46</f>
        <v>13810.355933976538</v>
      </c>
      <c r="O55" s="2">
        <f>O11/'Output-Calculation-sheet'!O10*'Output-Calculation-sheet'!O46</f>
        <v>0</v>
      </c>
      <c r="P55" s="2">
        <f>P11/'Output-Calculation-sheet'!P10*'Output-Calculation-sheet'!P46</f>
        <v>5475.808070938705</v>
      </c>
      <c r="Q55" s="2">
        <f>Q11/'Output-Calculation-sheet'!Q10*'Output-Calculation-sheet'!Q46</f>
        <v>2025.6403538725681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5807.4522443112492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1346.9573550394962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90.382431312131402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209.1116910304942</v>
      </c>
    </row>
    <row r="56" spans="1:27" x14ac:dyDescent="0.25">
      <c r="A56" s="2">
        <v>2035</v>
      </c>
      <c r="B56" s="2">
        <f>B12/'Output-Calculation-sheet'!B11*'Output-Calculation-sheet'!B47</f>
        <v>86872.564604794534</v>
      </c>
      <c r="C56" s="2">
        <f>C12/'Output-Calculation-sheet'!C11*'Output-Calculation-sheet'!C47</f>
        <v>31317.380694379604</v>
      </c>
      <c r="D56" s="2">
        <f>D12/'Output-Calculation-sheet'!D11*'Output-Calculation-sheet'!D47</f>
        <v>6837.976699464225</v>
      </c>
      <c r="E56" s="2">
        <f>E12/'Output-Calculation-sheet'!E11*'Output-Calculation-sheet'!E47</f>
        <v>18162.249704581827</v>
      </c>
      <c r="F56" s="2">
        <f>F12/'Output-Calculation-sheet'!F11*'Output-Calculation-sheet'!F47</f>
        <v>2136.1545815404702</v>
      </c>
      <c r="G56" s="2">
        <f>G12/'Output-Calculation-sheet'!G11*'Output-Calculation-sheet'!G47</f>
        <v>5520.9009465632162</v>
      </c>
      <c r="H56" s="2">
        <f>H12/'Output-Calculation-sheet'!H11*'Output-Calculation-sheet'!H47</f>
        <v>25791.273187514562</v>
      </c>
      <c r="I56" s="2">
        <f>I12/'Output-Calculation-sheet'!I11*'Output-Calculation-sheet'!I47</f>
        <v>3069.0953817704858</v>
      </c>
      <c r="J56" s="2">
        <f>J12/'Output-Calculation-sheet'!J11*'Output-Calculation-sheet'!J47</f>
        <v>1101.3124368565111</v>
      </c>
      <c r="K56" s="2">
        <f>K12/'Output-Calculation-sheet'!K11*'Output-Calculation-sheet'!K47</f>
        <v>4588.8446185050052</v>
      </c>
      <c r="L56" s="2">
        <f>L12/'Output-Calculation-sheet'!L11*'Output-Calculation-sheet'!L47</f>
        <v>1037.3035120560003</v>
      </c>
      <c r="M56" s="2">
        <f>M12/'Output-Calculation-sheet'!M11*'Output-Calculation-sheet'!M47</f>
        <v>18055.277562072155</v>
      </c>
      <c r="N56" s="2">
        <f>N12/'Output-Calculation-sheet'!N11*'Output-Calculation-sheet'!N47</f>
        <v>13465.883207683433</v>
      </c>
      <c r="O56" s="2">
        <f>O12/'Output-Calculation-sheet'!O11*'Output-Calculation-sheet'!O47</f>
        <v>0</v>
      </c>
      <c r="P56" s="2">
        <f>P12/'Output-Calculation-sheet'!P11*'Output-Calculation-sheet'!P47</f>
        <v>6950.9648081982095</v>
      </c>
      <c r="Q56" s="2">
        <f>Q12/'Output-Calculation-sheet'!Q11*'Output-Calculation-sheet'!Q47</f>
        <v>2463.9999917867244</v>
      </c>
      <c r="R56" s="2">
        <f>R12/'Output-Calculation-sheet'!R11*'Output-Calculation-sheet'!R47</f>
        <v>4808.4480264500071</v>
      </c>
      <c r="S56" s="2">
        <f>S12/'Output-Calculation-sheet'!S11*'Output-Calculation-sheet'!S47</f>
        <v>6275.3535625530067</v>
      </c>
      <c r="T56" s="2">
        <f>T12/'Output-Calculation-sheet'!T11*'Output-Calculation-sheet'!T47</f>
        <v>1647.9121994107511</v>
      </c>
      <c r="U56" s="2">
        <f>U12/'Output-Calculation-sheet'!U11*'Output-Calculation-sheet'!U47</f>
        <v>1285.31599228391</v>
      </c>
      <c r="V56" s="2">
        <f>V12/'Output-Calculation-sheet'!V11*'Output-Calculation-sheet'!V47</f>
        <v>740.91262496148659</v>
      </c>
      <c r="W56" s="2">
        <f>W12/'Output-Calculation-sheet'!W11*'Output-Calculation-sheet'!W47</f>
        <v>638.72917056181086</v>
      </c>
      <c r="X56" s="2">
        <f>X12/'Output-Calculation-sheet'!X11*'Output-Calculation-sheet'!X47</f>
        <v>384.18213931403193</v>
      </c>
      <c r="Y56" s="2">
        <f>Y12/'Output-Calculation-sheet'!Y11*'Output-Calculation-sheet'!Y47</f>
        <v>822.84725763058862</v>
      </c>
      <c r="AA56" s="2">
        <f t="shared" si="3"/>
        <v>243.97488291093256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6.1889999785307035</v>
      </c>
      <c r="C63" s="2">
        <f>C8*'Output-Calculation-sheet'!C52/10^9</f>
        <v>3.8671744390398817</v>
      </c>
      <c r="D63" s="2">
        <f>D8*'Output-Calculation-sheet'!D52/10^9</f>
        <v>1.7676488550322931</v>
      </c>
      <c r="E63" s="2">
        <f>E8*'Output-Calculation-sheet'!E52/10^9</f>
        <v>1.6236983998863632</v>
      </c>
      <c r="F63" s="2">
        <f>F8*'Output-Calculation-sheet'!F52/10^9</f>
        <v>0.85571714791396702</v>
      </c>
      <c r="G63" s="2">
        <f>G8*'Output-Calculation-sheet'!G52/10^9</f>
        <v>0.6328296598384564</v>
      </c>
      <c r="H63" s="2">
        <f>H8*'Output-Calculation-sheet'!H52/10^9</f>
        <v>1.0918668132676443</v>
      </c>
      <c r="I63" s="2">
        <f>I8*'Output-Calculation-sheet'!I52/10^9</f>
        <v>0.58666120275049505</v>
      </c>
      <c r="J63" s="2">
        <f>J8*'Output-Calculation-sheet'!J52/10^9</f>
        <v>0.59642227961965932</v>
      </c>
      <c r="K63" s="2">
        <f>K8*'Output-Calculation-sheet'!K52/10^9</f>
        <v>0.60021929355321613</v>
      </c>
      <c r="L63" s="2">
        <f>L8*'Output-Calculation-sheet'!L52/10^9</f>
        <v>0.48929701160633021</v>
      </c>
      <c r="M63" s="2">
        <f>M8*'Output-Calculation-sheet'!M52/10^9</f>
        <v>0.75597112520836052</v>
      </c>
      <c r="N63" s="2">
        <f>N8*'Output-Calculation-sheet'!N52/10^9</f>
        <v>0.67830286415456598</v>
      </c>
      <c r="O63" s="2">
        <f>O8*'Output-Calculation-sheet'!O52/10^9</f>
        <v>0.73348830368308615</v>
      </c>
      <c r="P63" s="2">
        <f>P8*'Output-Calculation-sheet'!P52/10^9</f>
        <v>0.48319269520639985</v>
      </c>
      <c r="Q63" s="2">
        <f>Q8*'Output-Calculation-sheet'!Q52/10^9</f>
        <v>0.49831092020847423</v>
      </c>
      <c r="R63" s="2">
        <f>R8*'Output-Calculation-sheet'!R52/10^9</f>
        <v>0.40811180330603053</v>
      </c>
      <c r="S63" s="2">
        <f>S8*'Output-Calculation-sheet'!S52/10^9</f>
        <v>0.37526454603303322</v>
      </c>
      <c r="T63" s="2">
        <f>T8*'Output-Calculation-sheet'!T52/10^9</f>
        <v>0.14070956166539067</v>
      </c>
      <c r="U63" s="2">
        <f>U8*'Output-Calculation-sheet'!U52/10^9</f>
        <v>0.12782821357594243</v>
      </c>
      <c r="V63" s="2">
        <f>V8*'Output-Calculation-sheet'!V52/10^9</f>
        <v>9.8772021997277554E-2</v>
      </c>
      <c r="W63" s="2">
        <f>W8*'Output-Calculation-sheet'!W52/10^9</f>
        <v>7.7166210960100762E-2</v>
      </c>
      <c r="X63" s="2">
        <f>X8*'Output-Calculation-sheet'!X52/10^9</f>
        <v>9.1062648639186033E-2</v>
      </c>
      <c r="Y63" s="2">
        <f>Y8*'Output-Calculation-sheet'!Y52/10^9</f>
        <v>5.0161181537923143E-2</v>
      </c>
      <c r="AA63" s="2">
        <f t="shared" si="4"/>
        <v>22.818877177214784</v>
      </c>
    </row>
    <row r="64" spans="1:27" x14ac:dyDescent="0.25">
      <c r="A64" s="2">
        <v>2032</v>
      </c>
      <c r="B64" s="2">
        <f>B9*'Output-Calculation-sheet'!B53/10^9</f>
        <v>7.0726404250631969</v>
      </c>
      <c r="C64" s="2">
        <f>C9*'Output-Calculation-sheet'!C53/10^9</f>
        <v>4.6825470492078791</v>
      </c>
      <c r="D64" s="2">
        <f>D9*'Output-Calculation-sheet'!D53/10^9</f>
        <v>1.7040793332401594</v>
      </c>
      <c r="E64" s="2">
        <f>E9*'Output-Calculation-sheet'!E53/10^9</f>
        <v>1.6636944185232165</v>
      </c>
      <c r="F64" s="2">
        <f>F9*'Output-Calculation-sheet'!F53/10^9</f>
        <v>0.83905533571068291</v>
      </c>
      <c r="G64" s="2">
        <f>G9*'Output-Calculation-sheet'!G53/10^9</f>
        <v>0.60946461918289341</v>
      </c>
      <c r="H64" s="2">
        <f>H9*'Output-Calculation-sheet'!H53/10^9</f>
        <v>1.3083806458783902</v>
      </c>
      <c r="I64" s="2">
        <f>I9*'Output-Calculation-sheet'!I53/10^9</f>
        <v>0.5690857231312767</v>
      </c>
      <c r="J64" s="2">
        <f>J9*'Output-Calculation-sheet'!J53/10^9</f>
        <v>0.56802366485117883</v>
      </c>
      <c r="K64" s="2">
        <f>K9*'Output-Calculation-sheet'!K53/10^9</f>
        <v>0.61266146139181576</v>
      </c>
      <c r="L64" s="2">
        <f>L9*'Output-Calculation-sheet'!L53/10^9</f>
        <v>0.5050285895372062</v>
      </c>
      <c r="M64" s="2">
        <f>M9*'Output-Calculation-sheet'!M53/10^9</f>
        <v>0.90651084576356478</v>
      </c>
      <c r="N64" s="2">
        <f>N9*'Output-Calculation-sheet'!N53/10^9</f>
        <v>0.8054938288402449</v>
      </c>
      <c r="O64" s="2">
        <f>O9*'Output-Calculation-sheet'!O53/10^9</f>
        <v>0.86665749614652732</v>
      </c>
      <c r="P64" s="2">
        <f>P9*'Output-Calculation-sheet'!P53/10^9</f>
        <v>0.54795146781467696</v>
      </c>
      <c r="Q64" s="2">
        <f>Q9*'Output-Calculation-sheet'!Q53/10^9</f>
        <v>0.56070634048291712</v>
      </c>
      <c r="R64" s="2">
        <f>R9*'Output-Calculation-sheet'!R53/10^9</f>
        <v>0.43838093722034749</v>
      </c>
      <c r="S64" s="2">
        <f>S9*'Output-Calculation-sheet'!S53/10^9</f>
        <v>0.44367812617282359</v>
      </c>
      <c r="T64" s="2">
        <f>T9*'Output-Calculation-sheet'!T53/10^9</f>
        <v>0.14047589520759388</v>
      </c>
      <c r="U64" s="2">
        <f>U9*'Output-Calculation-sheet'!U53/10^9</f>
        <v>0.13857272433355777</v>
      </c>
      <c r="V64" s="2">
        <f>V9*'Output-Calculation-sheet'!V53/10^9</f>
        <v>0.10310190920423283</v>
      </c>
      <c r="W64" s="2">
        <f>W9*'Output-Calculation-sheet'!W53/10^9</f>
        <v>7.4435171183336729E-2</v>
      </c>
      <c r="X64" s="2">
        <f>X9*'Output-Calculation-sheet'!X53/10^9</f>
        <v>0.10963337114532755</v>
      </c>
      <c r="Y64" s="2">
        <f>Y9*'Output-Calculation-sheet'!Y53/10^9</f>
        <v>5.3655447165714902E-2</v>
      </c>
      <c r="AA64" s="2">
        <f t="shared" si="4"/>
        <v>25.323914826398759</v>
      </c>
    </row>
    <row r="65" spans="1:27" x14ac:dyDescent="0.25">
      <c r="A65" s="2">
        <v>2033</v>
      </c>
      <c r="B65" s="2">
        <f>B10*'Output-Calculation-sheet'!B54/10^9</f>
        <v>8.0236148240686376</v>
      </c>
      <c r="C65" s="2">
        <f>C10*'Output-Calculation-sheet'!C54/10^9</f>
        <v>5.2995236168202169</v>
      </c>
      <c r="D65" s="2">
        <f>D10*'Output-Calculation-sheet'!D54/10^9</f>
        <v>1.5412996092975073</v>
      </c>
      <c r="E65" s="2">
        <f>E10*'Output-Calculation-sheet'!E54/10^9</f>
        <v>1.749014317018063</v>
      </c>
      <c r="F65" s="2">
        <f>F10*'Output-Calculation-sheet'!F54/10^9</f>
        <v>0.79342831383795009</v>
      </c>
      <c r="G65" s="2">
        <f>G10*'Output-Calculation-sheet'!G54/10^9</f>
        <v>0.54759814198350398</v>
      </c>
      <c r="H65" s="2">
        <f>H10*'Output-Calculation-sheet'!H54/10^9</f>
        <v>1.4555019956725206</v>
      </c>
      <c r="I65" s="2">
        <f>I10*'Output-Calculation-sheet'!I54/10^9</f>
        <v>0.53865439721349795</v>
      </c>
      <c r="J65" s="2">
        <f>J10*'Output-Calculation-sheet'!J54/10^9</f>
        <v>0.49677875593776799</v>
      </c>
      <c r="K65" s="2">
        <f>K10*'Output-Calculation-sheet'!K54/10^9</f>
        <v>0.63361866342763373</v>
      </c>
      <c r="L65" s="2">
        <f>L10*'Output-Calculation-sheet'!L54/10^9</f>
        <v>0.52696607461327016</v>
      </c>
      <c r="M65" s="2">
        <f>M10*'Output-Calculation-sheet'!M54/10^9</f>
        <v>1.0085763132040038</v>
      </c>
      <c r="N65" s="2">
        <f>N10*'Output-Calculation-sheet'!N54/10^9</f>
        <v>0.90672807543120182</v>
      </c>
      <c r="O65" s="2">
        <f>O10*'Output-Calculation-sheet'!O54/10^9</f>
        <v>0.95992857022089739</v>
      </c>
      <c r="P65" s="2">
        <f>P10*'Output-Calculation-sheet'!P54/10^9</f>
        <v>0.6118752923290528</v>
      </c>
      <c r="Q65" s="2">
        <f>Q10*'Output-Calculation-sheet'!Q54/10^9</f>
        <v>0.63484844911120053</v>
      </c>
      <c r="R65" s="2">
        <f>R10*'Output-Calculation-sheet'!R54/10^9</f>
        <v>0.47437948802517838</v>
      </c>
      <c r="S65" s="2">
        <f>S10*'Output-Calculation-sheet'!S54/10^9</f>
        <v>0.50164184874322715</v>
      </c>
      <c r="T65" s="2">
        <f>T10*'Output-Calculation-sheet'!T54/10^9</f>
        <v>0.14238282825494639</v>
      </c>
      <c r="U65" s="2">
        <f>U10*'Output-Calculation-sheet'!U54/10^9</f>
        <v>0.15395285739167369</v>
      </c>
      <c r="V65" s="2">
        <f>V10*'Output-Calculation-sheet'!V54/10^9</f>
        <v>0.10743868024742442</v>
      </c>
      <c r="W65" s="2">
        <f>W10*'Output-Calculation-sheet'!W54/10^9</f>
        <v>6.7204108763029083E-2</v>
      </c>
      <c r="X65" s="2">
        <f>X10*'Output-Calculation-sheet'!X54/10^9</f>
        <v>0.12363109469541385</v>
      </c>
      <c r="Y65" s="2">
        <f>Y10*'Output-Calculation-sheet'!Y54/10^9</f>
        <v>5.9290369935773607E-2</v>
      </c>
      <c r="AA65" s="2">
        <f t="shared" si="4"/>
        <v>27.357876686243582</v>
      </c>
    </row>
    <row r="66" spans="1:27" x14ac:dyDescent="0.25">
      <c r="A66" s="2">
        <v>2034</v>
      </c>
      <c r="B66" s="2">
        <f>B11*'Output-Calculation-sheet'!B55/10^9</f>
        <v>8.8415901717956462</v>
      </c>
      <c r="C66" s="2">
        <f>C11*'Output-Calculation-sheet'!C55/10^9</f>
        <v>5.6324959112851145</v>
      </c>
      <c r="D66" s="2">
        <f>D11*'Output-Calculation-sheet'!D55/10^9</f>
        <v>1.6588926872826042</v>
      </c>
      <c r="E66" s="2">
        <f>E11*'Output-Calculation-sheet'!E55/10^9</f>
        <v>2.0454828245894472</v>
      </c>
      <c r="F66" s="2">
        <f>F11*'Output-Calculation-sheet'!F55/10^9</f>
        <v>0.81921267464438186</v>
      </c>
      <c r="G66" s="2">
        <f>G11*'Output-Calculation-sheet'!G55/10^9</f>
        <v>0.59004463773530746</v>
      </c>
      <c r="H66" s="2">
        <f>H11*'Output-Calculation-sheet'!H55/10^9</f>
        <v>1.5543360560382586</v>
      </c>
      <c r="I66" s="2">
        <f>I11*'Output-Calculation-sheet'!I55/10^9</f>
        <v>0.58000372987613225</v>
      </c>
      <c r="J66" s="2">
        <f>J11*'Output-Calculation-sheet'!J55/10^9</f>
        <v>0.51171482316422512</v>
      </c>
      <c r="K66" s="2">
        <f>K11*'Output-Calculation-sheet'!K55/10^9</f>
        <v>0.68386260884890282</v>
      </c>
      <c r="L66" s="2">
        <f>L11*'Output-Calculation-sheet'!L55/10^9</f>
        <v>0.59900422948173915</v>
      </c>
      <c r="M66" s="2">
        <f>M11*'Output-Calculation-sheet'!M55/10^9</f>
        <v>1.0792889625644553</v>
      </c>
      <c r="N66" s="2">
        <f>N11*'Output-Calculation-sheet'!N55/10^9</f>
        <v>0.96620946137618113</v>
      </c>
      <c r="O66" s="2">
        <f>O11*'Output-Calculation-sheet'!O55/10^9</f>
        <v>1.0023979717250568</v>
      </c>
      <c r="P66" s="2">
        <f>P11*'Output-Calculation-sheet'!P55/10^9</f>
        <v>0.67912752029758705</v>
      </c>
      <c r="Q66" s="2">
        <f>Q11*'Output-Calculation-sheet'!Q55/10^9</f>
        <v>0.70500370756235553</v>
      </c>
      <c r="R66" s="2">
        <f>R11*'Output-Calculation-sheet'!R55/10^9</f>
        <v>0.51395793673116397</v>
      </c>
      <c r="S66" s="2">
        <f>S11*'Output-Calculation-sheet'!S55/10^9</f>
        <v>0.54426953331310612</v>
      </c>
      <c r="T66" s="2">
        <f>T11*'Output-Calculation-sheet'!T55/10^9</f>
        <v>0.15131091353716239</v>
      </c>
      <c r="U66" s="2">
        <f>U11*'Output-Calculation-sheet'!U55/10^9</f>
        <v>0.17475400279187892</v>
      </c>
      <c r="V66" s="2">
        <f>V11*'Output-Calculation-sheet'!V55/10^9</f>
        <v>0.11302147653654106</v>
      </c>
      <c r="W66" s="2">
        <f>W11*'Output-Calculation-sheet'!W55/10^9</f>
        <v>6.8857353920076275E-2</v>
      </c>
      <c r="X66" s="2">
        <f>X11*'Output-Calculation-sheet'!X55/10^9</f>
        <v>0.13142273443502983</v>
      </c>
      <c r="Y66" s="2">
        <f>Y11*'Output-Calculation-sheet'!Y55/10^9</f>
        <v>7.1398341943945343E-2</v>
      </c>
      <c r="AA66" s="2">
        <f t="shared" si="4"/>
        <v>29.717660271476301</v>
      </c>
    </row>
    <row r="67" spans="1:27" x14ac:dyDescent="0.25">
      <c r="A67" s="2">
        <v>2035</v>
      </c>
      <c r="B67" s="2">
        <f>B12*'Output-Calculation-sheet'!B56/10^9</f>
        <v>9.219011197679281</v>
      </c>
      <c r="C67" s="2">
        <f>C12*'Output-Calculation-sheet'!C56/10^9</f>
        <v>5.6224066689990533</v>
      </c>
      <c r="D67" s="2">
        <f>D12*'Output-Calculation-sheet'!D56/10^9</f>
        <v>1.8751562714527654</v>
      </c>
      <c r="E67" s="2">
        <f>E12*'Output-Calculation-sheet'!E56/10^9</f>
        <v>2.5353421735511028</v>
      </c>
      <c r="F67" s="2">
        <f>F12*'Output-Calculation-sheet'!F56/10^9</f>
        <v>1.0053760615536607</v>
      </c>
      <c r="G67" s="2">
        <f>G12*'Output-Calculation-sheet'!G56/10^9</f>
        <v>0.7297318737813544</v>
      </c>
      <c r="H67" s="2">
        <f>H12*'Output-Calculation-sheet'!H56/10^9</f>
        <v>1.5907322459774031</v>
      </c>
      <c r="I67" s="2">
        <f>I12*'Output-Calculation-sheet'!I56/10^9</f>
        <v>0.68932808623499875</v>
      </c>
      <c r="J67" s="2">
        <f>J12*'Output-Calculation-sheet'!J56/10^9</f>
        <v>0.56923481801087461</v>
      </c>
      <c r="K67" s="2">
        <f>K12*'Output-Calculation-sheet'!K56/10^9</f>
        <v>0.76963265728708419</v>
      </c>
      <c r="L67" s="2">
        <f>L12*'Output-Calculation-sheet'!L56/10^9</f>
        <v>0.66410171015554809</v>
      </c>
      <c r="M67" s="2">
        <f>M12*'Output-Calculation-sheet'!M56/10^9</f>
        <v>1.1147804071361367</v>
      </c>
      <c r="N67" s="2">
        <f>N12*'Output-Calculation-sheet'!N56/10^9</f>
        <v>0.97582746084674932</v>
      </c>
      <c r="O67" s="2">
        <f>O12*'Output-Calculation-sheet'!O56/10^9</f>
        <v>0.98759519126036521</v>
      </c>
      <c r="P67" s="2">
        <f>P12*'Output-Calculation-sheet'!P56/10^9</f>
        <v>0.77757161317186729</v>
      </c>
      <c r="Q67" s="2">
        <f>Q12*'Output-Calculation-sheet'!Q56/10^9</f>
        <v>0.72891108328887966</v>
      </c>
      <c r="R67" s="2">
        <f>R12*'Output-Calculation-sheet'!R56/10^9</f>
        <v>0.57267139523668675</v>
      </c>
      <c r="S67" s="2">
        <f>S12*'Output-Calculation-sheet'!S56/10^9</f>
        <v>0.5553987181488439</v>
      </c>
      <c r="T67" s="2">
        <f>T12*'Output-Calculation-sheet'!T56/10^9</f>
        <v>0.17604212890788518</v>
      </c>
      <c r="U67" s="2">
        <f>U12*'Output-Calculation-sheet'!U56/10^9</f>
        <v>0.18982810102434972</v>
      </c>
      <c r="V67" s="2">
        <f>V12*'Output-Calculation-sheet'!V56/10^9</f>
        <v>0.11970572498275109</v>
      </c>
      <c r="W67" s="2">
        <f>W12*'Output-Calculation-sheet'!W56/10^9</f>
        <v>9.3136827497902128E-2</v>
      </c>
      <c r="X67" s="2">
        <f>X12*'Output-Calculation-sheet'!X56/10^9</f>
        <v>0.13644710020880166</v>
      </c>
      <c r="Y67" s="2">
        <f>Y12*'Output-Calculation-sheet'!Y56/10^9</f>
        <v>8.7453458500461365E-2</v>
      </c>
      <c r="AA67" s="2">
        <f t="shared" si="4"/>
        <v>31.785422974894804</v>
      </c>
    </row>
    <row r="68" spans="1:27" x14ac:dyDescent="0.25">
      <c r="B68" s="2">
        <f>SUM(B60:B67)</f>
        <v>39.345856597137463</v>
      </c>
      <c r="C68" s="2">
        <f t="shared" ref="C68:Y68" si="5">SUM(C60:C67)</f>
        <v>25.104147685352146</v>
      </c>
      <c r="D68" s="2">
        <f t="shared" si="5"/>
        <v>8.5470767563053283</v>
      </c>
      <c r="E68" s="2">
        <f t="shared" si="5"/>
        <v>9.6172321335681925</v>
      </c>
      <c r="F68" s="2">
        <f t="shared" si="5"/>
        <v>4.3127895336606423</v>
      </c>
      <c r="G68" s="2">
        <f t="shared" si="5"/>
        <v>3.1096689325215157</v>
      </c>
      <c r="H68" s="2">
        <f t="shared" si="5"/>
        <v>7.0008177568342163</v>
      </c>
      <c r="I68" s="2">
        <f t="shared" si="5"/>
        <v>2.963733139206401</v>
      </c>
      <c r="J68" s="2">
        <f t="shared" si="5"/>
        <v>2.7421743415837057</v>
      </c>
      <c r="K68" s="2">
        <f t="shared" si="5"/>
        <v>3.2999946845086523</v>
      </c>
      <c r="L68" s="2">
        <f t="shared" si="5"/>
        <v>2.7843976153940941</v>
      </c>
      <c r="M68" s="2">
        <f t="shared" si="5"/>
        <v>4.8651276538765211</v>
      </c>
      <c r="N68" s="2">
        <f t="shared" si="5"/>
        <v>4.3325616906489426</v>
      </c>
      <c r="O68" s="2">
        <f t="shared" si="5"/>
        <v>4.550067533035933</v>
      </c>
      <c r="P68" s="2">
        <f t="shared" si="5"/>
        <v>3.0997185888195844</v>
      </c>
      <c r="Q68" s="2">
        <f t="shared" si="5"/>
        <v>3.1277805006538273</v>
      </c>
      <c r="R68" s="2">
        <f t="shared" si="5"/>
        <v>2.4075015605194072</v>
      </c>
      <c r="S68" s="2">
        <f t="shared" si="5"/>
        <v>2.4202527724110339</v>
      </c>
      <c r="T68" s="2">
        <f t="shared" si="5"/>
        <v>0.75092132757297858</v>
      </c>
      <c r="U68" s="2">
        <f t="shared" si="5"/>
        <v>0.78493589911740247</v>
      </c>
      <c r="V68" s="2">
        <f t="shared" si="5"/>
        <v>0.5420398129682269</v>
      </c>
      <c r="W68" s="2">
        <f t="shared" si="5"/>
        <v>0.38079967232444495</v>
      </c>
      <c r="X68" s="2">
        <f t="shared" si="5"/>
        <v>0.59219694912375886</v>
      </c>
      <c r="Y68" s="2">
        <f t="shared" si="5"/>
        <v>0.32195879908381836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1713.612951312881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1155.9215143730505</v>
      </c>
      <c r="N74" s="2">
        <f>N8/'Output-Calculation-sheet'!N7*'Output-Calculation-sheet'!N61</f>
        <v>48.049563971608201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10.257373146821081</v>
      </c>
      <c r="Y74" s="2">
        <f>Y8/'Output-Calculation-sheet'!Y7*'Output-Calculation-sheet'!Y61</f>
        <v>0</v>
      </c>
      <c r="AA74" s="2">
        <f t="shared" si="6"/>
        <v>2.9278414028043609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65.95190363819691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3013.2490323545608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2041.7930247594209</v>
      </c>
      <c r="N75" s="2">
        <f>N9/'Output-Calculation-sheet'!N8*'Output-Calculation-sheet'!N62</f>
        <v>786.01000040344218</v>
      </c>
      <c r="O75" s="2">
        <f>O9/'Output-Calculation-sheet'!O8*'Output-Calculation-sheet'!O62</f>
        <v>0</v>
      </c>
      <c r="P75" s="2">
        <f>P9/'Output-Calculation-sheet'!P8*'Output-Calculation-sheet'!P62</f>
        <v>51.130665538600255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264.1782961379073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71.696863929292491</v>
      </c>
      <c r="Y75" s="2">
        <f>Y9/'Output-Calculation-sheet'!Y8*'Output-Calculation-sheet'!Y62</f>
        <v>0</v>
      </c>
      <c r="AA75" s="2">
        <f t="shared" si="6"/>
        <v>6.2940097867614222</v>
      </c>
    </row>
    <row r="76" spans="1:27" x14ac:dyDescent="0.25">
      <c r="A76" s="2">
        <v>2033</v>
      </c>
      <c r="B76" s="2">
        <f>B10/'Output-Calculation-sheet'!B9*'Output-Calculation-sheet'!B63</f>
        <v>6577.343134046092</v>
      </c>
      <c r="C76" s="2">
        <f>C10/'Output-Calculation-sheet'!C9*'Output-Calculation-sheet'!C63</f>
        <v>1932.2835226103821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4309.8895351588671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2931.4983391666515</v>
      </c>
      <c r="N76" s="2">
        <f>N10/'Output-Calculation-sheet'!N9*'Output-Calculation-sheet'!N63</f>
        <v>1674.6313044155627</v>
      </c>
      <c r="O76" s="2">
        <f>O10/'Output-Calculation-sheet'!O9*'Output-Calculation-sheet'!O63</f>
        <v>0</v>
      </c>
      <c r="P76" s="2">
        <f>P10/'Output-Calculation-sheet'!P9*'Output-Calculation-sheet'!P63</f>
        <v>577.31334535817712</v>
      </c>
      <c r="Q76" s="2">
        <f>Q10/'Output-Calculation-sheet'!Q9*'Output-Calculation-sheet'!Q63</f>
        <v>259.91473939791319</v>
      </c>
      <c r="R76" s="2">
        <f>R10/'Output-Calculation-sheet'!R9*'Output-Calculation-sheet'!R63</f>
        <v>439.98280465696706</v>
      </c>
      <c r="S76" s="2">
        <f>S10/'Output-Calculation-sheet'!S9*'Output-Calculation-sheet'!S63</f>
        <v>744.57182028879004</v>
      </c>
      <c r="T76" s="2">
        <f>T10/'Output-Calculation-sheet'!T9*'Output-Calculation-sheet'!T63</f>
        <v>28.919919566343712</v>
      </c>
      <c r="U76" s="2">
        <f>U10/'Output-Calculation-sheet'!U9*'Output-Calculation-sheet'!U63</f>
        <v>156.1910176059497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168.08425935104728</v>
      </c>
      <c r="Y76" s="2">
        <f>Y10/'Output-Calculation-sheet'!Y9*'Output-Calculation-sheet'!Y63</f>
        <v>7.4156924745963408</v>
      </c>
      <c r="AA76" s="2">
        <f t="shared" si="6"/>
        <v>19.929439418281568</v>
      </c>
    </row>
    <row r="77" spans="1:27" x14ac:dyDescent="0.25">
      <c r="A77" s="2">
        <v>2034</v>
      </c>
      <c r="B77" s="2">
        <f>B11/'Output-Calculation-sheet'!B10*'Output-Calculation-sheet'!B64</f>
        <v>13779.231346049672</v>
      </c>
      <c r="C77" s="2">
        <f>C11/'Output-Calculation-sheet'!C10*'Output-Calculation-sheet'!C64</f>
        <v>3758.3661354523979</v>
      </c>
      <c r="D77" s="2">
        <f>D11/'Output-Calculation-sheet'!D10*'Output-Calculation-sheet'!D64</f>
        <v>1665.0347057264814</v>
      </c>
      <c r="E77" s="2">
        <f>E11/'Output-Calculation-sheet'!E10*'Output-Calculation-sheet'!E64</f>
        <v>2419.2734348849121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5005.1650380506562</v>
      </c>
      <c r="I77" s="2">
        <f>I11/'Output-Calculation-sheet'!I10*'Output-Calculation-sheet'!I64</f>
        <v>603.98214095916762</v>
      </c>
      <c r="J77" s="2">
        <f>J11/'Output-Calculation-sheet'!J10*'Output-Calculation-sheet'!J64</f>
        <v>332.25856121748711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239.91288001817264</v>
      </c>
      <c r="M77" s="2">
        <f>M11/'Output-Calculation-sheet'!M10*'Output-Calculation-sheet'!M64</f>
        <v>3494.0729070317429</v>
      </c>
      <c r="N77" s="2">
        <f>N11/'Output-Calculation-sheet'!N10*'Output-Calculation-sheet'!N64</f>
        <v>2419.3074104326943</v>
      </c>
      <c r="O77" s="2">
        <f>O11/'Output-Calculation-sheet'!O10*'Output-Calculation-sheet'!O64</f>
        <v>0</v>
      </c>
      <c r="P77" s="2">
        <f>P11/'Output-Calculation-sheet'!P10*'Output-Calculation-sheet'!P64</f>
        <v>1142.8306963849732</v>
      </c>
      <c r="Q77" s="2">
        <f>Q11/'Output-Calculation-sheet'!Q10*'Output-Calculation-sheet'!Q64</f>
        <v>468.40652551868368</v>
      </c>
      <c r="R77" s="2">
        <f>R11/'Output-Calculation-sheet'!R10*'Output-Calculation-sheet'!R64</f>
        <v>971.54185301642281</v>
      </c>
      <c r="S77" s="2">
        <f>S11/'Output-Calculation-sheet'!S10*'Output-Calculation-sheet'!S64</f>
        <v>1050.186700313589</v>
      </c>
      <c r="T77" s="2">
        <f>T11/'Output-Calculation-sheet'!T10*'Output-Calculation-sheet'!T64</f>
        <v>268.78989241731597</v>
      </c>
      <c r="U77" s="2">
        <f>U11/'Output-Calculation-sheet'!U10*'Output-Calculation-sheet'!U64</f>
        <v>292.53872800714214</v>
      </c>
      <c r="V77" s="2">
        <f>V11/'Output-Calculation-sheet'!V10*'Output-Calculation-sheet'!V64</f>
        <v>140.23692592562361</v>
      </c>
      <c r="W77" s="2">
        <f>W11/'Output-Calculation-sheet'!W10*'Output-Calculation-sheet'!W64</f>
        <v>30.48065543019872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89.178869030847409</v>
      </c>
      <c r="AA77" s="2">
        <f t="shared" si="6"/>
        <v>40.435472836267273</v>
      </c>
    </row>
    <row r="78" spans="1:27" x14ac:dyDescent="0.25">
      <c r="A78" s="2">
        <v>2035</v>
      </c>
      <c r="B78" s="2">
        <f>B12/'Output-Calculation-sheet'!B11*'Output-Calculation-sheet'!B65</f>
        <v>15028.20467271949</v>
      </c>
      <c r="C78" s="2">
        <f>C12/'Output-Calculation-sheet'!C11*'Output-Calculation-sheet'!C65</f>
        <v>6352.1410042544412</v>
      </c>
      <c r="D78" s="2">
        <f>D12/'Output-Calculation-sheet'!D11*'Output-Calculation-sheet'!D65</f>
        <v>1620.335556161127</v>
      </c>
      <c r="E78" s="2">
        <f>E12/'Output-Calculation-sheet'!E11*'Output-Calculation-sheet'!E65</f>
        <v>3110.3369043519297</v>
      </c>
      <c r="F78" s="2">
        <f>F12/'Output-Calculation-sheet'!F11*'Output-Calculation-sheet'!F65</f>
        <v>677.72564671725081</v>
      </c>
      <c r="G78" s="2">
        <f>G12/'Output-Calculation-sheet'!G11*'Output-Calculation-sheet'!G65</f>
        <v>1246.4433530347367</v>
      </c>
      <c r="H78" s="2">
        <f>H12/'Output-Calculation-sheet'!H11*'Output-Calculation-sheet'!H65</f>
        <v>4790.989547583129</v>
      </c>
      <c r="I78" s="2">
        <f>I12/'Output-Calculation-sheet'!I11*'Output-Calculation-sheet'!I65</f>
        <v>793.86998413982428</v>
      </c>
      <c r="J78" s="2">
        <f>J12/'Output-Calculation-sheet'!J11*'Output-Calculation-sheet'!J65</f>
        <v>340.04218566680493</v>
      </c>
      <c r="K78" s="2">
        <f>K12/'Output-Calculation-sheet'!K11*'Output-Calculation-sheet'!K65</f>
        <v>1012.7492892918261</v>
      </c>
      <c r="L78" s="2">
        <f>L12/'Output-Calculation-sheet'!L11*'Output-Calculation-sheet'!L65</f>
        <v>293.1913799161054</v>
      </c>
      <c r="M78" s="2">
        <f>M12/'Output-Calculation-sheet'!M11*'Output-Calculation-sheet'!M65</f>
        <v>3370.2925814124446</v>
      </c>
      <c r="N78" s="2">
        <f>N12/'Output-Calculation-sheet'!N11*'Output-Calculation-sheet'!N65</f>
        <v>2366.2046040121818</v>
      </c>
      <c r="O78" s="2">
        <f>O12/'Output-Calculation-sheet'!O11*'Output-Calculation-sheet'!O65</f>
        <v>0</v>
      </c>
      <c r="P78" s="2">
        <f>P12/'Output-Calculation-sheet'!P11*'Output-Calculation-sheet'!P65</f>
        <v>1337.3254752022688</v>
      </c>
      <c r="Q78" s="2">
        <f>Q12/'Output-Calculation-sheet'!Q11*'Output-Calculation-sheet'!Q65</f>
        <v>529.58091051544443</v>
      </c>
      <c r="R78" s="2">
        <f>R12/'Output-Calculation-sheet'!R11*'Output-Calculation-sheet'!R65</f>
        <v>1052.2029490678744</v>
      </c>
      <c r="S78" s="2">
        <f>S12/'Output-Calculation-sheet'!S11*'Output-Calculation-sheet'!S65</f>
        <v>1095.9390861099587</v>
      </c>
      <c r="T78" s="2">
        <f>T12/'Output-Calculation-sheet'!T11*'Output-Calculation-sheet'!T65</f>
        <v>375.57482350993007</v>
      </c>
      <c r="U78" s="2">
        <f>U12/'Output-Calculation-sheet'!U11*'Output-Calculation-sheet'!U65</f>
        <v>279.33817778039207</v>
      </c>
      <c r="V78" s="2">
        <f>V12/'Output-Calculation-sheet'!V11*'Output-Calculation-sheet'!V65</f>
        <v>143.78085576478347</v>
      </c>
      <c r="W78" s="2">
        <f>W12/'Output-Calculation-sheet'!W11*'Output-Calculation-sheet'!W65</f>
        <v>143.42638309086777</v>
      </c>
      <c r="X78" s="2">
        <f>X12/'Output-Calculation-sheet'!X11*'Output-Calculation-sheet'!X65</f>
        <v>74.868313899972392</v>
      </c>
      <c r="Y78" s="2">
        <f>Y12/'Output-Calculation-sheet'!Y11*'Output-Calculation-sheet'!Y65</f>
        <v>129.86625119934195</v>
      </c>
      <c r="AA78" s="2">
        <f t="shared" si="6"/>
        <v>46.164429935402126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440.14385127804599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255.49295474614865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0.69563680602419453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1534.0375313572081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383.33219490288963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1.9173697262600977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2726.7842788716962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495.37061534235926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3.2221548942140554</v>
      </c>
    </row>
    <row r="88" spans="1:27" x14ac:dyDescent="0.25">
      <c r="A88" s="2">
        <v>2034</v>
      </c>
      <c r="B88" s="2">
        <f>B11/'Output-Calculation-sheet'!B10*'Output-Calculation-sheet'!B73</f>
        <v>139.65505801614478</v>
      </c>
      <c r="C88" s="2">
        <f>C11/'Output-Calculation-sheet'!C10*'Output-Calculation-sheet'!C73</f>
        <v>3030.964729295521</v>
      </c>
      <c r="D88" s="2">
        <f>D11/'Output-Calculation-sheet'!D10*'Output-Calculation-sheet'!D73</f>
        <v>10.675591910612097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50.082850141224171</v>
      </c>
      <c r="I88" s="2">
        <f>I11/'Output-Calculation-sheet'!I10*'Output-Calculation-sheet'!I73</f>
        <v>0</v>
      </c>
      <c r="J88" s="2">
        <f>J11/'Output-Calculation-sheet'!J10*'Output-Calculation-sheet'!J73</f>
        <v>3.4088814459798509</v>
      </c>
      <c r="K88" s="2">
        <f>K11/'Output-Calculation-sheet'!K10*'Output-Calculation-sheet'!K73</f>
        <v>0</v>
      </c>
      <c r="L88" s="2">
        <f>L11/'Output-Calculation-sheet'!L10*'Output-Calculation-sheet'!L73</f>
        <v>8.0756541697795541</v>
      </c>
      <c r="M88" s="2">
        <f>M11/'Output-Calculation-sheet'!M10*'Output-Calculation-sheet'!M73</f>
        <v>24.250949029212645</v>
      </c>
      <c r="N88" s="2">
        <f>N11/'Output-Calculation-sheet'!N10*'Output-Calculation-sheet'!N73</f>
        <v>12.544605262945351</v>
      </c>
      <c r="O88" s="2">
        <f>O11/'Output-Calculation-sheet'!O10*'Output-Calculation-sheet'!O73</f>
        <v>572.4432752700576</v>
      </c>
      <c r="P88" s="2">
        <f>P11/'Output-Calculation-sheet'!P10*'Output-Calculation-sheet'!P73</f>
        <v>0</v>
      </c>
      <c r="Q88" s="2">
        <f>Q11/'Output-Calculation-sheet'!Q10*'Output-Calculation-sheet'!Q73</f>
        <v>38.468482032305964</v>
      </c>
      <c r="R88" s="2">
        <f>R11/'Output-Calculation-sheet'!R10*'Output-Calculation-sheet'!R73</f>
        <v>0</v>
      </c>
      <c r="S88" s="2">
        <f>S11/'Output-Calculation-sheet'!S10*'Output-Calculation-sheet'!S73</f>
        <v>17.977501994524669</v>
      </c>
      <c r="T88" s="2">
        <f>T11/'Output-Calculation-sheet'!T10*'Output-Calculation-sheet'!T73</f>
        <v>0</v>
      </c>
      <c r="U88" s="2">
        <f>U11/'Output-Calculation-sheet'!U10*'Output-Calculation-sheet'!U73</f>
        <v>3.5067882193165745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3.9120543667876246</v>
      </c>
    </row>
    <row r="89" spans="1:27" x14ac:dyDescent="0.25">
      <c r="A89" s="2">
        <v>2035</v>
      </c>
      <c r="B89" s="2">
        <f>B12/'Output-Calculation-sheet'!B11*'Output-Calculation-sheet'!B74</f>
        <v>737.11495901153148</v>
      </c>
      <c r="C89" s="2">
        <f>C12/'Output-Calculation-sheet'!C11*'Output-Calculation-sheet'!C74</f>
        <v>3018.8826435122683</v>
      </c>
      <c r="D89" s="2">
        <f>D12/'Output-Calculation-sheet'!D11*'Output-Calculation-sheet'!D74</f>
        <v>139.95858741593443</v>
      </c>
      <c r="E89" s="2">
        <f>E12/'Output-Calculation-sheet'!E11*'Output-Calculation-sheet'!E74</f>
        <v>186.70729136381144</v>
      </c>
      <c r="F89" s="2">
        <f>F12/'Output-Calculation-sheet'!F11*'Output-Calculation-sheet'!F74</f>
        <v>59.962233867802667</v>
      </c>
      <c r="G89" s="2">
        <f>G12/'Output-Calculation-sheet'!G11*'Output-Calculation-sheet'!G74</f>
        <v>57.378639262755087</v>
      </c>
      <c r="H89" s="2">
        <f>H12/'Output-Calculation-sheet'!H11*'Output-Calculation-sheet'!H74</f>
        <v>224.07558197665534</v>
      </c>
      <c r="I89" s="2">
        <f>I12/'Output-Calculation-sheet'!I11*'Output-Calculation-sheet'!I74</f>
        <v>48.383006543938293</v>
      </c>
      <c r="J89" s="2">
        <f>J12/'Output-Calculation-sheet'!J11*'Output-Calculation-sheet'!J74</f>
        <v>38.306519542835169</v>
      </c>
      <c r="K89" s="2">
        <f>K12/'Output-Calculation-sheet'!K11*'Output-Calculation-sheet'!K74</f>
        <v>50.722980239088137</v>
      </c>
      <c r="L89" s="2">
        <f>L12/'Output-Calculation-sheet'!L11*'Output-Calculation-sheet'!L74</f>
        <v>52.936509728252751</v>
      </c>
      <c r="M89" s="2">
        <f>M12/'Output-Calculation-sheet'!M11*'Output-Calculation-sheet'!M74</f>
        <v>141.03818034718088</v>
      </c>
      <c r="N89" s="2">
        <f>N12/'Output-Calculation-sheet'!N11*'Output-Calculation-sheet'!N74</f>
        <v>85.754992075450645</v>
      </c>
      <c r="O89" s="2">
        <f>O12/'Output-Calculation-sheet'!O11*'Output-Calculation-sheet'!O74</f>
        <v>611.69840582910297</v>
      </c>
      <c r="P89" s="2">
        <f>P12/'Output-Calculation-sheet'!P11*'Output-Calculation-sheet'!P74</f>
        <v>49.921058731790417</v>
      </c>
      <c r="Q89" s="2">
        <f>Q12/'Output-Calculation-sheet'!Q11*'Output-Calculation-sheet'!Q74</f>
        <v>84.397660537389896</v>
      </c>
      <c r="R89" s="2">
        <f>R12/'Output-Calculation-sheet'!R11*'Output-Calculation-sheet'!R74</f>
        <v>34.703297155444751</v>
      </c>
      <c r="S89" s="2">
        <f>S12/'Output-Calculation-sheet'!S11*'Output-Calculation-sheet'!S74</f>
        <v>53.871476017195036</v>
      </c>
      <c r="T89" s="2">
        <f>T12/'Output-Calculation-sheet'!T11*'Output-Calculation-sheet'!T74</f>
        <v>8.6851467888284315</v>
      </c>
      <c r="U89" s="2">
        <f>U12/'Output-Calculation-sheet'!U11*'Output-Calculation-sheet'!U74</f>
        <v>16.747857845293666</v>
      </c>
      <c r="V89" s="2">
        <f>V12/'Output-Calculation-sheet'!V11*'Output-Calculation-sheet'!V74</f>
        <v>6.3304222911952035</v>
      </c>
      <c r="W89" s="2">
        <f>W12/'Output-Calculation-sheet'!W11*'Output-Calculation-sheet'!W74</f>
        <v>4.8239072270373633</v>
      </c>
      <c r="X89" s="2">
        <f>X12/'Output-Calculation-sheet'!X11*'Output-Calculation-sheet'!X74</f>
        <v>3.4091247857217848</v>
      </c>
      <c r="Y89" s="2">
        <f>Y12/'Output-Calculation-sheet'!Y11*'Output-Calculation-sheet'!Y74</f>
        <v>6.3266742859494745</v>
      </c>
      <c r="AA89" s="2">
        <f t="shared" si="7"/>
        <v>5.7221371563824528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13992894885.156448</v>
      </c>
      <c r="C96" s="2">
        <f>C8/'Output-Calculation-sheet'!C7*'Output-Calculation-sheet'!C79</f>
        <v>4733869088.0686302</v>
      </c>
      <c r="D96" s="2">
        <f>D8/'Output-Calculation-sheet'!D7*'Output-Calculation-sheet'!D79</f>
        <v>4941822437.8045015</v>
      </c>
      <c r="E96" s="2">
        <f>E8/'Output-Calculation-sheet'!E7*'Output-Calculation-sheet'!E79</f>
        <v>8786153148.8997555</v>
      </c>
      <c r="F96" s="2">
        <f>F8/'Output-Calculation-sheet'!F7*'Output-Calculation-sheet'!F79</f>
        <v>3636501384.6797624</v>
      </c>
      <c r="G96" s="2">
        <f>G8/'Output-Calculation-sheet'!G7*'Output-Calculation-sheet'!G79</f>
        <v>2832541739.7370648</v>
      </c>
      <c r="H96" s="2">
        <f>H8/'Output-Calculation-sheet'!H7*'Output-Calculation-sheet'!H79</f>
        <v>2424499222.6231399</v>
      </c>
      <c r="I96" s="2">
        <f>I8/'Output-Calculation-sheet'!I7*'Output-Calculation-sheet'!I79</f>
        <v>1973161567.7921305</v>
      </c>
      <c r="J96" s="2">
        <f>J8/'Output-Calculation-sheet'!J7*'Output-Calculation-sheet'!J79</f>
        <v>1334299063.5689209</v>
      </c>
      <c r="K96" s="2">
        <f>K8/'Output-Calculation-sheet'!K7*'Output-Calculation-sheet'!K79</f>
        <v>1908986756.5816159</v>
      </c>
      <c r="L96" s="2">
        <f>L8/'Output-Calculation-sheet'!L7*'Output-Calculation-sheet'!L79</f>
        <v>1346982637.5840371</v>
      </c>
      <c r="M96" s="2">
        <f>M8/'Output-Calculation-sheet'!M7*'Output-Calculation-sheet'!M79</f>
        <v>1809839657.426861</v>
      </c>
      <c r="N96" s="2">
        <f>N8/'Output-Calculation-sheet'!N7*'Output-Calculation-sheet'!N79</f>
        <v>1346662886.4717147</v>
      </c>
      <c r="O96" s="2">
        <f>O8/'Output-Calculation-sheet'!O7*'Output-Calculation-sheet'!O79</f>
        <v>680783024.49059522</v>
      </c>
      <c r="P96" s="2">
        <f>P8/'Output-Calculation-sheet'!P7*'Output-Calculation-sheet'!P79</f>
        <v>2277091207.6195045</v>
      </c>
      <c r="Q96" s="2">
        <f>Q8/'Output-Calculation-sheet'!Q7*'Output-Calculation-sheet'!Q79</f>
        <v>1061220117.4091511</v>
      </c>
      <c r="R96" s="2">
        <f>R8/'Output-Calculation-sheet'!R7*'Output-Calculation-sheet'!R79</f>
        <v>1324000501.9375257</v>
      </c>
      <c r="S96" s="2">
        <f>S8/'Output-Calculation-sheet'!S7*'Output-Calculation-sheet'!S79</f>
        <v>771472065.4142077</v>
      </c>
      <c r="T96" s="2">
        <f>T8/'Output-Calculation-sheet'!T7*'Output-Calculation-sheet'!T79</f>
        <v>589224310.88402164</v>
      </c>
      <c r="U96" s="2">
        <f>U8/'Output-Calculation-sheet'!U7*'Output-Calculation-sheet'!U79</f>
        <v>370136285.62885052</v>
      </c>
      <c r="V96" s="2">
        <f>V8/'Output-Calculation-sheet'!V7*'Output-Calculation-sheet'!V79</f>
        <v>192045143.76146609</v>
      </c>
      <c r="W96" s="2">
        <f>W8/'Output-Calculation-sheet'!W7*'Output-Calculation-sheet'!W79</f>
        <v>567482499.57612896</v>
      </c>
      <c r="X96" s="2">
        <f>X8/'Output-Calculation-sheet'!X7*'Output-Calculation-sheet'!X79</f>
        <v>199452933.9097999</v>
      </c>
      <c r="Y96" s="2">
        <f>Y8/'Output-Calculation-sheet'!Y7*'Output-Calculation-sheet'!Y79</f>
        <v>311941668.54553419</v>
      </c>
      <c r="AA96" s="2">
        <f t="shared" si="8"/>
        <v>59.413064235571376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1224.9786704244414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37.952847471479451</v>
      </c>
      <c r="Y107" s="2">
        <f>Y8/'Output-Calculation-sheet'!Y7*'Output-Calculation-sheet'!Y88</f>
        <v>0</v>
      </c>
      <c r="AA107" s="2">
        <f t="shared" si="9"/>
        <v>1.2629315178959206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901.68618255347349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52.380847999380634</v>
      </c>
      <c r="Y108" s="2">
        <f>Y9/'Output-Calculation-sheet'!Y8*'Output-Calculation-sheet'!Y89</f>
        <v>0</v>
      </c>
      <c r="AA108" s="2">
        <f t="shared" si="9"/>
        <v>0.95406703055285413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5.4573409769337333E-2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8.6252305293998258E-2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121.15505007718959</v>
      </c>
      <c r="Y111" s="2">
        <f>Y12/'Output-Calculation-sheet'!Y11*'Output-Calculation-sheet'!Y92</f>
        <v>0</v>
      </c>
      <c r="AA111" s="2">
        <f t="shared" si="9"/>
        <v>0.12115505007718959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13696534240.457382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8412790033.7232571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5804111403.7658014</v>
      </c>
      <c r="N118" s="2">
        <f>N8/'Output-Calculation-sheet'!N7*'Output-Calculation-sheet'!N97</f>
        <v>1944936481.6218338</v>
      </c>
      <c r="O118" s="2">
        <f>O8/'Output-Calculation-sheet'!O7*'Output-Calculation-sheet'!O97</f>
        <v>3329648059.4904962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582265020.57361829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316036195.03621668</v>
      </c>
      <c r="Y118" s="2">
        <f>Y8/'Output-Calculation-sheet'!Y7*'Output-Calculation-sheet'!Y97</f>
        <v>0</v>
      </c>
      <c r="AA118" s="2">
        <f t="shared" si="10"/>
        <v>35723.558883358186</v>
      </c>
    </row>
    <row r="119" spans="1:27" x14ac:dyDescent="0.25">
      <c r="A119" s="2">
        <v>2032</v>
      </c>
      <c r="B119" s="2">
        <f>B9/'Output-Calculation-sheet'!B8*'Output-Calculation-sheet'!B98</f>
        <v>7423930930.4567747</v>
      </c>
      <c r="C119" s="2">
        <f>C9/'Output-Calculation-sheet'!C8*'Output-Calculation-sheet'!C98</f>
        <v>19145900861.303444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11611021192.034725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8010590010.8751154</v>
      </c>
      <c r="N119" s="2">
        <f>N9/'Output-Calculation-sheet'!N8*'Output-Calculation-sheet'!N98</f>
        <v>3756218382.5705066</v>
      </c>
      <c r="O119" s="2">
        <f>O9/'Output-Calculation-sheet'!O8*'Output-Calculation-sheet'!O98</f>
        <v>4043622313.5928016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1129802033.3532579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440622387.25891459</v>
      </c>
      <c r="Y119" s="2">
        <f>Y9/'Output-Calculation-sheet'!Y8*'Output-Calculation-sheet'!Y98</f>
        <v>0</v>
      </c>
      <c r="AA119" s="2">
        <f t="shared" si="10"/>
        <v>55561.708111445536</v>
      </c>
    </row>
    <row r="120" spans="1:27" x14ac:dyDescent="0.25">
      <c r="A120" s="2">
        <v>2033</v>
      </c>
      <c r="B120" s="2">
        <f>B10/'Output-Calculation-sheet'!B9*'Output-Calculation-sheet'!B99</f>
        <v>19897829222.419342</v>
      </c>
      <c r="C120" s="2">
        <f>C10/'Output-Calculation-sheet'!C9*'Output-Calculation-sheet'!C99</f>
        <v>27568905393.896282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5875583518.9685583</v>
      </c>
      <c r="O120" s="2">
        <f>O10/'Output-Calculation-sheet'!O9*'Output-Calculation-sheet'!O99</f>
        <v>4566123680.6105003</v>
      </c>
      <c r="P120" s="2">
        <f>P10/'Output-Calculation-sheet'!P9*'Output-Calculation-sheet'!P99</f>
        <v>0</v>
      </c>
      <c r="Q120" s="2">
        <f>Q10/'Output-Calculation-sheet'!Q9*'Output-Calculation-sheet'!Q99</f>
        <v>191159254.54982489</v>
      </c>
      <c r="R120" s="2">
        <f>R10/'Output-Calculation-sheet'!R9*'Output-Calculation-sheet'!R99</f>
        <v>0</v>
      </c>
      <c r="S120" s="2">
        <f>S10/'Output-Calculation-sheet'!S9*'Output-Calculation-sheet'!S99</f>
        <v>2366689820.0830536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644164967.53921068</v>
      </c>
      <c r="Y120" s="2">
        <f>Y10/'Output-Calculation-sheet'!Y9*'Output-Calculation-sheet'!Y99</f>
        <v>0</v>
      </c>
      <c r="AA120" s="2">
        <f t="shared" si="10"/>
        <v>85642.712950636094</v>
      </c>
    </row>
    <row r="121" spans="1:27" x14ac:dyDescent="0.25">
      <c r="A121" s="2">
        <v>2034</v>
      </c>
      <c r="B121" s="2">
        <f>B11/'Output-Calculation-sheet'!B10*'Output-Calculation-sheet'!B100</f>
        <v>38834491386.438904</v>
      </c>
      <c r="C121" s="2">
        <f>C11/'Output-Calculation-sheet'!C10*'Output-Calculation-sheet'!C100</f>
        <v>31611558121.021618</v>
      </c>
      <c r="D121" s="2">
        <f>D11/'Output-Calculation-sheet'!D10*'Output-Calculation-sheet'!D100</f>
        <v>0</v>
      </c>
      <c r="E121" s="2">
        <f>E11/'Output-Calculation-sheet'!E10*'Output-Calculation-sheet'!E100</f>
        <v>932361834.16999531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16236040140.978861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665016123.08078539</v>
      </c>
      <c r="M121" s="2">
        <f>M11/'Output-Calculation-sheet'!M10*'Output-Calculation-sheet'!M100</f>
        <v>11310820042.062412</v>
      </c>
      <c r="N121" s="2">
        <f>N11/'Output-Calculation-sheet'!N10*'Output-Calculation-sheet'!N100</f>
        <v>7583848638.4767704</v>
      </c>
      <c r="O121" s="2">
        <f>O11/'Output-Calculation-sheet'!O10*'Output-Calculation-sheet'!O100</f>
        <v>4842202843.6171942</v>
      </c>
      <c r="P121" s="2">
        <f>P11/'Output-Calculation-sheet'!P10*'Output-Calculation-sheet'!P100</f>
        <v>0</v>
      </c>
      <c r="Q121" s="2">
        <f>Q11/'Output-Calculation-sheet'!Q10*'Output-Calculation-sheet'!Q100</f>
        <v>606661920.21294534</v>
      </c>
      <c r="R121" s="2">
        <f>R11/'Output-Calculation-sheet'!R10*'Output-Calculation-sheet'!R100</f>
        <v>0</v>
      </c>
      <c r="S121" s="2">
        <f>S11/'Output-Calculation-sheet'!S10*'Output-Calculation-sheet'!S100</f>
        <v>3183155469.35708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49876770.138289519</v>
      </c>
      <c r="AA121" s="2">
        <f t="shared" si="10"/>
        <v>116408.99051789577</v>
      </c>
    </row>
    <row r="122" spans="1:27" x14ac:dyDescent="0.25">
      <c r="A122" s="2">
        <v>2035</v>
      </c>
      <c r="B122" s="2">
        <f>B12/'Output-Calculation-sheet'!B11*'Output-Calculation-sheet'!B101</f>
        <v>43623889948.416649</v>
      </c>
      <c r="C122" s="2">
        <f>C12/'Output-Calculation-sheet'!C11*'Output-Calculation-sheet'!C101</f>
        <v>34930215801.767494</v>
      </c>
      <c r="D122" s="2">
        <f>D12/'Output-Calculation-sheet'!D11*'Output-Calculation-sheet'!D101</f>
        <v>0</v>
      </c>
      <c r="E122" s="2">
        <f>E12/'Output-Calculation-sheet'!E11*'Output-Calculation-sheet'!E101</f>
        <v>2792716816.2767115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16078520803.474705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754788291.7983036</v>
      </c>
      <c r="M122" s="2">
        <f>M12/'Output-Calculation-sheet'!M11*'Output-Calculation-sheet'!M101</f>
        <v>11255832863.728647</v>
      </c>
      <c r="N122" s="2">
        <f>N12/'Output-Calculation-sheet'!N11*'Output-Calculation-sheet'!N101</f>
        <v>7536752512.7128868</v>
      </c>
      <c r="O122" s="2">
        <f>O12/'Output-Calculation-sheet'!O11*'Output-Calculation-sheet'!O101</f>
        <v>4828828336.9089022</v>
      </c>
      <c r="P122" s="2">
        <f>P12/'Output-Calculation-sheet'!P11*'Output-Calculation-sheet'!P101</f>
        <v>382612466.49099791</v>
      </c>
      <c r="Q122" s="2">
        <f>Q12/'Output-Calculation-sheet'!Q11*'Output-Calculation-sheet'!Q101</f>
        <v>901902527.98783147</v>
      </c>
      <c r="R122" s="2">
        <f>R12/'Output-Calculation-sheet'!R11*'Output-Calculation-sheet'!R101</f>
        <v>0</v>
      </c>
      <c r="S122" s="2">
        <f>S12/'Output-Calculation-sheet'!S11*'Output-Calculation-sheet'!S101</f>
        <v>3540889964.6093035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320541909.01601833</v>
      </c>
      <c r="Y122" s="2">
        <f>Y12/'Output-Calculation-sheet'!Y11*'Output-Calculation-sheet'!Y101</f>
        <v>314831129.15456069</v>
      </c>
      <c r="AA122" s="2">
        <f t="shared" si="10"/>
        <v>127262.32337234303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3752761030.8352079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2680784835.3139958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176644.91075076986</v>
      </c>
    </row>
    <row r="130" spans="1:27" x14ac:dyDescent="0.25">
      <c r="A130" s="2">
        <v>2032</v>
      </c>
      <c r="B130" s="2">
        <f>B9/'Output-Calculation-sheet'!B8*'Output-Calculation-sheet'!B107</f>
        <v>71562511958.25618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4106837526.9204621</v>
      </c>
      <c r="O130" s="2">
        <f>O9/'Output-Calculation-sheet'!O8*'Output-Calculation-sheet'!O107</f>
        <v>0</v>
      </c>
      <c r="P130" s="2">
        <f>P9/'Output-Calculation-sheet'!P8*'Output-Calculation-sheet'!P107</f>
        <v>7158740228.089118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3373474293.387569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237234.20766756003</v>
      </c>
    </row>
    <row r="131" spans="1:27" x14ac:dyDescent="0.25">
      <c r="A131" s="2">
        <v>2033</v>
      </c>
      <c r="B131" s="2">
        <f>B10/'Output-Calculation-sheet'!B9*'Output-Calculation-sheet'!B108</f>
        <v>78847376951.886002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3954462120.1620855</v>
      </c>
      <c r="O131" s="2">
        <f>O10/'Output-Calculation-sheet'!O9*'Output-Calculation-sheet'!O108</f>
        <v>0</v>
      </c>
      <c r="P131" s="2">
        <f>P10/'Output-Calculation-sheet'!P9*'Output-Calculation-sheet'!P108</f>
        <v>8949602218.3611736</v>
      </c>
      <c r="Q131" s="2">
        <f>Q10/'Output-Calculation-sheet'!Q9*'Output-Calculation-sheet'!Q108</f>
        <v>8614216141.8942833</v>
      </c>
      <c r="R131" s="2">
        <f>R10/'Output-Calculation-sheet'!R9*'Output-Calculation-sheet'!R108</f>
        <v>8470875308.5066118</v>
      </c>
      <c r="S131" s="2">
        <f>S10/'Output-Calculation-sheet'!S9*'Output-Calculation-sheet'!S108</f>
        <v>3263063757.1539817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283648.90489312238</v>
      </c>
    </row>
    <row r="132" spans="1:27" x14ac:dyDescent="0.25">
      <c r="A132" s="2">
        <v>2034</v>
      </c>
      <c r="B132" s="2">
        <f>B11/'Output-Calculation-sheet'!B10*'Output-Calculation-sheet'!B109</f>
        <v>72710999686.8461</v>
      </c>
      <c r="C132" s="2">
        <f>C11/'Output-Calculation-sheet'!C10*'Output-Calculation-sheet'!C109</f>
        <v>0</v>
      </c>
      <c r="D132" s="2">
        <f>D11/'Output-Calculation-sheet'!D10*'Output-Calculation-sheet'!D109</f>
        <v>47487936579.40229</v>
      </c>
      <c r="E132" s="2">
        <f>E11/'Output-Calculation-sheet'!E10*'Output-Calculation-sheet'!E109</f>
        <v>36997579485.38839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15093231667.849308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11222942528.923977</v>
      </c>
      <c r="M132" s="2">
        <f>M11/'Output-Calculation-sheet'!M10*'Output-Calculation-sheet'!M109</f>
        <v>0</v>
      </c>
      <c r="N132" s="2">
        <f>N11/'Output-Calculation-sheet'!N10*'Output-Calculation-sheet'!N109</f>
        <v>3556617631.5581613</v>
      </c>
      <c r="O132" s="2">
        <f>O11/'Output-Calculation-sheet'!O10*'Output-Calculation-sheet'!O109</f>
        <v>0</v>
      </c>
      <c r="P132" s="2">
        <f>P11/'Output-Calculation-sheet'!P10*'Output-Calculation-sheet'!P109</f>
        <v>10313399991.373598</v>
      </c>
      <c r="Q132" s="2">
        <f>Q11/'Output-Calculation-sheet'!Q10*'Output-Calculation-sheet'!Q109</f>
        <v>8745528020.5761814</v>
      </c>
      <c r="R132" s="2">
        <f>R11/'Output-Calculation-sheet'!R10*'Output-Calculation-sheet'!R109</f>
        <v>9761710403.6771164</v>
      </c>
      <c r="S132" s="2">
        <f>S11/'Output-Calculation-sheet'!S10*'Output-Calculation-sheet'!S109</f>
        <v>3040046643.379786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3051575898.0341311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1165936544.4296613</v>
      </c>
      <c r="AA132" s="2">
        <f t="shared" si="11"/>
        <v>303484.14777613652</v>
      </c>
    </row>
    <row r="133" spans="1:27" x14ac:dyDescent="0.25">
      <c r="A133" s="2">
        <v>2035</v>
      </c>
      <c r="B133" s="2">
        <f>B12/'Output-Calculation-sheet'!B11*'Output-Calculation-sheet'!B110</f>
        <v>66747911438.616455</v>
      </c>
      <c r="C133" s="2">
        <f>C12/'Output-Calculation-sheet'!C11*'Output-Calculation-sheet'!C110</f>
        <v>0</v>
      </c>
      <c r="D133" s="2">
        <f>D12/'Output-Calculation-sheet'!D11*'Output-Calculation-sheet'!D110</f>
        <v>45881968906.31752</v>
      </c>
      <c r="E133" s="2">
        <f>E12/'Output-Calculation-sheet'!E11*'Output-Calculation-sheet'!E110</f>
        <v>36122811837.039566</v>
      </c>
      <c r="F133" s="2">
        <f>F12/'Output-Calculation-sheet'!F11*'Output-Calculation-sheet'!F110</f>
        <v>24823795180.048561</v>
      </c>
      <c r="G133" s="2">
        <f>G12/'Output-Calculation-sheet'!G11*'Output-Calculation-sheet'!G110</f>
        <v>17112479857.950689</v>
      </c>
      <c r="H133" s="2">
        <f>H12/'Output-Calculation-sheet'!H11*'Output-Calculation-sheet'!H110</f>
        <v>0</v>
      </c>
      <c r="I133" s="2">
        <f>I12/'Output-Calculation-sheet'!I11*'Output-Calculation-sheet'!I110</f>
        <v>15528842052.586414</v>
      </c>
      <c r="J133" s="2">
        <f>J12/'Output-Calculation-sheet'!J11*'Output-Calculation-sheet'!J110</f>
        <v>14542567371.368372</v>
      </c>
      <c r="K133" s="2">
        <f>K12/'Output-Calculation-sheet'!K11*'Output-Calculation-sheet'!K110</f>
        <v>14891601259.080639</v>
      </c>
      <c r="L133" s="2">
        <f>L12/'Output-Calculation-sheet'!L11*'Output-Calculation-sheet'!L110</f>
        <v>10913398407.93512</v>
      </c>
      <c r="M133" s="2">
        <f>M12/'Output-Calculation-sheet'!M11*'Output-Calculation-sheet'!M110</f>
        <v>0</v>
      </c>
      <c r="N133" s="2">
        <f>N12/'Output-Calculation-sheet'!N11*'Output-Calculation-sheet'!N110</f>
        <v>3407263159.4526396</v>
      </c>
      <c r="O133" s="2">
        <f>O12/'Output-Calculation-sheet'!O11*'Output-Calculation-sheet'!O110</f>
        <v>0</v>
      </c>
      <c r="P133" s="2">
        <f>P12/'Output-Calculation-sheet'!P11*'Output-Calculation-sheet'!P110</f>
        <v>10177556006.826307</v>
      </c>
      <c r="Q133" s="2">
        <f>Q12/'Output-Calculation-sheet'!Q11*'Output-Calculation-sheet'!Q110</f>
        <v>8277700931.4721851</v>
      </c>
      <c r="R133" s="2">
        <f>R12/'Output-Calculation-sheet'!R11*'Output-Calculation-sheet'!R110</f>
        <v>9756745237.0104027</v>
      </c>
      <c r="S133" s="2">
        <f>S12/'Output-Calculation-sheet'!S11*'Output-Calculation-sheet'!S110</f>
        <v>2631081541.8929048</v>
      </c>
      <c r="T133" s="2">
        <f>T12/'Output-Calculation-sheet'!T11*'Output-Calculation-sheet'!T110</f>
        <v>3671728125.0641742</v>
      </c>
      <c r="U133" s="2">
        <f>U12/'Output-Calculation-sheet'!U11*'Output-Calculation-sheet'!U110</f>
        <v>2976852590.1628957</v>
      </c>
      <c r="V133" s="2">
        <f>V12/'Output-Calculation-sheet'!V11*'Output-Calculation-sheet'!V110</f>
        <v>2347662175.1620145</v>
      </c>
      <c r="W133" s="2">
        <f>W12/'Output-Calculation-sheet'!W11*'Output-Calculation-sheet'!W110</f>
        <v>2190815400.6113038</v>
      </c>
      <c r="X133" s="2">
        <f>X12/'Output-Calculation-sheet'!X11*'Output-Calculation-sheet'!X110</f>
        <v>0</v>
      </c>
      <c r="Y133" s="2">
        <f>Y12/'Output-Calculation-sheet'!Y11*'Output-Calculation-sheet'!Y110</f>
        <v>938236939.26230669</v>
      </c>
      <c r="AA133" s="2">
        <f t="shared" si="11"/>
        <v>292941.01841786044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10266212151.735308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312670344.29373789</v>
      </c>
      <c r="Y140" s="2">
        <f>Y8/'Output-Calculation-sheet'!Y7*'Output-Calculation-sheet'!Y115</f>
        <v>0</v>
      </c>
      <c r="AA140" s="2">
        <f t="shared" si="12"/>
        <v>10578.882496029046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7639073628.382864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427038196.6416415</v>
      </c>
      <c r="Y141" s="2">
        <f>Y9/'Output-Calculation-sheet'!Y8*'Output-Calculation-sheet'!Y116</f>
        <v>0</v>
      </c>
      <c r="AA141" s="2">
        <f t="shared" si="12"/>
        <v>8066.1118250245054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440554268.92302245</v>
      </c>
      <c r="Y142" s="2">
        <f>Y10/'Output-Calculation-sheet'!Y9*'Output-Calculation-sheet'!Y117</f>
        <v>0</v>
      </c>
      <c r="AA142" s="2">
        <f t="shared" si="12"/>
        <v>440.55426892302245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697.14993977606719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989558259.85968232</v>
      </c>
      <c r="Y144" s="2">
        <f>Y12/'Output-Calculation-sheet'!Y11*'Output-Calculation-sheet'!Y119</f>
        <v>0</v>
      </c>
      <c r="AA144" s="2">
        <f t="shared" si="12"/>
        <v>989.55825985968227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30813558922.645641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7517789534.6150312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233988.9695516341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35698722059.630463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8135239637.9622574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205856.77682966014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39840294775.403526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8335885767.6856928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160712.69340046999</v>
      </c>
    </row>
    <row r="154" spans="1:27" x14ac:dyDescent="0.25">
      <c r="A154" s="2">
        <v>2034</v>
      </c>
      <c r="B154" s="2">
        <f>B11/'Output-Calculation-sheet'!B10*'Output-Calculation-sheet'!B127</f>
        <v>19479887334.696877</v>
      </c>
      <c r="C154" s="2">
        <f>C11/'Output-Calculation-sheet'!C10*'Output-Calculation-sheet'!C127</f>
        <v>35949621870.494728</v>
      </c>
      <c r="D154" s="2">
        <f>D11/'Output-Calculation-sheet'!D10*'Output-Calculation-sheet'!D127</f>
        <v>7230471645.1384668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3141387417.6562667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2319278511.6719122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2000549504.8628099</v>
      </c>
      <c r="M154" s="2">
        <f>M11/'Output-Calculation-sheet'!M10*'Output-Calculation-sheet'!M127</f>
        <v>2018684735.4323354</v>
      </c>
      <c r="N154" s="2">
        <f>N11/'Output-Calculation-sheet'!N10*'Output-Calculation-sheet'!N127</f>
        <v>1875847512.3103228</v>
      </c>
      <c r="O154" s="2">
        <f>O11/'Output-Calculation-sheet'!O10*'Output-Calculation-sheet'!O127</f>
        <v>8114583606.5033131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2495566933.9812713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1294178076.4833577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551255184.99661982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106586.30177274717</v>
      </c>
    </row>
    <row r="155" spans="1:27" x14ac:dyDescent="0.25">
      <c r="A155" s="2">
        <v>2035</v>
      </c>
      <c r="B155" s="2">
        <f>B12/'Output-Calculation-sheet'!B11*'Output-Calculation-sheet'!B128</f>
        <v>16364546537.60359</v>
      </c>
      <c r="C155" s="2">
        <f>C12/'Output-Calculation-sheet'!C11*'Output-Calculation-sheet'!C128</f>
        <v>28908605768.964222</v>
      </c>
      <c r="D155" s="2">
        <f>D12/'Output-Calculation-sheet'!D11*'Output-Calculation-sheet'!D128</f>
        <v>6741885132.1612282</v>
      </c>
      <c r="E155" s="2">
        <f>E12/'Output-Calculation-sheet'!E11*'Output-Calculation-sheet'!E128</f>
        <v>3674596132.570075</v>
      </c>
      <c r="F155" s="2">
        <f>F12/'Output-Calculation-sheet'!F11*'Output-Calculation-sheet'!F128</f>
        <v>2001611071.3452532</v>
      </c>
      <c r="G155" s="2">
        <f>G12/'Output-Calculation-sheet'!G11*'Output-Calculation-sheet'!G128</f>
        <v>1888413499.93121</v>
      </c>
      <c r="H155" s="2">
        <f>H12/'Output-Calculation-sheet'!H11*'Output-Calculation-sheet'!H128</f>
        <v>2758259244.8516464</v>
      </c>
      <c r="I155" s="2">
        <f>I12/'Output-Calculation-sheet'!I11*'Output-Calculation-sheet'!I128</f>
        <v>1725442843.2043514</v>
      </c>
      <c r="J155" s="2">
        <f>J12/'Output-Calculation-sheet'!J11*'Output-Calculation-sheet'!J128</f>
        <v>2146485073.2180164</v>
      </c>
      <c r="K155" s="2">
        <f>K12/'Output-Calculation-sheet'!K11*'Output-Calculation-sheet'!K128</f>
        <v>1720740647.4690182</v>
      </c>
      <c r="L155" s="2">
        <f>L12/'Output-Calculation-sheet'!L11*'Output-Calculation-sheet'!L128</f>
        <v>1761386737.6222842</v>
      </c>
      <c r="M155" s="2">
        <f>M12/'Output-Calculation-sheet'!M11*'Output-Calculation-sheet'!M128</f>
        <v>1741417536.5677063</v>
      </c>
      <c r="N155" s="2">
        <f>N12/'Output-Calculation-sheet'!N11*'Output-Calculation-sheet'!N128</f>
        <v>1596871900.8590186</v>
      </c>
      <c r="O155" s="2">
        <f>O12/'Output-Calculation-sheet'!O11*'Output-Calculation-sheet'!O128</f>
        <v>7505107523.4444256</v>
      </c>
      <c r="P155" s="2">
        <f>P12/'Output-Calculation-sheet'!P11*'Output-Calculation-sheet'!P128</f>
        <v>923518966.97038567</v>
      </c>
      <c r="Q155" s="2">
        <f>Q12/'Output-Calculation-sheet'!Q11*'Output-Calculation-sheet'!Q128</f>
        <v>2194419454.673624</v>
      </c>
      <c r="R155" s="2">
        <f>R12/'Output-Calculation-sheet'!R11*'Output-Calculation-sheet'!R128</f>
        <v>1013567155.9335915</v>
      </c>
      <c r="S155" s="2">
        <f>S12/'Output-Calculation-sheet'!S11*'Output-Calculation-sheet'!S128</f>
        <v>1064592621.0024533</v>
      </c>
      <c r="T155" s="2">
        <f>T12/'Output-Calculation-sheet'!T11*'Output-Calculation-sheet'!T128</f>
        <v>262625018.18232518</v>
      </c>
      <c r="U155" s="2">
        <f>U12/'Output-Calculation-sheet'!U11*'Output-Calculation-sheet'!U128</f>
        <v>511175161.64972764</v>
      </c>
      <c r="V155" s="2">
        <f>V12/'Output-Calculation-sheet'!V11*'Output-Calculation-sheet'!V128</f>
        <v>283974387.82559246</v>
      </c>
      <c r="W155" s="2">
        <f>W12/'Output-Calculation-sheet'!W11*'Output-Calculation-sheet'!W128</f>
        <v>101634002.36555789</v>
      </c>
      <c r="X155" s="2">
        <f>X12/'Output-Calculation-sheet'!X11*'Output-Calculation-sheet'!X128</f>
        <v>45771407.629800141</v>
      </c>
      <c r="Y155" s="2">
        <f>Y12/'Output-Calculation-sheet'!Y11*'Output-Calculation-sheet'!Y128</f>
        <v>112734642.1542251</v>
      </c>
      <c r="AA155" s="2">
        <f t="shared" si="13"/>
        <v>87049.382468199357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9060.7920508246843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5809.8813034876384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4032.646730282328</v>
      </c>
      <c r="N19" s="2">
        <f>N8/'Output-Calculation-sheet'!N7*'Output-Calculation-sheet'!N25</f>
        <v>1378.5048080906838</v>
      </c>
      <c r="O19" s="2">
        <f>O8/'Output-Calculation-sheet'!O7*'Output-Calculation-sheet'!O25</f>
        <v>2154.5419447382487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212.8978054464533</v>
      </c>
      <c r="Y19" s="2">
        <f>Y8/'Output-Calculation-sheet'!Y7*'Output-Calculation-sheet'!Y25</f>
        <v>0</v>
      </c>
      <c r="AA19" s="2">
        <f t="shared" si="0"/>
        <v>24.434779548679284</v>
      </c>
    </row>
    <row r="20" spans="1:27" x14ac:dyDescent="0.25">
      <c r="A20" s="2">
        <v>2032</v>
      </c>
      <c r="B20" s="2">
        <f>B9/'Output-Calculation-sheet'!B8*'Output-Calculation-sheet'!B26</f>
        <v>7661.4703517257149</v>
      </c>
      <c r="C20" s="2">
        <f>C9/'Output-Calculation-sheet'!C8*'Output-Calculation-sheet'!C26</f>
        <v>12952.826260747783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8328.5510950728494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5792.0227621511085</v>
      </c>
      <c r="N20" s="2">
        <f>N9/'Output-Calculation-sheet'!N8*'Output-Calculation-sheet'!N26</f>
        <v>2608.0709926339382</v>
      </c>
      <c r="O20" s="2">
        <f>O9/'Output-Calculation-sheet'!O8*'Output-Calculation-sheet'!O26</f>
        <v>2715.8315478849668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948.48249509378741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309.52149000870281</v>
      </c>
      <c r="Y20" s="2">
        <f>Y9/'Output-Calculation-sheet'!Y8*'Output-Calculation-sheet'!Y26</f>
        <v>0</v>
      </c>
      <c r="AA20" s="2">
        <f t="shared" si="0"/>
        <v>41.316776995318854</v>
      </c>
    </row>
    <row r="21" spans="1:27" x14ac:dyDescent="0.25">
      <c r="A21" s="2">
        <v>2033</v>
      </c>
      <c r="B21" s="2">
        <f>B10/'Output-Calculation-sheet'!B9*'Output-Calculation-sheet'!B27</f>
        <v>19234.709065256819</v>
      </c>
      <c r="C21" s="2">
        <f>C10/'Output-Calculation-sheet'!C9*'Output-Calculation-sheet'!C27</f>
        <v>19750.263548622486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11107.683052926219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7716.4067639123714</v>
      </c>
      <c r="N21" s="2">
        <f>N10/'Output-Calculation-sheet'!N9*'Output-Calculation-sheet'!N27</f>
        <v>4215.3922483147226</v>
      </c>
      <c r="O21" s="2">
        <f>O10/'Output-Calculation-sheet'!O9*'Output-Calculation-sheet'!O27</f>
        <v>3259.5718669567977</v>
      </c>
      <c r="P21" s="2">
        <f>P10/'Output-Calculation-sheet'!P9*'Output-Calculation-sheet'!P27</f>
        <v>0</v>
      </c>
      <c r="Q21" s="2">
        <f>Q10/'Output-Calculation-sheet'!Q9*'Output-Calculation-sheet'!Q27</f>
        <v>284.63824391554527</v>
      </c>
      <c r="R21" s="2">
        <f>R10/'Output-Calculation-sheet'!R9*'Output-Calculation-sheet'!R27</f>
        <v>0</v>
      </c>
      <c r="S21" s="2">
        <f>S10/'Output-Calculation-sheet'!S9*'Output-Calculation-sheet'!S27</f>
        <v>1834.9710184626902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489.1712379529925</v>
      </c>
      <c r="Y21" s="2">
        <f>Y10/'Output-Calculation-sheet'!Y9*'Output-Calculation-sheet'!Y27</f>
        <v>0</v>
      </c>
      <c r="AA21" s="2">
        <f t="shared" si="0"/>
        <v>67.892807046320641</v>
      </c>
    </row>
    <row r="22" spans="1:27" x14ac:dyDescent="0.25">
      <c r="A22" s="2">
        <v>2034</v>
      </c>
      <c r="B22" s="2">
        <f>B11/'Output-Calculation-sheet'!B10*'Output-Calculation-sheet'!B28</f>
        <v>35334.499940065973</v>
      </c>
      <c r="C22" s="2">
        <f>C11/'Output-Calculation-sheet'!C10*'Output-Calculation-sheet'!C28</f>
        <v>24847.592222722698</v>
      </c>
      <c r="D22" s="2">
        <f>D11/'Output-Calculation-sheet'!D10*'Output-Calculation-sheet'!D28</f>
        <v>0</v>
      </c>
      <c r="E22" s="2">
        <f>E11/'Output-Calculation-sheet'!E10*'Output-Calculation-sheet'!E28</f>
        <v>2024.0003699390527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14210.62659109129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1014.8884366809378</v>
      </c>
      <c r="M22" s="2">
        <f>M11/'Output-Calculation-sheet'!M10*'Output-Calculation-sheet'!M28</f>
        <v>10097.248165675517</v>
      </c>
      <c r="N22" s="2">
        <f>N11/'Output-Calculation-sheet'!N10*'Output-Calculation-sheet'!N28</f>
        <v>5954.4028659530777</v>
      </c>
      <c r="O22" s="2">
        <f>O11/'Output-Calculation-sheet'!O10*'Output-Calculation-sheet'!O28</f>
        <v>3796.5716871675795</v>
      </c>
      <c r="P22" s="2">
        <f>P11/'Output-Calculation-sheet'!P10*'Output-Calculation-sheet'!P28</f>
        <v>0</v>
      </c>
      <c r="Q22" s="2">
        <f>Q11/'Output-Calculation-sheet'!Q10*'Output-Calculation-sheet'!Q28</f>
        <v>891.72388150980748</v>
      </c>
      <c r="R22" s="2">
        <f>R11/'Output-Calculation-sheet'!R10*'Output-Calculation-sheet'!R28</f>
        <v>0</v>
      </c>
      <c r="S22" s="2">
        <f>S11/'Output-Calculation-sheet'!S10*'Output-Calculation-sheet'!S28</f>
        <v>2616.4604593852896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109.70661519817217</v>
      </c>
      <c r="AA22" s="2">
        <f t="shared" si="0"/>
        <v>101.34656818016188</v>
      </c>
    </row>
    <row r="23" spans="1:27" x14ac:dyDescent="0.25">
      <c r="A23" s="2">
        <v>2035</v>
      </c>
      <c r="B23" s="2">
        <f>B12/'Output-Calculation-sheet'!B11*'Output-Calculation-sheet'!B29</f>
        <v>43008.693898984697</v>
      </c>
      <c r="C23" s="2">
        <f>C12/'Output-Calculation-sheet'!C11*'Output-Calculation-sheet'!C29</f>
        <v>31319.206363631296</v>
      </c>
      <c r="D23" s="2">
        <f>D12/'Output-Calculation-sheet'!D11*'Output-Calculation-sheet'!D29</f>
        <v>0</v>
      </c>
      <c r="E23" s="2">
        <f>E12/'Output-Calculation-sheet'!E11*'Output-Calculation-sheet'!E29</f>
        <v>5719.9404015759001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15546.647648373388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1248.1313727194076</v>
      </c>
      <c r="M23" s="2">
        <f>M12/'Output-Calculation-sheet'!M11*'Output-Calculation-sheet'!M29</f>
        <v>11110.353061139671</v>
      </c>
      <c r="N23" s="2">
        <f>N12/'Output-Calculation-sheet'!N11*'Output-Calculation-sheet'!N29</f>
        <v>6645.5954426520884</v>
      </c>
      <c r="O23" s="2">
        <f>O12/'Output-Calculation-sheet'!O11*'Output-Calculation-sheet'!O29</f>
        <v>4317.4749240909896</v>
      </c>
      <c r="P23" s="2">
        <f>P12/'Output-Calculation-sheet'!P11*'Output-Calculation-sheet'!P29</f>
        <v>904.40653013496365</v>
      </c>
      <c r="Q23" s="2">
        <f>Q12/'Output-Calculation-sheet'!Q11*'Output-Calculation-sheet'!Q29</f>
        <v>1347.4707305219358</v>
      </c>
      <c r="R23" s="2">
        <f>R12/'Output-Calculation-sheet'!R11*'Output-Calculation-sheet'!R29</f>
        <v>0</v>
      </c>
      <c r="S23" s="2">
        <f>S12/'Output-Calculation-sheet'!S11*'Output-Calculation-sheet'!S29</f>
        <v>3182.0771842586082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280.47438537191215</v>
      </c>
      <c r="Y23" s="2">
        <f>Y12/'Output-Calculation-sheet'!Y11*'Output-Calculation-sheet'!Y29</f>
        <v>295.94315019239912</v>
      </c>
      <c r="AA23" s="2">
        <f t="shared" si="0"/>
        <v>124.92641509364726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1877.2673799105717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48.259239933024098</v>
      </c>
    </row>
    <row r="31" spans="1:27" x14ac:dyDescent="0.25">
      <c r="A31" s="2">
        <v>2032</v>
      </c>
      <c r="B31" s="2">
        <f>B9/'Output-Calculation-sheet'!B8*'Output-Calculation-sheet'!B17</f>
        <v>32440.875889085859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2222.0565338772612</v>
      </c>
      <c r="O31" s="2">
        <f>O9/'Output-Calculation-sheet'!O8*'Output-Calculation-sheet'!O17</f>
        <v>0</v>
      </c>
      <c r="P31" s="2">
        <f>P9/'Output-Calculation-sheet'!P8*'Output-Calculation-sheet'!P17</f>
        <v>2751.5527339753235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1652.2306424699682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70.646798318189354</v>
      </c>
    </row>
    <row r="32" spans="1:27" x14ac:dyDescent="0.25">
      <c r="A32" s="2">
        <v>2033</v>
      </c>
      <c r="B32" s="2">
        <f>B10/'Output-Calculation-sheet'!B9*'Output-Calculation-sheet'!B18</f>
        <v>38956.861321277524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3715.6977990141172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2380.616285792772</v>
      </c>
      <c r="O32" s="2">
        <f>O10/'Output-Calculation-sheet'!O9*'Output-Calculation-sheet'!O18</f>
        <v>0</v>
      </c>
      <c r="P32" s="2">
        <f>P10/'Output-Calculation-sheet'!P9*'Output-Calculation-sheet'!P18</f>
        <v>3824.1911004757694</v>
      </c>
      <c r="Q32" s="2">
        <f>Q10/'Output-Calculation-sheet'!Q9*'Output-Calculation-sheet'!Q18</f>
        <v>4166.3947143799087</v>
      </c>
      <c r="R32" s="2">
        <f>R10/'Output-Calculation-sheet'!R9*'Output-Calculation-sheet'!R18</f>
        <v>2746.1288081611501</v>
      </c>
      <c r="S32" s="2">
        <f>S10/'Output-Calculation-sheet'!S9*'Output-Calculation-sheet'!S18</f>
        <v>1798.551232516661</v>
      </c>
      <c r="T32" s="2">
        <f>T10/'Output-Calculation-sheet'!T9*'Output-Calculation-sheet'!T18</f>
        <v>801.76267039187485</v>
      </c>
      <c r="U32" s="2">
        <f>U10/'Output-Calculation-sheet'!U9*'Output-Calculation-sheet'!U18</f>
        <v>886.44721871656498</v>
      </c>
      <c r="V32" s="2">
        <f>V10/'Output-Calculation-sheet'!V9*'Output-Calculation-sheet'!V18</f>
        <v>654.15734451421577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378.78345403732135</v>
      </c>
      <c r="AA32" s="2">
        <f t="shared" si="1"/>
        <v>93.643696466482083</v>
      </c>
    </row>
    <row r="33" spans="1:27" x14ac:dyDescent="0.25">
      <c r="A33" s="2">
        <v>2034</v>
      </c>
      <c r="B33" s="2">
        <f>B11/'Output-Calculation-sheet'!B10*'Output-Calculation-sheet'!B19</f>
        <v>40146.009905666258</v>
      </c>
      <c r="C33" s="2">
        <f>C11/'Output-Calculation-sheet'!C10*'Output-Calculation-sheet'!C19</f>
        <v>0</v>
      </c>
      <c r="D33" s="2">
        <f>D11/'Output-Calculation-sheet'!D10*'Output-Calculation-sheet'!D19</f>
        <v>11734.203576813741</v>
      </c>
      <c r="E33" s="2">
        <f>E11/'Output-Calculation-sheet'!E10*'Output-Calculation-sheet'!E19</f>
        <v>14762.74089541439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4430.8075106394144</v>
      </c>
      <c r="J33" s="2">
        <f>J11/'Output-Calculation-sheet'!J10*'Output-Calculation-sheet'!J19</f>
        <v>3667.6670949764534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4110.402370631291</v>
      </c>
      <c r="M33" s="2">
        <f>M11/'Output-Calculation-sheet'!M10*'Output-Calculation-sheet'!M19</f>
        <v>0</v>
      </c>
      <c r="N33" s="2">
        <f>N11/'Output-Calculation-sheet'!N10*'Output-Calculation-sheet'!N19</f>
        <v>2439.7478799614482</v>
      </c>
      <c r="O33" s="2">
        <f>O11/'Output-Calculation-sheet'!O10*'Output-Calculation-sheet'!O19</f>
        <v>0</v>
      </c>
      <c r="P33" s="2">
        <f>P11/'Output-Calculation-sheet'!P10*'Output-Calculation-sheet'!P19</f>
        <v>5256.5161094503092</v>
      </c>
      <c r="Q33" s="2">
        <f>Q11/'Output-Calculation-sheet'!Q10*'Output-Calculation-sheet'!Q19</f>
        <v>4399.7086646119769</v>
      </c>
      <c r="R33" s="2">
        <f>R11/'Output-Calculation-sheet'!R10*'Output-Calculation-sheet'!R19</f>
        <v>3753.6663279808149</v>
      </c>
      <c r="S33" s="2">
        <f>S11/'Output-Calculation-sheet'!S10*'Output-Calculation-sheet'!S19</f>
        <v>1882.0869398279183</v>
      </c>
      <c r="T33" s="2">
        <f>T11/'Output-Calculation-sheet'!T10*'Output-Calculation-sheet'!T19</f>
        <v>1101.3971431787081</v>
      </c>
      <c r="U33" s="2">
        <f>U11/'Output-Calculation-sheet'!U10*'Output-Calculation-sheet'!U19</f>
        <v>1187.2669770148261</v>
      </c>
      <c r="V33" s="2">
        <f>V11/'Output-Calculation-sheet'!V10*'Output-Calculation-sheet'!V19</f>
        <v>863.9147487842597</v>
      </c>
      <c r="W33" s="2">
        <f>W11/'Output-Calculation-sheet'!W10*'Output-Calculation-sheet'!W19</f>
        <v>537.92632636046403</v>
      </c>
      <c r="X33" s="2">
        <f>X11/'Output-Calculation-sheet'!X10*'Output-Calculation-sheet'!X19</f>
        <v>0</v>
      </c>
      <c r="Y33" s="2">
        <f>Y11/'Output-Calculation-sheet'!Y10*'Output-Calculation-sheet'!Y19</f>
        <v>484.85081411555819</v>
      </c>
      <c r="AA33" s="2">
        <f t="shared" si="1"/>
        <v>116.78695977692794</v>
      </c>
    </row>
    <row r="34" spans="1:27" x14ac:dyDescent="0.25">
      <c r="A34" s="2">
        <v>2035</v>
      </c>
      <c r="B34" s="2">
        <f>B12/'Output-Calculation-sheet'!B11*'Output-Calculation-sheet'!B20</f>
        <v>40079.253831361944</v>
      </c>
      <c r="C34" s="2">
        <f>C12/'Output-Calculation-sheet'!C11*'Output-Calculation-sheet'!C20</f>
        <v>0</v>
      </c>
      <c r="D34" s="2">
        <f>D12/'Output-Calculation-sheet'!D11*'Output-Calculation-sheet'!D20</f>
        <v>12498.019405583425</v>
      </c>
      <c r="E34" s="2">
        <f>E12/'Output-Calculation-sheet'!E11*'Output-Calculation-sheet'!E20</f>
        <v>14628.933787226724</v>
      </c>
      <c r="F34" s="2">
        <f>F12/'Output-Calculation-sheet'!F11*'Output-Calculation-sheet'!F20</f>
        <v>8497.9335312759085</v>
      </c>
      <c r="G34" s="2">
        <f>G12/'Output-Calculation-sheet'!G11*'Output-Calculation-sheet'!G20</f>
        <v>4511.1980987958686</v>
      </c>
      <c r="H34" s="2">
        <f>H12/'Output-Calculation-sheet'!H11*'Output-Calculation-sheet'!H20</f>
        <v>0</v>
      </c>
      <c r="I34" s="2">
        <f>I12/'Output-Calculation-sheet'!I11*'Output-Calculation-sheet'!I20</f>
        <v>5000.642036057965</v>
      </c>
      <c r="J34" s="2">
        <f>J12/'Output-Calculation-sheet'!J11*'Output-Calculation-sheet'!J20</f>
        <v>3911.3370098672067</v>
      </c>
      <c r="K34" s="2">
        <f>K12/'Output-Calculation-sheet'!K11*'Output-Calculation-sheet'!K20</f>
        <v>5774.4215474079001</v>
      </c>
      <c r="L34" s="2">
        <f>L12/'Output-Calculation-sheet'!L11*'Output-Calculation-sheet'!L20</f>
        <v>4384.359634787972</v>
      </c>
      <c r="M34" s="2">
        <f>M12/'Output-Calculation-sheet'!M11*'Output-Calculation-sheet'!M20</f>
        <v>0</v>
      </c>
      <c r="N34" s="2">
        <f>N12/'Output-Calculation-sheet'!N11*'Output-Calculation-sheet'!N20</f>
        <v>2551.3818570368562</v>
      </c>
      <c r="O34" s="2">
        <f>O12/'Output-Calculation-sheet'!O11*'Output-Calculation-sheet'!O20</f>
        <v>0</v>
      </c>
      <c r="P34" s="2">
        <f>P12/'Output-Calculation-sheet'!P11*'Output-Calculation-sheet'!P20</f>
        <v>5509.7605517059837</v>
      </c>
      <c r="Q34" s="2">
        <f>Q12/'Output-Calculation-sheet'!Q11*'Output-Calculation-sheet'!Q20</f>
        <v>4521.2997867045751</v>
      </c>
      <c r="R34" s="2">
        <f>R12/'Output-Calculation-sheet'!R11*'Output-Calculation-sheet'!R20</f>
        <v>4287.857719339916</v>
      </c>
      <c r="S34" s="2">
        <f>S12/'Output-Calculation-sheet'!S11*'Output-Calculation-sheet'!S20</f>
        <v>1814.0353078869102</v>
      </c>
      <c r="T34" s="2">
        <f>T12/'Output-Calculation-sheet'!T11*'Output-Calculation-sheet'!T20</f>
        <v>1328.1953714567294</v>
      </c>
      <c r="U34" s="2">
        <f>U12/'Output-Calculation-sheet'!U11*'Output-Calculation-sheet'!U20</f>
        <v>1269.0373167080227</v>
      </c>
      <c r="V34" s="2">
        <f>V12/'Output-Calculation-sheet'!V11*'Output-Calculation-sheet'!V20</f>
        <v>944.73504183767648</v>
      </c>
      <c r="W34" s="2">
        <f>W12/'Output-Calculation-sheet'!W11*'Output-Calculation-sheet'!W20</f>
        <v>744.90555072262782</v>
      </c>
      <c r="X34" s="2">
        <f>X12/'Output-Calculation-sheet'!X11*'Output-Calculation-sheet'!X20</f>
        <v>0</v>
      </c>
      <c r="Y34" s="2">
        <f>Y12/'Output-Calculation-sheet'!Y11*'Output-Calculation-sheet'!Y20</f>
        <v>439.93279022165063</v>
      </c>
      <c r="AA34" s="2">
        <f t="shared" si="1"/>
        <v>122.69724017598585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0.73714962218402558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0.40575513013481845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1.142904752318844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2.4657900934937276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0.6159015174341318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3.0816916109278596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4.6820712810653244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0.84895661970423542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5.5310279007695602</v>
      </c>
    </row>
    <row r="44" spans="1:27" x14ac:dyDescent="0.25">
      <c r="A44" s="2">
        <v>2034</v>
      </c>
      <c r="B44" s="2">
        <f>B11/'Output-Calculation-sheet'!B10*'Output-Calculation-sheet'!B37*0.0114</f>
        <v>0.35628544820720137</v>
      </c>
      <c r="C44" s="2">
        <f>C11/'Output-Calculation-sheet'!C10*'Output-Calculation-sheet'!C37*0.0114</f>
        <v>5.6648942229953869</v>
      </c>
      <c r="D44" s="2">
        <f>D11/'Output-Calculation-sheet'!D10*'Output-Calculation-sheet'!D37*0.0114</f>
        <v>7.4897284657260393E-2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0.10410926198842833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2.3915860231469591E-2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1.8885590426335804E-2</v>
      </c>
      <c r="M44" s="2">
        <f>M11/'Output-Calculation-sheet'!M10*'Output-Calculation-sheet'!M37*0.0114</f>
        <v>5.3727978083818184E-2</v>
      </c>
      <c r="N44" s="2">
        <f>N11/'Output-Calculation-sheet'!N10*'Output-Calculation-sheet'!N37*0.0114</f>
        <v>3.5203926083304707E-2</v>
      </c>
      <c r="O44" s="2">
        <f>O11/'Output-Calculation-sheet'!O10*'Output-Calculation-sheet'!O37*0.0114</f>
        <v>1.0841057279078923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7.7110072965128659E-2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4.0360211460595027E-2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9.8410998732086814E-3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7.5433366848800301</v>
      </c>
    </row>
    <row r="45" spans="1:27" x14ac:dyDescent="0.25">
      <c r="A45" s="2">
        <v>2035</v>
      </c>
      <c r="B45" s="2">
        <f>B12/'Output-Calculation-sheet'!B11*'Output-Calculation-sheet'!B38*0.0114</f>
        <v>1.7108994554578052</v>
      </c>
      <c r="C45" s="2">
        <f>C12/'Output-Calculation-sheet'!C11*'Output-Calculation-sheet'!C38*0.0114</f>
        <v>6.4962598481411131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0.44463116904779032</v>
      </c>
      <c r="F45" s="2">
        <f>F12/'Output-Calculation-sheet'!F11*'Output-Calculation-sheet'!F38*0.0114</f>
        <v>0.15979566625189753</v>
      </c>
      <c r="G45" s="2">
        <f>G12/'Output-Calculation-sheet'!G11*'Output-Calculation-sheet'!G38*0.0114</f>
        <v>0.14335363639835369</v>
      </c>
      <c r="H45" s="2">
        <f>H12/'Output-Calculation-sheet'!H11*'Output-Calculation-sheet'!H38*0.0114</f>
        <v>0.49993756562442671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0.10208451915974279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0.12091932293429349</v>
      </c>
      <c r="M45" s="2">
        <f>M12/'Output-Calculation-sheet'!M11*'Output-Calculation-sheet'!M38*0.0114</f>
        <v>0.30578284340891804</v>
      </c>
      <c r="N45" s="2">
        <f>N12/'Output-Calculation-sheet'!N11*'Output-Calculation-sheet'!N38*0.0114</f>
        <v>0.18783434047358838</v>
      </c>
      <c r="O45" s="2">
        <f>O12/'Output-Calculation-sheet'!O11*'Output-Calculation-sheet'!O38*0.0114</f>
        <v>1.314627934623966</v>
      </c>
      <c r="P45" s="2">
        <f>P12/'Output-Calculation-sheet'!P11*'Output-Calculation-sheet'!P38*0.0114</f>
        <v>0.12146815611386495</v>
      </c>
      <c r="Q45" s="2">
        <f>Q12/'Output-Calculation-sheet'!Q11*'Output-Calculation-sheet'!Q38*0.0114</f>
        <v>0.18102880492932927</v>
      </c>
      <c r="R45" s="2">
        <f>R12/'Output-Calculation-sheet'!R11*'Output-Calculation-sheet'!R38*0.0114</f>
        <v>8.1601899754559559E-2</v>
      </c>
      <c r="S45" s="2">
        <f>S12/'Output-Calculation-sheet'!S11*'Output-Calculation-sheet'!S38*0.0114</f>
        <v>0.11844044115207034</v>
      </c>
      <c r="T45" s="2">
        <f>T12/'Output-Calculation-sheet'!T11*'Output-Calculation-sheet'!T38*0.0114</f>
        <v>2.4151703116148084E-2</v>
      </c>
      <c r="U45" s="2">
        <f>U12/'Output-Calculation-sheet'!U11*'Output-Calculation-sheet'!U38*0.0114</f>
        <v>3.6755774054611896E-2</v>
      </c>
      <c r="V45" s="2">
        <f>V12/'Output-Calculation-sheet'!V11*'Output-Calculation-sheet'!V38*0.0114</f>
        <v>1.6195378709727377E-2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8.386253474729502E-3</v>
      </c>
      <c r="Y45" s="2">
        <f>Y12/'Output-Calculation-sheet'!Y11*'Output-Calculation-sheet'!Y38*0.0114</f>
        <v>1.4162566280055057E-2</v>
      </c>
      <c r="AA45" s="2">
        <f t="shared" si="2"/>
        <v>12.648408834131621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8204.196169499508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5611.0438722907584</v>
      </c>
      <c r="N52" s="2">
        <f>N8/'Output-Calculation-sheet'!N7*'Output-Calculation-sheet'!N43</f>
        <v>177.24367221580718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37.939297069613382</v>
      </c>
      <c r="Y52" s="2">
        <f>Y8/'Output-Calculation-sheet'!Y7*'Output-Calculation-sheet'!Y43</f>
        <v>0</v>
      </c>
      <c r="AA52" s="2">
        <f t="shared" si="3"/>
        <v>14.030423011075687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253.37692690035794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16681.905324096613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11409.396411269678</v>
      </c>
      <c r="N53" s="2">
        <f>N9/'Output-Calculation-sheet'!N8*'Output-Calculation-sheet'!N44</f>
        <v>4048.778827039449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1262.5930880156166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348.23470642104519</v>
      </c>
      <c r="Y53" s="2">
        <f>Y9/'Output-Calculation-sheet'!Y8*'Output-Calculation-sheet'!Y44</f>
        <v>0</v>
      </c>
      <c r="AA53" s="2">
        <f t="shared" si="3"/>
        <v>34.18375602733245</v>
      </c>
    </row>
    <row r="54" spans="1:27" x14ac:dyDescent="0.25">
      <c r="A54" s="2">
        <v>2033</v>
      </c>
      <c r="B54" s="2">
        <f>B10/'Output-Calculation-sheet'!B9*'Output-Calculation-sheet'!B45</f>
        <v>36733.46963949388</v>
      </c>
      <c r="C54" s="2">
        <f>C10/'Output-Calculation-sheet'!C9*'Output-Calculation-sheet'!C45</f>
        <v>7892.4388699829224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18348.742641292341</v>
      </c>
      <c r="N54" s="2">
        <f>N10/'Output-Calculation-sheet'!N9*'Output-Calculation-sheet'!N45</f>
        <v>10265.963744512263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1075.0017677871892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112.24526584308134</v>
      </c>
    </row>
    <row r="55" spans="1:27" x14ac:dyDescent="0.25">
      <c r="A55" s="2">
        <v>2034</v>
      </c>
      <c r="B55" s="2">
        <f>B11/'Output-Calculation-sheet'!B10*'Output-Calculation-sheet'!B46</f>
        <v>99619.286505303011</v>
      </c>
      <c r="C55" s="2">
        <f>C11/'Output-Calculation-sheet'!C10*'Output-Calculation-sheet'!C46</f>
        <v>20440.492902036247</v>
      </c>
      <c r="D55" s="2">
        <f>D11/'Output-Calculation-sheet'!D10*'Output-Calculation-sheet'!D46</f>
        <v>8626.3276100862186</v>
      </c>
      <c r="E55" s="2">
        <f>E11/'Output-Calculation-sheet'!E10*'Output-Calculation-sheet'!E46</f>
        <v>12917.629328393728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33372.041282562648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1237.7506611023734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1038.7074734484693</v>
      </c>
      <c r="M55" s="2">
        <f>M11/'Output-Calculation-sheet'!M10*'Output-Calculation-sheet'!M46</f>
        <v>23337.108609214007</v>
      </c>
      <c r="N55" s="2">
        <f>N11/'Output-Calculation-sheet'!N10*'Output-Calculation-sheet'!N46</f>
        <v>16998.246589960592</v>
      </c>
      <c r="O55" s="2">
        <f>O11/'Output-Calculation-sheet'!O10*'Output-Calculation-sheet'!O46</f>
        <v>0</v>
      </c>
      <c r="P55" s="2">
        <f>P11/'Output-Calculation-sheet'!P10*'Output-Calculation-sheet'!P46</f>
        <v>6739.807164572584</v>
      </c>
      <c r="Q55" s="2">
        <f>Q11/'Output-Calculation-sheet'!Q10*'Output-Calculation-sheet'!Q46</f>
        <v>2493.2256925391598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7148.005871836961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1657.8800268857256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111.24571026182183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257.38164215123919</v>
      </c>
    </row>
    <row r="56" spans="1:27" x14ac:dyDescent="0.25">
      <c r="A56" s="2">
        <v>2035</v>
      </c>
      <c r="B56" s="2">
        <f>B12/'Output-Calculation-sheet'!B11*'Output-Calculation-sheet'!B47</f>
        <v>121847.39104317917</v>
      </c>
      <c r="C56" s="2">
        <f>C12/'Output-Calculation-sheet'!C11*'Output-Calculation-sheet'!C47</f>
        <v>43925.733622299187</v>
      </c>
      <c r="D56" s="2">
        <f>D12/'Output-Calculation-sheet'!D11*'Output-Calculation-sheet'!D47</f>
        <v>9590.9407605744964</v>
      </c>
      <c r="E56" s="2">
        <f>E12/'Output-Calculation-sheet'!E11*'Output-Calculation-sheet'!E47</f>
        <v>25474.357204091448</v>
      </c>
      <c r="F56" s="2">
        <f>F12/'Output-Calculation-sheet'!F11*'Output-Calculation-sheet'!F47</f>
        <v>2996.1687422230784</v>
      </c>
      <c r="G56" s="2">
        <f>G12/'Output-Calculation-sheet'!G11*'Output-Calculation-sheet'!G47</f>
        <v>7743.6113415882619</v>
      </c>
      <c r="H56" s="2">
        <f>H12/'Output-Calculation-sheet'!H11*'Output-Calculation-sheet'!H47</f>
        <v>36174.819563311343</v>
      </c>
      <c r="I56" s="2">
        <f>I12/'Output-Calculation-sheet'!I11*'Output-Calculation-sheet'!I47</f>
        <v>4304.7107775930044</v>
      </c>
      <c r="J56" s="2">
        <f>J12/'Output-Calculation-sheet'!J11*'Output-Calculation-sheet'!J47</f>
        <v>1544.6999609697923</v>
      </c>
      <c r="K56" s="2">
        <f>K12/'Output-Calculation-sheet'!K11*'Output-Calculation-sheet'!K47</f>
        <v>6436.3098661934564</v>
      </c>
      <c r="L56" s="2">
        <f>L12/'Output-Calculation-sheet'!L11*'Output-Calculation-sheet'!L47</f>
        <v>1454.9210932006365</v>
      </c>
      <c r="M56" s="2">
        <f>M12/'Output-Calculation-sheet'!M11*'Output-Calculation-sheet'!M47</f>
        <v>25324.318160828487</v>
      </c>
      <c r="N56" s="2">
        <f>N12/'Output-Calculation-sheet'!N11*'Output-Calculation-sheet'!N47</f>
        <v>18887.237235515291</v>
      </c>
      <c r="O56" s="2">
        <f>O12/'Output-Calculation-sheet'!O11*'Output-Calculation-sheet'!O47</f>
        <v>0</v>
      </c>
      <c r="P56" s="2">
        <f>P12/'Output-Calculation-sheet'!P11*'Output-Calculation-sheet'!P47</f>
        <v>9749.4177933496867</v>
      </c>
      <c r="Q56" s="2">
        <f>Q12/'Output-Calculation-sheet'!Q11*'Output-Calculation-sheet'!Q47</f>
        <v>3456.0044577417407</v>
      </c>
      <c r="R56" s="2">
        <f>R12/'Output-Calculation-sheet'!R11*'Output-Calculation-sheet'!R47</f>
        <v>6744.3254341005277</v>
      </c>
      <c r="S56" s="2">
        <f>S12/'Output-Calculation-sheet'!S11*'Output-Calculation-sheet'!S47</f>
        <v>8801.8059896024206</v>
      </c>
      <c r="T56" s="2">
        <f>T12/'Output-Calculation-sheet'!T11*'Output-Calculation-sheet'!T47</f>
        <v>2311.360359624347</v>
      </c>
      <c r="U56" s="2">
        <f>U12/'Output-Calculation-sheet'!U11*'Output-Calculation-sheet'!U47</f>
        <v>1802.7832036309644</v>
      </c>
      <c r="V56" s="2">
        <f>V12/'Output-Calculation-sheet'!V11*'Output-Calculation-sheet'!V47</f>
        <v>1039.2034672075067</v>
      </c>
      <c r="W56" s="2">
        <f>W12/'Output-Calculation-sheet'!W11*'Output-Calculation-sheet'!W47</f>
        <v>895.88103413531701</v>
      </c>
      <c r="X56" s="2">
        <f>X12/'Output-Calculation-sheet'!X11*'Output-Calculation-sheet'!X47</f>
        <v>538.85356756485612</v>
      </c>
      <c r="Y56" s="2">
        <f>Y12/'Output-Calculation-sheet'!Y11*'Output-Calculation-sheet'!Y47</f>
        <v>1154.1249187869428</v>
      </c>
      <c r="AA56" s="2">
        <f t="shared" si="3"/>
        <v>342.19897959731179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6.2888825533364638</v>
      </c>
      <c r="C63" s="2">
        <f>C8*'Output-Calculation-sheet'!C52/10^9</f>
        <v>3.9295857076671643</v>
      </c>
      <c r="D63" s="2">
        <f>D8*'Output-Calculation-sheet'!D52/10^9</f>
        <v>1.7961764555502358</v>
      </c>
      <c r="E63" s="2">
        <f>E8*'Output-Calculation-sheet'!E52/10^9</f>
        <v>1.6499028234525666</v>
      </c>
      <c r="F63" s="2">
        <f>F8*'Output-Calculation-sheet'!F52/10^9</f>
        <v>0.86952733248911385</v>
      </c>
      <c r="G63" s="2">
        <f>G8*'Output-Calculation-sheet'!G52/10^9</f>
        <v>0.64304272431694831</v>
      </c>
      <c r="H63" s="2">
        <f>H8*'Output-Calculation-sheet'!H52/10^9</f>
        <v>1.1094881525845697</v>
      </c>
      <c r="I63" s="2">
        <f>I8*'Output-Calculation-sheet'!I52/10^9</f>
        <v>0.59612916715066211</v>
      </c>
      <c r="J63" s="2">
        <f>J8*'Output-Calculation-sheet'!J52/10^9</f>
        <v>0.60604777536478538</v>
      </c>
      <c r="K63" s="2">
        <f>K8*'Output-Calculation-sheet'!K52/10^9</f>
        <v>0.60990606826579619</v>
      </c>
      <c r="L63" s="2">
        <f>L8*'Output-Calculation-sheet'!L52/10^9</f>
        <v>0.49719364200438154</v>
      </c>
      <c r="M63" s="2">
        <f>M8*'Output-Calculation-sheet'!M52/10^9</f>
        <v>0.76817153605446709</v>
      </c>
      <c r="N63" s="2">
        <f>N8*'Output-Calculation-sheet'!N52/10^9</f>
        <v>0.68924980821740367</v>
      </c>
      <c r="O63" s="2">
        <f>O8*'Output-Calculation-sheet'!O52/10^9</f>
        <v>0.74532587043311371</v>
      </c>
      <c r="P63" s="2">
        <f>P8*'Output-Calculation-sheet'!P52/10^9</f>
        <v>0.49099080971471631</v>
      </c>
      <c r="Q63" s="2">
        <f>Q8*'Output-Calculation-sheet'!Q52/10^9</f>
        <v>0.50635302360755463</v>
      </c>
      <c r="R63" s="2">
        <f>R8*'Output-Calculation-sheet'!R52/10^9</f>
        <v>0.41469820787288036</v>
      </c>
      <c r="S63" s="2">
        <f>S8*'Output-Calculation-sheet'!S52/10^9</f>
        <v>0.38132083771523045</v>
      </c>
      <c r="T63" s="2">
        <f>T8*'Output-Calculation-sheet'!T52/10^9</f>
        <v>0.14298043472528454</v>
      </c>
      <c r="U63" s="2">
        <f>U8*'Output-Calculation-sheet'!U52/10^9</f>
        <v>0.12989119808863858</v>
      </c>
      <c r="V63" s="2">
        <f>V8*'Output-Calculation-sheet'!V52/10^9</f>
        <v>0.10036607659577204</v>
      </c>
      <c r="W63" s="2">
        <f>W8*'Output-Calculation-sheet'!W52/10^9</f>
        <v>7.8411575294474081E-2</v>
      </c>
      <c r="X63" s="2">
        <f>X8*'Output-Calculation-sheet'!X52/10^9</f>
        <v>9.2532283773499549E-2</v>
      </c>
      <c r="Y63" s="2">
        <f>Y8*'Output-Calculation-sheet'!Y52/10^9</f>
        <v>5.0970719102099438E-2</v>
      </c>
      <c r="AA63" s="2">
        <f t="shared" si="4"/>
        <v>23.187144783377828</v>
      </c>
    </row>
    <row r="64" spans="1:27" x14ac:dyDescent="0.25">
      <c r="A64" s="2">
        <v>2032</v>
      </c>
      <c r="B64" s="2">
        <f>B9*'Output-Calculation-sheet'!B53/10^9</f>
        <v>7.465004828804803</v>
      </c>
      <c r="C64" s="2">
        <f>C9*'Output-Calculation-sheet'!C53/10^9</f>
        <v>4.9423177530095002</v>
      </c>
      <c r="D64" s="2">
        <f>D9*'Output-Calculation-sheet'!D53/10^9</f>
        <v>1.7986154656223159</v>
      </c>
      <c r="E64" s="2">
        <f>E9*'Output-Calculation-sheet'!E53/10^9</f>
        <v>1.7559901425103817</v>
      </c>
      <c r="F64" s="2">
        <f>F9*'Output-Calculation-sheet'!F53/10^9</f>
        <v>0.88560307838054908</v>
      </c>
      <c r="G64" s="2">
        <f>G9*'Output-Calculation-sheet'!G53/10^9</f>
        <v>0.64327550274766376</v>
      </c>
      <c r="H64" s="2">
        <f>H9*'Output-Calculation-sheet'!H53/10^9</f>
        <v>1.3809648522191988</v>
      </c>
      <c r="I64" s="2">
        <f>I9*'Output-Calculation-sheet'!I53/10^9</f>
        <v>0.60065653219474868</v>
      </c>
      <c r="J64" s="2">
        <f>J9*'Output-Calculation-sheet'!J53/10^9</f>
        <v>0.59953555477854825</v>
      </c>
      <c r="K64" s="2">
        <f>K9*'Output-Calculation-sheet'!K53/10^9</f>
        <v>0.6466496941517631</v>
      </c>
      <c r="L64" s="2">
        <f>L9*'Output-Calculation-sheet'!L53/10^9</f>
        <v>0.53304574147724126</v>
      </c>
      <c r="M64" s="2">
        <f>M9*'Output-Calculation-sheet'!M53/10^9</f>
        <v>0.9568007751402785</v>
      </c>
      <c r="N64" s="2">
        <f>N9*'Output-Calculation-sheet'!N53/10^9</f>
        <v>0.85017970100058737</v>
      </c>
      <c r="O64" s="2">
        <f>O9*'Output-Calculation-sheet'!O53/10^9</f>
        <v>0.91473650642940696</v>
      </c>
      <c r="P64" s="2">
        <f>P9*'Output-Calculation-sheet'!P53/10^9</f>
        <v>0.57834982515044131</v>
      </c>
      <c r="Q64" s="2">
        <f>Q9*'Output-Calculation-sheet'!Q53/10^9</f>
        <v>0.59181229183004092</v>
      </c>
      <c r="R64" s="2">
        <f>R9*'Output-Calculation-sheet'!R53/10^9</f>
        <v>0.46270071946668018</v>
      </c>
      <c r="S64" s="2">
        <f>S9*'Output-Calculation-sheet'!S53/10^9</f>
        <v>0.46829177722344051</v>
      </c>
      <c r="T64" s="2">
        <f>T9*'Output-Calculation-sheet'!T53/10^9</f>
        <v>0.14826898768093325</v>
      </c>
      <c r="U64" s="2">
        <f>U9*'Output-Calculation-sheet'!U53/10^9</f>
        <v>0.1462602357989099</v>
      </c>
      <c r="V64" s="2">
        <f>V9*'Output-Calculation-sheet'!V53/10^9</f>
        <v>0.10882162867225291</v>
      </c>
      <c r="W64" s="2">
        <f>W9*'Output-Calculation-sheet'!W53/10^9</f>
        <v>7.8564564140351539E-2</v>
      </c>
      <c r="X64" s="2">
        <f>X9*'Output-Calculation-sheet'!X53/10^9</f>
        <v>0.11571543240029855</v>
      </c>
      <c r="Y64" s="2">
        <f>Y9*'Output-Calculation-sheet'!Y53/10^9</f>
        <v>5.6632056503871209E-2</v>
      </c>
      <c r="AA64" s="2">
        <f t="shared" si="4"/>
        <v>26.7287936473342</v>
      </c>
    </row>
    <row r="65" spans="1:27" x14ac:dyDescent="0.25">
      <c r="A65" s="2">
        <v>2033</v>
      </c>
      <c r="B65" s="2">
        <f>B10*'Output-Calculation-sheet'!B54/10^9</f>
        <v>9.0034453602224591</v>
      </c>
      <c r="C65" s="2">
        <f>C10*'Output-Calculation-sheet'!C54/10^9</f>
        <v>5.9466926523093511</v>
      </c>
      <c r="D65" s="2">
        <f>D10*'Output-Calculation-sheet'!D54/10^9</f>
        <v>1.7295205615323324</v>
      </c>
      <c r="E65" s="2">
        <f>E10*'Output-Calculation-sheet'!E54/10^9</f>
        <v>1.9626010448908644</v>
      </c>
      <c r="F65" s="2">
        <f>F10*'Output-Calculation-sheet'!F54/10^9</f>
        <v>0.89032046372223939</v>
      </c>
      <c r="G65" s="2">
        <f>G10*'Output-Calculation-sheet'!G54/10^9</f>
        <v>0.61446991895951519</v>
      </c>
      <c r="H65" s="2">
        <f>H10*'Output-Calculation-sheet'!H54/10^9</f>
        <v>1.6332454856160712</v>
      </c>
      <c r="I65" s="2">
        <f>I10*'Output-Calculation-sheet'!I54/10^9</f>
        <v>0.60443397891027784</v>
      </c>
      <c r="J65" s="2">
        <f>J10*'Output-Calculation-sheet'!J54/10^9</f>
        <v>0.55744455376746793</v>
      </c>
      <c r="K65" s="2">
        <f>K10*'Output-Calculation-sheet'!K54/10^9</f>
        <v>0.71099512382812835</v>
      </c>
      <c r="L65" s="2">
        <f>L10*'Output-Calculation-sheet'!L54/10^9</f>
        <v>0.59131829773773092</v>
      </c>
      <c r="M65" s="2">
        <f>M10*'Output-Calculation-sheet'!M54/10^9</f>
        <v>1.1317419799748334</v>
      </c>
      <c r="N65" s="2">
        <f>N10*'Output-Calculation-sheet'!N54/10^9</f>
        <v>1.0174562043077782</v>
      </c>
      <c r="O65" s="2">
        <f>O10*'Output-Calculation-sheet'!O54/10^9</f>
        <v>1.0771534552948261</v>
      </c>
      <c r="P65" s="2">
        <f>P10*'Output-Calculation-sheet'!P54/10^9</f>
        <v>0.68659648830964959</v>
      </c>
      <c r="Q65" s="2">
        <f>Q10*'Output-Calculation-sheet'!Q54/10^9</f>
        <v>0.71237508889992662</v>
      </c>
      <c r="R65" s="2">
        <f>R10*'Output-Calculation-sheet'!R54/10^9</f>
        <v>0.53230992440377678</v>
      </c>
      <c r="S65" s="2">
        <f>S10*'Output-Calculation-sheet'!S54/10^9</f>
        <v>0.5629015194014988</v>
      </c>
      <c r="T65" s="2">
        <f>T10*'Output-Calculation-sheet'!T54/10^9</f>
        <v>0.15977038311733174</v>
      </c>
      <c r="U65" s="2">
        <f>U10*'Output-Calculation-sheet'!U54/10^9</f>
        <v>0.17275332502479029</v>
      </c>
      <c r="V65" s="2">
        <f>V10*'Output-Calculation-sheet'!V54/10^9</f>
        <v>0.12055891370562921</v>
      </c>
      <c r="W65" s="2">
        <f>W10*'Output-Calculation-sheet'!W54/10^9</f>
        <v>7.5410963075562998E-2</v>
      </c>
      <c r="X65" s="2">
        <f>X10*'Output-Calculation-sheet'!X54/10^9</f>
        <v>0.13872871895291336</v>
      </c>
      <c r="Y65" s="2">
        <f>Y10*'Output-Calculation-sheet'!Y54/10^9</f>
        <v>6.6530811586668917E-2</v>
      </c>
      <c r="AA65" s="2">
        <f t="shared" si="4"/>
        <v>30.698775217551624</v>
      </c>
    </row>
    <row r="66" spans="1:27" x14ac:dyDescent="0.25">
      <c r="A66" s="2">
        <v>2034</v>
      </c>
      <c r="B66" s="2">
        <f>B11*'Output-Calculation-sheet'!B55/10^9</f>
        <v>10.882524006336721</v>
      </c>
      <c r="C66" s="2">
        <f>C11*'Output-Calculation-sheet'!C55/10^9</f>
        <v>6.9326637832281559</v>
      </c>
      <c r="D66" s="2">
        <f>D11*'Output-Calculation-sheet'!D55/10^9</f>
        <v>2.0418204352965375</v>
      </c>
      <c r="E66" s="2">
        <f>E11*'Output-Calculation-sheet'!E55/10^9</f>
        <v>2.5176484671448298</v>
      </c>
      <c r="F66" s="2">
        <f>F11*'Output-Calculation-sheet'!F55/10^9</f>
        <v>1.0083142766050899</v>
      </c>
      <c r="G66" s="2">
        <f>G11*'Output-Calculation-sheet'!G55/10^9</f>
        <v>0.72624661516749034</v>
      </c>
      <c r="H66" s="2">
        <f>H11*'Output-Calculation-sheet'!H55/10^9</f>
        <v>1.9131286471193434</v>
      </c>
      <c r="I66" s="2">
        <f>I11*'Output-Calculation-sheet'!I55/10^9</f>
        <v>0.71388793096026948</v>
      </c>
      <c r="J66" s="2">
        <f>J11*'Output-Calculation-sheet'!J55/10^9</f>
        <v>0.62983566748514752</v>
      </c>
      <c r="K66" s="2">
        <f>K11*'Output-Calculation-sheet'!K55/10^9</f>
        <v>0.84172090237505426</v>
      </c>
      <c r="L66" s="2">
        <f>L11*'Output-Calculation-sheet'!L55/10^9</f>
        <v>0.73727437944665253</v>
      </c>
      <c r="M66" s="2">
        <f>M11*'Output-Calculation-sheet'!M55/10^9</f>
        <v>1.328424844022889</v>
      </c>
      <c r="N66" s="2">
        <f>N11*'Output-Calculation-sheet'!N55/10^9</f>
        <v>1.1892428233235453</v>
      </c>
      <c r="O66" s="2">
        <f>O11*'Output-Calculation-sheet'!O55/10^9</f>
        <v>1.2337848485670906</v>
      </c>
      <c r="P66" s="2">
        <f>P11*'Output-Calculation-sheet'!P55/10^9</f>
        <v>0.83589279749453171</v>
      </c>
      <c r="Q66" s="2">
        <f>Q11*'Output-Calculation-sheet'!Q55/10^9</f>
        <v>0.86774207162166717</v>
      </c>
      <c r="R66" s="2">
        <f>R11*'Output-Calculation-sheet'!R55/10^9</f>
        <v>0.63259656645997442</v>
      </c>
      <c r="S66" s="2">
        <f>S11*'Output-Calculation-sheet'!S55/10^9</f>
        <v>0.66990509027344436</v>
      </c>
      <c r="T66" s="2">
        <f>T11*'Output-Calculation-sheet'!T55/10^9</f>
        <v>0.18623851784508705</v>
      </c>
      <c r="U66" s="2">
        <f>U11*'Output-Calculation-sheet'!U55/10^9</f>
        <v>0.21509305380977928</v>
      </c>
      <c r="V66" s="2">
        <f>V11*'Output-Calculation-sheet'!V55/10^9</f>
        <v>0.13911060202315814</v>
      </c>
      <c r="W66" s="2">
        <f>W11*'Output-Calculation-sheet'!W55/10^9</f>
        <v>8.4751927253813183E-2</v>
      </c>
      <c r="X66" s="2">
        <f>X11*'Output-Calculation-sheet'!X55/10^9</f>
        <v>0.16175948383470082</v>
      </c>
      <c r="Y66" s="2">
        <f>Y11*'Output-Calculation-sheet'!Y55/10^9</f>
        <v>8.7879460042855947E-2</v>
      </c>
      <c r="AA66" s="2">
        <f t="shared" si="4"/>
        <v>36.577487197737831</v>
      </c>
    </row>
    <row r="67" spans="1:27" x14ac:dyDescent="0.25">
      <c r="A67" s="2">
        <v>2035</v>
      </c>
      <c r="B67" s="2">
        <f>B12*'Output-Calculation-sheet'!B56/10^9</f>
        <v>12.930577882042623</v>
      </c>
      <c r="C67" s="2">
        <f>C12*'Output-Calculation-sheet'!C56/10^9</f>
        <v>7.885983188339031</v>
      </c>
      <c r="D67" s="2">
        <f>D12*'Output-Calculation-sheet'!D56/10^9</f>
        <v>2.6300927170068245</v>
      </c>
      <c r="E67" s="2">
        <f>E12*'Output-Calculation-sheet'!E56/10^9</f>
        <v>3.5560689459822314</v>
      </c>
      <c r="F67" s="2">
        <f>F12*'Output-Calculation-sheet'!F56/10^9</f>
        <v>1.4101396761437304</v>
      </c>
      <c r="G67" s="2">
        <f>G12*'Output-Calculation-sheet'!G56/10^9</f>
        <v>1.0235213543632535</v>
      </c>
      <c r="H67" s="2">
        <f>H12*'Output-Calculation-sheet'!H56/10^9</f>
        <v>2.2311598017437366</v>
      </c>
      <c r="I67" s="2">
        <f>I12*'Output-Calculation-sheet'!I56/10^9</f>
        <v>0.96685103361028923</v>
      </c>
      <c r="J67" s="2">
        <f>J12*'Output-Calculation-sheet'!J56/10^9</f>
        <v>0.79840830970167964</v>
      </c>
      <c r="K67" s="2">
        <f>K12*'Output-Calculation-sheet'!K56/10^9</f>
        <v>1.0794861620429794</v>
      </c>
      <c r="L67" s="2">
        <f>L12*'Output-Calculation-sheet'!L56/10^9</f>
        <v>0.93146853828810694</v>
      </c>
      <c r="M67" s="2">
        <f>M12*'Output-Calculation-sheet'!M56/10^9</f>
        <v>1.5635901255307785</v>
      </c>
      <c r="N67" s="2">
        <f>N12*'Output-Calculation-sheet'!N56/10^9</f>
        <v>1.3686948319458756</v>
      </c>
      <c r="O67" s="2">
        <f>O12*'Output-Calculation-sheet'!O56/10^9</f>
        <v>1.3852002414030684</v>
      </c>
      <c r="P67" s="2">
        <f>P12*'Output-Calculation-sheet'!P56/10^9</f>
        <v>1.090621335346178</v>
      </c>
      <c r="Q67" s="2">
        <f>Q12*'Output-Calculation-sheet'!Q56/10^9</f>
        <v>1.0223701142616626</v>
      </c>
      <c r="R67" s="2">
        <f>R12*'Output-Calculation-sheet'!R56/10^9</f>
        <v>0.80322845022577427</v>
      </c>
      <c r="S67" s="2">
        <f>S12*'Output-Calculation-sheet'!S56/10^9</f>
        <v>0.77900180687687082</v>
      </c>
      <c r="T67" s="2">
        <f>T12*'Output-Calculation-sheet'!T56/10^9</f>
        <v>0.24691655206330801</v>
      </c>
      <c r="U67" s="2">
        <f>U12*'Output-Calculation-sheet'!U56/10^9</f>
        <v>0.26625274575146479</v>
      </c>
      <c r="V67" s="2">
        <f>V12*'Output-Calculation-sheet'!V56/10^9</f>
        <v>0.16789915606193045</v>
      </c>
      <c r="W67" s="2">
        <f>W12*'Output-Calculation-sheet'!W56/10^9</f>
        <v>0.13063364126850791</v>
      </c>
      <c r="X67" s="2">
        <f>X12*'Output-Calculation-sheet'!X56/10^9</f>
        <v>0.19138059583580114</v>
      </c>
      <c r="Y67" s="2">
        <f>Y12*'Output-Calculation-sheet'!Y56/10^9</f>
        <v>0.1226621523660653</v>
      </c>
      <c r="AA67" s="2">
        <f t="shared" si="4"/>
        <v>44.58220935820178</v>
      </c>
    </row>
    <row r="68" spans="1:27" x14ac:dyDescent="0.25">
      <c r="B68" s="2">
        <f>SUM(B60:B67)</f>
        <v>46.570434630743065</v>
      </c>
      <c r="C68" s="2">
        <f t="shared" ref="C68:Y68" si="5">SUM(C60:C67)</f>
        <v>29.637243084553205</v>
      </c>
      <c r="D68" s="2">
        <f t="shared" si="5"/>
        <v>9.9962256350082459</v>
      </c>
      <c r="E68" s="2">
        <f t="shared" si="5"/>
        <v>11.442211423980874</v>
      </c>
      <c r="F68" s="2">
        <f t="shared" si="5"/>
        <v>5.063904827340723</v>
      </c>
      <c r="G68" s="2">
        <f t="shared" si="5"/>
        <v>3.6505561155548714</v>
      </c>
      <c r="H68" s="2">
        <f t="shared" si="5"/>
        <v>8.2679869392829204</v>
      </c>
      <c r="I68" s="2">
        <f t="shared" si="5"/>
        <v>3.4819586428262475</v>
      </c>
      <c r="J68" s="2">
        <f t="shared" si="5"/>
        <v>3.1912718610976287</v>
      </c>
      <c r="K68" s="2">
        <f t="shared" si="5"/>
        <v>3.8887579506637211</v>
      </c>
      <c r="L68" s="2">
        <f t="shared" si="5"/>
        <v>3.2903005989541132</v>
      </c>
      <c r="M68" s="2">
        <f t="shared" si="5"/>
        <v>5.7487292607232465</v>
      </c>
      <c r="N68" s="2">
        <f t="shared" si="5"/>
        <v>5.1148233687951903</v>
      </c>
      <c r="O68" s="2">
        <f t="shared" si="5"/>
        <v>5.3562009221275053</v>
      </c>
      <c r="P68" s="2">
        <f t="shared" si="5"/>
        <v>3.6824512560155171</v>
      </c>
      <c r="Q68" s="2">
        <f t="shared" si="5"/>
        <v>3.7006525902208516</v>
      </c>
      <c r="R68" s="2">
        <f t="shared" si="5"/>
        <v>2.8455338684290861</v>
      </c>
      <c r="S68" s="2">
        <f t="shared" si="5"/>
        <v>2.8614210314904849</v>
      </c>
      <c r="T68" s="2">
        <f t="shared" si="5"/>
        <v>0.88417487543194451</v>
      </c>
      <c r="U68" s="2">
        <f t="shared" si="5"/>
        <v>0.93025055847358273</v>
      </c>
      <c r="V68" s="2">
        <f t="shared" si="5"/>
        <v>0.63675637705874277</v>
      </c>
      <c r="W68" s="2">
        <f t="shared" si="5"/>
        <v>0.44777267103270973</v>
      </c>
      <c r="X68" s="2">
        <f t="shared" si="5"/>
        <v>0.70011651479721349</v>
      </c>
      <c r="Y68" s="2">
        <f t="shared" si="5"/>
        <v>0.38467519960156082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1741.2684811870724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1174.5766149594886</v>
      </c>
      <c r="N74" s="2">
        <f>N8/'Output-Calculation-sheet'!N7*'Output-Calculation-sheet'!N61</f>
        <v>48.825022718486025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10.42291408141504</v>
      </c>
      <c r="Y74" s="2">
        <f>Y8/'Output-Calculation-sheet'!Y7*'Output-Calculation-sheet'!Y61</f>
        <v>0</v>
      </c>
      <c r="AA74" s="2">
        <f t="shared" si="6"/>
        <v>2.9750930329464618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69.610675722088573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3180.4131448853068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2155.0642862086183</v>
      </c>
      <c r="N75" s="2">
        <f>N9/'Output-Calculation-sheet'!N8*'Output-Calculation-sheet'!N62</f>
        <v>829.61498052520187</v>
      </c>
      <c r="O75" s="2">
        <f>O9/'Output-Calculation-sheet'!O8*'Output-Calculation-sheet'!O62</f>
        <v>0</v>
      </c>
      <c r="P75" s="2">
        <f>P9/'Output-Calculation-sheet'!P8*'Output-Calculation-sheet'!P62</f>
        <v>53.967209161809414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278.83394854154221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75.674345545079348</v>
      </c>
      <c r="Y75" s="2">
        <f>Y9/'Output-Calculation-sheet'!Y8*'Output-Calculation-sheet'!Y62</f>
        <v>0</v>
      </c>
      <c r="AA75" s="2">
        <f t="shared" si="6"/>
        <v>6.6431785905896472</v>
      </c>
    </row>
    <row r="76" spans="1:27" x14ac:dyDescent="0.25">
      <c r="A76" s="2">
        <v>2033</v>
      </c>
      <c r="B76" s="2">
        <f>B10/'Output-Calculation-sheet'!B9*'Output-Calculation-sheet'!B63</f>
        <v>7380.5573698750341</v>
      </c>
      <c r="C76" s="2">
        <f>C10/'Output-Calculation-sheet'!C9*'Output-Calculation-sheet'!C63</f>
        <v>2168.2507819410671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4836.2060977798383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3289.4880548224151</v>
      </c>
      <c r="N76" s="2">
        <f>N10/'Output-Calculation-sheet'!N9*'Output-Calculation-sheet'!N63</f>
        <v>1879.134502144268</v>
      </c>
      <c r="O76" s="2">
        <f>O10/'Output-Calculation-sheet'!O9*'Output-Calculation-sheet'!O63</f>
        <v>0</v>
      </c>
      <c r="P76" s="2">
        <f>P10/'Output-Calculation-sheet'!P9*'Output-Calculation-sheet'!P63</f>
        <v>647.81389369135582</v>
      </c>
      <c r="Q76" s="2">
        <f>Q10/'Output-Calculation-sheet'!Q9*'Output-Calculation-sheet'!Q63</f>
        <v>291.65509633710622</v>
      </c>
      <c r="R76" s="2">
        <f>R10/'Output-Calculation-sheet'!R9*'Output-Calculation-sheet'!R63</f>
        <v>493.71277510523595</v>
      </c>
      <c r="S76" s="2">
        <f>S10/'Output-Calculation-sheet'!S9*'Output-Calculation-sheet'!S63</f>
        <v>835.49769620323832</v>
      </c>
      <c r="T76" s="2">
        <f>T10/'Output-Calculation-sheet'!T9*'Output-Calculation-sheet'!T63</f>
        <v>32.45157218371687</v>
      </c>
      <c r="U76" s="2">
        <f>U10/'Output-Calculation-sheet'!U9*'Output-Calculation-sheet'!U63</f>
        <v>175.26480565272493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188.61043035628029</v>
      </c>
      <c r="Y76" s="2">
        <f>Y10/'Output-Calculation-sheet'!Y9*'Output-Calculation-sheet'!Y63</f>
        <v>8.3212845415957748</v>
      </c>
      <c r="AA76" s="2">
        <f t="shared" si="6"/>
        <v>22.363189509559994</v>
      </c>
    </row>
    <row r="77" spans="1:27" x14ac:dyDescent="0.25">
      <c r="A77" s="2">
        <v>2034</v>
      </c>
      <c r="B77" s="2">
        <f>B11/'Output-Calculation-sheet'!B10*'Output-Calculation-sheet'!B64</f>
        <v>16959.937409290589</v>
      </c>
      <c r="C77" s="2">
        <f>C11/'Output-Calculation-sheet'!C10*'Output-Calculation-sheet'!C64</f>
        <v>4625.9223622618065</v>
      </c>
      <c r="D77" s="2">
        <f>D11/'Output-Calculation-sheet'!D10*'Output-Calculation-sheet'!D64</f>
        <v>2049.3802364029129</v>
      </c>
      <c r="E77" s="2">
        <f>E11/'Output-Calculation-sheet'!E10*'Output-Calculation-sheet'!E64</f>
        <v>2977.722414347194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6160.5240260985083</v>
      </c>
      <c r="I77" s="2">
        <f>I11/'Output-Calculation-sheet'!I10*'Output-Calculation-sheet'!I64</f>
        <v>743.40135888156692</v>
      </c>
      <c r="J77" s="2">
        <f>J11/'Output-Calculation-sheet'!J10*'Output-Calculation-sheet'!J64</f>
        <v>408.9549163107007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295.29277262315179</v>
      </c>
      <c r="M77" s="2">
        <f>M11/'Output-Calculation-sheet'!M10*'Output-Calculation-sheet'!M64</f>
        <v>4300.6214438619791</v>
      </c>
      <c r="N77" s="2">
        <f>N11/'Output-Calculation-sheet'!N10*'Output-Calculation-sheet'!N64</f>
        <v>2977.7642325843185</v>
      </c>
      <c r="O77" s="2">
        <f>O11/'Output-Calculation-sheet'!O10*'Output-Calculation-sheet'!O64</f>
        <v>0</v>
      </c>
      <c r="P77" s="2">
        <f>P11/'Output-Calculation-sheet'!P10*'Output-Calculation-sheet'!P64</f>
        <v>1406.6341288087738</v>
      </c>
      <c r="Q77" s="2">
        <f>Q11/'Output-Calculation-sheet'!Q10*'Output-Calculation-sheet'!Q64</f>
        <v>576.53037062750479</v>
      </c>
      <c r="R77" s="2">
        <f>R11/'Output-Calculation-sheet'!R10*'Output-Calculation-sheet'!R64</f>
        <v>1195.806108762994</v>
      </c>
      <c r="S77" s="2">
        <f>S11/'Output-Calculation-sheet'!S10*'Output-Calculation-sheet'!S64</f>
        <v>1292.6048092293697</v>
      </c>
      <c r="T77" s="2">
        <f>T11/'Output-Calculation-sheet'!T10*'Output-Calculation-sheet'!T64</f>
        <v>330.83556238821262</v>
      </c>
      <c r="U77" s="2">
        <f>U11/'Output-Calculation-sheet'!U10*'Output-Calculation-sheet'!U64</f>
        <v>360.06642113727167</v>
      </c>
      <c r="V77" s="2">
        <f>V11/'Output-Calculation-sheet'!V10*'Output-Calculation-sheet'!V64</f>
        <v>172.60828463060508</v>
      </c>
      <c r="W77" s="2">
        <f>W11/'Output-Calculation-sheet'!W10*'Output-Calculation-sheet'!W64</f>
        <v>37.516607081172687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109.76432567322416</v>
      </c>
      <c r="AA77" s="2">
        <f t="shared" si="6"/>
        <v>49.769328288022969</v>
      </c>
    </row>
    <row r="78" spans="1:27" x14ac:dyDescent="0.25">
      <c r="A78" s="2">
        <v>2035</v>
      </c>
      <c r="B78" s="2">
        <f>B12/'Output-Calculation-sheet'!B11*'Output-Calculation-sheet'!B65</f>
        <v>21078.548098172785</v>
      </c>
      <c r="C78" s="2">
        <f>C12/'Output-Calculation-sheet'!C11*'Output-Calculation-sheet'!C65</f>
        <v>8909.5079951638363</v>
      </c>
      <c r="D78" s="2">
        <f>D12/'Output-Calculation-sheet'!D11*'Output-Calculation-sheet'!D65</f>
        <v>2272.6813814108996</v>
      </c>
      <c r="E78" s="2">
        <f>E12/'Output-Calculation-sheet'!E11*'Output-Calculation-sheet'!E65</f>
        <v>4362.556104849753</v>
      </c>
      <c r="F78" s="2">
        <f>F12/'Output-Calculation-sheet'!F11*'Output-Calculation-sheet'!F65</f>
        <v>950.57746103412228</v>
      </c>
      <c r="G78" s="2">
        <f>G12/'Output-Calculation-sheet'!G11*'Output-Calculation-sheet'!G65</f>
        <v>1748.2604702798521</v>
      </c>
      <c r="H78" s="2">
        <f>H12/'Output-Calculation-sheet'!H11*'Output-Calculation-sheet'!H65</f>
        <v>6719.8381853219416</v>
      </c>
      <c r="I78" s="2">
        <f>I12/'Output-Calculation-sheet'!I11*'Output-Calculation-sheet'!I65</f>
        <v>1113.4814176947757</v>
      </c>
      <c r="J78" s="2">
        <f>J12/'Output-Calculation-sheet'!J11*'Output-Calculation-sheet'!J65</f>
        <v>476.94290316639035</v>
      </c>
      <c r="K78" s="2">
        <f>K12/'Output-Calculation-sheet'!K11*'Output-Calculation-sheet'!K65</f>
        <v>1420.4813595917753</v>
      </c>
      <c r="L78" s="2">
        <f>L12/'Output-Calculation-sheet'!L11*'Output-Calculation-sheet'!L65</f>
        <v>411.22999973176047</v>
      </c>
      <c r="M78" s="2">
        <f>M12/'Output-Calculation-sheet'!M11*'Output-Calculation-sheet'!M65</f>
        <v>4727.1697337990554</v>
      </c>
      <c r="N78" s="2">
        <f>N12/'Output-Calculation-sheet'!N11*'Output-Calculation-sheet'!N65</f>
        <v>3318.836723479566</v>
      </c>
      <c r="O78" s="2">
        <f>O12/'Output-Calculation-sheet'!O11*'Output-Calculation-sheet'!O65</f>
        <v>0</v>
      </c>
      <c r="P78" s="2">
        <f>P12/'Output-Calculation-sheet'!P11*'Output-Calculation-sheet'!P65</f>
        <v>1875.7316636187227</v>
      </c>
      <c r="Q78" s="2">
        <f>Q12/'Output-Calculation-sheet'!Q11*'Output-Calculation-sheet'!Q65</f>
        <v>742.78977012055316</v>
      </c>
      <c r="R78" s="2">
        <f>R12/'Output-Calculation-sheet'!R11*'Output-Calculation-sheet'!R65</f>
        <v>1475.8190318786069</v>
      </c>
      <c r="S78" s="2">
        <f>S12/'Output-Calculation-sheet'!S11*'Output-Calculation-sheet'!S65</f>
        <v>1537.163303423122</v>
      </c>
      <c r="T78" s="2">
        <f>T12/'Output-Calculation-sheet'!T11*'Output-Calculation-sheet'!T65</f>
        <v>526.78095316253359</v>
      </c>
      <c r="U78" s="2">
        <f>U12/'Output-Calculation-sheet'!U11*'Output-Calculation-sheet'!U65</f>
        <v>391.79950927128539</v>
      </c>
      <c r="V78" s="2">
        <f>V12/'Output-Calculation-sheet'!V11*'Output-Calculation-sheet'!V65</f>
        <v>201.66691563204537</v>
      </c>
      <c r="W78" s="2">
        <f>W12/'Output-Calculation-sheet'!W11*'Output-Calculation-sheet'!W65</f>
        <v>201.16973253736856</v>
      </c>
      <c r="X78" s="2">
        <f>X12/'Output-Calculation-sheet'!X11*'Output-Calculation-sheet'!X65</f>
        <v>105.01023841087276</v>
      </c>
      <c r="Y78" s="2">
        <f>Y12/'Output-Calculation-sheet'!Y11*'Output-Calculation-sheet'!Y65</f>
        <v>182.1503021717472</v>
      </c>
      <c r="AA78" s="2">
        <f t="shared" si="6"/>
        <v>64.750193253923371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447.24721229001551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259.61628553517795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0.70686349782519342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1619.1403621437507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404.59807285633997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2.0237384350000909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3059.7746529769006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555.86445337777309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3.6156391063546733</v>
      </c>
    </row>
    <row r="88" spans="1:27" x14ac:dyDescent="0.25">
      <c r="A88" s="2">
        <v>2034</v>
      </c>
      <c r="B88" s="2">
        <f>B11/'Output-Calculation-sheet'!B10*'Output-Calculation-sheet'!B73</f>
        <v>171.89210220522872</v>
      </c>
      <c r="C88" s="2">
        <f>C11/'Output-Calculation-sheet'!C10*'Output-Calculation-sheet'!C73</f>
        <v>3730.6124563585749</v>
      </c>
      <c r="D88" s="2">
        <f>D11/'Output-Calculation-sheet'!D10*'Output-Calculation-sheet'!D73</f>
        <v>13.139874501273754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61.643641966832561</v>
      </c>
      <c r="I88" s="2">
        <f>I11/'Output-Calculation-sheet'!I10*'Output-Calculation-sheet'!I73</f>
        <v>0</v>
      </c>
      <c r="J88" s="2">
        <f>J11/'Output-Calculation-sheet'!J10*'Output-Calculation-sheet'!J73</f>
        <v>4.1957649528894017</v>
      </c>
      <c r="K88" s="2">
        <f>K11/'Output-Calculation-sheet'!K10*'Output-Calculation-sheet'!K73</f>
        <v>0</v>
      </c>
      <c r="L88" s="2">
        <f>L11/'Output-Calculation-sheet'!L10*'Output-Calculation-sheet'!L73</f>
        <v>9.9397844349135802</v>
      </c>
      <c r="M88" s="2">
        <f>M11/'Output-Calculation-sheet'!M10*'Output-Calculation-sheet'!M73</f>
        <v>29.848876713232322</v>
      </c>
      <c r="N88" s="2">
        <f>N11/'Output-Calculation-sheet'!N10*'Output-Calculation-sheet'!N73</f>
        <v>15.440318457589782</v>
      </c>
      <c r="O88" s="2">
        <f>O11/'Output-Calculation-sheet'!O10*'Output-Calculation-sheet'!O73</f>
        <v>704.58227132769719</v>
      </c>
      <c r="P88" s="2">
        <f>P11/'Output-Calculation-sheet'!P10*'Output-Calculation-sheet'!P73</f>
        <v>0</v>
      </c>
      <c r="Q88" s="2">
        <f>Q11/'Output-Calculation-sheet'!Q10*'Output-Calculation-sheet'!Q73</f>
        <v>47.348290417184259</v>
      </c>
      <c r="R88" s="2">
        <f>R11/'Output-Calculation-sheet'!R10*'Output-Calculation-sheet'!R73</f>
        <v>0</v>
      </c>
      <c r="S88" s="2">
        <f>S11/'Output-Calculation-sheet'!S10*'Output-Calculation-sheet'!S73</f>
        <v>22.127308914799904</v>
      </c>
      <c r="T88" s="2">
        <f>T11/'Output-Calculation-sheet'!T10*'Output-Calculation-sheet'!T73</f>
        <v>0</v>
      </c>
      <c r="U88" s="2">
        <f>U11/'Output-Calculation-sheet'!U10*'Output-Calculation-sheet'!U73</f>
        <v>4.3162718742143333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4.8150869621244308</v>
      </c>
    </row>
    <row r="89" spans="1:27" x14ac:dyDescent="0.25">
      <c r="A89" s="2">
        <v>2035</v>
      </c>
      <c r="B89" s="2">
        <f>B12/'Output-Calculation-sheet'!B11*'Output-Calculation-sheet'!B74</f>
        <v>1033.8768639218706</v>
      </c>
      <c r="C89" s="2">
        <f>C12/'Output-Calculation-sheet'!C11*'Output-Calculation-sheet'!C74</f>
        <v>4234.2824302576701</v>
      </c>
      <c r="D89" s="2">
        <f>D12/'Output-Calculation-sheet'!D11*'Output-Calculation-sheet'!D74</f>
        <v>196.30580504099845</v>
      </c>
      <c r="E89" s="2">
        <f>E12/'Output-Calculation-sheet'!E11*'Output-Calculation-sheet'!E74</f>
        <v>261.87550056699433</v>
      </c>
      <c r="F89" s="2">
        <f>F12/'Output-Calculation-sheet'!F11*'Output-Calculation-sheet'!F74</f>
        <v>84.102982237840791</v>
      </c>
      <c r="G89" s="2">
        <f>G12/'Output-Calculation-sheet'!G11*'Output-Calculation-sheet'!G74</f>
        <v>80.479234469251182</v>
      </c>
      <c r="H89" s="2">
        <f>H12/'Output-Calculation-sheet'!H11*'Output-Calculation-sheet'!H74</f>
        <v>314.28823569956648</v>
      </c>
      <c r="I89" s="2">
        <f>I12/'Output-Calculation-sheet'!I11*'Output-Calculation-sheet'!I74</f>
        <v>67.861967066626448</v>
      </c>
      <c r="J89" s="2">
        <f>J12/'Output-Calculation-sheet'!J11*'Output-Calculation-sheet'!J74</f>
        <v>53.728694294601468</v>
      </c>
      <c r="K89" s="2">
        <f>K12/'Output-Calculation-sheet'!K11*'Output-Calculation-sheet'!K74</f>
        <v>71.144012337889677</v>
      </c>
      <c r="L89" s="2">
        <f>L12/'Output-Calculation-sheet'!L11*'Output-Calculation-sheet'!L74</f>
        <v>74.248707064917056</v>
      </c>
      <c r="M89" s="2">
        <f>M12/'Output-Calculation-sheet'!M11*'Output-Calculation-sheet'!M74</f>
        <v>197.82004124041845</v>
      </c>
      <c r="N89" s="2">
        <f>N12/'Output-Calculation-sheet'!N11*'Output-Calculation-sheet'!N74</f>
        <v>120.27988468922761</v>
      </c>
      <c r="O89" s="2">
        <f>O12/'Output-Calculation-sheet'!O11*'Output-Calculation-sheet'!O74</f>
        <v>857.96770470195668</v>
      </c>
      <c r="P89" s="2">
        <f>P12/'Output-Calculation-sheet'!P11*'Output-Calculation-sheet'!P74</f>
        <v>70.019237860122644</v>
      </c>
      <c r="Q89" s="2">
        <f>Q12/'Output-Calculation-sheet'!Q11*'Output-Calculation-sheet'!Q74</f>
        <v>118.37609253751994</v>
      </c>
      <c r="R89" s="2">
        <f>R12/'Output-Calculation-sheet'!R11*'Output-Calculation-sheet'!R74</f>
        <v>48.674817397456579</v>
      </c>
      <c r="S89" s="2">
        <f>S12/'Output-Calculation-sheet'!S11*'Output-Calculation-sheet'!S74</f>
        <v>75.560090049167684</v>
      </c>
      <c r="T89" s="2">
        <f>T12/'Output-Calculation-sheet'!T11*'Output-Calculation-sheet'!T74</f>
        <v>12.181780080513287</v>
      </c>
      <c r="U89" s="2">
        <f>U12/'Output-Calculation-sheet'!U11*'Output-Calculation-sheet'!U74</f>
        <v>23.490532290541438</v>
      </c>
      <c r="V89" s="2">
        <f>V12/'Output-Calculation-sheet'!V11*'Output-Calculation-sheet'!V74</f>
        <v>8.879045345245272</v>
      </c>
      <c r="W89" s="2">
        <f>W12/'Output-Calculation-sheet'!W11*'Output-Calculation-sheet'!W74</f>
        <v>6.7660084967308523</v>
      </c>
      <c r="X89" s="2">
        <f>X12/'Output-Calculation-sheet'!X11*'Output-Calculation-sheet'!X74</f>
        <v>4.7816357531352418</v>
      </c>
      <c r="Y89" s="2">
        <f>Y12/'Output-Calculation-sheet'!Y11*'Output-Calculation-sheet'!Y74</f>
        <v>8.8737883960244712</v>
      </c>
      <c r="AA89" s="2">
        <f t="shared" si="7"/>
        <v>8.0258650917962875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14218722381.515171</v>
      </c>
      <c r="C96" s="2">
        <f>C8/'Output-Calculation-sheet'!C7*'Output-Calculation-sheet'!C79</f>
        <v>4810267704.1536064</v>
      </c>
      <c r="D96" s="2">
        <f>D8/'Output-Calculation-sheet'!D7*'Output-Calculation-sheet'!D79</f>
        <v>5021577156.0195723</v>
      </c>
      <c r="E96" s="2">
        <f>E8/'Output-Calculation-sheet'!E7*'Output-Calculation-sheet'!E79</f>
        <v>8927950467.0762196</v>
      </c>
      <c r="F96" s="2">
        <f>F8/'Output-Calculation-sheet'!F7*'Output-Calculation-sheet'!F79</f>
        <v>3695189884.0894451</v>
      </c>
      <c r="G96" s="2">
        <f>G8/'Output-Calculation-sheet'!G7*'Output-Calculation-sheet'!G79</f>
        <v>2878255354.7299824</v>
      </c>
      <c r="H96" s="2">
        <f>H8/'Output-Calculation-sheet'!H7*'Output-Calculation-sheet'!H79</f>
        <v>2463627551.2400761</v>
      </c>
      <c r="I96" s="2">
        <f>I8/'Output-Calculation-sheet'!I7*'Output-Calculation-sheet'!I79</f>
        <v>2005005881.6687701</v>
      </c>
      <c r="J96" s="2">
        <f>J8/'Output-Calculation-sheet'!J7*'Output-Calculation-sheet'!J79</f>
        <v>1355832950.5446026</v>
      </c>
      <c r="K96" s="2">
        <f>K8/'Output-Calculation-sheet'!K7*'Output-Calculation-sheet'!K79</f>
        <v>1939795370.764668</v>
      </c>
      <c r="L96" s="2">
        <f>L8/'Output-Calculation-sheet'!L7*'Output-Calculation-sheet'!L79</f>
        <v>1368721221.2853234</v>
      </c>
      <c r="M96" s="2">
        <f>M8/'Output-Calculation-sheet'!M7*'Output-Calculation-sheet'!M79</f>
        <v>1839048163.7439487</v>
      </c>
      <c r="N96" s="2">
        <f>N8/'Output-Calculation-sheet'!N7*'Output-Calculation-sheet'!N79</f>
        <v>1368396309.7974141</v>
      </c>
      <c r="O96" s="2">
        <f>O8/'Output-Calculation-sheet'!O7*'Output-Calculation-sheet'!O79</f>
        <v>691769995.18150771</v>
      </c>
      <c r="P96" s="2">
        <f>P8/'Output-Calculation-sheet'!P7*'Output-Calculation-sheet'!P79</f>
        <v>2313840558.6735649</v>
      </c>
      <c r="Q96" s="2">
        <f>Q8/'Output-Calculation-sheet'!Q7*'Output-Calculation-sheet'!Q79</f>
        <v>1078346858.0991168</v>
      </c>
      <c r="R96" s="2">
        <f>R8/'Output-Calculation-sheet'!R7*'Output-Calculation-sheet'!R79</f>
        <v>1345368183.2489474</v>
      </c>
      <c r="S96" s="2">
        <f>S8/'Output-Calculation-sheet'!S7*'Output-Calculation-sheet'!S79</f>
        <v>783922641.68688405</v>
      </c>
      <c r="T96" s="2">
        <f>T8/'Output-Calculation-sheet'!T7*'Output-Calculation-sheet'!T79</f>
        <v>598733640.58403862</v>
      </c>
      <c r="U96" s="2">
        <f>U8/'Output-Calculation-sheet'!U7*'Output-Calculation-sheet'!U79</f>
        <v>376109813.72157913</v>
      </c>
      <c r="V96" s="2">
        <f>V8/'Output-Calculation-sheet'!V7*'Output-Calculation-sheet'!V79</f>
        <v>195144507.71434674</v>
      </c>
      <c r="W96" s="2">
        <f>W8/'Output-Calculation-sheet'!W7*'Output-Calculation-sheet'!W79</f>
        <v>576640944.14092112</v>
      </c>
      <c r="X96" s="2">
        <f>X8/'Output-Calculation-sheet'!X7*'Output-Calculation-sheet'!X79</f>
        <v>202671850.15807623</v>
      </c>
      <c r="Y96" s="2">
        <f>Y8/'Output-Calculation-sheet'!Y7*'Output-Calculation-sheet'!Y79</f>
        <v>316976009.6590609</v>
      </c>
      <c r="AA96" s="2">
        <f t="shared" si="8"/>
        <v>60.371915399496849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1244.7482655300432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38.565358077362774</v>
      </c>
      <c r="Y107" s="2">
        <f>Y8/'Output-Calculation-sheet'!Y7*'Output-Calculation-sheet'!Y88</f>
        <v>0</v>
      </c>
      <c r="AA107" s="2">
        <f t="shared" si="9"/>
        <v>1.2833136236074061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951.70845713792983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55.286747204990675</v>
      </c>
      <c r="Y108" s="2">
        <f>Y9/'Output-Calculation-sheet'!Y8*'Output-Calculation-sheet'!Y89</f>
        <v>0</v>
      </c>
      <c r="AA108" s="2">
        <f t="shared" si="9"/>
        <v>1.0069952043429204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6.1237824067195801E-2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0.10616221343962046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169.93197830372935</v>
      </c>
      <c r="Y111" s="2">
        <f>Y12/'Output-Calculation-sheet'!Y11*'Output-Calculation-sheet'!Y92</f>
        <v>0</v>
      </c>
      <c r="AA111" s="2">
        <f t="shared" si="9"/>
        <v>0.16993197830372936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13917578853.577084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8548561746.8891048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5897782367.3267403</v>
      </c>
      <c r="N118" s="2">
        <f>N8/'Output-Calculation-sheet'!N7*'Output-Calculation-sheet'!N97</f>
        <v>1976325278.5667262</v>
      </c>
      <c r="O118" s="2">
        <f>O8/'Output-Calculation-sheet'!O7*'Output-Calculation-sheet'!O97</f>
        <v>3383384337.165823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591662036.19423056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321136616.59083545</v>
      </c>
      <c r="Y118" s="2">
        <f>Y8/'Output-Calculation-sheet'!Y7*'Output-Calculation-sheet'!Y97</f>
        <v>0</v>
      </c>
      <c r="AA118" s="2">
        <f t="shared" si="10"/>
        <v>36300.091611565134</v>
      </c>
    </row>
    <row r="119" spans="1:27" x14ac:dyDescent="0.25">
      <c r="A119" s="2">
        <v>2032</v>
      </c>
      <c r="B119" s="2">
        <f>B9/'Output-Calculation-sheet'!B8*'Output-Calculation-sheet'!B98</f>
        <v>7835783655.589695</v>
      </c>
      <c r="C119" s="2">
        <f>C9/'Output-Calculation-sheet'!C8*'Output-Calculation-sheet'!C98</f>
        <v>20208045905.312817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12255158477.835331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8454988451.1093197</v>
      </c>
      <c r="N119" s="2">
        <f>N9/'Output-Calculation-sheet'!N8*'Output-Calculation-sheet'!N98</f>
        <v>3964599736.2694488</v>
      </c>
      <c r="O119" s="2">
        <f>O9/'Output-Calculation-sheet'!O8*'Output-Calculation-sheet'!O98</f>
        <v>4267947793.5658503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1192479346.848768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465066517.01269066</v>
      </c>
      <c r="Y119" s="2">
        <f>Y9/'Output-Calculation-sheet'!Y8*'Output-Calculation-sheet'!Y98</f>
        <v>0</v>
      </c>
      <c r="AA119" s="2">
        <f t="shared" si="10"/>
        <v>58644.069883543918</v>
      </c>
    </row>
    <row r="120" spans="1:27" x14ac:dyDescent="0.25">
      <c r="A120" s="2">
        <v>2033</v>
      </c>
      <c r="B120" s="2">
        <f>B10/'Output-Calculation-sheet'!B9*'Output-Calculation-sheet'!B99</f>
        <v>22327719129.000633</v>
      </c>
      <c r="C120" s="2">
        <f>C10/'Output-Calculation-sheet'!C9*'Output-Calculation-sheet'!C99</f>
        <v>30935574401.018154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6593100034.3847637</v>
      </c>
      <c r="O120" s="2">
        <f>O10/'Output-Calculation-sheet'!O9*'Output-Calculation-sheet'!O99</f>
        <v>5123731132.1417494</v>
      </c>
      <c r="P120" s="2">
        <f>P10/'Output-Calculation-sheet'!P9*'Output-Calculation-sheet'!P99</f>
        <v>0</v>
      </c>
      <c r="Q120" s="2">
        <f>Q10/'Output-Calculation-sheet'!Q9*'Output-Calculation-sheet'!Q99</f>
        <v>214503305.70173973</v>
      </c>
      <c r="R120" s="2">
        <f>R10/'Output-Calculation-sheet'!R9*'Output-Calculation-sheet'!R99</f>
        <v>0</v>
      </c>
      <c r="S120" s="2">
        <f>S10/'Output-Calculation-sheet'!S9*'Output-Calculation-sheet'!S99</f>
        <v>2655706056.0525999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722829325.10808504</v>
      </c>
      <c r="Y120" s="2">
        <f>Y10/'Output-Calculation-sheet'!Y9*'Output-Calculation-sheet'!Y99</f>
        <v>0</v>
      </c>
      <c r="AA120" s="2">
        <f t="shared" si="10"/>
        <v>96101.259028442189</v>
      </c>
    </row>
    <row r="121" spans="1:27" x14ac:dyDescent="0.25">
      <c r="A121" s="2">
        <v>2034</v>
      </c>
      <c r="B121" s="2">
        <f>B11/'Output-Calculation-sheet'!B10*'Output-Calculation-sheet'!B100</f>
        <v>47798786934.835754</v>
      </c>
      <c r="C121" s="2">
        <f>C11/'Output-Calculation-sheet'!C10*'Output-Calculation-sheet'!C100</f>
        <v>38908559822.996216</v>
      </c>
      <c r="D121" s="2">
        <f>D11/'Output-Calculation-sheet'!D10*'Output-Calculation-sheet'!D100</f>
        <v>0</v>
      </c>
      <c r="E121" s="2">
        <f>E11/'Output-Calculation-sheet'!E10*'Output-Calculation-sheet'!E100</f>
        <v>1147582035.1087883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19983859596.397141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818524019.2554462</v>
      </c>
      <c r="M121" s="2">
        <f>M11/'Output-Calculation-sheet'!M10*'Output-Calculation-sheet'!M100</f>
        <v>13921734467.149614</v>
      </c>
      <c r="N121" s="2">
        <f>N11/'Output-Calculation-sheet'!N10*'Output-Calculation-sheet'!N100</f>
        <v>9334453787.7269783</v>
      </c>
      <c r="O121" s="2">
        <f>O11/'Output-Calculation-sheet'!O10*'Output-Calculation-sheet'!O100</f>
        <v>5959944723.2142057</v>
      </c>
      <c r="P121" s="2">
        <f>P11/'Output-Calculation-sheet'!P10*'Output-Calculation-sheet'!P100</f>
        <v>0</v>
      </c>
      <c r="Q121" s="2">
        <f>Q11/'Output-Calculation-sheet'!Q10*'Output-Calculation-sheet'!Q100</f>
        <v>746699720.54437578</v>
      </c>
      <c r="R121" s="2">
        <f>R11/'Output-Calculation-sheet'!R10*'Output-Calculation-sheet'!R100</f>
        <v>0</v>
      </c>
      <c r="S121" s="2">
        <f>S11/'Output-Calculation-sheet'!S10*'Output-Calculation-sheet'!S100</f>
        <v>3917933894.0277114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61389991.827481352</v>
      </c>
      <c r="AA121" s="2">
        <f t="shared" si="10"/>
        <v>143280.06718808864</v>
      </c>
    </row>
    <row r="122" spans="1:27" x14ac:dyDescent="0.25">
      <c r="A122" s="2">
        <v>2035</v>
      </c>
      <c r="B122" s="2">
        <f>B12/'Output-Calculation-sheet'!B11*'Output-Calculation-sheet'!B101</f>
        <v>61186833858.890991</v>
      </c>
      <c r="C122" s="2">
        <f>C12/'Output-Calculation-sheet'!C11*'Output-Calculation-sheet'!C101</f>
        <v>48993093312.980209</v>
      </c>
      <c r="D122" s="2">
        <f>D12/'Output-Calculation-sheet'!D11*'Output-Calculation-sheet'!D101</f>
        <v>0</v>
      </c>
      <c r="E122" s="2">
        <f>E12/'Output-Calculation-sheet'!E11*'Output-Calculation-sheet'!E101</f>
        <v>3917062418.1958399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22551720680.164532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1058665466.640147</v>
      </c>
      <c r="M122" s="2">
        <f>M12/'Output-Calculation-sheet'!M11*'Output-Calculation-sheet'!M101</f>
        <v>15787422354.833048</v>
      </c>
      <c r="N122" s="2">
        <f>N12/'Output-Calculation-sheet'!N11*'Output-Calculation-sheet'!N101</f>
        <v>10571043168.691107</v>
      </c>
      <c r="O122" s="2">
        <f>O12/'Output-Calculation-sheet'!O11*'Output-Calculation-sheet'!O101</f>
        <v>6772910841.5805941</v>
      </c>
      <c r="P122" s="2">
        <f>P12/'Output-Calculation-sheet'!P11*'Output-Calculation-sheet'!P101</f>
        <v>536651945.69323105</v>
      </c>
      <c r="Q122" s="2">
        <f>Q12/'Output-Calculation-sheet'!Q11*'Output-Calculation-sheet'!Q101</f>
        <v>1265007779.0439725</v>
      </c>
      <c r="R122" s="2">
        <f>R12/'Output-Calculation-sheet'!R11*'Output-Calculation-sheet'!R101</f>
        <v>0</v>
      </c>
      <c r="S122" s="2">
        <f>S12/'Output-Calculation-sheet'!S11*'Output-Calculation-sheet'!S101</f>
        <v>4966449489.794467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449591830.41600168</v>
      </c>
      <c r="Y122" s="2">
        <f>Y12/'Output-Calculation-sheet'!Y11*'Output-Calculation-sheet'!Y101</f>
        <v>441581895.05716777</v>
      </c>
      <c r="AA122" s="2">
        <f t="shared" si="10"/>
        <v>178498.03504198132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3813325812.8178902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2724049287.2093349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179495.73456290844</v>
      </c>
    </row>
    <row r="130" spans="1:27" x14ac:dyDescent="0.25">
      <c r="A130" s="2">
        <v>2032</v>
      </c>
      <c r="B130" s="2">
        <f>B9/'Output-Calculation-sheet'!B8*'Output-Calculation-sheet'!B107</f>
        <v>75532540214.641312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4334669957.3383274</v>
      </c>
      <c r="O130" s="2">
        <f>O9/'Output-Calculation-sheet'!O8*'Output-Calculation-sheet'!O107</f>
        <v>0</v>
      </c>
      <c r="P130" s="2">
        <f>P9/'Output-Calculation-sheet'!P8*'Output-Calculation-sheet'!P107</f>
        <v>7555881136.1977224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3560622395.1024694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250395.09990078304</v>
      </c>
    </row>
    <row r="131" spans="1:27" x14ac:dyDescent="0.25">
      <c r="A131" s="2">
        <v>2033</v>
      </c>
      <c r="B131" s="2">
        <f>B10/'Output-Calculation-sheet'!B9*'Output-Calculation-sheet'!B108</f>
        <v>88476087866.739395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4437374476.2955532</v>
      </c>
      <c r="O131" s="2">
        <f>O10/'Output-Calculation-sheet'!O9*'Output-Calculation-sheet'!O108</f>
        <v>0</v>
      </c>
      <c r="P131" s="2">
        <f>P10/'Output-Calculation-sheet'!P9*'Output-Calculation-sheet'!P108</f>
        <v>10042512799.471746</v>
      </c>
      <c r="Q131" s="2">
        <f>Q10/'Output-Calculation-sheet'!Q9*'Output-Calculation-sheet'!Q108</f>
        <v>9666169931.5425758</v>
      </c>
      <c r="R131" s="2">
        <f>R10/'Output-Calculation-sheet'!R9*'Output-Calculation-sheet'!R108</f>
        <v>9505324553.2944412</v>
      </c>
      <c r="S131" s="2">
        <f>S10/'Output-Calculation-sheet'!S9*'Output-Calculation-sheet'!S108</f>
        <v>3661543691.794591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318287.638762446</v>
      </c>
    </row>
    <row r="132" spans="1:27" x14ac:dyDescent="0.25">
      <c r="A132" s="2">
        <v>2034</v>
      </c>
      <c r="B132" s="2">
        <f>B11/'Output-Calculation-sheet'!B10*'Output-Calculation-sheet'!B109</f>
        <v>89495122963.400467</v>
      </c>
      <c r="C132" s="2">
        <f>C11/'Output-Calculation-sheet'!C10*'Output-Calculation-sheet'!C109</f>
        <v>0</v>
      </c>
      <c r="D132" s="2">
        <f>D11/'Output-Calculation-sheet'!D10*'Output-Calculation-sheet'!D109</f>
        <v>58449735827.530006</v>
      </c>
      <c r="E132" s="2">
        <f>E11/'Output-Calculation-sheet'!E10*'Output-Calculation-sheet'!E109</f>
        <v>45537854515.181648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18577252820.712173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13813571893.702494</v>
      </c>
      <c r="M132" s="2">
        <f>M11/'Output-Calculation-sheet'!M10*'Output-Calculation-sheet'!M109</f>
        <v>0</v>
      </c>
      <c r="N132" s="2">
        <f>N11/'Output-Calculation-sheet'!N10*'Output-Calculation-sheet'!N109</f>
        <v>4377603576.3634033</v>
      </c>
      <c r="O132" s="2">
        <f>O11/'Output-Calculation-sheet'!O10*'Output-Calculation-sheet'!O109</f>
        <v>0</v>
      </c>
      <c r="P132" s="2">
        <f>P11/'Output-Calculation-sheet'!P10*'Output-Calculation-sheet'!P109</f>
        <v>12694076609.782747</v>
      </c>
      <c r="Q132" s="2">
        <f>Q11/'Output-Calculation-sheet'!Q10*'Output-Calculation-sheet'!Q109</f>
        <v>10764287507.422647</v>
      </c>
      <c r="R132" s="2">
        <f>R11/'Output-Calculation-sheet'!R10*'Output-Calculation-sheet'!R109</f>
        <v>12015038669.152473</v>
      </c>
      <c r="S132" s="2">
        <f>S11/'Output-Calculation-sheet'!S10*'Output-Calculation-sheet'!S109</f>
        <v>3741790779.0499816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3755981370.1216326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1435073577.0468521</v>
      </c>
      <c r="AA132" s="2">
        <f t="shared" si="11"/>
        <v>373538.40876405436</v>
      </c>
    </row>
    <row r="133" spans="1:27" x14ac:dyDescent="0.25">
      <c r="A133" s="2">
        <v>2035</v>
      </c>
      <c r="B133" s="2">
        <f>B12/'Output-Calculation-sheet'!B11*'Output-Calculation-sheet'!B110</f>
        <v>93620568281.550705</v>
      </c>
      <c r="C133" s="2">
        <f>C12/'Output-Calculation-sheet'!C11*'Output-Calculation-sheet'!C110</f>
        <v>0</v>
      </c>
      <c r="D133" s="2">
        <f>D12/'Output-Calculation-sheet'!D11*'Output-Calculation-sheet'!D110</f>
        <v>64354013635.859802</v>
      </c>
      <c r="E133" s="2">
        <f>E12/'Output-Calculation-sheet'!E11*'Output-Calculation-sheet'!E110</f>
        <v>50665827577.559769</v>
      </c>
      <c r="F133" s="2">
        <f>F12/'Output-Calculation-sheet'!F11*'Output-Calculation-sheet'!F110</f>
        <v>34817835668.134834</v>
      </c>
      <c r="G133" s="2">
        <f>G12/'Output-Calculation-sheet'!G11*'Output-Calculation-sheet'!G110</f>
        <v>24001950839.784073</v>
      </c>
      <c r="H133" s="2">
        <f>H12/'Output-Calculation-sheet'!H11*'Output-Calculation-sheet'!H110</f>
        <v>0</v>
      </c>
      <c r="I133" s="2">
        <f>I12/'Output-Calculation-sheet'!I11*'Output-Calculation-sheet'!I110</f>
        <v>21780741694.885262</v>
      </c>
      <c r="J133" s="2">
        <f>J12/'Output-Calculation-sheet'!J11*'Output-Calculation-sheet'!J110</f>
        <v>20397393599.832832</v>
      </c>
      <c r="K133" s="2">
        <f>K12/'Output-Calculation-sheet'!K11*'Output-Calculation-sheet'!K110</f>
        <v>20886948257.242474</v>
      </c>
      <c r="L133" s="2">
        <f>L12/'Output-Calculation-sheet'!L11*'Output-Calculation-sheet'!L110</f>
        <v>15307124055.461452</v>
      </c>
      <c r="M133" s="2">
        <f>M12/'Output-Calculation-sheet'!M11*'Output-Calculation-sheet'!M110</f>
        <v>0</v>
      </c>
      <c r="N133" s="2">
        <f>N12/'Output-Calculation-sheet'!N11*'Output-Calculation-sheet'!N110</f>
        <v>4779024637.58887</v>
      </c>
      <c r="O133" s="2">
        <f>O12/'Output-Calculation-sheet'!O11*'Output-Calculation-sheet'!O110</f>
        <v>0</v>
      </c>
      <c r="P133" s="2">
        <f>P12/'Output-Calculation-sheet'!P11*'Output-Calculation-sheet'!P110</f>
        <v>14275032080.256784</v>
      </c>
      <c r="Q133" s="2">
        <f>Q12/'Output-Calculation-sheet'!Q11*'Output-Calculation-sheet'!Q110</f>
        <v>11610296840.251379</v>
      </c>
      <c r="R133" s="2">
        <f>R12/'Output-Calculation-sheet'!R11*'Output-Calculation-sheet'!R110</f>
        <v>13684803224.251423</v>
      </c>
      <c r="S133" s="2">
        <f>S12/'Output-Calculation-sheet'!S11*'Output-Calculation-sheet'!S110</f>
        <v>3690352908.9990983</v>
      </c>
      <c r="T133" s="2">
        <f>T12/'Output-Calculation-sheet'!T11*'Output-Calculation-sheet'!T110</f>
        <v>5149962991.1264505</v>
      </c>
      <c r="U133" s="2">
        <f>U12/'Output-Calculation-sheet'!U11*'Output-Calculation-sheet'!U110</f>
        <v>4175331110.3637009</v>
      </c>
      <c r="V133" s="2">
        <f>V12/'Output-Calculation-sheet'!V11*'Output-Calculation-sheet'!V110</f>
        <v>3292829127.3037763</v>
      </c>
      <c r="W133" s="2">
        <f>W12/'Output-Calculation-sheet'!W11*'Output-Calculation-sheet'!W110</f>
        <v>3072835964.2207685</v>
      </c>
      <c r="X133" s="2">
        <f>X12/'Output-Calculation-sheet'!X11*'Output-Calculation-sheet'!X110</f>
        <v>0</v>
      </c>
      <c r="Y133" s="2">
        <f>Y12/'Output-Calculation-sheet'!Y11*'Output-Calculation-sheet'!Y110</f>
        <v>1315970395.8266747</v>
      </c>
      <c r="AA133" s="2">
        <f t="shared" si="11"/>
        <v>410878.84289050003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10431895736.607601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317716445.30550051</v>
      </c>
      <c r="Y140" s="2">
        <f>Y8/'Output-Calculation-sheet'!Y7*'Output-Calculation-sheet'!Y115</f>
        <v>0</v>
      </c>
      <c r="AA140" s="2">
        <f t="shared" si="12"/>
        <v>10749.6121819131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8062861689.0224485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450728724.83623594</v>
      </c>
      <c r="Y141" s="2">
        <f>Y9/'Output-Calculation-sheet'!Y8*'Output-Calculation-sheet'!Y116</f>
        <v>0</v>
      </c>
      <c r="AA141" s="2">
        <f t="shared" si="12"/>
        <v>8513.5904138586848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494354025.63976002</v>
      </c>
      <c r="Y142" s="2">
        <f>Y10/'Output-Calculation-sheet'!Y9*'Output-Calculation-sheet'!Y117</f>
        <v>0</v>
      </c>
      <c r="AA142" s="2">
        <f t="shared" si="12"/>
        <v>494.35402563976004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858.07539234635783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1387953639.8822513</v>
      </c>
      <c r="Y144" s="2">
        <f>Y12/'Output-Calculation-sheet'!Y11*'Output-Calculation-sheet'!Y119</f>
        <v>0</v>
      </c>
      <c r="AA144" s="2">
        <f t="shared" si="12"/>
        <v>1387.9536398822513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31310850506.875626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7639117079.9648409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237765.25341591559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37679157505.723289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8586553186.7937193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217276.96315932451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44705525503.230919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9353850313.6117382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180338.66099663844</v>
      </c>
    </row>
    <row r="154" spans="1:27" x14ac:dyDescent="0.25">
      <c r="A154" s="2">
        <v>2034</v>
      </c>
      <c r="B154" s="2">
        <f>B11/'Output-Calculation-sheet'!B10*'Output-Calculation-sheet'!B127</f>
        <v>23976494888.534294</v>
      </c>
      <c r="C154" s="2">
        <f>C11/'Output-Calculation-sheet'!C10*'Output-Calculation-sheet'!C127</f>
        <v>44247993338.616005</v>
      </c>
      <c r="D154" s="2">
        <f>D11/'Output-Calculation-sheet'!D10*'Output-Calculation-sheet'!D127</f>
        <v>8899505600.967701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3866524383.2383528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2854645328.5251684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2462343038.9234018</v>
      </c>
      <c r="M154" s="2">
        <f>M11/'Output-Calculation-sheet'!M10*'Output-Calculation-sheet'!M127</f>
        <v>2484664485.4277725</v>
      </c>
      <c r="N154" s="2">
        <f>N11/'Output-Calculation-sheet'!N10*'Output-Calculation-sheet'!N127</f>
        <v>2308855668.3009224</v>
      </c>
      <c r="O154" s="2">
        <f>O11/'Output-Calculation-sheet'!O10*'Output-Calculation-sheet'!O127</f>
        <v>9987700083.7355404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3071626997.0422921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1592917530.9133906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678503263.30212092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131189.97434292981</v>
      </c>
    </row>
    <row r="155" spans="1:27" x14ac:dyDescent="0.25">
      <c r="A155" s="2">
        <v>2035</v>
      </c>
      <c r="B155" s="2">
        <f>B12/'Output-Calculation-sheet'!B11*'Output-Calculation-sheet'!B128</f>
        <v>22952900150.72998</v>
      </c>
      <c r="C155" s="2">
        <f>C12/'Output-Calculation-sheet'!C11*'Output-Calculation-sheet'!C128</f>
        <v>40547187799.376701</v>
      </c>
      <c r="D155" s="2">
        <f>D12/'Output-Calculation-sheet'!D11*'Output-Calculation-sheet'!D128</f>
        <v>9456162803.5706329</v>
      </c>
      <c r="E155" s="2">
        <f>E12/'Output-Calculation-sheet'!E11*'Output-Calculation-sheet'!E128</f>
        <v>5153985656.2069178</v>
      </c>
      <c r="F155" s="2">
        <f>F12/'Output-Calculation-sheet'!F11*'Output-Calculation-sheet'!F128</f>
        <v>2807458120.2487187</v>
      </c>
      <c r="G155" s="2">
        <f>G12/'Output-Calculation-sheet'!G11*'Output-Calculation-sheet'!G128</f>
        <v>2648687295.2826061</v>
      </c>
      <c r="H155" s="2">
        <f>H12/'Output-Calculation-sheet'!H11*'Output-Calculation-sheet'!H128</f>
        <v>3868732255.5152698</v>
      </c>
      <c r="I155" s="2">
        <f>I12/'Output-Calculation-sheet'!I11*'Output-Calculation-sheet'!I128</f>
        <v>2420104779.8578768</v>
      </c>
      <c r="J155" s="2">
        <f>J12/'Output-Calculation-sheet'!J11*'Output-Calculation-sheet'!J128</f>
        <v>3010658281.7552505</v>
      </c>
      <c r="K155" s="2">
        <f>K12/'Output-Calculation-sheet'!K11*'Output-Calculation-sheet'!K128</f>
        <v>2413509483.8040395</v>
      </c>
      <c r="L155" s="2">
        <f>L12/'Output-Calculation-sheet'!L11*'Output-Calculation-sheet'!L128</f>
        <v>2470519658.0035934</v>
      </c>
      <c r="M155" s="2">
        <f>M12/'Output-Calculation-sheet'!M11*'Output-Calculation-sheet'!M128</f>
        <v>2442510872.2518859</v>
      </c>
      <c r="N155" s="2">
        <f>N12/'Output-Calculation-sheet'!N11*'Output-Calculation-sheet'!N128</f>
        <v>2239771276.8697863</v>
      </c>
      <c r="O155" s="2">
        <f>O12/'Output-Calculation-sheet'!O11*'Output-Calculation-sheet'!O128</f>
        <v>10526657931.539509</v>
      </c>
      <c r="P155" s="2">
        <f>P12/'Output-Calculation-sheet'!P11*'Output-Calculation-sheet'!P128</f>
        <v>1295326979.422718</v>
      </c>
      <c r="Q155" s="2">
        <f>Q12/'Output-Calculation-sheet'!Q11*'Output-Calculation-sheet'!Q128</f>
        <v>3077891007.6245174</v>
      </c>
      <c r="R155" s="2">
        <f>R12/'Output-Calculation-sheet'!R11*'Output-Calculation-sheet'!R128</f>
        <v>1421628498.7026527</v>
      </c>
      <c r="S155" s="2">
        <f>S12/'Output-Calculation-sheet'!S11*'Output-Calculation-sheet'!S128</f>
        <v>1493196776.0257626</v>
      </c>
      <c r="T155" s="2">
        <f>T12/'Output-Calculation-sheet'!T11*'Output-Calculation-sheet'!T128</f>
        <v>368357644.71511543</v>
      </c>
      <c r="U155" s="2">
        <f>U12/'Output-Calculation-sheet'!U11*'Output-Calculation-sheet'!U128</f>
        <v>716973881.18385446</v>
      </c>
      <c r="V155" s="2">
        <f>V12/'Output-Calculation-sheet'!V11*'Output-Calculation-sheet'!V128</f>
        <v>398302253.84784716</v>
      </c>
      <c r="W155" s="2">
        <f>W12/'Output-Calculation-sheet'!W11*'Output-Calculation-sheet'!W128</f>
        <v>142551772.07967523</v>
      </c>
      <c r="X155" s="2">
        <f>X12/'Output-Calculation-sheet'!X11*'Output-Calculation-sheet'!X128</f>
        <v>64198940.476049982</v>
      </c>
      <c r="Y155" s="2">
        <f>Y12/'Output-Calculation-sheet'!Y11*'Output-Calculation-sheet'!Y128</f>
        <v>158121520.74903309</v>
      </c>
      <c r="AA155" s="2">
        <f t="shared" si="13"/>
        <v>122095.39563983999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9071.2134957500039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5816.5636506475021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4037.2849567825251</v>
      </c>
      <c r="N19" s="2">
        <f>N8/'Output-Calculation-sheet'!N7*'Output-Calculation-sheet'!N25</f>
        <v>1380.0903220122291</v>
      </c>
      <c r="O19" s="2">
        <f>O8/'Output-Calculation-sheet'!O7*'Output-Calculation-sheet'!O25</f>
        <v>2157.0200327564298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213.14267396807216</v>
      </c>
      <c r="Y19" s="2">
        <f>Y8/'Output-Calculation-sheet'!Y7*'Output-Calculation-sheet'!Y25</f>
        <v>0</v>
      </c>
      <c r="AA19" s="2">
        <f t="shared" si="0"/>
        <v>24.462883682170101</v>
      </c>
    </row>
    <row r="20" spans="1:27" x14ac:dyDescent="0.25">
      <c r="A20" s="2">
        <v>2032</v>
      </c>
      <c r="B20" s="2">
        <f>B9/'Output-Calculation-sheet'!B8*'Output-Calculation-sheet'!B26</f>
        <v>7672.553653750706</v>
      </c>
      <c r="C20" s="2">
        <f>C9/'Output-Calculation-sheet'!C8*'Output-Calculation-sheet'!C26</f>
        <v>12971.56418949181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8340.5994151706291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5800.401667852163</v>
      </c>
      <c r="N20" s="2">
        <f>N9/'Output-Calculation-sheet'!N8*'Output-Calculation-sheet'!N26</f>
        <v>2611.8439026873548</v>
      </c>
      <c r="O20" s="2">
        <f>O9/'Output-Calculation-sheet'!O8*'Output-Calculation-sheet'!O26</f>
        <v>2719.7603474380999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949.85459698493071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309.96925264426767</v>
      </c>
      <c r="Y20" s="2">
        <f>Y9/'Output-Calculation-sheet'!Y8*'Output-Calculation-sheet'!Y26</f>
        <v>0</v>
      </c>
      <c r="AA20" s="2">
        <f t="shared" si="0"/>
        <v>41.376547026019956</v>
      </c>
    </row>
    <row r="21" spans="1:27" x14ac:dyDescent="0.25">
      <c r="A21" s="2">
        <v>2033</v>
      </c>
      <c r="B21" s="2">
        <f>B10/'Output-Calculation-sheet'!B9*'Output-Calculation-sheet'!B27</f>
        <v>19249.327619654534</v>
      </c>
      <c r="C21" s="2">
        <f>C10/'Output-Calculation-sheet'!C9*'Output-Calculation-sheet'!C27</f>
        <v>19765.273929131767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11116.124993399089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7722.2713034617091</v>
      </c>
      <c r="N21" s="2">
        <f>N10/'Output-Calculation-sheet'!N9*'Output-Calculation-sheet'!N27</f>
        <v>4218.5959848870125</v>
      </c>
      <c r="O21" s="2">
        <f>O10/'Output-Calculation-sheet'!O9*'Output-Calculation-sheet'!O27</f>
        <v>3262.0491713178221</v>
      </c>
      <c r="P21" s="2">
        <f>P10/'Output-Calculation-sheet'!P9*'Output-Calculation-sheet'!P27</f>
        <v>0</v>
      </c>
      <c r="Q21" s="2">
        <f>Q10/'Output-Calculation-sheet'!Q9*'Output-Calculation-sheet'!Q27</f>
        <v>284.85457157811783</v>
      </c>
      <c r="R21" s="2">
        <f>R10/'Output-Calculation-sheet'!R9*'Output-Calculation-sheet'!R27</f>
        <v>0</v>
      </c>
      <c r="S21" s="2">
        <f>S10/'Output-Calculation-sheet'!S9*'Output-Calculation-sheet'!S27</f>
        <v>1836.3656131800126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489.54301255730564</v>
      </c>
      <c r="Y21" s="2">
        <f>Y10/'Output-Calculation-sheet'!Y9*'Output-Calculation-sheet'!Y27</f>
        <v>0</v>
      </c>
      <c r="AA21" s="2">
        <f t="shared" si="0"/>
        <v>67.944406199167361</v>
      </c>
    </row>
    <row r="22" spans="1:27" x14ac:dyDescent="0.25">
      <c r="A22" s="2">
        <v>2034</v>
      </c>
      <c r="B22" s="2">
        <f>B11/'Output-Calculation-sheet'!B10*'Output-Calculation-sheet'!B28</f>
        <v>35355.027596434062</v>
      </c>
      <c r="C22" s="2">
        <f>C11/'Output-Calculation-sheet'!C10*'Output-Calculation-sheet'!C28</f>
        <v>24862.027486716455</v>
      </c>
      <c r="D22" s="2">
        <f>D11/'Output-Calculation-sheet'!D10*'Output-Calculation-sheet'!D28</f>
        <v>0</v>
      </c>
      <c r="E22" s="2">
        <f>E11/'Output-Calculation-sheet'!E10*'Output-Calculation-sheet'!E28</f>
        <v>2025.1762174578651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14218.882286231506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1015.4780383766027</v>
      </c>
      <c r="M22" s="2">
        <f>M11/'Output-Calculation-sheet'!M10*'Output-Calculation-sheet'!M28</f>
        <v>10103.114184466212</v>
      </c>
      <c r="N22" s="2">
        <f>N11/'Output-Calculation-sheet'!N10*'Output-Calculation-sheet'!N28</f>
        <v>5957.8620895480572</v>
      </c>
      <c r="O22" s="2">
        <f>O11/'Output-Calculation-sheet'!O10*'Output-Calculation-sheet'!O28</f>
        <v>3798.7773139375404</v>
      </c>
      <c r="P22" s="2">
        <f>P11/'Output-Calculation-sheet'!P10*'Output-Calculation-sheet'!P28</f>
        <v>0</v>
      </c>
      <c r="Q22" s="2">
        <f>Q11/'Output-Calculation-sheet'!Q10*'Output-Calculation-sheet'!Q28</f>
        <v>892.2419304830745</v>
      </c>
      <c r="R22" s="2">
        <f>R11/'Output-Calculation-sheet'!R10*'Output-Calculation-sheet'!R28</f>
        <v>0</v>
      </c>
      <c r="S22" s="2">
        <f>S11/'Output-Calculation-sheet'!S10*'Output-Calculation-sheet'!S28</f>
        <v>2617.9804979114342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109.7703495003956</v>
      </c>
      <c r="AA22" s="2">
        <f t="shared" si="0"/>
        <v>101.40544569446702</v>
      </c>
    </row>
    <row r="23" spans="1:27" x14ac:dyDescent="0.25">
      <c r="A23" s="2">
        <v>2035</v>
      </c>
      <c r="B23" s="2">
        <f>B12/'Output-Calculation-sheet'!B11*'Output-Calculation-sheet'!B29</f>
        <v>43115.382806921989</v>
      </c>
      <c r="C23" s="2">
        <f>C12/'Output-Calculation-sheet'!C11*'Output-Calculation-sheet'!C29</f>
        <v>31396.89790972304</v>
      </c>
      <c r="D23" s="2">
        <f>D12/'Output-Calculation-sheet'!D11*'Output-Calculation-sheet'!D29</f>
        <v>0</v>
      </c>
      <c r="E23" s="2">
        <f>E12/'Output-Calculation-sheet'!E11*'Output-Calculation-sheet'!E29</f>
        <v>5734.1294907945567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15585.213219873574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1251.2275321477894</v>
      </c>
      <c r="M23" s="2">
        <f>M12/'Output-Calculation-sheet'!M11*'Output-Calculation-sheet'!M29</f>
        <v>11137.913801246657</v>
      </c>
      <c r="N23" s="2">
        <f>N12/'Output-Calculation-sheet'!N11*'Output-Calculation-sheet'!N29</f>
        <v>6662.0807449501517</v>
      </c>
      <c r="O23" s="2">
        <f>O12/'Output-Calculation-sheet'!O11*'Output-Calculation-sheet'!O29</f>
        <v>4328.185007168142</v>
      </c>
      <c r="P23" s="2">
        <f>P12/'Output-Calculation-sheet'!P11*'Output-Calculation-sheet'!P29</f>
        <v>906.65003339637599</v>
      </c>
      <c r="Q23" s="2">
        <f>Q12/'Output-Calculation-sheet'!Q11*'Output-Calculation-sheet'!Q29</f>
        <v>1350.8133147225744</v>
      </c>
      <c r="R23" s="2">
        <f>R12/'Output-Calculation-sheet'!R11*'Output-Calculation-sheet'!R29</f>
        <v>0</v>
      </c>
      <c r="S23" s="2">
        <f>S12/'Output-Calculation-sheet'!S11*'Output-Calculation-sheet'!S29</f>
        <v>3189.9707589985928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281.17014018720596</v>
      </c>
      <c r="Y23" s="2">
        <f>Y12/'Output-Calculation-sheet'!Y11*'Output-Calculation-sheet'!Y29</f>
        <v>296.67727738025809</v>
      </c>
      <c r="AA23" s="2">
        <f t="shared" si="0"/>
        <v>125.23631203751093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1879.4265552343295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48.314746229634672</v>
      </c>
    </row>
    <row r="31" spans="1:27" x14ac:dyDescent="0.25">
      <c r="A31" s="2">
        <v>2032</v>
      </c>
      <c r="B31" s="2">
        <f>B9/'Output-Calculation-sheet'!B8*'Output-Calculation-sheet'!B17</f>
        <v>32487.805787516256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2225.2710243798601</v>
      </c>
      <c r="O31" s="2">
        <f>O9/'Output-Calculation-sheet'!O8*'Output-Calculation-sheet'!O17</f>
        <v>0</v>
      </c>
      <c r="P31" s="2">
        <f>P9/'Output-Calculation-sheet'!P8*'Output-Calculation-sheet'!P17</f>
        <v>2755.5332088173968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1654.6208065487619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70.748997996177096</v>
      </c>
    </row>
    <row r="32" spans="1:27" x14ac:dyDescent="0.25">
      <c r="A32" s="2">
        <v>2033</v>
      </c>
      <c r="B32" s="2">
        <f>B10/'Output-Calculation-sheet'!B9*'Output-Calculation-sheet'!B18</f>
        <v>38986.468891345641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3718.5217632454496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2382.4255758920344</v>
      </c>
      <c r="O32" s="2">
        <f>O10/'Output-Calculation-sheet'!O9*'Output-Calculation-sheet'!O18</f>
        <v>0</v>
      </c>
      <c r="P32" s="2">
        <f>P10/'Output-Calculation-sheet'!P9*'Output-Calculation-sheet'!P18</f>
        <v>3827.0975206061662</v>
      </c>
      <c r="Q32" s="2">
        <f>Q10/'Output-Calculation-sheet'!Q9*'Output-Calculation-sheet'!Q18</f>
        <v>4169.5612123793271</v>
      </c>
      <c r="R32" s="2">
        <f>R10/'Output-Calculation-sheet'!R9*'Output-Calculation-sheet'!R18</f>
        <v>2748.2158911125512</v>
      </c>
      <c r="S32" s="2">
        <f>S10/'Output-Calculation-sheet'!S9*'Output-Calculation-sheet'!S18</f>
        <v>1799.9181478643502</v>
      </c>
      <c r="T32" s="2">
        <f>T10/'Output-Calculation-sheet'!T9*'Output-Calculation-sheet'!T18</f>
        <v>802.3720173370989</v>
      </c>
      <c r="U32" s="2">
        <f>U10/'Output-Calculation-sheet'!U9*'Output-Calculation-sheet'!U18</f>
        <v>887.12092669122444</v>
      </c>
      <c r="V32" s="2">
        <f>V10/'Output-Calculation-sheet'!V9*'Output-Calculation-sheet'!V18</f>
        <v>654.65451006494015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379.07133291861948</v>
      </c>
      <c r="AA32" s="2">
        <f t="shared" si="1"/>
        <v>93.714866530253488</v>
      </c>
    </row>
    <row r="33" spans="1:27" x14ac:dyDescent="0.25">
      <c r="A33" s="2">
        <v>2034</v>
      </c>
      <c r="B33" s="2">
        <f>B11/'Output-Calculation-sheet'!B10*'Output-Calculation-sheet'!B19</f>
        <v>40169.332819455652</v>
      </c>
      <c r="C33" s="2">
        <f>C11/'Output-Calculation-sheet'!C10*'Output-Calculation-sheet'!C19</f>
        <v>0</v>
      </c>
      <c r="D33" s="2">
        <f>D11/'Output-Calculation-sheet'!D10*'Output-Calculation-sheet'!D19</f>
        <v>11741.020588493166</v>
      </c>
      <c r="E33" s="2">
        <f>E11/'Output-Calculation-sheet'!E10*'Output-Calculation-sheet'!E19</f>
        <v>14771.317342588294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4433.3815981223524</v>
      </c>
      <c r="J33" s="2">
        <f>J11/'Output-Calculation-sheet'!J10*'Output-Calculation-sheet'!J19</f>
        <v>3669.7978343367363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4112.7903180351605</v>
      </c>
      <c r="M33" s="2">
        <f>M11/'Output-Calculation-sheet'!M10*'Output-Calculation-sheet'!M19</f>
        <v>0</v>
      </c>
      <c r="N33" s="2">
        <f>N11/'Output-Calculation-sheet'!N10*'Output-Calculation-sheet'!N19</f>
        <v>2441.1652569213479</v>
      </c>
      <c r="O33" s="2">
        <f>O11/'Output-Calculation-sheet'!O10*'Output-Calculation-sheet'!O19</f>
        <v>0</v>
      </c>
      <c r="P33" s="2">
        <f>P11/'Output-Calculation-sheet'!P10*'Output-Calculation-sheet'!P19</f>
        <v>5259.5698941811279</v>
      </c>
      <c r="Q33" s="2">
        <f>Q11/'Output-Calculation-sheet'!Q10*'Output-Calculation-sheet'!Q19</f>
        <v>4402.2646851511117</v>
      </c>
      <c r="R33" s="2">
        <f>R11/'Output-Calculation-sheet'!R10*'Output-Calculation-sheet'!R19</f>
        <v>3755.8470287868813</v>
      </c>
      <c r="S33" s="2">
        <f>S11/'Output-Calculation-sheet'!S10*'Output-Calculation-sheet'!S19</f>
        <v>1883.1803424237153</v>
      </c>
      <c r="T33" s="2">
        <f>T11/'Output-Calculation-sheet'!T10*'Output-Calculation-sheet'!T19</f>
        <v>1102.0370022999159</v>
      </c>
      <c r="U33" s="2">
        <f>U11/'Output-Calculation-sheet'!U10*'Output-Calculation-sheet'!U19</f>
        <v>1187.9567224070822</v>
      </c>
      <c r="V33" s="2">
        <f>V11/'Output-Calculation-sheet'!V10*'Output-Calculation-sheet'!V19</f>
        <v>864.41664197998762</v>
      </c>
      <c r="W33" s="2">
        <f>W11/'Output-Calculation-sheet'!W10*'Output-Calculation-sheet'!W19</f>
        <v>538.23883585678061</v>
      </c>
      <c r="X33" s="2">
        <f>X11/'Output-Calculation-sheet'!X10*'Output-Calculation-sheet'!X19</f>
        <v>0</v>
      </c>
      <c r="Y33" s="2">
        <f>Y11/'Output-Calculation-sheet'!Y10*'Output-Calculation-sheet'!Y19</f>
        <v>485.13248927493026</v>
      </c>
      <c r="AA33" s="2">
        <f t="shared" si="1"/>
        <v>116.85480742108993</v>
      </c>
    </row>
    <row r="34" spans="1:27" x14ac:dyDescent="0.25">
      <c r="A34" s="2">
        <v>2035</v>
      </c>
      <c r="B34" s="2">
        <f>B12/'Output-Calculation-sheet'!B11*'Output-Calculation-sheet'!B20</f>
        <v>40178.675865247758</v>
      </c>
      <c r="C34" s="2">
        <f>C12/'Output-Calculation-sheet'!C11*'Output-Calculation-sheet'!C20</f>
        <v>0</v>
      </c>
      <c r="D34" s="2">
        <f>D12/'Output-Calculation-sheet'!D11*'Output-Calculation-sheet'!D20</f>
        <v>12529.022440571945</v>
      </c>
      <c r="E34" s="2">
        <f>E12/'Output-Calculation-sheet'!E11*'Output-Calculation-sheet'!E20</f>
        <v>14665.222844823125</v>
      </c>
      <c r="F34" s="2">
        <f>F12/'Output-Calculation-sheet'!F11*'Output-Calculation-sheet'!F20</f>
        <v>8519.0138098424959</v>
      </c>
      <c r="G34" s="2">
        <f>G12/'Output-Calculation-sheet'!G11*'Output-Calculation-sheet'!G20</f>
        <v>4522.3887385251237</v>
      </c>
      <c r="H34" s="2">
        <f>H12/'Output-Calculation-sheet'!H11*'Output-Calculation-sheet'!H20</f>
        <v>0</v>
      </c>
      <c r="I34" s="2">
        <f>I12/'Output-Calculation-sheet'!I11*'Output-Calculation-sheet'!I20</f>
        <v>5013.0468079644415</v>
      </c>
      <c r="J34" s="2">
        <f>J12/'Output-Calculation-sheet'!J11*'Output-Calculation-sheet'!J20</f>
        <v>3921.0396126743876</v>
      </c>
      <c r="K34" s="2">
        <f>K12/'Output-Calculation-sheet'!K11*'Output-Calculation-sheet'!K20</f>
        <v>5788.7457845100453</v>
      </c>
      <c r="L34" s="2">
        <f>L12/'Output-Calculation-sheet'!L11*'Output-Calculation-sheet'!L20</f>
        <v>4395.2356344762802</v>
      </c>
      <c r="M34" s="2">
        <f>M12/'Output-Calculation-sheet'!M11*'Output-Calculation-sheet'!M20</f>
        <v>0</v>
      </c>
      <c r="N34" s="2">
        <f>N12/'Output-Calculation-sheet'!N11*'Output-Calculation-sheet'!N20</f>
        <v>2557.7109063378566</v>
      </c>
      <c r="O34" s="2">
        <f>O12/'Output-Calculation-sheet'!O11*'Output-Calculation-sheet'!O20</f>
        <v>0</v>
      </c>
      <c r="P34" s="2">
        <f>P12/'Output-Calculation-sheet'!P11*'Output-Calculation-sheet'!P20</f>
        <v>5523.4282612541538</v>
      </c>
      <c r="Q34" s="2">
        <f>Q12/'Output-Calculation-sheet'!Q11*'Output-Calculation-sheet'!Q20</f>
        <v>4532.515485042999</v>
      </c>
      <c r="R34" s="2">
        <f>R12/'Output-Calculation-sheet'!R11*'Output-Calculation-sheet'!R20</f>
        <v>4298.494332917192</v>
      </c>
      <c r="S34" s="2">
        <f>S12/'Output-Calculation-sheet'!S11*'Output-Calculation-sheet'!S20</f>
        <v>1818.53526890439</v>
      </c>
      <c r="T34" s="2">
        <f>T12/'Output-Calculation-sheet'!T11*'Output-Calculation-sheet'!T20</f>
        <v>1331.4901405106541</v>
      </c>
      <c r="U34" s="2">
        <f>U12/'Output-Calculation-sheet'!U11*'Output-Calculation-sheet'!U20</f>
        <v>1272.1853361705357</v>
      </c>
      <c r="V34" s="2">
        <f>V12/'Output-Calculation-sheet'!V11*'Output-Calculation-sheet'!V20</f>
        <v>947.07858545098634</v>
      </c>
      <c r="W34" s="2">
        <f>W12/'Output-Calculation-sheet'!W11*'Output-Calculation-sheet'!W20</f>
        <v>746.7533901364377</v>
      </c>
      <c r="X34" s="2">
        <f>X12/'Output-Calculation-sheet'!X11*'Output-Calculation-sheet'!X20</f>
        <v>0</v>
      </c>
      <c r="Y34" s="2">
        <f>Y12/'Output-Calculation-sheet'!Y11*'Output-Calculation-sheet'!Y20</f>
        <v>441.02410327256064</v>
      </c>
      <c r="AA34" s="2">
        <f t="shared" si="1"/>
        <v>123.00160734863337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0.73799746905505181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0.40622181723216566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1.1442192862872176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2.469357175931143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0.61679249817568538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3.0861496741068284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4.6856296979607421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0.84960183448156035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5.5352315324423023</v>
      </c>
    </row>
    <row r="44" spans="1:27" x14ac:dyDescent="0.25">
      <c r="A44" s="2">
        <v>2034</v>
      </c>
      <c r="B44" s="2">
        <f>B11/'Output-Calculation-sheet'!B10*'Output-Calculation-sheet'!B37*0.0114</f>
        <v>0.35649243303115963</v>
      </c>
      <c r="C44" s="2">
        <f>C11/'Output-Calculation-sheet'!C10*'Output-Calculation-sheet'!C37*0.0114</f>
        <v>5.6681852559000108</v>
      </c>
      <c r="D44" s="2">
        <f>D11/'Output-Calculation-sheet'!D10*'Output-Calculation-sheet'!D37*0.0114</f>
        <v>7.4940796401446824E-2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0.10416974449584911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2.3929754203689702E-2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1.8896562052119044E-2</v>
      </c>
      <c r="M44" s="2">
        <f>M11/'Output-Calculation-sheet'!M10*'Output-Calculation-sheet'!M37*0.0114</f>
        <v>5.3759191472243867E-2</v>
      </c>
      <c r="N44" s="2">
        <f>N11/'Output-Calculation-sheet'!N10*'Output-Calculation-sheet'!N37*0.0114</f>
        <v>3.5224377882500157E-2</v>
      </c>
      <c r="O44" s="2">
        <f>O11/'Output-Calculation-sheet'!O10*'Output-Calculation-sheet'!O37*0.0114</f>
        <v>1.084735541542921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7.7154870233606537E-2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4.0383658815254408E-2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9.8468170820788757E-3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7.5477190031128787</v>
      </c>
    </row>
    <row r="45" spans="1:27" x14ac:dyDescent="0.25">
      <c r="A45" s="2">
        <v>2035</v>
      </c>
      <c r="B45" s="2">
        <f>B12/'Output-Calculation-sheet'!B11*'Output-Calculation-sheet'!B38*0.0114</f>
        <v>1.7151435739823531</v>
      </c>
      <c r="C45" s="2">
        <f>C12/'Output-Calculation-sheet'!C11*'Output-Calculation-sheet'!C38*0.0114</f>
        <v>6.5123747032097867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0.44573413706565229</v>
      </c>
      <c r="F45" s="2">
        <f>F12/'Output-Calculation-sheet'!F11*'Output-Calculation-sheet'!F38*0.0114</f>
        <v>0.16019206111023873</v>
      </c>
      <c r="G45" s="2">
        <f>G12/'Output-Calculation-sheet'!G11*'Output-Calculation-sheet'!G38*0.0114</f>
        <v>0.14370924456799733</v>
      </c>
      <c r="H45" s="2">
        <f>H12/'Output-Calculation-sheet'!H11*'Output-Calculation-sheet'!H38*0.0114</f>
        <v>0.50117772867235777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0.10233775367767625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0.12121927974169337</v>
      </c>
      <c r="M45" s="2">
        <f>M12/'Output-Calculation-sheet'!M11*'Output-Calculation-sheet'!M38*0.0114</f>
        <v>0.30654137929252062</v>
      </c>
      <c r="N45" s="2">
        <f>N12/'Output-Calculation-sheet'!N11*'Output-Calculation-sheet'!N38*0.0114</f>
        <v>0.18830028907238372</v>
      </c>
      <c r="O45" s="2">
        <f>O12/'Output-Calculation-sheet'!O11*'Output-Calculation-sheet'!O38*0.0114</f>
        <v>1.3178890478076937</v>
      </c>
      <c r="P45" s="2">
        <f>P12/'Output-Calculation-sheet'!P11*'Output-Calculation-sheet'!P38*0.0114</f>
        <v>0.12176947437652558</v>
      </c>
      <c r="Q45" s="2">
        <f>Q12/'Output-Calculation-sheet'!Q11*'Output-Calculation-sheet'!Q38*0.0114</f>
        <v>0.18147787147267669</v>
      </c>
      <c r="R45" s="2">
        <f>R12/'Output-Calculation-sheet'!R11*'Output-Calculation-sheet'!R38*0.0114</f>
        <v>8.1804324352499472E-2</v>
      </c>
      <c r="S45" s="2">
        <f>S12/'Output-Calculation-sheet'!S11*'Output-Calculation-sheet'!S38*0.0114</f>
        <v>0.11873424875645389</v>
      </c>
      <c r="T45" s="2">
        <f>T12/'Output-Calculation-sheet'!T11*'Output-Calculation-sheet'!T38*0.0114</f>
        <v>2.4211614696730829E-2</v>
      </c>
      <c r="U45" s="2">
        <f>U12/'Output-Calculation-sheet'!U11*'Output-Calculation-sheet'!U38*0.0114</f>
        <v>3.6846951745417557E-2</v>
      </c>
      <c r="V45" s="2">
        <f>V12/'Output-Calculation-sheet'!V11*'Output-Calculation-sheet'!V38*0.0114</f>
        <v>1.6235553546755214E-2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8.4070567157441146E-3</v>
      </c>
      <c r="Y45" s="2">
        <f>Y12/'Output-Calculation-sheet'!Y11*'Output-Calculation-sheet'!Y38*0.0114</f>
        <v>1.4197698449694004E-2</v>
      </c>
      <c r="AA45" s="2">
        <f t="shared" si="2"/>
        <v>12.679784930528022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8213.632384132552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5617.4975227399282</v>
      </c>
      <c r="N52" s="2">
        <f>N8/'Output-Calculation-sheet'!N7*'Output-Calculation-sheet'!N43</f>
        <v>177.44753244767188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37.98293368467953</v>
      </c>
      <c r="Y52" s="2">
        <f>Y8/'Output-Calculation-sheet'!Y7*'Output-Calculation-sheet'!Y43</f>
        <v>0</v>
      </c>
      <c r="AA52" s="2">
        <f t="shared" si="3"/>
        <v>14.046560373004832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253.74346920595707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16706.037845214782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11425.901570272279</v>
      </c>
      <c r="N53" s="2">
        <f>N9/'Output-Calculation-sheet'!N8*'Output-Calculation-sheet'!N44</f>
        <v>4054.6359062308288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1264.4195912697849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348.73847270214532</v>
      </c>
      <c r="Y53" s="2">
        <f>Y9/'Output-Calculation-sheet'!Y8*'Output-Calculation-sheet'!Y44</f>
        <v>0</v>
      </c>
      <c r="AA53" s="2">
        <f t="shared" si="3"/>
        <v>34.233207225993567</v>
      </c>
    </row>
    <row r="54" spans="1:27" x14ac:dyDescent="0.25">
      <c r="A54" s="2">
        <v>2033</v>
      </c>
      <c r="B54" s="2">
        <f>B10/'Output-Calculation-sheet'!B9*'Output-Calculation-sheet'!B45</f>
        <v>36761.387411596384</v>
      </c>
      <c r="C54" s="2">
        <f>C10/'Output-Calculation-sheet'!C9*'Output-Calculation-sheet'!C45</f>
        <v>7898.437195539087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18362.6878531238</v>
      </c>
      <c r="N54" s="2">
        <f>N10/'Output-Calculation-sheet'!N9*'Output-Calculation-sheet'!N45</f>
        <v>10273.765970630424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1075.8187789396181</v>
      </c>
      <c r="R54" s="2">
        <f>R10/'Output-Calculation-sheet'!R9*'Output-Calculation-sheet'!R45</f>
        <v>1823.975688455718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112.33057326930997</v>
      </c>
    </row>
    <row r="55" spans="1:27" x14ac:dyDescent="0.25">
      <c r="A55" s="2">
        <v>2034</v>
      </c>
      <c r="B55" s="2">
        <f>B11/'Output-Calculation-sheet'!B10*'Output-Calculation-sheet'!B46</f>
        <v>99677.16055147555</v>
      </c>
      <c r="C55" s="2">
        <f>C11/'Output-Calculation-sheet'!C10*'Output-Calculation-sheet'!C46</f>
        <v>20452.367851872779</v>
      </c>
      <c r="D55" s="2">
        <f>D11/'Output-Calculation-sheet'!D10*'Output-Calculation-sheet'!D46</f>
        <v>8631.339094306988</v>
      </c>
      <c r="E55" s="2">
        <f>E11/'Output-Calculation-sheet'!E10*'Output-Calculation-sheet'!E46</f>
        <v>12925.133853896945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33391.428844206719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1238.4697351032389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1039.3109128665474</v>
      </c>
      <c r="M55" s="2">
        <f>M11/'Output-Calculation-sheet'!M10*'Output-Calculation-sheet'!M46</f>
        <v>23350.666354391306</v>
      </c>
      <c r="N55" s="2">
        <f>N11/'Output-Calculation-sheet'!N10*'Output-Calculation-sheet'!N46</f>
        <v>17008.12175914229</v>
      </c>
      <c r="O55" s="2">
        <f>O11/'Output-Calculation-sheet'!O10*'Output-Calculation-sheet'!O46</f>
        <v>0</v>
      </c>
      <c r="P55" s="2">
        <f>P11/'Output-Calculation-sheet'!P10*'Output-Calculation-sheet'!P46</f>
        <v>6743.7226705425619</v>
      </c>
      <c r="Q55" s="2">
        <f>Q11/'Output-Calculation-sheet'!Q10*'Output-Calculation-sheet'!Q46</f>
        <v>2494.6741375532779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7152.158521754267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1658.8431759765333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111.31033870474732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257.5311685889842</v>
      </c>
    </row>
    <row r="56" spans="1:27" x14ac:dyDescent="0.25">
      <c r="A56" s="2">
        <v>2035</v>
      </c>
      <c r="B56" s="2">
        <f>B12/'Output-Calculation-sheet'!B11*'Output-Calculation-sheet'!B47</f>
        <v>122149.65004960092</v>
      </c>
      <c r="C56" s="2">
        <f>C12/'Output-Calculation-sheet'!C11*'Output-Calculation-sheet'!C47</f>
        <v>44034.697371849797</v>
      </c>
      <c r="D56" s="2">
        <f>D12/'Output-Calculation-sheet'!D11*'Output-Calculation-sheet'!D47</f>
        <v>9614.7323920581275</v>
      </c>
      <c r="E56" s="2">
        <f>E12/'Output-Calculation-sheet'!E11*'Output-Calculation-sheet'!E47</f>
        <v>25537.549807821582</v>
      </c>
      <c r="F56" s="2">
        <f>F12/'Output-Calculation-sheet'!F11*'Output-Calculation-sheet'!F47</f>
        <v>3003.6011458169764</v>
      </c>
      <c r="G56" s="2">
        <f>G12/'Output-Calculation-sheet'!G11*'Output-Calculation-sheet'!G47</f>
        <v>7762.8204214888374</v>
      </c>
      <c r="H56" s="2">
        <f>H12/'Output-Calculation-sheet'!H11*'Output-Calculation-sheet'!H47</f>
        <v>36264.556117578788</v>
      </c>
      <c r="I56" s="2">
        <f>I12/'Output-Calculation-sheet'!I11*'Output-Calculation-sheet'!I47</f>
        <v>4315.3891974707631</v>
      </c>
      <c r="J56" s="2">
        <f>J12/'Output-Calculation-sheet'!J11*'Output-Calculation-sheet'!J47</f>
        <v>1548.5317990701012</v>
      </c>
      <c r="K56" s="2">
        <f>K12/'Output-Calculation-sheet'!K11*'Output-Calculation-sheet'!K47</f>
        <v>6452.276007187721</v>
      </c>
      <c r="L56" s="2">
        <f>L12/'Output-Calculation-sheet'!L11*'Output-Calculation-sheet'!L47</f>
        <v>1458.5302226230065</v>
      </c>
      <c r="M56" s="2">
        <f>M12/'Output-Calculation-sheet'!M11*'Output-Calculation-sheet'!M47</f>
        <v>25387.138572329037</v>
      </c>
      <c r="N56" s="2">
        <f>N12/'Output-Calculation-sheet'!N11*'Output-Calculation-sheet'!N47</f>
        <v>18934.089593304685</v>
      </c>
      <c r="O56" s="2">
        <f>O12/'Output-Calculation-sheet'!O11*'Output-Calculation-sheet'!O47</f>
        <v>0</v>
      </c>
      <c r="P56" s="2">
        <f>P12/'Output-Calculation-sheet'!P11*'Output-Calculation-sheet'!P47</f>
        <v>9773.602548642184</v>
      </c>
      <c r="Q56" s="2">
        <f>Q12/'Output-Calculation-sheet'!Q11*'Output-Calculation-sheet'!Q47</f>
        <v>3464.5775462965548</v>
      </c>
      <c r="R56" s="2">
        <f>R12/'Output-Calculation-sheet'!R11*'Output-Calculation-sheet'!R47</f>
        <v>6761.0556495548244</v>
      </c>
      <c r="S56" s="2">
        <f>S12/'Output-Calculation-sheet'!S11*'Output-Calculation-sheet'!S47</f>
        <v>8823.6400650828855</v>
      </c>
      <c r="T56" s="2">
        <f>T12/'Output-Calculation-sheet'!T11*'Output-Calculation-sheet'!T47</f>
        <v>2317.0940029941521</v>
      </c>
      <c r="U56" s="2">
        <f>U12/'Output-Calculation-sheet'!U11*'Output-Calculation-sheet'!U47</f>
        <v>1807.2552522752421</v>
      </c>
      <c r="V56" s="2">
        <f>V12/'Output-Calculation-sheet'!V11*'Output-Calculation-sheet'!V47</f>
        <v>1041.7813525834595</v>
      </c>
      <c r="W56" s="2">
        <f>W12/'Output-Calculation-sheet'!W11*'Output-Calculation-sheet'!W47</f>
        <v>898.10338874571573</v>
      </c>
      <c r="X56" s="2">
        <f>X12/'Output-Calculation-sheet'!X11*'Output-Calculation-sheet'!X47</f>
        <v>540.19026704233011</v>
      </c>
      <c r="Y56" s="2">
        <f>Y12/'Output-Calculation-sheet'!Y11*'Output-Calculation-sheet'!Y47</f>
        <v>1156.9878824355903</v>
      </c>
      <c r="AA56" s="2">
        <f t="shared" si="3"/>
        <v>343.04785065385323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6.296115833032518</v>
      </c>
      <c r="C63" s="2">
        <f>C8*'Output-Calculation-sheet'!C52/10^9</f>
        <v>3.9341053965422716</v>
      </c>
      <c r="D63" s="2">
        <f>D8*'Output-Calculation-sheet'!D52/10^9</f>
        <v>1.798242362581616</v>
      </c>
      <c r="E63" s="2">
        <f>E8*'Output-Calculation-sheet'!E52/10^9</f>
        <v>1.6518004910417015</v>
      </c>
      <c r="F63" s="2">
        <f>F8*'Output-Calculation-sheet'!F52/10^9</f>
        <v>0.87052743613962968</v>
      </c>
      <c r="G63" s="2">
        <f>G8*'Output-Calculation-sheet'!G52/10^9</f>
        <v>0.64378233232235293</v>
      </c>
      <c r="H63" s="2">
        <f>H8*'Output-Calculation-sheet'!H52/10^9</f>
        <v>1.1107642518055425</v>
      </c>
      <c r="I63" s="2">
        <f>I8*'Output-Calculation-sheet'!I52/10^9</f>
        <v>0.59681481662247315</v>
      </c>
      <c r="J63" s="2">
        <f>J8*'Output-Calculation-sheet'!J52/10^9</f>
        <v>0.60674483291534487</v>
      </c>
      <c r="K63" s="2">
        <f>K8*'Output-Calculation-sheet'!K52/10^9</f>
        <v>0.61060756350643264</v>
      </c>
      <c r="L63" s="2">
        <f>L8*'Output-Calculation-sheet'!L52/10^9</f>
        <v>0.49776549887167343</v>
      </c>
      <c r="M63" s="2">
        <f>M8*'Output-Calculation-sheet'!M52/10^9</f>
        <v>0.76905506337871044</v>
      </c>
      <c r="N63" s="2">
        <f>N8*'Output-Calculation-sheet'!N52/10^9</f>
        <v>0.69004256219253457</v>
      </c>
      <c r="O63" s="2">
        <f>O8*'Output-Calculation-sheet'!O52/10^9</f>
        <v>0.74618312137393272</v>
      </c>
      <c r="P63" s="2">
        <f>P8*'Output-Calculation-sheet'!P52/10^9</f>
        <v>0.49155553227468435</v>
      </c>
      <c r="Q63" s="2">
        <f>Q8*'Output-Calculation-sheet'!Q52/10^9</f>
        <v>0.50693541531444897</v>
      </c>
      <c r="R63" s="2">
        <f>R8*'Output-Calculation-sheet'!R52/10^9</f>
        <v>0.41517518102376316</v>
      </c>
      <c r="S63" s="2">
        <f>S8*'Output-Calculation-sheet'!S52/10^9</f>
        <v>0.38175942123936779</v>
      </c>
      <c r="T63" s="2">
        <f>T8*'Output-Calculation-sheet'!T52/10^9</f>
        <v>0.14314488643298623</v>
      </c>
      <c r="U63" s="2">
        <f>U8*'Output-Calculation-sheet'!U52/10^9</f>
        <v>0.13004059495809234</v>
      </c>
      <c r="V63" s="2">
        <f>V8*'Output-Calculation-sheet'!V52/10^9</f>
        <v>0.10048151457666227</v>
      </c>
      <c r="W63" s="2">
        <f>W8*'Output-Calculation-sheet'!W52/10^9</f>
        <v>7.8501761881789547E-2</v>
      </c>
      <c r="X63" s="2">
        <f>X8*'Output-Calculation-sheet'!X52/10^9</f>
        <v>9.2638711566318352E-2</v>
      </c>
      <c r="Y63" s="2">
        <f>Y8*'Output-Calculation-sheet'!Y52/10^9</f>
        <v>5.102934405883025E-2</v>
      </c>
      <c r="AA63" s="2">
        <f t="shared" si="4"/>
        <v>23.213813925653678</v>
      </c>
    </row>
    <row r="64" spans="1:27" x14ac:dyDescent="0.25">
      <c r="A64" s="2">
        <v>2032</v>
      </c>
      <c r="B64" s="2">
        <f>B9*'Output-Calculation-sheet'!B53/10^9</f>
        <v>7.4758039181880847</v>
      </c>
      <c r="C64" s="2">
        <f>C9*'Output-Calculation-sheet'!C53/10^9</f>
        <v>4.9494674511542884</v>
      </c>
      <c r="D64" s="2">
        <f>D9*'Output-Calculation-sheet'!D53/10^9</f>
        <v>1.8012173941709029</v>
      </c>
      <c r="E64" s="2">
        <f>E9*'Output-Calculation-sheet'!E53/10^9</f>
        <v>1.7585304080480484</v>
      </c>
      <c r="F64" s="2">
        <f>F9*'Output-Calculation-sheet'!F53/10^9</f>
        <v>0.88688421710997623</v>
      </c>
      <c r="G64" s="2">
        <f>G9*'Output-Calculation-sheet'!G53/10^9</f>
        <v>0.64420608347889696</v>
      </c>
      <c r="H64" s="2">
        <f>H9*'Output-Calculation-sheet'!H53/10^9</f>
        <v>1.3829625954512919</v>
      </c>
      <c r="I64" s="2">
        <f>I9*'Output-Calculation-sheet'!I53/10^9</f>
        <v>0.60152545910485522</v>
      </c>
      <c r="J64" s="2">
        <f>J9*'Output-Calculation-sheet'!J53/10^9</f>
        <v>0.60040286005067978</v>
      </c>
      <c r="K64" s="2">
        <f>K9*'Output-Calculation-sheet'!K53/10^9</f>
        <v>0.64758515608473743</v>
      </c>
      <c r="L64" s="2">
        <f>L9*'Output-Calculation-sheet'!L53/10^9</f>
        <v>0.53381686068474377</v>
      </c>
      <c r="M64" s="2">
        <f>M9*'Output-Calculation-sheet'!M53/10^9</f>
        <v>0.95818491049312704</v>
      </c>
      <c r="N64" s="2">
        <f>N9*'Output-Calculation-sheet'!N53/10^9</f>
        <v>0.85140959525966819</v>
      </c>
      <c r="O64" s="2">
        <f>O9*'Output-Calculation-sheet'!O53/10^9</f>
        <v>0.91605979040867047</v>
      </c>
      <c r="P64" s="2">
        <f>P9*'Output-Calculation-sheet'!P53/10^9</f>
        <v>0.57918648254046812</v>
      </c>
      <c r="Q64" s="2">
        <f>Q9*'Output-Calculation-sheet'!Q53/10^9</f>
        <v>0.59266842440921041</v>
      </c>
      <c r="R64" s="2">
        <f>R9*'Output-Calculation-sheet'!R53/10^9</f>
        <v>0.46337007555442838</v>
      </c>
      <c r="S64" s="2">
        <f>S9*'Output-Calculation-sheet'!S53/10^9</f>
        <v>0.46896922149516806</v>
      </c>
      <c r="T64" s="2">
        <f>T9*'Output-Calculation-sheet'!T53/10^9</f>
        <v>0.14848347783699542</v>
      </c>
      <c r="U64" s="2">
        <f>U9*'Output-Calculation-sheet'!U53/10^9</f>
        <v>0.14647182003707648</v>
      </c>
      <c r="V64" s="2">
        <f>V9*'Output-Calculation-sheet'!V53/10^9</f>
        <v>0.10897905315111346</v>
      </c>
      <c r="W64" s="2">
        <f>W9*'Output-Calculation-sheet'!W53/10^9</f>
        <v>7.8678217884718391E-2</v>
      </c>
      <c r="X64" s="2">
        <f>X9*'Output-Calculation-sheet'!X53/10^9</f>
        <v>0.1158828296527014</v>
      </c>
      <c r="Y64" s="2">
        <f>Y9*'Output-Calculation-sheet'!Y53/10^9</f>
        <v>5.6713982055718752E-2</v>
      </c>
      <c r="AA64" s="2">
        <f t="shared" si="4"/>
        <v>26.767460284305567</v>
      </c>
    </row>
    <row r="65" spans="1:27" x14ac:dyDescent="0.25">
      <c r="A65" s="2">
        <v>2033</v>
      </c>
      <c r="B65" s="2">
        <f>B10*'Output-Calculation-sheet'!B54/10^9</f>
        <v>9.0102880608486444</v>
      </c>
      <c r="C65" s="2">
        <f>C10*'Output-Calculation-sheet'!C54/10^9</f>
        <v>5.9512121929860191</v>
      </c>
      <c r="D65" s="2">
        <f>D10*'Output-Calculation-sheet'!D54/10^9</f>
        <v>1.7308350129401995</v>
      </c>
      <c r="E65" s="2">
        <f>E10*'Output-Calculation-sheet'!E54/10^9</f>
        <v>1.9640926395928393</v>
      </c>
      <c r="F65" s="2">
        <f>F10*'Output-Calculation-sheet'!F54/10^9</f>
        <v>0.89099711539844462</v>
      </c>
      <c r="G65" s="2">
        <f>G10*'Output-Calculation-sheet'!G54/10^9</f>
        <v>0.61493692170468794</v>
      </c>
      <c r="H65" s="2">
        <f>H10*'Output-Calculation-sheet'!H54/10^9</f>
        <v>1.6344867670877747</v>
      </c>
      <c r="I65" s="2">
        <f>I10*'Output-Calculation-sheet'!I54/10^9</f>
        <v>0.60489335424943957</v>
      </c>
      <c r="J65" s="2">
        <f>J10*'Output-Calculation-sheet'!J54/10^9</f>
        <v>0.55786821671476372</v>
      </c>
      <c r="K65" s="2">
        <f>K10*'Output-Calculation-sheet'!K54/10^9</f>
        <v>0.71153548660975052</v>
      </c>
      <c r="L65" s="2">
        <f>L10*'Output-Calculation-sheet'!L54/10^9</f>
        <v>0.59176770503952691</v>
      </c>
      <c r="M65" s="2">
        <f>M10*'Output-Calculation-sheet'!M54/10^9</f>
        <v>1.1326021142062543</v>
      </c>
      <c r="N65" s="2">
        <f>N10*'Output-Calculation-sheet'!N54/10^9</f>
        <v>1.0182294803068854</v>
      </c>
      <c r="O65" s="2">
        <f>O10*'Output-Calculation-sheet'!O54/10^9</f>
        <v>1.0779721017493942</v>
      </c>
      <c r="P65" s="2">
        <f>P10*'Output-Calculation-sheet'!P54/10^9</f>
        <v>0.68711830790565109</v>
      </c>
      <c r="Q65" s="2">
        <f>Q10*'Output-Calculation-sheet'!Q54/10^9</f>
        <v>0.71291650046759503</v>
      </c>
      <c r="R65" s="2">
        <f>R10*'Output-Calculation-sheet'!R54/10^9</f>
        <v>0.53271448480341388</v>
      </c>
      <c r="S65" s="2">
        <f>S10*'Output-Calculation-sheet'!S54/10^9</f>
        <v>0.56332932969246874</v>
      </c>
      <c r="T65" s="2">
        <f>T10*'Output-Calculation-sheet'!T54/10^9</f>
        <v>0.15989181006633429</v>
      </c>
      <c r="U65" s="2">
        <f>U10*'Output-Calculation-sheet'!U54/10^9</f>
        <v>0.17288461912810602</v>
      </c>
      <c r="V65" s="2">
        <f>V10*'Output-Calculation-sheet'!V54/10^9</f>
        <v>0.12065053958009171</v>
      </c>
      <c r="W65" s="2">
        <f>W10*'Output-Calculation-sheet'!W54/10^9</f>
        <v>7.5468276095591771E-2</v>
      </c>
      <c r="X65" s="2">
        <f>X10*'Output-Calculation-sheet'!X54/10^9</f>
        <v>0.13883415404515517</v>
      </c>
      <c r="Y65" s="2">
        <f>Y10*'Output-Calculation-sheet'!Y54/10^9</f>
        <v>6.6581375610538715E-2</v>
      </c>
      <c r="AA65" s="2">
        <f t="shared" si="4"/>
        <v>30.722106566829574</v>
      </c>
    </row>
    <row r="66" spans="1:27" x14ac:dyDescent="0.25">
      <c r="A66" s="2">
        <v>2034</v>
      </c>
      <c r="B66" s="2">
        <f>B11*'Output-Calculation-sheet'!B55/10^9</f>
        <v>10.888846232874482</v>
      </c>
      <c r="C66" s="2">
        <f>C11*'Output-Calculation-sheet'!C55/10^9</f>
        <v>6.9366913296798947</v>
      </c>
      <c r="D66" s="2">
        <f>D11*'Output-Calculation-sheet'!D55/10^9</f>
        <v>2.0430066354219729</v>
      </c>
      <c r="E66" s="2">
        <f>E11*'Output-Calculation-sheet'!E55/10^9</f>
        <v>2.5191111006242015</v>
      </c>
      <c r="F66" s="2">
        <f>F11*'Output-Calculation-sheet'!F55/10^9</f>
        <v>1.0089000590278296</v>
      </c>
      <c r="G66" s="2">
        <f>G11*'Output-Calculation-sheet'!G55/10^9</f>
        <v>0.72666852975464835</v>
      </c>
      <c r="H66" s="2">
        <f>H11*'Output-Calculation-sheet'!H55/10^9</f>
        <v>1.9142400834640667</v>
      </c>
      <c r="I66" s="2">
        <f>I11*'Output-Calculation-sheet'!I55/10^9</f>
        <v>0.71430266574233625</v>
      </c>
      <c r="J66" s="2">
        <f>J11*'Output-Calculation-sheet'!J55/10^9</f>
        <v>0.63020157191771142</v>
      </c>
      <c r="K66" s="2">
        <f>K11*'Output-Calculation-sheet'!K55/10^9</f>
        <v>0.84220990200632395</v>
      </c>
      <c r="L66" s="2">
        <f>L11*'Output-Calculation-sheet'!L55/10^9</f>
        <v>0.73770270063800791</v>
      </c>
      <c r="M66" s="2">
        <f>M11*'Output-Calculation-sheet'!M55/10^9</f>
        <v>1.3291965953920941</v>
      </c>
      <c r="N66" s="2">
        <f>N11*'Output-Calculation-sheet'!N55/10^9</f>
        <v>1.1899337165881112</v>
      </c>
      <c r="O66" s="2">
        <f>O11*'Output-Calculation-sheet'!O55/10^9</f>
        <v>1.2345016186203386</v>
      </c>
      <c r="P66" s="2">
        <f>P11*'Output-Calculation-sheet'!P55/10^9</f>
        <v>0.8363784112753021</v>
      </c>
      <c r="Q66" s="2">
        <f>Q11*'Output-Calculation-sheet'!Q55/10^9</f>
        <v>0.86824618830911426</v>
      </c>
      <c r="R66" s="2">
        <f>R11*'Output-Calculation-sheet'!R55/10^9</f>
        <v>0.63296407484294148</v>
      </c>
      <c r="S66" s="2">
        <f>S11*'Output-Calculation-sheet'!S55/10^9</f>
        <v>0.6702942731263416</v>
      </c>
      <c r="T66" s="2">
        <f>T11*'Output-Calculation-sheet'!T55/10^9</f>
        <v>0.18634671352645543</v>
      </c>
      <c r="U66" s="2">
        <f>U11*'Output-Calculation-sheet'!U55/10^9</f>
        <v>0.21521801259802475</v>
      </c>
      <c r="V66" s="2">
        <f>V11*'Output-Calculation-sheet'!V55/10^9</f>
        <v>0.13919141863695861</v>
      </c>
      <c r="W66" s="2">
        <f>W11*'Output-Calculation-sheet'!W55/10^9</f>
        <v>8.4801164074545035E-2</v>
      </c>
      <c r="X66" s="2">
        <f>X11*'Output-Calculation-sheet'!X55/10^9</f>
        <v>0.16185345836678902</v>
      </c>
      <c r="Y66" s="2">
        <f>Y11*'Output-Calculation-sheet'!Y55/10^9</f>
        <v>8.7930513810721131E-2</v>
      </c>
      <c r="AA66" s="2">
        <f t="shared" si="4"/>
        <v>36.598736970319216</v>
      </c>
    </row>
    <row r="67" spans="1:27" x14ac:dyDescent="0.25">
      <c r="A67" s="2">
        <v>2035</v>
      </c>
      <c r="B67" s="2">
        <f>B12*'Output-Calculation-sheet'!B56/10^9</f>
        <v>12.962653937094966</v>
      </c>
      <c r="C67" s="2">
        <f>C12*'Output-Calculation-sheet'!C56/10^9</f>
        <v>7.9055454409466526</v>
      </c>
      <c r="D67" s="2">
        <f>D12*'Output-Calculation-sheet'!D56/10^9</f>
        <v>2.6366170192888316</v>
      </c>
      <c r="E67" s="2">
        <f>E12*'Output-Calculation-sheet'!E56/10^9</f>
        <v>3.5648902580938642</v>
      </c>
      <c r="F67" s="2">
        <f>F12*'Output-Calculation-sheet'!F56/10^9</f>
        <v>1.4136377191775455</v>
      </c>
      <c r="G67" s="2">
        <f>G12*'Output-Calculation-sheet'!G56/10^9</f>
        <v>1.026060338127885</v>
      </c>
      <c r="H67" s="2">
        <f>H12*'Output-Calculation-sheet'!H56/10^9</f>
        <v>2.2366944967344922</v>
      </c>
      <c r="I67" s="2">
        <f>I12*'Output-Calculation-sheet'!I56/10^9</f>
        <v>0.9692494389456433</v>
      </c>
      <c r="J67" s="2">
        <f>J12*'Output-Calculation-sheet'!J56/10^9</f>
        <v>0.80038886997747416</v>
      </c>
      <c r="K67" s="2">
        <f>K12*'Output-Calculation-sheet'!K56/10^9</f>
        <v>1.0821639741158664</v>
      </c>
      <c r="L67" s="2">
        <f>L12*'Output-Calculation-sheet'!L56/10^9</f>
        <v>0.93377917253711074</v>
      </c>
      <c r="M67" s="2">
        <f>M12*'Output-Calculation-sheet'!M56/10^9</f>
        <v>1.5674688232505052</v>
      </c>
      <c r="N67" s="2">
        <f>N12*'Output-Calculation-sheet'!N56/10^9</f>
        <v>1.3720900654133856</v>
      </c>
      <c r="O67" s="2">
        <f>O12*'Output-Calculation-sheet'!O56/10^9</f>
        <v>1.388636418780993</v>
      </c>
      <c r="P67" s="2">
        <f>P12*'Output-Calculation-sheet'!P56/10^9</f>
        <v>1.0933267697291538</v>
      </c>
      <c r="Q67" s="2">
        <f>Q12*'Output-Calculation-sheet'!Q56/10^9</f>
        <v>1.0249062422188262</v>
      </c>
      <c r="R67" s="2">
        <f>R12*'Output-Calculation-sheet'!R56/10^9</f>
        <v>0.80522096751495387</v>
      </c>
      <c r="S67" s="2">
        <f>S12*'Output-Calculation-sheet'!S56/10^9</f>
        <v>0.78093422668603973</v>
      </c>
      <c r="T67" s="2">
        <f>T12*'Output-Calculation-sheet'!T56/10^9</f>
        <v>0.24752906211425607</v>
      </c>
      <c r="U67" s="2">
        <f>U12*'Output-Calculation-sheet'!U56/10^9</f>
        <v>0.26691322185767369</v>
      </c>
      <c r="V67" s="2">
        <f>V12*'Output-Calculation-sheet'!V56/10^9</f>
        <v>0.16831565272760263</v>
      </c>
      <c r="W67" s="2">
        <f>W12*'Output-Calculation-sheet'!W56/10^9</f>
        <v>0.1309576957622236</v>
      </c>
      <c r="X67" s="2">
        <f>X12*'Output-Calculation-sheet'!X56/10^9</f>
        <v>0.1918553414027804</v>
      </c>
      <c r="Y67" s="2">
        <f>Y12*'Output-Calculation-sheet'!Y56/10^9</f>
        <v>0.12296643249863362</v>
      </c>
      <c r="AA67" s="2">
        <f t="shared" si="4"/>
        <v>44.692801584997362</v>
      </c>
    </row>
    <row r="68" spans="1:27" x14ac:dyDescent="0.25">
      <c r="B68" s="2">
        <f>SUM(B60:B67)</f>
        <v>46.6337079820387</v>
      </c>
      <c r="C68" s="2">
        <f t="shared" ref="C68:Y68" si="5">SUM(C60:C67)</f>
        <v>29.677021811309128</v>
      </c>
      <c r="D68" s="2">
        <f t="shared" si="5"/>
        <v>10.009918424403523</v>
      </c>
      <c r="E68" s="2">
        <f t="shared" si="5"/>
        <v>11.458424897400656</v>
      </c>
      <c r="F68" s="2">
        <f t="shared" si="5"/>
        <v>5.0709465468534258</v>
      </c>
      <c r="G68" s="2">
        <f t="shared" si="5"/>
        <v>3.6556542053884709</v>
      </c>
      <c r="H68" s="2">
        <f t="shared" si="5"/>
        <v>8.2791481945431666</v>
      </c>
      <c r="I68" s="2">
        <f t="shared" si="5"/>
        <v>3.4867857346647479</v>
      </c>
      <c r="J68" s="2">
        <f t="shared" si="5"/>
        <v>3.1956063515759734</v>
      </c>
      <c r="K68" s="2">
        <f t="shared" si="5"/>
        <v>3.8941020823231112</v>
      </c>
      <c r="L68" s="2">
        <f t="shared" si="5"/>
        <v>3.2948319377710629</v>
      </c>
      <c r="M68" s="2">
        <f t="shared" si="5"/>
        <v>5.7565075067206912</v>
      </c>
      <c r="N68" s="2">
        <f t="shared" si="5"/>
        <v>5.1217054197605858</v>
      </c>
      <c r="O68" s="2">
        <f t="shared" si="5"/>
        <v>5.3633530509333287</v>
      </c>
      <c r="P68" s="2">
        <f t="shared" si="5"/>
        <v>3.687565503725259</v>
      </c>
      <c r="Q68" s="2">
        <f t="shared" si="5"/>
        <v>3.705672770719195</v>
      </c>
      <c r="R68" s="2">
        <f t="shared" si="5"/>
        <v>2.8494447837395005</v>
      </c>
      <c r="S68" s="2">
        <f t="shared" si="5"/>
        <v>2.8652864722393856</v>
      </c>
      <c r="T68" s="2">
        <f t="shared" si="5"/>
        <v>0.88539594997702742</v>
      </c>
      <c r="U68" s="2">
        <f t="shared" si="5"/>
        <v>0.9315282685789732</v>
      </c>
      <c r="V68" s="2">
        <f t="shared" si="5"/>
        <v>0.63761817867242865</v>
      </c>
      <c r="W68" s="2">
        <f t="shared" si="5"/>
        <v>0.44840711569886832</v>
      </c>
      <c r="X68" s="2">
        <f t="shared" si="5"/>
        <v>0.70106449503374435</v>
      </c>
      <c r="Y68" s="2">
        <f t="shared" si="5"/>
        <v>0.38522164803444248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1743.2712347515619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1175.9275769322064</v>
      </c>
      <c r="N74" s="2">
        <f>N8/'Output-Calculation-sheet'!N7*'Output-Calculation-sheet'!N61</f>
        <v>48.881179761091587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10.434902197294038</v>
      </c>
      <c r="Y74" s="2">
        <f>Y8/'Output-Calculation-sheet'!Y7*'Output-Calculation-sheet'!Y61</f>
        <v>0</v>
      </c>
      <c r="AA74" s="2">
        <f t="shared" si="6"/>
        <v>2.9785148936421537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69.711376515509755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3185.0140214573962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2158.1818638106697</v>
      </c>
      <c r="N75" s="2">
        <f>N9/'Output-Calculation-sheet'!N8*'Output-Calculation-sheet'!N62</f>
        <v>830.81512527177085</v>
      </c>
      <c r="O75" s="2">
        <f>O9/'Output-Calculation-sheet'!O8*'Output-Calculation-sheet'!O62</f>
        <v>0</v>
      </c>
      <c r="P75" s="2">
        <f>P9/'Output-Calculation-sheet'!P8*'Output-Calculation-sheet'!P62</f>
        <v>54.045279669313423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279.2373177023731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75.783818216605198</v>
      </c>
      <c r="Y75" s="2">
        <f>Y9/'Output-Calculation-sheet'!Y8*'Output-Calculation-sheet'!Y62</f>
        <v>0</v>
      </c>
      <c r="AA75" s="2">
        <f t="shared" si="6"/>
        <v>6.6527888026436379</v>
      </c>
    </row>
    <row r="76" spans="1:27" x14ac:dyDescent="0.25">
      <c r="A76" s="2">
        <v>2033</v>
      </c>
      <c r="B76" s="2">
        <f>B10/'Output-Calculation-sheet'!B9*'Output-Calculation-sheet'!B63</f>
        <v>7386.1666608204268</v>
      </c>
      <c r="C76" s="2">
        <f>C10/'Output-Calculation-sheet'!C9*'Output-Calculation-sheet'!C63</f>
        <v>2169.8986723196617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4839.881658542371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3291.9880957591886</v>
      </c>
      <c r="N76" s="2">
        <f>N10/'Output-Calculation-sheet'!N9*'Output-Calculation-sheet'!N63</f>
        <v>1880.5626615121603</v>
      </c>
      <c r="O76" s="2">
        <f>O10/'Output-Calculation-sheet'!O9*'Output-Calculation-sheet'!O63</f>
        <v>0</v>
      </c>
      <c r="P76" s="2">
        <f>P10/'Output-Calculation-sheet'!P9*'Output-Calculation-sheet'!P63</f>
        <v>648.30623816157367</v>
      </c>
      <c r="Q76" s="2">
        <f>Q10/'Output-Calculation-sheet'!Q9*'Output-Calculation-sheet'!Q63</f>
        <v>291.87675687154484</v>
      </c>
      <c r="R76" s="2">
        <f>R10/'Output-Calculation-sheet'!R9*'Output-Calculation-sheet'!R63</f>
        <v>494.08800131922442</v>
      </c>
      <c r="S76" s="2">
        <f>S10/'Output-Calculation-sheet'!S9*'Output-Calculation-sheet'!S63</f>
        <v>836.13268207589601</v>
      </c>
      <c r="T76" s="2">
        <f>T10/'Output-Calculation-sheet'!T9*'Output-Calculation-sheet'!T63</f>
        <v>32.476235674682592</v>
      </c>
      <c r="U76" s="2">
        <f>U10/'Output-Calculation-sheet'!U9*'Output-Calculation-sheet'!U63</f>
        <v>175.39800850423404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188.75377600433694</v>
      </c>
      <c r="Y76" s="2">
        <f>Y10/'Output-Calculation-sheet'!Y9*'Output-Calculation-sheet'!Y63</f>
        <v>8.32760879377539</v>
      </c>
      <c r="AA76" s="2">
        <f t="shared" si="6"/>
        <v>22.38018573764138</v>
      </c>
    </row>
    <row r="77" spans="1:27" x14ac:dyDescent="0.25">
      <c r="A77" s="2">
        <v>2034</v>
      </c>
      <c r="B77" s="2">
        <f>B11/'Output-Calculation-sheet'!B10*'Output-Calculation-sheet'!B64</f>
        <v>16969.790322668527</v>
      </c>
      <c r="C77" s="2">
        <f>C11/'Output-Calculation-sheet'!C10*'Output-Calculation-sheet'!C64</f>
        <v>4628.6098021519711</v>
      </c>
      <c r="D77" s="2">
        <f>D11/'Output-Calculation-sheet'!D10*'Output-Calculation-sheet'!D64</f>
        <v>2050.5708284116236</v>
      </c>
      <c r="E77" s="2">
        <f>E11/'Output-Calculation-sheet'!E10*'Output-Calculation-sheet'!E64</f>
        <v>2979.4523288099704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6164.1029962401444</v>
      </c>
      <c r="I77" s="2">
        <f>I11/'Output-Calculation-sheet'!I10*'Output-Calculation-sheet'!I64</f>
        <v>743.83323955525918</v>
      </c>
      <c r="J77" s="2">
        <f>J11/'Output-Calculation-sheet'!J10*'Output-Calculation-sheet'!J64</f>
        <v>409.19249957935608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295.46432361650591</v>
      </c>
      <c r="M77" s="2">
        <f>M11/'Output-Calculation-sheet'!M10*'Output-Calculation-sheet'!M64</f>
        <v>4303.1198994597253</v>
      </c>
      <c r="N77" s="2">
        <f>N11/'Output-Calculation-sheet'!N10*'Output-Calculation-sheet'!N64</f>
        <v>2979.4941713414923</v>
      </c>
      <c r="O77" s="2">
        <f>O11/'Output-Calculation-sheet'!O10*'Output-Calculation-sheet'!O64</f>
        <v>0</v>
      </c>
      <c r="P77" s="2">
        <f>P11/'Output-Calculation-sheet'!P10*'Output-Calculation-sheet'!P64</f>
        <v>1407.4513160360102</v>
      </c>
      <c r="Q77" s="2">
        <f>Q11/'Output-Calculation-sheet'!Q10*'Output-Calculation-sheet'!Q64</f>
        <v>576.86530722924203</v>
      </c>
      <c r="R77" s="2">
        <f>R11/'Output-Calculation-sheet'!R10*'Output-Calculation-sheet'!R64</f>
        <v>1196.5008149828409</v>
      </c>
      <c r="S77" s="2">
        <f>S11/'Output-Calculation-sheet'!S10*'Output-Calculation-sheet'!S64</f>
        <v>1293.3557508696535</v>
      </c>
      <c r="T77" s="2">
        <f>T11/'Output-Calculation-sheet'!T10*'Output-Calculation-sheet'!T64</f>
        <v>331.02776204437208</v>
      </c>
      <c r="U77" s="2">
        <f>U11/'Output-Calculation-sheet'!U10*'Output-Calculation-sheet'!U64</f>
        <v>360.27560252586721</v>
      </c>
      <c r="V77" s="2">
        <f>V11/'Output-Calculation-sheet'!V10*'Output-Calculation-sheet'!V64</f>
        <v>172.7085617976569</v>
      </c>
      <c r="W77" s="2">
        <f>W11/'Output-Calculation-sheet'!W10*'Output-Calculation-sheet'!W64</f>
        <v>37.538402437540114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109.82809350247651</v>
      </c>
      <c r="AA77" s="2">
        <f t="shared" si="6"/>
        <v>49.798241890040813</v>
      </c>
    </row>
    <row r="78" spans="1:27" x14ac:dyDescent="0.25">
      <c r="A78" s="2">
        <v>2035</v>
      </c>
      <c r="B78" s="2">
        <f>B12/'Output-Calculation-sheet'!B11*'Output-Calculation-sheet'!B65</f>
        <v>21130.836300246057</v>
      </c>
      <c r="C78" s="2">
        <f>C12/'Output-Calculation-sheet'!C11*'Output-Calculation-sheet'!C65</f>
        <v>8931.609240100388</v>
      </c>
      <c r="D78" s="2">
        <f>D12/'Output-Calculation-sheet'!D11*'Output-Calculation-sheet'!D65</f>
        <v>2278.3190763207153</v>
      </c>
      <c r="E78" s="2">
        <f>E12/'Output-Calculation-sheet'!E11*'Output-Calculation-sheet'!E65</f>
        <v>4373.3780179200457</v>
      </c>
      <c r="F78" s="2">
        <f>F12/'Output-Calculation-sheet'!F11*'Output-Calculation-sheet'!F65</f>
        <v>952.93549756194022</v>
      </c>
      <c r="G78" s="2">
        <f>G12/'Output-Calculation-sheet'!G11*'Output-Calculation-sheet'!G65</f>
        <v>1752.5972678771516</v>
      </c>
      <c r="H78" s="2">
        <f>H12/'Output-Calculation-sheet'!H11*'Output-Calculation-sheet'!H65</f>
        <v>6736.507656829056</v>
      </c>
      <c r="I78" s="2">
        <f>I12/'Output-Calculation-sheet'!I11*'Output-Calculation-sheet'!I65</f>
        <v>1116.2435596175542</v>
      </c>
      <c r="J78" s="2">
        <f>J12/'Output-Calculation-sheet'!J11*'Output-Calculation-sheet'!J65</f>
        <v>478.1260248302749</v>
      </c>
      <c r="K78" s="2">
        <f>K12/'Output-Calculation-sheet'!K11*'Output-Calculation-sheet'!K65</f>
        <v>1424.0050565762992</v>
      </c>
      <c r="L78" s="2">
        <f>L12/'Output-Calculation-sheet'!L11*'Output-Calculation-sheet'!L65</f>
        <v>412.25011161159313</v>
      </c>
      <c r="M78" s="2">
        <f>M12/'Output-Calculation-sheet'!M11*'Output-Calculation-sheet'!M65</f>
        <v>4738.8961205086316</v>
      </c>
      <c r="N78" s="2">
        <f>N12/'Output-Calculation-sheet'!N11*'Output-Calculation-sheet'!N65</f>
        <v>3327.069548835339</v>
      </c>
      <c r="O78" s="2">
        <f>O12/'Output-Calculation-sheet'!O11*'Output-Calculation-sheet'!O65</f>
        <v>0</v>
      </c>
      <c r="P78" s="2">
        <f>P12/'Output-Calculation-sheet'!P11*'Output-Calculation-sheet'!P65</f>
        <v>1880.3846708280305</v>
      </c>
      <c r="Q78" s="2">
        <f>Q12/'Output-Calculation-sheet'!Q11*'Output-Calculation-sheet'!Q65</f>
        <v>744.63236105315127</v>
      </c>
      <c r="R78" s="2">
        <f>R12/'Output-Calculation-sheet'!R11*'Output-Calculation-sheet'!R65</f>
        <v>1479.4800014768473</v>
      </c>
      <c r="S78" s="2">
        <f>S12/'Output-Calculation-sheet'!S11*'Output-Calculation-sheet'!S65</f>
        <v>1540.9764458205334</v>
      </c>
      <c r="T78" s="2">
        <f>T12/'Output-Calculation-sheet'!T11*'Output-Calculation-sheet'!T65</f>
        <v>528.08770487992081</v>
      </c>
      <c r="U78" s="2">
        <f>U12/'Output-Calculation-sheet'!U11*'Output-Calculation-sheet'!U65</f>
        <v>392.77142117990331</v>
      </c>
      <c r="V78" s="2">
        <f>V12/'Output-Calculation-sheet'!V11*'Output-Calculation-sheet'!V65</f>
        <v>202.16717781267337</v>
      </c>
      <c r="W78" s="2">
        <f>W12/'Output-Calculation-sheet'!W11*'Output-Calculation-sheet'!W65</f>
        <v>201.66876138778798</v>
      </c>
      <c r="X78" s="2">
        <f>X12/'Output-Calculation-sheet'!X11*'Output-Calculation-sheet'!X65</f>
        <v>105.27073057286692</v>
      </c>
      <c r="Y78" s="2">
        <f>Y12/'Output-Calculation-sheet'!Y11*'Output-Calculation-sheet'!Y65</f>
        <v>182.60215074135957</v>
      </c>
      <c r="AA78" s="2">
        <f t="shared" si="6"/>
        <v>64.910814904588136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447.76162230679313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259.91488821872309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0.70767651052551628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1621.4826568770916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405.1833759945535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2.026666032871645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3062.1001096322393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556.28691543435502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3.6183870250665939</v>
      </c>
    </row>
    <row r="88" spans="1:27" x14ac:dyDescent="0.25">
      <c r="A88" s="2">
        <v>2034</v>
      </c>
      <c r="B88" s="2">
        <f>B11/'Output-Calculation-sheet'!B10*'Output-Calculation-sheet'!B73</f>
        <v>171.99196330450684</v>
      </c>
      <c r="C88" s="2">
        <f>C11/'Output-Calculation-sheet'!C10*'Output-Calculation-sheet'!C73</f>
        <v>3732.7797639666214</v>
      </c>
      <c r="D88" s="2">
        <f>D11/'Output-Calculation-sheet'!D10*'Output-Calculation-sheet'!D73</f>
        <v>13.147508140604705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61.679453977805387</v>
      </c>
      <c r="I88" s="2">
        <f>I11/'Output-Calculation-sheet'!I10*'Output-Calculation-sheet'!I73</f>
        <v>0</v>
      </c>
      <c r="J88" s="2">
        <f>J11/'Output-Calculation-sheet'!J10*'Output-Calculation-sheet'!J73</f>
        <v>4.198202491875386</v>
      </c>
      <c r="K88" s="2">
        <f>K11/'Output-Calculation-sheet'!K10*'Output-Calculation-sheet'!K73</f>
        <v>0</v>
      </c>
      <c r="L88" s="2">
        <f>L11/'Output-Calculation-sheet'!L10*'Output-Calculation-sheet'!L73</f>
        <v>9.9455589747994964</v>
      </c>
      <c r="M88" s="2">
        <f>M11/'Output-Calculation-sheet'!M10*'Output-Calculation-sheet'!M73</f>
        <v>29.866217484579924</v>
      </c>
      <c r="N88" s="2">
        <f>N11/'Output-Calculation-sheet'!N10*'Output-Calculation-sheet'!N73</f>
        <v>15.449288544956207</v>
      </c>
      <c r="O88" s="2">
        <f>O11/'Output-Calculation-sheet'!O10*'Output-Calculation-sheet'!O73</f>
        <v>704.99159996609296</v>
      </c>
      <c r="P88" s="2">
        <f>P11/'Output-Calculation-sheet'!P10*'Output-Calculation-sheet'!P73</f>
        <v>0</v>
      </c>
      <c r="Q88" s="2">
        <f>Q11/'Output-Calculation-sheet'!Q10*'Output-Calculation-sheet'!Q73</f>
        <v>47.375797511863659</v>
      </c>
      <c r="R88" s="2">
        <f>R11/'Output-Calculation-sheet'!R10*'Output-Calculation-sheet'!R73</f>
        <v>0</v>
      </c>
      <c r="S88" s="2">
        <f>S11/'Output-Calculation-sheet'!S10*'Output-Calculation-sheet'!S73</f>
        <v>22.140163824152634</v>
      </c>
      <c r="T88" s="2">
        <f>T11/'Output-Calculation-sheet'!T10*'Output-Calculation-sheet'!T73</f>
        <v>0</v>
      </c>
      <c r="U88" s="2">
        <f>U11/'Output-Calculation-sheet'!U10*'Output-Calculation-sheet'!U73</f>
        <v>4.3187794219644191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4.8178842976098224</v>
      </c>
    </row>
    <row r="89" spans="1:27" x14ac:dyDescent="0.25">
      <c r="A89" s="2">
        <v>2035</v>
      </c>
      <c r="B89" s="2">
        <f>B12/'Output-Calculation-sheet'!B11*'Output-Calculation-sheet'!B74</f>
        <v>1036.4415359347554</v>
      </c>
      <c r="C89" s="2">
        <f>C12/'Output-Calculation-sheet'!C11*'Output-Calculation-sheet'!C74</f>
        <v>4244.786143052188</v>
      </c>
      <c r="D89" s="2">
        <f>D12/'Output-Calculation-sheet'!D11*'Output-Calculation-sheet'!D74</f>
        <v>196.79276825849968</v>
      </c>
      <c r="E89" s="2">
        <f>E12/'Output-Calculation-sheet'!E11*'Output-Calculation-sheet'!E74</f>
        <v>262.52511832187542</v>
      </c>
      <c r="F89" s="2">
        <f>F12/'Output-Calculation-sheet'!F11*'Output-Calculation-sheet'!F74</f>
        <v>84.311611110651967</v>
      </c>
      <c r="G89" s="2">
        <f>G12/'Output-Calculation-sheet'!G11*'Output-Calculation-sheet'!G74</f>
        <v>80.678874143437085</v>
      </c>
      <c r="H89" s="2">
        <f>H12/'Output-Calculation-sheet'!H11*'Output-Calculation-sheet'!H74</f>
        <v>315.0678703642015</v>
      </c>
      <c r="I89" s="2">
        <f>I12/'Output-Calculation-sheet'!I11*'Output-Calculation-sheet'!I74</f>
        <v>68.030307894967351</v>
      </c>
      <c r="J89" s="2">
        <f>J12/'Output-Calculation-sheet'!J11*'Output-Calculation-sheet'!J74</f>
        <v>53.861975619829607</v>
      </c>
      <c r="K89" s="2">
        <f>K12/'Output-Calculation-sheet'!K11*'Output-Calculation-sheet'!K74</f>
        <v>71.320494725391043</v>
      </c>
      <c r="L89" s="2">
        <f>L12/'Output-Calculation-sheet'!L11*'Output-Calculation-sheet'!L74</f>
        <v>74.432891069460837</v>
      </c>
      <c r="M89" s="2">
        <f>M12/'Output-Calculation-sheet'!M11*'Output-Calculation-sheet'!M74</f>
        <v>198.31076072652101</v>
      </c>
      <c r="N89" s="2">
        <f>N12/'Output-Calculation-sheet'!N11*'Output-Calculation-sheet'!N74</f>
        <v>120.57825528319307</v>
      </c>
      <c r="O89" s="2">
        <f>O12/'Output-Calculation-sheet'!O11*'Output-Calculation-sheet'!O74</f>
        <v>860.09601014817906</v>
      </c>
      <c r="P89" s="2">
        <f>P12/'Output-Calculation-sheet'!P11*'Output-Calculation-sheet'!P74</f>
        <v>70.19293009173154</v>
      </c>
      <c r="Q89" s="2">
        <f>Q12/'Output-Calculation-sheet'!Q11*'Output-Calculation-sheet'!Q74</f>
        <v>118.66974051642336</v>
      </c>
      <c r="R89" s="2">
        <f>R12/'Output-Calculation-sheet'!R11*'Output-Calculation-sheet'!R74</f>
        <v>48.795561894473366</v>
      </c>
      <c r="S89" s="2">
        <f>S12/'Output-Calculation-sheet'!S11*'Output-Calculation-sheet'!S74</f>
        <v>75.747527117354963</v>
      </c>
      <c r="T89" s="2">
        <f>T12/'Output-Calculation-sheet'!T11*'Output-Calculation-sheet'!T74</f>
        <v>12.211998640894935</v>
      </c>
      <c r="U89" s="2">
        <f>U12/'Output-Calculation-sheet'!U11*'Output-Calculation-sheet'!U74</f>
        <v>23.548803747071371</v>
      </c>
      <c r="V89" s="2">
        <f>V12/'Output-Calculation-sheet'!V11*'Output-Calculation-sheet'!V74</f>
        <v>8.9010710234403589</v>
      </c>
      <c r="W89" s="2">
        <f>W12/'Output-Calculation-sheet'!W11*'Output-Calculation-sheet'!W74</f>
        <v>6.7827924999676439</v>
      </c>
      <c r="X89" s="2">
        <f>X12/'Output-Calculation-sheet'!X11*'Output-Calculation-sheet'!X74</f>
        <v>4.7934972502049771</v>
      </c>
      <c r="Y89" s="2">
        <f>Y12/'Output-Calculation-sheet'!Y11*'Output-Calculation-sheet'!Y74</f>
        <v>8.8958010336428597</v>
      </c>
      <c r="AA89" s="2">
        <f t="shared" si="7"/>
        <v>8.0457743404683573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14235076319.600958</v>
      </c>
      <c r="C96" s="2">
        <f>C8/'Output-Calculation-sheet'!C7*'Output-Calculation-sheet'!C79</f>
        <v>4815800326.4314041</v>
      </c>
      <c r="D96" s="2">
        <f>D8/'Output-Calculation-sheet'!D7*'Output-Calculation-sheet'!D79</f>
        <v>5027352819.943449</v>
      </c>
      <c r="E96" s="2">
        <f>E8/'Output-Calculation-sheet'!E7*'Output-Calculation-sheet'!E79</f>
        <v>8938219121.6890526</v>
      </c>
      <c r="F96" s="2">
        <f>F8/'Output-Calculation-sheet'!F7*'Output-Calculation-sheet'!F79</f>
        <v>3699439978.0822911</v>
      </c>
      <c r="G96" s="2">
        <f>G8/'Output-Calculation-sheet'!G7*'Output-Calculation-sheet'!G79</f>
        <v>2881565835.7003069</v>
      </c>
      <c r="H96" s="2">
        <f>H8/'Output-Calculation-sheet'!H7*'Output-Calculation-sheet'!H79</f>
        <v>2466461140.0364785</v>
      </c>
      <c r="I96" s="2">
        <f>I8/'Output-Calculation-sheet'!I7*'Output-Calculation-sheet'!I79</f>
        <v>2007311977.8967321</v>
      </c>
      <c r="J96" s="2">
        <f>J8/'Output-Calculation-sheet'!J7*'Output-Calculation-sheet'!J79</f>
        <v>1357392387.9914367</v>
      </c>
      <c r="K96" s="2">
        <f>K8/'Output-Calculation-sheet'!K7*'Output-Calculation-sheet'!K79</f>
        <v>1942026463.8644125</v>
      </c>
      <c r="L96" s="2">
        <f>L8/'Output-Calculation-sheet'!L7*'Output-Calculation-sheet'!L79</f>
        <v>1370295482.4256001</v>
      </c>
      <c r="M96" s="2">
        <f>M8/'Output-Calculation-sheet'!M7*'Output-Calculation-sheet'!M79</f>
        <v>1841163380.4982858</v>
      </c>
      <c r="N96" s="2">
        <f>N8/'Output-Calculation-sheet'!N7*'Output-Calculation-sheet'!N79</f>
        <v>1369970197.2344699</v>
      </c>
      <c r="O96" s="2">
        <f>O8/'Output-Calculation-sheet'!O7*'Output-Calculation-sheet'!O79</f>
        <v>692565647.79833567</v>
      </c>
      <c r="P96" s="2">
        <f>P8/'Output-Calculation-sheet'!P7*'Output-Calculation-sheet'!P79</f>
        <v>2316501867.0683417</v>
      </c>
      <c r="Q96" s="2">
        <f>Q8/'Output-Calculation-sheet'!Q7*'Output-Calculation-sheet'!Q79</f>
        <v>1079587139.558953</v>
      </c>
      <c r="R96" s="2">
        <f>R8/'Output-Calculation-sheet'!R7*'Output-Calculation-sheet'!R79</f>
        <v>1346915584.4416201</v>
      </c>
      <c r="S96" s="2">
        <f>S8/'Output-Calculation-sheet'!S7*'Output-Calculation-sheet'!S79</f>
        <v>784824285.44939685</v>
      </c>
      <c r="T96" s="2">
        <f>T8/'Output-Calculation-sheet'!T7*'Output-Calculation-sheet'!T79</f>
        <v>599422285.64125681</v>
      </c>
      <c r="U96" s="2">
        <f>U8/'Output-Calculation-sheet'!U7*'Output-Calculation-sheet'!U79</f>
        <v>376542403.68585438</v>
      </c>
      <c r="V96" s="2">
        <f>V8/'Output-Calculation-sheet'!V7*'Output-Calculation-sheet'!V79</f>
        <v>195368956.93779394</v>
      </c>
      <c r="W96" s="2">
        <f>W8/'Output-Calculation-sheet'!W7*'Output-Calculation-sheet'!W79</f>
        <v>577304178.85675395</v>
      </c>
      <c r="X96" s="2">
        <f>X8/'Output-Calculation-sheet'!X7*'Output-Calculation-sheet'!X79</f>
        <v>202904957.09977481</v>
      </c>
      <c r="Y96" s="2">
        <f>Y8/'Output-Calculation-sheet'!Y7*'Output-Calculation-sheet'!Y79</f>
        <v>317340585.7368232</v>
      </c>
      <c r="AA96" s="2">
        <f t="shared" si="8"/>
        <v>60.44135332366978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1246.1799367815568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38.609714768585128</v>
      </c>
      <c r="Y107" s="2">
        <f>Y8/'Output-Calculation-sheet'!Y7*'Output-Calculation-sheet'!Y88</f>
        <v>0</v>
      </c>
      <c r="AA107" s="2">
        <f t="shared" si="9"/>
        <v>1.2847896515501418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953.08522579798512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55.366726593948847</v>
      </c>
      <c r="Y108" s="2">
        <f>Y9/'Output-Calculation-sheet'!Y8*'Output-Calculation-sheet'!Y89</f>
        <v>0</v>
      </c>
      <c r="AA108" s="2">
        <f t="shared" si="9"/>
        <v>1.008451952391934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6.1284365372254651E-2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0.10622388861375509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170.35351766113072</v>
      </c>
      <c r="Y111" s="2">
        <f>Y12/'Output-Calculation-sheet'!Y11*'Output-Calculation-sheet'!Y92</f>
        <v>0</v>
      </c>
      <c r="AA111" s="2">
        <f t="shared" si="9"/>
        <v>0.17035351766113072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13933586425.619656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8558394040.2400808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5904565815.5923939</v>
      </c>
      <c r="N118" s="2">
        <f>N8/'Output-Calculation-sheet'!N7*'Output-Calculation-sheet'!N97</f>
        <v>1978598387.2452583</v>
      </c>
      <c r="O118" s="2">
        <f>O8/'Output-Calculation-sheet'!O7*'Output-Calculation-sheet'!O97</f>
        <v>3387275801.9884543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592342547.70911956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321505978.07099432</v>
      </c>
      <c r="Y118" s="2">
        <f>Y8/'Output-Calculation-sheet'!Y7*'Output-Calculation-sheet'!Y97</f>
        <v>0</v>
      </c>
      <c r="AA118" s="2">
        <f t="shared" si="10"/>
        <v>36341.84286282352</v>
      </c>
    </row>
    <row r="119" spans="1:27" x14ac:dyDescent="0.25">
      <c r="A119" s="2">
        <v>2032</v>
      </c>
      <c r="B119" s="2">
        <f>B9/'Output-Calculation-sheet'!B8*'Output-Calculation-sheet'!B98</f>
        <v>7847119124.223052</v>
      </c>
      <c r="C119" s="2">
        <f>C9/'Output-Calculation-sheet'!C8*'Output-Calculation-sheet'!C98</f>
        <v>20237279442.195591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12272887140.420753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8467219679.1007385</v>
      </c>
      <c r="N119" s="2">
        <f>N9/'Output-Calculation-sheet'!N8*'Output-Calculation-sheet'!N98</f>
        <v>3970335039.5817399</v>
      </c>
      <c r="O119" s="2">
        <f>O9/'Output-Calculation-sheet'!O8*'Output-Calculation-sheet'!O98</f>
        <v>4274121928.8494673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1194204421.560662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465739295.53079855</v>
      </c>
      <c r="Y119" s="2">
        <f>Y9/'Output-Calculation-sheet'!Y8*'Output-Calculation-sheet'!Y98</f>
        <v>0</v>
      </c>
      <c r="AA119" s="2">
        <f t="shared" si="10"/>
        <v>58728.906071462807</v>
      </c>
    </row>
    <row r="120" spans="1:27" x14ac:dyDescent="0.25">
      <c r="A120" s="2">
        <v>2033</v>
      </c>
      <c r="B120" s="2">
        <f>B10/'Output-Calculation-sheet'!B9*'Output-Calculation-sheet'!B99</f>
        <v>22344688399.269131</v>
      </c>
      <c r="C120" s="2">
        <f>C10/'Output-Calculation-sheet'!C9*'Output-Calculation-sheet'!C99</f>
        <v>30959085719.836216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6598110850.5699883</v>
      </c>
      <c r="O120" s="2">
        <f>O10/'Output-Calculation-sheet'!O9*'Output-Calculation-sheet'!O99</f>
        <v>5127625214.5539341</v>
      </c>
      <c r="P120" s="2">
        <f>P10/'Output-Calculation-sheet'!P9*'Output-Calculation-sheet'!P99</f>
        <v>0</v>
      </c>
      <c r="Q120" s="2">
        <f>Q10/'Output-Calculation-sheet'!Q9*'Output-Calculation-sheet'!Q99</f>
        <v>214666330.17131984</v>
      </c>
      <c r="R120" s="2">
        <f>R10/'Output-Calculation-sheet'!R9*'Output-Calculation-sheet'!R99</f>
        <v>0</v>
      </c>
      <c r="S120" s="2">
        <f>S10/'Output-Calculation-sheet'!S9*'Output-Calculation-sheet'!S99</f>
        <v>2657724416.8873315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723378681.99066174</v>
      </c>
      <c r="Y120" s="2">
        <f>Y10/'Output-Calculation-sheet'!Y9*'Output-Calculation-sheet'!Y99</f>
        <v>0</v>
      </c>
      <c r="AA120" s="2">
        <f t="shared" si="10"/>
        <v>96174.296862184856</v>
      </c>
    </row>
    <row r="121" spans="1:27" x14ac:dyDescent="0.25">
      <c r="A121" s="2">
        <v>2034</v>
      </c>
      <c r="B121" s="2">
        <f>B11/'Output-Calculation-sheet'!B10*'Output-Calculation-sheet'!B100</f>
        <v>47826555746.469543</v>
      </c>
      <c r="C121" s="2">
        <f>C11/'Output-Calculation-sheet'!C10*'Output-Calculation-sheet'!C100</f>
        <v>38931163837.406441</v>
      </c>
      <c r="D121" s="2">
        <f>D11/'Output-Calculation-sheet'!D10*'Output-Calculation-sheet'!D100</f>
        <v>0</v>
      </c>
      <c r="E121" s="2">
        <f>E11/'Output-Calculation-sheet'!E10*'Output-Calculation-sheet'!E100</f>
        <v>1148248725.4457357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19995469264.098648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818999542.60584891</v>
      </c>
      <c r="M121" s="2">
        <f>M11/'Output-Calculation-sheet'!M10*'Output-Calculation-sheet'!M100</f>
        <v>13929822329.767569</v>
      </c>
      <c r="N121" s="2">
        <f>N11/'Output-Calculation-sheet'!N10*'Output-Calculation-sheet'!N100</f>
        <v>9339876659.426403</v>
      </c>
      <c r="O121" s="2">
        <f>O11/'Output-Calculation-sheet'!O10*'Output-Calculation-sheet'!O100</f>
        <v>5963407166.363493</v>
      </c>
      <c r="P121" s="2">
        <f>P11/'Output-Calculation-sheet'!P10*'Output-Calculation-sheet'!P100</f>
        <v>0</v>
      </c>
      <c r="Q121" s="2">
        <f>Q11/'Output-Calculation-sheet'!Q10*'Output-Calculation-sheet'!Q100</f>
        <v>747133517.40861571</v>
      </c>
      <c r="R121" s="2">
        <f>R11/'Output-Calculation-sheet'!R10*'Output-Calculation-sheet'!R100</f>
        <v>0</v>
      </c>
      <c r="S121" s="2">
        <f>S11/'Output-Calculation-sheet'!S10*'Output-Calculation-sheet'!S100</f>
        <v>3920210026.4418087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61425656.479841277</v>
      </c>
      <c r="AA121" s="2">
        <f t="shared" si="10"/>
        <v>143363.30606195473</v>
      </c>
    </row>
    <row r="122" spans="1:27" x14ac:dyDescent="0.25">
      <c r="A122" s="2">
        <v>2035</v>
      </c>
      <c r="B122" s="2">
        <f>B12/'Output-Calculation-sheet'!B11*'Output-Calculation-sheet'!B101</f>
        <v>61338616112.49482</v>
      </c>
      <c r="C122" s="2">
        <f>C12/'Output-Calculation-sheet'!C11*'Output-Calculation-sheet'!C101</f>
        <v>49114627336.643166</v>
      </c>
      <c r="D122" s="2">
        <f>D12/'Output-Calculation-sheet'!D11*'Output-Calculation-sheet'!D101</f>
        <v>0</v>
      </c>
      <c r="E122" s="2">
        <f>E12/'Output-Calculation-sheet'!E11*'Output-Calculation-sheet'!E101</f>
        <v>3926779223.6561756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22607663286.957584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1061291630.1496006</v>
      </c>
      <c r="M122" s="2">
        <f>M12/'Output-Calculation-sheet'!M11*'Output-Calculation-sheet'!M101</f>
        <v>15826585200.701796</v>
      </c>
      <c r="N122" s="2">
        <f>N12/'Output-Calculation-sheet'!N11*'Output-Calculation-sheet'!N101</f>
        <v>10597266077.344753</v>
      </c>
      <c r="O122" s="2">
        <f>O12/'Output-Calculation-sheet'!O11*'Output-Calculation-sheet'!O101</f>
        <v>6789711967.0214653</v>
      </c>
      <c r="P122" s="2">
        <f>P12/'Output-Calculation-sheet'!P11*'Output-Calculation-sheet'!P101</f>
        <v>537983183.74856257</v>
      </c>
      <c r="Q122" s="2">
        <f>Q12/'Output-Calculation-sheet'!Q11*'Output-Calculation-sheet'!Q101</f>
        <v>1268145802.6908977</v>
      </c>
      <c r="R122" s="2">
        <f>R12/'Output-Calculation-sheet'!R11*'Output-Calculation-sheet'!R101</f>
        <v>0</v>
      </c>
      <c r="S122" s="2">
        <f>S12/'Output-Calculation-sheet'!S11*'Output-Calculation-sheet'!S101</f>
        <v>4978769442.4448872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450707104.02829212</v>
      </c>
      <c r="Y122" s="2">
        <f>Y12/'Output-Calculation-sheet'!Y11*'Output-Calculation-sheet'!Y101</f>
        <v>442677298.93665278</v>
      </c>
      <c r="AA122" s="2">
        <f t="shared" si="10"/>
        <v>178940.82366681861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3817711783.1301627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2727182405.0936513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179702.18504776506</v>
      </c>
    </row>
    <row r="130" spans="1:27" x14ac:dyDescent="0.25">
      <c r="A130" s="2">
        <v>2032</v>
      </c>
      <c r="B130" s="2">
        <f>B9/'Output-Calculation-sheet'!B8*'Output-Calculation-sheet'!B107</f>
        <v>75641807746.522461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4340940614.811408</v>
      </c>
      <c r="O130" s="2">
        <f>O9/'Output-Calculation-sheet'!O8*'Output-Calculation-sheet'!O107</f>
        <v>0</v>
      </c>
      <c r="P130" s="2">
        <f>P9/'Output-Calculation-sheet'!P8*'Output-Calculation-sheet'!P107</f>
        <v>7566811689.8451099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3565773293.2447529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250757.3286102048</v>
      </c>
    </row>
    <row r="131" spans="1:27" x14ac:dyDescent="0.25">
      <c r="A131" s="2">
        <v>2033</v>
      </c>
      <c r="B131" s="2">
        <f>B10/'Output-Calculation-sheet'!B9*'Output-Calculation-sheet'!B108</f>
        <v>88543330500.822876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4440746921.3865976</v>
      </c>
      <c r="O131" s="2">
        <f>O10/'Output-Calculation-sheet'!O9*'Output-Calculation-sheet'!O108</f>
        <v>0</v>
      </c>
      <c r="P131" s="2">
        <f>P10/'Output-Calculation-sheet'!P9*'Output-Calculation-sheet'!P108</f>
        <v>10050145200.832788</v>
      </c>
      <c r="Q131" s="2">
        <f>Q10/'Output-Calculation-sheet'!Q9*'Output-Calculation-sheet'!Q108</f>
        <v>9673516308.890028</v>
      </c>
      <c r="R131" s="2">
        <f>R10/'Output-Calculation-sheet'!R9*'Output-Calculation-sheet'!R108</f>
        <v>9512548686.6867847</v>
      </c>
      <c r="S131" s="2">
        <f>S10/'Output-Calculation-sheet'!S9*'Output-Calculation-sheet'!S108</f>
        <v>3664326498.410305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318529.54027213791</v>
      </c>
    </row>
    <row r="132" spans="1:27" x14ac:dyDescent="0.25">
      <c r="A132" s="2">
        <v>2034</v>
      </c>
      <c r="B132" s="2">
        <f>B11/'Output-Calculation-sheet'!B10*'Output-Calculation-sheet'!B109</f>
        <v>89547115354.234604</v>
      </c>
      <c r="C132" s="2">
        <f>C11/'Output-Calculation-sheet'!C10*'Output-Calculation-sheet'!C109</f>
        <v>0</v>
      </c>
      <c r="D132" s="2">
        <f>D11/'Output-Calculation-sheet'!D10*'Output-Calculation-sheet'!D109</f>
        <v>58483692331.62397</v>
      </c>
      <c r="E132" s="2">
        <f>E11/'Output-Calculation-sheet'!E10*'Output-Calculation-sheet'!E109</f>
        <v>45564309833.095116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18588045317.077297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13821596919.032717</v>
      </c>
      <c r="M132" s="2">
        <f>M11/'Output-Calculation-sheet'!M10*'Output-Calculation-sheet'!M109</f>
        <v>0</v>
      </c>
      <c r="N132" s="2">
        <f>N11/'Output-Calculation-sheet'!N10*'Output-Calculation-sheet'!N109</f>
        <v>4380146754.9023304</v>
      </c>
      <c r="O132" s="2">
        <f>O11/'Output-Calculation-sheet'!O10*'Output-Calculation-sheet'!O109</f>
        <v>0</v>
      </c>
      <c r="P132" s="2">
        <f>P11/'Output-Calculation-sheet'!P10*'Output-Calculation-sheet'!P109</f>
        <v>12701451261.836626</v>
      </c>
      <c r="Q132" s="2">
        <f>Q11/'Output-Calculation-sheet'!Q10*'Output-Calculation-sheet'!Q109</f>
        <v>10770541044.203259</v>
      </c>
      <c r="R132" s="2">
        <f>R11/'Output-Calculation-sheet'!R10*'Output-Calculation-sheet'!R109</f>
        <v>12022018832.603718</v>
      </c>
      <c r="S132" s="2">
        <f>S11/'Output-Calculation-sheet'!S10*'Output-Calculation-sheet'!S109</f>
        <v>3743964580.7294712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3758163415.8565817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1435907286.234827</v>
      </c>
      <c r="AA132" s="2">
        <f t="shared" si="11"/>
        <v>373755.41673383996</v>
      </c>
    </row>
    <row r="133" spans="1:27" x14ac:dyDescent="0.25">
      <c r="A133" s="2">
        <v>2035</v>
      </c>
      <c r="B133" s="2">
        <f>B12/'Output-Calculation-sheet'!B11*'Output-Calculation-sheet'!B110</f>
        <v>93852806819.505066</v>
      </c>
      <c r="C133" s="2">
        <f>C12/'Output-Calculation-sheet'!C11*'Output-Calculation-sheet'!C110</f>
        <v>0</v>
      </c>
      <c r="D133" s="2">
        <f>D12/'Output-Calculation-sheet'!D11*'Output-Calculation-sheet'!D110</f>
        <v>64513652509.161026</v>
      </c>
      <c r="E133" s="2">
        <f>E12/'Output-Calculation-sheet'!E11*'Output-Calculation-sheet'!E110</f>
        <v>50791511045.806572</v>
      </c>
      <c r="F133" s="2">
        <f>F12/'Output-Calculation-sheet'!F11*'Output-Calculation-sheet'!F110</f>
        <v>34904206039.504364</v>
      </c>
      <c r="G133" s="2">
        <f>G12/'Output-Calculation-sheet'!G11*'Output-Calculation-sheet'!G110</f>
        <v>24061490939.501488</v>
      </c>
      <c r="H133" s="2">
        <f>H12/'Output-Calculation-sheet'!H11*'Output-Calculation-sheet'!H110</f>
        <v>0</v>
      </c>
      <c r="I133" s="2">
        <f>I12/'Output-Calculation-sheet'!I11*'Output-Calculation-sheet'!I110</f>
        <v>21834771783.56802</v>
      </c>
      <c r="J133" s="2">
        <f>J12/'Output-Calculation-sheet'!J11*'Output-Calculation-sheet'!J110</f>
        <v>20447992105.638302</v>
      </c>
      <c r="K133" s="2">
        <f>K12/'Output-Calculation-sheet'!K11*'Output-Calculation-sheet'!K110</f>
        <v>20938761169.881538</v>
      </c>
      <c r="L133" s="2">
        <f>L12/'Output-Calculation-sheet'!L11*'Output-Calculation-sheet'!L110</f>
        <v>15345095456.1502</v>
      </c>
      <c r="M133" s="2">
        <f>M12/'Output-Calculation-sheet'!M11*'Output-Calculation-sheet'!M110</f>
        <v>0</v>
      </c>
      <c r="N133" s="2">
        <f>N12/'Output-Calculation-sheet'!N11*'Output-Calculation-sheet'!N110</f>
        <v>4790879657.4317732</v>
      </c>
      <c r="O133" s="2">
        <f>O12/'Output-Calculation-sheet'!O11*'Output-Calculation-sheet'!O110</f>
        <v>0</v>
      </c>
      <c r="P133" s="2">
        <f>P12/'Output-Calculation-sheet'!P11*'Output-Calculation-sheet'!P110</f>
        <v>14310443236.591583</v>
      </c>
      <c r="Q133" s="2">
        <f>Q12/'Output-Calculation-sheet'!Q11*'Output-Calculation-sheet'!Q110</f>
        <v>11639097758.819695</v>
      </c>
      <c r="R133" s="2">
        <f>R12/'Output-Calculation-sheet'!R11*'Output-Calculation-sheet'!R110</f>
        <v>13718750237.72645</v>
      </c>
      <c r="S133" s="2">
        <f>S12/'Output-Calculation-sheet'!S11*'Output-Calculation-sheet'!S110</f>
        <v>3699507330.7234383</v>
      </c>
      <c r="T133" s="2">
        <f>T12/'Output-Calculation-sheet'!T11*'Output-Calculation-sheet'!T110</f>
        <v>5162738173.9471912</v>
      </c>
      <c r="U133" s="2">
        <f>U12/'Output-Calculation-sheet'!U11*'Output-Calculation-sheet'!U110</f>
        <v>4185688586.4007001</v>
      </c>
      <c r="V133" s="2">
        <f>V12/'Output-Calculation-sheet'!V11*'Output-Calculation-sheet'!V110</f>
        <v>3300997437.2841101</v>
      </c>
      <c r="W133" s="2">
        <f>W12/'Output-Calculation-sheet'!W11*'Output-Calculation-sheet'!W110</f>
        <v>3080458551.274055</v>
      </c>
      <c r="X133" s="2">
        <f>X12/'Output-Calculation-sheet'!X11*'Output-Calculation-sheet'!X110</f>
        <v>0</v>
      </c>
      <c r="Y133" s="2">
        <f>Y12/'Output-Calculation-sheet'!Y11*'Output-Calculation-sheet'!Y110</f>
        <v>1319234839.167789</v>
      </c>
      <c r="AA133" s="2">
        <f t="shared" si="11"/>
        <v>411898.08367808332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10443894182.910742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318081873.00961804</v>
      </c>
      <c r="Y140" s="2">
        <f>Y8/'Output-Calculation-sheet'!Y7*'Output-Calculation-sheet'!Y115</f>
        <v>0</v>
      </c>
      <c r="AA140" s="2">
        <f t="shared" si="12"/>
        <v>10761.976055920361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8074525655.2303247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451380761.89431483</v>
      </c>
      <c r="Y141" s="2">
        <f>Y9/'Output-Calculation-sheet'!Y8*'Output-Calculation-sheet'!Y116</f>
        <v>0</v>
      </c>
      <c r="AA141" s="2">
        <f t="shared" si="12"/>
        <v>8525.9064171246391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494729739.21000576</v>
      </c>
      <c r="Y142" s="2">
        <f>Y10/'Output-Calculation-sheet'!Y9*'Output-Calculation-sheet'!Y117</f>
        <v>0</v>
      </c>
      <c r="AA142" s="2">
        <f t="shared" si="12"/>
        <v>494.72973921000573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858.57389315496903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1391396647.439152</v>
      </c>
      <c r="Y144" s="2">
        <f>Y12/'Output-Calculation-sheet'!Y11*'Output-Calculation-sheet'!Y119</f>
        <v>0</v>
      </c>
      <c r="AA144" s="2">
        <f t="shared" si="12"/>
        <v>1391.396647439152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31346863286.143925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7647903357.9723663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238038.72371296346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37733665252.084152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8598974740.0927448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217591.28222540618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44739502110.531311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9360959325.1997871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180475.72002450566</v>
      </c>
    </row>
    <row r="154" spans="1:27" x14ac:dyDescent="0.25">
      <c r="A154" s="2">
        <v>2034</v>
      </c>
      <c r="B154" s="2">
        <f>B11/'Output-Calculation-sheet'!B10*'Output-Calculation-sheet'!B127</f>
        <v>23990424086.593357</v>
      </c>
      <c r="C154" s="2">
        <f>C11/'Output-Calculation-sheet'!C10*'Output-Calculation-sheet'!C127</f>
        <v>44273699308.808678</v>
      </c>
      <c r="D154" s="2">
        <f>D11/'Output-Calculation-sheet'!D10*'Output-Calculation-sheet'!D127</f>
        <v>8904675788.5501614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3868770649.1827579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2856303741.081059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2463773542.5911798</v>
      </c>
      <c r="M154" s="2">
        <f>M11/'Output-Calculation-sheet'!M10*'Output-Calculation-sheet'!M127</f>
        <v>2486107956.7895679</v>
      </c>
      <c r="N154" s="2">
        <f>N11/'Output-Calculation-sheet'!N10*'Output-Calculation-sheet'!N127</f>
        <v>2310197003.1391907</v>
      </c>
      <c r="O154" s="2">
        <f>O11/'Output-Calculation-sheet'!O10*'Output-Calculation-sheet'!O127</f>
        <v>9993502460.3242626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3073411465.581346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1593842939.8976061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678897441.28277194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131266.18945045417</v>
      </c>
    </row>
    <row r="155" spans="1:27" x14ac:dyDescent="0.25">
      <c r="A155" s="2">
        <v>2035</v>
      </c>
      <c r="B155" s="2">
        <f>B12/'Output-Calculation-sheet'!B11*'Output-Calculation-sheet'!B128</f>
        <v>23009837937.699902</v>
      </c>
      <c r="C155" s="2">
        <f>C12/'Output-Calculation-sheet'!C11*'Output-Calculation-sheet'!C128</f>
        <v>40647770607.038895</v>
      </c>
      <c r="D155" s="2">
        <f>D12/'Output-Calculation-sheet'!D11*'Output-Calculation-sheet'!D128</f>
        <v>9479620100.0223637</v>
      </c>
      <c r="E155" s="2">
        <f>E12/'Output-Calculation-sheet'!E11*'Output-Calculation-sheet'!E128</f>
        <v>5166770817.7948685</v>
      </c>
      <c r="F155" s="2">
        <f>F12/'Output-Calculation-sheet'!F11*'Output-Calculation-sheet'!F128</f>
        <v>2814422401.5085158</v>
      </c>
      <c r="G155" s="2">
        <f>G12/'Output-Calculation-sheet'!G11*'Output-Calculation-sheet'!G128</f>
        <v>2655257723.9420958</v>
      </c>
      <c r="H155" s="2">
        <f>H12/'Output-Calculation-sheet'!H11*'Output-Calculation-sheet'!H128</f>
        <v>3878329171.4414344</v>
      </c>
      <c r="I155" s="2">
        <f>I12/'Output-Calculation-sheet'!I11*'Output-Calculation-sheet'!I128</f>
        <v>2426108178.5349751</v>
      </c>
      <c r="J155" s="2">
        <f>J12/'Output-Calculation-sheet'!J11*'Output-Calculation-sheet'!J128</f>
        <v>3018126628.620358</v>
      </c>
      <c r="K155" s="2">
        <f>K12/'Output-Calculation-sheet'!K11*'Output-Calculation-sheet'!K128</f>
        <v>2419496521.9533072</v>
      </c>
      <c r="L155" s="2">
        <f>L12/'Output-Calculation-sheet'!L11*'Output-Calculation-sheet'!L128</f>
        <v>2476648117.6347814</v>
      </c>
      <c r="M155" s="2">
        <f>M12/'Output-Calculation-sheet'!M11*'Output-Calculation-sheet'!M128</f>
        <v>2448569852.2850299</v>
      </c>
      <c r="N155" s="2">
        <f>N12/'Output-Calculation-sheet'!N11*'Output-Calculation-sheet'!N128</f>
        <v>2245327333.7944584</v>
      </c>
      <c r="O155" s="2">
        <f>O12/'Output-Calculation-sheet'!O11*'Output-Calculation-sheet'!O128</f>
        <v>10552770736.582676</v>
      </c>
      <c r="P155" s="2">
        <f>P12/'Output-Calculation-sheet'!P11*'Output-Calculation-sheet'!P128</f>
        <v>1298540213.965039</v>
      </c>
      <c r="Q155" s="2">
        <f>Q12/'Output-Calculation-sheet'!Q11*'Output-Calculation-sheet'!Q128</f>
        <v>3085526134.3996935</v>
      </c>
      <c r="R155" s="2">
        <f>R12/'Output-Calculation-sheet'!R11*'Output-Calculation-sheet'!R128</f>
        <v>1425155041.321579</v>
      </c>
      <c r="S155" s="2">
        <f>S12/'Output-Calculation-sheet'!S11*'Output-Calculation-sheet'!S128</f>
        <v>1496900853.4791224</v>
      </c>
      <c r="T155" s="2">
        <f>T12/'Output-Calculation-sheet'!T11*'Output-Calculation-sheet'!T128</f>
        <v>369271405.89412993</v>
      </c>
      <c r="U155" s="2">
        <f>U12/'Output-Calculation-sheet'!U11*'Output-Calculation-sheet'!U128</f>
        <v>718752432.29686296</v>
      </c>
      <c r="V155" s="2">
        <f>V12/'Output-Calculation-sheet'!V11*'Output-Calculation-sheet'!V128</f>
        <v>399290296.69778353</v>
      </c>
      <c r="W155" s="2">
        <f>W12/'Output-Calculation-sheet'!W11*'Output-Calculation-sheet'!W128</f>
        <v>142905391.11594328</v>
      </c>
      <c r="X155" s="2">
        <f>X12/'Output-Calculation-sheet'!X11*'Output-Calculation-sheet'!X128</f>
        <v>64358194.669311672</v>
      </c>
      <c r="Y155" s="2">
        <f>Y12/'Output-Calculation-sheet'!Y11*'Output-Calculation-sheet'!Y128</f>
        <v>158513762.66202217</v>
      </c>
      <c r="AA155" s="2">
        <f t="shared" si="13"/>
        <v>122398.26985535515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8821.2766958469019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5656.3013763711169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3926.0466882897913</v>
      </c>
      <c r="N19" s="2">
        <f>N8/'Output-Calculation-sheet'!N7*'Output-Calculation-sheet'!N25</f>
        <v>1342.0650502200278</v>
      </c>
      <c r="O19" s="2">
        <f>O8/'Output-Calculation-sheet'!O7*'Output-Calculation-sheet'!O25</f>
        <v>2097.5882175349489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207.27000898456924</v>
      </c>
      <c r="Y19" s="2">
        <f>Y8/'Output-Calculation-sheet'!Y7*'Output-Calculation-sheet'!Y25</f>
        <v>0</v>
      </c>
      <c r="AA19" s="2">
        <f t="shared" si="0"/>
        <v>23.788864173447475</v>
      </c>
    </row>
    <row r="20" spans="1:27" x14ac:dyDescent="0.25">
      <c r="A20" s="2">
        <v>2032</v>
      </c>
      <c r="B20" s="2">
        <f>B9/'Output-Calculation-sheet'!B8*'Output-Calculation-sheet'!B26</f>
        <v>6935.9548805732147</v>
      </c>
      <c r="C20" s="2">
        <f>C9/'Output-Calculation-sheet'!C8*'Output-Calculation-sheet'!C26</f>
        <v>11726.237183729931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7539.8653214082133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5243.5376894050478</v>
      </c>
      <c r="N20" s="2">
        <f>N9/'Output-Calculation-sheet'!N8*'Output-Calculation-sheet'!N26</f>
        <v>2361.0954424911683</v>
      </c>
      <c r="O20" s="2">
        <f>O9/'Output-Calculation-sheet'!O8*'Output-Calculation-sheet'!O26</f>
        <v>2458.6514356378748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858.66439325216538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280.21084605314581</v>
      </c>
      <c r="Y20" s="2">
        <f>Y9/'Output-Calculation-sheet'!Y8*'Output-Calculation-sheet'!Y26</f>
        <v>0</v>
      </c>
      <c r="AA20" s="2">
        <f t="shared" si="0"/>
        <v>37.40421719255076</v>
      </c>
    </row>
    <row r="21" spans="1:27" x14ac:dyDescent="0.25">
      <c r="A21" s="2">
        <v>2033</v>
      </c>
      <c r="B21" s="2">
        <f>B10/'Output-Calculation-sheet'!B9*'Output-Calculation-sheet'!B27</f>
        <v>15393.838940637817</v>
      </c>
      <c r="C21" s="2">
        <f>C10/'Output-Calculation-sheet'!C9*'Output-Calculation-sheet'!C27</f>
        <v>15806.445268871297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8889.6527283198284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6175.5611962269804</v>
      </c>
      <c r="N21" s="2">
        <f>N10/'Output-Calculation-sheet'!N9*'Output-Calculation-sheet'!N27</f>
        <v>3373.6444425552099</v>
      </c>
      <c r="O21" s="2">
        <f>O10/'Output-Calculation-sheet'!O9*'Output-Calculation-sheet'!O27</f>
        <v>2608.6864202173529</v>
      </c>
      <c r="P21" s="2">
        <f>P10/'Output-Calculation-sheet'!P9*'Output-Calculation-sheet'!P27</f>
        <v>0</v>
      </c>
      <c r="Q21" s="2">
        <f>Q10/'Output-Calculation-sheet'!Q9*'Output-Calculation-sheet'!Q27</f>
        <v>227.80044493089827</v>
      </c>
      <c r="R21" s="2">
        <f>R10/'Output-Calculation-sheet'!R9*'Output-Calculation-sheet'!R27</f>
        <v>0</v>
      </c>
      <c r="S21" s="2">
        <f>S10/'Output-Calculation-sheet'!S9*'Output-Calculation-sheet'!S27</f>
        <v>1468.5560474618828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391.49140368556135</v>
      </c>
      <c r="Y21" s="2">
        <f>Y10/'Output-Calculation-sheet'!Y9*'Output-Calculation-sheet'!Y27</f>
        <v>0</v>
      </c>
      <c r="AA21" s="2">
        <f t="shared" si="0"/>
        <v>54.335676892906832</v>
      </c>
    </row>
    <row r="22" spans="1:27" x14ac:dyDescent="0.25">
      <c r="A22" s="2">
        <v>2034</v>
      </c>
      <c r="B22" s="2">
        <f>B11/'Output-Calculation-sheet'!B10*'Output-Calculation-sheet'!B28</f>
        <v>23541.892879373172</v>
      </c>
      <c r="C22" s="2">
        <f>C11/'Output-Calculation-sheet'!C10*'Output-Calculation-sheet'!C28</f>
        <v>16554.906830714623</v>
      </c>
      <c r="D22" s="2">
        <f>D11/'Output-Calculation-sheet'!D10*'Output-Calculation-sheet'!D28</f>
        <v>0</v>
      </c>
      <c r="E22" s="2">
        <f>E11/'Output-Calculation-sheet'!E10*'Output-Calculation-sheet'!E28</f>
        <v>1348.5064166109119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9467.9434978192712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676.17752908299758</v>
      </c>
      <c r="M22" s="2">
        <f>M11/'Output-Calculation-sheet'!M10*'Output-Calculation-sheet'!M28</f>
        <v>6727.3722592927243</v>
      </c>
      <c r="N22" s="2">
        <f>N11/'Output-Calculation-sheet'!N10*'Output-Calculation-sheet'!N28</f>
        <v>3967.1684803426774</v>
      </c>
      <c r="O22" s="2">
        <f>O11/'Output-Calculation-sheet'!O10*'Output-Calculation-sheet'!O28</f>
        <v>2529.4962181370365</v>
      </c>
      <c r="P22" s="2">
        <f>P11/'Output-Calculation-sheet'!P10*'Output-Calculation-sheet'!P28</f>
        <v>0</v>
      </c>
      <c r="Q22" s="2">
        <f>Q11/'Output-Calculation-sheet'!Q10*'Output-Calculation-sheet'!Q28</f>
        <v>594.11816021425614</v>
      </c>
      <c r="R22" s="2">
        <f>R11/'Output-Calculation-sheet'!R10*'Output-Calculation-sheet'!R28</f>
        <v>0</v>
      </c>
      <c r="S22" s="2">
        <f>S11/'Output-Calculation-sheet'!S10*'Output-Calculation-sheet'!S28</f>
        <v>1743.2376844852272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73.092908843615561</v>
      </c>
      <c r="AA22" s="2">
        <f t="shared" si="0"/>
        <v>67.522960727798136</v>
      </c>
    </row>
    <row r="23" spans="1:27" x14ac:dyDescent="0.25">
      <c r="A23" s="2">
        <v>2035</v>
      </c>
      <c r="B23" s="2">
        <f>B12/'Output-Calculation-sheet'!B11*'Output-Calculation-sheet'!B29</f>
        <v>22280.39279191881</v>
      </c>
      <c r="C23" s="2">
        <f>C12/'Output-Calculation-sheet'!C11*'Output-Calculation-sheet'!C29</f>
        <v>16224.72473476674</v>
      </c>
      <c r="D23" s="2">
        <f>D12/'Output-Calculation-sheet'!D11*'Output-Calculation-sheet'!D29</f>
        <v>0</v>
      </c>
      <c r="E23" s="2">
        <f>E12/'Output-Calculation-sheet'!E11*'Output-Calculation-sheet'!E29</f>
        <v>2963.18040238105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8053.846438975379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646.58688090878536</v>
      </c>
      <c r="M23" s="2">
        <f>M12/'Output-Calculation-sheet'!M11*'Output-Calculation-sheet'!M29</f>
        <v>5755.6509583968827</v>
      </c>
      <c r="N23" s="2">
        <f>N12/'Output-Calculation-sheet'!N11*'Output-Calculation-sheet'!N29</f>
        <v>3442.7103772609453</v>
      </c>
      <c r="O23" s="2">
        <f>O12/'Output-Calculation-sheet'!O11*'Output-Calculation-sheet'!O29</f>
        <v>2236.6416753771259</v>
      </c>
      <c r="P23" s="2">
        <f>P12/'Output-Calculation-sheet'!P11*'Output-Calculation-sheet'!P29</f>
        <v>468.52231277497697</v>
      </c>
      <c r="Q23" s="2">
        <f>Q12/'Output-Calculation-sheet'!Q11*'Output-Calculation-sheet'!Q29</f>
        <v>698.04903218303139</v>
      </c>
      <c r="R23" s="2">
        <f>R12/'Output-Calculation-sheet'!R11*'Output-Calculation-sheet'!R29</f>
        <v>0</v>
      </c>
      <c r="S23" s="2">
        <f>S12/'Output-Calculation-sheet'!S11*'Output-Calculation-sheet'!S29</f>
        <v>1648.4557686407327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145.29805273407132</v>
      </c>
      <c r="Y23" s="2">
        <f>Y12/'Output-Calculation-sheet'!Y11*'Output-Calculation-sheet'!Y29</f>
        <v>153.31155244684456</v>
      </c>
      <c r="AA23" s="2">
        <f t="shared" si="0"/>
        <v>64.717370978765373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1827.643201321619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46.983542519522139</v>
      </c>
    </row>
    <row r="31" spans="1:27" x14ac:dyDescent="0.25">
      <c r="A31" s="2">
        <v>2032</v>
      </c>
      <c r="B31" s="2">
        <f>B9/'Output-Calculation-sheet'!B8*'Output-Calculation-sheet'!B17</f>
        <v>29368.834064898881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2011.6352545284058</v>
      </c>
      <c r="O31" s="2">
        <f>O9/'Output-Calculation-sheet'!O8*'Output-Calculation-sheet'!O17</f>
        <v>0</v>
      </c>
      <c r="P31" s="2">
        <f>P9/'Output-Calculation-sheet'!P8*'Output-Calculation-sheet'!P17</f>
        <v>2490.9899455620789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1495.7699582940918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63.956784154564509</v>
      </c>
    </row>
    <row r="32" spans="1:27" x14ac:dyDescent="0.25">
      <c r="A32" s="2">
        <v>2033</v>
      </c>
      <c r="B32" s="2">
        <f>B10/'Output-Calculation-sheet'!B9*'Output-Calculation-sheet'!B18</f>
        <v>31177.786301729131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2973.7311480017461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1905.2445014178875</v>
      </c>
      <c r="O32" s="2">
        <f>O10/'Output-Calculation-sheet'!O9*'Output-Calculation-sheet'!O18</f>
        <v>0</v>
      </c>
      <c r="P32" s="2">
        <f>P10/'Output-Calculation-sheet'!P9*'Output-Calculation-sheet'!P18</f>
        <v>3060.5600365059895</v>
      </c>
      <c r="Q32" s="2">
        <f>Q10/'Output-Calculation-sheet'!Q9*'Output-Calculation-sheet'!Q18</f>
        <v>3334.4309486925254</v>
      </c>
      <c r="R32" s="2">
        <f>R10/'Output-Calculation-sheet'!R9*'Output-Calculation-sheet'!R18</f>
        <v>2197.7698981387739</v>
      </c>
      <c r="S32" s="2">
        <f>S10/'Output-Calculation-sheet'!S9*'Output-Calculation-sheet'!S18</f>
        <v>1439.4087223215017</v>
      </c>
      <c r="T32" s="2">
        <f>T10/'Output-Calculation-sheet'!T9*'Output-Calculation-sheet'!T18</f>
        <v>641.66322322606004</v>
      </c>
      <c r="U32" s="2">
        <f>U10/'Output-Calculation-sheet'!U9*'Output-Calculation-sheet'!U18</f>
        <v>709.43759367524126</v>
      </c>
      <c r="V32" s="2">
        <f>V10/'Output-Calculation-sheet'!V9*'Output-Calculation-sheet'!V18</f>
        <v>523.53236896503654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303.14633119984541</v>
      </c>
      <c r="AA32" s="2">
        <f t="shared" si="1"/>
        <v>74.944517035342727</v>
      </c>
    </row>
    <row r="33" spans="1:27" x14ac:dyDescent="0.25">
      <c r="A33" s="2">
        <v>2034</v>
      </c>
      <c r="B33" s="2">
        <f>B11/'Output-Calculation-sheet'!B10*'Output-Calculation-sheet'!B19</f>
        <v>26747.599834058517</v>
      </c>
      <c r="C33" s="2">
        <f>C11/'Output-Calculation-sheet'!C10*'Output-Calculation-sheet'!C19</f>
        <v>0</v>
      </c>
      <c r="D33" s="2">
        <f>D11/'Output-Calculation-sheet'!D10*'Output-Calculation-sheet'!D19</f>
        <v>7818.0068799239061</v>
      </c>
      <c r="E33" s="2">
        <f>E11/'Output-Calculation-sheet'!E10*'Output-Calculation-sheet'!E19</f>
        <v>9835.7940640248453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2952.0609025605036</v>
      </c>
      <c r="J33" s="2">
        <f>J11/'Output-Calculation-sheet'!J10*'Output-Calculation-sheet'!J19</f>
        <v>2443.6125037454326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2738.5884182500959</v>
      </c>
      <c r="M33" s="2">
        <f>M11/'Output-Calculation-sheet'!M10*'Output-Calculation-sheet'!M19</f>
        <v>0</v>
      </c>
      <c r="N33" s="2">
        <f>N11/'Output-Calculation-sheet'!N10*'Output-Calculation-sheet'!N19</f>
        <v>1625.5015166523667</v>
      </c>
      <c r="O33" s="2">
        <f>O11/'Output-Calculation-sheet'!O10*'Output-Calculation-sheet'!O19</f>
        <v>0</v>
      </c>
      <c r="P33" s="2">
        <f>P11/'Output-Calculation-sheet'!P10*'Output-Calculation-sheet'!P19</f>
        <v>3502.1958532674657</v>
      </c>
      <c r="Q33" s="2">
        <f>Q11/'Output-Calculation-sheet'!Q10*'Output-Calculation-sheet'!Q19</f>
        <v>2931.341047939894</v>
      </c>
      <c r="R33" s="2">
        <f>R11/'Output-Calculation-sheet'!R10*'Output-Calculation-sheet'!R19</f>
        <v>2500.9101797994595</v>
      </c>
      <c r="S33" s="2">
        <f>S11/'Output-Calculation-sheet'!S10*'Output-Calculation-sheet'!S19</f>
        <v>1253.9554600249248</v>
      </c>
      <c r="T33" s="2">
        <f>T11/'Output-Calculation-sheet'!T10*'Output-Calculation-sheet'!T19</f>
        <v>733.81464592229247</v>
      </c>
      <c r="U33" s="2">
        <f>U11/'Output-Calculation-sheet'!U10*'Output-Calculation-sheet'!U19</f>
        <v>791.02610874668153</v>
      </c>
      <c r="V33" s="2">
        <f>V11/'Output-Calculation-sheet'!V10*'Output-Calculation-sheet'!V19</f>
        <v>575.59010336320182</v>
      </c>
      <c r="W33" s="2">
        <f>W11/'Output-Calculation-sheet'!W10*'Output-Calculation-sheet'!W19</f>
        <v>358.39771253740651</v>
      </c>
      <c r="X33" s="2">
        <f>X11/'Output-Calculation-sheet'!X10*'Output-Calculation-sheet'!X19</f>
        <v>0</v>
      </c>
      <c r="Y33" s="2">
        <f>Y11/'Output-Calculation-sheet'!Y10*'Output-Calculation-sheet'!Y19</f>
        <v>323.03572847347994</v>
      </c>
      <c r="AA33" s="2">
        <f t="shared" si="1"/>
        <v>77.810244985483934</v>
      </c>
    </row>
    <row r="34" spans="1:27" x14ac:dyDescent="0.25">
      <c r="A34" s="2">
        <v>2035</v>
      </c>
      <c r="B34" s="2">
        <f>B12/'Output-Calculation-sheet'!B11*'Output-Calculation-sheet'!B20</f>
        <v>20762.814147928395</v>
      </c>
      <c r="C34" s="2">
        <f>C12/'Output-Calculation-sheet'!C11*'Output-Calculation-sheet'!C20</f>
        <v>0</v>
      </c>
      <c r="D34" s="2">
        <f>D12/'Output-Calculation-sheet'!D11*'Output-Calculation-sheet'!D20</f>
        <v>6474.5230843663448</v>
      </c>
      <c r="E34" s="2">
        <f>E12/'Output-Calculation-sheet'!E11*'Output-Calculation-sheet'!E20</f>
        <v>7578.4303441513784</v>
      </c>
      <c r="F34" s="2">
        <f>F12/'Output-Calculation-sheet'!F11*'Output-Calculation-sheet'!F20</f>
        <v>4402.3028795327973</v>
      </c>
      <c r="G34" s="2">
        <f>G12/'Output-Calculation-sheet'!G11*'Output-Calculation-sheet'!G20</f>
        <v>2336.9987900446818</v>
      </c>
      <c r="H34" s="2">
        <f>H12/'Output-Calculation-sheet'!H11*'Output-Calculation-sheet'!H20</f>
        <v>0</v>
      </c>
      <c r="I34" s="2">
        <f>I12/'Output-Calculation-sheet'!I11*'Output-Calculation-sheet'!I20</f>
        <v>2590.552250594671</v>
      </c>
      <c r="J34" s="2">
        <f>J12/'Output-Calculation-sheet'!J11*'Output-Calculation-sheet'!J20</f>
        <v>2026.2443943564592</v>
      </c>
      <c r="K34" s="2">
        <f>K12/'Output-Calculation-sheet'!K11*'Output-Calculation-sheet'!K20</f>
        <v>2991.4040292538357</v>
      </c>
      <c r="L34" s="2">
        <f>L12/'Output-Calculation-sheet'!L11*'Output-Calculation-sheet'!L20</f>
        <v>2271.2908937329012</v>
      </c>
      <c r="M34" s="2">
        <f>M12/'Output-Calculation-sheet'!M11*'Output-Calculation-sheet'!M20</f>
        <v>0</v>
      </c>
      <c r="N34" s="2">
        <f>N12/'Output-Calculation-sheet'!N11*'Output-Calculation-sheet'!N20</f>
        <v>1321.7278829827096</v>
      </c>
      <c r="O34" s="2">
        <f>O12/'Output-Calculation-sheet'!O11*'Output-Calculation-sheet'!O20</f>
        <v>0</v>
      </c>
      <c r="P34" s="2">
        <f>P12/'Output-Calculation-sheet'!P11*'Output-Calculation-sheet'!P20</f>
        <v>2854.2980070437948</v>
      </c>
      <c r="Q34" s="2">
        <f>Q12/'Output-Calculation-sheet'!Q11*'Output-Calculation-sheet'!Q20</f>
        <v>2342.2319081439196</v>
      </c>
      <c r="R34" s="2">
        <f>R12/'Output-Calculation-sheet'!R11*'Output-Calculation-sheet'!R20</f>
        <v>2221.2986622458161</v>
      </c>
      <c r="S34" s="2">
        <f>S12/'Output-Calculation-sheet'!S11*'Output-Calculation-sheet'!S20</f>
        <v>939.74997922649936</v>
      </c>
      <c r="T34" s="2">
        <f>T12/'Output-Calculation-sheet'!T11*'Output-Calculation-sheet'!T20</f>
        <v>688.06354942955011</v>
      </c>
      <c r="U34" s="2">
        <f>U12/'Output-Calculation-sheet'!U11*'Output-Calculation-sheet'!U20</f>
        <v>657.41707828344215</v>
      </c>
      <c r="V34" s="2">
        <f>V12/'Output-Calculation-sheet'!V11*'Output-Calculation-sheet'!V20</f>
        <v>489.41425345004939</v>
      </c>
      <c r="W34" s="2">
        <f>W12/'Output-Calculation-sheet'!W11*'Output-Calculation-sheet'!W20</f>
        <v>385.89379863433959</v>
      </c>
      <c r="X34" s="2">
        <f>X12/'Output-Calculation-sheet'!X11*'Output-Calculation-sheet'!X20</f>
        <v>0</v>
      </c>
      <c r="Y34" s="2">
        <f>Y12/'Output-Calculation-sheet'!Y11*'Output-Calculation-sheet'!Y20</f>
        <v>227.90451138100215</v>
      </c>
      <c r="AA34" s="2">
        <f t="shared" si="1"/>
        <v>63.562560444782584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0.7176636156143158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0.39502929253881591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1.1126929081531318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2.2322880659042963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0.55757771546260637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2.7898657813669026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3.7471349821190061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0.67943328006561754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4.4265682621846238</v>
      </c>
    </row>
    <row r="44" spans="1:27" x14ac:dyDescent="0.25">
      <c r="A44" s="2">
        <v>2034</v>
      </c>
      <c r="B44" s="2">
        <f>B11/'Output-Calculation-sheet'!B10*'Output-Calculation-sheet'!B37*0.0114</f>
        <v>0.23737802630291679</v>
      </c>
      <c r="C44" s="2">
        <f>C11/'Output-Calculation-sheet'!C10*'Output-Calculation-sheet'!C37*0.0114</f>
        <v>3.7742810340303432</v>
      </c>
      <c r="D44" s="2">
        <f>D11/'Output-Calculation-sheet'!D10*'Output-Calculation-sheet'!D37*0.0114</f>
        <v>4.9900914272111019E-2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6.9363627549262577E-2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1.5934132947751197E-2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1.2582675502261057E-2</v>
      </c>
      <c r="M44" s="2">
        <f>M11/'Output-Calculation-sheet'!M10*'Output-Calculation-sheet'!M37*0.0114</f>
        <v>3.5796694641780612E-2</v>
      </c>
      <c r="N44" s="2">
        <f>N11/'Output-Calculation-sheet'!N10*'Output-Calculation-sheet'!N37*0.0114</f>
        <v>2.3454897004125626E-2</v>
      </c>
      <c r="O44" s="2">
        <f>O11/'Output-Calculation-sheet'!O10*'Output-Calculation-sheet'!O37*0.0114</f>
        <v>0.72229410235357727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5.1375202160631406E-2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2.6890313331328367E-2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6.5567114130173545E-3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5.0258083315091069</v>
      </c>
    </row>
    <row r="45" spans="1:27" x14ac:dyDescent="0.25">
      <c r="A45" s="2">
        <v>2035</v>
      </c>
      <c r="B45" s="2">
        <f>B12/'Output-Calculation-sheet'!B11*'Output-Calculation-sheet'!B38*0.0114</f>
        <v>0.88632107695741458</v>
      </c>
      <c r="C45" s="2">
        <f>C12/'Output-Calculation-sheet'!C11*'Output-Calculation-sheet'!C38*0.0114</f>
        <v>3.3653479790599192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0.23033847801057467</v>
      </c>
      <c r="F45" s="2">
        <f>F12/'Output-Calculation-sheet'!F11*'Output-Calculation-sheet'!F38*0.0114</f>
        <v>8.2781174868988297E-2</v>
      </c>
      <c r="G45" s="2">
        <f>G12/'Output-Calculation-sheet'!G11*'Output-Calculation-sheet'!G38*0.0114</f>
        <v>7.4263481114004007E-2</v>
      </c>
      <c r="H45" s="2">
        <f>H12/'Output-Calculation-sheet'!H11*'Output-Calculation-sheet'!H38*0.0114</f>
        <v>0.25898962102196893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5.2884265450965598E-2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6.2641521210494974E-2</v>
      </c>
      <c r="M45" s="2">
        <f>M12/'Output-Calculation-sheet'!M11*'Output-Calculation-sheet'!M38*0.0114</f>
        <v>0.1584089457862223</v>
      </c>
      <c r="N45" s="2">
        <f>N12/'Output-Calculation-sheet'!N11*'Output-Calculation-sheet'!N38*0.0114</f>
        <v>9.7306439841953876E-2</v>
      </c>
      <c r="O45" s="2">
        <f>O12/'Output-Calculation-sheet'!O11*'Output-Calculation-sheet'!O38*0.0114</f>
        <v>0.68103502113888625</v>
      </c>
      <c r="P45" s="2">
        <f>P12/'Output-Calculation-sheet'!P11*'Output-Calculation-sheet'!P38*0.0114</f>
        <v>6.2925840907503458E-2</v>
      </c>
      <c r="Q45" s="2">
        <f>Q12/'Output-Calculation-sheet'!Q11*'Output-Calculation-sheet'!Q38*0.0114</f>
        <v>9.3780873465965017E-2</v>
      </c>
      <c r="R45" s="2">
        <f>R12/'Output-Calculation-sheet'!R11*'Output-Calculation-sheet'!R38*0.0114</f>
        <v>4.2273368806981855E-2</v>
      </c>
      <c r="S45" s="2">
        <f>S12/'Output-Calculation-sheet'!S11*'Output-Calculation-sheet'!S38*0.0114</f>
        <v>6.1357351551160892E-2</v>
      </c>
      <c r="T45" s="2">
        <f>T12/'Output-Calculation-sheet'!T11*'Output-Calculation-sheet'!T38*0.0114</f>
        <v>1.2511643187432205E-2</v>
      </c>
      <c r="U45" s="2">
        <f>U12/'Output-Calculation-sheet'!U11*'Output-Calculation-sheet'!U38*0.0114</f>
        <v>1.9041105624625913E-2</v>
      </c>
      <c r="V45" s="2">
        <f>V12/'Output-Calculation-sheet'!V11*'Output-Calculation-sheet'!V38*0.0114</f>
        <v>8.3899176272154517E-3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4.3444477041879705E-3</v>
      </c>
      <c r="Y45" s="2">
        <f>Y12/'Output-Calculation-sheet'!Y11*'Output-Calculation-sheet'!Y38*0.0114</f>
        <v>7.3368314881252479E-3</v>
      </c>
      <c r="AA45" s="2">
        <f t="shared" si="2"/>
        <v>6.5524314148930971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7987.324294852946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5462.7200660132157</v>
      </c>
      <c r="N52" s="2">
        <f>N8/'Output-Calculation-sheet'!N7*'Output-Calculation-sheet'!N43</f>
        <v>172.55836646878143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36.936399734119519</v>
      </c>
      <c r="Y52" s="2">
        <f>Y8/'Output-Calculation-sheet'!Y7*'Output-Calculation-sheet'!Y43</f>
        <v>0</v>
      </c>
      <c r="AA52" s="2">
        <f t="shared" si="3"/>
        <v>13.659539127069063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229.38298421572969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15102.18500341336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10328.964949308407</v>
      </c>
      <c r="N53" s="2">
        <f>N9/'Output-Calculation-sheet'!N8*'Output-Calculation-sheet'!N44</f>
        <v>3665.3730911378357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1143.0297696090904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315.25805109224012</v>
      </c>
      <c r="Y53" s="2">
        <f>Y9/'Output-Calculation-sheet'!Y8*'Output-Calculation-sheet'!Y44</f>
        <v>0</v>
      </c>
      <c r="AA53" s="2">
        <f t="shared" si="3"/>
        <v>30.946669316640424</v>
      </c>
    </row>
    <row r="54" spans="1:27" x14ac:dyDescent="0.25">
      <c r="A54" s="2">
        <v>2033</v>
      </c>
      <c r="B54" s="2">
        <f>B10/'Output-Calculation-sheet'!B9*'Output-Calculation-sheet'!B45</f>
        <v>29398.371113528869</v>
      </c>
      <c r="C54" s="2">
        <f>C10/'Output-Calculation-sheet'!C9*'Output-Calculation-sheet'!C45</f>
        <v>6316.4424479286745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14684.786134533426</v>
      </c>
      <c r="N54" s="2">
        <f>N10/'Output-Calculation-sheet'!N9*'Output-Calculation-sheet'!N45</f>
        <v>8216.0115818387567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860.34075265052491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89.831644366199782</v>
      </c>
    </row>
    <row r="55" spans="1:27" x14ac:dyDescent="0.25">
      <c r="A55" s="2">
        <v>2034</v>
      </c>
      <c r="B55" s="2">
        <f>B11/'Output-Calculation-sheet'!B10*'Output-Calculation-sheet'!B46</f>
        <v>66372.145512328701</v>
      </c>
      <c r="C55" s="2">
        <f>C11/'Output-Calculation-sheet'!C10*'Output-Calculation-sheet'!C46</f>
        <v>13618.641699119697</v>
      </c>
      <c r="D55" s="2">
        <f>D11/'Output-Calculation-sheet'!D10*'Output-Calculation-sheet'!D46</f>
        <v>5747.3596876562951</v>
      </c>
      <c r="E55" s="2">
        <f>E11/'Output-Calculation-sheet'!E10*'Output-Calculation-sheet'!E46</f>
        <v>8606.4737415363161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22234.389120341471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824.6612665941409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692.04715262435809</v>
      </c>
      <c r="M55" s="2">
        <f>M11/'Output-Calculation-sheet'!M10*'Output-Calculation-sheet'!M46</f>
        <v>15548.535055662309</v>
      </c>
      <c r="N55" s="2">
        <f>N11/'Output-Calculation-sheet'!N10*'Output-Calculation-sheet'!N46</f>
        <v>11325.217592913114</v>
      </c>
      <c r="O55" s="2">
        <f>O11/'Output-Calculation-sheet'!O10*'Output-Calculation-sheet'!O46</f>
        <v>0</v>
      </c>
      <c r="P55" s="2">
        <f>P11/'Output-Calculation-sheet'!P10*'Output-Calculation-sheet'!P46</f>
        <v>4490.4503690481069</v>
      </c>
      <c r="Q55" s="2">
        <f>Q11/'Output-Calculation-sheet'!Q10*'Output-Calculation-sheet'!Q46</f>
        <v>1661.1315365270821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4762.416018943155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1104.5758130438446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74.118343225906813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171.48257535607613</v>
      </c>
    </row>
    <row r="56" spans="1:27" x14ac:dyDescent="0.25">
      <c r="A56" s="2">
        <v>2035</v>
      </c>
      <c r="B56" s="2">
        <f>B12/'Output-Calculation-sheet'!B11*'Output-Calculation-sheet'!B47</f>
        <v>63122.301260505148</v>
      </c>
      <c r="C56" s="2">
        <f>C12/'Output-Calculation-sheet'!C11*'Output-Calculation-sheet'!C47</f>
        <v>22755.459653731177</v>
      </c>
      <c r="D56" s="2">
        <f>D12/'Output-Calculation-sheet'!D11*'Output-Calculation-sheet'!D47</f>
        <v>4968.5286396169522</v>
      </c>
      <c r="E56" s="2">
        <f>E12/'Output-Calculation-sheet'!E11*'Output-Calculation-sheet'!E47</f>
        <v>13196.836108575782</v>
      </c>
      <c r="F56" s="2">
        <f>F12/'Output-Calculation-sheet'!F11*'Output-Calculation-sheet'!F47</f>
        <v>1552.1470287935306</v>
      </c>
      <c r="G56" s="2">
        <f>G12/'Output-Calculation-sheet'!G11*'Output-Calculation-sheet'!G47</f>
        <v>4011.5308482459359</v>
      </c>
      <c r="H56" s="2">
        <f>H12/'Output-Calculation-sheet'!H11*'Output-Calculation-sheet'!H47</f>
        <v>18740.145677067227</v>
      </c>
      <c r="I56" s="2">
        <f>I12/'Output-Calculation-sheet'!I11*'Output-Calculation-sheet'!I47</f>
        <v>2230.0292867680541</v>
      </c>
      <c r="J56" s="2">
        <f>J12/'Output-Calculation-sheet'!J11*'Output-Calculation-sheet'!J47</f>
        <v>800.22243774487413</v>
      </c>
      <c r="K56" s="2">
        <f>K12/'Output-Calculation-sheet'!K11*'Output-Calculation-sheet'!K47</f>
        <v>3334.2912548357576</v>
      </c>
      <c r="L56" s="2">
        <f>L12/'Output-Calculation-sheet'!L11*'Output-Calculation-sheet'!L47</f>
        <v>753.71304029586793</v>
      </c>
      <c r="M56" s="2">
        <f>M12/'Output-Calculation-sheet'!M11*'Output-Calculation-sheet'!M47</f>
        <v>13119.109293019046</v>
      </c>
      <c r="N56" s="2">
        <f>N12/'Output-Calculation-sheet'!N11*'Output-Calculation-sheet'!N47</f>
        <v>9784.4185956869933</v>
      </c>
      <c r="O56" s="2">
        <f>O12/'Output-Calculation-sheet'!O11*'Output-Calculation-sheet'!O47</f>
        <v>0</v>
      </c>
      <c r="P56" s="2">
        <f>P12/'Output-Calculation-sheet'!P11*'Output-Calculation-sheet'!P47</f>
        <v>5050.6267044180413</v>
      </c>
      <c r="Q56" s="2">
        <f>Q12/'Output-Calculation-sheet'!Q11*'Output-Calculation-sheet'!Q47</f>
        <v>1790.3621298047865</v>
      </c>
      <c r="R56" s="2">
        <f>R12/'Output-Calculation-sheet'!R11*'Output-Calculation-sheet'!R47</f>
        <v>3493.8568499945877</v>
      </c>
      <c r="S56" s="2">
        <f>S12/'Output-Calculation-sheet'!S11*'Output-Calculation-sheet'!S47</f>
        <v>4559.7221619239899</v>
      </c>
      <c r="T56" s="2">
        <f>T12/'Output-Calculation-sheet'!T11*'Output-Calculation-sheet'!T47</f>
        <v>1197.3862032884679</v>
      </c>
      <c r="U56" s="2">
        <f>U12/'Output-Calculation-sheet'!U11*'Output-Calculation-sheet'!U47</f>
        <v>933.92089492212801</v>
      </c>
      <c r="V56" s="2">
        <f>V12/'Output-Calculation-sheet'!V11*'Output-Calculation-sheet'!V47</f>
        <v>538.35304774632471</v>
      </c>
      <c r="W56" s="2">
        <f>W12/'Output-Calculation-sheet'!W11*'Output-Calculation-sheet'!W47</f>
        <v>464.10573132602144</v>
      </c>
      <c r="X56" s="2">
        <f>X12/'Output-Calculation-sheet'!X11*'Output-Calculation-sheet'!X47</f>
        <v>279.14981958927092</v>
      </c>
      <c r="Y56" s="2">
        <f>Y12/'Output-Calculation-sheet'!Y11*'Output-Calculation-sheet'!Y47</f>
        <v>597.88740811125922</v>
      </c>
      <c r="AA56" s="2">
        <f t="shared" si="3"/>
        <v>177.27410407601127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6.1226405814727727</v>
      </c>
      <c r="C63" s="2">
        <f>C8*'Output-Calculation-sheet'!C52/10^9</f>
        <v>3.8257100077936803</v>
      </c>
      <c r="D63" s="2">
        <f>D8*'Output-Calculation-sheet'!D52/10^9</f>
        <v>1.7486958557372549</v>
      </c>
      <c r="E63" s="2">
        <f>E8*'Output-Calculation-sheet'!E52/10^9</f>
        <v>1.6062888592183786</v>
      </c>
      <c r="F63" s="2">
        <f>F8*'Output-Calculation-sheet'!F52/10^9</f>
        <v>0.84654201878410973</v>
      </c>
      <c r="G63" s="2">
        <f>G8*'Output-Calculation-sheet'!G52/10^9</f>
        <v>0.6260443641827883</v>
      </c>
      <c r="H63" s="2">
        <f>H8*'Output-Calculation-sheet'!H52/10^9</f>
        <v>1.0801596515860561</v>
      </c>
      <c r="I63" s="2">
        <f>I8*'Output-Calculation-sheet'!I52/10^9</f>
        <v>0.58037093229858816</v>
      </c>
      <c r="J63" s="2">
        <f>J8*'Output-Calculation-sheet'!J52/10^9</f>
        <v>0.59002734942014856</v>
      </c>
      <c r="K63" s="2">
        <f>K8*'Output-Calculation-sheet'!K52/10^9</f>
        <v>0.59378365119404708</v>
      </c>
      <c r="L63" s="2">
        <f>L8*'Output-Calculation-sheet'!L52/10^9</f>
        <v>0.48405069478857643</v>
      </c>
      <c r="M63" s="2">
        <f>M8*'Output-Calculation-sheet'!M52/10^9</f>
        <v>0.74786548807214237</v>
      </c>
      <c r="N63" s="2">
        <f>N8*'Output-Calculation-sheet'!N52/10^9</f>
        <v>0.6710299979008727</v>
      </c>
      <c r="O63" s="2">
        <f>O8*'Output-Calculation-sheet'!O52/10^9</f>
        <v>0.72562373077142028</v>
      </c>
      <c r="P63" s="2">
        <f>P8*'Output-Calculation-sheet'!P52/10^9</f>
        <v>0.47801182979552209</v>
      </c>
      <c r="Q63" s="2">
        <f>Q8*'Output-Calculation-sheet'!Q52/10^9</f>
        <v>0.49296795489467116</v>
      </c>
      <c r="R63" s="2">
        <f>R8*'Output-Calculation-sheet'!R52/10^9</f>
        <v>0.40373596661293643</v>
      </c>
      <c r="S63" s="2">
        <f>S8*'Output-Calculation-sheet'!S52/10^9</f>
        <v>0.37124090261756149</v>
      </c>
      <c r="T63" s="2">
        <f>T8*'Output-Calculation-sheet'!T52/10^9</f>
        <v>0.13920085239009708</v>
      </c>
      <c r="U63" s="2">
        <f>U8*'Output-Calculation-sheet'!U52/10^9</f>
        <v>0.12645762006983197</v>
      </c>
      <c r="V63" s="2">
        <f>V8*'Output-Calculation-sheet'!V52/10^9</f>
        <v>9.771297338705473E-2</v>
      </c>
      <c r="W63" s="2">
        <f>W8*'Output-Calculation-sheet'!W52/10^9</f>
        <v>7.6338823134875222E-2</v>
      </c>
      <c r="X63" s="2">
        <f>X8*'Output-Calculation-sheet'!X52/10^9</f>
        <v>9.0086261100139828E-2</v>
      </c>
      <c r="Y63" s="2">
        <f>Y8*'Output-Calculation-sheet'!Y52/10^9</f>
        <v>4.9623345736643946E-2</v>
      </c>
      <c r="AA63" s="2">
        <f t="shared" si="4"/>
        <v>22.574209712960172</v>
      </c>
    </row>
    <row r="64" spans="1:27" x14ac:dyDescent="0.25">
      <c r="A64" s="2">
        <v>2032</v>
      </c>
      <c r="B64" s="2">
        <f>B9*'Output-Calculation-sheet'!B53/10^9</f>
        <v>6.7580939818149579</v>
      </c>
      <c r="C64" s="2">
        <f>C9*'Output-Calculation-sheet'!C53/10^9</f>
        <v>4.4742968864466759</v>
      </c>
      <c r="D64" s="2">
        <f>D9*'Output-Calculation-sheet'!D53/10^9</f>
        <v>1.6282926310936645</v>
      </c>
      <c r="E64" s="2">
        <f>E9*'Output-Calculation-sheet'!E53/10^9</f>
        <v>1.5897037827001392</v>
      </c>
      <c r="F64" s="2">
        <f>F9*'Output-Calculation-sheet'!F53/10^9</f>
        <v>0.80173944579197631</v>
      </c>
      <c r="G64" s="2">
        <f>G9*'Output-Calculation-sheet'!G53/10^9</f>
        <v>0.58235947644577934</v>
      </c>
      <c r="H64" s="2">
        <f>H9*'Output-Calculation-sheet'!H53/10^9</f>
        <v>1.2501921259138391</v>
      </c>
      <c r="I64" s="2">
        <f>I9*'Output-Calculation-sheet'!I53/10^9</f>
        <v>0.54377637904530252</v>
      </c>
      <c r="J64" s="2">
        <f>J9*'Output-Calculation-sheet'!J53/10^9</f>
        <v>0.54276155441974527</v>
      </c>
      <c r="K64" s="2">
        <f>K9*'Output-Calculation-sheet'!K53/10^9</f>
        <v>0.58541414327379593</v>
      </c>
      <c r="L64" s="2">
        <f>L9*'Output-Calculation-sheet'!L53/10^9</f>
        <v>0.48256810278396028</v>
      </c>
      <c r="M64" s="2">
        <f>M9*'Output-Calculation-sheet'!M53/10^9</f>
        <v>0.86619496015874353</v>
      </c>
      <c r="N64" s="2">
        <f>N9*'Output-Calculation-sheet'!N53/10^9</f>
        <v>0.7696705430950429</v>
      </c>
      <c r="O64" s="2">
        <f>O9*'Output-Calculation-sheet'!O53/10^9</f>
        <v>0.82811403620173885</v>
      </c>
      <c r="P64" s="2">
        <f>P9*'Output-Calculation-sheet'!P53/10^9</f>
        <v>0.52358204212423987</v>
      </c>
      <c r="Q64" s="2">
        <f>Q9*'Output-Calculation-sheet'!Q53/10^9</f>
        <v>0.53576965849345171</v>
      </c>
      <c r="R64" s="2">
        <f>R9*'Output-Calculation-sheet'!R53/10^9</f>
        <v>0.41888451773578728</v>
      </c>
      <c r="S64" s="2">
        <f>S9*'Output-Calculation-sheet'!S53/10^9</f>
        <v>0.42394612112981905</v>
      </c>
      <c r="T64" s="2">
        <f>T9*'Output-Calculation-sheet'!T53/10^9</f>
        <v>0.13422841328513122</v>
      </c>
      <c r="U64" s="2">
        <f>U9*'Output-Calculation-sheet'!U53/10^9</f>
        <v>0.13240988344942647</v>
      </c>
      <c r="V64" s="2">
        <f>V9*'Output-Calculation-sheet'!V53/10^9</f>
        <v>9.8516586484110977E-2</v>
      </c>
      <c r="W64" s="2">
        <f>W9*'Output-Calculation-sheet'!W53/10^9</f>
        <v>7.1124764186633896E-2</v>
      </c>
      <c r="X64" s="2">
        <f>X9*'Output-Calculation-sheet'!X53/10^9</f>
        <v>0.10475757018803954</v>
      </c>
      <c r="Y64" s="2">
        <f>Y9*'Output-Calculation-sheet'!Y53/10^9</f>
        <v>5.1269191248184839E-2</v>
      </c>
      <c r="AA64" s="2">
        <f t="shared" si="4"/>
        <v>24.197666797510184</v>
      </c>
    </row>
    <row r="65" spans="1:27" x14ac:dyDescent="0.25">
      <c r="A65" s="2">
        <v>2033</v>
      </c>
      <c r="B65" s="2">
        <f>B10*'Output-Calculation-sheet'!B54/10^9</f>
        <v>7.2055983439043958</v>
      </c>
      <c r="C65" s="2">
        <f>C10*'Output-Calculation-sheet'!C54/10^9</f>
        <v>4.7592312734521833</v>
      </c>
      <c r="D65" s="2">
        <f>D10*'Output-Calculation-sheet'!D54/10^9</f>
        <v>1.3841623950964983</v>
      </c>
      <c r="E65" s="2">
        <f>E10*'Output-Calculation-sheet'!E54/10^9</f>
        <v>1.5707003566978086</v>
      </c>
      <c r="F65" s="2">
        <f>F10*'Output-Calculation-sheet'!F54/10^9</f>
        <v>0.71253741232041534</v>
      </c>
      <c r="G65" s="2">
        <f>G10*'Output-Calculation-sheet'!G54/10^9</f>
        <v>0.49176990066437765</v>
      </c>
      <c r="H65" s="2">
        <f>H10*'Output-Calculation-sheet'!H54/10^9</f>
        <v>1.3071119438718639</v>
      </c>
      <c r="I65" s="2">
        <f>I10*'Output-Calculation-sheet'!I54/10^9</f>
        <v>0.483737980648758</v>
      </c>
      <c r="J65" s="2">
        <f>J10*'Output-Calculation-sheet'!J54/10^9</f>
        <v>0.44613160770558019</v>
      </c>
      <c r="K65" s="2">
        <f>K10*'Output-Calculation-sheet'!K54/10^9</f>
        <v>0.56902053400738106</v>
      </c>
      <c r="L65" s="2">
        <f>L10*'Output-Calculation-sheet'!L54/10^9</f>
        <v>0.47324129557377392</v>
      </c>
      <c r="M65" s="2">
        <f>M10*'Output-Calculation-sheet'!M54/10^9</f>
        <v>0.90575083319351091</v>
      </c>
      <c r="N65" s="2">
        <f>N10*'Output-Calculation-sheet'!N54/10^9</f>
        <v>0.81428613685441775</v>
      </c>
      <c r="O65" s="2">
        <f>O10*'Output-Calculation-sheet'!O54/10^9</f>
        <v>0.86206278186504393</v>
      </c>
      <c r="P65" s="2">
        <f>P10*'Output-Calculation-sheet'!P54/10^9</f>
        <v>0.54949392384298812</v>
      </c>
      <c r="Q65" s="2">
        <f>Q10*'Output-Calculation-sheet'!Q54/10^9</f>
        <v>0.57012494166891114</v>
      </c>
      <c r="R65" s="2">
        <f>R10*'Output-Calculation-sheet'!R54/10^9</f>
        <v>0.42601597013889758</v>
      </c>
      <c r="S65" s="2">
        <f>S10*'Output-Calculation-sheet'!S54/10^9</f>
        <v>0.45049890277564703</v>
      </c>
      <c r="T65" s="2">
        <f>T10*'Output-Calculation-sheet'!T54/10^9</f>
        <v>0.12786674011278404</v>
      </c>
      <c r="U65" s="2">
        <f>U10*'Output-Calculation-sheet'!U54/10^9</f>
        <v>0.13825719187480578</v>
      </c>
      <c r="V65" s="2">
        <f>V10*'Output-Calculation-sheet'!V54/10^9</f>
        <v>9.6485186968328626E-2</v>
      </c>
      <c r="W65" s="2">
        <f>W10*'Output-Calculation-sheet'!W54/10^9</f>
        <v>6.0352574920950738E-2</v>
      </c>
      <c r="X65" s="2">
        <f>X10*'Output-Calculation-sheet'!X54/10^9</f>
        <v>0.11102676670371796</v>
      </c>
      <c r="Y65" s="2">
        <f>Y10*'Output-Calculation-sheet'!Y54/10^9</f>
        <v>5.3245650593438151E-2</v>
      </c>
      <c r="AA65" s="2">
        <f t="shared" si="4"/>
        <v>24.568710645456481</v>
      </c>
    </row>
    <row r="66" spans="1:27" x14ac:dyDescent="0.25">
      <c r="A66" s="2">
        <v>2034</v>
      </c>
      <c r="B66" s="2">
        <f>B11*'Output-Calculation-sheet'!B55/10^9</f>
        <v>7.2505685618571594</v>
      </c>
      <c r="C66" s="2">
        <f>C11*'Output-Calculation-sheet'!C55/10^9</f>
        <v>4.6189426319970286</v>
      </c>
      <c r="D66" s="2">
        <f>D11*'Output-Calculation-sheet'!D55/10^9</f>
        <v>1.3603791775233607</v>
      </c>
      <c r="E66" s="2">
        <f>E11*'Output-Calculation-sheet'!E55/10^9</f>
        <v>1.6774034052264837</v>
      </c>
      <c r="F66" s="2">
        <f>F11*'Output-Calculation-sheet'!F55/10^9</f>
        <v>0.67179744241019967</v>
      </c>
      <c r="G66" s="2">
        <f>G11*'Output-Calculation-sheet'!G55/10^9</f>
        <v>0.48386760948309843</v>
      </c>
      <c r="H66" s="2">
        <f>H11*'Output-Calculation-sheet'!H55/10^9</f>
        <v>1.2746372455061719</v>
      </c>
      <c r="I66" s="2">
        <f>I11*'Output-Calculation-sheet'!I55/10^9</f>
        <v>0.47563353739406661</v>
      </c>
      <c r="J66" s="2">
        <f>J11*'Output-Calculation-sheet'!J55/10^9</f>
        <v>0.41963304534361995</v>
      </c>
      <c r="K66" s="2">
        <f>K11*'Output-Calculation-sheet'!K55/10^9</f>
        <v>0.56080327588204304</v>
      </c>
      <c r="L66" s="2">
        <f>L11*'Output-Calculation-sheet'!L55/10^9</f>
        <v>0.49121494553707873</v>
      </c>
      <c r="M66" s="2">
        <f>M11*'Output-Calculation-sheet'!M55/10^9</f>
        <v>0.8850736653789042</v>
      </c>
      <c r="N66" s="2">
        <f>N11*'Output-Calculation-sheet'!N55/10^9</f>
        <v>0.79234253213529238</v>
      </c>
      <c r="O66" s="2">
        <f>O11*'Output-Calculation-sheet'!O55/10^9</f>
        <v>0.82201901230884855</v>
      </c>
      <c r="P66" s="2">
        <f>P11*'Output-Calculation-sheet'!P55/10^9</f>
        <v>0.5569202544435129</v>
      </c>
      <c r="Q66" s="2">
        <f>Q11*'Output-Calculation-sheet'!Q55/10^9</f>
        <v>0.57814008778086312</v>
      </c>
      <c r="R66" s="2">
        <f>R11*'Output-Calculation-sheet'!R55/10^9</f>
        <v>0.42147251634296601</v>
      </c>
      <c r="S66" s="2">
        <f>S11*'Output-Calculation-sheet'!S55/10^9</f>
        <v>0.44632961839886154</v>
      </c>
      <c r="T66" s="2">
        <f>T11*'Output-Calculation-sheet'!T55/10^9</f>
        <v>0.12408290041062008</v>
      </c>
      <c r="U66" s="2">
        <f>U11*'Output-Calculation-sheet'!U55/10^9</f>
        <v>0.14330746552168747</v>
      </c>
      <c r="V66" s="2">
        <f>V11*'Output-Calculation-sheet'!V55/10^9</f>
        <v>9.2683549980025176E-2</v>
      </c>
      <c r="W66" s="2">
        <f>W11*'Output-Calculation-sheet'!W55/10^9</f>
        <v>5.6466648632751859E-2</v>
      </c>
      <c r="X66" s="2">
        <f>X11*'Output-Calculation-sheet'!X55/10^9</f>
        <v>0.10777354843335904</v>
      </c>
      <c r="Y66" s="2">
        <f>Y11*'Output-Calculation-sheet'!Y55/10^9</f>
        <v>5.8550392339929244E-2</v>
      </c>
      <c r="AA66" s="2">
        <f t="shared" si="4"/>
        <v>24.370043070267933</v>
      </c>
    </row>
    <row r="67" spans="1:27" x14ac:dyDescent="0.25">
      <c r="A67" s="2">
        <v>2035</v>
      </c>
      <c r="B67" s="2">
        <f>B12*'Output-Calculation-sheet'!B56/10^9</f>
        <v>6.698607377268166</v>
      </c>
      <c r="C67" s="2">
        <f>C12*'Output-Calculation-sheet'!C56/10^9</f>
        <v>4.0852857191929202</v>
      </c>
      <c r="D67" s="2">
        <f>D12*'Output-Calculation-sheet'!D56/10^9</f>
        <v>1.3625035661792178</v>
      </c>
      <c r="E67" s="2">
        <f>E12*'Output-Calculation-sheet'!E56/10^9</f>
        <v>1.8421999305005454</v>
      </c>
      <c r="F67" s="2">
        <f>F12*'Output-Calculation-sheet'!F56/10^9</f>
        <v>0.73051429903322873</v>
      </c>
      <c r="G67" s="2">
        <f>G12*'Output-Calculation-sheet'!G56/10^9</f>
        <v>0.53022902438495945</v>
      </c>
      <c r="H67" s="2">
        <f>H12*'Output-Calculation-sheet'!H56/10^9</f>
        <v>1.155838791132499</v>
      </c>
      <c r="I67" s="2">
        <f>I12*'Output-Calculation-sheet'!I56/10^9</f>
        <v>0.50087130873366226</v>
      </c>
      <c r="J67" s="2">
        <f>J12*'Output-Calculation-sheet'!J56/10^9</f>
        <v>0.41361057813721075</v>
      </c>
      <c r="K67" s="2">
        <f>K12*'Output-Calculation-sheet'!K56/10^9</f>
        <v>0.55922125327145289</v>
      </c>
      <c r="L67" s="2">
        <f>L12*'Output-Calculation-sheet'!L56/10^9</f>
        <v>0.48254162181994126</v>
      </c>
      <c r="M67" s="2">
        <f>M12*'Output-Calculation-sheet'!M56/10^9</f>
        <v>0.81000837282375104</v>
      </c>
      <c r="N67" s="2">
        <f>N12*'Output-Calculation-sheet'!N56/10^9</f>
        <v>0.70904404908569707</v>
      </c>
      <c r="O67" s="2">
        <f>O12*'Output-Calculation-sheet'!O56/10^9</f>
        <v>0.71759457625960832</v>
      </c>
      <c r="P67" s="2">
        <f>P12*'Output-Calculation-sheet'!P56/10^9</f>
        <v>0.56498976220557806</v>
      </c>
      <c r="Q67" s="2">
        <f>Q12*'Output-Calculation-sheet'!Q56/10^9</f>
        <v>0.52963263143888439</v>
      </c>
      <c r="R67" s="2">
        <f>R12*'Output-Calculation-sheet'!R56/10^9</f>
        <v>0.41610762267525953</v>
      </c>
      <c r="S67" s="2">
        <f>S12*'Output-Calculation-sheet'!S56/10^9</f>
        <v>0.40355715715516988</v>
      </c>
      <c r="T67" s="2">
        <f>T12*'Output-Calculation-sheet'!T56/10^9</f>
        <v>0.12791362089995123</v>
      </c>
      <c r="U67" s="2">
        <f>U12*'Output-Calculation-sheet'!U56/10^9</f>
        <v>0.13793061866055809</v>
      </c>
      <c r="V67" s="2">
        <f>V12*'Output-Calculation-sheet'!V56/10^9</f>
        <v>8.6979138573185039E-2</v>
      </c>
      <c r="W67" s="2">
        <f>W12*'Output-Calculation-sheet'!W56/10^9</f>
        <v>6.7673964853177768E-2</v>
      </c>
      <c r="X67" s="2">
        <f>X12*'Output-Calculation-sheet'!X56/10^9</f>
        <v>9.9143555904955563E-2</v>
      </c>
      <c r="Y67" s="2">
        <f>Y12*'Output-Calculation-sheet'!Y56/10^9</f>
        <v>6.3544383417852304E-2</v>
      </c>
      <c r="AA67" s="2">
        <f t="shared" si="4"/>
        <v>23.095542923607422</v>
      </c>
    </row>
    <row r="68" spans="1:27" x14ac:dyDescent="0.25">
      <c r="B68" s="2">
        <f>SUM(B60:B67)</f>
        <v>34.035508846317455</v>
      </c>
      <c r="C68" s="2">
        <f t="shared" ref="C68:Y68" si="5">SUM(C60:C67)</f>
        <v>21.763466518882488</v>
      </c>
      <c r="D68" s="2">
        <f t="shared" si="5"/>
        <v>7.484033625629996</v>
      </c>
      <c r="E68" s="2">
        <f t="shared" si="5"/>
        <v>8.2862963343433549</v>
      </c>
      <c r="F68" s="2">
        <f t="shared" si="5"/>
        <v>3.7631306183399298</v>
      </c>
      <c r="G68" s="2">
        <f t="shared" si="5"/>
        <v>2.7142703751610036</v>
      </c>
      <c r="H68" s="2">
        <f t="shared" si="5"/>
        <v>6.0679397580104304</v>
      </c>
      <c r="I68" s="2">
        <f t="shared" si="5"/>
        <v>2.5843901381203778</v>
      </c>
      <c r="J68" s="2">
        <f t="shared" si="5"/>
        <v>2.4121641350263046</v>
      </c>
      <c r="K68" s="2">
        <f t="shared" si="5"/>
        <v>2.8682428576287196</v>
      </c>
      <c r="L68" s="2">
        <f t="shared" si="5"/>
        <v>2.4136166605033305</v>
      </c>
      <c r="M68" s="2">
        <f t="shared" si="5"/>
        <v>4.2148933196270519</v>
      </c>
      <c r="N68" s="2">
        <f t="shared" si="5"/>
        <v>3.7563732590713226</v>
      </c>
      <c r="O68" s="2">
        <f t="shared" si="5"/>
        <v>3.9554141374066605</v>
      </c>
      <c r="P68" s="2">
        <f t="shared" si="5"/>
        <v>2.672997812411841</v>
      </c>
      <c r="Q68" s="2">
        <f t="shared" si="5"/>
        <v>2.7066352742767821</v>
      </c>
      <c r="R68" s="2">
        <f t="shared" si="5"/>
        <v>2.0862165935058465</v>
      </c>
      <c r="S68" s="2">
        <f t="shared" si="5"/>
        <v>2.0955727020770589</v>
      </c>
      <c r="T68" s="2">
        <f t="shared" si="5"/>
        <v>0.65329252709858365</v>
      </c>
      <c r="U68" s="2">
        <f t="shared" si="5"/>
        <v>0.67836277957630986</v>
      </c>
      <c r="V68" s="2">
        <f t="shared" si="5"/>
        <v>0.4723774353927046</v>
      </c>
      <c r="W68" s="2">
        <f t="shared" si="5"/>
        <v>0.3319567757283895</v>
      </c>
      <c r="X68" s="2">
        <f t="shared" si="5"/>
        <v>0.51278770233021198</v>
      </c>
      <c r="Y68" s="2">
        <f t="shared" si="5"/>
        <v>0.27623296333604846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1695.2393331784078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1143.5275484647977</v>
      </c>
      <c r="N74" s="2">
        <f>N8/'Output-Calculation-sheet'!N7*'Output-Calculation-sheet'!N61</f>
        <v>47.534369254349635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10.147392035206526</v>
      </c>
      <c r="Y74" s="2">
        <f>Y8/'Output-Calculation-sheet'!Y7*'Output-Calculation-sheet'!Y61</f>
        <v>0</v>
      </c>
      <c r="AA74" s="2">
        <f t="shared" si="6"/>
        <v>2.8964486429327616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63.018778883072663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2879.2387181316576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1950.9869473698157</v>
      </c>
      <c r="N75" s="2">
        <f>N9/'Output-Calculation-sheet'!N8*'Output-Calculation-sheet'!N62</f>
        <v>751.05323247440651</v>
      </c>
      <c r="O75" s="2">
        <f>O9/'Output-Calculation-sheet'!O8*'Output-Calculation-sheet'!O62</f>
        <v>0</v>
      </c>
      <c r="P75" s="2">
        <f>P9/'Output-Calculation-sheet'!P8*'Output-Calculation-sheet'!P62</f>
        <v>48.856695985576032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252.42931153816829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68.508239570404555</v>
      </c>
      <c r="Y75" s="2">
        <f>Y9/'Output-Calculation-sheet'!Y8*'Output-Calculation-sheet'!Y62</f>
        <v>0</v>
      </c>
      <c r="AA75" s="2">
        <f t="shared" si="6"/>
        <v>6.0140919239531012</v>
      </c>
    </row>
    <row r="76" spans="1:27" x14ac:dyDescent="0.25">
      <c r="A76" s="2">
        <v>2033</v>
      </c>
      <c r="B76" s="2">
        <f>B10/'Output-Calculation-sheet'!B9*'Output-Calculation-sheet'!B63</f>
        <v>5906.7756657268046</v>
      </c>
      <c r="C76" s="2">
        <f>C10/'Output-Calculation-sheet'!C9*'Output-Calculation-sheet'!C63</f>
        <v>1735.2850623772688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3870.4914901690158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2632.6288139472904</v>
      </c>
      <c r="N76" s="2">
        <f>N10/'Output-Calculation-sheet'!N9*'Output-Calculation-sheet'!N63</f>
        <v>1503.9007751905535</v>
      </c>
      <c r="O76" s="2">
        <f>O10/'Output-Calculation-sheet'!O9*'Output-Calculation-sheet'!O63</f>
        <v>0</v>
      </c>
      <c r="P76" s="2">
        <f>P10/'Output-Calculation-sheet'!P9*'Output-Calculation-sheet'!P63</f>
        <v>518.45560591321862</v>
      </c>
      <c r="Q76" s="2">
        <f>Q10/'Output-Calculation-sheet'!Q9*'Output-Calculation-sheet'!Q63</f>
        <v>233.41614182973214</v>
      </c>
      <c r="R76" s="2">
        <f>R10/'Output-Calculation-sheet'!R9*'Output-Calculation-sheet'!R63</f>
        <v>395.12606700318008</v>
      </c>
      <c r="S76" s="2">
        <f>S10/'Output-Calculation-sheet'!S9*'Output-Calculation-sheet'!S63</f>
        <v>668.66189277892647</v>
      </c>
      <c r="T76" s="2">
        <f>T10/'Output-Calculation-sheet'!T9*'Output-Calculation-sheet'!T63</f>
        <v>25.971501511762003</v>
      </c>
      <c r="U76" s="2">
        <f>U10/'Output-Calculation-sheet'!U9*'Output-Calculation-sheet'!U63</f>
        <v>140.26716915898476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150.94788164346994</v>
      </c>
      <c r="Y76" s="2">
        <f>Y10/'Output-Calculation-sheet'!Y9*'Output-Calculation-sheet'!Y63</f>
        <v>6.659654355985146</v>
      </c>
      <c r="AA76" s="2">
        <f t="shared" si="6"/>
        <v>17.897610842003736</v>
      </c>
    </row>
    <row r="77" spans="1:27" x14ac:dyDescent="0.25">
      <c r="A77" s="2">
        <v>2034</v>
      </c>
      <c r="B77" s="2">
        <f>B11/'Output-Calculation-sheet'!B10*'Output-Calculation-sheet'!B64</f>
        <v>11299.693795232108</v>
      </c>
      <c r="C77" s="2">
        <f>C11/'Output-Calculation-sheet'!C10*'Output-Calculation-sheet'!C64</f>
        <v>3082.0577312650371</v>
      </c>
      <c r="D77" s="2">
        <f>D11/'Output-Calculation-sheet'!D10*'Output-Calculation-sheet'!D64</f>
        <v>1365.4159554072287</v>
      </c>
      <c r="E77" s="2">
        <f>E11/'Output-Calculation-sheet'!E10*'Output-Calculation-sheet'!E64</f>
        <v>1983.9313481717609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4104.4983500322614</v>
      </c>
      <c r="I77" s="2">
        <f>I11/'Output-Calculation-sheet'!I10*'Output-Calculation-sheet'!I64</f>
        <v>495.29709453524038</v>
      </c>
      <c r="J77" s="2">
        <f>J11/'Output-Calculation-sheet'!J10*'Output-Calculation-sheet'!J64</f>
        <v>272.4694802136645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196.74116891250273</v>
      </c>
      <c r="M77" s="2">
        <f>M11/'Output-Calculation-sheet'!M10*'Output-Calculation-sheet'!M64</f>
        <v>2865.3233954878165</v>
      </c>
      <c r="N77" s="2">
        <f>N11/'Output-Calculation-sheet'!N10*'Output-Calculation-sheet'!N64</f>
        <v>1983.9592099063391</v>
      </c>
      <c r="O77" s="2">
        <f>O11/'Output-Calculation-sheet'!O10*'Output-Calculation-sheet'!O64</f>
        <v>0</v>
      </c>
      <c r="P77" s="2">
        <f>P11/'Output-Calculation-sheet'!P10*'Output-Calculation-sheet'!P64</f>
        <v>937.18122619693486</v>
      </c>
      <c r="Q77" s="2">
        <f>Q11/'Output-Calculation-sheet'!Q10*'Output-Calculation-sheet'!Q64</f>
        <v>384.11796544566261</v>
      </c>
      <c r="R77" s="2">
        <f>R11/'Output-Calculation-sheet'!R10*'Output-Calculation-sheet'!R64</f>
        <v>796.71537349470987</v>
      </c>
      <c r="S77" s="2">
        <f>S11/'Output-Calculation-sheet'!S10*'Output-Calculation-sheet'!S64</f>
        <v>861.20828102438395</v>
      </c>
      <c r="T77" s="2">
        <f>T11/'Output-Calculation-sheet'!T10*'Output-Calculation-sheet'!T64</f>
        <v>220.42183655184726</v>
      </c>
      <c r="U77" s="2">
        <f>U11/'Output-Calculation-sheet'!U10*'Output-Calculation-sheet'!U64</f>
        <v>239.89712972451616</v>
      </c>
      <c r="V77" s="2">
        <f>V11/'Output-Calculation-sheet'!V10*'Output-Calculation-sheet'!V64</f>
        <v>115.00164863684418</v>
      </c>
      <c r="W77" s="2">
        <f>W11/'Output-Calculation-sheet'!W10*'Output-Calculation-sheet'!W64</f>
        <v>24.995739195420775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73.131358908679346</v>
      </c>
      <c r="AA77" s="2">
        <f t="shared" si="6"/>
        <v>33.159212588896366</v>
      </c>
    </row>
    <row r="78" spans="1:27" x14ac:dyDescent="0.25">
      <c r="A78" s="2">
        <v>2035</v>
      </c>
      <c r="B78" s="2">
        <f>B12/'Output-Calculation-sheet'!B11*'Output-Calculation-sheet'!B65</f>
        <v>10919.613885827153</v>
      </c>
      <c r="C78" s="2">
        <f>C12/'Output-Calculation-sheet'!C11*'Output-Calculation-sheet'!C65</f>
        <v>4615.5165321046279</v>
      </c>
      <c r="D78" s="2">
        <f>D12/'Output-Calculation-sheet'!D11*'Output-Calculation-sheet'!D65</f>
        <v>1177.3487934240864</v>
      </c>
      <c r="E78" s="2">
        <f>E12/'Output-Calculation-sheet'!E11*'Output-Calculation-sheet'!E65</f>
        <v>2259.9957074058098</v>
      </c>
      <c r="F78" s="2">
        <f>F12/'Output-Calculation-sheet'!F11*'Output-Calculation-sheet'!F65</f>
        <v>492.44088324861048</v>
      </c>
      <c r="G78" s="2">
        <f>G12/'Output-Calculation-sheet'!G11*'Output-Calculation-sheet'!G65</f>
        <v>905.67572388752183</v>
      </c>
      <c r="H78" s="2">
        <f>H12/'Output-Calculation-sheet'!H11*'Output-Calculation-sheet'!H65</f>
        <v>3481.1713794136454</v>
      </c>
      <c r="I78" s="2">
        <f>I12/'Output-Calculation-sheet'!I11*'Output-Calculation-sheet'!I65</f>
        <v>576.83228909510967</v>
      </c>
      <c r="J78" s="2">
        <f>J12/'Output-Calculation-sheet'!J11*'Output-Calculation-sheet'!J65</f>
        <v>247.07737572370536</v>
      </c>
      <c r="K78" s="2">
        <f>K12/'Output-Calculation-sheet'!K11*'Output-Calculation-sheet'!K65</f>
        <v>735.87174536473822</v>
      </c>
      <c r="L78" s="2">
        <f>L12/'Output-Calculation-sheet'!L11*'Output-Calculation-sheet'!L65</f>
        <v>213.03520500678553</v>
      </c>
      <c r="M78" s="2">
        <f>M12/'Output-Calculation-sheet'!M11*'Output-Calculation-sheet'!M65</f>
        <v>2448.8815845114423</v>
      </c>
      <c r="N78" s="2">
        <f>N12/'Output-Calculation-sheet'!N11*'Output-Calculation-sheet'!N65</f>
        <v>1719.303217741174</v>
      </c>
      <c r="O78" s="2">
        <f>O12/'Output-Calculation-sheet'!O11*'Output-Calculation-sheet'!O65</f>
        <v>0</v>
      </c>
      <c r="P78" s="2">
        <f>P12/'Output-Calculation-sheet'!P11*'Output-Calculation-sheet'!P65</f>
        <v>971.71140178825704</v>
      </c>
      <c r="Q78" s="2">
        <f>Q12/'Output-Calculation-sheet'!Q11*'Output-Calculation-sheet'!Q65</f>
        <v>384.79773133719112</v>
      </c>
      <c r="R78" s="2">
        <f>R12/'Output-Calculation-sheet'!R11*'Output-Calculation-sheet'!R65</f>
        <v>764.539090567941</v>
      </c>
      <c r="S78" s="2">
        <f>S12/'Output-Calculation-sheet'!S11*'Output-Calculation-sheet'!S65</f>
        <v>796.31811805378129</v>
      </c>
      <c r="T78" s="2">
        <f>T12/'Output-Calculation-sheet'!T11*'Output-Calculation-sheet'!T65</f>
        <v>272.89567498444092</v>
      </c>
      <c r="U78" s="2">
        <f>U12/'Output-Calculation-sheet'!U11*'Output-Calculation-sheet'!U65</f>
        <v>202.96935737570379</v>
      </c>
      <c r="V78" s="2">
        <f>V12/'Output-Calculation-sheet'!V11*'Output-Calculation-sheet'!V65</f>
        <v>104.47232143273236</v>
      </c>
      <c r="W78" s="2">
        <f>W12/'Output-Calculation-sheet'!W11*'Output-Calculation-sheet'!W65</f>
        <v>104.21475874866388</v>
      </c>
      <c r="X78" s="2">
        <f>X12/'Output-Calculation-sheet'!X11*'Output-Calculation-sheet'!X65</f>
        <v>54.399916548558977</v>
      </c>
      <c r="Y78" s="2">
        <f>Y12/'Output-Calculation-sheet'!Y11*'Output-Calculation-sheet'!Y65</f>
        <v>94.361858304398211</v>
      </c>
      <c r="AA78" s="2">
        <f t="shared" si="6"/>
        <v>33.54344455189608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435.42456210517696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252.75352050987189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0.68817808261504887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1465.8132162078336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366.28399631754064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1.8320972125253743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2448.7855804198766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444.8670286143925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2.8936526090342691</v>
      </c>
    </row>
    <row r="88" spans="1:27" x14ac:dyDescent="0.25">
      <c r="A88" s="2">
        <v>2034</v>
      </c>
      <c r="B88" s="2">
        <f>B11/'Output-Calculation-sheet'!B10*'Output-Calculation-sheet'!B73</f>
        <v>114.52448637421423</v>
      </c>
      <c r="C88" s="2">
        <f>C11/'Output-Calculation-sheet'!C10*'Output-Calculation-sheet'!C73</f>
        <v>2485.5503536492047</v>
      </c>
      <c r="D88" s="2">
        <f>D11/'Output-Calculation-sheet'!D10*'Output-Calculation-sheet'!D73</f>
        <v>8.7545463635282488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41.070568943642314</v>
      </c>
      <c r="I88" s="2">
        <f>I11/'Output-Calculation-sheet'!I10*'Output-Calculation-sheet'!I73</f>
        <v>0</v>
      </c>
      <c r="J88" s="2">
        <f>J11/'Output-Calculation-sheet'!J10*'Output-Calculation-sheet'!J73</f>
        <v>2.7954619206581048</v>
      </c>
      <c r="K88" s="2">
        <f>K11/'Output-Calculation-sheet'!K10*'Output-Calculation-sheet'!K73</f>
        <v>0</v>
      </c>
      <c r="L88" s="2">
        <f>L11/'Output-Calculation-sheet'!L10*'Output-Calculation-sheet'!L73</f>
        <v>6.6224607906637143</v>
      </c>
      <c r="M88" s="2">
        <f>M11/'Output-Calculation-sheet'!M10*'Output-Calculation-sheet'!M73</f>
        <v>19.887052578767005</v>
      </c>
      <c r="N88" s="2">
        <f>N11/'Output-Calculation-sheet'!N10*'Output-Calculation-sheet'!N73</f>
        <v>10.287235528125274</v>
      </c>
      <c r="O88" s="2">
        <f>O11/'Output-Calculation-sheet'!O10*'Output-Calculation-sheet'!O73</f>
        <v>469.43356731911121</v>
      </c>
      <c r="P88" s="2">
        <f>P11/'Output-Calculation-sheet'!P10*'Output-Calculation-sheet'!P73</f>
        <v>0</v>
      </c>
      <c r="Q88" s="2">
        <f>Q11/'Output-Calculation-sheet'!Q10*'Output-Calculation-sheet'!Q73</f>
        <v>31.546176765299982</v>
      </c>
      <c r="R88" s="2">
        <f>R11/'Output-Calculation-sheet'!R10*'Output-Calculation-sheet'!R73</f>
        <v>0</v>
      </c>
      <c r="S88" s="2">
        <f>S11/'Output-Calculation-sheet'!S10*'Output-Calculation-sheet'!S73</f>
        <v>14.742496343930025</v>
      </c>
      <c r="T88" s="2">
        <f>T11/'Output-Calculation-sheet'!T10*'Output-Calculation-sheet'!T73</f>
        <v>0</v>
      </c>
      <c r="U88" s="2">
        <f>U11/'Output-Calculation-sheet'!U10*'Output-Calculation-sheet'!U73</f>
        <v>2.875750619744454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3.2080901571968887</v>
      </c>
    </row>
    <row r="89" spans="1:27" x14ac:dyDescent="0.25">
      <c r="A89" s="2">
        <v>2035</v>
      </c>
      <c r="B89" s="2">
        <f>B12/'Output-Calculation-sheet'!B11*'Output-Calculation-sheet'!B74</f>
        <v>535.59363324911988</v>
      </c>
      <c r="C89" s="2">
        <f>C12/'Output-Calculation-sheet'!C11*'Output-Calculation-sheet'!C74</f>
        <v>2193.5443089632759</v>
      </c>
      <c r="D89" s="2">
        <f>D12/'Output-Calculation-sheet'!D11*'Output-Calculation-sheet'!D74</f>
        <v>101.69503063543469</v>
      </c>
      <c r="E89" s="2">
        <f>E12/'Output-Calculation-sheet'!E11*'Output-Calculation-sheet'!E74</f>
        <v>135.66301336462419</v>
      </c>
      <c r="F89" s="2">
        <f>F12/'Output-Calculation-sheet'!F11*'Output-Calculation-sheet'!F74</f>
        <v>43.569039404730681</v>
      </c>
      <c r="G89" s="2">
        <f>G12/'Output-Calculation-sheet'!G11*'Output-Calculation-sheet'!G74</f>
        <v>41.691778871019793</v>
      </c>
      <c r="H89" s="2">
        <f>H12/'Output-Calculation-sheet'!H11*'Output-Calculation-sheet'!H74</f>
        <v>162.81511263076993</v>
      </c>
      <c r="I89" s="2">
        <f>I12/'Output-Calculation-sheet'!I11*'Output-Calculation-sheet'!I74</f>
        <v>35.155480085676103</v>
      </c>
      <c r="J89" s="2">
        <f>J12/'Output-Calculation-sheet'!J11*'Output-Calculation-sheet'!J74</f>
        <v>27.833823921560839</v>
      </c>
      <c r="K89" s="2">
        <f>K12/'Output-Calculation-sheet'!K11*'Output-Calculation-sheet'!K74</f>
        <v>36.855723714937561</v>
      </c>
      <c r="L89" s="2">
        <f>L12/'Output-Calculation-sheet'!L11*'Output-Calculation-sheet'!L74</f>
        <v>38.464091971356567</v>
      </c>
      <c r="M89" s="2">
        <f>M12/'Output-Calculation-sheet'!M11*'Output-Calculation-sheet'!M74</f>
        <v>102.47947150643766</v>
      </c>
      <c r="N89" s="2">
        <f>N12/'Output-Calculation-sheet'!N11*'Output-Calculation-sheet'!N74</f>
        <v>62.310264109321338</v>
      </c>
      <c r="O89" s="2">
        <f>O12/'Output-Calculation-sheet'!O11*'Output-Calculation-sheet'!O74</f>
        <v>444.4649611643257</v>
      </c>
      <c r="P89" s="2">
        <f>P12/'Output-Calculation-sheet'!P11*'Output-Calculation-sheet'!P74</f>
        <v>36.273041124626054</v>
      </c>
      <c r="Q89" s="2">
        <f>Q12/'Output-Calculation-sheet'!Q11*'Output-Calculation-sheet'!Q74</f>
        <v>61.324016142018586</v>
      </c>
      <c r="R89" s="2">
        <f>R12/'Output-Calculation-sheet'!R11*'Output-Calculation-sheet'!R74</f>
        <v>25.215693674340052</v>
      </c>
      <c r="S89" s="2">
        <f>S12/'Output-Calculation-sheet'!S11*'Output-Calculation-sheet'!S74</f>
        <v>39.143445965652873</v>
      </c>
      <c r="T89" s="2">
        <f>T12/'Output-Calculation-sheet'!T11*'Output-Calculation-sheet'!T74</f>
        <v>6.3106972217311554</v>
      </c>
      <c r="U89" s="2">
        <f>U12/'Output-Calculation-sheet'!U11*'Output-Calculation-sheet'!U74</f>
        <v>12.169127654836108</v>
      </c>
      <c r="V89" s="2">
        <f>V12/'Output-Calculation-sheet'!V11*'Output-Calculation-sheet'!V74</f>
        <v>4.5997355412365408</v>
      </c>
      <c r="W89" s="2">
        <f>W12/'Output-Calculation-sheet'!W11*'Output-Calculation-sheet'!W74</f>
        <v>3.5050896289641167</v>
      </c>
      <c r="X89" s="2">
        <f>X12/'Output-Calculation-sheet'!X11*'Output-Calculation-sheet'!X74</f>
        <v>2.4770973751948957</v>
      </c>
      <c r="Y89" s="2">
        <f>Y12/'Output-Calculation-sheet'!Y11*'Output-Calculation-sheet'!Y74</f>
        <v>4.5970122106047917</v>
      </c>
      <c r="AA89" s="2">
        <f t="shared" si="7"/>
        <v>4.1577506901317944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13842860942.533228</v>
      </c>
      <c r="C96" s="2">
        <f>C8/'Output-Calculation-sheet'!C7*'Output-Calculation-sheet'!C79</f>
        <v>4683111825.259593</v>
      </c>
      <c r="D96" s="2">
        <f>D8/'Output-Calculation-sheet'!D7*'Output-Calculation-sheet'!D79</f>
        <v>4888835467.6190681</v>
      </c>
      <c r="E96" s="2">
        <f>E8/'Output-Calculation-sheet'!E7*'Output-Calculation-sheet'!E79</f>
        <v>8691946681.3860722</v>
      </c>
      <c r="F96" s="2">
        <f>F8/'Output-Calculation-sheet'!F7*'Output-Calculation-sheet'!F79</f>
        <v>3597510264.9310484</v>
      </c>
      <c r="G96" s="2">
        <f>G8/'Output-Calculation-sheet'!G7*'Output-Calculation-sheet'!G79</f>
        <v>2802170797.3162513</v>
      </c>
      <c r="H96" s="2">
        <f>H8/'Output-Calculation-sheet'!H7*'Output-Calculation-sheet'!H79</f>
        <v>2398503373.9983525</v>
      </c>
      <c r="I96" s="2">
        <f>I8/'Output-Calculation-sheet'!I7*'Output-Calculation-sheet'!I79</f>
        <v>1952005030.0007613</v>
      </c>
      <c r="J96" s="2">
        <f>J8/'Output-Calculation-sheet'!J7*'Output-Calculation-sheet'!J79</f>
        <v>1319992506.5063019</v>
      </c>
      <c r="K96" s="2">
        <f>K8/'Output-Calculation-sheet'!K7*'Output-Calculation-sheet'!K79</f>
        <v>1888518310.8556871</v>
      </c>
      <c r="L96" s="2">
        <f>L8/'Output-Calculation-sheet'!L7*'Output-Calculation-sheet'!L79</f>
        <v>1332540085.315876</v>
      </c>
      <c r="M96" s="2">
        <f>M8/'Output-Calculation-sheet'!M7*'Output-Calculation-sheet'!M79</f>
        <v>1790434281.9453616</v>
      </c>
      <c r="N96" s="2">
        <f>N8/'Output-Calculation-sheet'!N7*'Output-Calculation-sheet'!N79</f>
        <v>1332223762.6235077</v>
      </c>
      <c r="O96" s="2">
        <f>O8/'Output-Calculation-sheet'!O7*'Output-Calculation-sheet'!O79</f>
        <v>673483565.5813719</v>
      </c>
      <c r="P96" s="2">
        <f>P8/'Output-Calculation-sheet'!P7*'Output-Calculation-sheet'!P79</f>
        <v>2252675890.1033106</v>
      </c>
      <c r="Q96" s="2">
        <f>Q8/'Output-Calculation-sheet'!Q7*'Output-Calculation-sheet'!Q79</f>
        <v>1049841554.2517252</v>
      </c>
      <c r="R96" s="2">
        <f>R8/'Output-Calculation-sheet'!R7*'Output-Calculation-sheet'!R79</f>
        <v>1309804367.6157043</v>
      </c>
      <c r="S96" s="2">
        <f>S8/'Output-Calculation-sheet'!S7*'Output-Calculation-sheet'!S79</f>
        <v>763200224.84456587</v>
      </c>
      <c r="T96" s="2">
        <f>T8/'Output-Calculation-sheet'!T7*'Output-Calculation-sheet'!T79</f>
        <v>582906558.39771116</v>
      </c>
      <c r="U96" s="2">
        <f>U8/'Output-Calculation-sheet'!U7*'Output-Calculation-sheet'!U79</f>
        <v>366167628.19973481</v>
      </c>
      <c r="V96" s="2">
        <f>V8/'Output-Calculation-sheet'!V7*'Output-Calculation-sheet'!V79</f>
        <v>189986006.58387312</v>
      </c>
      <c r="W96" s="2">
        <f>W8/'Output-Calculation-sheet'!W7*'Output-Calculation-sheet'!W79</f>
        <v>561397866.09035873</v>
      </c>
      <c r="X96" s="2">
        <f>X8/'Output-Calculation-sheet'!X7*'Output-Calculation-sheet'!X79</f>
        <v>197314369.28197581</v>
      </c>
      <c r="Y96" s="2">
        <f>Y8/'Output-Calculation-sheet'!Y7*'Output-Calculation-sheet'!Y79</f>
        <v>308596982.63282871</v>
      </c>
      <c r="AA96" s="2">
        <f t="shared" si="8"/>
        <v>58.776028343874273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1211.8442632083841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37.545911280887168</v>
      </c>
      <c r="Y107" s="2">
        <f>Y8/'Output-Calculation-sheet'!Y7*'Output-Calculation-sheet'!Y88</f>
        <v>0</v>
      </c>
      <c r="AA107" s="2">
        <f t="shared" si="9"/>
        <v>1.2493901744892713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861.58486754200908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50.051278214644306</v>
      </c>
      <c r="Y108" s="2">
        <f>Y9/'Output-Calculation-sheet'!Y8*'Output-Calculation-sheet'!Y89</f>
        <v>0</v>
      </c>
      <c r="AA108" s="2">
        <f t="shared" si="9"/>
        <v>0.91163614575665342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4.900958977686206E-2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7.0731422855054252E-2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88.032229795387835</v>
      </c>
      <c r="Y111" s="2">
        <f>Y12/'Output-Calculation-sheet'!Y11*'Output-Calculation-sheet'!Y92</f>
        <v>0</v>
      </c>
      <c r="AA111" s="2">
        <f t="shared" si="9"/>
        <v>8.8032229795387829E-2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13549677921.644495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8322586822.194828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5741878840.4200182</v>
      </c>
      <c r="N118" s="2">
        <f>N8/'Output-Calculation-sheet'!N7*'Output-Calculation-sheet'!N97</f>
        <v>1924082577.488029</v>
      </c>
      <c r="O118" s="2">
        <f>O8/'Output-Calculation-sheet'!O7*'Output-Calculation-sheet'!O97</f>
        <v>3293947067.6647778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576021886.65420902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312647606.98906255</v>
      </c>
      <c r="Y118" s="2">
        <f>Y8/'Output-Calculation-sheet'!Y7*'Output-Calculation-sheet'!Y97</f>
        <v>0</v>
      </c>
      <c r="AA118" s="2">
        <f t="shared" si="10"/>
        <v>35340.525463340957</v>
      </c>
    </row>
    <row r="119" spans="1:27" x14ac:dyDescent="0.25">
      <c r="A119" s="2">
        <v>2032</v>
      </c>
      <c r="B119" s="2">
        <f>B9/'Output-Calculation-sheet'!B8*'Output-Calculation-sheet'!B98</f>
        <v>7093761300.905036</v>
      </c>
      <c r="C119" s="2">
        <f>C9/'Output-Calculation-sheet'!C8*'Output-Calculation-sheet'!C98</f>
        <v>18294411932.590862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11094636193.089748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7654329485.1297932</v>
      </c>
      <c r="N119" s="2">
        <f>N9/'Output-Calculation-sheet'!N8*'Output-Calculation-sheet'!N98</f>
        <v>3589165477.1076007</v>
      </c>
      <c r="O119" s="2">
        <f>O9/'Output-Calculation-sheet'!O8*'Output-Calculation-sheet'!O98</f>
        <v>3863787493.7605085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1079555563.8866978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421026282.21210641</v>
      </c>
      <c r="Y119" s="2">
        <f>Y9/'Output-Calculation-sheet'!Y8*'Output-Calculation-sheet'!Y98</f>
        <v>0</v>
      </c>
      <c r="AA119" s="2">
        <f t="shared" si="10"/>
        <v>53090.673728682341</v>
      </c>
    </row>
    <row r="120" spans="1:27" x14ac:dyDescent="0.25">
      <c r="A120" s="2">
        <v>2033</v>
      </c>
      <c r="B120" s="2">
        <f>B10/'Output-Calculation-sheet'!B9*'Output-Calculation-sheet'!B99</f>
        <v>17869223340.864952</v>
      </c>
      <c r="C120" s="2">
        <f>C10/'Output-Calculation-sheet'!C9*'Output-Calculation-sheet'!C99</f>
        <v>24758224741.000694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5276561226.0887928</v>
      </c>
      <c r="O120" s="2">
        <f>O10/'Output-Calculation-sheet'!O9*'Output-Calculation-sheet'!O99</f>
        <v>4100602278.7103095</v>
      </c>
      <c r="P120" s="2">
        <f>P10/'Output-Calculation-sheet'!P9*'Output-Calculation-sheet'!P99</f>
        <v>0</v>
      </c>
      <c r="Q120" s="2">
        <f>Q10/'Output-Calculation-sheet'!Q9*'Output-Calculation-sheet'!Q99</f>
        <v>171670355.34586552</v>
      </c>
      <c r="R120" s="2">
        <f>R10/'Output-Calculation-sheet'!R9*'Output-Calculation-sheet'!R99</f>
        <v>0</v>
      </c>
      <c r="S120" s="2">
        <f>S10/'Output-Calculation-sheet'!S9*'Output-Calculation-sheet'!S99</f>
        <v>2125403153.3231492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578491630.65234149</v>
      </c>
      <c r="Y120" s="2">
        <f>Y10/'Output-Calculation-sheet'!Y9*'Output-Calculation-sheet'!Y99</f>
        <v>0</v>
      </c>
      <c r="AA120" s="2">
        <f t="shared" si="10"/>
        <v>76911.342846796688</v>
      </c>
    </row>
    <row r="121" spans="1:27" x14ac:dyDescent="0.25">
      <c r="A121" s="2">
        <v>2034</v>
      </c>
      <c r="B121" s="2">
        <f>B11/'Output-Calculation-sheet'!B10*'Output-Calculation-sheet'!B100</f>
        <v>31846323669.291023</v>
      </c>
      <c r="C121" s="2">
        <f>C11/'Output-Calculation-sheet'!C10*'Output-Calculation-sheet'!C100</f>
        <v>25923138830.246292</v>
      </c>
      <c r="D121" s="2">
        <f>D11/'Output-Calculation-sheet'!D10*'Output-Calculation-sheet'!D100</f>
        <v>0</v>
      </c>
      <c r="E121" s="2">
        <f>E11/'Output-Calculation-sheet'!E10*'Output-Calculation-sheet'!E100</f>
        <v>764585699.15093899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13314406111.103909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545348167.17911971</v>
      </c>
      <c r="M121" s="2">
        <f>M11/'Output-Calculation-sheet'!M10*'Output-Calculation-sheet'!M100</f>
        <v>9275466812.2268505</v>
      </c>
      <c r="N121" s="2">
        <f>N11/'Output-Calculation-sheet'!N10*'Output-Calculation-sheet'!N100</f>
        <v>6219154410.8694515</v>
      </c>
      <c r="O121" s="2">
        <f>O11/'Output-Calculation-sheet'!O10*'Output-Calculation-sheet'!O100</f>
        <v>3970860787.0178976</v>
      </c>
      <c r="P121" s="2">
        <f>P11/'Output-Calculation-sheet'!P10*'Output-Calculation-sheet'!P100</f>
        <v>0</v>
      </c>
      <c r="Q121" s="2">
        <f>Q11/'Output-Calculation-sheet'!Q10*'Output-Calculation-sheet'!Q100</f>
        <v>497494654.34434986</v>
      </c>
      <c r="R121" s="2">
        <f>R11/'Output-Calculation-sheet'!R10*'Output-Calculation-sheet'!R100</f>
        <v>0</v>
      </c>
      <c r="S121" s="2">
        <f>S11/'Output-Calculation-sheet'!S10*'Output-Calculation-sheet'!S100</f>
        <v>2610354758.0442586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40901572.511838466</v>
      </c>
      <c r="AA121" s="2">
        <f t="shared" si="10"/>
        <v>95461.48945684146</v>
      </c>
    </row>
    <row r="122" spans="1:27" x14ac:dyDescent="0.25">
      <c r="A122" s="2">
        <v>2035</v>
      </c>
      <c r="B122" s="2">
        <f>B12/'Output-Calculation-sheet'!B11*'Output-Calculation-sheet'!B101</f>
        <v>31697467848.521461</v>
      </c>
      <c r="C122" s="2">
        <f>C12/'Output-Calculation-sheet'!C11*'Output-Calculation-sheet'!C101</f>
        <v>25380574580.296631</v>
      </c>
      <c r="D122" s="2">
        <f>D12/'Output-Calculation-sheet'!D11*'Output-Calculation-sheet'!D101</f>
        <v>0</v>
      </c>
      <c r="E122" s="2">
        <f>E12/'Output-Calculation-sheet'!E11*'Output-Calculation-sheet'!E101</f>
        <v>2029210407.3852599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11682781999.096369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548435218.40916276</v>
      </c>
      <c r="M122" s="2">
        <f>M12/'Output-Calculation-sheet'!M11*'Output-Calculation-sheet'!M101</f>
        <v>8178578314.0441732</v>
      </c>
      <c r="N122" s="2">
        <f>N12/'Output-Calculation-sheet'!N11*'Output-Calculation-sheet'!N101</f>
        <v>5476264742.4717093</v>
      </c>
      <c r="O122" s="2">
        <f>O12/'Output-Calculation-sheet'!O11*'Output-Calculation-sheet'!O101</f>
        <v>3508665346.8131337</v>
      </c>
      <c r="P122" s="2">
        <f>P12/'Output-Calculation-sheet'!P11*'Output-Calculation-sheet'!P101</f>
        <v>278009282.74352771</v>
      </c>
      <c r="Q122" s="2">
        <f>Q12/'Output-Calculation-sheet'!Q11*'Output-Calculation-sheet'!Q101</f>
        <v>655329600.75771821</v>
      </c>
      <c r="R122" s="2">
        <f>R12/'Output-Calculation-sheet'!R11*'Output-Calculation-sheet'!R101</f>
        <v>0</v>
      </c>
      <c r="S122" s="2">
        <f>S12/'Output-Calculation-sheet'!S11*'Output-Calculation-sheet'!S101</f>
        <v>2572839009.567266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232908318.51889232</v>
      </c>
      <c r="Y122" s="2">
        <f>Y12/'Output-Calculation-sheet'!Y11*'Output-Calculation-sheet'!Y101</f>
        <v>228758820.13022095</v>
      </c>
      <c r="AA122" s="2">
        <f t="shared" si="10"/>
        <v>92469.823488755545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3712523357.5159969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2652041053.4541492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174750.89720877015</v>
      </c>
    </row>
    <row r="130" spans="1:27" x14ac:dyDescent="0.25">
      <c r="A130" s="2">
        <v>2032</v>
      </c>
      <c r="B130" s="2">
        <f>B9/'Output-Calculation-sheet'!B8*'Output-Calculation-sheet'!B107</f>
        <v>68379862727.763458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3924191293.0594096</v>
      </c>
      <c r="O130" s="2">
        <f>O9/'Output-Calculation-sheet'!O8*'Output-Calculation-sheet'!O107</f>
        <v>0</v>
      </c>
      <c r="P130" s="2">
        <f>P9/'Output-Calculation-sheet'!P8*'Output-Calculation-sheet'!P107</f>
        <v>6840364608.5815849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3223443431.2764153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226683.52620293878</v>
      </c>
    </row>
    <row r="131" spans="1:27" x14ac:dyDescent="0.25">
      <c r="A131" s="2">
        <v>2033</v>
      </c>
      <c r="B131" s="2">
        <f>B10/'Output-Calculation-sheet'!B9*'Output-Calculation-sheet'!B108</f>
        <v>70808798932.052948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3551300296.5443506</v>
      </c>
      <c r="O131" s="2">
        <f>O10/'Output-Calculation-sheet'!O9*'Output-Calculation-sheet'!O108</f>
        <v>0</v>
      </c>
      <c r="P131" s="2">
        <f>P10/'Output-Calculation-sheet'!P9*'Output-Calculation-sheet'!P108</f>
        <v>8037180290.5820456</v>
      </c>
      <c r="Q131" s="2">
        <f>Q10/'Output-Calculation-sheet'!Q9*'Output-Calculation-sheet'!Q108</f>
        <v>7735987198.6717644</v>
      </c>
      <c r="R131" s="2">
        <f>R10/'Output-Calculation-sheet'!R9*'Output-Calculation-sheet'!R108</f>
        <v>7607260123.1180115</v>
      </c>
      <c r="S131" s="2">
        <f>S10/'Output-Calculation-sheet'!S9*'Output-Calculation-sheet'!S108</f>
        <v>2930390767.7712393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254730.58268165612</v>
      </c>
    </row>
    <row r="132" spans="1:27" x14ac:dyDescent="0.25">
      <c r="A132" s="2">
        <v>2034</v>
      </c>
      <c r="B132" s="2">
        <f>B11/'Output-Calculation-sheet'!B10*'Output-Calculation-sheet'!B109</f>
        <v>59626840668.592468</v>
      </c>
      <c r="C132" s="2">
        <f>C11/'Output-Calculation-sheet'!C10*'Output-Calculation-sheet'!C109</f>
        <v>0</v>
      </c>
      <c r="D132" s="2">
        <f>D11/'Output-Calculation-sheet'!D10*'Output-Calculation-sheet'!D109</f>
        <v>38942603461.584534</v>
      </c>
      <c r="E132" s="2">
        <f>E11/'Output-Calculation-sheet'!E10*'Output-Calculation-sheet'!E109</f>
        <v>30339959381.66048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12377243109.144238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9203402633.5355263</v>
      </c>
      <c r="M132" s="2">
        <f>M11/'Output-Calculation-sheet'!M10*'Output-Calculation-sheet'!M109</f>
        <v>0</v>
      </c>
      <c r="N132" s="2">
        <f>N11/'Output-Calculation-sheet'!N10*'Output-Calculation-sheet'!N109</f>
        <v>2916613356.2923627</v>
      </c>
      <c r="O132" s="2">
        <f>O11/'Output-Calculation-sheet'!O10*'Output-Calculation-sheet'!O109</f>
        <v>0</v>
      </c>
      <c r="P132" s="2">
        <f>P11/'Output-Calculation-sheet'!P10*'Output-Calculation-sheet'!P109</f>
        <v>8457529956.7548923</v>
      </c>
      <c r="Q132" s="2">
        <f>Q11/'Output-Calculation-sheet'!Q10*'Output-Calculation-sheet'!Q109</f>
        <v>7171792549.8408966</v>
      </c>
      <c r="R132" s="2">
        <f>R11/'Output-Calculation-sheet'!R10*'Output-Calculation-sheet'!R109</f>
        <v>8005115503.8416481</v>
      </c>
      <c r="S132" s="2">
        <f>S11/'Output-Calculation-sheet'!S10*'Output-Calculation-sheet'!S109</f>
        <v>2492998000.448184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2502452595.1211081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956129235.79392791</v>
      </c>
      <c r="AA132" s="2">
        <f t="shared" si="11"/>
        <v>248872.94911123204</v>
      </c>
    </row>
    <row r="133" spans="1:27" x14ac:dyDescent="0.25">
      <c r="A133" s="2">
        <v>2035</v>
      </c>
      <c r="B133" s="2">
        <f>B12/'Output-Calculation-sheet'!B11*'Output-Calculation-sheet'!B110</f>
        <v>48499567078.572617</v>
      </c>
      <c r="C133" s="2">
        <f>C12/'Output-Calculation-sheet'!C11*'Output-Calculation-sheet'!C110</f>
        <v>0</v>
      </c>
      <c r="D133" s="2">
        <f>D12/'Output-Calculation-sheet'!D11*'Output-Calculation-sheet'!D110</f>
        <v>33338206105.749794</v>
      </c>
      <c r="E133" s="2">
        <f>E12/'Output-Calculation-sheet'!E11*'Output-Calculation-sheet'!E110</f>
        <v>26247124411.799747</v>
      </c>
      <c r="F133" s="2">
        <f>F12/'Output-Calculation-sheet'!F11*'Output-Calculation-sheet'!F110</f>
        <v>18037168407.684158</v>
      </c>
      <c r="G133" s="2">
        <f>G12/'Output-Calculation-sheet'!G11*'Output-Calculation-sheet'!G110</f>
        <v>12434064929.726662</v>
      </c>
      <c r="H133" s="2">
        <f>H12/'Output-Calculation-sheet'!H11*'Output-Calculation-sheet'!H110</f>
        <v>0</v>
      </c>
      <c r="I133" s="2">
        <f>I12/'Output-Calculation-sheet'!I11*'Output-Calculation-sheet'!I110</f>
        <v>11283381015.96764</v>
      </c>
      <c r="J133" s="2">
        <f>J12/'Output-Calculation-sheet'!J11*'Output-Calculation-sheet'!J110</f>
        <v>10566745932.881601</v>
      </c>
      <c r="K133" s="2">
        <f>K12/'Output-Calculation-sheet'!K11*'Output-Calculation-sheet'!K110</f>
        <v>10820356751.331909</v>
      </c>
      <c r="L133" s="2">
        <f>L12/'Output-Calculation-sheet'!L11*'Output-Calculation-sheet'!L110</f>
        <v>7929762695.6851511</v>
      </c>
      <c r="M133" s="2">
        <f>M12/'Output-Calculation-sheet'!M11*'Output-Calculation-sheet'!M110</f>
        <v>0</v>
      </c>
      <c r="N133" s="2">
        <f>N12/'Output-Calculation-sheet'!N11*'Output-Calculation-sheet'!N110</f>
        <v>2475744702.6367645</v>
      </c>
      <c r="O133" s="2">
        <f>O12/'Output-Calculation-sheet'!O11*'Output-Calculation-sheet'!O110</f>
        <v>0</v>
      </c>
      <c r="P133" s="2">
        <f>P12/'Output-Calculation-sheet'!P11*'Output-Calculation-sheet'!P110</f>
        <v>7395093713.2008877</v>
      </c>
      <c r="Q133" s="2">
        <f>Q12/'Output-Calculation-sheet'!Q11*'Output-Calculation-sheet'!Q110</f>
        <v>6014643798.2782192</v>
      </c>
      <c r="R133" s="2">
        <f>R12/'Output-Calculation-sheet'!R11*'Output-Calculation-sheet'!R110</f>
        <v>7089329237.3065195</v>
      </c>
      <c r="S133" s="2">
        <f>S12/'Output-Calculation-sheet'!S11*'Output-Calculation-sheet'!S110</f>
        <v>1911764922.3763373</v>
      </c>
      <c r="T133" s="2">
        <f>T12/'Output-Calculation-sheet'!T11*'Output-Calculation-sheet'!T110</f>
        <v>2667907064.9213824</v>
      </c>
      <c r="U133" s="2">
        <f>U12/'Output-Calculation-sheet'!U11*'Output-Calculation-sheet'!U110</f>
        <v>2163004935.5536904</v>
      </c>
      <c r="V133" s="2">
        <f>V12/'Output-Calculation-sheet'!V11*'Output-Calculation-sheet'!V110</f>
        <v>1705830140.4203146</v>
      </c>
      <c r="W133" s="2">
        <f>W12/'Output-Calculation-sheet'!W11*'Output-Calculation-sheet'!W110</f>
        <v>1591864017.7443175</v>
      </c>
      <c r="X133" s="2">
        <f>X12/'Output-Calculation-sheet'!X11*'Output-Calculation-sheet'!X110</f>
        <v>0</v>
      </c>
      <c r="Y133" s="2">
        <f>Y12/'Output-Calculation-sheet'!Y11*'Output-Calculation-sheet'!Y110</f>
        <v>681730475.01559579</v>
      </c>
      <c r="AA133" s="2">
        <f t="shared" si="11"/>
        <v>212853.29033685336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10156136266.968592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309317845.40907091</v>
      </c>
      <c r="Y140" s="2">
        <f>Y8/'Output-Calculation-sheet'!Y7*'Output-Calculation-sheet'!Y115</f>
        <v>0</v>
      </c>
      <c r="AA140" s="2">
        <f t="shared" si="12"/>
        <v>10465.454112377663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7299335808.4020376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408046230.72622865</v>
      </c>
      <c r="Y141" s="2">
        <f>Y9/'Output-Calculation-sheet'!Y8*'Output-Calculation-sheet'!Y116</f>
        <v>0</v>
      </c>
      <c r="AA141" s="2">
        <f t="shared" si="12"/>
        <v>7707.3820391282661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395639269.84994906</v>
      </c>
      <c r="Y142" s="2">
        <f>Y10/'Output-Calculation-sheet'!Y9*'Output-Calculation-sheet'!Y117</f>
        <v>0</v>
      </c>
      <c r="AA142" s="2">
        <f t="shared" si="12"/>
        <v>395.63926984994907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571.69958548467685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719020957.62736034</v>
      </c>
      <c r="Y144" s="2">
        <f>Y12/'Output-Calculation-sheet'!Y11*'Output-Calculation-sheet'!Y119</f>
        <v>0</v>
      </c>
      <c r="AA144" s="2">
        <f t="shared" si="12"/>
        <v>719.0209576273603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30483171267.384857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7437182654.2698965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231480.1043082157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34111068032.631935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7773435482.8937836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196701.56561026079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35778532288.610138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7486032916.5395193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144327.85506316522</v>
      </c>
    </row>
    <row r="154" spans="1:27" x14ac:dyDescent="0.25">
      <c r="A154" s="2">
        <v>2034</v>
      </c>
      <c r="B154" s="2">
        <f>B11/'Output-Calculation-sheet'!B10*'Output-Calculation-sheet'!B127</f>
        <v>15974531272.442818</v>
      </c>
      <c r="C154" s="2">
        <f>C11/'Output-Calculation-sheet'!C10*'Output-Calculation-sheet'!C127</f>
        <v>29480579067.817719</v>
      </c>
      <c r="D154" s="2">
        <f>D11/'Output-Calculation-sheet'!D10*'Output-Calculation-sheet'!D127</f>
        <v>5929366706.5540476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2576102760.7601051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1901930256.4556706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1640555721.8279593</v>
      </c>
      <c r="M154" s="2">
        <f>M11/'Output-Calculation-sheet'!M10*'Output-Calculation-sheet'!M127</f>
        <v>1655427563.8919449</v>
      </c>
      <c r="N154" s="2">
        <f>N11/'Output-Calculation-sheet'!N10*'Output-Calculation-sheet'!N127</f>
        <v>1538293534.9097903</v>
      </c>
      <c r="O154" s="2">
        <f>O11/'Output-Calculation-sheet'!O10*'Output-Calculation-sheet'!O127</f>
        <v>6654384974.4989357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2046496026.6146419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1061294031.1040561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452058219.87172103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87406.368508612941</v>
      </c>
    </row>
    <row r="155" spans="1:27" x14ac:dyDescent="0.25">
      <c r="A155" s="2">
        <v>2035</v>
      </c>
      <c r="B155" s="2">
        <f>B12/'Output-Calculation-sheet'!B11*'Output-Calculation-sheet'!B128</f>
        <v>11890610588.479856</v>
      </c>
      <c r="C155" s="2">
        <f>C12/'Output-Calculation-sheet'!C11*'Output-Calculation-sheet'!C128</f>
        <v>21005224499.485149</v>
      </c>
      <c r="D155" s="2">
        <f>D12/'Output-Calculation-sheet'!D11*'Output-Calculation-sheet'!D128</f>
        <v>4898707737.1549664</v>
      </c>
      <c r="E155" s="2">
        <f>E12/'Output-Calculation-sheet'!E11*'Output-Calculation-sheet'!E128</f>
        <v>2669990982.1469007</v>
      </c>
      <c r="F155" s="2">
        <f>F12/'Output-Calculation-sheet'!F11*'Output-Calculation-sheet'!F128</f>
        <v>1454386636.6395316</v>
      </c>
      <c r="G155" s="2">
        <f>G12/'Output-Calculation-sheet'!G11*'Output-Calculation-sheet'!G128</f>
        <v>1372136374.5773885</v>
      </c>
      <c r="H155" s="2">
        <f>H12/'Output-Calculation-sheet'!H11*'Output-Calculation-sheet'!H128</f>
        <v>2004173259.9947906</v>
      </c>
      <c r="I155" s="2">
        <f>I12/'Output-Calculation-sheet'!I11*'Output-Calculation-sheet'!I128</f>
        <v>1253720590.0620623</v>
      </c>
      <c r="J155" s="2">
        <f>J12/'Output-Calculation-sheet'!J11*'Output-Calculation-sheet'!J128</f>
        <v>1559653246.7900374</v>
      </c>
      <c r="K155" s="2">
        <f>K12/'Output-Calculation-sheet'!K11*'Output-Calculation-sheet'!K128</f>
        <v>1250303936.9778366</v>
      </c>
      <c r="L155" s="2">
        <f>L12/'Output-Calculation-sheet'!L11*'Output-Calculation-sheet'!L128</f>
        <v>1279837711.6440735</v>
      </c>
      <c r="M155" s="2">
        <f>M12/'Output-Calculation-sheet'!M11*'Output-Calculation-sheet'!M128</f>
        <v>1265327930.2115462</v>
      </c>
      <c r="N155" s="2">
        <f>N12/'Output-Calculation-sheet'!N11*'Output-Calculation-sheet'!N128</f>
        <v>1160299913.5459552</v>
      </c>
      <c r="O155" s="2">
        <f>O12/'Output-Calculation-sheet'!O11*'Output-Calculation-sheet'!O128</f>
        <v>5453271239.8040209</v>
      </c>
      <c r="P155" s="2">
        <f>P12/'Output-Calculation-sheet'!P11*'Output-Calculation-sheet'!P128</f>
        <v>671036278.4625088</v>
      </c>
      <c r="Q155" s="2">
        <f>Q12/'Output-Calculation-sheet'!Q11*'Output-Calculation-sheet'!Q128</f>
        <v>1594482752.2932036</v>
      </c>
      <c r="R155" s="2">
        <f>R12/'Output-Calculation-sheet'!R11*'Output-Calculation-sheet'!R128</f>
        <v>736466013.81746876</v>
      </c>
      <c r="S155" s="2">
        <f>S12/'Output-Calculation-sheet'!S11*'Output-Calculation-sheet'!S128</f>
        <v>773541525.43251705</v>
      </c>
      <c r="T155" s="2">
        <f>T12/'Output-Calculation-sheet'!T11*'Output-Calculation-sheet'!T128</f>
        <v>190825441.74522337</v>
      </c>
      <c r="U155" s="2">
        <f>U12/'Output-Calculation-sheet'!U11*'Output-Calculation-sheet'!U128</f>
        <v>371423966.78779215</v>
      </c>
      <c r="V155" s="2">
        <f>V12/'Output-Calculation-sheet'!V11*'Output-Calculation-sheet'!V128</f>
        <v>206338064.72895679</v>
      </c>
      <c r="W155" s="2">
        <f>W12/'Output-Calculation-sheet'!W11*'Output-Calculation-sheet'!W128</f>
        <v>73848080.171395943</v>
      </c>
      <c r="X155" s="2">
        <f>X12/'Output-Calculation-sheet'!X11*'Output-Calculation-sheet'!X128</f>
        <v>33257871.396675352</v>
      </c>
      <c r="Y155" s="2">
        <f>Y12/'Output-Calculation-sheet'!Y11*'Output-Calculation-sheet'!Y128</f>
        <v>81913893.954058573</v>
      </c>
      <c r="AA155" s="2">
        <f t="shared" si="13"/>
        <v>63250.778536303915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8993.0136019092606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5766.4210032264409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4002.480875148558</v>
      </c>
      <c r="N19" s="2">
        <f>N8/'Output-Calculation-sheet'!N7*'Output-Calculation-sheet'!N25</f>
        <v>1368.1930255013974</v>
      </c>
      <c r="O19" s="2">
        <f>O8/'Output-Calculation-sheet'!O7*'Output-Calculation-sheet'!O25</f>
        <v>2138.4250853821959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211.3052423515586</v>
      </c>
      <c r="Y19" s="2">
        <f>Y8/'Output-Calculation-sheet'!Y7*'Output-Calculation-sheet'!Y25</f>
        <v>0</v>
      </c>
      <c r="AA19" s="2">
        <f t="shared" si="0"/>
        <v>24.251997353909779</v>
      </c>
    </row>
    <row r="20" spans="1:27" x14ac:dyDescent="0.25">
      <c r="A20" s="2">
        <v>2032</v>
      </c>
      <c r="B20" s="2">
        <f>B9/'Output-Calculation-sheet'!B8*'Output-Calculation-sheet'!B26</f>
        <v>7446.8526459773921</v>
      </c>
      <c r="C20" s="2">
        <f>C9/'Output-Calculation-sheet'!C8*'Output-Calculation-sheet'!C26</f>
        <v>12589.98391751374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8095.2467231738437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5629.773144285663</v>
      </c>
      <c r="N20" s="2">
        <f>N9/'Output-Calculation-sheet'!N8*'Output-Calculation-sheet'!N26</f>
        <v>2535.0121426780984</v>
      </c>
      <c r="O20" s="2">
        <f>O9/'Output-Calculation-sheet'!O8*'Output-Calculation-sheet'!O26</f>
        <v>2639.7540445797817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921.91303418167672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300.85098826219303</v>
      </c>
      <c r="Y20" s="2">
        <f>Y9/'Output-Calculation-sheet'!Y8*'Output-Calculation-sheet'!Y26</f>
        <v>0</v>
      </c>
      <c r="AA20" s="2">
        <f t="shared" si="0"/>
        <v>40.159386640652386</v>
      </c>
    </row>
    <row r="21" spans="1:27" x14ac:dyDescent="0.25">
      <c r="A21" s="2">
        <v>2033</v>
      </c>
      <c r="B21" s="2">
        <f>B10/'Output-Calculation-sheet'!B9*'Output-Calculation-sheet'!B27</f>
        <v>18057.756084479093</v>
      </c>
      <c r="C21" s="2">
        <f>C10/'Output-Calculation-sheet'!C9*'Output-Calculation-sheet'!C27</f>
        <v>18541.764294704266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10428.014822212524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7244.2474028911847</v>
      </c>
      <c r="N21" s="2">
        <f>N10/'Output-Calculation-sheet'!N9*'Output-Calculation-sheet'!N27</f>
        <v>3957.4565314307674</v>
      </c>
      <c r="O21" s="2">
        <f>O10/'Output-Calculation-sheet'!O9*'Output-Calculation-sheet'!O27</f>
        <v>3060.121861663838</v>
      </c>
      <c r="P21" s="2">
        <f>P10/'Output-Calculation-sheet'!P9*'Output-Calculation-sheet'!P27</f>
        <v>0</v>
      </c>
      <c r="Q21" s="2">
        <f>Q10/'Output-Calculation-sheet'!Q9*'Output-Calculation-sheet'!Q27</f>
        <v>267.22150896607559</v>
      </c>
      <c r="R21" s="2">
        <f>R10/'Output-Calculation-sheet'!R9*'Output-Calculation-sheet'!R27</f>
        <v>0</v>
      </c>
      <c r="S21" s="2">
        <f>S10/'Output-Calculation-sheet'!S9*'Output-Calculation-sheet'!S27</f>
        <v>1722.6909417277961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459.23932972052353</v>
      </c>
      <c r="Y21" s="2">
        <f>Y10/'Output-Calculation-sheet'!Y9*'Output-Calculation-sheet'!Y27</f>
        <v>0</v>
      </c>
      <c r="AA21" s="2">
        <f t="shared" si="0"/>
        <v>63.738512777796075</v>
      </c>
    </row>
    <row r="22" spans="1:27" x14ac:dyDescent="0.25">
      <c r="A22" s="2">
        <v>2034</v>
      </c>
      <c r="B22" s="2">
        <f>B11/'Output-Calculation-sheet'!B10*'Output-Calculation-sheet'!B28</f>
        <v>31568.666170166816</v>
      </c>
      <c r="C22" s="2">
        <f>C11/'Output-Calculation-sheet'!C10*'Output-Calculation-sheet'!C28</f>
        <v>22199.418283605726</v>
      </c>
      <c r="D22" s="2">
        <f>D11/'Output-Calculation-sheet'!D10*'Output-Calculation-sheet'!D28</f>
        <v>0</v>
      </c>
      <c r="E22" s="2">
        <f>E11/'Output-Calculation-sheet'!E10*'Output-Calculation-sheet'!E28</f>
        <v>1808.2891257914544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12696.10515739533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906.7249943224524</v>
      </c>
      <c r="M22" s="2">
        <f>M11/'Output-Calculation-sheet'!M10*'Output-Calculation-sheet'!M28</f>
        <v>9021.1169570875918</v>
      </c>
      <c r="N22" s="2">
        <f>N11/'Output-Calculation-sheet'!N10*'Output-Calculation-sheet'!N28</f>
        <v>5319.8023641708387</v>
      </c>
      <c r="O22" s="2">
        <f>O11/'Output-Calculation-sheet'!O10*'Output-Calculation-sheet'!O28</f>
        <v>3391.945673112491</v>
      </c>
      <c r="P22" s="2">
        <f>P11/'Output-Calculation-sheet'!P10*'Output-Calculation-sheet'!P28</f>
        <v>0</v>
      </c>
      <c r="Q22" s="2">
        <f>Q11/'Output-Calculation-sheet'!Q10*'Output-Calculation-sheet'!Q28</f>
        <v>796.6869088029307</v>
      </c>
      <c r="R22" s="2">
        <f>R11/'Output-Calculation-sheet'!R10*'Output-Calculation-sheet'!R28</f>
        <v>0</v>
      </c>
      <c r="S22" s="2">
        <f>S11/'Output-Calculation-sheet'!S10*'Output-Calculation-sheet'!S28</f>
        <v>2337.6067845838402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98.014448137781699</v>
      </c>
      <c r="AA22" s="2">
        <f t="shared" si="0"/>
        <v>90.54538719377183</v>
      </c>
    </row>
    <row r="23" spans="1:27" x14ac:dyDescent="0.25">
      <c r="A23" s="2">
        <v>2035</v>
      </c>
      <c r="B23" s="2">
        <f>B12/'Output-Calculation-sheet'!B11*'Output-Calculation-sheet'!B29</f>
        <v>36049.300674849343</v>
      </c>
      <c r="C23" s="2">
        <f>C12/'Output-Calculation-sheet'!C11*'Output-Calculation-sheet'!C29</f>
        <v>26251.331643597128</v>
      </c>
      <c r="D23" s="2">
        <f>D12/'Output-Calculation-sheet'!D11*'Output-Calculation-sheet'!D29</f>
        <v>0</v>
      </c>
      <c r="E23" s="2">
        <f>E12/'Output-Calculation-sheet'!E11*'Output-Calculation-sheet'!E29</f>
        <v>4794.3760362249905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13030.988034151444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1046.1666946351181</v>
      </c>
      <c r="M23" s="2">
        <f>M12/'Output-Calculation-sheet'!M11*'Output-Calculation-sheet'!M29</f>
        <v>9312.546413184893</v>
      </c>
      <c r="N23" s="2">
        <f>N12/'Output-Calculation-sheet'!N11*'Output-Calculation-sheet'!N29</f>
        <v>5570.2474675993171</v>
      </c>
      <c r="O23" s="2">
        <f>O12/'Output-Calculation-sheet'!O11*'Output-Calculation-sheet'!O29</f>
        <v>3618.8485997793273</v>
      </c>
      <c r="P23" s="2">
        <f>P12/'Output-Calculation-sheet'!P11*'Output-Calculation-sheet'!P29</f>
        <v>758.06121928994844</v>
      </c>
      <c r="Q23" s="2">
        <f>Q12/'Output-Calculation-sheet'!Q11*'Output-Calculation-sheet'!Q29</f>
        <v>1129.4315895580098</v>
      </c>
      <c r="R23" s="2">
        <f>R12/'Output-Calculation-sheet'!R11*'Output-Calculation-sheet'!R29</f>
        <v>0</v>
      </c>
      <c r="S23" s="2">
        <f>S12/'Output-Calculation-sheet'!S11*'Output-Calculation-sheet'!S29</f>
        <v>2667.1736987722047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235.08980471746708</v>
      </c>
      <c r="Y23" s="2">
        <f>Y12/'Output-Calculation-sheet'!Y11*'Output-Calculation-sheet'!Y29</f>
        <v>248.05551242744778</v>
      </c>
      <c r="AA23" s="2">
        <f t="shared" si="0"/>
        <v>104.71161738878666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1863.2246482712028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47.898240981701726</v>
      </c>
    </row>
    <row r="31" spans="1:27" x14ac:dyDescent="0.25">
      <c r="A31" s="2">
        <v>2032</v>
      </c>
      <c r="B31" s="2">
        <f>B9/'Output-Calculation-sheet'!B8*'Output-Calculation-sheet'!B17</f>
        <v>31532.122603339154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2159.8109526179946</v>
      </c>
      <c r="O31" s="2">
        <f>O9/'Output-Calculation-sheet'!O8*'Output-Calculation-sheet'!O17</f>
        <v>0</v>
      </c>
      <c r="P31" s="2">
        <f>P9/'Output-Calculation-sheet'!P8*'Output-Calculation-sheet'!P17</f>
        <v>2674.47458736626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1605.9473660784977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68.667797802955462</v>
      </c>
    </row>
    <row r="32" spans="1:27" x14ac:dyDescent="0.25">
      <c r="A32" s="2">
        <v>2033</v>
      </c>
      <c r="B32" s="2">
        <f>B10/'Output-Calculation-sheet'!B9*'Output-Calculation-sheet'!B18</f>
        <v>36573.129189002102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3488.3378953429915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2234.9487103620236</v>
      </c>
      <c r="O32" s="2">
        <f>O10/'Output-Calculation-sheet'!O9*'Output-Calculation-sheet'!O18</f>
        <v>0</v>
      </c>
      <c r="P32" s="2">
        <f>P10/'Output-Calculation-sheet'!P9*'Output-Calculation-sheet'!P18</f>
        <v>3590.1925981070244</v>
      </c>
      <c r="Q32" s="2">
        <f>Q10/'Output-Calculation-sheet'!Q9*'Output-Calculation-sheet'!Q18</f>
        <v>3911.4571085367638</v>
      </c>
      <c r="R32" s="2">
        <f>R10/'Output-Calculation-sheet'!R9*'Output-Calculation-sheet'!R18</f>
        <v>2578.0958800102981</v>
      </c>
      <c r="S32" s="2">
        <f>S10/'Output-Calculation-sheet'!S9*'Output-Calculation-sheet'!S18</f>
        <v>1688.4996467603953</v>
      </c>
      <c r="T32" s="2">
        <f>T10/'Output-Calculation-sheet'!T9*'Output-Calculation-sheet'!T18</f>
        <v>752.70359902289351</v>
      </c>
      <c r="U32" s="2">
        <f>U10/'Output-Calculation-sheet'!U9*'Output-Calculation-sheet'!U18</f>
        <v>832.20638290090494</v>
      </c>
      <c r="V32" s="2">
        <f>V10/'Output-Calculation-sheet'!V9*'Output-Calculation-sheet'!V18</f>
        <v>614.1300982526999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355.60606602557522</v>
      </c>
      <c r="AA32" s="2">
        <f t="shared" si="1"/>
        <v>87.913730532848732</v>
      </c>
    </row>
    <row r="33" spans="1:27" x14ac:dyDescent="0.25">
      <c r="A33" s="2">
        <v>2034</v>
      </c>
      <c r="B33" s="2">
        <f>B11/'Output-Calculation-sheet'!B10*'Output-Calculation-sheet'!B19</f>
        <v>35867.381367384995</v>
      </c>
      <c r="C33" s="2">
        <f>C11/'Output-Calculation-sheet'!C10*'Output-Calculation-sheet'!C19</f>
        <v>0</v>
      </c>
      <c r="D33" s="2">
        <f>D11/'Output-Calculation-sheet'!D10*'Output-Calculation-sheet'!D19</f>
        <v>10483.61109163949</v>
      </c>
      <c r="E33" s="2">
        <f>E11/'Output-Calculation-sheet'!E10*'Output-Calculation-sheet'!E19</f>
        <v>13189.37695098272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3958.5867468026327</v>
      </c>
      <c r="J33" s="2">
        <f>J11/'Output-Calculation-sheet'!J10*'Output-Calculation-sheet'!J19</f>
        <v>3276.7793046741226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3672.3293235681563</v>
      </c>
      <c r="M33" s="2">
        <f>M11/'Output-Calculation-sheet'!M10*'Output-Calculation-sheet'!M19</f>
        <v>0</v>
      </c>
      <c r="N33" s="2">
        <f>N11/'Output-Calculation-sheet'!N10*'Output-Calculation-sheet'!N19</f>
        <v>2179.7276455734495</v>
      </c>
      <c r="O33" s="2">
        <f>O11/'Output-Calculation-sheet'!O10*'Output-Calculation-sheet'!O19</f>
        <v>0</v>
      </c>
      <c r="P33" s="2">
        <f>P11/'Output-Calculation-sheet'!P10*'Output-Calculation-sheet'!P19</f>
        <v>4696.2940627094958</v>
      </c>
      <c r="Q33" s="2">
        <f>Q11/'Output-Calculation-sheet'!Q10*'Output-Calculation-sheet'!Q19</f>
        <v>3930.8023126042463</v>
      </c>
      <c r="R33" s="2">
        <f>R11/'Output-Calculation-sheet'!R10*'Output-Calculation-sheet'!R19</f>
        <v>3353.6130247553469</v>
      </c>
      <c r="S33" s="2">
        <f>S11/'Output-Calculation-sheet'!S10*'Output-Calculation-sheet'!S19</f>
        <v>1681.5003582175345</v>
      </c>
      <c r="T33" s="2">
        <f>T11/'Output-Calculation-sheet'!T10*'Output-Calculation-sheet'!T19</f>
        <v>984.01388990250246</v>
      </c>
      <c r="U33" s="2">
        <f>U11/'Output-Calculation-sheet'!U10*'Output-Calculation-sheet'!U19</f>
        <v>1060.7320017495113</v>
      </c>
      <c r="V33" s="2">
        <f>V11/'Output-Calculation-sheet'!V10*'Output-Calculation-sheet'!V19</f>
        <v>771.84158117741595</v>
      </c>
      <c r="W33" s="2">
        <f>W11/'Output-Calculation-sheet'!W10*'Output-Calculation-sheet'!W19</f>
        <v>480.59592324277247</v>
      </c>
      <c r="X33" s="2">
        <f>X11/'Output-Calculation-sheet'!X10*'Output-Calculation-sheet'!X19</f>
        <v>0</v>
      </c>
      <c r="Y33" s="2">
        <f>Y11/'Output-Calculation-sheet'!Y10*'Output-Calculation-sheet'!Y19</f>
        <v>433.17702299762857</v>
      </c>
      <c r="AA33" s="2">
        <f t="shared" si="1"/>
        <v>104.34019308268314</v>
      </c>
    </row>
    <row r="34" spans="1:27" x14ac:dyDescent="0.25">
      <c r="A34" s="2">
        <v>2035</v>
      </c>
      <c r="B34" s="2">
        <f>B12/'Output-Calculation-sheet'!B11*'Output-Calculation-sheet'!B20</f>
        <v>33593.883961783882</v>
      </c>
      <c r="C34" s="2">
        <f>C12/'Output-Calculation-sheet'!C11*'Output-Calculation-sheet'!C20</f>
        <v>0</v>
      </c>
      <c r="D34" s="2">
        <f>D12/'Output-Calculation-sheet'!D11*'Output-Calculation-sheet'!D20</f>
        <v>10475.66941814559</v>
      </c>
      <c r="E34" s="2">
        <f>E12/'Output-Calculation-sheet'!E11*'Output-Calculation-sheet'!E20</f>
        <v>12261.772791492473</v>
      </c>
      <c r="F34" s="2">
        <f>F12/'Output-Calculation-sheet'!F11*'Output-Calculation-sheet'!F20</f>
        <v>7122.8519913524142</v>
      </c>
      <c r="G34" s="2">
        <f>G12/'Output-Calculation-sheet'!G11*'Output-Calculation-sheet'!G20</f>
        <v>3781.2247228261003</v>
      </c>
      <c r="H34" s="2">
        <f>H12/'Output-Calculation-sheet'!H11*'Output-Calculation-sheet'!H20</f>
        <v>0</v>
      </c>
      <c r="I34" s="2">
        <f>I12/'Output-Calculation-sheet'!I11*'Output-Calculation-sheet'!I20</f>
        <v>4191.4699560174286</v>
      </c>
      <c r="J34" s="2">
        <f>J12/'Output-Calculation-sheet'!J11*'Output-Calculation-sheet'!J20</f>
        <v>3278.4293389736663</v>
      </c>
      <c r="K34" s="2">
        <f>K12/'Output-Calculation-sheet'!K11*'Output-Calculation-sheet'!K20</f>
        <v>4840.0413896491373</v>
      </c>
      <c r="L34" s="2">
        <f>L12/'Output-Calculation-sheet'!L11*'Output-Calculation-sheet'!L20</f>
        <v>3674.9104521138556</v>
      </c>
      <c r="M34" s="2">
        <f>M12/'Output-Calculation-sheet'!M11*'Output-Calculation-sheet'!M20</f>
        <v>0</v>
      </c>
      <c r="N34" s="2">
        <f>N12/'Output-Calculation-sheet'!N11*'Output-Calculation-sheet'!N20</f>
        <v>2138.5334768989205</v>
      </c>
      <c r="O34" s="2">
        <f>O12/'Output-Calculation-sheet'!O11*'Output-Calculation-sheet'!O20</f>
        <v>0</v>
      </c>
      <c r="P34" s="2">
        <f>P12/'Output-Calculation-sheet'!P11*'Output-Calculation-sheet'!P20</f>
        <v>4618.2061524905257</v>
      </c>
      <c r="Q34" s="2">
        <f>Q12/'Output-Calculation-sheet'!Q11*'Output-Calculation-sheet'!Q20</f>
        <v>3789.6918198646608</v>
      </c>
      <c r="R34" s="2">
        <f>R12/'Output-Calculation-sheet'!R11*'Output-Calculation-sheet'!R20</f>
        <v>3594.0238626755281</v>
      </c>
      <c r="S34" s="2">
        <f>S12/'Output-Calculation-sheet'!S11*'Output-Calculation-sheet'!S20</f>
        <v>1520.4996553115952</v>
      </c>
      <c r="T34" s="2">
        <f>T12/'Output-Calculation-sheet'!T11*'Output-Calculation-sheet'!T20</f>
        <v>1113.275246466324</v>
      </c>
      <c r="U34" s="2">
        <f>U12/'Output-Calculation-sheet'!U11*'Output-Calculation-sheet'!U20</f>
        <v>1063.6897717717372</v>
      </c>
      <c r="V34" s="2">
        <f>V12/'Output-Calculation-sheet'!V11*'Output-Calculation-sheet'!V20</f>
        <v>791.86402780012736</v>
      </c>
      <c r="W34" s="2">
        <f>W12/'Output-Calculation-sheet'!W11*'Output-Calculation-sheet'!W20</f>
        <v>624.36967361610982</v>
      </c>
      <c r="X34" s="2">
        <f>X12/'Output-Calculation-sheet'!X11*'Output-Calculation-sheet'!X20</f>
        <v>0</v>
      </c>
      <c r="Y34" s="2">
        <f>Y12/'Output-Calculation-sheet'!Y11*'Output-Calculation-sheet'!Y20</f>
        <v>368.74566497356705</v>
      </c>
      <c r="AA34" s="2">
        <f t="shared" si="1"/>
        <v>102.84315337422365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0.73163544000988801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0.40271991497859921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1.1343553549884873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2.3967169014786514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0.59864851447643574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2.9953654159550869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4.3955799319230984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0.79700979686839224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5.1925897287914911</v>
      </c>
    </row>
    <row r="44" spans="1:27" x14ac:dyDescent="0.25">
      <c r="A44" s="2">
        <v>2034</v>
      </c>
      <c r="B44" s="2">
        <f>B11/'Output-Calculation-sheet'!B10*'Output-Calculation-sheet'!B37*0.0114</f>
        <v>0.31831372723030532</v>
      </c>
      <c r="C44" s="2">
        <f>C11/'Output-Calculation-sheet'!C10*'Output-Calculation-sheet'!C37*0.0114</f>
        <v>5.0611485918403512</v>
      </c>
      <c r="D44" s="2">
        <f>D11/'Output-Calculation-sheet'!D10*'Output-Calculation-sheet'!D37*0.0114</f>
        <v>6.6914980554627787E-2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9.3013642262089857E-2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2.1366987196656011E-2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1.6872826857794787E-2</v>
      </c>
      <c r="M44" s="2">
        <f>M11/'Output-Calculation-sheet'!M10*'Output-Calculation-sheet'!M37*0.0114</f>
        <v>4.8001828439712971E-2</v>
      </c>
      <c r="N44" s="2">
        <f>N11/'Output-Calculation-sheet'!N10*'Output-Calculation-sheet'!N37*0.0114</f>
        <v>3.1452008441837875E-2</v>
      </c>
      <c r="O44" s="2">
        <f>O11/'Output-Calculation-sheet'!O10*'Output-Calculation-sheet'!O37*0.0114</f>
        <v>0.968565336301348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6.8891937226289404E-2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3.6058754031272879E-2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8.7922680997764759E-3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6.7393928884820617</v>
      </c>
    </row>
    <row r="45" spans="1:27" x14ac:dyDescent="0.25">
      <c r="A45" s="2">
        <v>2035</v>
      </c>
      <c r="B45" s="2">
        <f>B12/'Output-Calculation-sheet'!B11*'Output-Calculation-sheet'!B38*0.0114</f>
        <v>1.4340525903691865</v>
      </c>
      <c r="C45" s="2">
        <f>C12/'Output-Calculation-sheet'!C11*'Output-Calculation-sheet'!C38*0.0114</f>
        <v>5.4450764089145833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0.37268378202928759</v>
      </c>
      <c r="F45" s="2">
        <f>F12/'Output-Calculation-sheet'!F11*'Output-Calculation-sheet'!F38*0.0114</f>
        <v>0.13393854816382877</v>
      </c>
      <c r="G45" s="2">
        <f>G12/'Output-Calculation-sheet'!G11*'Output-Calculation-sheet'!G38*0.0114</f>
        <v>0.12015706297649917</v>
      </c>
      <c r="H45" s="2">
        <f>H12/'Output-Calculation-sheet'!H11*'Output-Calculation-sheet'!H38*0.0114</f>
        <v>0.41904084937284358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8.5565851734080739E-2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0.10135292738941921</v>
      </c>
      <c r="M45" s="2">
        <f>M12/'Output-Calculation-sheet'!M11*'Output-Calculation-sheet'!M38*0.0114</f>
        <v>0.2563030090880925</v>
      </c>
      <c r="N45" s="2">
        <f>N12/'Output-Calculation-sheet'!N11*'Output-Calculation-sheet'!N38*0.0114</f>
        <v>0.15744018250585054</v>
      </c>
      <c r="O45" s="2">
        <f>O12/'Output-Calculation-sheet'!O11*'Output-Calculation-sheet'!O38*0.0114</f>
        <v>1.1019032059453988</v>
      </c>
      <c r="P45" s="2">
        <f>P12/'Output-Calculation-sheet'!P11*'Output-Calculation-sheet'!P38*0.0114</f>
        <v>0.10181295187556555</v>
      </c>
      <c r="Q45" s="2">
        <f>Q12/'Output-Calculation-sheet'!Q11*'Output-Calculation-sheet'!Q38*0.0114</f>
        <v>0.15173587542634256</v>
      </c>
      <c r="R45" s="2">
        <f>R12/'Output-Calculation-sheet'!R11*'Output-Calculation-sheet'!R38*0.0114</f>
        <v>6.8397599490006303E-2</v>
      </c>
      <c r="S45" s="2">
        <f>S12/'Output-Calculation-sheet'!S11*'Output-Calculation-sheet'!S38*0.0114</f>
        <v>9.9275162486475291E-2</v>
      </c>
      <c r="T45" s="2">
        <f>T12/'Output-Calculation-sheet'!T11*'Output-Calculation-sheet'!T38*0.0114</f>
        <v>2.0243628171751384E-2</v>
      </c>
      <c r="U45" s="2">
        <f>U12/'Output-Calculation-sheet'!U11*'Output-Calculation-sheet'!U38*0.0114</f>
        <v>3.0808188538429686E-2</v>
      </c>
      <c r="V45" s="2">
        <f>V12/'Output-Calculation-sheet'!V11*'Output-Calculation-sheet'!V38*0.0114</f>
        <v>1.3574745562403571E-2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7.029243291044482E-3</v>
      </c>
      <c r="Y45" s="2">
        <f>Y12/'Output-Calculation-sheet'!Y11*'Output-Calculation-sheet'!Y38*0.0114</f>
        <v>1.1870869907287281E-2</v>
      </c>
      <c r="AA45" s="2">
        <f t="shared" si="2"/>
        <v>10.601723786148169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8142.8254098741481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5569.07095774565</v>
      </c>
      <c r="N52" s="2">
        <f>N8/'Output-Calculation-sheet'!N7*'Output-Calculation-sheet'!N43</f>
        <v>175.9178166928601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37.655495532849727</v>
      </c>
      <c r="Y52" s="2">
        <f>Y8/'Output-Calculation-sheet'!Y7*'Output-Calculation-sheet'!Y43</f>
        <v>0</v>
      </c>
      <c r="AA52" s="2">
        <f t="shared" si="3"/>
        <v>13.925469679845508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246.27918035244286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16214.601780024044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11089.789551313834</v>
      </c>
      <c r="N53" s="2">
        <f>N9/'Output-Calculation-sheet'!N8*'Output-Calculation-sheet'!N44</f>
        <v>3935.3620045432472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1227.2245726519091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338.47974682152238</v>
      </c>
      <c r="Y53" s="2">
        <f>Y9/'Output-Calculation-sheet'!Y8*'Output-Calculation-sheet'!Y44</f>
        <v>0</v>
      </c>
      <c r="AA53" s="2">
        <f t="shared" si="3"/>
        <v>33.226180137112628</v>
      </c>
    </row>
    <row r="54" spans="1:27" x14ac:dyDescent="0.25">
      <c r="A54" s="2">
        <v>2033</v>
      </c>
      <c r="B54" s="2">
        <f>B10/'Output-Calculation-sheet'!B9*'Output-Calculation-sheet'!B45</f>
        <v>34485.784663348226</v>
      </c>
      <c r="C54" s="2">
        <f>C10/'Output-Calculation-sheet'!C9*'Output-Calculation-sheet'!C45</f>
        <v>7409.5082770575045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17226.001076970995</v>
      </c>
      <c r="N54" s="2">
        <f>N10/'Output-Calculation-sheet'!N9*'Output-Calculation-sheet'!N45</f>
        <v>9637.7994926554893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1009.2234640631257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105.37708812518565</v>
      </c>
    </row>
    <row r="55" spans="1:27" x14ac:dyDescent="0.25">
      <c r="A55" s="2">
        <v>2034</v>
      </c>
      <c r="B55" s="2">
        <f>B11/'Output-Calculation-sheet'!B10*'Output-Calculation-sheet'!B46</f>
        <v>89002.193468999845</v>
      </c>
      <c r="C55" s="2">
        <f>C11/'Output-Calculation-sheet'!C10*'Output-Calculation-sheet'!C46</f>
        <v>18262.012986530517</v>
      </c>
      <c r="D55" s="2">
        <f>D11/'Output-Calculation-sheet'!D10*'Output-Calculation-sheet'!D46</f>
        <v>7706.9622340549367</v>
      </c>
      <c r="E55" s="2">
        <f>E11/'Output-Calculation-sheet'!E10*'Output-Calculation-sheet'!E46</f>
        <v>11540.911253016488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29815.359845284373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1105.8353022830743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928.00547717871325</v>
      </c>
      <c r="M55" s="2">
        <f>M11/'Output-Calculation-sheet'!M10*'Output-Calculation-sheet'!M46</f>
        <v>20849.917002103397</v>
      </c>
      <c r="N55" s="2">
        <f>N11/'Output-Calculation-sheet'!N10*'Output-Calculation-sheet'!N46</f>
        <v>15186.629865622506</v>
      </c>
      <c r="O55" s="2">
        <f>O11/'Output-Calculation-sheet'!O10*'Output-Calculation-sheet'!O46</f>
        <v>0</v>
      </c>
      <c r="P55" s="2">
        <f>P11/'Output-Calculation-sheet'!P10*'Output-Calculation-sheet'!P46</f>
        <v>6021.5008784780675</v>
      </c>
      <c r="Q55" s="2">
        <f>Q11/'Output-Calculation-sheet'!Q10*'Output-Calculation-sheet'!Q46</f>
        <v>2227.5059703166908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6386.19512185438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1481.1886741772562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99.389511555996762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229.95076067819502</v>
      </c>
    </row>
    <row r="56" spans="1:27" x14ac:dyDescent="0.25">
      <c r="A56" s="2">
        <v>2035</v>
      </c>
      <c r="B56" s="2">
        <f>B12/'Output-Calculation-sheet'!B11*'Output-Calculation-sheet'!B47</f>
        <v>102130.82142132208</v>
      </c>
      <c r="C56" s="2">
        <f>C12/'Output-Calculation-sheet'!C11*'Output-Calculation-sheet'!C47</f>
        <v>36817.950864371269</v>
      </c>
      <c r="D56" s="2">
        <f>D12/'Output-Calculation-sheet'!D11*'Output-Calculation-sheet'!D47</f>
        <v>8038.9957445506216</v>
      </c>
      <c r="E56" s="2">
        <f>E12/'Output-Calculation-sheet'!E11*'Output-Calculation-sheet'!E47</f>
        <v>21352.258789948661</v>
      </c>
      <c r="F56" s="2">
        <f>F12/'Output-Calculation-sheet'!F11*'Output-Calculation-sheet'!F47</f>
        <v>2511.3477780717894</v>
      </c>
      <c r="G56" s="2">
        <f>G12/'Output-Calculation-sheet'!G11*'Output-Calculation-sheet'!G47</f>
        <v>6490.5894193796648</v>
      </c>
      <c r="H56" s="2">
        <f>H12/'Output-Calculation-sheet'!H11*'Output-Calculation-sheet'!H47</f>
        <v>30321.240406861507</v>
      </c>
      <c r="I56" s="2">
        <f>I12/'Output-Calculation-sheet'!I11*'Output-Calculation-sheet'!I47</f>
        <v>3608.1498662617637</v>
      </c>
      <c r="J56" s="2">
        <f>J12/'Output-Calculation-sheet'!J11*'Output-Calculation-sheet'!J47</f>
        <v>1294.746440713064</v>
      </c>
      <c r="K56" s="2">
        <f>K12/'Output-Calculation-sheet'!K11*'Output-Calculation-sheet'!K47</f>
        <v>5394.8271516421182</v>
      </c>
      <c r="L56" s="2">
        <f>L12/'Output-Calculation-sheet'!L11*'Output-Calculation-sheet'!L47</f>
        <v>1219.495018150468</v>
      </c>
      <c r="M56" s="2">
        <f>M12/'Output-Calculation-sheet'!M11*'Output-Calculation-sheet'!M47</f>
        <v>21226.498110113625</v>
      </c>
      <c r="N56" s="2">
        <f>N12/'Output-Calculation-sheet'!N11*'Output-Calculation-sheet'!N47</f>
        <v>15831.024667233023</v>
      </c>
      <c r="O56" s="2">
        <f>O12/'Output-Calculation-sheet'!O11*'Output-Calculation-sheet'!O47</f>
        <v>0</v>
      </c>
      <c r="P56" s="2">
        <f>P12/'Output-Calculation-sheet'!P11*'Output-Calculation-sheet'!P47</f>
        <v>8171.8290321177601</v>
      </c>
      <c r="Q56" s="2">
        <f>Q12/'Output-Calculation-sheet'!Q11*'Output-Calculation-sheet'!Q47</f>
        <v>2896.7758035938123</v>
      </c>
      <c r="R56" s="2">
        <f>R12/'Output-Calculation-sheet'!R11*'Output-Calculation-sheet'!R47</f>
        <v>5653.0015999547304</v>
      </c>
      <c r="S56" s="2">
        <f>S12/'Output-Calculation-sheet'!S11*'Output-Calculation-sheet'!S47</f>
        <v>7377.5537417182068</v>
      </c>
      <c r="T56" s="2">
        <f>T12/'Output-Calculation-sheet'!T11*'Output-Calculation-sheet'!T47</f>
        <v>1937.3507311737508</v>
      </c>
      <c r="U56" s="2">
        <f>U12/'Output-Calculation-sheet'!U11*'Output-Calculation-sheet'!U47</f>
        <v>1511.0682949801228</v>
      </c>
      <c r="V56" s="2">
        <f>V12/'Output-Calculation-sheet'!V11*'Output-Calculation-sheet'!V47</f>
        <v>871.04617358756241</v>
      </c>
      <c r="W56" s="2">
        <f>W12/'Output-Calculation-sheet'!W11*'Output-Calculation-sheet'!W47</f>
        <v>750.91526481350354</v>
      </c>
      <c r="X56" s="2">
        <f>X12/'Output-Calculation-sheet'!X11*'Output-Calculation-sheet'!X47</f>
        <v>451.65971146404235</v>
      </c>
      <c r="Y56" s="2">
        <f>Y12/'Output-Calculation-sheet'!Y11*'Output-Calculation-sheet'!Y47</f>
        <v>967.37176700613009</v>
      </c>
      <c r="AA56" s="2">
        <f t="shared" si="3"/>
        <v>286.82651779902926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6.2418391268362807</v>
      </c>
      <c r="C63" s="2">
        <f>C8*'Output-Calculation-sheet'!C52/10^9</f>
        <v>3.9001907913450684</v>
      </c>
      <c r="D63" s="2">
        <f>D8*'Output-Calculation-sheet'!D52/10^9</f>
        <v>1.7827403173569398</v>
      </c>
      <c r="E63" s="2">
        <f>E8*'Output-Calculation-sheet'!E52/10^9</f>
        <v>1.6375608721521158</v>
      </c>
      <c r="F63" s="2">
        <f>F8*'Output-Calculation-sheet'!F52/10^9</f>
        <v>0.86302291062896153</v>
      </c>
      <c r="G63" s="2">
        <f>G8*'Output-Calculation-sheet'!G52/10^9</f>
        <v>0.63823250042083934</v>
      </c>
      <c r="H63" s="2">
        <f>H8*'Output-Calculation-sheet'!H52/10^9</f>
        <v>1.101188725155885</v>
      </c>
      <c r="I63" s="2">
        <f>I8*'Output-Calculation-sheet'!I52/10^9</f>
        <v>0.59166987594564679</v>
      </c>
      <c r="J63" s="2">
        <f>J8*'Output-Calculation-sheet'!J52/10^9</f>
        <v>0.60151428889335379</v>
      </c>
      <c r="K63" s="2">
        <f>K8*'Output-Calculation-sheet'!K52/10^9</f>
        <v>0.60534372017754079</v>
      </c>
      <c r="L63" s="2">
        <f>L8*'Output-Calculation-sheet'!L52/10^9</f>
        <v>0.49347442919421663</v>
      </c>
      <c r="M63" s="2">
        <f>M8*'Output-Calculation-sheet'!M52/10^9</f>
        <v>0.76242529721323771</v>
      </c>
      <c r="N63" s="2">
        <f>N8*'Output-Calculation-sheet'!N52/10^9</f>
        <v>0.68409393634062043</v>
      </c>
      <c r="O63" s="2">
        <f>O8*'Output-Calculation-sheet'!O52/10^9</f>
        <v>0.73975052656128337</v>
      </c>
      <c r="P63" s="2">
        <f>P8*'Output-Calculation-sheet'!P52/10^9</f>
        <v>0.48731799663970898</v>
      </c>
      <c r="Q63" s="2">
        <f>Q8*'Output-Calculation-sheet'!Q52/10^9</f>
        <v>0.5025652948580982</v>
      </c>
      <c r="R63" s="2">
        <f>R8*'Output-Calculation-sheet'!R52/10^9</f>
        <v>0.41159609481919085</v>
      </c>
      <c r="S63" s="2">
        <f>S8*'Output-Calculation-sheet'!S52/10^9</f>
        <v>0.37846840110985486</v>
      </c>
      <c r="T63" s="2">
        <f>T8*'Output-Calculation-sheet'!T52/10^9</f>
        <v>0.14191088230243087</v>
      </c>
      <c r="U63" s="2">
        <f>U8*'Output-Calculation-sheet'!U52/10^9</f>
        <v>0.12891955853606629</v>
      </c>
      <c r="V63" s="2">
        <f>V8*'Output-Calculation-sheet'!V52/10^9</f>
        <v>9.9615297088061258E-2</v>
      </c>
      <c r="W63" s="2">
        <f>W8*'Output-Calculation-sheet'!W52/10^9</f>
        <v>7.7825024480741342E-2</v>
      </c>
      <c r="X63" s="2">
        <f>X8*'Output-Calculation-sheet'!X52/10^9</f>
        <v>9.1840104256125141E-2</v>
      </c>
      <c r="Y63" s="2">
        <f>Y8*'Output-Calculation-sheet'!Y52/10^9</f>
        <v>5.0589437172057848E-2</v>
      </c>
      <c r="AA63" s="2">
        <f t="shared" si="4"/>
        <v>23.013695409484328</v>
      </c>
    </row>
    <row r="64" spans="1:27" x14ac:dyDescent="0.25">
      <c r="A64" s="2">
        <v>2032</v>
      </c>
      <c r="B64" s="2">
        <f>B9*'Output-Calculation-sheet'!B53/10^9</f>
        <v>7.2558906331990762</v>
      </c>
      <c r="C64" s="2">
        <f>C9*'Output-Calculation-sheet'!C53/10^9</f>
        <v>4.8038705818354739</v>
      </c>
      <c r="D64" s="2">
        <f>D9*'Output-Calculation-sheet'!D53/10^9</f>
        <v>1.7482315697075632</v>
      </c>
      <c r="E64" s="2">
        <f>E9*'Output-Calculation-sheet'!E53/10^9</f>
        <v>1.7068002927294763</v>
      </c>
      <c r="F64" s="2">
        <f>F9*'Output-Calculation-sheet'!F53/10^9</f>
        <v>0.86079503342833252</v>
      </c>
      <c r="G64" s="2">
        <f>G9*'Output-Calculation-sheet'!G53/10^9</f>
        <v>0.62525568328406633</v>
      </c>
      <c r="H64" s="2">
        <f>H9*'Output-Calculation-sheet'!H53/10^9</f>
        <v>1.3422804359523401</v>
      </c>
      <c r="I64" s="2">
        <f>I9*'Output-Calculation-sheet'!I53/10^9</f>
        <v>0.58383058091330264</v>
      </c>
      <c r="J64" s="2">
        <f>J9*'Output-Calculation-sheet'!J53/10^9</f>
        <v>0.58274100498927217</v>
      </c>
      <c r="K64" s="2">
        <f>K9*'Output-Calculation-sheet'!K53/10^9</f>
        <v>0.62853535481343414</v>
      </c>
      <c r="L64" s="2">
        <f>L9*'Output-Calculation-sheet'!L53/10^9</f>
        <v>0.51811374424396983</v>
      </c>
      <c r="M64" s="2">
        <f>M9*'Output-Calculation-sheet'!M53/10^9</f>
        <v>0.92999829757504582</v>
      </c>
      <c r="N64" s="2">
        <f>N9*'Output-Calculation-sheet'!N53/10^9</f>
        <v>0.82636395695591569</v>
      </c>
      <c r="O64" s="2">
        <f>O9*'Output-Calculation-sheet'!O53/10^9</f>
        <v>0.88911235840540592</v>
      </c>
      <c r="P64" s="2">
        <f>P9*'Output-Calculation-sheet'!P53/10^9</f>
        <v>0.5621487427347438</v>
      </c>
      <c r="Q64" s="2">
        <f>Q9*'Output-Calculation-sheet'!Q53/10^9</f>
        <v>0.57523409071782072</v>
      </c>
      <c r="R64" s="2">
        <f>R9*'Output-Calculation-sheet'!R53/10^9</f>
        <v>0.44973926920959362</v>
      </c>
      <c r="S64" s="2">
        <f>S9*'Output-Calculation-sheet'!S53/10^9</f>
        <v>0.45517370690083458</v>
      </c>
      <c r="T64" s="2">
        <f>T9*'Output-Calculation-sheet'!T53/10^9</f>
        <v>0.14411558781004025</v>
      </c>
      <c r="U64" s="2">
        <f>U9*'Output-Calculation-sheet'!U53/10^9</f>
        <v>0.14216310629134737</v>
      </c>
      <c r="V64" s="2">
        <f>V9*'Output-Calculation-sheet'!V53/10^9</f>
        <v>0.10577325189739872</v>
      </c>
      <c r="W64" s="2">
        <f>W9*'Output-Calculation-sheet'!W53/10^9</f>
        <v>7.6363766416828224E-2</v>
      </c>
      <c r="X64" s="2">
        <f>X9*'Output-Calculation-sheet'!X53/10^9</f>
        <v>0.11247394225789613</v>
      </c>
      <c r="Y64" s="2">
        <f>Y9*'Output-Calculation-sheet'!Y53/10^9</f>
        <v>5.5045645347697715E-2</v>
      </c>
      <c r="AA64" s="2">
        <f t="shared" si="4"/>
        <v>25.980050637616884</v>
      </c>
    </row>
    <row r="65" spans="1:27" x14ac:dyDescent="0.25">
      <c r="A65" s="2">
        <v>2033</v>
      </c>
      <c r="B65" s="2">
        <f>B10*'Output-Calculation-sheet'!B54/10^9</f>
        <v>8.4525333699224028</v>
      </c>
      <c r="C65" s="2">
        <f>C10*'Output-Calculation-sheet'!C54/10^9</f>
        <v>5.5828203619014571</v>
      </c>
      <c r="D65" s="2">
        <f>D10*'Output-Calculation-sheet'!D54/10^9</f>
        <v>1.6236928948228508</v>
      </c>
      <c r="E65" s="2">
        <f>E10*'Output-Calculation-sheet'!E54/10^9</f>
        <v>1.8425114120284638</v>
      </c>
      <c r="F65" s="2">
        <f>F10*'Output-Calculation-sheet'!F54/10^9</f>
        <v>0.83584262784386731</v>
      </c>
      <c r="G65" s="2">
        <f>G10*'Output-Calculation-sheet'!G54/10^9</f>
        <v>0.57687110733912261</v>
      </c>
      <c r="H65" s="2">
        <f>H10*'Output-Calculation-sheet'!H54/10^9</f>
        <v>1.5333087963676895</v>
      </c>
      <c r="I65" s="2">
        <f>I10*'Output-Calculation-sheet'!I54/10^9</f>
        <v>0.56744925661745371</v>
      </c>
      <c r="J65" s="2">
        <f>J10*'Output-Calculation-sheet'!J54/10^9</f>
        <v>0.52333506830818433</v>
      </c>
      <c r="K65" s="2">
        <f>K10*'Output-Calculation-sheet'!K54/10^9</f>
        <v>0.66749002960138737</v>
      </c>
      <c r="L65" s="2">
        <f>L10*'Output-Calculation-sheet'!L54/10^9</f>
        <v>0.55513611111095651</v>
      </c>
      <c r="M65" s="2">
        <f>M10*'Output-Calculation-sheet'!M54/10^9</f>
        <v>1.0624917983222999</v>
      </c>
      <c r="N65" s="2">
        <f>N10*'Output-Calculation-sheet'!N54/10^9</f>
        <v>0.95519905716777587</v>
      </c>
      <c r="O65" s="2">
        <f>O10*'Output-Calculation-sheet'!O54/10^9</f>
        <v>1.011243491922716</v>
      </c>
      <c r="P65" s="2">
        <f>P10*'Output-Calculation-sheet'!P54/10^9</f>
        <v>0.64458432265817123</v>
      </c>
      <c r="Q65" s="2">
        <f>Q10*'Output-Calculation-sheet'!Q54/10^9</f>
        <v>0.66878555596402134</v>
      </c>
      <c r="R65" s="2">
        <f>R10*'Output-Calculation-sheet'!R54/10^9</f>
        <v>0.49973840226122312</v>
      </c>
      <c r="S65" s="2">
        <f>S10*'Output-Calculation-sheet'!S54/10^9</f>
        <v>0.52845812756769273</v>
      </c>
      <c r="T65" s="2">
        <f>T10*'Output-Calculation-sheet'!T54/10^9</f>
        <v>0.14999419008982198</v>
      </c>
      <c r="U65" s="2">
        <f>U10*'Output-Calculation-sheet'!U54/10^9</f>
        <v>0.16218271851666033</v>
      </c>
      <c r="V65" s="2">
        <f>V10*'Output-Calculation-sheet'!V54/10^9</f>
        <v>0.1131820320297082</v>
      </c>
      <c r="W65" s="2">
        <f>W10*'Output-Calculation-sheet'!W54/10^9</f>
        <v>7.0796640214011705E-2</v>
      </c>
      <c r="X65" s="2">
        <f>X10*'Output-Calculation-sheet'!X54/10^9</f>
        <v>0.13024004471629441</v>
      </c>
      <c r="Y65" s="2">
        <f>Y10*'Output-Calculation-sheet'!Y54/10^9</f>
        <v>6.2459856484367478E-2</v>
      </c>
      <c r="AA65" s="2">
        <f t="shared" si="4"/>
        <v>28.820347273778602</v>
      </c>
    </row>
    <row r="66" spans="1:27" x14ac:dyDescent="0.25">
      <c r="A66" s="2">
        <v>2034</v>
      </c>
      <c r="B66" s="2">
        <f>B11*'Output-Calculation-sheet'!B55/10^9</f>
        <v>9.7227007040595144</v>
      </c>
      <c r="C66" s="2">
        <f>C11*'Output-Calculation-sheet'!C55/10^9</f>
        <v>6.1938034785819793</v>
      </c>
      <c r="D66" s="2">
        <f>D11*'Output-Calculation-sheet'!D55/10^9</f>
        <v>1.8242099877070104</v>
      </c>
      <c r="E66" s="2">
        <f>E11*'Output-Calculation-sheet'!E55/10^9</f>
        <v>2.2493258466353985</v>
      </c>
      <c r="F66" s="2">
        <f>F11*'Output-Calculation-sheet'!F55/10^9</f>
        <v>0.90085148641557078</v>
      </c>
      <c r="G66" s="2">
        <f>G11*'Output-Calculation-sheet'!G55/10^9</f>
        <v>0.6488456604826458</v>
      </c>
      <c r="H66" s="2">
        <f>H11*'Output-Calculation-sheet'!H55/10^9</f>
        <v>1.7092337433368152</v>
      </c>
      <c r="I66" s="2">
        <f>I11*'Output-Calculation-sheet'!I55/10^9</f>
        <v>0.6378041238342701</v>
      </c>
      <c r="J66" s="2">
        <f>J11*'Output-Calculation-sheet'!J55/10^9</f>
        <v>0.5627098717295641</v>
      </c>
      <c r="K66" s="2">
        <f>K11*'Output-Calculation-sheet'!K55/10^9</f>
        <v>0.75201308128318878</v>
      </c>
      <c r="L66" s="2">
        <f>L11*'Output-Calculation-sheet'!L55/10^9</f>
        <v>0.65869812223313495</v>
      </c>
      <c r="M66" s="2">
        <f>M11*'Output-Calculation-sheet'!M55/10^9</f>
        <v>1.1868457316290579</v>
      </c>
      <c r="N66" s="2">
        <f>N11*'Output-Calculation-sheet'!N55/10^9</f>
        <v>1.062497268914161</v>
      </c>
      <c r="O66" s="2">
        <f>O11*'Output-Calculation-sheet'!O55/10^9</f>
        <v>1.1022921528899268</v>
      </c>
      <c r="P66" s="2">
        <f>P11*'Output-Calculation-sheet'!P55/10^9</f>
        <v>0.74680611648419615</v>
      </c>
      <c r="Q66" s="2">
        <f>Q11*'Output-Calculation-sheet'!Q55/10^9</f>
        <v>0.77526100064520254</v>
      </c>
      <c r="R66" s="2">
        <f>R11*'Output-Calculation-sheet'!R55/10^9</f>
        <v>0.56517652325183554</v>
      </c>
      <c r="S66" s="2">
        <f>S11*'Output-Calculation-sheet'!S55/10^9</f>
        <v>0.59850882838044617</v>
      </c>
      <c r="T66" s="2">
        <f>T11*'Output-Calculation-sheet'!T55/10^9</f>
        <v>0.1663898345201042</v>
      </c>
      <c r="U66" s="2">
        <f>U11*'Output-Calculation-sheet'!U55/10^9</f>
        <v>0.19216914977600141</v>
      </c>
      <c r="V66" s="2">
        <f>V11*'Output-Calculation-sheet'!V55/10^9</f>
        <v>0.12428465560426476</v>
      </c>
      <c r="W66" s="2">
        <f>W11*'Output-Calculation-sheet'!W55/10^9</f>
        <v>7.5719348039226725E-2</v>
      </c>
      <c r="X66" s="2">
        <f>X11*'Output-Calculation-sheet'!X55/10^9</f>
        <v>0.14451969473737603</v>
      </c>
      <c r="Y66" s="2">
        <f>Y11*'Output-Calculation-sheet'!Y55/10^9</f>
        <v>7.8513558760222077E-2</v>
      </c>
      <c r="AA66" s="2">
        <f t="shared" si="4"/>
        <v>32.679179969931113</v>
      </c>
    </row>
    <row r="67" spans="1:27" x14ac:dyDescent="0.25">
      <c r="A67" s="2">
        <v>2035</v>
      </c>
      <c r="B67" s="2">
        <f>B12*'Output-Calculation-sheet'!B56/10^9</f>
        <v>10.838234033894141</v>
      </c>
      <c r="C67" s="2">
        <f>C12*'Output-Calculation-sheet'!C56/10^9</f>
        <v>6.6099235596631765</v>
      </c>
      <c r="D67" s="2">
        <f>D12*'Output-Calculation-sheet'!D56/10^9</f>
        <v>2.2045078462693963</v>
      </c>
      <c r="E67" s="2">
        <f>E12*'Output-Calculation-sheet'!E56/10^9</f>
        <v>2.9806484929604977</v>
      </c>
      <c r="F67" s="2">
        <f>F12*'Output-Calculation-sheet'!F56/10^9</f>
        <v>1.1819598451009941</v>
      </c>
      <c r="G67" s="2">
        <f>G12*'Output-Calculation-sheet'!G56/10^9</f>
        <v>0.85790164047369466</v>
      </c>
      <c r="H67" s="2">
        <f>H12*'Output-Calculation-sheet'!H56/10^9</f>
        <v>1.8701277173310296</v>
      </c>
      <c r="I67" s="2">
        <f>I12*'Output-Calculation-sheet'!I56/10^9</f>
        <v>0.8104013504866977</v>
      </c>
      <c r="J67" s="2">
        <f>J12*'Output-Calculation-sheet'!J56/10^9</f>
        <v>0.6692149565233263</v>
      </c>
      <c r="K67" s="2">
        <f>K12*'Output-Calculation-sheet'!K56/10^9</f>
        <v>0.90481057902446971</v>
      </c>
      <c r="L67" s="2">
        <f>L12*'Output-Calculation-sheet'!L56/10^9</f>
        <v>0.78074422545305622</v>
      </c>
      <c r="M67" s="2">
        <f>M12*'Output-Calculation-sheet'!M56/10^9</f>
        <v>1.3105799190245837</v>
      </c>
      <c r="N67" s="2">
        <f>N12*'Output-Calculation-sheet'!N56/10^9</f>
        <v>1.1472213419178965</v>
      </c>
      <c r="O67" s="2">
        <f>O12*'Output-Calculation-sheet'!O56/10^9</f>
        <v>1.1610559510246357</v>
      </c>
      <c r="P67" s="2">
        <f>P12*'Output-Calculation-sheet'!P56/10^9</f>
        <v>0.91414392942605049</v>
      </c>
      <c r="Q67" s="2">
        <f>Q12*'Output-Calculation-sheet'!Q56/10^9</f>
        <v>0.85693668672111911</v>
      </c>
      <c r="R67" s="2">
        <f>R12*'Output-Calculation-sheet'!R56/10^9</f>
        <v>0.67325513257369018</v>
      </c>
      <c r="S67" s="2">
        <f>S12*'Output-Calculation-sheet'!S56/10^9</f>
        <v>0.6529486905208759</v>
      </c>
      <c r="T67" s="2">
        <f>T12*'Output-Calculation-sheet'!T56/10^9</f>
        <v>0.20696208649892098</v>
      </c>
      <c r="U67" s="2">
        <f>U12*'Output-Calculation-sheet'!U56/10^9</f>
        <v>0.22316942034190346</v>
      </c>
      <c r="V67" s="2">
        <f>V12*'Output-Calculation-sheet'!V56/10^9</f>
        <v>0.14073078280744702</v>
      </c>
      <c r="W67" s="2">
        <f>W12*'Output-Calculation-sheet'!W56/10^9</f>
        <v>0.10949533653357513</v>
      </c>
      <c r="X67" s="2">
        <f>X12*'Output-Calculation-sheet'!X56/10^9</f>
        <v>0.16041260538673285</v>
      </c>
      <c r="Y67" s="2">
        <f>Y12*'Output-Calculation-sheet'!Y56/10^9</f>
        <v>0.10281374325047474</v>
      </c>
      <c r="AA67" s="2">
        <f t="shared" si="4"/>
        <v>37.36819987320839</v>
      </c>
    </row>
    <row r="68" spans="1:27" x14ac:dyDescent="0.25">
      <c r="B68" s="2">
        <f>SUM(B60:B67)</f>
        <v>42.511197867911413</v>
      </c>
      <c r="C68" s="2">
        <f t="shared" ref="C68:Y68" si="5">SUM(C60:C67)</f>
        <v>27.090608773327155</v>
      </c>
      <c r="D68" s="2">
        <f t="shared" si="5"/>
        <v>9.1833826158637599</v>
      </c>
      <c r="E68" s="2">
        <f t="shared" si="5"/>
        <v>10.416846916505952</v>
      </c>
      <c r="F68" s="2">
        <f t="shared" si="5"/>
        <v>4.642471903417726</v>
      </c>
      <c r="G68" s="2">
        <f t="shared" si="5"/>
        <v>3.3471065920003689</v>
      </c>
      <c r="H68" s="2">
        <f t="shared" si="5"/>
        <v>7.5561394181437587</v>
      </c>
      <c r="I68" s="2">
        <f t="shared" si="5"/>
        <v>3.1911551877973707</v>
      </c>
      <c r="J68" s="2">
        <f t="shared" si="5"/>
        <v>2.9395151904437009</v>
      </c>
      <c r="K68" s="2">
        <f t="shared" si="5"/>
        <v>3.5581927649000207</v>
      </c>
      <c r="L68" s="2">
        <f t="shared" si="5"/>
        <v>3.0061666322353342</v>
      </c>
      <c r="M68" s="2">
        <f t="shared" si="5"/>
        <v>5.2523410437642255</v>
      </c>
      <c r="N68" s="2">
        <f t="shared" si="5"/>
        <v>4.6753755612963692</v>
      </c>
      <c r="O68" s="2">
        <f t="shared" si="5"/>
        <v>4.9034544808039673</v>
      </c>
      <c r="P68" s="2">
        <f t="shared" si="5"/>
        <v>3.3550011079428708</v>
      </c>
      <c r="Q68" s="2">
        <f t="shared" si="5"/>
        <v>3.3787826289062619</v>
      </c>
      <c r="R68" s="2">
        <f t="shared" si="5"/>
        <v>2.5995054221155334</v>
      </c>
      <c r="S68" s="2">
        <f t="shared" si="5"/>
        <v>2.6135577544797042</v>
      </c>
      <c r="T68" s="2">
        <f t="shared" si="5"/>
        <v>0.80937258122131839</v>
      </c>
      <c r="U68" s="2">
        <f t="shared" si="5"/>
        <v>0.84860395346197892</v>
      </c>
      <c r="V68" s="2">
        <f t="shared" si="5"/>
        <v>0.58358601942688004</v>
      </c>
      <c r="W68" s="2">
        <f t="shared" si="5"/>
        <v>0.41020011568438308</v>
      </c>
      <c r="X68" s="2">
        <f t="shared" si="5"/>
        <v>0.63948639135442453</v>
      </c>
      <c r="Y68" s="2">
        <f t="shared" si="5"/>
        <v>0.34942224101481989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1728.2430772115522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1165.7902990780819</v>
      </c>
      <c r="N74" s="2">
        <f>N8/'Output-Calculation-sheet'!N7*'Output-Calculation-sheet'!N61</f>
        <v>48.459791479367361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10.344946399820056</v>
      </c>
      <c r="Y74" s="2">
        <f>Y8/'Output-Calculation-sheet'!Y7*'Output-Calculation-sheet'!Y61</f>
        <v>0</v>
      </c>
      <c r="AA74" s="2">
        <f t="shared" si="6"/>
        <v>2.9528381141688214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67.660699694876001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3091.321503052699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2094.6953319984045</v>
      </c>
      <c r="N75" s="2">
        <f>N9/'Output-Calculation-sheet'!N8*'Output-Calculation-sheet'!N62</f>
        <v>806.37530777300583</v>
      </c>
      <c r="O75" s="2">
        <f>O9/'Output-Calculation-sheet'!O8*'Output-Calculation-sheet'!O62</f>
        <v>0</v>
      </c>
      <c r="P75" s="2">
        <f>P9/'Output-Calculation-sheet'!P8*'Output-Calculation-sheet'!P62</f>
        <v>52.455447308767916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271.02308462463731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73.55451035949612</v>
      </c>
      <c r="Y75" s="2">
        <f>Y9/'Output-Calculation-sheet'!Y8*'Output-Calculation-sheet'!Y62</f>
        <v>0</v>
      </c>
      <c r="AA75" s="2">
        <f t="shared" si="6"/>
        <v>6.4570858848118871</v>
      </c>
    </row>
    <row r="76" spans="1:27" x14ac:dyDescent="0.25">
      <c r="A76" s="2">
        <v>2033</v>
      </c>
      <c r="B76" s="2">
        <f>B10/'Output-Calculation-sheet'!B9*'Output-Calculation-sheet'!B63</f>
        <v>6928.9483038473209</v>
      </c>
      <c r="C76" s="2">
        <f>C10/'Output-Calculation-sheet'!C9*'Output-Calculation-sheet'!C63</f>
        <v>2035.5776433861065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4540.2833903904811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3088.2075073381229</v>
      </c>
      <c r="N76" s="2">
        <f>N10/'Output-Calculation-sheet'!N9*'Output-Calculation-sheet'!N63</f>
        <v>1764.1521051619391</v>
      </c>
      <c r="O76" s="2">
        <f>O10/'Output-Calculation-sheet'!O9*'Output-Calculation-sheet'!O63</f>
        <v>0</v>
      </c>
      <c r="P76" s="2">
        <f>P10/'Output-Calculation-sheet'!P9*'Output-Calculation-sheet'!P63</f>
        <v>608.17479696353189</v>
      </c>
      <c r="Q76" s="2">
        <f>Q10/'Output-Calculation-sheet'!Q9*'Output-Calculation-sheet'!Q63</f>
        <v>273.80900707064558</v>
      </c>
      <c r="R76" s="2">
        <f>R10/'Output-Calculation-sheet'!R9*'Output-Calculation-sheet'!R63</f>
        <v>463.50297466912053</v>
      </c>
      <c r="S76" s="2">
        <f>S10/'Output-Calculation-sheet'!S9*'Output-Calculation-sheet'!S63</f>
        <v>784.37441169484373</v>
      </c>
      <c r="T76" s="2">
        <f>T10/'Output-Calculation-sheet'!T9*'Output-Calculation-sheet'!T63</f>
        <v>30.465892312866213</v>
      </c>
      <c r="U76" s="2">
        <f>U10/'Output-Calculation-sheet'!U9*'Output-Calculation-sheet'!U63</f>
        <v>164.54052410843067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177.06954312682063</v>
      </c>
      <c r="Y76" s="2">
        <f>Y10/'Output-Calculation-sheet'!Y9*'Output-Calculation-sheet'!Y63</f>
        <v>7.8121133026701495</v>
      </c>
      <c r="AA76" s="2">
        <f t="shared" si="6"/>
        <v>20.994807879056644</v>
      </c>
    </row>
    <row r="77" spans="1:27" x14ac:dyDescent="0.25">
      <c r="A77" s="2">
        <v>2034</v>
      </c>
      <c r="B77" s="2">
        <f>B11/'Output-Calculation-sheet'!B10*'Output-Calculation-sheet'!B64</f>
        <v>15152.403550325122</v>
      </c>
      <c r="C77" s="2">
        <f>C11/'Output-Calculation-sheet'!C10*'Output-Calculation-sheet'!C64</f>
        <v>4132.9069048961837</v>
      </c>
      <c r="D77" s="2">
        <f>D11/'Output-Calculation-sheet'!D10*'Output-Calculation-sheet'!D64</f>
        <v>1830.9640902935707</v>
      </c>
      <c r="E77" s="2">
        <f>E11/'Output-Calculation-sheet'!E10*'Output-Calculation-sheet'!E64</f>
        <v>2660.3666389901146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5503.9558149420563</v>
      </c>
      <c r="I77" s="2">
        <f>I11/'Output-Calculation-sheet'!I10*'Output-Calculation-sheet'!I64</f>
        <v>664.17210852812627</v>
      </c>
      <c r="J77" s="2">
        <f>J11/'Output-Calculation-sheet'!J10*'Output-Calculation-sheet'!J64</f>
        <v>365.36985817145023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263.82144864693532</v>
      </c>
      <c r="M77" s="2">
        <f>M11/'Output-Calculation-sheet'!M10*'Output-Calculation-sheet'!M64</f>
        <v>3842.2754790876529</v>
      </c>
      <c r="N77" s="2">
        <f>N11/'Output-Calculation-sheet'!N10*'Output-Calculation-sheet'!N64</f>
        <v>2660.4040003782725</v>
      </c>
      <c r="O77" s="2">
        <f>O11/'Output-Calculation-sheet'!O10*'Output-Calculation-sheet'!O64</f>
        <v>0</v>
      </c>
      <c r="P77" s="2">
        <f>P11/'Output-Calculation-sheet'!P10*'Output-Calculation-sheet'!P64</f>
        <v>1256.7197303272408</v>
      </c>
      <c r="Q77" s="2">
        <f>Q11/'Output-Calculation-sheet'!Q10*'Output-Calculation-sheet'!Q64</f>
        <v>515.08567655332342</v>
      </c>
      <c r="R77" s="2">
        <f>R11/'Output-Calculation-sheet'!R10*'Output-Calculation-sheet'!R64</f>
        <v>1068.3610611673105</v>
      </c>
      <c r="S77" s="2">
        <f>S11/'Output-Calculation-sheet'!S10*'Output-Calculation-sheet'!S64</f>
        <v>1154.8432772991989</v>
      </c>
      <c r="T77" s="2">
        <f>T11/'Output-Calculation-sheet'!T10*'Output-Calculation-sheet'!T64</f>
        <v>295.57620580361834</v>
      </c>
      <c r="U77" s="2">
        <f>U11/'Output-Calculation-sheet'!U10*'Output-Calculation-sheet'!U64</f>
        <v>321.69173661009796</v>
      </c>
      <c r="V77" s="2">
        <f>V11/'Output-Calculation-sheet'!V10*'Output-Calculation-sheet'!V64</f>
        <v>154.21226633888327</v>
      </c>
      <c r="W77" s="2">
        <f>W11/'Output-Calculation-sheet'!W10*'Output-Calculation-sheet'!W64</f>
        <v>33.518211572025599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98.066008021875959</v>
      </c>
      <c r="AA77" s="2">
        <f t="shared" si="6"/>
        <v>44.46507840504345</v>
      </c>
    </row>
    <row r="78" spans="1:27" x14ac:dyDescent="0.25">
      <c r="A78" s="2">
        <v>2035</v>
      </c>
      <c r="B78" s="2">
        <f>B12/'Output-Calculation-sheet'!B11*'Output-Calculation-sheet'!B65</f>
        <v>17667.751547280597</v>
      </c>
      <c r="C78" s="2">
        <f>C12/'Output-Calculation-sheet'!C11*'Output-Calculation-sheet'!C65</f>
        <v>7467.8280939430579</v>
      </c>
      <c r="D78" s="2">
        <f>D12/'Output-Calculation-sheet'!D11*'Output-Calculation-sheet'!D65</f>
        <v>1904.9305391379849</v>
      </c>
      <c r="E78" s="2">
        <f>E12/'Output-Calculation-sheet'!E11*'Output-Calculation-sheet'!E65</f>
        <v>3656.6350306755294</v>
      </c>
      <c r="F78" s="2">
        <f>F12/'Output-Calculation-sheet'!F11*'Output-Calculation-sheet'!F65</f>
        <v>796.76106389185009</v>
      </c>
      <c r="G78" s="2">
        <f>G12/'Output-Calculation-sheet'!G11*'Output-Calculation-sheet'!G65</f>
        <v>1465.368083464625</v>
      </c>
      <c r="H78" s="2">
        <f>H12/'Output-Calculation-sheet'!H11*'Output-Calculation-sheet'!H65</f>
        <v>5632.4767219848854</v>
      </c>
      <c r="I78" s="2">
        <f>I12/'Output-Calculation-sheet'!I11*'Output-Calculation-sheet'!I65</f>
        <v>933.30493868552639</v>
      </c>
      <c r="J78" s="2">
        <f>J12/'Output-Calculation-sheet'!J11*'Output-Calculation-sheet'!J65</f>
        <v>399.76703690103574</v>
      </c>
      <c r="K78" s="2">
        <f>K12/'Output-Calculation-sheet'!K11*'Output-Calculation-sheet'!K65</f>
        <v>1190.6281031275764</v>
      </c>
      <c r="L78" s="2">
        <f>L12/'Output-Calculation-sheet'!L11*'Output-Calculation-sheet'!L65</f>
        <v>344.6873774327384</v>
      </c>
      <c r="M78" s="2">
        <f>M12/'Output-Calculation-sheet'!M11*'Output-Calculation-sheet'!M65</f>
        <v>3962.2492018710805</v>
      </c>
      <c r="N78" s="2">
        <f>N12/'Output-Calculation-sheet'!N11*'Output-Calculation-sheet'!N65</f>
        <v>2781.8036794247105</v>
      </c>
      <c r="O78" s="2">
        <f>O12/'Output-Calculation-sheet'!O11*'Output-Calculation-sheet'!O65</f>
        <v>0</v>
      </c>
      <c r="P78" s="2">
        <f>P12/'Output-Calculation-sheet'!P11*'Output-Calculation-sheet'!P65</f>
        <v>1572.2126992729484</v>
      </c>
      <c r="Q78" s="2">
        <f>Q12/'Output-Calculation-sheet'!Q11*'Output-Calculation-sheet'!Q65</f>
        <v>622.59625517040331</v>
      </c>
      <c r="R78" s="2">
        <f>R12/'Output-Calculation-sheet'!R11*'Output-Calculation-sheet'!R65</f>
        <v>1237.0113853448804</v>
      </c>
      <c r="S78" s="2">
        <f>S12/'Output-Calculation-sheet'!S11*'Output-Calculation-sheet'!S65</f>
        <v>1288.4293171421548</v>
      </c>
      <c r="T78" s="2">
        <f>T12/'Output-Calculation-sheet'!T11*'Output-Calculation-sheet'!T65</f>
        <v>441.54061071796951</v>
      </c>
      <c r="U78" s="2">
        <f>U12/'Output-Calculation-sheet'!U11*'Output-Calculation-sheet'!U65</f>
        <v>328.40100532121534</v>
      </c>
      <c r="V78" s="2">
        <f>V12/'Output-Calculation-sheet'!V11*'Output-Calculation-sheet'!V65</f>
        <v>169.03445835542342</v>
      </c>
      <c r="W78" s="2">
        <f>W12/'Output-Calculation-sheet'!W11*'Output-Calculation-sheet'!W65</f>
        <v>168.6177262660334</v>
      </c>
      <c r="X78" s="2">
        <f>X12/'Output-Calculation-sheet'!X11*'Output-Calculation-sheet'!X65</f>
        <v>88.018149709506332</v>
      </c>
      <c r="Y78" s="2">
        <f>Y12/'Output-Calculation-sheet'!Y11*'Output-Calculation-sheet'!Y65</f>
        <v>152.67589911999147</v>
      </c>
      <c r="AA78" s="2">
        <f t="shared" si="6"/>
        <v>54.272728924241733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443.90161930424495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257.67424900591487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0.70157586831015983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1573.7840305448788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393.26422880810685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1.9670482593529854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2872.5500432304461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521.85165271144729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3.3944016959418932</v>
      </c>
    </row>
    <row r="88" spans="1:27" x14ac:dyDescent="0.25">
      <c r="A88" s="2">
        <v>2034</v>
      </c>
      <c r="B88" s="2">
        <f>B11/'Output-Calculation-sheet'!B10*'Output-Calculation-sheet'!B73</f>
        <v>153.57241226023501</v>
      </c>
      <c r="C88" s="2">
        <f>C11/'Output-Calculation-sheet'!C10*'Output-Calculation-sheet'!C73</f>
        <v>3333.016158281876</v>
      </c>
      <c r="D88" s="2">
        <f>D11/'Output-Calculation-sheet'!D10*'Output-Calculation-sheet'!D73</f>
        <v>11.739470272741716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55.07386712886899</v>
      </c>
      <c r="I88" s="2">
        <f>I11/'Output-Calculation-sheet'!I10*'Output-Calculation-sheet'!I73</f>
        <v>0</v>
      </c>
      <c r="J88" s="2">
        <f>J11/'Output-Calculation-sheet'!J10*'Output-Calculation-sheet'!J73</f>
        <v>3.7485942450273702</v>
      </c>
      <c r="K88" s="2">
        <f>K11/'Output-Calculation-sheet'!K10*'Output-Calculation-sheet'!K73</f>
        <v>0</v>
      </c>
      <c r="L88" s="2">
        <f>L11/'Output-Calculation-sheet'!L10*'Output-Calculation-sheet'!L73</f>
        <v>8.8804351883130455</v>
      </c>
      <c r="M88" s="2">
        <f>M11/'Output-Calculation-sheet'!M10*'Output-Calculation-sheet'!M73</f>
        <v>26.667682466507205</v>
      </c>
      <c r="N88" s="2">
        <f>N11/'Output-Calculation-sheet'!N10*'Output-Calculation-sheet'!N73</f>
        <v>13.794740544665734</v>
      </c>
      <c r="O88" s="2">
        <f>O11/'Output-Calculation-sheet'!O10*'Output-Calculation-sheet'!O73</f>
        <v>629.49023053078042</v>
      </c>
      <c r="P88" s="2">
        <f>P11/'Output-Calculation-sheet'!P10*'Output-Calculation-sheet'!P73</f>
        <v>0</v>
      </c>
      <c r="Q88" s="2">
        <f>Q11/'Output-Calculation-sheet'!Q10*'Output-Calculation-sheet'!Q73</f>
        <v>42.302066717897006</v>
      </c>
      <c r="R88" s="2">
        <f>R11/'Output-Calculation-sheet'!R10*'Output-Calculation-sheet'!R73</f>
        <v>0</v>
      </c>
      <c r="S88" s="2">
        <f>S11/'Output-Calculation-sheet'!S10*'Output-Calculation-sheet'!S73</f>
        <v>19.769053745215391</v>
      </c>
      <c r="T88" s="2">
        <f>T11/'Output-Calculation-sheet'!T10*'Output-Calculation-sheet'!T73</f>
        <v>0</v>
      </c>
      <c r="U88" s="2">
        <f>U11/'Output-Calculation-sheet'!U10*'Output-Calculation-sheet'!U73</f>
        <v>3.8562579384984543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4.3019109693206277</v>
      </c>
    </row>
    <row r="89" spans="1:27" x14ac:dyDescent="0.25">
      <c r="A89" s="2">
        <v>2035</v>
      </c>
      <c r="B89" s="2">
        <f>B12/'Output-Calculation-sheet'!B11*'Output-Calculation-sheet'!B74</f>
        <v>866.58148735759812</v>
      </c>
      <c r="C89" s="2">
        <f>C12/'Output-Calculation-sheet'!C11*'Output-Calculation-sheet'!C74</f>
        <v>3549.1177860249782</v>
      </c>
      <c r="D89" s="2">
        <f>D12/'Output-Calculation-sheet'!D11*'Output-Calculation-sheet'!D74</f>
        <v>164.54084857267355</v>
      </c>
      <c r="E89" s="2">
        <f>E12/'Output-Calculation-sheet'!E11*'Output-Calculation-sheet'!E74</f>
        <v>219.50047312501903</v>
      </c>
      <c r="F89" s="2">
        <f>F12/'Output-Calculation-sheet'!F11*'Output-Calculation-sheet'!F74</f>
        <v>70.493972717804624</v>
      </c>
      <c r="G89" s="2">
        <f>G12/'Output-Calculation-sheet'!G11*'Output-Calculation-sheet'!G74</f>
        <v>67.456596758736367</v>
      </c>
      <c r="H89" s="2">
        <f>H12/'Output-Calculation-sheet'!H11*'Output-Calculation-sheet'!H74</f>
        <v>263.43211290982856</v>
      </c>
      <c r="I89" s="2">
        <f>I12/'Output-Calculation-sheet'!I11*'Output-Calculation-sheet'!I74</f>
        <v>56.880975295771364</v>
      </c>
      <c r="J89" s="2">
        <f>J12/'Output-Calculation-sheet'!J11*'Output-Calculation-sheet'!J74</f>
        <v>45.034658807410921</v>
      </c>
      <c r="K89" s="2">
        <f>K12/'Output-Calculation-sheet'!K11*'Output-Calculation-sheet'!K74</f>
        <v>59.631940881709077</v>
      </c>
      <c r="L89" s="2">
        <f>L12/'Output-Calculation-sheet'!L11*'Output-Calculation-sheet'!L74</f>
        <v>62.234253660169685</v>
      </c>
      <c r="M89" s="2">
        <f>M12/'Output-Calculation-sheet'!M11*'Output-Calculation-sheet'!M74</f>
        <v>165.81006070391948</v>
      </c>
      <c r="N89" s="2">
        <f>N12/'Output-Calculation-sheet'!N11*'Output-Calculation-sheet'!N74</f>
        <v>100.81695897304463</v>
      </c>
      <c r="O89" s="2">
        <f>O12/'Output-Calculation-sheet'!O11*'Output-Calculation-sheet'!O74</f>
        <v>719.13682914331275</v>
      </c>
      <c r="P89" s="2">
        <f>P12/'Output-Calculation-sheet'!P11*'Output-Calculation-sheet'!P74</f>
        <v>58.689170254085397</v>
      </c>
      <c r="Q89" s="2">
        <f>Q12/'Output-Calculation-sheet'!Q11*'Output-Calculation-sheet'!Q74</f>
        <v>99.221226355343617</v>
      </c>
      <c r="R89" s="2">
        <f>R12/'Output-Calculation-sheet'!R11*'Output-Calculation-sheet'!R74</f>
        <v>40.798568116845857</v>
      </c>
      <c r="S89" s="2">
        <f>S12/'Output-Calculation-sheet'!S11*'Output-Calculation-sheet'!S74</f>
        <v>63.333436992966689</v>
      </c>
      <c r="T89" s="2">
        <f>T12/'Output-Calculation-sheet'!T11*'Output-Calculation-sheet'!T74</f>
        <v>10.210601928734251</v>
      </c>
      <c r="U89" s="2">
        <f>U12/'Output-Calculation-sheet'!U11*'Output-Calculation-sheet'!U74</f>
        <v>19.689443802755815</v>
      </c>
      <c r="V89" s="2">
        <f>V12/'Output-Calculation-sheet'!V11*'Output-Calculation-sheet'!V74</f>
        <v>7.4422947162300277</v>
      </c>
      <c r="W89" s="2">
        <f>W12/'Output-Calculation-sheet'!W11*'Output-Calculation-sheet'!W74</f>
        <v>5.67117604733851</v>
      </c>
      <c r="X89" s="2">
        <f>X12/'Output-Calculation-sheet'!X11*'Output-Calculation-sheet'!X74</f>
        <v>4.0079018764727312</v>
      </c>
      <c r="Y89" s="2">
        <f>Y12/'Output-Calculation-sheet'!Y11*'Output-Calculation-sheet'!Y74</f>
        <v>7.4378884130872684</v>
      </c>
      <c r="AA89" s="2">
        <f t="shared" si="7"/>
        <v>6.727170663435837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14112360493.594965</v>
      </c>
      <c r="C96" s="2">
        <f>C8/'Output-Calculation-sheet'!C7*'Output-Calculation-sheet'!C79</f>
        <v>4774284924.4996119</v>
      </c>
      <c r="D96" s="2">
        <f>D8/'Output-Calculation-sheet'!D7*'Output-Calculation-sheet'!D79</f>
        <v>4984013694.8083477</v>
      </c>
      <c r="E96" s="2">
        <f>E8/'Output-Calculation-sheet'!E7*'Output-Calculation-sheet'!E79</f>
        <v>8861165727.8108387</v>
      </c>
      <c r="F96" s="2">
        <f>F8/'Output-Calculation-sheet'!F7*'Output-Calculation-sheet'!F79</f>
        <v>3667548344.8744764</v>
      </c>
      <c r="G96" s="2">
        <f>G8/'Output-Calculation-sheet'!G7*'Output-Calculation-sheet'!G79</f>
        <v>2856724821.5898519</v>
      </c>
      <c r="H96" s="2">
        <f>H8/'Output-Calculation-sheet'!H7*'Output-Calculation-sheet'!H79</f>
        <v>2445198604.4999113</v>
      </c>
      <c r="I96" s="2">
        <f>I8/'Output-Calculation-sheet'!I7*'Output-Calculation-sheet'!I79</f>
        <v>1990007613.530231</v>
      </c>
      <c r="J96" s="2">
        <f>J8/'Output-Calculation-sheet'!J7*'Output-Calculation-sheet'!J79</f>
        <v>1345690762.7688694</v>
      </c>
      <c r="K96" s="2">
        <f>K8/'Output-Calculation-sheet'!K7*'Output-Calculation-sheet'!K79</f>
        <v>1925284904.0520165</v>
      </c>
      <c r="L96" s="2">
        <f>L8/'Output-Calculation-sheet'!L7*'Output-Calculation-sheet'!L79</f>
        <v>1358482623.9468157</v>
      </c>
      <c r="M96" s="2">
        <f>M8/'Output-Calculation-sheet'!M7*'Output-Calculation-sheet'!M79</f>
        <v>1825291327.5512474</v>
      </c>
      <c r="N96" s="2">
        <f>N8/'Output-Calculation-sheet'!N7*'Output-Calculation-sheet'!N79</f>
        <v>1358160142.9303889</v>
      </c>
      <c r="O96" s="2">
        <f>O8/'Output-Calculation-sheet'!O7*'Output-Calculation-sheet'!O79</f>
        <v>686595271.27032757</v>
      </c>
      <c r="P96" s="2">
        <f>P8/'Output-Calculation-sheet'!P7*'Output-Calculation-sheet'!P79</f>
        <v>2296532080.2066941</v>
      </c>
      <c r="Q96" s="2">
        <f>Q8/'Output-Calculation-sheet'!Q7*'Output-Calculation-sheet'!Q79</f>
        <v>1070280380.3535947</v>
      </c>
      <c r="R96" s="2">
        <f>R8/'Output-Calculation-sheet'!R7*'Output-Calculation-sheet'!R79</f>
        <v>1335304276.234055</v>
      </c>
      <c r="S96" s="2">
        <f>S8/'Output-Calculation-sheet'!S7*'Output-Calculation-sheet'!S79</f>
        <v>778058578.10114253</v>
      </c>
      <c r="T96" s="2">
        <f>T8/'Output-Calculation-sheet'!T7*'Output-Calculation-sheet'!T79</f>
        <v>594254866.84719098</v>
      </c>
      <c r="U96" s="2">
        <f>U8/'Output-Calculation-sheet'!U7*'Output-Calculation-sheet'!U79</f>
        <v>373296357.71763104</v>
      </c>
      <c r="V96" s="2">
        <f>V8/'Output-Calculation-sheet'!V7*'Output-Calculation-sheet'!V79</f>
        <v>193684746.58385724</v>
      </c>
      <c r="W96" s="2">
        <f>W8/'Output-Calculation-sheet'!W7*'Output-Calculation-sheet'!W79</f>
        <v>572327432.85451651</v>
      </c>
      <c r="X96" s="2">
        <f>X8/'Output-Calculation-sheet'!X7*'Output-Calculation-sheet'!X79</f>
        <v>201155781.41204605</v>
      </c>
      <c r="Y96" s="2">
        <f>Y8/'Output-Calculation-sheet'!Y7*'Output-Calculation-sheet'!Y79</f>
        <v>314604898.81603748</v>
      </c>
      <c r="AA96" s="2">
        <f t="shared" si="8"/>
        <v>59.920308656854644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1235.4370368588022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38.276873346923153</v>
      </c>
      <c r="Y107" s="2">
        <f>Y8/'Output-Calculation-sheet'!Y7*'Output-Calculation-sheet'!Y88</f>
        <v>0</v>
      </c>
      <c r="AA107" s="2">
        <f t="shared" si="9"/>
        <v>1.2737139102057253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925.04862864088295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53.738021660324172</v>
      </c>
      <c r="Y108" s="2">
        <f>Y9/'Output-Calculation-sheet'!Y8*'Output-Calculation-sheet'!Y89</f>
        <v>0</v>
      </c>
      <c r="AA108" s="2">
        <f t="shared" si="9"/>
        <v>0.97878665030120715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5.7490741679429733E-2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9.4847796958949071E-2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142.43466668695399</v>
      </c>
      <c r="Y111" s="2">
        <f>Y12/'Output-Calculation-sheet'!Y11*'Output-Calculation-sheet'!Y92</f>
        <v>0</v>
      </c>
      <c r="AA111" s="2">
        <f t="shared" si="9"/>
        <v>0.14243466668695398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13813469643.028793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8484614991.1958065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5853664530.9769077</v>
      </c>
      <c r="N118" s="2">
        <f>N8/'Output-Calculation-sheet'!N7*'Output-Calculation-sheet'!N97</f>
        <v>1961541553.1283522</v>
      </c>
      <c r="O118" s="2">
        <f>O8/'Output-Calculation-sheet'!O7*'Output-Calculation-sheet'!O97</f>
        <v>3358075231.6073337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587236160.96495235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318734382.69777381</v>
      </c>
      <c r="Y118" s="2">
        <f>Y8/'Output-Calculation-sheet'!Y7*'Output-Calculation-sheet'!Y97</f>
        <v>0</v>
      </c>
      <c r="AA118" s="2">
        <f t="shared" si="10"/>
        <v>36028.552005411635</v>
      </c>
    </row>
    <row r="119" spans="1:27" x14ac:dyDescent="0.25">
      <c r="A119" s="2">
        <v>2032</v>
      </c>
      <c r="B119" s="2">
        <f>B9/'Output-Calculation-sheet'!B8*'Output-Calculation-sheet'!B98</f>
        <v>7616282980.9542999</v>
      </c>
      <c r="C119" s="2">
        <f>C9/'Output-Calculation-sheet'!C8*'Output-Calculation-sheet'!C98</f>
        <v>19641965994.962696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11911859623.26198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8218142240.1079397</v>
      </c>
      <c r="N119" s="2">
        <f>N9/'Output-Calculation-sheet'!N8*'Output-Calculation-sheet'!N98</f>
        <v>3853540988.9864426</v>
      </c>
      <c r="O119" s="2">
        <f>O9/'Output-Calculation-sheet'!O8*'Output-Calculation-sheet'!O98</f>
        <v>4148391478.4386368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1159074899.6834412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452038794.61484241</v>
      </c>
      <c r="Y119" s="2">
        <f>Y9/'Output-Calculation-sheet'!Y8*'Output-Calculation-sheet'!Y98</f>
        <v>0</v>
      </c>
      <c r="AA119" s="2">
        <f t="shared" si="10"/>
        <v>57001.297001010287</v>
      </c>
    </row>
    <row r="120" spans="1:27" x14ac:dyDescent="0.25">
      <c r="A120" s="2">
        <v>2033</v>
      </c>
      <c r="B120" s="2">
        <f>B10/'Output-Calculation-sheet'!B9*'Output-Calculation-sheet'!B99</f>
        <v>20961507896.29155</v>
      </c>
      <c r="C120" s="2">
        <f>C10/'Output-Calculation-sheet'!C9*'Output-Calculation-sheet'!C99</f>
        <v>29042656947.480194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6189674710.3152075</v>
      </c>
      <c r="O120" s="2">
        <f>O10/'Output-Calculation-sheet'!O9*'Output-Calculation-sheet'!O99</f>
        <v>4810215049.927103</v>
      </c>
      <c r="P120" s="2">
        <f>P10/'Output-Calculation-sheet'!P9*'Output-Calculation-sheet'!P99</f>
        <v>0</v>
      </c>
      <c r="Q120" s="2">
        <f>Q10/'Output-Calculation-sheet'!Q9*'Output-Calculation-sheet'!Q99</f>
        <v>201378058.82767332</v>
      </c>
      <c r="R120" s="2">
        <f>R10/'Output-Calculation-sheet'!R9*'Output-Calculation-sheet'!R99</f>
        <v>0</v>
      </c>
      <c r="S120" s="2">
        <f>S10/'Output-Calculation-sheet'!S9*'Output-Calculation-sheet'!S99</f>
        <v>2493206007.4094768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678600107.71294498</v>
      </c>
      <c r="Y120" s="2">
        <f>Y10/'Output-Calculation-sheet'!Y9*'Output-Calculation-sheet'!Y99</f>
        <v>0</v>
      </c>
      <c r="AA120" s="2">
        <f t="shared" si="10"/>
        <v>90220.917252214364</v>
      </c>
    </row>
    <row r="121" spans="1:27" x14ac:dyDescent="0.25">
      <c r="A121" s="2">
        <v>2034</v>
      </c>
      <c r="B121" s="2">
        <f>B11/'Output-Calculation-sheet'!B10*'Output-Calculation-sheet'!B100</f>
        <v>42704550811.366142</v>
      </c>
      <c r="C121" s="2">
        <f>C11/'Output-Calculation-sheet'!C10*'Output-Calculation-sheet'!C100</f>
        <v>34761814608.882195</v>
      </c>
      <c r="D121" s="2">
        <f>D11/'Output-Calculation-sheet'!D10*'Output-Calculation-sheet'!D100</f>
        <v>0</v>
      </c>
      <c r="E121" s="2">
        <f>E11/'Output-Calculation-sheet'!E10*'Output-Calculation-sheet'!E100</f>
        <v>1025276549.2840976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17854046143.576698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731288445.00325286</v>
      </c>
      <c r="M121" s="2">
        <f>M11/'Output-Calculation-sheet'!M10*'Output-Calculation-sheet'!M100</f>
        <v>12438002197.529636</v>
      </c>
      <c r="N121" s="2">
        <f>N11/'Output-Calculation-sheet'!N10*'Output-Calculation-sheet'!N100</f>
        <v>8339618673.1219959</v>
      </c>
      <c r="O121" s="2">
        <f>O11/'Output-Calculation-sheet'!O10*'Output-Calculation-sheet'!O100</f>
        <v>5324753588.6719923</v>
      </c>
      <c r="P121" s="2">
        <f>P11/'Output-Calculation-sheet'!P10*'Output-Calculation-sheet'!P100</f>
        <v>0</v>
      </c>
      <c r="Q121" s="2">
        <f>Q11/'Output-Calculation-sheet'!Q10*'Output-Calculation-sheet'!Q100</f>
        <v>667118941.74830198</v>
      </c>
      <c r="R121" s="2">
        <f>R11/'Output-Calculation-sheet'!R10*'Output-Calculation-sheet'!R100</f>
        <v>0</v>
      </c>
      <c r="S121" s="2">
        <f>S11/'Output-Calculation-sheet'!S10*'Output-Calculation-sheet'!S100</f>
        <v>3500373498.6241217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54847250.17980288</v>
      </c>
      <c r="AA121" s="2">
        <f t="shared" si="10"/>
        <v>128009.75300547572</v>
      </c>
    </row>
    <row r="122" spans="1:27" x14ac:dyDescent="0.25">
      <c r="A122" s="2">
        <v>2035</v>
      </c>
      <c r="B122" s="2">
        <f>B12/'Output-Calculation-sheet'!B11*'Output-Calculation-sheet'!B101</f>
        <v>51285969676.314316</v>
      </c>
      <c r="C122" s="2">
        <f>C12/'Output-Calculation-sheet'!C11*'Output-Calculation-sheet'!C101</f>
        <v>41065342648.600365</v>
      </c>
      <c r="D122" s="2">
        <f>D12/'Output-Calculation-sheet'!D11*'Output-Calculation-sheet'!D101</f>
        <v>0</v>
      </c>
      <c r="E122" s="2">
        <f>E12/'Output-Calculation-sheet'!E11*'Output-Calculation-sheet'!E101</f>
        <v>3283228298.1517792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18902544714.422516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887358956.08983588</v>
      </c>
      <c r="M122" s="2">
        <f>M12/'Output-Calculation-sheet'!M11*'Output-Calculation-sheet'!M101</f>
        <v>13232802109.427696</v>
      </c>
      <c r="N122" s="2">
        <f>N12/'Output-Calculation-sheet'!N11*'Output-Calculation-sheet'!N101</f>
        <v>8860504216.426672</v>
      </c>
      <c r="O122" s="2">
        <f>O12/'Output-Calculation-sheet'!O11*'Output-Calculation-sheet'!O101</f>
        <v>5676961498.6575918</v>
      </c>
      <c r="P122" s="2">
        <f>P12/'Output-Calculation-sheet'!P11*'Output-Calculation-sheet'!P101</f>
        <v>449814342.03689939</v>
      </c>
      <c r="Q122" s="2">
        <f>Q12/'Output-Calculation-sheet'!Q11*'Output-Calculation-sheet'!Q101</f>
        <v>1060312268.256444</v>
      </c>
      <c r="R122" s="2">
        <f>R12/'Output-Calculation-sheet'!R11*'Output-Calculation-sheet'!R101</f>
        <v>0</v>
      </c>
      <c r="S122" s="2">
        <f>S12/'Output-Calculation-sheet'!S11*'Output-Calculation-sheet'!S101</f>
        <v>4162810230.0562859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376841740.73477113</v>
      </c>
      <c r="Y122" s="2">
        <f>Y12/'Output-Calculation-sheet'!Y11*'Output-Calculation-sheet'!Y101</f>
        <v>370127922.15625519</v>
      </c>
      <c r="AA122" s="2">
        <f t="shared" si="10"/>
        <v>149614.61862133138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3784800568.2970853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2703672278.8395858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178153.0326879106</v>
      </c>
    </row>
    <row r="130" spans="1:27" x14ac:dyDescent="0.25">
      <c r="A130" s="2">
        <v>2032</v>
      </c>
      <c r="B130" s="2">
        <f>B9/'Output-Calculation-sheet'!B8*'Output-Calculation-sheet'!B107</f>
        <v>73416677365.082947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4213244580.9142604</v>
      </c>
      <c r="O130" s="2">
        <f>O9/'Output-Calculation-sheet'!O8*'Output-Calculation-sheet'!O107</f>
        <v>0</v>
      </c>
      <c r="P130" s="2">
        <f>P9/'Output-Calculation-sheet'!P8*'Output-Calculation-sheet'!P107</f>
        <v>7344221258.9272299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3460880103.5590639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243380.88208041081</v>
      </c>
    </row>
    <row r="131" spans="1:27" x14ac:dyDescent="0.25">
      <c r="A131" s="2">
        <v>2033</v>
      </c>
      <c r="B131" s="2">
        <f>B10/'Output-Calculation-sheet'!B9*'Output-Calculation-sheet'!B108</f>
        <v>83062322834.524689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4165855884.6191936</v>
      </c>
      <c r="O131" s="2">
        <f>O10/'Output-Calculation-sheet'!O9*'Output-Calculation-sheet'!O108</f>
        <v>0</v>
      </c>
      <c r="P131" s="2">
        <f>P10/'Output-Calculation-sheet'!P9*'Output-Calculation-sheet'!P108</f>
        <v>9428021291.7636242</v>
      </c>
      <c r="Q131" s="2">
        <f>Q10/'Output-Calculation-sheet'!Q9*'Output-Calculation-sheet'!Q108</f>
        <v>9074706474.7761593</v>
      </c>
      <c r="R131" s="2">
        <f>R10/'Output-Calculation-sheet'!R9*'Output-Calculation-sheet'!R108</f>
        <v>8923703067.4531536</v>
      </c>
      <c r="S131" s="2">
        <f>S10/'Output-Calculation-sheet'!S9*'Output-Calculation-sheet'!S108</f>
        <v>3437497424.8255939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298811.93034828472</v>
      </c>
    </row>
    <row r="132" spans="1:27" x14ac:dyDescent="0.25">
      <c r="A132" s="2">
        <v>2034</v>
      </c>
      <c r="B132" s="2">
        <f>B11/'Output-Calculation-sheet'!B10*'Output-Calculation-sheet'!B109</f>
        <v>79957029687.182968</v>
      </c>
      <c r="C132" s="2">
        <f>C11/'Output-Calculation-sheet'!C10*'Output-Calculation-sheet'!C109</f>
        <v>0</v>
      </c>
      <c r="D132" s="2">
        <f>D11/'Output-Calculation-sheet'!D10*'Output-Calculation-sheet'!D109</f>
        <v>52220356909.069336</v>
      </c>
      <c r="E132" s="2">
        <f>E11/'Output-Calculation-sheet'!E10*'Output-Calculation-sheet'!E109</f>
        <v>40684581067.619011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16597350851.168085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12341367232.295942</v>
      </c>
      <c r="M132" s="2">
        <f>M11/'Output-Calculation-sheet'!M10*'Output-Calculation-sheet'!M109</f>
        <v>0</v>
      </c>
      <c r="N132" s="2">
        <f>N11/'Output-Calculation-sheet'!N10*'Output-Calculation-sheet'!N109</f>
        <v>3911053111.3203759</v>
      </c>
      <c r="O132" s="2">
        <f>O11/'Output-Calculation-sheet'!O10*'Output-Calculation-sheet'!O109</f>
        <v>0</v>
      </c>
      <c r="P132" s="2">
        <f>P11/'Output-Calculation-sheet'!P10*'Output-Calculation-sheet'!P109</f>
        <v>11341184041.446104</v>
      </c>
      <c r="Q132" s="2">
        <f>Q11/'Output-Calculation-sheet'!Q10*'Output-Calculation-sheet'!Q109</f>
        <v>9617065458.9116039</v>
      </c>
      <c r="R132" s="2">
        <f>R11/'Output-Calculation-sheet'!R10*'Output-Calculation-sheet'!R109</f>
        <v>10734515711.598654</v>
      </c>
      <c r="S132" s="2">
        <f>S11/'Output-Calculation-sheet'!S10*'Output-Calculation-sheet'!S109</f>
        <v>3343003132.4285593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3355681337.3857021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1282128196.5292377</v>
      </c>
      <c r="AA132" s="2">
        <f t="shared" si="11"/>
        <v>333727.92449332523</v>
      </c>
    </row>
    <row r="133" spans="1:27" x14ac:dyDescent="0.25">
      <c r="A133" s="2">
        <v>2035</v>
      </c>
      <c r="B133" s="2">
        <f>B12/'Output-Calculation-sheet'!B11*'Output-Calculation-sheet'!B110</f>
        <v>78471483539.08876</v>
      </c>
      <c r="C133" s="2">
        <f>C12/'Output-Calculation-sheet'!C11*'Output-Calculation-sheet'!C110</f>
        <v>0</v>
      </c>
      <c r="D133" s="2">
        <f>D12/'Output-Calculation-sheet'!D11*'Output-Calculation-sheet'!D110</f>
        <v>53940656571.466606</v>
      </c>
      <c r="E133" s="2">
        <f>E12/'Output-Calculation-sheet'!E11*'Output-Calculation-sheet'!E110</f>
        <v>42467405696.471138</v>
      </c>
      <c r="F133" s="2">
        <f>F12/'Output-Calculation-sheet'!F11*'Output-Calculation-sheet'!F110</f>
        <v>29183835012.430294</v>
      </c>
      <c r="G133" s="2">
        <f>G12/'Output-Calculation-sheet'!G11*'Output-Calculation-sheet'!G110</f>
        <v>20118107856.020126</v>
      </c>
      <c r="H133" s="2">
        <f>H12/'Output-Calculation-sheet'!H11*'Output-Calculation-sheet'!H110</f>
        <v>0</v>
      </c>
      <c r="I133" s="2">
        <f>I12/'Output-Calculation-sheet'!I11*'Output-Calculation-sheet'!I110</f>
        <v>18256320643.549751</v>
      </c>
      <c r="J133" s="2">
        <f>J12/'Output-Calculation-sheet'!J11*'Output-Calculation-sheet'!J110</f>
        <v>17096817136.336708</v>
      </c>
      <c r="K133" s="2">
        <f>K12/'Output-Calculation-sheet'!K11*'Output-Calculation-sheet'!K110</f>
        <v>17507155173.645714</v>
      </c>
      <c r="L133" s="2">
        <f>L12/'Output-Calculation-sheet'!L11*'Output-Calculation-sheet'!L110</f>
        <v>12830222625.188248</v>
      </c>
      <c r="M133" s="2">
        <f>M12/'Output-Calculation-sheet'!M11*'Output-Calculation-sheet'!M110</f>
        <v>0</v>
      </c>
      <c r="N133" s="2">
        <f>N12/'Output-Calculation-sheet'!N11*'Output-Calculation-sheet'!N110</f>
        <v>4005713275.0320773</v>
      </c>
      <c r="O133" s="2">
        <f>O12/'Output-Calculation-sheet'!O11*'Output-Calculation-sheet'!O110</f>
        <v>0</v>
      </c>
      <c r="P133" s="2">
        <f>P12/'Output-Calculation-sheet'!P11*'Output-Calculation-sheet'!P110</f>
        <v>11965137207.211151</v>
      </c>
      <c r="Q133" s="2">
        <f>Q12/'Output-Calculation-sheet'!Q11*'Output-Calculation-sheet'!Q110</f>
        <v>9731592470.6180344</v>
      </c>
      <c r="R133" s="2">
        <f>R12/'Output-Calculation-sheet'!R11*'Output-Calculation-sheet'!R110</f>
        <v>11470415429.63092</v>
      </c>
      <c r="S133" s="2">
        <f>S12/'Output-Calculation-sheet'!S11*'Output-Calculation-sheet'!S110</f>
        <v>3093203479.400568</v>
      </c>
      <c r="T133" s="2">
        <f>T12/'Output-Calculation-sheet'!T11*'Output-Calculation-sheet'!T110</f>
        <v>4316628744.1211205</v>
      </c>
      <c r="U133" s="2">
        <f>U12/'Output-Calculation-sheet'!U11*'Output-Calculation-sheet'!U110</f>
        <v>3499705593.6661901</v>
      </c>
      <c r="V133" s="2">
        <f>V12/'Output-Calculation-sheet'!V11*'Output-Calculation-sheet'!V110</f>
        <v>2760004467.0009818</v>
      </c>
      <c r="W133" s="2">
        <f>W12/'Output-Calculation-sheet'!W11*'Output-Calculation-sheet'!W110</f>
        <v>2575609197.9649749</v>
      </c>
      <c r="X133" s="2">
        <f>X12/'Output-Calculation-sheet'!X11*'Output-Calculation-sheet'!X110</f>
        <v>0</v>
      </c>
      <c r="Y133" s="2">
        <f>Y12/'Output-Calculation-sheet'!Y11*'Output-Calculation-sheet'!Y110</f>
        <v>1103028438.6170635</v>
      </c>
      <c r="AA133" s="2">
        <f t="shared" si="11"/>
        <v>344393.04255746037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10353860868.539932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315339795.69949067</v>
      </c>
      <c r="Y140" s="2">
        <f>Y8/'Output-Calculation-sheet'!Y7*'Output-Calculation-sheet'!Y115</f>
        <v>0</v>
      </c>
      <c r="AA140" s="2">
        <f t="shared" si="12"/>
        <v>10669.200664239424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7836999968.227006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438102641.27808028</v>
      </c>
      <c r="Y141" s="2">
        <f>Y9/'Output-Calculation-sheet'!Y8*'Output-Calculation-sheet'!Y116</f>
        <v>0</v>
      </c>
      <c r="AA141" s="2">
        <f t="shared" si="12"/>
        <v>8275.1026095050856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464104987.71242619</v>
      </c>
      <c r="Y142" s="2">
        <f>Y10/'Output-Calculation-sheet'!Y9*'Output-Calculation-sheet'!Y117</f>
        <v>0</v>
      </c>
      <c r="AA142" s="2">
        <f t="shared" si="12"/>
        <v>464.10498771242618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766.62456397469839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1163363812.0791206</v>
      </c>
      <c r="Y144" s="2">
        <f>Y12/'Output-Calculation-sheet'!Y11*'Output-Calculation-sheet'!Y119</f>
        <v>0</v>
      </c>
      <c r="AA144" s="2">
        <f t="shared" si="12"/>
        <v>1163.3638120791206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31076632474.977894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7581973344.2010098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235986.67158861866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36623666331.423241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8346021505.4539175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211190.4704621736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41970038248.406677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8781497387.9187069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169303.91522068906</v>
      </c>
    </row>
    <row r="154" spans="1:27" x14ac:dyDescent="0.25">
      <c r="A154" s="2">
        <v>2034</v>
      </c>
      <c r="B154" s="2">
        <f>B11/'Output-Calculation-sheet'!B10*'Output-Calculation-sheet'!B127</f>
        <v>21421159613.145981</v>
      </c>
      <c r="C154" s="2">
        <f>C11/'Output-Calculation-sheet'!C10*'Output-Calculation-sheet'!C127</f>
        <v>39532189015.717125</v>
      </c>
      <c r="D154" s="2">
        <f>D11/'Output-Calculation-sheet'!D10*'Output-Calculation-sheet'!D127</f>
        <v>7951025821.0252371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3454443042.9268956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2550406700.6266789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2199914687.4600377</v>
      </c>
      <c r="M154" s="2">
        <f>M11/'Output-Calculation-sheet'!M10*'Output-Calculation-sheet'!M127</f>
        <v>2219857188.254642</v>
      </c>
      <c r="N154" s="2">
        <f>N11/'Output-Calculation-sheet'!N10*'Output-Calculation-sheet'!N127</f>
        <v>2062785491.5541546</v>
      </c>
      <c r="O154" s="2">
        <f>O11/'Output-Calculation-sheet'!O10*'Output-Calculation-sheet'!O127</f>
        <v>8923244146.2593346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2744263182.82061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1423149665.4914119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606190636.65496612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117208.18214293283</v>
      </c>
    </row>
    <row r="155" spans="1:27" x14ac:dyDescent="0.25">
      <c r="A155" s="2">
        <v>2035</v>
      </c>
      <c r="B155" s="2">
        <f>B12/'Output-Calculation-sheet'!B11*'Output-Calculation-sheet'!B128</f>
        <v>19238807875.376869</v>
      </c>
      <c r="C155" s="2">
        <f>C12/'Output-Calculation-sheet'!C11*'Output-Calculation-sheet'!C128</f>
        <v>33986099832.104408</v>
      </c>
      <c r="D155" s="2">
        <f>D12/'Output-Calculation-sheet'!D11*'Output-Calculation-sheet'!D128</f>
        <v>7926026699.0877266</v>
      </c>
      <c r="E155" s="2">
        <f>E12/'Output-Calculation-sheet'!E11*'Output-Calculation-sheet'!E128</f>
        <v>4320000487.1305809</v>
      </c>
      <c r="F155" s="2">
        <f>F12/'Output-Calculation-sheet'!F11*'Output-Calculation-sheet'!F128</f>
        <v>2353173108.3626933</v>
      </c>
      <c r="G155" s="2">
        <f>G12/'Output-Calculation-sheet'!G11*'Output-Calculation-sheet'!G128</f>
        <v>2220093568.1878548</v>
      </c>
      <c r="H155" s="2">
        <f>H12/'Output-Calculation-sheet'!H11*'Output-Calculation-sheet'!H128</f>
        <v>3242718614.9182358</v>
      </c>
      <c r="I155" s="2">
        <f>I12/'Output-Calculation-sheet'!I11*'Output-Calculation-sheet'!I128</f>
        <v>2028498821.1603477</v>
      </c>
      <c r="J155" s="2">
        <f>J12/'Output-Calculation-sheet'!J11*'Output-Calculation-sheet'!J128</f>
        <v>2523492712.4997501</v>
      </c>
      <c r="K155" s="2">
        <f>K12/'Output-Calculation-sheet'!K11*'Output-Calculation-sheet'!K128</f>
        <v>2022970733.9544718</v>
      </c>
      <c r="L155" s="2">
        <f>L12/'Output-Calculation-sheet'!L11*'Output-Calculation-sheet'!L128</f>
        <v>2070755884.4654889</v>
      </c>
      <c r="M155" s="2">
        <f>M12/'Output-Calculation-sheet'!M11*'Output-Calculation-sheet'!M128</f>
        <v>2047279302.2313893</v>
      </c>
      <c r="N155" s="2">
        <f>N12/'Output-Calculation-sheet'!N11*'Output-Calculation-sheet'!N128</f>
        <v>1877345738.3386445</v>
      </c>
      <c r="O155" s="2">
        <f>O12/'Output-Calculation-sheet'!O11*'Output-Calculation-sheet'!O128</f>
        <v>8823301115.9707375</v>
      </c>
      <c r="P155" s="2">
        <f>P12/'Output-Calculation-sheet'!P11*'Output-Calculation-sheet'!P128</f>
        <v>1085725408.5215619</v>
      </c>
      <c r="Q155" s="2">
        <f>Q12/'Output-Calculation-sheet'!Q11*'Output-Calculation-sheet'!Q128</f>
        <v>2579846266.405467</v>
      </c>
      <c r="R155" s="2">
        <f>R12/'Output-Calculation-sheet'!R11*'Output-Calculation-sheet'!R128</f>
        <v>1191589619.4856646</v>
      </c>
      <c r="S155" s="2">
        <f>S12/'Output-Calculation-sheet'!S11*'Output-Calculation-sheet'!S128</f>
        <v>1251577173.4918723</v>
      </c>
      <c r="T155" s="2">
        <f>T12/'Output-Calculation-sheet'!T11*'Output-Calculation-sheet'!T128</f>
        <v>308752354.14968061</v>
      </c>
      <c r="U155" s="2">
        <f>U12/'Output-Calculation-sheet'!U11*'Output-Calculation-sheet'!U128</f>
        <v>600957729.13998306</v>
      </c>
      <c r="V155" s="2">
        <f>V12/'Output-Calculation-sheet'!V11*'Output-Calculation-sheet'!V128</f>
        <v>333851517.14105362</v>
      </c>
      <c r="W155" s="2">
        <f>W12/'Output-Calculation-sheet'!W11*'Output-Calculation-sheet'!W128</f>
        <v>119484951.24038441</v>
      </c>
      <c r="X155" s="2">
        <f>X12/'Output-Calculation-sheet'!X11*'Output-Calculation-sheet'!X128</f>
        <v>53810676.363797136</v>
      </c>
      <c r="Y155" s="2">
        <f>Y12/'Output-Calculation-sheet'!Y11*'Output-Calculation-sheet'!Y128</f>
        <v>132535302.23527408</v>
      </c>
      <c r="AA155" s="2">
        <f t="shared" si="13"/>
        <v>102338.69549196392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9017.7524352203454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5782.283820110214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4013.4912785110178</v>
      </c>
      <c r="N19" s="2">
        <f>N8/'Output-Calculation-sheet'!N7*'Output-Calculation-sheet'!N25</f>
        <v>1371.9567804220037</v>
      </c>
      <c r="O19" s="2">
        <f>O8/'Output-Calculation-sheet'!O7*'Output-Calculation-sheet'!O25</f>
        <v>2144.3076675818138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211.88652081945548</v>
      </c>
      <c r="Y19" s="2">
        <f>Y8/'Output-Calculation-sheet'!Y7*'Output-Calculation-sheet'!Y25</f>
        <v>0</v>
      </c>
      <c r="AA19" s="2">
        <f t="shared" si="0"/>
        <v>24.318712044508246</v>
      </c>
    </row>
    <row r="20" spans="1:27" x14ac:dyDescent="0.25">
      <c r="A20" s="2">
        <v>2032</v>
      </c>
      <c r="B20" s="2">
        <f>B9/'Output-Calculation-sheet'!B8*'Output-Calculation-sheet'!B26</f>
        <v>7509.5202203049093</v>
      </c>
      <c r="C20" s="2">
        <f>C9/'Output-Calculation-sheet'!C8*'Output-Calculation-sheet'!C26</f>
        <v>12695.932536405673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8163.3707347316831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5677.1494311196939</v>
      </c>
      <c r="N20" s="2">
        <f>N9/'Output-Calculation-sheet'!N8*'Output-Calculation-sheet'!N26</f>
        <v>2556.3450559805051</v>
      </c>
      <c r="O20" s="2">
        <f>O9/'Output-Calculation-sheet'!O8*'Output-Calculation-sheet'!O26</f>
        <v>2661.968393467755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929.67121825482252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303.3827426240324</v>
      </c>
      <c r="Y20" s="2">
        <f>Y9/'Output-Calculation-sheet'!Y8*'Output-Calculation-sheet'!Y26</f>
        <v>0</v>
      </c>
      <c r="AA20" s="2">
        <f t="shared" si="0"/>
        <v>40.497340332889074</v>
      </c>
    </row>
    <row r="21" spans="1:27" x14ac:dyDescent="0.25">
      <c r="A21" s="2">
        <v>2033</v>
      </c>
      <c r="B21" s="2">
        <f>B10/'Output-Calculation-sheet'!B9*'Output-Calculation-sheet'!B27</f>
        <v>18375.742780962533</v>
      </c>
      <c r="C21" s="2">
        <f>C10/'Output-Calculation-sheet'!C9*'Output-Calculation-sheet'!C27</f>
        <v>18868.274097332251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10611.646164262042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7371.8144322262469</v>
      </c>
      <c r="N21" s="2">
        <f>N10/'Output-Calculation-sheet'!N9*'Output-Calculation-sheet'!N27</f>
        <v>4027.1450643259536</v>
      </c>
      <c r="O21" s="2">
        <f>O10/'Output-Calculation-sheet'!O9*'Output-Calculation-sheet'!O27</f>
        <v>3114.0088472380653</v>
      </c>
      <c r="P21" s="2">
        <f>P10/'Output-Calculation-sheet'!P9*'Output-Calculation-sheet'!P27</f>
        <v>0</v>
      </c>
      <c r="Q21" s="2">
        <f>Q10/'Output-Calculation-sheet'!Q9*'Output-Calculation-sheet'!Q27</f>
        <v>271.92712601328321</v>
      </c>
      <c r="R21" s="2">
        <f>R10/'Output-Calculation-sheet'!R9*'Output-Calculation-sheet'!R27</f>
        <v>0</v>
      </c>
      <c r="S21" s="2">
        <f>S10/'Output-Calculation-sheet'!S9*'Output-Calculation-sheet'!S27</f>
        <v>1753.0265381916781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467.32627012828635</v>
      </c>
      <c r="Y21" s="2">
        <f>Y10/'Output-Calculation-sheet'!Y9*'Output-Calculation-sheet'!Y27</f>
        <v>0</v>
      </c>
      <c r="AA21" s="2">
        <f t="shared" si="0"/>
        <v>64.860911320680344</v>
      </c>
    </row>
    <row r="22" spans="1:27" x14ac:dyDescent="0.25">
      <c r="A22" s="2">
        <v>2034</v>
      </c>
      <c r="B22" s="2">
        <f>B11/'Output-Calculation-sheet'!B10*'Output-Calculation-sheet'!B28</f>
        <v>32587.969810906299</v>
      </c>
      <c r="C22" s="2">
        <f>C11/'Output-Calculation-sheet'!C10*'Output-Calculation-sheet'!C28</f>
        <v>22916.203331057681</v>
      </c>
      <c r="D22" s="2">
        <f>D11/'Output-Calculation-sheet'!D10*'Output-Calculation-sheet'!D28</f>
        <v>0</v>
      </c>
      <c r="E22" s="2">
        <f>E11/'Output-Calculation-sheet'!E10*'Output-Calculation-sheet'!E28</f>
        <v>1866.675998378764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13106.042851322169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936.00174877512472</v>
      </c>
      <c r="M22" s="2">
        <f>M11/'Output-Calculation-sheet'!M10*'Output-Calculation-sheet'!M28</f>
        <v>9312.3949384989774</v>
      </c>
      <c r="N22" s="2">
        <f>N11/'Output-Calculation-sheet'!N10*'Output-Calculation-sheet'!N28</f>
        <v>5491.5705943705116</v>
      </c>
      <c r="O22" s="2">
        <f>O11/'Output-Calculation-sheet'!O10*'Output-Calculation-sheet'!O28</f>
        <v>3501.4663780785254</v>
      </c>
      <c r="P22" s="2">
        <f>P11/'Output-Calculation-sheet'!P10*'Output-Calculation-sheet'!P28</f>
        <v>0</v>
      </c>
      <c r="Q22" s="2">
        <f>Q11/'Output-Calculation-sheet'!Q10*'Output-Calculation-sheet'!Q28</f>
        <v>822.41070284272234</v>
      </c>
      <c r="R22" s="2">
        <f>R11/'Output-Calculation-sheet'!R10*'Output-Calculation-sheet'!R28</f>
        <v>0</v>
      </c>
      <c r="S22" s="2">
        <f>S11/'Output-Calculation-sheet'!S10*'Output-Calculation-sheet'!S28</f>
        <v>2413.084509657805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101.17918380616182</v>
      </c>
      <c r="AA22" s="2">
        <f t="shared" si="0"/>
        <v>93.468958380507559</v>
      </c>
    </row>
    <row r="23" spans="1:27" x14ac:dyDescent="0.25">
      <c r="A23" s="2">
        <v>2035</v>
      </c>
      <c r="B23" s="2">
        <f>B12/'Output-Calculation-sheet'!B11*'Output-Calculation-sheet'!B29</f>
        <v>37996.533827348452</v>
      </c>
      <c r="C23" s="2">
        <f>C12/'Output-Calculation-sheet'!C11*'Output-Calculation-sheet'!C29</f>
        <v>27669.319297080918</v>
      </c>
      <c r="D23" s="2">
        <f>D12/'Output-Calculation-sheet'!D11*'Output-Calculation-sheet'!D29</f>
        <v>0</v>
      </c>
      <c r="E23" s="2">
        <f>E12/'Output-Calculation-sheet'!E11*'Output-Calculation-sheet'!E29</f>
        <v>5053.3482711509751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13734.867760939651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1102.6762643826155</v>
      </c>
      <c r="M23" s="2">
        <f>M12/'Output-Calculation-sheet'!M11*'Output-Calculation-sheet'!M29</f>
        <v>9815.5714031423722</v>
      </c>
      <c r="N23" s="2">
        <f>N12/'Output-Calculation-sheet'!N11*'Output-Calculation-sheet'!N29</f>
        <v>5871.129047366022</v>
      </c>
      <c r="O23" s="2">
        <f>O12/'Output-Calculation-sheet'!O11*'Output-Calculation-sheet'!O29</f>
        <v>3814.3237362021987</v>
      </c>
      <c r="P23" s="2">
        <f>P12/'Output-Calculation-sheet'!P11*'Output-Calculation-sheet'!P29</f>
        <v>799.00853061616056</v>
      </c>
      <c r="Q23" s="2">
        <f>Q12/'Output-Calculation-sheet'!Q11*'Output-Calculation-sheet'!Q29</f>
        <v>1190.4387823050661</v>
      </c>
      <c r="R23" s="2">
        <f>R12/'Output-Calculation-sheet'!R11*'Output-Calculation-sheet'!R29</f>
        <v>0</v>
      </c>
      <c r="S23" s="2">
        <f>S12/'Output-Calculation-sheet'!S11*'Output-Calculation-sheet'!S29</f>
        <v>2811.2433187786296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247.78837731085358</v>
      </c>
      <c r="Y23" s="2">
        <f>Y12/'Output-Calculation-sheet'!Y11*'Output-Calculation-sheet'!Y29</f>
        <v>261.45443857626685</v>
      </c>
      <c r="AA23" s="2">
        <f t="shared" si="0"/>
        <v>110.36770305520018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1868.3501830513233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48.030003998193671</v>
      </c>
    </row>
    <row r="31" spans="1:27" x14ac:dyDescent="0.25">
      <c r="A31" s="2">
        <v>2032</v>
      </c>
      <c r="B31" s="2">
        <f>B9/'Output-Calculation-sheet'!B8*'Output-Calculation-sheet'!B17</f>
        <v>31797.475193337905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2177.9864315540099</v>
      </c>
      <c r="O31" s="2">
        <f>O9/'Output-Calculation-sheet'!O8*'Output-Calculation-sheet'!O17</f>
        <v>0</v>
      </c>
      <c r="P31" s="2">
        <f>P9/'Output-Calculation-sheet'!P8*'Output-Calculation-sheet'!P17</f>
        <v>2696.9811203888207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1619.4619111775155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69.245658615744347</v>
      </c>
    </row>
    <row r="32" spans="1:27" x14ac:dyDescent="0.25">
      <c r="A32" s="2">
        <v>2033</v>
      </c>
      <c r="B32" s="2">
        <f>B10/'Output-Calculation-sheet'!B9*'Output-Calculation-sheet'!B18</f>
        <v>37217.160954436615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3549.7655189286011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2274.3048714427891</v>
      </c>
      <c r="O32" s="2">
        <f>O10/'Output-Calculation-sheet'!O9*'Output-Calculation-sheet'!O18</f>
        <v>0</v>
      </c>
      <c r="P32" s="2">
        <f>P10/'Output-Calculation-sheet'!P9*'Output-Calculation-sheet'!P18</f>
        <v>3653.4138244139081</v>
      </c>
      <c r="Q32" s="2">
        <f>Q10/'Output-Calculation-sheet'!Q9*'Output-Calculation-sheet'!Q18</f>
        <v>3980.3356180570759</v>
      </c>
      <c r="R32" s="2">
        <f>R10/'Output-Calculation-sheet'!R9*'Output-Calculation-sheet'!R18</f>
        <v>2623.4946653447987</v>
      </c>
      <c r="S32" s="2">
        <f>S10/'Output-Calculation-sheet'!S9*'Output-Calculation-sheet'!S18</f>
        <v>1718.2331541892772</v>
      </c>
      <c r="T32" s="2">
        <f>T10/'Output-Calculation-sheet'!T9*'Output-Calculation-sheet'!T18</f>
        <v>765.95827639059871</v>
      </c>
      <c r="U32" s="2">
        <f>U10/'Output-Calculation-sheet'!U9*'Output-Calculation-sheet'!U18</f>
        <v>846.86105855678795</v>
      </c>
      <c r="V32" s="2">
        <f>V10/'Output-Calculation-sheet'!V9*'Output-Calculation-sheet'!V18</f>
        <v>624.94457598962515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361.86808427723031</v>
      </c>
      <c r="AA32" s="2">
        <f t="shared" si="1"/>
        <v>89.461840753016318</v>
      </c>
    </row>
    <row r="33" spans="1:27" x14ac:dyDescent="0.25">
      <c r="A33" s="2">
        <v>2034</v>
      </c>
      <c r="B33" s="2">
        <f>B11/'Output-Calculation-sheet'!B10*'Output-Calculation-sheet'!B19</f>
        <v>37025.483905341345</v>
      </c>
      <c r="C33" s="2">
        <f>C11/'Output-Calculation-sheet'!C10*'Output-Calculation-sheet'!C19</f>
        <v>0</v>
      </c>
      <c r="D33" s="2">
        <f>D11/'Output-Calculation-sheet'!D10*'Output-Calculation-sheet'!D19</f>
        <v>10822.110757612181</v>
      </c>
      <c r="E33" s="2">
        <f>E11/'Output-Calculation-sheet'!E10*'Output-Calculation-sheet'!E19</f>
        <v>13615.241631889859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4086.4034198748745</v>
      </c>
      <c r="J33" s="2">
        <f>J11/'Output-Calculation-sheet'!J10*'Output-Calculation-sheet'!J19</f>
        <v>3382.5814648651835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3790.9031850461806</v>
      </c>
      <c r="M33" s="2">
        <f>M11/'Output-Calculation-sheet'!M10*'Output-Calculation-sheet'!M19</f>
        <v>0</v>
      </c>
      <c r="N33" s="2">
        <f>N11/'Output-Calculation-sheet'!N10*'Output-Calculation-sheet'!N19</f>
        <v>2250.1076962533598</v>
      </c>
      <c r="O33" s="2">
        <f>O11/'Output-Calculation-sheet'!O10*'Output-Calculation-sheet'!O19</f>
        <v>0</v>
      </c>
      <c r="P33" s="2">
        <f>P11/'Output-Calculation-sheet'!P10*'Output-Calculation-sheet'!P19</f>
        <v>4847.9301695471913</v>
      </c>
      <c r="Q33" s="2">
        <f>Q11/'Output-Calculation-sheet'!Q10*'Output-Calculation-sheet'!Q19</f>
        <v>4057.7218690614995</v>
      </c>
      <c r="R33" s="2">
        <f>R11/'Output-Calculation-sheet'!R10*'Output-Calculation-sheet'!R19</f>
        <v>3461.8960275068184</v>
      </c>
      <c r="S33" s="2">
        <f>S11/'Output-Calculation-sheet'!S10*'Output-Calculation-sheet'!S19</f>
        <v>1735.7934166507607</v>
      </c>
      <c r="T33" s="2">
        <f>T11/'Output-Calculation-sheet'!T10*'Output-Calculation-sheet'!T19</f>
        <v>1015.7861838318454</v>
      </c>
      <c r="U33" s="2">
        <f>U11/'Output-Calculation-sheet'!U10*'Output-Calculation-sheet'!U19</f>
        <v>1094.981405427324</v>
      </c>
      <c r="V33" s="2">
        <f>V11/'Output-Calculation-sheet'!V10*'Output-Calculation-sheet'!V19</f>
        <v>796.76315782963911</v>
      </c>
      <c r="W33" s="2">
        <f>W11/'Output-Calculation-sheet'!W10*'Output-Calculation-sheet'!W19</f>
        <v>496.11362588010627</v>
      </c>
      <c r="X33" s="2">
        <f>X11/'Output-Calculation-sheet'!X10*'Output-Calculation-sheet'!X19</f>
        <v>0</v>
      </c>
      <c r="Y33" s="2">
        <f>Y11/'Output-Calculation-sheet'!Y10*'Output-Calculation-sheet'!Y19</f>
        <v>447.16364233232309</v>
      </c>
      <c r="AA33" s="2">
        <f t="shared" si="1"/>
        <v>107.70917731886689</v>
      </c>
    </row>
    <row r="34" spans="1:27" x14ac:dyDescent="0.25">
      <c r="A34" s="2">
        <v>2035</v>
      </c>
      <c r="B34" s="2">
        <f>B12/'Output-Calculation-sheet'!B11*'Output-Calculation-sheet'!B20</f>
        <v>35408.48572511939</v>
      </c>
      <c r="C34" s="2">
        <f>C12/'Output-Calculation-sheet'!C11*'Output-Calculation-sheet'!C20</f>
        <v>0</v>
      </c>
      <c r="D34" s="2">
        <f>D12/'Output-Calculation-sheet'!D11*'Output-Calculation-sheet'!D20</f>
        <v>11041.521470855887</v>
      </c>
      <c r="E34" s="2">
        <f>E12/'Output-Calculation-sheet'!E11*'Output-Calculation-sheet'!E20</f>
        <v>12924.102713045253</v>
      </c>
      <c r="F34" s="2">
        <f>F12/'Output-Calculation-sheet'!F11*'Output-Calculation-sheet'!F20</f>
        <v>7507.5988041410001</v>
      </c>
      <c r="G34" s="2">
        <f>G12/'Output-Calculation-sheet'!G11*'Output-Calculation-sheet'!G20</f>
        <v>3985.4707414589438</v>
      </c>
      <c r="H34" s="2">
        <f>H12/'Output-Calculation-sheet'!H11*'Output-Calculation-sheet'!H20</f>
        <v>0</v>
      </c>
      <c r="I34" s="2">
        <f>I12/'Output-Calculation-sheet'!I11*'Output-Calculation-sheet'!I20</f>
        <v>4417.8757143337161</v>
      </c>
      <c r="J34" s="2">
        <f>J12/'Output-Calculation-sheet'!J11*'Output-Calculation-sheet'!J20</f>
        <v>3455.5164440622016</v>
      </c>
      <c r="K34" s="2">
        <f>K12/'Output-Calculation-sheet'!K11*'Output-Calculation-sheet'!K20</f>
        <v>5101.4802768663876</v>
      </c>
      <c r="L34" s="2">
        <f>L12/'Output-Calculation-sheet'!L11*'Output-Calculation-sheet'!L20</f>
        <v>3873.413816419451</v>
      </c>
      <c r="M34" s="2">
        <f>M12/'Output-Calculation-sheet'!M11*'Output-Calculation-sheet'!M20</f>
        <v>0</v>
      </c>
      <c r="N34" s="2">
        <f>N12/'Output-Calculation-sheet'!N11*'Output-Calculation-sheet'!N20</f>
        <v>2254.0481528008595</v>
      </c>
      <c r="O34" s="2">
        <f>O12/'Output-Calculation-sheet'!O11*'Output-Calculation-sheet'!O20</f>
        <v>0</v>
      </c>
      <c r="P34" s="2">
        <f>P12/'Output-Calculation-sheet'!P11*'Output-Calculation-sheet'!P20</f>
        <v>4867.66242367636</v>
      </c>
      <c r="Q34" s="2">
        <f>Q12/'Output-Calculation-sheet'!Q11*'Output-Calculation-sheet'!Q20</f>
        <v>3994.3951958317725</v>
      </c>
      <c r="R34" s="2">
        <f>R12/'Output-Calculation-sheet'!R11*'Output-Calculation-sheet'!R20</f>
        <v>3788.1580701431722</v>
      </c>
      <c r="S34" s="2">
        <f>S12/'Output-Calculation-sheet'!S11*'Output-Calculation-sheet'!S20</f>
        <v>1602.630716989911</v>
      </c>
      <c r="T34" s="2">
        <f>T12/'Output-Calculation-sheet'!T11*'Output-Calculation-sheet'!T20</f>
        <v>1173.4097408169523</v>
      </c>
      <c r="U34" s="2">
        <f>U12/'Output-Calculation-sheet'!U11*'Output-Calculation-sheet'!U20</f>
        <v>1121.1458651991804</v>
      </c>
      <c r="V34" s="2">
        <f>V12/'Output-Calculation-sheet'!V11*'Output-Calculation-sheet'!V20</f>
        <v>834.63722612404524</v>
      </c>
      <c r="W34" s="2">
        <f>W12/'Output-Calculation-sheet'!W11*'Output-Calculation-sheet'!W20</f>
        <v>658.09552419075283</v>
      </c>
      <c r="X34" s="2">
        <f>X12/'Output-Calculation-sheet'!X11*'Output-Calculation-sheet'!X20</f>
        <v>0</v>
      </c>
      <c r="Y34" s="2">
        <f>Y12/'Output-Calculation-sheet'!Y11*'Output-Calculation-sheet'!Y20</f>
        <v>388.66377074081186</v>
      </c>
      <c r="AA34" s="2">
        <f t="shared" si="1"/>
        <v>108.39831239281604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0.73364809205247428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0.40382775505187507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1.1374758471043493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2.4168860174402198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0.60368632737008476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3.0205723448103043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4.472983565859793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0.81104468089193671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5.2840282467517294</v>
      </c>
    </row>
    <row r="44" spans="1:27" x14ac:dyDescent="0.25">
      <c r="A44" s="2">
        <v>2034</v>
      </c>
      <c r="B44" s="2">
        <f>B11/'Output-Calculation-sheet'!B10*'Output-Calculation-sheet'!B37*0.0114</f>
        <v>0.32859158754009016</v>
      </c>
      <c r="C44" s="2">
        <f>C11/'Output-Calculation-sheet'!C10*'Output-Calculation-sheet'!C37*0.0114</f>
        <v>5.2245652898464776</v>
      </c>
      <c r="D44" s="2">
        <f>D11/'Output-Calculation-sheet'!D10*'Output-Calculation-sheet'!D37*0.0114</f>
        <v>6.907556228246145E-2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9.6016909605889919E-2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2.2056894325572576E-2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1.7417624466696303E-2</v>
      </c>
      <c r="M44" s="2">
        <f>M11/'Output-Calculation-sheet'!M10*'Output-Calculation-sheet'!M37*0.0114</f>
        <v>4.9551733596522866E-2</v>
      </c>
      <c r="N44" s="2">
        <f>N11/'Output-Calculation-sheet'!N10*'Output-Calculation-sheet'!N37*0.0114</f>
        <v>3.2467545384086985E-2</v>
      </c>
      <c r="O44" s="2">
        <f>O11/'Output-Calculation-sheet'!O10*'Output-Calculation-sheet'!O37*0.0114</f>
        <v>0.9998388202130315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7.1116351842156644E-2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3.7223035697988981E-2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9.076156903825126E-3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6.9569975117047989</v>
      </c>
    </row>
    <row r="45" spans="1:27" x14ac:dyDescent="0.25">
      <c r="A45" s="2">
        <v>2035</v>
      </c>
      <c r="B45" s="2">
        <f>B12/'Output-Calculation-sheet'!B11*'Output-Calculation-sheet'!B38*0.0114</f>
        <v>1.5115141414705733</v>
      </c>
      <c r="C45" s="2">
        <f>C12/'Output-Calculation-sheet'!C11*'Output-Calculation-sheet'!C38*0.0114</f>
        <v>5.7391967691668588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0.39281460848585964</v>
      </c>
      <c r="F45" s="2">
        <f>F12/'Output-Calculation-sheet'!F11*'Output-Calculation-sheet'!F38*0.0114</f>
        <v>0.14117335096165853</v>
      </c>
      <c r="G45" s="2">
        <f>G12/'Output-Calculation-sheet'!G11*'Output-Calculation-sheet'!G38*0.0114</f>
        <v>0.12664744731557734</v>
      </c>
      <c r="H45" s="2">
        <f>H12/'Output-Calculation-sheet'!H11*'Output-Calculation-sheet'!H38*0.0114</f>
        <v>0.44167569162706427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9.0187762841906174E-2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0.10682759060398755</v>
      </c>
      <c r="M45" s="2">
        <f>M12/'Output-Calculation-sheet'!M11*'Output-Calculation-sheet'!M38*0.0114</f>
        <v>0.270147430672942</v>
      </c>
      <c r="N45" s="2">
        <f>N12/'Output-Calculation-sheet'!N11*'Output-Calculation-sheet'!N38*0.0114</f>
        <v>0.16594444575567247</v>
      </c>
      <c r="O45" s="2">
        <f>O12/'Output-Calculation-sheet'!O11*'Output-Calculation-sheet'!O38*0.0114</f>
        <v>1.1614234300078561</v>
      </c>
      <c r="P45" s="2">
        <f>P12/'Output-Calculation-sheet'!P11*'Output-Calculation-sheet'!P38*0.0114</f>
        <v>0.10731246369783547</v>
      </c>
      <c r="Q45" s="2">
        <f>Q12/'Output-Calculation-sheet'!Q11*'Output-Calculation-sheet'!Q38*0.0114</f>
        <v>0.15993201575424046</v>
      </c>
      <c r="R45" s="2">
        <f>R12/'Output-Calculation-sheet'!R11*'Output-Calculation-sheet'!R38*0.0114</f>
        <v>7.2092153081477664E-2</v>
      </c>
      <c r="S45" s="2">
        <f>S12/'Output-Calculation-sheet'!S11*'Output-Calculation-sheet'!S38*0.0114</f>
        <v>0.10463759349053271</v>
      </c>
      <c r="T45" s="2">
        <f>T12/'Output-Calculation-sheet'!T11*'Output-Calculation-sheet'!T38*0.0114</f>
        <v>2.1337104693208587E-2</v>
      </c>
      <c r="U45" s="2">
        <f>U12/'Output-Calculation-sheet'!U11*'Output-Calculation-sheet'!U38*0.0114</f>
        <v>3.2472318631592001E-2</v>
      </c>
      <c r="V45" s="2">
        <f>V12/'Output-Calculation-sheet'!V11*'Output-Calculation-sheet'!V38*0.0114</f>
        <v>1.4307996807254877E-2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7.4089337515269279E-3</v>
      </c>
      <c r="Y45" s="2">
        <f>Y12/'Output-Calculation-sheet'!Y11*'Output-Calculation-sheet'!Y38*0.0114</f>
        <v>1.2512084882328413E-2</v>
      </c>
      <c r="AA45" s="2">
        <f t="shared" si="2"/>
        <v>11.174384771065101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8165.2254650073228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5584.3908854384126</v>
      </c>
      <c r="N52" s="2">
        <f>N8/'Output-Calculation-sheet'!N7*'Output-Calculation-sheet'!N43</f>
        <v>176.40174807963018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37.759081835336325</v>
      </c>
      <c r="Y52" s="2">
        <f>Y8/'Output-Calculation-sheet'!Y7*'Output-Calculation-sheet'!Y43</f>
        <v>0</v>
      </c>
      <c r="AA52" s="2">
        <f t="shared" si="3"/>
        <v>13.963777180360703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248.35169602769173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16351.05268224374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11183.113569395338</v>
      </c>
      <c r="N53" s="2">
        <f>N9/'Output-Calculation-sheet'!N8*'Output-Calculation-sheet'!N44</f>
        <v>3968.4792961897542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1237.5520480001369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341.32815885553185</v>
      </c>
      <c r="Y53" s="2">
        <f>Y9/'Output-Calculation-sheet'!Y8*'Output-Calculation-sheet'!Y44</f>
        <v>0</v>
      </c>
      <c r="AA53" s="2">
        <f t="shared" si="3"/>
        <v>33.505788746595016</v>
      </c>
    </row>
    <row r="54" spans="1:27" x14ac:dyDescent="0.25">
      <c r="A54" s="2">
        <v>2033</v>
      </c>
      <c r="B54" s="2">
        <f>B10/'Output-Calculation-sheet'!B9*'Output-Calculation-sheet'!B45</f>
        <v>35093.059492481778</v>
      </c>
      <c r="C54" s="2">
        <f>C10/'Output-Calculation-sheet'!C9*'Output-Calculation-sheet'!C45</f>
        <v>7539.9854553162877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17529.341046259557</v>
      </c>
      <c r="N54" s="2">
        <f>N10/'Output-Calculation-sheet'!N9*'Output-Calculation-sheet'!N45</f>
        <v>9807.5155973421297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1026.9953086848859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107.23271802633229</v>
      </c>
    </row>
    <row r="55" spans="1:27" x14ac:dyDescent="0.25">
      <c r="A55" s="2">
        <v>2034</v>
      </c>
      <c r="B55" s="2">
        <f>B11/'Output-Calculation-sheet'!B10*'Output-Calculation-sheet'!B46</f>
        <v>91875.937305617306</v>
      </c>
      <c r="C55" s="2">
        <f>C11/'Output-Calculation-sheet'!C10*'Output-Calculation-sheet'!C46</f>
        <v>18851.665277319837</v>
      </c>
      <c r="D55" s="2">
        <f>D11/'Output-Calculation-sheet'!D10*'Output-Calculation-sheet'!D46</f>
        <v>7955.8081821817441</v>
      </c>
      <c r="E55" s="2">
        <f>E11/'Output-Calculation-sheet'!E10*'Output-Calculation-sheet'!E46</f>
        <v>11913.549513823587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30778.051923449406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1141.5410221129666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957.96934566829668</v>
      </c>
      <c r="M55" s="2">
        <f>M11/'Output-Calculation-sheet'!M10*'Output-Calculation-sheet'!M46</f>
        <v>21523.128730302546</v>
      </c>
      <c r="N55" s="2">
        <f>N11/'Output-Calculation-sheet'!N10*'Output-Calculation-sheet'!N46</f>
        <v>15676.98276900937</v>
      </c>
      <c r="O55" s="2">
        <f>O11/'Output-Calculation-sheet'!O10*'Output-Calculation-sheet'!O46</f>
        <v>0</v>
      </c>
      <c r="P55" s="2">
        <f>P11/'Output-Calculation-sheet'!P10*'Output-Calculation-sheet'!P46</f>
        <v>6215.9258736636084</v>
      </c>
      <c r="Q55" s="2">
        <f>Q11/'Output-Calculation-sheet'!Q10*'Output-Calculation-sheet'!Q46</f>
        <v>2299.4287095630643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6592.3955328280472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1529.0139766487855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102.59864590567939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237.37551680462275</v>
      </c>
    </row>
    <row r="56" spans="1:27" x14ac:dyDescent="0.25">
      <c r="A56" s="2">
        <v>2035</v>
      </c>
      <c r="B56" s="2">
        <f>B12/'Output-Calculation-sheet'!B11*'Output-Calculation-sheet'!B47</f>
        <v>107647.5032331918</v>
      </c>
      <c r="C56" s="2">
        <f>C12/'Output-Calculation-sheet'!C11*'Output-Calculation-sheet'!C47</f>
        <v>38806.703300287605</v>
      </c>
      <c r="D56" s="2">
        <f>D12/'Output-Calculation-sheet'!D11*'Output-Calculation-sheet'!D47</f>
        <v>8473.2288290639499</v>
      </c>
      <c r="E56" s="2">
        <f>E12/'Output-Calculation-sheet'!E11*'Output-Calculation-sheet'!E47</f>
        <v>22505.618922272562</v>
      </c>
      <c r="F56" s="2">
        <f>F12/'Output-Calculation-sheet'!F11*'Output-Calculation-sheet'!F47</f>
        <v>2647.0003305310975</v>
      </c>
      <c r="G56" s="2">
        <f>G12/'Output-Calculation-sheet'!G11*'Output-Calculation-sheet'!G47</f>
        <v>6841.184040081801</v>
      </c>
      <c r="H56" s="2">
        <f>H12/'Output-Calculation-sheet'!H11*'Output-Calculation-sheet'!H47</f>
        <v>31959.067589077244</v>
      </c>
      <c r="I56" s="2">
        <f>I12/'Output-Calculation-sheet'!I11*'Output-Calculation-sheet'!I47</f>
        <v>3803.0471016378697</v>
      </c>
      <c r="J56" s="2">
        <f>J12/'Output-Calculation-sheet'!J11*'Output-Calculation-sheet'!J47</f>
        <v>1364.6832535288434</v>
      </c>
      <c r="K56" s="2">
        <f>K12/'Output-Calculation-sheet'!K11*'Output-Calculation-sheet'!K47</f>
        <v>5686.2332561996172</v>
      </c>
      <c r="L56" s="2">
        <f>L12/'Output-Calculation-sheet'!L11*'Output-Calculation-sheet'!L47</f>
        <v>1285.3670623842361</v>
      </c>
      <c r="M56" s="2">
        <f>M12/'Output-Calculation-sheet'!M11*'Output-Calculation-sheet'!M47</f>
        <v>22373.065174043102</v>
      </c>
      <c r="N56" s="2">
        <f>N12/'Output-Calculation-sheet'!N11*'Output-Calculation-sheet'!N47</f>
        <v>16686.150716642751</v>
      </c>
      <c r="O56" s="2">
        <f>O12/'Output-Calculation-sheet'!O11*'Output-Calculation-sheet'!O47</f>
        <v>0</v>
      </c>
      <c r="P56" s="2">
        <f>P12/'Output-Calculation-sheet'!P11*'Output-Calculation-sheet'!P47</f>
        <v>8613.2372178525839</v>
      </c>
      <c r="Q56" s="2">
        <f>Q12/'Output-Calculation-sheet'!Q11*'Output-Calculation-sheet'!Q47</f>
        <v>3053.2475734900445</v>
      </c>
      <c r="R56" s="2">
        <f>R12/'Output-Calculation-sheet'!R11*'Output-Calculation-sheet'!R47</f>
        <v>5958.3532134533561</v>
      </c>
      <c r="S56" s="2">
        <f>S12/'Output-Calculation-sheet'!S11*'Output-Calculation-sheet'!S47</f>
        <v>7776.0584827613575</v>
      </c>
      <c r="T56" s="2">
        <f>T12/'Output-Calculation-sheet'!T11*'Output-Calculation-sheet'!T47</f>
        <v>2041.9983526570672</v>
      </c>
      <c r="U56" s="2">
        <f>U12/'Output-Calculation-sheet'!U11*'Output-Calculation-sheet'!U47</f>
        <v>1592.6899138352269</v>
      </c>
      <c r="V56" s="2">
        <f>V12/'Output-Calculation-sheet'!V11*'Output-Calculation-sheet'!V47</f>
        <v>918.09646179885453</v>
      </c>
      <c r="W56" s="2">
        <f>W12/'Output-Calculation-sheet'!W11*'Output-Calculation-sheet'!W47</f>
        <v>791.47658142685623</v>
      </c>
      <c r="X56" s="2">
        <f>X12/'Output-Calculation-sheet'!X11*'Output-Calculation-sheet'!X47</f>
        <v>476.05648885907675</v>
      </c>
      <c r="Y56" s="2">
        <f>Y12/'Output-Calculation-sheet'!Y11*'Output-Calculation-sheet'!Y47</f>
        <v>1019.6251627792188</v>
      </c>
      <c r="AA56" s="2">
        <f t="shared" si="3"/>
        <v>302.31969225785616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6.2590097689089905</v>
      </c>
      <c r="C63" s="2">
        <f>C8*'Output-Calculation-sheet'!C52/10^9</f>
        <v>3.9109198054597623</v>
      </c>
      <c r="D63" s="2">
        <f>D8*'Output-Calculation-sheet'!D52/10^9</f>
        <v>1.787644448218999</v>
      </c>
      <c r="E63" s="2">
        <f>E8*'Output-Calculation-sheet'!E52/10^9</f>
        <v>1.6420656296501277</v>
      </c>
      <c r="F63" s="2">
        <f>F8*'Output-Calculation-sheet'!F52/10^9</f>
        <v>0.86539699576602436</v>
      </c>
      <c r="G63" s="2">
        <f>G8*'Output-Calculation-sheet'!G52/10^9</f>
        <v>0.63998821081343504</v>
      </c>
      <c r="H63" s="2">
        <f>H8*'Output-Calculation-sheet'!H52/10^9</f>
        <v>1.1042179793660527</v>
      </c>
      <c r="I63" s="2">
        <f>I8*'Output-Calculation-sheet'!I52/10^9</f>
        <v>0.59329749746209837</v>
      </c>
      <c r="J63" s="2">
        <f>J8*'Output-Calculation-sheet'!J52/10^9</f>
        <v>0.6031689913530508</v>
      </c>
      <c r="K63" s="2">
        <f>K8*'Output-Calculation-sheet'!K52/10^9</f>
        <v>0.60700895699940038</v>
      </c>
      <c r="L63" s="2">
        <f>L8*'Output-Calculation-sheet'!L52/10^9</f>
        <v>0.49483192537820181</v>
      </c>
      <c r="M63" s="2">
        <f>M8*'Output-Calculation-sheet'!M52/10^9</f>
        <v>0.76452264891032706</v>
      </c>
      <c r="N63" s="2">
        <f>N8*'Output-Calculation-sheet'!N52/10^9</f>
        <v>0.6859758067134909</v>
      </c>
      <c r="O63" s="2">
        <f>O8*'Output-Calculation-sheet'!O52/10^9</f>
        <v>0.74178550235232421</v>
      </c>
      <c r="P63" s="2">
        <f>P8*'Output-Calculation-sheet'!P52/10^9</f>
        <v>0.48865855712610712</v>
      </c>
      <c r="Q63" s="2">
        <f>Q8*'Output-Calculation-sheet'!Q52/10^9</f>
        <v>0.50394779905611131</v>
      </c>
      <c r="R63" s="2">
        <f>R8*'Output-Calculation-sheet'!R52/10^9</f>
        <v>0.41272835232840471</v>
      </c>
      <c r="S63" s="2">
        <f>S8*'Output-Calculation-sheet'!S52/10^9</f>
        <v>0.37950952782254899</v>
      </c>
      <c r="T63" s="2">
        <f>T8*'Output-Calculation-sheet'!T52/10^9</f>
        <v>0.14230126419416553</v>
      </c>
      <c r="U63" s="2">
        <f>U8*'Output-Calculation-sheet'!U52/10^9</f>
        <v>0.12927420266431325</v>
      </c>
      <c r="V63" s="2">
        <f>V8*'Output-Calculation-sheet'!V52/10^9</f>
        <v>9.9889328279270884E-2</v>
      </c>
      <c r="W63" s="2">
        <f>W8*'Output-Calculation-sheet'!W52/10^9</f>
        <v>7.8039112926871476E-2</v>
      </c>
      <c r="X63" s="2">
        <f>X8*'Output-Calculation-sheet'!X52/10^9</f>
        <v>9.2092746710705942E-2</v>
      </c>
      <c r="Y63" s="2">
        <f>Y8*'Output-Calculation-sheet'!Y52/10^9</f>
        <v>5.0728603385843556E-2</v>
      </c>
      <c r="AA63" s="2">
        <f t="shared" si="4"/>
        <v>23.077003661846625</v>
      </c>
    </row>
    <row r="64" spans="1:27" x14ac:dyDescent="0.25">
      <c r="A64" s="2">
        <v>2032</v>
      </c>
      <c r="B64" s="2">
        <f>B9*'Output-Calculation-sheet'!B53/10^9</f>
        <v>7.3169512029706514</v>
      </c>
      <c r="C64" s="2">
        <f>C9*'Output-Calculation-sheet'!C53/10^9</f>
        <v>4.8442966424893754</v>
      </c>
      <c r="D64" s="2">
        <f>D9*'Output-Calculation-sheet'!D53/10^9</f>
        <v>1.7629434805032655</v>
      </c>
      <c r="E64" s="2">
        <f>E9*'Output-Calculation-sheet'!E53/10^9</f>
        <v>1.7211635464813317</v>
      </c>
      <c r="F64" s="2">
        <f>F9*'Output-Calculation-sheet'!F53/10^9</f>
        <v>0.86803889057209738</v>
      </c>
      <c r="G64" s="2">
        <f>G9*'Output-Calculation-sheet'!G53/10^9</f>
        <v>0.63051740375426701</v>
      </c>
      <c r="H64" s="2">
        <f>H9*'Output-Calculation-sheet'!H53/10^9</f>
        <v>1.353576142069723</v>
      </c>
      <c r="I64" s="2">
        <f>I9*'Output-Calculation-sheet'!I53/10^9</f>
        <v>0.58874369630089196</v>
      </c>
      <c r="J64" s="2">
        <f>J9*'Output-Calculation-sheet'!J53/10^9</f>
        <v>0.58764495125757721</v>
      </c>
      <c r="K64" s="2">
        <f>K9*'Output-Calculation-sheet'!K53/10^9</f>
        <v>0.63382467473659931</v>
      </c>
      <c r="L64" s="2">
        <f>L9*'Output-Calculation-sheet'!L53/10^9</f>
        <v>0.52247383207181974</v>
      </c>
      <c r="M64" s="2">
        <f>M9*'Output-Calculation-sheet'!M53/10^9</f>
        <v>0.93782452164693364</v>
      </c>
      <c r="N64" s="2">
        <f>N9*'Output-Calculation-sheet'!N53/10^9</f>
        <v>0.83331806591389124</v>
      </c>
      <c r="O64" s="2">
        <f>O9*'Output-Calculation-sheet'!O53/10^9</f>
        <v>0.89659451462021733</v>
      </c>
      <c r="P64" s="2">
        <f>P9*'Output-Calculation-sheet'!P53/10^9</f>
        <v>0.5668793987303985</v>
      </c>
      <c r="Q64" s="2">
        <f>Q9*'Output-Calculation-sheet'!Q53/10^9</f>
        <v>0.5800748639745944</v>
      </c>
      <c r="R64" s="2">
        <f>R9*'Output-Calculation-sheet'!R53/10^9</f>
        <v>0.45352396462671324</v>
      </c>
      <c r="S64" s="2">
        <f>S9*'Output-Calculation-sheet'!S53/10^9</f>
        <v>0.45900413479637603</v>
      </c>
      <c r="T64" s="2">
        <f>T9*'Output-Calculation-sheet'!T53/10^9</f>
        <v>0.14532836517253017</v>
      </c>
      <c r="U64" s="2">
        <f>U9*'Output-Calculation-sheet'!U53/10^9</f>
        <v>0.14335945291638183</v>
      </c>
      <c r="V64" s="2">
        <f>V9*'Output-Calculation-sheet'!V53/10^9</f>
        <v>0.10666336661300597</v>
      </c>
      <c r="W64" s="2">
        <f>W9*'Output-Calculation-sheet'!W53/10^9</f>
        <v>7.7006391192066773E-2</v>
      </c>
      <c r="X64" s="2">
        <f>X9*'Output-Calculation-sheet'!X53/10^9</f>
        <v>0.11342044536080943</v>
      </c>
      <c r="Y64" s="2">
        <f>Y9*'Output-Calculation-sheet'!Y53/10^9</f>
        <v>5.5508871523268187E-2</v>
      </c>
      <c r="AA64" s="2">
        <f t="shared" si="4"/>
        <v>26.198680820294793</v>
      </c>
    </row>
    <row r="65" spans="1:27" x14ac:dyDescent="0.25">
      <c r="A65" s="2">
        <v>2033</v>
      </c>
      <c r="B65" s="2">
        <f>B10*'Output-Calculation-sheet'!B54/10^9</f>
        <v>8.6013776200409353</v>
      </c>
      <c r="C65" s="2">
        <f>C10*'Output-Calculation-sheet'!C54/10^9</f>
        <v>5.68113061682108</v>
      </c>
      <c r="D65" s="2">
        <f>D10*'Output-Calculation-sheet'!D54/10^9</f>
        <v>1.6522851926317756</v>
      </c>
      <c r="E65" s="2">
        <f>E10*'Output-Calculation-sheet'!E54/10^9</f>
        <v>1.8749569780446949</v>
      </c>
      <c r="F65" s="2">
        <f>F10*'Output-Calculation-sheet'!F54/10^9</f>
        <v>0.8505613356813575</v>
      </c>
      <c r="G65" s="2">
        <f>G10*'Output-Calculation-sheet'!G54/10^9</f>
        <v>0.58702947568020225</v>
      </c>
      <c r="H65" s="2">
        <f>H10*'Output-Calculation-sheet'!H54/10^9</f>
        <v>1.5603094821984744</v>
      </c>
      <c r="I65" s="2">
        <f>I10*'Output-Calculation-sheet'!I54/10^9</f>
        <v>0.57744171158747382</v>
      </c>
      <c r="J65" s="2">
        <f>J10*'Output-Calculation-sheet'!J54/10^9</f>
        <v>0.53255069779984032</v>
      </c>
      <c r="K65" s="2">
        <f>K10*'Output-Calculation-sheet'!K54/10^9</f>
        <v>0.67924414503276243</v>
      </c>
      <c r="L65" s="2">
        <f>L10*'Output-Calculation-sheet'!L54/10^9</f>
        <v>0.56491173867204436</v>
      </c>
      <c r="M65" s="2">
        <f>M10*'Output-Calculation-sheet'!M54/10^9</f>
        <v>1.0812016676664569</v>
      </c>
      <c r="N65" s="2">
        <f>N10*'Output-Calculation-sheet'!N54/10^9</f>
        <v>0.97201956306296544</v>
      </c>
      <c r="O65" s="2">
        <f>O10*'Output-Calculation-sheet'!O54/10^9</f>
        <v>1.0290509080730132</v>
      </c>
      <c r="P65" s="2">
        <f>P10*'Output-Calculation-sheet'!P54/10^9</f>
        <v>0.65593508176734217</v>
      </c>
      <c r="Q65" s="2">
        <f>Q10*'Output-Calculation-sheet'!Q54/10^9</f>
        <v>0.680562484869359</v>
      </c>
      <c r="R65" s="2">
        <f>R10*'Output-Calculation-sheet'!R54/10^9</f>
        <v>0.50853850803834932</v>
      </c>
      <c r="S65" s="2">
        <f>S10*'Output-Calculation-sheet'!S54/10^9</f>
        <v>0.53776397118574382</v>
      </c>
      <c r="T65" s="2">
        <f>T10*'Output-Calculation-sheet'!T54/10^9</f>
        <v>0.15263550148949068</v>
      </c>
      <c r="U65" s="2">
        <f>U10*'Output-Calculation-sheet'!U54/10^9</f>
        <v>0.16503866289017763</v>
      </c>
      <c r="V65" s="2">
        <f>V10*'Output-Calculation-sheet'!V54/10^9</f>
        <v>0.1151751025030293</v>
      </c>
      <c r="W65" s="2">
        <f>W10*'Output-Calculation-sheet'!W54/10^9</f>
        <v>7.204332832068791E-2</v>
      </c>
      <c r="X65" s="2">
        <f>X10*'Output-Calculation-sheet'!X54/10^9</f>
        <v>0.13253349697998884</v>
      </c>
      <c r="Y65" s="2">
        <f>Y10*'Output-Calculation-sheet'!Y54/10^9</f>
        <v>6.3559738625502654E-2</v>
      </c>
      <c r="AA65" s="2">
        <f t="shared" si="4"/>
        <v>29.327857009662754</v>
      </c>
    </row>
    <row r="66" spans="1:27" x14ac:dyDescent="0.25">
      <c r="A66" s="2">
        <v>2034</v>
      </c>
      <c r="B66" s="2">
        <f>B11*'Output-Calculation-sheet'!B55/10^9</f>
        <v>10.036631744796161</v>
      </c>
      <c r="C66" s="2">
        <f>C11*'Output-Calculation-sheet'!C55/10^9</f>
        <v>6.3937918595199665</v>
      </c>
      <c r="D66" s="2">
        <f>D11*'Output-Calculation-sheet'!D55/10^9</f>
        <v>1.8831109204204826</v>
      </c>
      <c r="E66" s="2">
        <f>E11*'Output-Calculation-sheet'!E55/10^9</f>
        <v>2.3219531161033617</v>
      </c>
      <c r="F66" s="2">
        <f>F11*'Output-Calculation-sheet'!F55/10^9</f>
        <v>0.9299385943383226</v>
      </c>
      <c r="G66" s="2">
        <f>G11*'Output-Calculation-sheet'!G55/10^9</f>
        <v>0.66979588816863489</v>
      </c>
      <c r="H66" s="2">
        <f>H11*'Output-Calculation-sheet'!H55/10^9</f>
        <v>1.7644222700888397</v>
      </c>
      <c r="I66" s="2">
        <f>I11*'Output-Calculation-sheet'!I55/10^9</f>
        <v>0.65839783729680779</v>
      </c>
      <c r="J66" s="2">
        <f>J11*'Output-Calculation-sheet'!J55/10^9</f>
        <v>0.58087890737529657</v>
      </c>
      <c r="K66" s="2">
        <f>K11*'Output-Calculation-sheet'!K55/10^9</f>
        <v>0.77629442619348021</v>
      </c>
      <c r="L66" s="2">
        <f>L11*'Output-Calculation-sheet'!L55/10^9</f>
        <v>0.67996647074432393</v>
      </c>
      <c r="M66" s="2">
        <f>M11*'Output-Calculation-sheet'!M55/10^9</f>
        <v>1.2251671535328081</v>
      </c>
      <c r="N66" s="2">
        <f>N11*'Output-Calculation-sheet'!N55/10^9</f>
        <v>1.0968036703516544</v>
      </c>
      <c r="O66" s="2">
        <f>O11*'Output-Calculation-sheet'!O55/10^9</f>
        <v>1.1378834698794629</v>
      </c>
      <c r="P66" s="2">
        <f>P11*'Output-Calculation-sheet'!P55/10^9</f>
        <v>0.77091933651558986</v>
      </c>
      <c r="Q66" s="2">
        <f>Q11*'Output-Calculation-sheet'!Q55/10^9</f>
        <v>0.80029298508893454</v>
      </c>
      <c r="R66" s="2">
        <f>R11*'Output-Calculation-sheet'!R55/10^9</f>
        <v>0.58342520327859881</v>
      </c>
      <c r="S66" s="2">
        <f>S11*'Output-Calculation-sheet'!S55/10^9</f>
        <v>0.61783375723535727</v>
      </c>
      <c r="T66" s="2">
        <f>T11*'Output-Calculation-sheet'!T55/10^9</f>
        <v>0.17176230617266519</v>
      </c>
      <c r="U66" s="2">
        <f>U11*'Output-Calculation-sheet'!U55/10^9</f>
        <v>0.19837399583913978</v>
      </c>
      <c r="V66" s="2">
        <f>V11*'Output-Calculation-sheet'!V55/10^9</f>
        <v>0.12829761583713004</v>
      </c>
      <c r="W66" s="2">
        <f>W11*'Output-Calculation-sheet'!W55/10^9</f>
        <v>7.8164209241621804E-2</v>
      </c>
      <c r="X66" s="2">
        <f>X11*'Output-Calculation-sheet'!X55/10^9</f>
        <v>0.14918601323845915</v>
      </c>
      <c r="Y66" s="2">
        <f>Y11*'Output-Calculation-sheet'!Y55/10^9</f>
        <v>8.1048640726001694E-2</v>
      </c>
      <c r="AA66" s="2">
        <f t="shared" si="4"/>
        <v>33.734340391983103</v>
      </c>
    </row>
    <row r="67" spans="1:27" x14ac:dyDescent="0.25">
      <c r="A67" s="2">
        <v>2035</v>
      </c>
      <c r="B67" s="2">
        <f>B12*'Output-Calculation-sheet'!B56/10^9</f>
        <v>11.423670317823689</v>
      </c>
      <c r="C67" s="2">
        <f>C12*'Output-Calculation-sheet'!C56/10^9</f>
        <v>6.9669641138462657</v>
      </c>
      <c r="D67" s="2">
        <f>D12*'Output-Calculation-sheet'!D56/10^9</f>
        <v>2.3235861829594353</v>
      </c>
      <c r="E67" s="2">
        <f>E12*'Output-Calculation-sheet'!E56/10^9</f>
        <v>3.1416507163819496</v>
      </c>
      <c r="F67" s="2">
        <f>F12*'Output-Calculation-sheet'!F56/10^9</f>
        <v>1.2458043955421376</v>
      </c>
      <c r="G67" s="2">
        <f>G12*'Output-Calculation-sheet'!G56/10^9</f>
        <v>0.90424191572567048</v>
      </c>
      <c r="H67" s="2">
        <f>H12*'Output-Calculation-sheet'!H56/10^9</f>
        <v>1.9711442314498484</v>
      </c>
      <c r="I67" s="2">
        <f>I12*'Output-Calculation-sheet'!I56/10^9</f>
        <v>0.85417585781295791</v>
      </c>
      <c r="J67" s="2">
        <f>J12*'Output-Calculation-sheet'!J56/10^9</f>
        <v>0.7053631625937874</v>
      </c>
      <c r="K67" s="2">
        <f>K12*'Output-Calculation-sheet'!K56/10^9</f>
        <v>0.95368467985931837</v>
      </c>
      <c r="L67" s="2">
        <f>L12*'Output-Calculation-sheet'!L56/10^9</f>
        <v>0.82291677834491006</v>
      </c>
      <c r="M67" s="2">
        <f>M12*'Output-Calculation-sheet'!M56/10^9</f>
        <v>1.3813719904254231</v>
      </c>
      <c r="N67" s="2">
        <f>N12*'Output-Calculation-sheet'!N56/10^9</f>
        <v>1.2091894630303146</v>
      </c>
      <c r="O67" s="2">
        <f>O12*'Output-Calculation-sheet'!O56/10^9</f>
        <v>1.2237713601287816</v>
      </c>
      <c r="P67" s="2">
        <f>P12*'Output-Calculation-sheet'!P56/10^9</f>
        <v>0.96352217899570469</v>
      </c>
      <c r="Q67" s="2">
        <f>Q12*'Output-Calculation-sheet'!Q56/10^9</f>
        <v>0.90322483918839525</v>
      </c>
      <c r="R67" s="2">
        <f>R12*'Output-Calculation-sheet'!R56/10^9</f>
        <v>0.70962157213550703</v>
      </c>
      <c r="S67" s="2">
        <f>S12*'Output-Calculation-sheet'!S56/10^9</f>
        <v>0.68821826061686897</v>
      </c>
      <c r="T67" s="2">
        <f>T12*'Output-Calculation-sheet'!T56/10^9</f>
        <v>0.21814131684727142</v>
      </c>
      <c r="U67" s="2">
        <f>U12*'Output-Calculation-sheet'!U56/10^9</f>
        <v>0.23522410339479682</v>
      </c>
      <c r="V67" s="2">
        <f>V12*'Output-Calculation-sheet'!V56/10^9</f>
        <v>0.14833247384527062</v>
      </c>
      <c r="W67" s="2">
        <f>W12*'Output-Calculation-sheet'!W56/10^9</f>
        <v>0.11540981879400294</v>
      </c>
      <c r="X67" s="2">
        <f>X12*'Output-Calculation-sheet'!X56/10^9</f>
        <v>0.16907742654665422</v>
      </c>
      <c r="Y67" s="2">
        <f>Y12*'Output-Calculation-sheet'!Y56/10^9</f>
        <v>0.10836731365661388</v>
      </c>
      <c r="AA67" s="2">
        <f t="shared" si="4"/>
        <v>39.386674469945582</v>
      </c>
    </row>
    <row r="68" spans="1:27" x14ac:dyDescent="0.25">
      <c r="B68" s="2">
        <f>SUM(B60:B67)</f>
        <v>43.637640654540434</v>
      </c>
      <c r="C68" s="2">
        <f t="shared" ref="C68:Y68" si="5">SUM(C60:C67)</f>
        <v>27.797103038136449</v>
      </c>
      <c r="D68" s="2">
        <f t="shared" si="5"/>
        <v>9.4095702247339581</v>
      </c>
      <c r="E68" s="2">
        <f t="shared" si="5"/>
        <v>10.701789986661465</v>
      </c>
      <c r="F68" s="2">
        <f t="shared" si="5"/>
        <v>4.7597402118999392</v>
      </c>
      <c r="G68" s="2">
        <f t="shared" si="5"/>
        <v>3.4315728941422092</v>
      </c>
      <c r="H68" s="2">
        <f t="shared" si="5"/>
        <v>7.7536701051729384</v>
      </c>
      <c r="I68" s="2">
        <f t="shared" si="5"/>
        <v>3.2720566004602301</v>
      </c>
      <c r="J68" s="2">
        <f t="shared" si="5"/>
        <v>3.0096067103795523</v>
      </c>
      <c r="K68" s="2">
        <f t="shared" si="5"/>
        <v>3.6500568828215609</v>
      </c>
      <c r="L68" s="2">
        <f t="shared" si="5"/>
        <v>3.0851007452113</v>
      </c>
      <c r="M68" s="2">
        <f t="shared" si="5"/>
        <v>5.3900879821819494</v>
      </c>
      <c r="N68" s="2">
        <f t="shared" si="5"/>
        <v>4.7973065690723171</v>
      </c>
      <c r="O68" s="2">
        <f t="shared" si="5"/>
        <v>5.0290857550537993</v>
      </c>
      <c r="P68" s="2">
        <f t="shared" si="5"/>
        <v>3.4459145531351423</v>
      </c>
      <c r="Q68" s="2">
        <f t="shared" si="5"/>
        <v>3.4681029721773946</v>
      </c>
      <c r="R68" s="2">
        <f t="shared" si="5"/>
        <v>2.667837600407573</v>
      </c>
      <c r="S68" s="2">
        <f t="shared" si="5"/>
        <v>2.6823296516568949</v>
      </c>
      <c r="T68" s="2">
        <f t="shared" si="5"/>
        <v>0.83016875387612299</v>
      </c>
      <c r="U68" s="2">
        <f t="shared" si="5"/>
        <v>0.8712704177048094</v>
      </c>
      <c r="V68" s="2">
        <f t="shared" si="5"/>
        <v>0.59835788707770676</v>
      </c>
      <c r="W68" s="2">
        <f t="shared" si="5"/>
        <v>0.42066286047525092</v>
      </c>
      <c r="X68" s="2">
        <f t="shared" si="5"/>
        <v>0.65631012883661755</v>
      </c>
      <c r="Y68" s="2">
        <f t="shared" si="5"/>
        <v>0.35921316791723001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1732.9972919054005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1168.9972654145333</v>
      </c>
      <c r="N74" s="2">
        <f>N8/'Output-Calculation-sheet'!N7*'Output-Calculation-sheet'!N61</f>
        <v>48.593099262138132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10.373404257878107</v>
      </c>
      <c r="Y74" s="2">
        <f>Y8/'Output-Calculation-sheet'!Y7*'Output-Calculation-sheet'!Y61</f>
        <v>0</v>
      </c>
      <c r="AA74" s="2">
        <f t="shared" si="6"/>
        <v>2.9609610608399497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68.230085464778526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3117.3359321373746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2112.3228427941799</v>
      </c>
      <c r="N75" s="2">
        <f>N9/'Output-Calculation-sheet'!N8*'Output-Calculation-sheet'!N62</f>
        <v>813.16120604951266</v>
      </c>
      <c r="O75" s="2">
        <f>O9/'Output-Calculation-sheet'!O8*'Output-Calculation-sheet'!O62</f>
        <v>0</v>
      </c>
      <c r="P75" s="2">
        <f>P9/'Output-Calculation-sheet'!P8*'Output-Calculation-sheet'!P62</f>
        <v>52.896876164605565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273.30382792756291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74.173494373845841</v>
      </c>
      <c r="Y75" s="2">
        <f>Y9/'Output-Calculation-sheet'!Y8*'Output-Calculation-sheet'!Y62</f>
        <v>0</v>
      </c>
      <c r="AA75" s="2">
        <f t="shared" si="6"/>
        <v>6.5114242649118594</v>
      </c>
    </row>
    <row r="76" spans="1:27" x14ac:dyDescent="0.25">
      <c r="A76" s="2">
        <v>2033</v>
      </c>
      <c r="B76" s="2">
        <f>B10/'Output-Calculation-sheet'!B9*'Output-Calculation-sheet'!B63</f>
        <v>7050.9630974317088</v>
      </c>
      <c r="C76" s="2">
        <f>C10/'Output-Calculation-sheet'!C9*'Output-Calculation-sheet'!C63</f>
        <v>2071.4229946704913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4620.2351689865955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3142.589064975723</v>
      </c>
      <c r="N76" s="2">
        <f>N10/'Output-Calculation-sheet'!N9*'Output-Calculation-sheet'!N63</f>
        <v>1795.2178088623514</v>
      </c>
      <c r="O76" s="2">
        <f>O10/'Output-Calculation-sheet'!O9*'Output-Calculation-sheet'!O63</f>
        <v>0</v>
      </c>
      <c r="P76" s="2">
        <f>P10/'Output-Calculation-sheet'!P9*'Output-Calculation-sheet'!P63</f>
        <v>618.88440527068724</v>
      </c>
      <c r="Q76" s="2">
        <f>Q10/'Output-Calculation-sheet'!Q9*'Output-Calculation-sheet'!Q63</f>
        <v>278.63062616985587</v>
      </c>
      <c r="R76" s="2">
        <f>R10/'Output-Calculation-sheet'!R9*'Output-Calculation-sheet'!R63</f>
        <v>471.66499541166246</v>
      </c>
      <c r="S76" s="2">
        <f>S10/'Output-Calculation-sheet'!S9*'Output-Calculation-sheet'!S63</f>
        <v>798.18679385429516</v>
      </c>
      <c r="T76" s="2">
        <f>T10/'Output-Calculation-sheet'!T9*'Output-Calculation-sheet'!T63</f>
        <v>31.00237915024881</v>
      </c>
      <c r="U76" s="2">
        <f>U10/'Output-Calculation-sheet'!U9*'Output-Calculation-sheet'!U63</f>
        <v>167.43798808203394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180.18763591771426</v>
      </c>
      <c r="Y76" s="2">
        <f>Y10/'Output-Calculation-sheet'!Y9*'Output-Calculation-sheet'!Y63</f>
        <v>7.9496801238216195</v>
      </c>
      <c r="AA76" s="2">
        <f t="shared" si="6"/>
        <v>21.364514368031976</v>
      </c>
    </row>
    <row r="77" spans="1:27" x14ac:dyDescent="0.25">
      <c r="A77" s="2">
        <v>2034</v>
      </c>
      <c r="B77" s="2">
        <f>B11/'Output-Calculation-sheet'!B10*'Output-Calculation-sheet'!B64</f>
        <v>15641.651338671532</v>
      </c>
      <c r="C77" s="2">
        <f>C11/'Output-Calculation-sheet'!C10*'Output-Calculation-sheet'!C64</f>
        <v>4266.3521075629687</v>
      </c>
      <c r="D77" s="2">
        <f>D11/'Output-Calculation-sheet'!D10*'Output-Calculation-sheet'!D64</f>
        <v>1890.0831025837761</v>
      </c>
      <c r="E77" s="2">
        <f>E11/'Output-Calculation-sheet'!E10*'Output-Calculation-sheet'!E64</f>
        <v>2746.265782976981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5681.6700766216163</v>
      </c>
      <c r="I77" s="2">
        <f>I11/'Output-Calculation-sheet'!I10*'Output-Calculation-sheet'!I64</f>
        <v>685.61720363132406</v>
      </c>
      <c r="J77" s="2">
        <f>J11/'Output-Calculation-sheet'!J10*'Output-Calculation-sheet'!J64</f>
        <v>377.16708852141591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272.33983715474994</v>
      </c>
      <c r="M77" s="2">
        <f>M11/'Output-Calculation-sheet'!M10*'Output-Calculation-sheet'!M64</f>
        <v>3966.3366403494874</v>
      </c>
      <c r="N77" s="2">
        <f>N11/'Output-Calculation-sheet'!N10*'Output-Calculation-sheet'!N64</f>
        <v>2746.3043507068569</v>
      </c>
      <c r="O77" s="2">
        <f>O11/'Output-Calculation-sheet'!O10*'Output-Calculation-sheet'!O64</f>
        <v>0</v>
      </c>
      <c r="P77" s="2">
        <f>P11/'Output-Calculation-sheet'!P10*'Output-Calculation-sheet'!P64</f>
        <v>1297.297276100215</v>
      </c>
      <c r="Q77" s="2">
        <f>Q11/'Output-Calculation-sheet'!Q10*'Output-Calculation-sheet'!Q64</f>
        <v>531.71700023907749</v>
      </c>
      <c r="R77" s="2">
        <f>R11/'Output-Calculation-sheet'!R10*'Output-Calculation-sheet'!R64</f>
        <v>1102.8567954312196</v>
      </c>
      <c r="S77" s="2">
        <f>S11/'Output-Calculation-sheet'!S10*'Output-Calculation-sheet'!S64</f>
        <v>1192.1313892102119</v>
      </c>
      <c r="T77" s="2">
        <f>T11/'Output-Calculation-sheet'!T10*'Output-Calculation-sheet'!T64</f>
        <v>305.11990654369936</v>
      </c>
      <c r="U77" s="2">
        <f>U11/'Output-Calculation-sheet'!U10*'Output-Calculation-sheet'!U64</f>
        <v>332.07866764338803</v>
      </c>
      <c r="V77" s="2">
        <f>V11/'Output-Calculation-sheet'!V10*'Output-Calculation-sheet'!V64</f>
        <v>159.19154305835573</v>
      </c>
      <c r="W77" s="2">
        <f>W11/'Output-Calculation-sheet'!W10*'Output-Calculation-sheet'!W64</f>
        <v>34.600463033087607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101.23240847955348</v>
      </c>
      <c r="AA77" s="2">
        <f t="shared" si="6"/>
        <v>45.900787346932766</v>
      </c>
    </row>
    <row r="78" spans="1:27" x14ac:dyDescent="0.25">
      <c r="A78" s="2">
        <v>2035</v>
      </c>
      <c r="B78" s="2">
        <f>B12/'Output-Calculation-sheet'!B11*'Output-Calculation-sheet'!B65</f>
        <v>18622.089936623735</v>
      </c>
      <c r="C78" s="2">
        <f>C12/'Output-Calculation-sheet'!C11*'Output-Calculation-sheet'!C65</f>
        <v>7871.2090796894881</v>
      </c>
      <c r="D78" s="2">
        <f>D12/'Output-Calculation-sheet'!D11*'Output-Calculation-sheet'!D65</f>
        <v>2007.8269568098374</v>
      </c>
      <c r="E78" s="2">
        <f>E12/'Output-Calculation-sheet'!E11*'Output-Calculation-sheet'!E65</f>
        <v>3854.1512327939417</v>
      </c>
      <c r="F78" s="2">
        <f>F12/'Output-Calculation-sheet'!F11*'Output-Calculation-sheet'!F65</f>
        <v>839.7987797195276</v>
      </c>
      <c r="G78" s="2">
        <f>G12/'Output-Calculation-sheet'!G11*'Output-Calculation-sheet'!G65</f>
        <v>1544.5211671394813</v>
      </c>
      <c r="H78" s="2">
        <f>H12/'Output-Calculation-sheet'!H11*'Output-Calculation-sheet'!H65</f>
        <v>5936.7196670187786</v>
      </c>
      <c r="I78" s="2">
        <f>I12/'Output-Calculation-sheet'!I11*'Output-Calculation-sheet'!I65</f>
        <v>983.71818620984061</v>
      </c>
      <c r="J78" s="2">
        <f>J12/'Output-Calculation-sheet'!J11*'Output-Calculation-sheet'!J65</f>
        <v>421.36078804065568</v>
      </c>
      <c r="K78" s="2">
        <f>K12/'Output-Calculation-sheet'!K11*'Output-Calculation-sheet'!K65</f>
        <v>1254.9408767821471</v>
      </c>
      <c r="L78" s="2">
        <f>L12/'Output-Calculation-sheet'!L11*'Output-Calculation-sheet'!L65</f>
        <v>363.30595465948801</v>
      </c>
      <c r="M78" s="2">
        <f>M12/'Output-Calculation-sheet'!M11*'Output-Calculation-sheet'!M65</f>
        <v>4176.27340927351</v>
      </c>
      <c r="N78" s="2">
        <f>N12/'Output-Calculation-sheet'!N11*'Output-Calculation-sheet'!N65</f>
        <v>2932.0651337918121</v>
      </c>
      <c r="O78" s="2">
        <f>O12/'Output-Calculation-sheet'!O11*'Output-Calculation-sheet'!O65</f>
        <v>0</v>
      </c>
      <c r="P78" s="2">
        <f>P12/'Output-Calculation-sheet'!P11*'Output-Calculation-sheet'!P65</f>
        <v>1657.1370843093632</v>
      </c>
      <c r="Q78" s="2">
        <f>Q12/'Output-Calculation-sheet'!Q11*'Output-Calculation-sheet'!Q65</f>
        <v>656.22631306318863</v>
      </c>
      <c r="R78" s="2">
        <f>R12/'Output-Calculation-sheet'!R11*'Output-Calculation-sheet'!R65</f>
        <v>1303.8295908154494</v>
      </c>
      <c r="S78" s="2">
        <f>S12/'Output-Calculation-sheet'!S11*'Output-Calculation-sheet'!S65</f>
        <v>1358.0249052402442</v>
      </c>
      <c r="T78" s="2">
        <f>T12/'Output-Calculation-sheet'!T11*'Output-Calculation-sheet'!T65</f>
        <v>465.39079641559601</v>
      </c>
      <c r="U78" s="2">
        <f>U12/'Output-Calculation-sheet'!U11*'Output-Calculation-sheet'!U65</f>
        <v>346.13986052518464</v>
      </c>
      <c r="V78" s="2">
        <f>V12/'Output-Calculation-sheet'!V11*'Output-Calculation-sheet'!V65</f>
        <v>178.16499612072462</v>
      </c>
      <c r="W78" s="2">
        <f>W12/'Output-Calculation-sheet'!W11*'Output-Calculation-sheet'!W65</f>
        <v>177.72575389868359</v>
      </c>
      <c r="X78" s="2">
        <f>X12/'Output-Calculation-sheet'!X11*'Output-Calculation-sheet'!X65</f>
        <v>92.772523745271073</v>
      </c>
      <c r="Y78" s="2">
        <f>Y12/'Output-Calculation-sheet'!Y11*'Output-Calculation-sheet'!Y65</f>
        <v>160.92281561458722</v>
      </c>
      <c r="AA78" s="2">
        <f t="shared" si="6"/>
        <v>57.204315808300521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445.12274590903041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258.3830837277219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0.70350582963675234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1587.027911201347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396.57366924701478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1.9836015804483618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2923.1339969873206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531.0411601078157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3.4541751570951367</v>
      </c>
    </row>
    <row r="88" spans="1:27" x14ac:dyDescent="0.25">
      <c r="A88" s="2">
        <v>2034</v>
      </c>
      <c r="B88" s="2">
        <f>B11/'Output-Calculation-sheet'!B10*'Output-Calculation-sheet'!B73</f>
        <v>158.53102907635926</v>
      </c>
      <c r="C88" s="2">
        <f>C11/'Output-Calculation-sheet'!C10*'Output-Calculation-sheet'!C73</f>
        <v>3440.6341199172271</v>
      </c>
      <c r="D88" s="2">
        <f>D11/'Output-Calculation-sheet'!D10*'Output-Calculation-sheet'!D73</f>
        <v>12.118519698677447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56.852117529803238</v>
      </c>
      <c r="I88" s="2">
        <f>I11/'Output-Calculation-sheet'!I10*'Output-Calculation-sheet'!I73</f>
        <v>0</v>
      </c>
      <c r="J88" s="2">
        <f>J11/'Output-Calculation-sheet'!J10*'Output-Calculation-sheet'!J73</f>
        <v>3.8696305834337852</v>
      </c>
      <c r="K88" s="2">
        <f>K11/'Output-Calculation-sheet'!K10*'Output-Calculation-sheet'!K73</f>
        <v>0</v>
      </c>
      <c r="L88" s="2">
        <f>L11/'Output-Calculation-sheet'!L10*'Output-Calculation-sheet'!L73</f>
        <v>9.1671707719454218</v>
      </c>
      <c r="M88" s="2">
        <f>M11/'Output-Calculation-sheet'!M10*'Output-Calculation-sheet'!M73</f>
        <v>27.528740886957145</v>
      </c>
      <c r="N88" s="2">
        <f>N11/'Output-Calculation-sheet'!N10*'Output-Calculation-sheet'!N73</f>
        <v>14.240151484248678</v>
      </c>
      <c r="O88" s="2">
        <f>O11/'Output-Calculation-sheet'!O10*'Output-Calculation-sheet'!O73</f>
        <v>649.81550117513609</v>
      </c>
      <c r="P88" s="2">
        <f>P11/'Output-Calculation-sheet'!P10*'Output-Calculation-sheet'!P73</f>
        <v>0</v>
      </c>
      <c r="Q88" s="2">
        <f>Q11/'Output-Calculation-sheet'!Q10*'Output-Calculation-sheet'!Q73</f>
        <v>43.667935341675125</v>
      </c>
      <c r="R88" s="2">
        <f>R11/'Output-Calculation-sheet'!R10*'Output-Calculation-sheet'!R73</f>
        <v>0</v>
      </c>
      <c r="S88" s="2">
        <f>S11/'Output-Calculation-sheet'!S10*'Output-Calculation-sheet'!S73</f>
        <v>20.407366062493956</v>
      </c>
      <c r="T88" s="2">
        <f>T11/'Output-Calculation-sheet'!T10*'Output-Calculation-sheet'!T73</f>
        <v>0</v>
      </c>
      <c r="U88" s="2">
        <f>U11/'Output-Calculation-sheet'!U10*'Output-Calculation-sheet'!U73</f>
        <v>3.9807705718531254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4.4408130530998093</v>
      </c>
    </row>
    <row r="89" spans="1:27" x14ac:dyDescent="0.25">
      <c r="A89" s="2">
        <v>2035</v>
      </c>
      <c r="B89" s="2">
        <f>B12/'Output-Calculation-sheet'!B11*'Output-Calculation-sheet'!B74</f>
        <v>913.39061180482986</v>
      </c>
      <c r="C89" s="2">
        <f>C12/'Output-Calculation-sheet'!C11*'Output-Calculation-sheet'!C74</f>
        <v>3740.8263541718679</v>
      </c>
      <c r="D89" s="2">
        <f>D12/'Output-Calculation-sheet'!D11*'Output-Calculation-sheet'!D74</f>
        <v>173.42866024399899</v>
      </c>
      <c r="E89" s="2">
        <f>E12/'Output-Calculation-sheet'!E11*'Output-Calculation-sheet'!E74</f>
        <v>231.35697492274943</v>
      </c>
      <c r="F89" s="2">
        <f>F12/'Output-Calculation-sheet'!F11*'Output-Calculation-sheet'!F74</f>
        <v>74.301763664030801</v>
      </c>
      <c r="G89" s="2">
        <f>G12/'Output-Calculation-sheet'!G11*'Output-Calculation-sheet'!G74</f>
        <v>71.100321299973245</v>
      </c>
      <c r="H89" s="2">
        <f>H12/'Output-Calculation-sheet'!H11*'Output-Calculation-sheet'!H74</f>
        <v>277.66161900531819</v>
      </c>
      <c r="I89" s="2">
        <f>I12/'Output-Calculation-sheet'!I11*'Output-Calculation-sheet'!I74</f>
        <v>59.953448790928057</v>
      </c>
      <c r="J89" s="2">
        <f>J12/'Output-Calculation-sheet'!J11*'Output-Calculation-sheet'!J74</f>
        <v>47.467243601003247</v>
      </c>
      <c r="K89" s="2">
        <f>K12/'Output-Calculation-sheet'!K11*'Output-Calculation-sheet'!K74</f>
        <v>62.853010085798878</v>
      </c>
      <c r="L89" s="2">
        <f>L12/'Output-Calculation-sheet'!L11*'Output-Calculation-sheet'!L74</f>
        <v>65.595888967360779</v>
      </c>
      <c r="M89" s="2">
        <f>M12/'Output-Calculation-sheet'!M11*'Output-Calculation-sheet'!M74</f>
        <v>174.76642993096027</v>
      </c>
      <c r="N89" s="2">
        <f>N12/'Output-Calculation-sheet'!N11*'Output-Calculation-sheet'!N74</f>
        <v>106.26267140494816</v>
      </c>
      <c r="O89" s="2">
        <f>O12/'Output-Calculation-sheet'!O11*'Output-Calculation-sheet'!O74</f>
        <v>757.98160695249555</v>
      </c>
      <c r="P89" s="2">
        <f>P12/'Output-Calculation-sheet'!P11*'Output-Calculation-sheet'!P74</f>
        <v>61.859314913539237</v>
      </c>
      <c r="Q89" s="2">
        <f>Q12/'Output-Calculation-sheet'!Q11*'Output-Calculation-sheet'!Q74</f>
        <v>104.58074395412851</v>
      </c>
      <c r="R89" s="2">
        <f>R12/'Output-Calculation-sheet'!R11*'Output-Calculation-sheet'!R74</f>
        <v>43.002336925793699</v>
      </c>
      <c r="S89" s="2">
        <f>S12/'Output-Calculation-sheet'!S11*'Output-Calculation-sheet'!S74</f>
        <v>66.754445607995351</v>
      </c>
      <c r="T89" s="2">
        <f>T12/'Output-Calculation-sheet'!T11*'Output-Calculation-sheet'!T74</f>
        <v>10.762136139118365</v>
      </c>
      <c r="U89" s="2">
        <f>U12/'Output-Calculation-sheet'!U11*'Output-Calculation-sheet'!U74</f>
        <v>20.752985591618948</v>
      </c>
      <c r="V89" s="2">
        <f>V12/'Output-Calculation-sheet'!V11*'Output-Calculation-sheet'!V74</f>
        <v>7.8442964952055245</v>
      </c>
      <c r="W89" s="2">
        <f>W12/'Output-Calculation-sheet'!W11*'Output-Calculation-sheet'!W74</f>
        <v>5.9775093688262402</v>
      </c>
      <c r="X89" s="2">
        <f>X12/'Output-Calculation-sheet'!X11*'Output-Calculation-sheet'!X74</f>
        <v>4.2243920513092137</v>
      </c>
      <c r="Y89" s="2">
        <f>Y12/'Output-Calculation-sheet'!Y11*'Output-Calculation-sheet'!Y74</f>
        <v>7.8396521819100329</v>
      </c>
      <c r="AA89" s="2">
        <f t="shared" si="7"/>
        <v>7.0905444180757078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14151182111.056194</v>
      </c>
      <c r="C96" s="2">
        <f>C8/'Output-Calculation-sheet'!C7*'Output-Calculation-sheet'!C79</f>
        <v>4787418479.5185604</v>
      </c>
      <c r="D96" s="2">
        <f>D8/'Output-Calculation-sheet'!D7*'Output-Calculation-sheet'!D79</f>
        <v>4997724191.5866289</v>
      </c>
      <c r="E96" s="2">
        <f>E8/'Output-Calculation-sheet'!E7*'Output-Calculation-sheet'!E79</f>
        <v>8885541861.5059624</v>
      </c>
      <c r="F96" s="2">
        <f>F8/'Output-Calculation-sheet'!F7*'Output-Calculation-sheet'!F79</f>
        <v>3677637384.1198893</v>
      </c>
      <c r="G96" s="2">
        <f>G8/'Output-Calculation-sheet'!G7*'Output-Calculation-sheet'!G79</f>
        <v>2864583370.7153583</v>
      </c>
      <c r="H96" s="2">
        <f>H8/'Output-Calculation-sheet'!H7*'Output-Calculation-sheet'!H79</f>
        <v>2451925088.3424778</v>
      </c>
      <c r="I96" s="2">
        <f>I8/'Output-Calculation-sheet'!I7*'Output-Calculation-sheet'!I79</f>
        <v>1995481914.8955114</v>
      </c>
      <c r="J96" s="2">
        <f>J8/'Output-Calculation-sheet'!J7*'Output-Calculation-sheet'!J79</f>
        <v>1349392616.3345456</v>
      </c>
      <c r="K96" s="2">
        <f>K8/'Output-Calculation-sheet'!K7*'Output-Calculation-sheet'!K79</f>
        <v>1930581160.0598557</v>
      </c>
      <c r="L96" s="2">
        <f>L8/'Output-Calculation-sheet'!L7*'Output-Calculation-sheet'!L79</f>
        <v>1362219666.5754061</v>
      </c>
      <c r="M96" s="2">
        <f>M8/'Output-Calculation-sheet'!M7*'Output-Calculation-sheet'!M79</f>
        <v>1830312511.7610514</v>
      </c>
      <c r="N96" s="2">
        <f>N8/'Output-Calculation-sheet'!N7*'Output-Calculation-sheet'!N79</f>
        <v>1361896298.447665</v>
      </c>
      <c r="O96" s="2">
        <f>O8/'Output-Calculation-sheet'!O7*'Output-Calculation-sheet'!O79</f>
        <v>688484022.55215931</v>
      </c>
      <c r="P96" s="2">
        <f>P8/'Output-Calculation-sheet'!P7*'Output-Calculation-sheet'!P79</f>
        <v>2302849598.0978856</v>
      </c>
      <c r="Q96" s="2">
        <f>Q8/'Output-Calculation-sheet'!Q7*'Output-Calculation-sheet'!Q79</f>
        <v>1073224608.9623525</v>
      </c>
      <c r="R96" s="2">
        <f>R8/'Output-Calculation-sheet'!R7*'Output-Calculation-sheet'!R79</f>
        <v>1338977557.6691365</v>
      </c>
      <c r="S96" s="2">
        <f>S8/'Output-Calculation-sheet'!S7*'Output-Calculation-sheet'!S79</f>
        <v>780198935.30752051</v>
      </c>
      <c r="T96" s="2">
        <f>T8/'Output-Calculation-sheet'!T7*'Output-Calculation-sheet'!T79</f>
        <v>595889599.40137196</v>
      </c>
      <c r="U96" s="2">
        <f>U8/'Output-Calculation-sheet'!U7*'Output-Calculation-sheet'!U79</f>
        <v>374323256.68365175</v>
      </c>
      <c r="V96" s="2">
        <f>V8/'Output-Calculation-sheet'!V7*'Output-Calculation-sheet'!V79</f>
        <v>194217552.92361641</v>
      </c>
      <c r="W96" s="2">
        <f>W8/'Output-Calculation-sheet'!W7*'Output-Calculation-sheet'!W79</f>
        <v>573901845.34709203</v>
      </c>
      <c r="X96" s="2">
        <f>X8/'Output-Calculation-sheet'!X7*'Output-Calculation-sheet'!X79</f>
        <v>201709139.78179845</v>
      </c>
      <c r="Y96" s="2">
        <f>Y8/'Output-Calculation-sheet'!Y7*'Output-Calculation-sheet'!Y79</f>
        <v>315470343.7597667</v>
      </c>
      <c r="AA96" s="2">
        <f t="shared" si="8"/>
        <v>60.085143115405451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1238.8355940359761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38.382168994335274</v>
      </c>
      <c r="Y107" s="2">
        <f>Y8/'Output-Calculation-sheet'!Y7*'Output-Calculation-sheet'!Y88</f>
        <v>0</v>
      </c>
      <c r="AA107" s="2">
        <f t="shared" si="9"/>
        <v>1.2772177630303112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932.83319971376886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54.19024377706382</v>
      </c>
      <c r="Y108" s="2">
        <f>Y9/'Output-Calculation-sheet'!Y8*'Output-Calculation-sheet'!Y89</f>
        <v>0</v>
      </c>
      <c r="AA108" s="2">
        <f t="shared" si="9"/>
        <v>0.98702344349083271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5.8503120567454353E-2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9.7910286334814425E-2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150.12839443883513</v>
      </c>
      <c r="Y111" s="2">
        <f>Y12/'Output-Calculation-sheet'!Y11*'Output-Calculation-sheet'!Y92</f>
        <v>0</v>
      </c>
      <c r="AA111" s="2">
        <f t="shared" si="9"/>
        <v>0.15012839443883513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13851469043.238096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8507955273.471302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5869767345.6173868</v>
      </c>
      <c r="N118" s="2">
        <f>N8/'Output-Calculation-sheet'!N7*'Output-Calculation-sheet'!N97</f>
        <v>1966937547.3593965</v>
      </c>
      <c r="O118" s="2">
        <f>O8/'Output-Calculation-sheet'!O7*'Output-Calculation-sheet'!O97</f>
        <v>3367312942.910604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588851585.79843295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319611187.41676122</v>
      </c>
      <c r="Y118" s="2">
        <f>Y8/'Output-Calculation-sheet'!Y7*'Output-Calculation-sheet'!Y97</f>
        <v>0</v>
      </c>
      <c r="AA118" s="2">
        <f t="shared" si="10"/>
        <v>36127.662757597362</v>
      </c>
    </row>
    <row r="119" spans="1:27" x14ac:dyDescent="0.25">
      <c r="A119" s="2">
        <v>2032</v>
      </c>
      <c r="B119" s="2">
        <f>B9/'Output-Calculation-sheet'!B8*'Output-Calculation-sheet'!B98</f>
        <v>7680376364.0919638</v>
      </c>
      <c r="C119" s="2">
        <f>C9/'Output-Calculation-sheet'!C8*'Output-Calculation-sheet'!C98</f>
        <v>19807259229.896355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12012101615.927561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8287300455.551383</v>
      </c>
      <c r="N119" s="2">
        <f>N9/'Output-Calculation-sheet'!N8*'Output-Calculation-sheet'!N98</f>
        <v>3885969731.4138737</v>
      </c>
      <c r="O119" s="2">
        <f>O9/'Output-Calculation-sheet'!O8*'Output-Calculation-sheet'!O98</f>
        <v>4183301479.1696334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1168828874.4000359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455842841.25134319</v>
      </c>
      <c r="Y119" s="2">
        <f>Y9/'Output-Calculation-sheet'!Y8*'Output-Calculation-sheet'!Y98</f>
        <v>0</v>
      </c>
      <c r="AA119" s="2">
        <f t="shared" si="10"/>
        <v>57480.980591702151</v>
      </c>
    </row>
    <row r="120" spans="1:27" x14ac:dyDescent="0.25">
      <c r="A120" s="2">
        <v>2033</v>
      </c>
      <c r="B120" s="2">
        <f>B10/'Output-Calculation-sheet'!B9*'Output-Calculation-sheet'!B99</f>
        <v>21330627991.727013</v>
      </c>
      <c r="C120" s="2">
        <f>C10/'Output-Calculation-sheet'!C9*'Output-Calculation-sheet'!C99</f>
        <v>29554081428.82917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6298671321.2026443</v>
      </c>
      <c r="O120" s="2">
        <f>O10/'Output-Calculation-sheet'!O9*'Output-Calculation-sheet'!O99</f>
        <v>4894920169.7628918</v>
      </c>
      <c r="P120" s="2">
        <f>P10/'Output-Calculation-sheet'!P9*'Output-Calculation-sheet'!P99</f>
        <v>0</v>
      </c>
      <c r="Q120" s="2">
        <f>Q10/'Output-Calculation-sheet'!Q9*'Output-Calculation-sheet'!Q99</f>
        <v>204924210.59599292</v>
      </c>
      <c r="R120" s="2">
        <f>R10/'Output-Calculation-sheet'!R9*'Output-Calculation-sheet'!R99</f>
        <v>0</v>
      </c>
      <c r="S120" s="2">
        <f>S10/'Output-Calculation-sheet'!S9*'Output-Calculation-sheet'!S99</f>
        <v>2537109930.9224448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690549865.22852123</v>
      </c>
      <c r="Y120" s="2">
        <f>Y10/'Output-Calculation-sheet'!Y9*'Output-Calculation-sheet'!Y99</f>
        <v>0</v>
      </c>
      <c r="AA120" s="2">
        <f t="shared" si="10"/>
        <v>91809.655703244614</v>
      </c>
    </row>
    <row r="121" spans="1:27" x14ac:dyDescent="0.25">
      <c r="A121" s="2">
        <v>2034</v>
      </c>
      <c r="B121" s="2">
        <f>B11/'Output-Calculation-sheet'!B10*'Output-Calculation-sheet'!B100</f>
        <v>44083415027.026466</v>
      </c>
      <c r="C121" s="2">
        <f>C11/'Output-Calculation-sheet'!C10*'Output-Calculation-sheet'!C100</f>
        <v>35884220097.873978</v>
      </c>
      <c r="D121" s="2">
        <f>D11/'Output-Calculation-sheet'!D10*'Output-Calculation-sheet'!D100</f>
        <v>0</v>
      </c>
      <c r="E121" s="2">
        <f>E11/'Output-Calculation-sheet'!E10*'Output-Calculation-sheet'!E100</f>
        <v>1058381150.9741654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18430525812.94191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754900623.30703413</v>
      </c>
      <c r="M121" s="2">
        <f>M11/'Output-Calculation-sheet'!M10*'Output-Calculation-sheet'!M100</f>
        <v>12839606144.149616</v>
      </c>
      <c r="N121" s="2">
        <f>N11/'Output-Calculation-sheet'!N10*'Output-Calculation-sheet'!N100</f>
        <v>8608892123.8934288</v>
      </c>
      <c r="O121" s="2">
        <f>O11/'Output-Calculation-sheet'!O10*'Output-Calculation-sheet'!O100</f>
        <v>5496681686.2899752</v>
      </c>
      <c r="P121" s="2">
        <f>P11/'Output-Calculation-sheet'!P10*'Output-Calculation-sheet'!P100</f>
        <v>0</v>
      </c>
      <c r="Q121" s="2">
        <f>Q11/'Output-Calculation-sheet'!Q10*'Output-Calculation-sheet'!Q100</f>
        <v>688659185.56046927</v>
      </c>
      <c r="R121" s="2">
        <f>R11/'Output-Calculation-sheet'!R10*'Output-Calculation-sheet'!R100</f>
        <v>0</v>
      </c>
      <c r="S121" s="2">
        <f>S11/'Output-Calculation-sheet'!S10*'Output-Calculation-sheet'!S100</f>
        <v>3613395171.1858649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56618183.46825631</v>
      </c>
      <c r="AA121" s="2">
        <f t="shared" si="10"/>
        <v>132142.99089982655</v>
      </c>
    </row>
    <row r="122" spans="1:27" x14ac:dyDescent="0.25">
      <c r="A122" s="2">
        <v>2035</v>
      </c>
      <c r="B122" s="2">
        <f>B12/'Output-Calculation-sheet'!B11*'Output-Calculation-sheet'!B101</f>
        <v>54056224259.406876</v>
      </c>
      <c r="C122" s="2">
        <f>C12/'Output-Calculation-sheet'!C11*'Output-Calculation-sheet'!C101</f>
        <v>43283521507.195503</v>
      </c>
      <c r="D122" s="2">
        <f>D12/'Output-Calculation-sheet'!D11*'Output-Calculation-sheet'!D101</f>
        <v>0</v>
      </c>
      <c r="E122" s="2">
        <f>E12/'Output-Calculation-sheet'!E11*'Output-Calculation-sheet'!E101</f>
        <v>3460574623.0374856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19923581490.323139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935290392.90327263</v>
      </c>
      <c r="M122" s="2">
        <f>M12/'Output-Calculation-sheet'!M11*'Output-Calculation-sheet'!M101</f>
        <v>13947582992.428707</v>
      </c>
      <c r="N122" s="2">
        <f>N12/'Output-Calculation-sheet'!N11*'Output-Calculation-sheet'!N101</f>
        <v>9339111768.7257786</v>
      </c>
      <c r="O122" s="2">
        <f>O12/'Output-Calculation-sheet'!O11*'Output-Calculation-sheet'!O101</f>
        <v>5983607326.1412697</v>
      </c>
      <c r="P122" s="2">
        <f>P12/'Output-Calculation-sheet'!P11*'Output-Calculation-sheet'!P101</f>
        <v>474111440.25758445</v>
      </c>
      <c r="Q122" s="2">
        <f>Q12/'Output-Calculation-sheet'!Q11*'Output-Calculation-sheet'!Q101</f>
        <v>1117585923.0042307</v>
      </c>
      <c r="R122" s="2">
        <f>R12/'Output-Calculation-sheet'!R11*'Output-Calculation-sheet'!R101</f>
        <v>0</v>
      </c>
      <c r="S122" s="2">
        <f>S12/'Output-Calculation-sheet'!S11*'Output-Calculation-sheet'!S101</f>
        <v>4387667909.2839823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397197162.81140989</v>
      </c>
      <c r="Y122" s="2">
        <f>Y12/'Output-Calculation-sheet'!Y11*'Output-Calculation-sheet'!Y101</f>
        <v>390120691.70229799</v>
      </c>
      <c r="AA122" s="2">
        <f t="shared" si="10"/>
        <v>157696.17748722158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3795212156.0606036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2711109796.5388594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178643.11291847908</v>
      </c>
    </row>
    <row r="130" spans="1:27" x14ac:dyDescent="0.25">
      <c r="A130" s="2">
        <v>2032</v>
      </c>
      <c r="B130" s="2">
        <f>B9/'Output-Calculation-sheet'!B8*'Output-Calculation-sheet'!B107</f>
        <v>74034501472.04187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4248700340.6139059</v>
      </c>
      <c r="O130" s="2">
        <f>O9/'Output-Calculation-sheet'!O8*'Output-Calculation-sheet'!O107</f>
        <v>0</v>
      </c>
      <c r="P130" s="2">
        <f>P9/'Output-Calculation-sheet'!P8*'Output-Calculation-sheet'!P107</f>
        <v>7406025158.3061409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3490004482.8692365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245429.00767692173</v>
      </c>
    </row>
    <row r="131" spans="1:27" x14ac:dyDescent="0.25">
      <c r="A131" s="2">
        <v>2033</v>
      </c>
      <c r="B131" s="2">
        <f>B10/'Output-Calculation-sheet'!B9*'Output-Calculation-sheet'!B108</f>
        <v>84525002556.015305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4239214210.2372212</v>
      </c>
      <c r="O131" s="2">
        <f>O10/'Output-Calculation-sheet'!O9*'Output-Calculation-sheet'!O108</f>
        <v>0</v>
      </c>
      <c r="P131" s="2">
        <f>P10/'Output-Calculation-sheet'!P9*'Output-Calculation-sheet'!P108</f>
        <v>9594043323.0125847</v>
      </c>
      <c r="Q131" s="2">
        <f>Q10/'Output-Calculation-sheet'!Q9*'Output-Calculation-sheet'!Q108</f>
        <v>9234506835.3509274</v>
      </c>
      <c r="R131" s="2">
        <f>R10/'Output-Calculation-sheet'!R9*'Output-Calculation-sheet'!R108</f>
        <v>9080844344.8933525</v>
      </c>
      <c r="S131" s="2">
        <f>S10/'Output-Calculation-sheet'!S9*'Output-Calculation-sheet'!S108</f>
        <v>3498029776.972611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304073.83654287335</v>
      </c>
    </row>
    <row r="132" spans="1:27" x14ac:dyDescent="0.25">
      <c r="A132" s="2">
        <v>2034</v>
      </c>
      <c r="B132" s="2">
        <f>B11/'Output-Calculation-sheet'!B10*'Output-Calculation-sheet'!B109</f>
        <v>82538719107.430954</v>
      </c>
      <c r="C132" s="2">
        <f>C11/'Output-Calculation-sheet'!C10*'Output-Calculation-sheet'!C109</f>
        <v>0</v>
      </c>
      <c r="D132" s="2">
        <f>D11/'Output-Calculation-sheet'!D10*'Output-Calculation-sheet'!D109</f>
        <v>53906471857.075325</v>
      </c>
      <c r="E132" s="2">
        <f>E11/'Output-Calculation-sheet'!E10*'Output-Calculation-sheet'!E109</f>
        <v>41998223569.35305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17133253763.823095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12739850984.627237</v>
      </c>
      <c r="M132" s="2">
        <f>M11/'Output-Calculation-sheet'!M10*'Output-Calculation-sheet'!M109</f>
        <v>0</v>
      </c>
      <c r="N132" s="2">
        <f>N11/'Output-Calculation-sheet'!N10*'Output-Calculation-sheet'!N109</f>
        <v>4037334996.4657712</v>
      </c>
      <c r="O132" s="2">
        <f>O11/'Output-Calculation-sheet'!O10*'Output-Calculation-sheet'!O109</f>
        <v>0</v>
      </c>
      <c r="P132" s="2">
        <f>P11/'Output-Calculation-sheet'!P10*'Output-Calculation-sheet'!P109</f>
        <v>11707373418.00795</v>
      </c>
      <c r="Q132" s="2">
        <f>Q11/'Output-Calculation-sheet'!Q10*'Output-Calculation-sheet'!Q109</f>
        <v>9927585700.1741982</v>
      </c>
      <c r="R132" s="2">
        <f>R11/'Output-Calculation-sheet'!R10*'Output-Calculation-sheet'!R109</f>
        <v>11081116701.562172</v>
      </c>
      <c r="S132" s="2">
        <f>S11/'Output-Calculation-sheet'!S10*'Output-Calculation-sheet'!S109</f>
        <v>3450943558.0873456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3464031122.7685003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1323526142.5676429</v>
      </c>
      <c r="AA132" s="2">
        <f t="shared" si="11"/>
        <v>344503.48550749145</v>
      </c>
    </row>
    <row r="133" spans="1:27" x14ac:dyDescent="0.25">
      <c r="A133" s="2">
        <v>2035</v>
      </c>
      <c r="B133" s="2">
        <f>B12/'Output-Calculation-sheet'!B11*'Output-Calculation-sheet'!B110</f>
        <v>82710186410.229553</v>
      </c>
      <c r="C133" s="2">
        <f>C12/'Output-Calculation-sheet'!C11*'Output-Calculation-sheet'!C110</f>
        <v>0</v>
      </c>
      <c r="D133" s="2">
        <f>D12/'Output-Calculation-sheet'!D11*'Output-Calculation-sheet'!D110</f>
        <v>56854306289.415474</v>
      </c>
      <c r="E133" s="2">
        <f>E12/'Output-Calculation-sheet'!E11*'Output-Calculation-sheet'!E110</f>
        <v>44761318164.251442</v>
      </c>
      <c r="F133" s="2">
        <f>F12/'Output-Calculation-sheet'!F11*'Output-Calculation-sheet'!F110</f>
        <v>30760224290.153946</v>
      </c>
      <c r="G133" s="2">
        <f>G12/'Output-Calculation-sheet'!G11*'Output-Calculation-sheet'!G110</f>
        <v>21204804292.551178</v>
      </c>
      <c r="H133" s="2">
        <f>H12/'Output-Calculation-sheet'!H11*'Output-Calculation-sheet'!H110</f>
        <v>0</v>
      </c>
      <c r="I133" s="2">
        <f>I12/'Output-Calculation-sheet'!I11*'Output-Calculation-sheet'!I110</f>
        <v>19242451085.313793</v>
      </c>
      <c r="J133" s="2">
        <f>J12/'Output-Calculation-sheet'!J11*'Output-Calculation-sheet'!J110</f>
        <v>18020316025.548622</v>
      </c>
      <c r="K133" s="2">
        <f>K12/'Output-Calculation-sheet'!K11*'Output-Calculation-sheet'!K110</f>
        <v>18452818815.433174</v>
      </c>
      <c r="L133" s="2">
        <f>L12/'Output-Calculation-sheet'!L11*'Output-Calculation-sheet'!L110</f>
        <v>13523257840.352377</v>
      </c>
      <c r="M133" s="2">
        <f>M12/'Output-Calculation-sheet'!M11*'Output-Calculation-sheet'!M110</f>
        <v>0</v>
      </c>
      <c r="N133" s="2">
        <f>N12/'Output-Calculation-sheet'!N11*'Output-Calculation-sheet'!N110</f>
        <v>4222085230.7296853</v>
      </c>
      <c r="O133" s="2">
        <f>O12/'Output-Calculation-sheet'!O11*'Output-Calculation-sheet'!O110</f>
        <v>0</v>
      </c>
      <c r="P133" s="2">
        <f>P12/'Output-Calculation-sheet'!P11*'Output-Calculation-sheet'!P110</f>
        <v>12611444109.367985</v>
      </c>
      <c r="Q133" s="2">
        <f>Q12/'Output-Calculation-sheet'!Q11*'Output-Calculation-sheet'!Q110</f>
        <v>10257252584.147472</v>
      </c>
      <c r="R133" s="2">
        <f>R12/'Output-Calculation-sheet'!R11*'Output-Calculation-sheet'!R110</f>
        <v>12089999520.844584</v>
      </c>
      <c r="S133" s="2">
        <f>S12/'Output-Calculation-sheet'!S11*'Output-Calculation-sheet'!S110</f>
        <v>3260285454.6333523</v>
      </c>
      <c r="T133" s="2">
        <f>T12/'Output-Calculation-sheet'!T11*'Output-Calculation-sheet'!T110</f>
        <v>4549795059.1461296</v>
      </c>
      <c r="U133" s="2">
        <f>U12/'Output-Calculation-sheet'!U11*'Output-Calculation-sheet'!U110</f>
        <v>3688745120.8803158</v>
      </c>
      <c r="V133" s="2">
        <f>V12/'Output-Calculation-sheet'!V11*'Output-Calculation-sheet'!V110</f>
        <v>2909088418.6610899</v>
      </c>
      <c r="W133" s="2">
        <f>W12/'Output-Calculation-sheet'!W11*'Output-Calculation-sheet'!W110</f>
        <v>2714732884.8124738</v>
      </c>
      <c r="X133" s="2">
        <f>X12/'Output-Calculation-sheet'!X11*'Output-Calculation-sheet'!X110</f>
        <v>0</v>
      </c>
      <c r="Y133" s="2">
        <f>Y12/'Output-Calculation-sheet'!Y11*'Output-Calculation-sheet'!Y110</f>
        <v>1162609443.0642033</v>
      </c>
      <c r="AA133" s="2">
        <f t="shared" si="11"/>
        <v>362995.72103953682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10382343249.362598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316207262.26714993</v>
      </c>
      <c r="Y140" s="2">
        <f>Y8/'Output-Calculation-sheet'!Y7*'Output-Calculation-sheet'!Y115</f>
        <v>0</v>
      </c>
      <c r="AA140" s="2">
        <f t="shared" si="12"/>
        <v>10698.55051162975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7902950753.2581711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441789410.86257136</v>
      </c>
      <c r="Y141" s="2">
        <f>Y9/'Output-Calculation-sheet'!Y8*'Output-Calculation-sheet'!Y116</f>
        <v>0</v>
      </c>
      <c r="AA141" s="2">
        <f t="shared" si="12"/>
        <v>8344.7401641207434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472277609.55833811</v>
      </c>
      <c r="Y142" s="2">
        <f>Y10/'Output-Calculation-sheet'!Y9*'Output-Calculation-sheet'!Y117</f>
        <v>0</v>
      </c>
      <c r="AA142" s="2">
        <f t="shared" si="12"/>
        <v>472.2776095583381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791.37769117138032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1226203882.2300143</v>
      </c>
      <c r="Y144" s="2">
        <f>Y12/'Output-Calculation-sheet'!Y11*'Output-Calculation-sheet'!Y119</f>
        <v>0</v>
      </c>
      <c r="AA144" s="2">
        <f t="shared" si="12"/>
        <v>1226.2038822300144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31162121018.051502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7602830554.368185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236635.84606899842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36931865840.810661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8416255864.5713396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212967.70376248614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42709106477.673843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8936134505.1495876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172285.25977152245</v>
      </c>
    </row>
    <row r="154" spans="1:27" x14ac:dyDescent="0.25">
      <c r="A154" s="2">
        <v>2034</v>
      </c>
      <c r="B154" s="2">
        <f>B11/'Output-Calculation-sheet'!B10*'Output-Calculation-sheet'!B127</f>
        <v>22112815886.009846</v>
      </c>
      <c r="C154" s="2">
        <f>C11/'Output-Calculation-sheet'!C10*'Output-Calculation-sheet'!C127</f>
        <v>40808622551.83535</v>
      </c>
      <c r="D154" s="2">
        <f>D11/'Output-Calculation-sheet'!D10*'Output-Calculation-sheet'!D127</f>
        <v>8207752206.717248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3565981691.7694654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2632755407.4520521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2270946546.6509519</v>
      </c>
      <c r="M154" s="2">
        <f>M11/'Output-Calculation-sheet'!M10*'Output-Calculation-sheet'!M127</f>
        <v>2291532960.1010933</v>
      </c>
      <c r="N154" s="2">
        <f>N11/'Output-Calculation-sheet'!N10*'Output-Calculation-sheet'!N127</f>
        <v>2129389660.0759387</v>
      </c>
      <c r="O154" s="2">
        <f>O11/'Output-Calculation-sheet'!O10*'Output-Calculation-sheet'!O127</f>
        <v>9211361965.2530575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2832871217.0757861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1469100977.7050223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625763599.27536702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120992.65393970616</v>
      </c>
    </row>
    <row r="155" spans="1:27" x14ac:dyDescent="0.25">
      <c r="A155" s="2">
        <v>2035</v>
      </c>
      <c r="B155" s="2">
        <f>B12/'Output-Calculation-sheet'!B11*'Output-Calculation-sheet'!B128</f>
        <v>20278008187.399323</v>
      </c>
      <c r="C155" s="2">
        <f>C12/'Output-Calculation-sheet'!C11*'Output-Calculation-sheet'!C128</f>
        <v>35821887463.995682</v>
      </c>
      <c r="D155" s="2">
        <f>D12/'Output-Calculation-sheet'!D11*'Output-Calculation-sheet'!D128</f>
        <v>8354157666.0449991</v>
      </c>
      <c r="E155" s="2">
        <f>E12/'Output-Calculation-sheet'!E11*'Output-Calculation-sheet'!E128</f>
        <v>4553348929.6767015</v>
      </c>
      <c r="F155" s="2">
        <f>F12/'Output-Calculation-sheet'!F11*'Output-Calculation-sheet'!F128</f>
        <v>2480281723.631063</v>
      </c>
      <c r="G155" s="2">
        <f>G12/'Output-Calculation-sheet'!G11*'Output-Calculation-sheet'!G128</f>
        <v>2340013780.6939883</v>
      </c>
      <c r="H155" s="2">
        <f>H12/'Output-Calculation-sheet'!H11*'Output-Calculation-sheet'!H128</f>
        <v>3417876775.3537898</v>
      </c>
      <c r="I155" s="2">
        <f>I12/'Output-Calculation-sheet'!I11*'Output-Calculation-sheet'!I128</f>
        <v>2138069883.0235417</v>
      </c>
      <c r="J155" s="2">
        <f>J12/'Output-Calculation-sheet'!J11*'Output-Calculation-sheet'!J128</f>
        <v>2659801283.7585998</v>
      </c>
      <c r="K155" s="2">
        <f>K12/'Output-Calculation-sheet'!K11*'Output-Calculation-sheet'!K128</f>
        <v>2132243191.5597277</v>
      </c>
      <c r="L155" s="2">
        <f>L12/'Output-Calculation-sheet'!L11*'Output-Calculation-sheet'!L128</f>
        <v>2182609496.976119</v>
      </c>
      <c r="M155" s="2">
        <f>M12/'Output-Calculation-sheet'!M11*'Output-Calculation-sheet'!M128</f>
        <v>2157864807.500608</v>
      </c>
      <c r="N155" s="2">
        <f>N12/'Output-Calculation-sheet'!N11*'Output-Calculation-sheet'!N128</f>
        <v>1978752139.9043305</v>
      </c>
      <c r="O155" s="2">
        <f>O12/'Output-Calculation-sheet'!O11*'Output-Calculation-sheet'!O128</f>
        <v>9299899111.656332</v>
      </c>
      <c r="P155" s="2">
        <f>P12/'Output-Calculation-sheet'!P11*'Output-Calculation-sheet'!P128</f>
        <v>1144371775.3138812</v>
      </c>
      <c r="Q155" s="2">
        <f>Q12/'Output-Calculation-sheet'!Q11*'Output-Calculation-sheet'!Q128</f>
        <v>2719198822.0515904</v>
      </c>
      <c r="R155" s="2">
        <f>R12/'Output-Calculation-sheet'!R11*'Output-Calculation-sheet'!R128</f>
        <v>1255954330.251194</v>
      </c>
      <c r="S155" s="2">
        <f>S12/'Output-Calculation-sheet'!S11*'Output-Calculation-sheet'!S128</f>
        <v>1319182162.2020917</v>
      </c>
      <c r="T155" s="2">
        <f>T12/'Output-Calculation-sheet'!T11*'Output-Calculation-sheet'!T128</f>
        <v>325429871.01290929</v>
      </c>
      <c r="U155" s="2">
        <f>U12/'Output-Calculation-sheet'!U11*'Output-Calculation-sheet'!U128</f>
        <v>633418963.93581855</v>
      </c>
      <c r="V155" s="2">
        <f>V12/'Output-Calculation-sheet'!V11*'Output-Calculation-sheet'!V128</f>
        <v>351884786.30354613</v>
      </c>
      <c r="W155" s="2">
        <f>W12/'Output-Calculation-sheet'!W11*'Output-Calculation-sheet'!W128</f>
        <v>125939030.90141769</v>
      </c>
      <c r="X155" s="2">
        <f>X12/'Output-Calculation-sheet'!X11*'Output-Calculation-sheet'!X128</f>
        <v>56717305.092023462</v>
      </c>
      <c r="Y155" s="2">
        <f>Y12/'Output-Calculation-sheet'!Y11*'Output-Calculation-sheet'!Y128</f>
        <v>139694307.52962831</v>
      </c>
      <c r="AA155" s="2">
        <f t="shared" si="13"/>
        <v>107866.60579576889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8724.9567861272299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5594.5399719050456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3883.1780111572243</v>
      </c>
      <c r="N19" s="2">
        <f>N8/'Output-Calculation-sheet'!N7*'Output-Calculation-sheet'!N25</f>
        <v>1327.4109826817109</v>
      </c>
      <c r="O19" s="2">
        <f>O8/'Output-Calculation-sheet'!O7*'Output-Calculation-sheet'!O25</f>
        <v>2074.6845591748001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205.00681860506458</v>
      </c>
      <c r="Y19" s="2">
        <f>Y8/'Output-Calculation-sheet'!Y7*'Output-Calculation-sheet'!Y25</f>
        <v>0</v>
      </c>
      <c r="AA19" s="2">
        <f t="shared" si="0"/>
        <v>23.529112515209754</v>
      </c>
    </row>
    <row r="20" spans="1:27" x14ac:dyDescent="0.25">
      <c r="A20" s="2">
        <v>2032</v>
      </c>
      <c r="B20" s="2">
        <f>B9/'Output-Calculation-sheet'!B8*'Output-Calculation-sheet'!B26</f>
        <v>6641.6768878536195</v>
      </c>
      <c r="C20" s="2">
        <f>C9/'Output-Calculation-sheet'!C8*'Output-Calculation-sheet'!C26</f>
        <v>11228.717577561911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7219.9646775365618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5021.0654022352464</v>
      </c>
      <c r="N20" s="2">
        <f>N9/'Output-Calculation-sheet'!N8*'Output-Calculation-sheet'!N26</f>
        <v>2260.9191236714205</v>
      </c>
      <c r="O20" s="2">
        <f>O9/'Output-Calculation-sheet'!O8*'Output-Calculation-sheet'!O26</f>
        <v>2354.3360209999882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822.23306715259969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268.32208859514395</v>
      </c>
      <c r="Y20" s="2">
        <f>Y9/'Output-Calculation-sheet'!Y8*'Output-Calculation-sheet'!Y26</f>
        <v>0</v>
      </c>
      <c r="AA20" s="2">
        <f t="shared" si="0"/>
        <v>35.817234845606492</v>
      </c>
    </row>
    <row r="21" spans="1:27" x14ac:dyDescent="0.25">
      <c r="A21" s="2">
        <v>2033</v>
      </c>
      <c r="B21" s="2">
        <f>B10/'Output-Calculation-sheet'!B9*'Output-Calculation-sheet'!B27</f>
        <v>14003.795646114761</v>
      </c>
      <c r="C21" s="2">
        <f>C10/'Output-Calculation-sheet'!C9*'Output-Calculation-sheet'!C27</f>
        <v>14379.144168673491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8086.9288455189881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5617.916188777237</v>
      </c>
      <c r="N21" s="2">
        <f>N10/'Output-Calculation-sheet'!N9*'Output-Calculation-sheet'!N27</f>
        <v>3069.0088117965224</v>
      </c>
      <c r="O21" s="2">
        <f>O10/'Output-Calculation-sheet'!O9*'Output-Calculation-sheet'!O27</f>
        <v>2373.1254870466282</v>
      </c>
      <c r="P21" s="2">
        <f>P10/'Output-Calculation-sheet'!P9*'Output-Calculation-sheet'!P27</f>
        <v>0</v>
      </c>
      <c r="Q21" s="2">
        <f>Q10/'Output-Calculation-sheet'!Q9*'Output-Calculation-sheet'!Q27</f>
        <v>207.23036607099539</v>
      </c>
      <c r="R21" s="2">
        <f>R10/'Output-Calculation-sheet'!R9*'Output-Calculation-sheet'!R27</f>
        <v>0</v>
      </c>
      <c r="S21" s="2">
        <f>S10/'Output-Calculation-sheet'!S9*'Output-Calculation-sheet'!S27</f>
        <v>1335.9473788719611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356.14024776824562</v>
      </c>
      <c r="Y21" s="2">
        <f>Y10/'Output-Calculation-sheet'!Y9*'Output-Calculation-sheet'!Y27</f>
        <v>0</v>
      </c>
      <c r="AA21" s="2">
        <f t="shared" si="0"/>
        <v>49.429237140638826</v>
      </c>
    </row>
    <row r="22" spans="1:27" x14ac:dyDescent="0.25">
      <c r="A22" s="2">
        <v>2034</v>
      </c>
      <c r="B22" s="2">
        <f>B11/'Output-Calculation-sheet'!B10*'Output-Calculation-sheet'!B28</f>
        <v>19998.777904465558</v>
      </c>
      <c r="C22" s="2">
        <f>C11/'Output-Calculation-sheet'!C10*'Output-Calculation-sheet'!C28</f>
        <v>14063.351092157242</v>
      </c>
      <c r="D22" s="2">
        <f>D11/'Output-Calculation-sheet'!D10*'Output-Calculation-sheet'!D28</f>
        <v>0</v>
      </c>
      <c r="E22" s="2">
        <f>E11/'Output-Calculation-sheet'!E10*'Output-Calculation-sheet'!E28</f>
        <v>1145.5527585115067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8042.9938321067584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574.41108484396545</v>
      </c>
      <c r="M22" s="2">
        <f>M11/'Output-Calculation-sheet'!M10*'Output-Calculation-sheet'!M28</f>
        <v>5714.8855609710909</v>
      </c>
      <c r="N22" s="2">
        <f>N11/'Output-Calculation-sheet'!N10*'Output-Calculation-sheet'!N28</f>
        <v>3370.0994968626264</v>
      </c>
      <c r="O22" s="2">
        <f>O11/'Output-Calculation-sheet'!O10*'Output-Calculation-sheet'!O28</f>
        <v>2148.8005801364893</v>
      </c>
      <c r="P22" s="2">
        <f>P11/'Output-Calculation-sheet'!P10*'Output-Calculation-sheet'!P28</f>
        <v>0</v>
      </c>
      <c r="Q22" s="2">
        <f>Q11/'Output-Calculation-sheet'!Q10*'Output-Calculation-sheet'!Q28</f>
        <v>504.70186046700582</v>
      </c>
      <c r="R22" s="2">
        <f>R11/'Output-Calculation-sheet'!R10*'Output-Calculation-sheet'!R28</f>
        <v>0</v>
      </c>
      <c r="S22" s="2">
        <f>S11/'Output-Calculation-sheet'!S10*'Output-Calculation-sheet'!S28</f>
        <v>1480.875962920579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62.092239474744204</v>
      </c>
      <c r="AA22" s="2">
        <f t="shared" si="0"/>
        <v>57.360582769041152</v>
      </c>
    </row>
    <row r="23" spans="1:27" x14ac:dyDescent="0.25">
      <c r="A23" s="2">
        <v>2035</v>
      </c>
      <c r="B23" s="2">
        <f>B12/'Output-Calculation-sheet'!B11*'Output-Calculation-sheet'!B29</f>
        <v>17249.71787410133</v>
      </c>
      <c r="C23" s="2">
        <f>C12/'Output-Calculation-sheet'!C11*'Output-Calculation-sheet'!C29</f>
        <v>12561.355038641441</v>
      </c>
      <c r="D23" s="2">
        <f>D12/'Output-Calculation-sheet'!D11*'Output-Calculation-sheet'!D29</f>
        <v>0</v>
      </c>
      <c r="E23" s="2">
        <f>E12/'Output-Calculation-sheet'!E11*'Output-Calculation-sheet'!E29</f>
        <v>2294.1258903513776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6235.3738630698717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500.59446352387027</v>
      </c>
      <c r="M23" s="2">
        <f>M12/'Output-Calculation-sheet'!M11*'Output-Calculation-sheet'!M29</f>
        <v>4456.0863958447644</v>
      </c>
      <c r="N23" s="2">
        <f>N12/'Output-Calculation-sheet'!N11*'Output-Calculation-sheet'!N29</f>
        <v>2665.383114409532</v>
      </c>
      <c r="O23" s="2">
        <f>O12/'Output-Calculation-sheet'!O11*'Output-Calculation-sheet'!O29</f>
        <v>1731.6318543408445</v>
      </c>
      <c r="P23" s="2">
        <f>P12/'Output-Calculation-sheet'!P11*'Output-Calculation-sheet'!P29</f>
        <v>362.73497458362323</v>
      </c>
      <c r="Q23" s="2">
        <f>Q12/'Output-Calculation-sheet'!Q11*'Output-Calculation-sheet'!Q29</f>
        <v>540.4370102404182</v>
      </c>
      <c r="R23" s="2">
        <f>R12/'Output-Calculation-sheet'!R11*'Output-Calculation-sheet'!R29</f>
        <v>0</v>
      </c>
      <c r="S23" s="2">
        <f>S12/'Output-Calculation-sheet'!S11*'Output-Calculation-sheet'!S29</f>
        <v>1276.2520482718387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112.49130303609778</v>
      </c>
      <c r="Y23" s="2">
        <f>Y12/'Output-Calculation-sheet'!Y11*'Output-Calculation-sheet'!Y29</f>
        <v>118.69544003316484</v>
      </c>
      <c r="AA23" s="2">
        <f t="shared" si="0"/>
        <v>50.10487927044818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1807.687084512138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46.470527144330312</v>
      </c>
    </row>
    <row r="31" spans="1:27" x14ac:dyDescent="0.25">
      <c r="A31" s="2">
        <v>2032</v>
      </c>
      <c r="B31" s="2">
        <f>B9/'Output-Calculation-sheet'!B8*'Output-Calculation-sheet'!B17</f>
        <v>28122.776141232131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1926.285797246805</v>
      </c>
      <c r="O31" s="2">
        <f>O9/'Output-Calculation-sheet'!O8*'Output-Calculation-sheet'!O17</f>
        <v>0</v>
      </c>
      <c r="P31" s="2">
        <f>P9/'Output-Calculation-sheet'!P8*'Output-Calculation-sheet'!P17</f>
        <v>2385.3024758932847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1432.3075816673452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61.243232179980403</v>
      </c>
    </row>
    <row r="32" spans="1:27" x14ac:dyDescent="0.25">
      <c r="A32" s="2">
        <v>2033</v>
      </c>
      <c r="B32" s="2">
        <f>B10/'Output-Calculation-sheet'!B9*'Output-Calculation-sheet'!B18</f>
        <v>28362.473438322253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2705.2071587658997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1733.2034430544998</v>
      </c>
      <c r="O32" s="2">
        <f>O10/'Output-Calculation-sheet'!O9*'Output-Calculation-sheet'!O18</f>
        <v>0</v>
      </c>
      <c r="P32" s="2">
        <f>P10/'Output-Calculation-sheet'!P9*'Output-Calculation-sheet'!P18</f>
        <v>2784.1955134889572</v>
      </c>
      <c r="Q32" s="2">
        <f>Q10/'Output-Calculation-sheet'!Q9*'Output-Calculation-sheet'!Q18</f>
        <v>3033.3362445609678</v>
      </c>
      <c r="R32" s="2">
        <f>R10/'Output-Calculation-sheet'!R9*'Output-Calculation-sheet'!R18</f>
        <v>1999.3141833821637</v>
      </c>
      <c r="S32" s="2">
        <f>S10/'Output-Calculation-sheet'!S9*'Output-Calculation-sheet'!S18</f>
        <v>1309.4320186378588</v>
      </c>
      <c r="T32" s="2">
        <f>T10/'Output-Calculation-sheet'!T9*'Output-Calculation-sheet'!T18</f>
        <v>583.72188291277246</v>
      </c>
      <c r="U32" s="2">
        <f>U10/'Output-Calculation-sheet'!U9*'Output-Calculation-sheet'!U18</f>
        <v>645.37631735725097</v>
      </c>
      <c r="V32" s="2">
        <f>V10/'Output-Calculation-sheet'!V9*'Output-Calculation-sheet'!V18</f>
        <v>476.25808853687795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275.77261847174861</v>
      </c>
      <c r="AA32" s="2">
        <f t="shared" si="1"/>
        <v>68.177126278042053</v>
      </c>
    </row>
    <row r="33" spans="1:27" x14ac:dyDescent="0.25">
      <c r="A33" s="2">
        <v>2034</v>
      </c>
      <c r="B33" s="2">
        <f>B11/'Output-Calculation-sheet'!B10*'Output-Calculation-sheet'!B19</f>
        <v>22722.017779103026</v>
      </c>
      <c r="C33" s="2">
        <f>C11/'Output-Calculation-sheet'!C10*'Output-Calculation-sheet'!C19</f>
        <v>0</v>
      </c>
      <c r="D33" s="2">
        <f>D11/'Output-Calculation-sheet'!D10*'Output-Calculation-sheet'!D19</f>
        <v>6641.3768870799886</v>
      </c>
      <c r="E33" s="2">
        <f>E11/'Output-Calculation-sheet'!E10*'Output-Calculation-sheet'!E19</f>
        <v>8355.4819490679383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2507.7682008523179</v>
      </c>
      <c r="J33" s="2">
        <f>J11/'Output-Calculation-sheet'!J10*'Output-Calculation-sheet'!J19</f>
        <v>2075.8425840004556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2326.4238703724645</v>
      </c>
      <c r="M33" s="2">
        <f>M11/'Output-Calculation-sheet'!M10*'Output-Calculation-sheet'!M19</f>
        <v>0</v>
      </c>
      <c r="N33" s="2">
        <f>N11/'Output-Calculation-sheet'!N10*'Output-Calculation-sheet'!N19</f>
        <v>1380.8593888975413</v>
      </c>
      <c r="O33" s="2">
        <f>O11/'Output-Calculation-sheet'!O10*'Output-Calculation-sheet'!O19</f>
        <v>0</v>
      </c>
      <c r="P33" s="2">
        <f>P11/'Output-Calculation-sheet'!P10*'Output-Calculation-sheet'!P19</f>
        <v>2975.1064371210068</v>
      </c>
      <c r="Q33" s="2">
        <f>Q11/'Output-Calculation-sheet'!Q10*'Output-Calculation-sheet'!Q19</f>
        <v>2490.166737244715</v>
      </c>
      <c r="R33" s="2">
        <f>R11/'Output-Calculation-sheet'!R10*'Output-Calculation-sheet'!R19</f>
        <v>2124.5168135417207</v>
      </c>
      <c r="S33" s="2">
        <f>S11/'Output-Calculation-sheet'!S10*'Output-Calculation-sheet'!S19</f>
        <v>1065.2319622566449</v>
      </c>
      <c r="T33" s="2">
        <f>T11/'Output-Calculation-sheet'!T10*'Output-Calculation-sheet'!T19</f>
        <v>623.37366846580903</v>
      </c>
      <c r="U33" s="2">
        <f>U11/'Output-Calculation-sheet'!U10*'Output-Calculation-sheet'!U19</f>
        <v>671.97466008857816</v>
      </c>
      <c r="V33" s="2">
        <f>V11/'Output-Calculation-sheet'!V10*'Output-Calculation-sheet'!V19</f>
        <v>488.96232346952831</v>
      </c>
      <c r="W33" s="2">
        <f>W11/'Output-Calculation-sheet'!W10*'Output-Calculation-sheet'!W19</f>
        <v>304.45794190084382</v>
      </c>
      <c r="X33" s="2">
        <f>X11/'Output-Calculation-sheet'!X10*'Output-Calculation-sheet'!X19</f>
        <v>0</v>
      </c>
      <c r="Y33" s="2">
        <f>Y11/'Output-Calculation-sheet'!Y10*'Output-Calculation-sheet'!Y19</f>
        <v>274.41802670883527</v>
      </c>
      <c r="AA33" s="2">
        <f t="shared" si="1"/>
        <v>66.099604485082565</v>
      </c>
    </row>
    <row r="34" spans="1:27" x14ac:dyDescent="0.25">
      <c r="A34" s="2">
        <v>2035</v>
      </c>
      <c r="B34" s="2">
        <f>B12/'Output-Calculation-sheet'!B11*'Output-Calculation-sheet'!B20</f>
        <v>16074.792292444135</v>
      </c>
      <c r="C34" s="2">
        <f>C12/'Output-Calculation-sheet'!C11*'Output-Calculation-sheet'!C20</f>
        <v>0</v>
      </c>
      <c r="D34" s="2">
        <f>D12/'Output-Calculation-sheet'!D11*'Output-Calculation-sheet'!D20</f>
        <v>5012.644867517055</v>
      </c>
      <c r="E34" s="2">
        <f>E12/'Output-Calculation-sheet'!E11*'Output-Calculation-sheet'!E20</f>
        <v>5867.3016488539952</v>
      </c>
      <c r="F34" s="2">
        <f>F12/'Output-Calculation-sheet'!F11*'Output-Calculation-sheet'!F20</f>
        <v>3408.3098703640376</v>
      </c>
      <c r="G34" s="2">
        <f>G12/'Output-Calculation-sheet'!G11*'Output-Calculation-sheet'!G20</f>
        <v>1809.3294035196932</v>
      </c>
      <c r="H34" s="2">
        <f>H12/'Output-Calculation-sheet'!H11*'Output-Calculation-sheet'!H20</f>
        <v>0</v>
      </c>
      <c r="I34" s="2">
        <f>I12/'Output-Calculation-sheet'!I11*'Output-Calculation-sheet'!I20</f>
        <v>2005.6331985800639</v>
      </c>
      <c r="J34" s="2">
        <f>J12/'Output-Calculation-sheet'!J11*'Output-Calculation-sheet'!J20</f>
        <v>1568.7400340314255</v>
      </c>
      <c r="K34" s="2">
        <f>K12/'Output-Calculation-sheet'!K11*'Output-Calculation-sheet'!K20</f>
        <v>2315.9769234766127</v>
      </c>
      <c r="L34" s="2">
        <f>L12/'Output-Calculation-sheet'!L11*'Output-Calculation-sheet'!L20</f>
        <v>1758.4576489656158</v>
      </c>
      <c r="M34" s="2">
        <f>M12/'Output-Calculation-sheet'!M11*'Output-Calculation-sheet'!M20</f>
        <v>0</v>
      </c>
      <c r="N34" s="2">
        <f>N12/'Output-Calculation-sheet'!N11*'Output-Calculation-sheet'!N20</f>
        <v>1023.2958323811238</v>
      </c>
      <c r="O34" s="2">
        <f>O12/'Output-Calculation-sheet'!O11*'Output-Calculation-sheet'!O20</f>
        <v>0</v>
      </c>
      <c r="P34" s="2">
        <f>P12/'Output-Calculation-sheet'!P11*'Output-Calculation-sheet'!P20</f>
        <v>2209.8279778969236</v>
      </c>
      <c r="Q34" s="2">
        <f>Q12/'Output-Calculation-sheet'!Q11*'Output-Calculation-sheet'!Q20</f>
        <v>1813.3809393995466</v>
      </c>
      <c r="R34" s="2">
        <f>R12/'Output-Calculation-sheet'!R11*'Output-Calculation-sheet'!R20</f>
        <v>1719.7531298351562</v>
      </c>
      <c r="S34" s="2">
        <f>S12/'Output-Calculation-sheet'!S11*'Output-Calculation-sheet'!S20</f>
        <v>727.56446285494951</v>
      </c>
      <c r="T34" s="2">
        <f>T12/'Output-Calculation-sheet'!T11*'Output-Calculation-sheet'!T20</f>
        <v>532.70614292838741</v>
      </c>
      <c r="U34" s="2">
        <f>U12/'Output-Calculation-sheet'!U11*'Output-Calculation-sheet'!U20</f>
        <v>508.97931791034318</v>
      </c>
      <c r="V34" s="2">
        <f>V12/'Output-Calculation-sheet'!V11*'Output-Calculation-sheet'!V20</f>
        <v>378.90973801141041</v>
      </c>
      <c r="W34" s="2">
        <f>W12/'Output-Calculation-sheet'!W11*'Output-Calculation-sheet'!W20</f>
        <v>298.76309713094406</v>
      </c>
      <c r="X34" s="2">
        <f>X12/'Output-Calculation-sheet'!X11*'Output-Calculation-sheet'!X20</f>
        <v>0</v>
      </c>
      <c r="Y34" s="2">
        <f>Y12/'Output-Calculation-sheet'!Y11*'Output-Calculation-sheet'!Y20</f>
        <v>176.44610489017487</v>
      </c>
      <c r="AA34" s="2">
        <f t="shared" si="1"/>
        <v>49.21081263099159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0.7098274149090813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0.39071595025221934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1.1005433651613006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2.1375767734409963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0.53392086450022613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2.6714976379412225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3.4087736496630048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0.61808135357911864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4.0268550032421233</v>
      </c>
    </row>
    <row r="44" spans="1:27" x14ac:dyDescent="0.25">
      <c r="A44" s="2">
        <v>2034</v>
      </c>
      <c r="B44" s="2">
        <f>B11/'Output-Calculation-sheet'!B10*'Output-Calculation-sheet'!B37*0.0114</f>
        <v>0.20165202737762256</v>
      </c>
      <c r="C44" s="2">
        <f>C11/'Output-Calculation-sheet'!C10*'Output-Calculation-sheet'!C37*0.0114</f>
        <v>3.2062421036136834</v>
      </c>
      <c r="D44" s="2">
        <f>D11/'Output-Calculation-sheet'!D10*'Output-Calculation-sheet'!D37*0.0114</f>
        <v>4.2390699289610208E-2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5.8924224535113361E-2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1.3536005263260213E-2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1.0688950718748605E-2</v>
      </c>
      <c r="M44" s="2">
        <f>M11/'Output-Calculation-sheet'!M10*'Output-Calculation-sheet'!M37*0.0114</f>
        <v>3.0409200718188131E-2</v>
      </c>
      <c r="N44" s="2">
        <f>N11/'Output-Calculation-sheet'!N10*'Output-Calculation-sheet'!N37*0.0114</f>
        <v>1.9924875130521477E-2</v>
      </c>
      <c r="O44" s="2">
        <f>O11/'Output-Calculation-sheet'!O10*'Output-Calculation-sheet'!O37*0.0114</f>
        <v>0.6135869961132504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4.3643103087420199E-2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2.2843252530721919E-2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5.569909607714604E-3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4.2694113479858551</v>
      </c>
    </row>
    <row r="45" spans="1:27" x14ac:dyDescent="0.25">
      <c r="A45" s="2">
        <v>2035</v>
      </c>
      <c r="B45" s="2">
        <f>B12/'Output-Calculation-sheet'!B11*'Output-Calculation-sheet'!B38*0.0114</f>
        <v>0.68619923652918546</v>
      </c>
      <c r="C45" s="2">
        <f>C12/'Output-Calculation-sheet'!C11*'Output-Calculation-sheet'!C38*0.0114</f>
        <v>2.605488320116875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0.17833050782989016</v>
      </c>
      <c r="F45" s="2">
        <f>F12/'Output-Calculation-sheet'!F11*'Output-Calculation-sheet'!F38*0.0114</f>
        <v>6.4090069017751744E-2</v>
      </c>
      <c r="G45" s="2">
        <f>G12/'Output-Calculation-sheet'!G11*'Output-Calculation-sheet'!G38*0.0114</f>
        <v>5.7495579612485755E-2</v>
      </c>
      <c r="H45" s="2">
        <f>H12/'Output-Calculation-sheet'!H11*'Output-Calculation-sheet'!H38*0.0114</f>
        <v>0.20051252851205414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4.094356268885499E-2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4.8497734226547927E-2</v>
      </c>
      <c r="M45" s="2">
        <f>M12/'Output-Calculation-sheet'!M11*'Output-Calculation-sheet'!M38*0.0114</f>
        <v>0.12264189635549153</v>
      </c>
      <c r="N45" s="2">
        <f>N12/'Output-Calculation-sheet'!N11*'Output-Calculation-sheet'!N38*0.0114</f>
        <v>7.5335684172305933E-2</v>
      </c>
      <c r="O45" s="2">
        <f>O12/'Output-Calculation-sheet'!O11*'Output-Calculation-sheet'!O38*0.0114</f>
        <v>0.52726458131785481</v>
      </c>
      <c r="P45" s="2">
        <f>P12/'Output-Calculation-sheet'!P11*'Output-Calculation-sheet'!P38*0.0114</f>
        <v>4.8717857570209314E-2</v>
      </c>
      <c r="Q45" s="2">
        <f>Q12/'Output-Calculation-sheet'!Q11*'Output-Calculation-sheet'!Q38*0.0114</f>
        <v>7.2606153059448536E-2</v>
      </c>
      <c r="R45" s="2">
        <f>R12/'Output-Calculation-sheet'!R11*'Output-Calculation-sheet'!R38*0.0114</f>
        <v>3.2728493268429165E-2</v>
      </c>
      <c r="S45" s="2">
        <f>S12/'Output-Calculation-sheet'!S11*'Output-Calculation-sheet'!S38*0.0114</f>
        <v>4.7503516371733973E-2</v>
      </c>
      <c r="T45" s="2">
        <f>T12/'Output-Calculation-sheet'!T11*'Output-Calculation-sheet'!T38*0.0114</f>
        <v>9.6866476789810932E-3</v>
      </c>
      <c r="U45" s="2">
        <f>U12/'Output-Calculation-sheet'!U11*'Output-Calculation-sheet'!U38*0.0114</f>
        <v>1.4741827179765538E-2</v>
      </c>
      <c r="V45" s="2">
        <f>V12/'Output-Calculation-sheet'!V11*'Output-Calculation-sheet'!V38*0.0114</f>
        <v>6.4955637635305983E-3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3.3635177761861968E-3</v>
      </c>
      <c r="Y45" s="2">
        <f>Y12/'Output-Calculation-sheet'!Y11*'Output-Calculation-sheet'!Y38*0.0114</f>
        <v>5.680253236194594E-3</v>
      </c>
      <c r="AA45" s="2">
        <f t="shared" si="2"/>
        <v>5.0729623284424354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7900.1103482204599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5403.0723844219601</v>
      </c>
      <c r="N52" s="2">
        <f>N8/'Output-Calculation-sheet'!N7*'Output-Calculation-sheet'!N43</f>
        <v>170.67419404649783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36.533089554603769</v>
      </c>
      <c r="Y52" s="2">
        <f>Y8/'Output-Calculation-sheet'!Y7*'Output-Calculation-sheet'!Y43</f>
        <v>0</v>
      </c>
      <c r="AA52" s="2">
        <f t="shared" si="3"/>
        <v>13.510390016243521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219.65074614305973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14461.431024327907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9890.7286682929298</v>
      </c>
      <c r="N53" s="2">
        <f>N9/'Output-Calculation-sheet'!N8*'Output-Calculation-sheet'!N44</f>
        <v>3509.8590120526901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1094.5334180596544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301.88231436073931</v>
      </c>
      <c r="Y53" s="2">
        <f>Y9/'Output-Calculation-sheet'!Y8*'Output-Calculation-sheet'!Y44</f>
        <v>0</v>
      </c>
      <c r="AA53" s="2">
        <f t="shared" si="3"/>
        <v>29.633667158370123</v>
      </c>
    </row>
    <row r="54" spans="1:27" x14ac:dyDescent="0.25">
      <c r="A54" s="2">
        <v>2033</v>
      </c>
      <c r="B54" s="2">
        <f>B10/'Output-Calculation-sheet'!B9*'Output-Calculation-sheet'!B45</f>
        <v>26743.737087939411</v>
      </c>
      <c r="C54" s="2">
        <f>C10/'Output-Calculation-sheet'!C9*'Output-Calculation-sheet'!C45</f>
        <v>5746.0760497974334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13358.769370519678</v>
      </c>
      <c r="N54" s="2">
        <f>N10/'Output-Calculation-sheet'!N9*'Output-Calculation-sheet'!N45</f>
        <v>7474.116603523129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782.65312068045637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81.719965702499124</v>
      </c>
    </row>
    <row r="55" spans="1:27" x14ac:dyDescent="0.25">
      <c r="A55" s="2">
        <v>2034</v>
      </c>
      <c r="B55" s="2">
        <f>B11/'Output-Calculation-sheet'!B10*'Output-Calculation-sheet'!B46</f>
        <v>56382.968181243152</v>
      </c>
      <c r="C55" s="2">
        <f>C11/'Output-Calculation-sheet'!C10*'Output-Calculation-sheet'!C46</f>
        <v>11569.001358417532</v>
      </c>
      <c r="D55" s="2">
        <f>D11/'Output-Calculation-sheet'!D10*'Output-Calculation-sheet'!D46</f>
        <v>4882.3673830928246</v>
      </c>
      <c r="E55" s="2">
        <f>E11/'Output-Calculation-sheet'!E10*'Output-Calculation-sheet'!E46</f>
        <v>7311.1774732611202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18888.056798898069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700.54764081785311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587.89228953117322</v>
      </c>
      <c r="M55" s="2">
        <f>M11/'Output-Calculation-sheet'!M10*'Output-Calculation-sheet'!M46</f>
        <v>13208.440838265635</v>
      </c>
      <c r="N55" s="2">
        <f>N11/'Output-Calculation-sheet'!N10*'Output-Calculation-sheet'!N46</f>
        <v>9620.7434347329363</v>
      </c>
      <c r="O55" s="2">
        <f>O11/'Output-Calculation-sheet'!O10*'Output-Calculation-sheet'!O46</f>
        <v>0</v>
      </c>
      <c r="P55" s="2">
        <f>P11/'Output-Calculation-sheet'!P10*'Output-Calculation-sheet'!P46</f>
        <v>3814.6261255101608</v>
      </c>
      <c r="Q55" s="2">
        <f>Q11/'Output-Calculation-sheet'!Q10*'Output-Calculation-sheet'!Q46</f>
        <v>1411.1269998265864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4045.66025083575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938.33433347507867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62.963343364823217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145.67401001287962</v>
      </c>
    </row>
    <row r="56" spans="1:27" x14ac:dyDescent="0.25">
      <c r="A56" s="2">
        <v>2035</v>
      </c>
      <c r="B56" s="2">
        <f>B12/'Output-Calculation-sheet'!B11*'Output-Calculation-sheet'!B47</f>
        <v>48869.959272112646</v>
      </c>
      <c r="C56" s="2">
        <f>C12/'Output-Calculation-sheet'!C11*'Output-Calculation-sheet'!C47</f>
        <v>17617.519708392614</v>
      </c>
      <c r="D56" s="2">
        <f>D12/'Output-Calculation-sheet'!D11*'Output-Calculation-sheet'!D47</f>
        <v>3846.6878965379242</v>
      </c>
      <c r="E56" s="2">
        <f>E12/'Output-Calculation-sheet'!E11*'Output-Calculation-sheet'!E47</f>
        <v>10217.131350855359</v>
      </c>
      <c r="F56" s="2">
        <f>F12/'Output-Calculation-sheet'!F11*'Output-Calculation-sheet'!F47</f>
        <v>1201.6887940828453</v>
      </c>
      <c r="G56" s="2">
        <f>G12/'Output-Calculation-sheet'!G11*'Output-Calculation-sheet'!G47</f>
        <v>3105.7699934533971</v>
      </c>
      <c r="H56" s="2">
        <f>H12/'Output-Calculation-sheet'!H11*'Output-Calculation-sheet'!H47</f>
        <v>14508.820776544737</v>
      </c>
      <c r="I56" s="2">
        <f>I12/'Output-Calculation-sheet'!I11*'Output-Calculation-sheet'!I47</f>
        <v>1726.5124725128105</v>
      </c>
      <c r="J56" s="2">
        <f>J12/'Output-Calculation-sheet'!J11*'Output-Calculation-sheet'!J47</f>
        <v>619.54075121293738</v>
      </c>
      <c r="K56" s="2">
        <f>K12/'Output-Calculation-sheet'!K11*'Output-Calculation-sheet'!K47</f>
        <v>2581.4438727876131</v>
      </c>
      <c r="L56" s="2">
        <f>L12/'Output-Calculation-sheet'!L11*'Output-Calculation-sheet'!L47</f>
        <v>583.53267936328871</v>
      </c>
      <c r="M56" s="2">
        <f>M12/'Output-Calculation-sheet'!M11*'Output-Calculation-sheet'!M47</f>
        <v>10156.95442075688</v>
      </c>
      <c r="N56" s="2">
        <f>N12/'Output-Calculation-sheet'!N11*'Output-Calculation-sheet'!N47</f>
        <v>7575.2012953258145</v>
      </c>
      <c r="O56" s="2">
        <f>O12/'Output-Calculation-sheet'!O11*'Output-Calculation-sheet'!O47</f>
        <v>0</v>
      </c>
      <c r="P56" s="2">
        <f>P12/'Output-Calculation-sheet'!P11*'Output-Calculation-sheet'!P47</f>
        <v>3910.2490944510105</v>
      </c>
      <c r="Q56" s="2">
        <f>Q12/'Output-Calculation-sheet'!Q11*'Output-Calculation-sheet'!Q47</f>
        <v>1386.117467498563</v>
      </c>
      <c r="R56" s="2">
        <f>R12/'Output-Calculation-sheet'!R11*'Output-Calculation-sheet'!R47</f>
        <v>2704.9812594310488</v>
      </c>
      <c r="S56" s="2">
        <f>S12/'Output-Calculation-sheet'!S11*'Output-Calculation-sheet'!S47</f>
        <v>3530.1855587574869</v>
      </c>
      <c r="T56" s="2">
        <f>T12/'Output-Calculation-sheet'!T11*'Output-Calculation-sheet'!T47</f>
        <v>927.02917699722559</v>
      </c>
      <c r="U56" s="2">
        <f>U12/'Output-Calculation-sheet'!U11*'Output-Calculation-sheet'!U47</f>
        <v>723.05152357897634</v>
      </c>
      <c r="V56" s="2">
        <f>V12/'Output-Calculation-sheet'!V11*'Output-Calculation-sheet'!V47</f>
        <v>416.79867482654669</v>
      </c>
      <c r="W56" s="2">
        <f>W12/'Output-Calculation-sheet'!W11*'Output-Calculation-sheet'!W47</f>
        <v>359.31561009243234</v>
      </c>
      <c r="X56" s="2">
        <f>X12/'Output-Calculation-sheet'!X11*'Output-Calculation-sheet'!X47</f>
        <v>216.12076939091131</v>
      </c>
      <c r="Y56" s="2">
        <f>Y12/'Output-Calculation-sheet'!Y11*'Output-Calculation-sheet'!Y47</f>
        <v>462.89081196708577</v>
      </c>
      <c r="AA56" s="2">
        <f t="shared" si="3"/>
        <v>137.24750323093014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6.0557871986363496</v>
      </c>
      <c r="C63" s="2">
        <f>C8*'Output-Calculation-sheet'!C52/10^9</f>
        <v>3.7839369113055237</v>
      </c>
      <c r="D63" s="2">
        <f>D8*'Output-Calculation-sheet'!D52/10^9</f>
        <v>1.7296017684798992</v>
      </c>
      <c r="E63" s="2">
        <f>E8*'Output-Calculation-sheet'!E52/10^9</f>
        <v>1.5887497202435774</v>
      </c>
      <c r="F63" s="2">
        <f>F8*'Output-Calculation-sheet'!F52/10^9</f>
        <v>0.83729858910441446</v>
      </c>
      <c r="G63" s="2">
        <f>G8*'Output-Calculation-sheet'!G52/10^9</f>
        <v>0.61920855812911502</v>
      </c>
      <c r="H63" s="2">
        <f>H8*'Output-Calculation-sheet'!H52/10^9</f>
        <v>1.0683653406590918</v>
      </c>
      <c r="I63" s="2">
        <f>I8*'Output-Calculation-sheet'!I52/10^9</f>
        <v>0.57403383646423578</v>
      </c>
      <c r="J63" s="2">
        <f>J8*'Output-Calculation-sheet'!J52/10^9</f>
        <v>0.58358481474089474</v>
      </c>
      <c r="K63" s="2">
        <f>K8*'Output-Calculation-sheet'!K52/10^9</f>
        <v>0.58730010128987564</v>
      </c>
      <c r="L63" s="2">
        <f>L8*'Output-Calculation-sheet'!L52/10^9</f>
        <v>0.47876532388033466</v>
      </c>
      <c r="M63" s="2">
        <f>M8*'Output-Calculation-sheet'!M52/10^9</f>
        <v>0.73969951178806514</v>
      </c>
      <c r="N63" s="2">
        <f>N8*'Output-Calculation-sheet'!N52/10^9</f>
        <v>0.66370299172642233</v>
      </c>
      <c r="O63" s="2">
        <f>O8*'Output-Calculation-sheet'!O52/10^9</f>
        <v>0.71770061321732936</v>
      </c>
      <c r="P63" s="2">
        <f>P8*'Output-Calculation-sheet'!P52/10^9</f>
        <v>0.47279239752076785</v>
      </c>
      <c r="Q63" s="2">
        <f>Q8*'Output-Calculation-sheet'!Q52/10^9</f>
        <v>0.48758521602961535</v>
      </c>
      <c r="R63" s="2">
        <f>R8*'Output-Calculation-sheet'!R52/10^9</f>
        <v>0.39932755576770679</v>
      </c>
      <c r="S63" s="2">
        <f>S8*'Output-Calculation-sheet'!S52/10^9</f>
        <v>0.36718730681082196</v>
      </c>
      <c r="T63" s="2">
        <f>T8*'Output-Calculation-sheet'!T52/10^9</f>
        <v>0.13768091213684233</v>
      </c>
      <c r="U63" s="2">
        <f>U8*'Output-Calculation-sheet'!U52/10^9</f>
        <v>0.12507682373292242</v>
      </c>
      <c r="V63" s="2">
        <f>V8*'Output-Calculation-sheet'!V52/10^9</f>
        <v>9.6646041116410369E-2</v>
      </c>
      <c r="W63" s="2">
        <f>W8*'Output-Calculation-sheet'!W52/10^9</f>
        <v>7.5505276154547649E-2</v>
      </c>
      <c r="X63" s="2">
        <f>X8*'Output-Calculation-sheet'!X52/10^9</f>
        <v>8.9102605237691535E-2</v>
      </c>
      <c r="Y63" s="2">
        <f>Y8*'Output-Calculation-sheet'!Y52/10^9</f>
        <v>4.9081506233571562E-2</v>
      </c>
      <c r="AA63" s="2">
        <f t="shared" si="4"/>
        <v>22.327720920406023</v>
      </c>
    </row>
    <row r="64" spans="1:27" x14ac:dyDescent="0.25">
      <c r="A64" s="2">
        <v>2032</v>
      </c>
      <c r="B64" s="2">
        <f>B9*'Output-Calculation-sheet'!B53/10^9</f>
        <v>6.4713622533331066</v>
      </c>
      <c r="C64" s="2">
        <f>C9*'Output-Calculation-sheet'!C53/10^9</f>
        <v>4.2844618703246784</v>
      </c>
      <c r="D64" s="2">
        <f>D9*'Output-Calculation-sheet'!D53/10^9</f>
        <v>1.559207595898229</v>
      </c>
      <c r="E64" s="2">
        <f>E9*'Output-Calculation-sheet'!E53/10^9</f>
        <v>1.5222559912645233</v>
      </c>
      <c r="F64" s="2">
        <f>F9*'Output-Calculation-sheet'!F53/10^9</f>
        <v>0.76772332561036893</v>
      </c>
      <c r="G64" s="2">
        <f>G9*'Output-Calculation-sheet'!G53/10^9</f>
        <v>0.55765118743287023</v>
      </c>
      <c r="H64" s="2">
        <f>H9*'Output-Calculation-sheet'!H53/10^9</f>
        <v>1.1971491007410222</v>
      </c>
      <c r="I64" s="2">
        <f>I9*'Output-Calculation-sheet'!I53/10^9</f>
        <v>0.52070508978966112</v>
      </c>
      <c r="J64" s="2">
        <f>J9*'Output-Calculation-sheet'!J53/10^9</f>
        <v>0.51973332204075817</v>
      </c>
      <c r="K64" s="2">
        <f>K9*'Output-Calculation-sheet'!K53/10^9</f>
        <v>0.56057625116541521</v>
      </c>
      <c r="L64" s="2">
        <f>L9*'Output-Calculation-sheet'!L53/10^9</f>
        <v>0.46209375208777592</v>
      </c>
      <c r="M64" s="2">
        <f>M9*'Output-Calculation-sheet'!M53/10^9</f>
        <v>0.82944412792751077</v>
      </c>
      <c r="N64" s="2">
        <f>N9*'Output-Calculation-sheet'!N53/10^9</f>
        <v>0.73701503907615118</v>
      </c>
      <c r="O64" s="2">
        <f>O9*'Output-Calculation-sheet'!O53/10^9</f>
        <v>0.79297889756366413</v>
      </c>
      <c r="P64" s="2">
        <f>P9*'Output-Calculation-sheet'!P53/10^9</f>
        <v>0.50136755615462891</v>
      </c>
      <c r="Q64" s="2">
        <f>Q9*'Output-Calculation-sheet'!Q53/10^9</f>
        <v>0.51303807756821851</v>
      </c>
      <c r="R64" s="2">
        <f>R9*'Output-Calculation-sheet'!R53/10^9</f>
        <v>0.40111212775011079</v>
      </c>
      <c r="S64" s="2">
        <f>S9*'Output-Calculation-sheet'!S53/10^9</f>
        <v>0.40595897794687041</v>
      </c>
      <c r="T64" s="2">
        <f>T9*'Output-Calculation-sheet'!T53/10^9</f>
        <v>0.12853338373150466</v>
      </c>
      <c r="U64" s="2">
        <f>U9*'Output-Calculation-sheet'!U53/10^9</f>
        <v>0.12679201029588708</v>
      </c>
      <c r="V64" s="2">
        <f>V9*'Output-Calculation-sheet'!V53/10^9</f>
        <v>9.4336734708931239E-2</v>
      </c>
      <c r="W64" s="2">
        <f>W9*'Output-Calculation-sheet'!W53/10^9</f>
        <v>6.8107089879651167E-2</v>
      </c>
      <c r="X64" s="2">
        <f>X9*'Output-Calculation-sheet'!X53/10^9</f>
        <v>0.10031292658698852</v>
      </c>
      <c r="Y64" s="2">
        <f>Y9*'Output-Calculation-sheet'!Y53/10^9</f>
        <v>4.9093947183213929E-2</v>
      </c>
      <c r="AA64" s="2">
        <f t="shared" si="4"/>
        <v>23.171010636061734</v>
      </c>
    </row>
    <row r="65" spans="1:27" x14ac:dyDescent="0.25">
      <c r="A65" s="2">
        <v>2033</v>
      </c>
      <c r="B65" s="2">
        <f>B10*'Output-Calculation-sheet'!B54/10^9</f>
        <v>6.5549423444753323</v>
      </c>
      <c r="C65" s="2">
        <f>C10*'Output-Calculation-sheet'!C54/10^9</f>
        <v>4.3294789846139246</v>
      </c>
      <c r="D65" s="2">
        <f>D10*'Output-Calculation-sheet'!D54/10^9</f>
        <v>1.259174361685572</v>
      </c>
      <c r="E65" s="2">
        <f>E10*'Output-Calculation-sheet'!E54/10^9</f>
        <v>1.4288681920927202</v>
      </c>
      <c r="F65" s="2">
        <f>F10*'Output-Calculation-sheet'!F54/10^9</f>
        <v>0.64819622647897346</v>
      </c>
      <c r="G65" s="2">
        <f>G10*'Output-Calculation-sheet'!G54/10^9</f>
        <v>0.44736372911075578</v>
      </c>
      <c r="H65" s="2">
        <f>H10*'Output-Calculation-sheet'!H54/10^9</f>
        <v>1.1890814642899592</v>
      </c>
      <c r="I65" s="2">
        <f>I10*'Output-Calculation-sheet'!I54/10^9</f>
        <v>0.44005708084852474</v>
      </c>
      <c r="J65" s="2">
        <f>J10*'Output-Calculation-sheet'!J54/10^9</f>
        <v>0.40584651363922397</v>
      </c>
      <c r="K65" s="2">
        <f>K10*'Output-Calculation-sheet'!K54/10^9</f>
        <v>0.51763873244423475</v>
      </c>
      <c r="L65" s="2">
        <f>L10*'Output-Calculation-sheet'!L54/10^9</f>
        <v>0.43050823255158333</v>
      </c>
      <c r="M65" s="2">
        <f>M10*'Output-Calculation-sheet'!M54/10^9</f>
        <v>0.82396273101546202</v>
      </c>
      <c r="N65" s="2">
        <f>N10*'Output-Calculation-sheet'!N54/10^9</f>
        <v>0.74075717577314326</v>
      </c>
      <c r="O65" s="2">
        <f>O10*'Output-Calculation-sheet'!O54/10^9</f>
        <v>0.78421965293467544</v>
      </c>
      <c r="P65" s="2">
        <f>P10*'Output-Calculation-sheet'!P54/10^9</f>
        <v>0.4998753493493498</v>
      </c>
      <c r="Q65" s="2">
        <f>Q10*'Output-Calculation-sheet'!Q54/10^9</f>
        <v>0.51864341355475618</v>
      </c>
      <c r="R65" s="2">
        <f>R10*'Output-Calculation-sheet'!R54/10^9</f>
        <v>0.38754729153735495</v>
      </c>
      <c r="S65" s="2">
        <f>S10*'Output-Calculation-sheet'!S54/10^9</f>
        <v>0.40981944774119439</v>
      </c>
      <c r="T65" s="2">
        <f>T10*'Output-Calculation-sheet'!T54/10^9</f>
        <v>0.11632054261314116</v>
      </c>
      <c r="U65" s="2">
        <f>U10*'Output-Calculation-sheet'!U54/10^9</f>
        <v>0.12577275032476329</v>
      </c>
      <c r="V65" s="2">
        <f>V10*'Output-Calculation-sheet'!V54/10^9</f>
        <v>8.7772702208463282E-2</v>
      </c>
      <c r="W65" s="2">
        <f>W10*'Output-Calculation-sheet'!W54/10^9</f>
        <v>5.4902817235452185E-2</v>
      </c>
      <c r="X65" s="2">
        <f>X10*'Output-Calculation-sheet'!X54/10^9</f>
        <v>0.10100119652825891</v>
      </c>
      <c r="Y65" s="2">
        <f>Y10*'Output-Calculation-sheet'!Y54/10^9</f>
        <v>4.8437638774207079E-2</v>
      </c>
      <c r="AA65" s="2">
        <f t="shared" si="4"/>
        <v>22.350188571821029</v>
      </c>
    </row>
    <row r="66" spans="1:27" x14ac:dyDescent="0.25">
      <c r="A66" s="2">
        <v>2034</v>
      </c>
      <c r="B66" s="2">
        <f>B11*'Output-Calculation-sheet'!B55/10^9</f>
        <v>6.1593394844103306</v>
      </c>
      <c r="C66" s="2">
        <f>C11*'Output-Calculation-sheet'!C55/10^9</f>
        <v>3.9237799748766715</v>
      </c>
      <c r="D66" s="2">
        <f>D11*'Output-Calculation-sheet'!D55/10^9</f>
        <v>1.1556386385984441</v>
      </c>
      <c r="E66" s="2">
        <f>E11*'Output-Calculation-sheet'!E55/10^9</f>
        <v>1.4249499107487182</v>
      </c>
      <c r="F66" s="2">
        <f>F11*'Output-Calculation-sheet'!F55/10^9</f>
        <v>0.57069021239668893</v>
      </c>
      <c r="G66" s="2">
        <f>G11*'Output-Calculation-sheet'!G55/10^9</f>
        <v>0.41104429906295681</v>
      </c>
      <c r="H66" s="2">
        <f>H11*'Output-Calculation-sheet'!H55/10^9</f>
        <v>1.0828010862275408</v>
      </c>
      <c r="I66" s="2">
        <f>I11*'Output-Calculation-sheet'!I55/10^9</f>
        <v>0.40404947584285</v>
      </c>
      <c r="J66" s="2">
        <f>J11*'Output-Calculation-sheet'!J55/10^9</f>
        <v>0.35647720080123957</v>
      </c>
      <c r="K66" s="2">
        <f>K11*'Output-Calculation-sheet'!K55/10^9</f>
        <v>0.47640095127135446</v>
      </c>
      <c r="L66" s="2">
        <f>L11*'Output-Calculation-sheet'!L55/10^9</f>
        <v>0.41728584228490256</v>
      </c>
      <c r="M66" s="2">
        <f>M11*'Output-Calculation-sheet'!M55/10^9</f>
        <v>0.75186781936777136</v>
      </c>
      <c r="N66" s="2">
        <f>N11*'Output-Calculation-sheet'!N55/10^9</f>
        <v>0.67309295839670369</v>
      </c>
      <c r="O66" s="2">
        <f>O11*'Output-Calculation-sheet'!O55/10^9</f>
        <v>0.69830305254751102</v>
      </c>
      <c r="P66" s="2">
        <f>P11*'Output-Calculation-sheet'!P55/10^9</f>
        <v>0.47310233447170535</v>
      </c>
      <c r="Q66" s="2">
        <f>Q11*'Output-Calculation-sheet'!Q55/10^9</f>
        <v>0.49112852872285945</v>
      </c>
      <c r="R66" s="2">
        <f>R11*'Output-Calculation-sheet'!R55/10^9</f>
        <v>0.35803982671947482</v>
      </c>
      <c r="S66" s="2">
        <f>S11*'Output-Calculation-sheet'!S55/10^9</f>
        <v>0.3791558714619962</v>
      </c>
      <c r="T66" s="2">
        <f>T11*'Output-Calculation-sheet'!T55/10^9</f>
        <v>0.10540810714622462</v>
      </c>
      <c r="U66" s="2">
        <f>U11*'Output-Calculation-sheet'!U55/10^9</f>
        <v>0.12173932613257195</v>
      </c>
      <c r="V66" s="2">
        <f>V11*'Output-Calculation-sheet'!V55/10^9</f>
        <v>7.873443911011925E-2</v>
      </c>
      <c r="W66" s="2">
        <f>W11*'Output-Calculation-sheet'!W55/10^9</f>
        <v>4.7968273868297634E-2</v>
      </c>
      <c r="X66" s="2">
        <f>X11*'Output-Calculation-sheet'!X55/10^9</f>
        <v>9.1553354275236101E-2</v>
      </c>
      <c r="Y66" s="2">
        <f>Y11*'Output-Calculation-sheet'!Y55/10^9</f>
        <v>4.9738408828268528E-2</v>
      </c>
      <c r="AA66" s="2">
        <f t="shared" si="4"/>
        <v>20.702289377570438</v>
      </c>
    </row>
    <row r="67" spans="1:27" x14ac:dyDescent="0.25">
      <c r="A67" s="2">
        <v>2035</v>
      </c>
      <c r="B67" s="2">
        <f>B12*'Output-Calculation-sheet'!B56/10^9</f>
        <v>5.186133318491577</v>
      </c>
      <c r="C67" s="2">
        <f>C12*'Output-Calculation-sheet'!C56/10^9</f>
        <v>3.1628718016467281</v>
      </c>
      <c r="D67" s="2">
        <f>D12*'Output-Calculation-sheet'!D56/10^9</f>
        <v>1.0548648014667417</v>
      </c>
      <c r="E67" s="2">
        <f>E12*'Output-Calculation-sheet'!E56/10^9</f>
        <v>1.426250846006148</v>
      </c>
      <c r="F67" s="2">
        <f>F12*'Output-Calculation-sheet'!F56/10^9</f>
        <v>0.56557196630261286</v>
      </c>
      <c r="G67" s="2">
        <f>G12*'Output-Calculation-sheet'!G56/10^9</f>
        <v>0.41050896924124003</v>
      </c>
      <c r="H67" s="2">
        <f>H12*'Output-Calculation-sheet'!H56/10^9</f>
        <v>0.89486272711536285</v>
      </c>
      <c r="I67" s="2">
        <f>I12*'Output-Calculation-sheet'!I56/10^9</f>
        <v>0.38777991248077565</v>
      </c>
      <c r="J67" s="2">
        <f>J12*'Output-Calculation-sheet'!J56/10^9</f>
        <v>0.32022172361335571</v>
      </c>
      <c r="K67" s="2">
        <f>K12*'Output-Calculation-sheet'!K56/10^9</f>
        <v>0.43295506224794733</v>
      </c>
      <c r="L67" s="2">
        <f>L12*'Output-Calculation-sheet'!L56/10^9</f>
        <v>0.3735888732591971</v>
      </c>
      <c r="M67" s="2">
        <f>M12*'Output-Calculation-sheet'!M56/10^9</f>
        <v>0.6271171265857326</v>
      </c>
      <c r="N67" s="2">
        <f>N12*'Output-Calculation-sheet'!N56/10^9</f>
        <v>0.54894946966441682</v>
      </c>
      <c r="O67" s="2">
        <f>O12*'Output-Calculation-sheet'!O56/10^9</f>
        <v>0.55556937905301174</v>
      </c>
      <c r="P67" s="2">
        <f>P12*'Output-Calculation-sheet'!P56/10^9</f>
        <v>0.43742110342582025</v>
      </c>
      <c r="Q67" s="2">
        <f>Q12*'Output-Calculation-sheet'!Q56/10^9</f>
        <v>0.41004723545773003</v>
      </c>
      <c r="R67" s="2">
        <f>R12*'Output-Calculation-sheet'!R56/10^9</f>
        <v>0.32215496214297579</v>
      </c>
      <c r="S67" s="2">
        <f>S12*'Output-Calculation-sheet'!S56/10^9</f>
        <v>0.31243825779974244</v>
      </c>
      <c r="T67" s="2">
        <f>T12*'Output-Calculation-sheet'!T56/10^9</f>
        <v>9.9032090384834126E-2</v>
      </c>
      <c r="U67" s="2">
        <f>U12*'Output-Calculation-sheet'!U56/10^9</f>
        <v>0.10678735695170742</v>
      </c>
      <c r="V67" s="2">
        <f>V12*'Output-Calculation-sheet'!V56/10^9</f>
        <v>6.7340177317879002E-2</v>
      </c>
      <c r="W67" s="2">
        <f>W12*'Output-Calculation-sheet'!W56/10^9</f>
        <v>5.2393905800555293E-2</v>
      </c>
      <c r="X67" s="2">
        <f>X12*'Output-Calculation-sheet'!X56/10^9</f>
        <v>7.6757999033839855E-2</v>
      </c>
      <c r="Y67" s="2">
        <f>Y12*'Output-Calculation-sheet'!Y56/10^9</f>
        <v>4.9196739782758361E-2</v>
      </c>
      <c r="AA67" s="2">
        <f t="shared" si="4"/>
        <v>17.880815805272686</v>
      </c>
    </row>
    <row r="68" spans="1:27" x14ac:dyDescent="0.25">
      <c r="B68" s="2">
        <f>SUM(B60:B67)</f>
        <v>30.427564599346699</v>
      </c>
      <c r="C68" s="2">
        <f t="shared" ref="C68:Y68" si="5">SUM(C60:C67)</f>
        <v>19.484529542767525</v>
      </c>
      <c r="D68" s="2">
        <f t="shared" si="5"/>
        <v>6.7584871661288854</v>
      </c>
      <c r="E68" s="2">
        <f t="shared" si="5"/>
        <v>7.3910746603556872</v>
      </c>
      <c r="F68" s="2">
        <f t="shared" si="5"/>
        <v>3.3894803198930585</v>
      </c>
      <c r="G68" s="2">
        <f t="shared" si="5"/>
        <v>2.4457767429769381</v>
      </c>
      <c r="H68" s="2">
        <f t="shared" si="5"/>
        <v>5.4322597190329773</v>
      </c>
      <c r="I68" s="2">
        <f t="shared" si="5"/>
        <v>2.326625395426047</v>
      </c>
      <c r="J68" s="2">
        <f t="shared" si="5"/>
        <v>2.185863574835472</v>
      </c>
      <c r="K68" s="2">
        <f t="shared" si="5"/>
        <v>2.5748710984188277</v>
      </c>
      <c r="L68" s="2">
        <f t="shared" si="5"/>
        <v>2.1622420240637936</v>
      </c>
      <c r="M68" s="2">
        <f t="shared" si="5"/>
        <v>3.7720913166845422</v>
      </c>
      <c r="N68" s="2">
        <f t="shared" si="5"/>
        <v>3.3635176346368372</v>
      </c>
      <c r="O68" s="2">
        <f t="shared" si="5"/>
        <v>3.5487715953161918</v>
      </c>
      <c r="P68" s="2">
        <f t="shared" si="5"/>
        <v>2.3845587409222722</v>
      </c>
      <c r="Q68" s="2">
        <f t="shared" si="5"/>
        <v>2.4204424713331791</v>
      </c>
      <c r="R68" s="2">
        <f t="shared" si="5"/>
        <v>1.8681817639176233</v>
      </c>
      <c r="S68" s="2">
        <f t="shared" si="5"/>
        <v>1.8745598617606254</v>
      </c>
      <c r="T68" s="2">
        <f t="shared" si="5"/>
        <v>0.58697503601254697</v>
      </c>
      <c r="U68" s="2">
        <f t="shared" si="5"/>
        <v>0.60616826743785213</v>
      </c>
      <c r="V68" s="2">
        <f t="shared" si="5"/>
        <v>0.42483009446180314</v>
      </c>
      <c r="W68" s="2">
        <f t="shared" si="5"/>
        <v>0.29887736293850392</v>
      </c>
      <c r="X68" s="2">
        <f t="shared" si="5"/>
        <v>0.4587280816620149</v>
      </c>
      <c r="Y68" s="2">
        <f t="shared" si="5"/>
        <v>0.24554824080201942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1676.7289400510888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1131.04132067399</v>
      </c>
      <c r="N74" s="2">
        <f>N8/'Output-Calculation-sheet'!N7*'Output-Calculation-sheet'!N61</f>
        <v>47.015339377720075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10.036592213545633</v>
      </c>
      <c r="Y74" s="2">
        <f>Y8/'Output-Calculation-sheet'!Y7*'Output-Calculation-sheet'!Y61</f>
        <v>0</v>
      </c>
      <c r="AA74" s="2">
        <f t="shared" si="6"/>
        <v>2.8648221923163444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60.345024501351816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2757.0786687770255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1868.210670335171</v>
      </c>
      <c r="N75" s="2">
        <f>N9/'Output-Calculation-sheet'!N8*'Output-Calculation-sheet'!N62</f>
        <v>719.18762182904618</v>
      </c>
      <c r="O75" s="2">
        <f>O9/'Output-Calculation-sheet'!O8*'Output-Calculation-sheet'!O62</f>
        <v>0</v>
      </c>
      <c r="P75" s="2">
        <f>P9/'Output-Calculation-sheet'!P8*'Output-Calculation-sheet'!P62</f>
        <v>46.783809025798305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241.71926621894289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65.601578905411074</v>
      </c>
      <c r="Y75" s="2">
        <f>Y9/'Output-Calculation-sheet'!Y8*'Output-Calculation-sheet'!Y62</f>
        <v>0</v>
      </c>
      <c r="AA75" s="2">
        <f t="shared" si="6"/>
        <v>5.7589266395927465</v>
      </c>
    </row>
    <row r="76" spans="1:27" x14ac:dyDescent="0.25">
      <c r="A76" s="2">
        <v>2033</v>
      </c>
      <c r="B76" s="2">
        <f>B10/'Output-Calculation-sheet'!B9*'Output-Calculation-sheet'!B63</f>
        <v>5373.4016361518716</v>
      </c>
      <c r="C76" s="2">
        <f>C10/'Output-Calculation-sheet'!C9*'Output-Calculation-sheet'!C63</f>
        <v>1578.5911165496402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3520.9912282028431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2394.9059142919559</v>
      </c>
      <c r="N76" s="2">
        <f>N10/'Output-Calculation-sheet'!N9*'Output-Calculation-sheet'!N63</f>
        <v>1368.1005244380897</v>
      </c>
      <c r="O76" s="2">
        <f>O10/'Output-Calculation-sheet'!O9*'Output-Calculation-sheet'!O63</f>
        <v>0</v>
      </c>
      <c r="P76" s="2">
        <f>P10/'Output-Calculation-sheet'!P9*'Output-Calculation-sheet'!P63</f>
        <v>471.63975047347753</v>
      </c>
      <c r="Q76" s="2">
        <f>Q10/'Output-Calculation-sheet'!Q9*'Output-Calculation-sheet'!Q63</f>
        <v>212.33897296788757</v>
      </c>
      <c r="R76" s="2">
        <f>R10/'Output-Calculation-sheet'!R9*'Output-Calculation-sheet'!R63</f>
        <v>359.44670579594379</v>
      </c>
      <c r="S76" s="2">
        <f>S10/'Output-Calculation-sheet'!S9*'Output-Calculation-sheet'!S63</f>
        <v>608.28260831683167</v>
      </c>
      <c r="T76" s="2">
        <f>T10/'Output-Calculation-sheet'!T9*'Output-Calculation-sheet'!T63</f>
        <v>23.626309278405799</v>
      </c>
      <c r="U76" s="2">
        <f>U10/'Output-Calculation-sheet'!U9*'Output-Calculation-sheet'!U63</f>
        <v>127.60122931882825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137.31748759361042</v>
      </c>
      <c r="Y76" s="2">
        <f>Y10/'Output-Calculation-sheet'!Y9*'Output-Calculation-sheet'!Y63</f>
        <v>6.0582963765313975</v>
      </c>
      <c r="AA76" s="2">
        <f t="shared" si="6"/>
        <v>16.281480256589177</v>
      </c>
    </row>
    <row r="77" spans="1:27" x14ac:dyDescent="0.25">
      <c r="A77" s="2">
        <v>2034</v>
      </c>
      <c r="B77" s="2">
        <f>B11/'Output-Calculation-sheet'!B10*'Output-Calculation-sheet'!B64</f>
        <v>9599.0610337587859</v>
      </c>
      <c r="C77" s="2">
        <f>C11/'Output-Calculation-sheet'!C10*'Output-Calculation-sheet'!C64</f>
        <v>2618.2001749874426</v>
      </c>
      <c r="D77" s="2">
        <f>D11/'Output-Calculation-sheet'!D10*'Output-Calculation-sheet'!D64</f>
        <v>1159.9173685531562</v>
      </c>
      <c r="E77" s="2">
        <f>E11/'Output-Calculation-sheet'!E10*'Output-Calculation-sheet'!E64</f>
        <v>1685.3446157915914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3486.760870595132</v>
      </c>
      <c r="I77" s="2">
        <f>I11/'Output-Calculation-sheet'!I10*'Output-Calculation-sheet'!I64</f>
        <v>420.75361743813585</v>
      </c>
      <c r="J77" s="2">
        <f>J11/'Output-Calculation-sheet'!J10*'Output-Calculation-sheet'!J64</f>
        <v>231.46212789510142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167.13112076019473</v>
      </c>
      <c r="M77" s="2">
        <f>M11/'Output-Calculation-sheet'!M10*'Output-Calculation-sheet'!M64</f>
        <v>2434.0849100132227</v>
      </c>
      <c r="N77" s="2">
        <f>N11/'Output-Calculation-sheet'!N10*'Output-Calculation-sheet'!N64</f>
        <v>1685.3682842639921</v>
      </c>
      <c r="O77" s="2">
        <f>O11/'Output-Calculation-sheet'!O10*'Output-Calculation-sheet'!O64</f>
        <v>0</v>
      </c>
      <c r="P77" s="2">
        <f>P11/'Output-Calculation-sheet'!P10*'Output-Calculation-sheet'!P64</f>
        <v>796.13305926512407</v>
      </c>
      <c r="Q77" s="2">
        <f>Q11/'Output-Calculation-sheet'!Q10*'Output-Calculation-sheet'!Q64</f>
        <v>326.30723108903732</v>
      </c>
      <c r="R77" s="2">
        <f>R11/'Output-Calculation-sheet'!R10*'Output-Calculation-sheet'!R64</f>
        <v>676.80767596875876</v>
      </c>
      <c r="S77" s="2">
        <f>S11/'Output-Calculation-sheet'!S10*'Output-Calculation-sheet'!S64</f>
        <v>731.59423628096135</v>
      </c>
      <c r="T77" s="2">
        <f>T11/'Output-Calculation-sheet'!T10*'Output-Calculation-sheet'!T64</f>
        <v>187.24778746899875</v>
      </c>
      <c r="U77" s="2">
        <f>U11/'Output-Calculation-sheet'!U10*'Output-Calculation-sheet'!U64</f>
        <v>203.79199930363055</v>
      </c>
      <c r="V77" s="2">
        <f>V11/'Output-Calculation-sheet'!V10*'Output-Calculation-sheet'!V64</f>
        <v>97.693606946565495</v>
      </c>
      <c r="W77" s="2">
        <f>W11/'Output-Calculation-sheet'!W10*'Output-Calculation-sheet'!W64</f>
        <v>21.233816638642132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62.124902706862493</v>
      </c>
      <c r="AA77" s="2">
        <f t="shared" si="6"/>
        <v>28.168666447094711</v>
      </c>
    </row>
    <row r="78" spans="1:27" x14ac:dyDescent="0.25">
      <c r="A78" s="2">
        <v>2035</v>
      </c>
      <c r="B78" s="2">
        <f>B12/'Output-Calculation-sheet'!B11*'Output-Calculation-sheet'!B65</f>
        <v>8454.0816036670931</v>
      </c>
      <c r="C78" s="2">
        <f>C12/'Output-Calculation-sheet'!C11*'Output-Calculation-sheet'!C65</f>
        <v>3573.3821555844638</v>
      </c>
      <c r="D78" s="2">
        <f>D12/'Output-Calculation-sheet'!D11*'Output-Calculation-sheet'!D65</f>
        <v>911.51600044256077</v>
      </c>
      <c r="E78" s="2">
        <f>E12/'Output-Calculation-sheet'!E11*'Output-Calculation-sheet'!E65</f>
        <v>1749.7127951698424</v>
      </c>
      <c r="F78" s="2">
        <f>F12/'Output-Calculation-sheet'!F11*'Output-Calculation-sheet'!F65</f>
        <v>381.25298710141135</v>
      </c>
      <c r="G78" s="2">
        <f>G12/'Output-Calculation-sheet'!G11*'Output-Calculation-sheet'!G65</f>
        <v>701.18381073374292</v>
      </c>
      <c r="H78" s="2">
        <f>H12/'Output-Calculation-sheet'!H11*'Output-Calculation-sheet'!H65</f>
        <v>2695.1600327289393</v>
      </c>
      <c r="I78" s="2">
        <f>I12/'Output-Calculation-sheet'!I11*'Output-Calculation-sheet'!I65</f>
        <v>446.58971412621037</v>
      </c>
      <c r="J78" s="2">
        <f>J12/'Output-Calculation-sheet'!J11*'Output-Calculation-sheet'!J65</f>
        <v>191.28994107559453</v>
      </c>
      <c r="K78" s="2">
        <f>K12/'Output-Calculation-sheet'!K11*'Output-Calculation-sheet'!K65</f>
        <v>569.71975842671316</v>
      </c>
      <c r="L78" s="2">
        <f>L12/'Output-Calculation-sheet'!L11*'Output-Calculation-sheet'!L65</f>
        <v>164.93412921118937</v>
      </c>
      <c r="M78" s="2">
        <f>M12/'Output-Calculation-sheet'!M11*'Output-Calculation-sheet'!M65</f>
        <v>1895.950257000233</v>
      </c>
      <c r="N78" s="2">
        <f>N12/'Output-Calculation-sheet'!N11*'Output-Calculation-sheet'!N65</f>
        <v>1331.1028994437993</v>
      </c>
      <c r="O78" s="2">
        <f>O12/'Output-Calculation-sheet'!O11*'Output-Calculation-sheet'!O65</f>
        <v>0</v>
      </c>
      <c r="P78" s="2">
        <f>P12/'Output-Calculation-sheet'!P11*'Output-Calculation-sheet'!P65</f>
        <v>752.30933729204742</v>
      </c>
      <c r="Q78" s="2">
        <f>Q12/'Output-Calculation-sheet'!Q11*'Output-Calculation-sheet'!Q65</f>
        <v>297.9145101323478</v>
      </c>
      <c r="R78" s="2">
        <f>R12/'Output-Calculation-sheet'!R11*'Output-Calculation-sheet'!R65</f>
        <v>591.91432301868394</v>
      </c>
      <c r="S78" s="2">
        <f>S12/'Output-Calculation-sheet'!S11*'Output-Calculation-sheet'!S65</f>
        <v>616.51798524150092</v>
      </c>
      <c r="T78" s="2">
        <f>T12/'Output-Calculation-sheet'!T11*'Output-Calculation-sheet'!T65</f>
        <v>211.27874389411312</v>
      </c>
      <c r="U78" s="2">
        <f>U12/'Output-Calculation-sheet'!U11*'Output-Calculation-sheet'!U65</f>
        <v>157.1410425532724</v>
      </c>
      <c r="V78" s="2">
        <f>V12/'Output-Calculation-sheet'!V11*'Output-Calculation-sheet'!V65</f>
        <v>80.883586173610823</v>
      </c>
      <c r="W78" s="2">
        <f>W12/'Output-Calculation-sheet'!W11*'Output-Calculation-sheet'!W65</f>
        <v>80.684178394916316</v>
      </c>
      <c r="X78" s="2">
        <f>X12/'Output-Calculation-sheet'!X11*'Output-Calculation-sheet'!X65</f>
        <v>42.116995943520976</v>
      </c>
      <c r="Y78" s="2">
        <f>Y12/'Output-Calculation-sheet'!Y11*'Output-Calculation-sheet'!Y65</f>
        <v>73.055957721588001</v>
      </c>
      <c r="AA78" s="2">
        <f t="shared" si="6"/>
        <v>25.969692745077403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430.67014208665012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249.99369365983074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0.68066383574648082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1403.6218412068695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350.74333593874502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1.7543651771456146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2227.6634815780162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404.69612436728011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2.6323596059452963</v>
      </c>
    </row>
    <row r="88" spans="1:27" x14ac:dyDescent="0.25">
      <c r="A88" s="2">
        <v>2034</v>
      </c>
      <c r="B88" s="2">
        <f>B11/'Output-Calculation-sheet'!B10*'Output-Calculation-sheet'!B73</f>
        <v>97.288258822537202</v>
      </c>
      <c r="C88" s="2">
        <f>C11/'Output-Calculation-sheet'!C10*'Output-Calculation-sheet'!C73</f>
        <v>2111.4686804368721</v>
      </c>
      <c r="D88" s="2">
        <f>D11/'Output-Calculation-sheet'!D10*'Output-Calculation-sheet'!D73</f>
        <v>7.436964787650914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34.889343474738169</v>
      </c>
      <c r="I88" s="2">
        <f>I11/'Output-Calculation-sheet'!I10*'Output-Calculation-sheet'!I73</f>
        <v>0</v>
      </c>
      <c r="J88" s="2">
        <f>J11/'Output-Calculation-sheet'!J10*'Output-Calculation-sheet'!J73</f>
        <v>2.3747377654842476</v>
      </c>
      <c r="K88" s="2">
        <f>K11/'Output-Calculation-sheet'!K10*'Output-Calculation-sheet'!K73</f>
        <v>0</v>
      </c>
      <c r="L88" s="2">
        <f>L11/'Output-Calculation-sheet'!L10*'Output-Calculation-sheet'!L73</f>
        <v>5.6257635361834755</v>
      </c>
      <c r="M88" s="2">
        <f>M11/'Output-Calculation-sheet'!M10*'Output-Calculation-sheet'!M73</f>
        <v>16.894000398993406</v>
      </c>
      <c r="N88" s="2">
        <f>N11/'Output-Calculation-sheet'!N10*'Output-Calculation-sheet'!N73</f>
        <v>8.7389803204041563</v>
      </c>
      <c r="O88" s="2">
        <f>O11/'Output-Calculation-sheet'!O10*'Output-Calculation-sheet'!O73</f>
        <v>398.78261709114759</v>
      </c>
      <c r="P88" s="2">
        <f>P11/'Output-Calculation-sheet'!P10*'Output-Calculation-sheet'!P73</f>
        <v>0</v>
      </c>
      <c r="Q88" s="2">
        <f>Q11/'Output-Calculation-sheet'!Q10*'Output-Calculation-sheet'!Q73</f>
        <v>26.798396632626435</v>
      </c>
      <c r="R88" s="2">
        <f>R11/'Output-Calculation-sheet'!R10*'Output-Calculation-sheet'!R73</f>
        <v>0</v>
      </c>
      <c r="S88" s="2">
        <f>S11/'Output-Calculation-sheet'!S10*'Output-Calculation-sheet'!S73</f>
        <v>12.52371301026421</v>
      </c>
      <c r="T88" s="2">
        <f>T11/'Output-Calculation-sheet'!T10*'Output-Calculation-sheet'!T73</f>
        <v>0</v>
      </c>
      <c r="U88" s="2">
        <f>U11/'Output-Calculation-sheet'!U10*'Output-Calculation-sheet'!U73</f>
        <v>2.4429428104011421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2.7252643990873029</v>
      </c>
    </row>
    <row r="89" spans="1:27" x14ac:dyDescent="0.25">
      <c r="A89" s="2">
        <v>2035</v>
      </c>
      <c r="B89" s="2">
        <f>B12/'Output-Calculation-sheet'!B11*'Output-Calculation-sheet'!B74</f>
        <v>414.66230667455648</v>
      </c>
      <c r="C89" s="2">
        <f>C12/'Output-Calculation-sheet'!C11*'Output-Calculation-sheet'!C74</f>
        <v>1698.2654133315402</v>
      </c>
      <c r="D89" s="2">
        <f>D12/'Output-Calculation-sheet'!D11*'Output-Calculation-sheet'!D74</f>
        <v>78.733377999314229</v>
      </c>
      <c r="E89" s="2">
        <f>E12/'Output-Calculation-sheet'!E11*'Output-Calculation-sheet'!E74</f>
        <v>105.03175273189018</v>
      </c>
      <c r="F89" s="2">
        <f>F12/'Output-Calculation-sheet'!F11*'Output-Calculation-sheet'!F74</f>
        <v>33.731615272500918</v>
      </c>
      <c r="G89" s="2">
        <f>G12/'Output-Calculation-sheet'!G11*'Output-Calculation-sheet'!G74</f>
        <v>32.278220133325334</v>
      </c>
      <c r="H89" s="2">
        <f>H12/'Output-Calculation-sheet'!H11*'Output-Calculation-sheet'!H74</f>
        <v>126.05319774880597</v>
      </c>
      <c r="I89" s="2">
        <f>I12/'Output-Calculation-sheet'!I11*'Output-Calculation-sheet'!I74</f>
        <v>27.217747858846199</v>
      </c>
      <c r="J89" s="2">
        <f>J12/'Output-Calculation-sheet'!J11*'Output-Calculation-sheet'!J74</f>
        <v>21.549243520449995</v>
      </c>
      <c r="K89" s="2">
        <f>K12/'Output-Calculation-sheet'!K11*'Output-Calculation-sheet'!K74</f>
        <v>28.53409462148657</v>
      </c>
      <c r="L89" s="2">
        <f>L12/'Output-Calculation-sheet'!L11*'Output-Calculation-sheet'!L74</f>
        <v>29.779310489985569</v>
      </c>
      <c r="M89" s="2">
        <f>M12/'Output-Calculation-sheet'!M11*'Output-Calculation-sheet'!M74</f>
        <v>79.340700493135955</v>
      </c>
      <c r="N89" s="2">
        <f>N12/'Output-Calculation-sheet'!N11*'Output-Calculation-sheet'!N74</f>
        <v>48.241271443669589</v>
      </c>
      <c r="O89" s="2">
        <f>O12/'Output-Calculation-sheet'!O11*'Output-Calculation-sheet'!O74</f>
        <v>344.10951622849467</v>
      </c>
      <c r="P89" s="2">
        <f>P12/'Output-Calculation-sheet'!P11*'Output-Calculation-sheet'!P74</f>
        <v>28.082975541724668</v>
      </c>
      <c r="Q89" s="2">
        <f>Q12/'Output-Calculation-sheet'!Q11*'Output-Calculation-sheet'!Q74</f>
        <v>47.477707742223132</v>
      </c>
      <c r="R89" s="2">
        <f>R12/'Output-Calculation-sheet'!R11*'Output-Calculation-sheet'!R74</f>
        <v>19.52225914257178</v>
      </c>
      <c r="S89" s="2">
        <f>S12/'Output-Calculation-sheet'!S11*'Output-Calculation-sheet'!S74</f>
        <v>30.305273602382119</v>
      </c>
      <c r="T89" s="2">
        <f>T12/'Output-Calculation-sheet'!T11*'Output-Calculation-sheet'!T74</f>
        <v>4.8858091363281826</v>
      </c>
      <c r="U89" s="2">
        <f>U12/'Output-Calculation-sheet'!U11*'Output-Calculation-sheet'!U74</f>
        <v>9.4214684983463961</v>
      </c>
      <c r="V89" s="2">
        <f>V12/'Output-Calculation-sheet'!V11*'Output-Calculation-sheet'!V74</f>
        <v>3.5611643440408978</v>
      </c>
      <c r="W89" s="2">
        <f>W12/'Output-Calculation-sheet'!W11*'Output-Calculation-sheet'!W74</f>
        <v>2.7136777967845904</v>
      </c>
      <c r="X89" s="2">
        <f>X12/'Output-Calculation-sheet'!X11*'Output-Calculation-sheet'!X74</f>
        <v>1.9177952232640594</v>
      </c>
      <c r="Y89" s="2">
        <f>Y12/'Output-Calculation-sheet'!Y11*'Output-Calculation-sheet'!Y74</f>
        <v>3.5590559124026275</v>
      </c>
      <c r="AA89" s="2">
        <f t="shared" si="7"/>
        <v>3.2189749554880702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13691710132.710594</v>
      </c>
      <c r="C96" s="2">
        <f>C8/'Output-Calculation-sheet'!C7*'Output-Calculation-sheet'!C79</f>
        <v>4631976720.4704523</v>
      </c>
      <c r="D96" s="2">
        <f>D8/'Output-Calculation-sheet'!D7*'Output-Calculation-sheet'!D79</f>
        <v>4835454057.2958765</v>
      </c>
      <c r="E96" s="2">
        <f>E8/'Output-Calculation-sheet'!E7*'Output-Calculation-sheet'!E79</f>
        <v>8597038931.8044872</v>
      </c>
      <c r="F96" s="2">
        <f>F8/'Output-Calculation-sheet'!F7*'Output-Calculation-sheet'!F79</f>
        <v>3558228891.5107021</v>
      </c>
      <c r="G96" s="2">
        <f>G8/'Output-Calculation-sheet'!G7*'Output-Calculation-sheet'!G79</f>
        <v>2771573770.6586838</v>
      </c>
      <c r="H96" s="2">
        <f>H8/'Output-Calculation-sheet'!H7*'Output-Calculation-sheet'!H79</f>
        <v>2372314009.75875</v>
      </c>
      <c r="I96" s="2">
        <f>I8/'Output-Calculation-sheet'!I7*'Output-Calculation-sheet'!I79</f>
        <v>1930691000.8930995</v>
      </c>
      <c r="J96" s="2">
        <f>J8/'Output-Calculation-sheet'!J7*'Output-Calculation-sheet'!J79</f>
        <v>1305579450.0473437</v>
      </c>
      <c r="K96" s="2">
        <f>K8/'Output-Calculation-sheet'!K7*'Output-Calculation-sheet'!K79</f>
        <v>1867897496.0374408</v>
      </c>
      <c r="L96" s="2">
        <f>L8/'Output-Calculation-sheet'!L7*'Output-Calculation-sheet'!L79</f>
        <v>1317990021.2898946</v>
      </c>
      <c r="M96" s="2">
        <f>M8/'Output-Calculation-sheet'!M7*'Output-Calculation-sheet'!M79</f>
        <v>1770884450.9694011</v>
      </c>
      <c r="N96" s="2">
        <f>N8/'Output-Calculation-sheet'!N7*'Output-Calculation-sheet'!N79</f>
        <v>1317677152.5389705</v>
      </c>
      <c r="O96" s="2">
        <f>O8/'Output-Calculation-sheet'!O7*'Output-Calculation-sheet'!O79</f>
        <v>666129768.79308808</v>
      </c>
      <c r="P96" s="2">
        <f>P8/'Output-Calculation-sheet'!P7*'Output-Calculation-sheet'!P79</f>
        <v>2228078822.5989447</v>
      </c>
      <c r="Q96" s="2">
        <f>Q8/'Output-Calculation-sheet'!Q7*'Output-Calculation-sheet'!Q79</f>
        <v>1038378287.9681617</v>
      </c>
      <c r="R96" s="2">
        <f>R8/'Output-Calculation-sheet'!R7*'Output-Calculation-sheet'!R79</f>
        <v>1295502555.8951204</v>
      </c>
      <c r="S96" s="2">
        <f>S8/'Output-Calculation-sheet'!S7*'Output-Calculation-sheet'!S79</f>
        <v>754866807.89260995</v>
      </c>
      <c r="T96" s="2">
        <f>T8/'Output-Calculation-sheet'!T7*'Output-Calculation-sheet'!T79</f>
        <v>576541775.95002913</v>
      </c>
      <c r="U96" s="2">
        <f>U8/'Output-Calculation-sheet'!U7*'Output-Calculation-sheet'!U79</f>
        <v>362169427.70035923</v>
      </c>
      <c r="V96" s="2">
        <f>V8/'Output-Calculation-sheet'!V7*'Output-Calculation-sheet'!V79</f>
        <v>187911540.98970628</v>
      </c>
      <c r="W96" s="2">
        <f>W8/'Output-Calculation-sheet'!W7*'Output-Calculation-sheet'!W79</f>
        <v>555267938.00363421</v>
      </c>
      <c r="X96" s="2">
        <f>X8/'Output-Calculation-sheet'!X7*'Output-Calculation-sheet'!X79</f>
        <v>195159884.971946</v>
      </c>
      <c r="Y96" s="2">
        <f>Y8/'Output-Calculation-sheet'!Y7*'Output-Calculation-sheet'!Y79</f>
        <v>305227398.55426192</v>
      </c>
      <c r="AA96" s="2">
        <f t="shared" si="8"/>
        <v>58.134250295303545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1198.612082192966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37.135945817881058</v>
      </c>
      <c r="Y107" s="2">
        <f>Y8/'Output-Calculation-sheet'!Y7*'Output-Calculation-sheet'!Y88</f>
        <v>0</v>
      </c>
      <c r="AA107" s="2">
        <f t="shared" si="9"/>
        <v>1.235748028010847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825.02963185441945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47.927707640777164</v>
      </c>
      <c r="Y108" s="2">
        <f>Y9/'Output-Calculation-sheet'!Y8*'Output-Calculation-sheet'!Y89</f>
        <v>0</v>
      </c>
      <c r="AA108" s="2">
        <f t="shared" si="9"/>
        <v>0.8729573394951966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4.4584088646223999E-2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6.0086163155744207E-2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68.155491780615037</v>
      </c>
      <c r="Y111" s="2">
        <f>Y12/'Output-Calculation-sheet'!Y11*'Output-Calculation-sheet'!Y92</f>
        <v>0</v>
      </c>
      <c r="AA111" s="2">
        <f t="shared" si="9"/>
        <v>6.8155491780615043E-2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13401728390.171587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8231712129.2237568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5679183011.8455734</v>
      </c>
      <c r="N118" s="2">
        <f>N8/'Output-Calculation-sheet'!N7*'Output-Calculation-sheet'!N97</f>
        <v>1903073434.8721879</v>
      </c>
      <c r="O118" s="2">
        <f>O8/'Output-Calculation-sheet'!O7*'Output-Calculation-sheet'!O97</f>
        <v>3257980314.198329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569732278.24126673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309233793.96430665</v>
      </c>
      <c r="Y118" s="2">
        <f>Y8/'Output-Calculation-sheet'!Y7*'Output-Calculation-sheet'!Y97</f>
        <v>0</v>
      </c>
      <c r="AA118" s="2">
        <f t="shared" si="10"/>
        <v>34954.640705449012</v>
      </c>
    </row>
    <row r="119" spans="1:27" x14ac:dyDescent="0.25">
      <c r="A119" s="2">
        <v>2032</v>
      </c>
      <c r="B119" s="2">
        <f>B9/'Output-Calculation-sheet'!B8*'Output-Calculation-sheet'!B98</f>
        <v>6792787913.3316488</v>
      </c>
      <c r="C119" s="2">
        <f>C9/'Output-Calculation-sheet'!C8*'Output-Calculation-sheet'!C98</f>
        <v>17518218471.963367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10623914089.922491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7329572367.2876034</v>
      </c>
      <c r="N119" s="2">
        <f>N9/'Output-Calculation-sheet'!N8*'Output-Calculation-sheet'!N98</f>
        <v>3436884726.9689255</v>
      </c>
      <c r="O119" s="2">
        <f>O9/'Output-Calculation-sheet'!O8*'Output-Calculation-sheet'!O98</f>
        <v>3699855108.4528127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1033752289.5228953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403163021.65967727</v>
      </c>
      <c r="Y119" s="2">
        <f>Y9/'Output-Calculation-sheet'!Y8*'Output-Calculation-sheet'!Y98</f>
        <v>0</v>
      </c>
      <c r="AA119" s="2">
        <f t="shared" si="10"/>
        <v>50838.14798910942</v>
      </c>
    </row>
    <row r="120" spans="1:27" x14ac:dyDescent="0.25">
      <c r="A120" s="2">
        <v>2033</v>
      </c>
      <c r="B120" s="2">
        <f>B10/'Output-Calculation-sheet'!B9*'Output-Calculation-sheet'!B99</f>
        <v>16255656109.254366</v>
      </c>
      <c r="C120" s="2">
        <f>C10/'Output-Calculation-sheet'!C9*'Output-Calculation-sheet'!C99</f>
        <v>22522589795.212643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4800094726.8127384</v>
      </c>
      <c r="O120" s="2">
        <f>O10/'Output-Calculation-sheet'!O9*'Output-Calculation-sheet'!O99</f>
        <v>3730323316.9121647</v>
      </c>
      <c r="P120" s="2">
        <f>P10/'Output-Calculation-sheet'!P9*'Output-Calculation-sheet'!P99</f>
        <v>0</v>
      </c>
      <c r="Q120" s="2">
        <f>Q10/'Output-Calculation-sheet'!Q9*'Output-Calculation-sheet'!Q99</f>
        <v>156168749.33081499</v>
      </c>
      <c r="R120" s="2">
        <f>R10/'Output-Calculation-sheet'!R9*'Output-Calculation-sheet'!R99</f>
        <v>0</v>
      </c>
      <c r="S120" s="2">
        <f>S10/'Output-Calculation-sheet'!S9*'Output-Calculation-sheet'!S99</f>
        <v>1933482059.9020824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526254601.58981198</v>
      </c>
      <c r="Y120" s="2">
        <f>Y10/'Output-Calculation-sheet'!Y9*'Output-Calculation-sheet'!Y99</f>
        <v>0</v>
      </c>
      <c r="AA120" s="2">
        <f t="shared" si="10"/>
        <v>69966.350320291531</v>
      </c>
    </row>
    <row r="121" spans="1:27" x14ac:dyDescent="0.25">
      <c r="A121" s="2">
        <v>2034</v>
      </c>
      <c r="B121" s="2">
        <f>B11/'Output-Calculation-sheet'!B10*'Output-Calculation-sheet'!B100</f>
        <v>27053370661.366871</v>
      </c>
      <c r="C121" s="2">
        <f>C11/'Output-Calculation-sheet'!C10*'Output-Calculation-sheet'!C100</f>
        <v>22021640261.007187</v>
      </c>
      <c r="D121" s="2">
        <f>D11/'Output-Calculation-sheet'!D10*'Output-Calculation-sheet'!D100</f>
        <v>0</v>
      </c>
      <c r="E121" s="2">
        <f>E11/'Output-Calculation-sheet'!E10*'Output-Calculation-sheet'!E100</f>
        <v>649513599.63274479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11310554003.035454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463271875.88124651</v>
      </c>
      <c r="M121" s="2">
        <f>M11/'Output-Calculation-sheet'!M10*'Output-Calculation-sheet'!M100</f>
        <v>7879485379.0408115</v>
      </c>
      <c r="N121" s="2">
        <f>N11/'Output-Calculation-sheet'!N10*'Output-Calculation-sheet'!N100</f>
        <v>5283155796.0885248</v>
      </c>
      <c r="O121" s="2">
        <f>O11/'Output-Calculation-sheet'!O10*'Output-Calculation-sheet'!O100</f>
        <v>3373236101.9576893</v>
      </c>
      <c r="P121" s="2">
        <f>P11/'Output-Calculation-sheet'!P10*'Output-Calculation-sheet'!P100</f>
        <v>0</v>
      </c>
      <c r="Q121" s="2">
        <f>Q11/'Output-Calculation-sheet'!Q10*'Output-Calculation-sheet'!Q100</f>
        <v>422620438.88615417</v>
      </c>
      <c r="R121" s="2">
        <f>R11/'Output-Calculation-sheet'!R10*'Output-Calculation-sheet'!R100</f>
        <v>0</v>
      </c>
      <c r="S121" s="2">
        <f>S11/'Output-Calculation-sheet'!S10*'Output-Calculation-sheet'!S100</f>
        <v>2217489703.3760548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34745781.437326409</v>
      </c>
      <c r="AA121" s="2">
        <f t="shared" si="10"/>
        <v>81094.291604290265</v>
      </c>
    </row>
    <row r="122" spans="1:27" x14ac:dyDescent="0.25">
      <c r="A122" s="2">
        <v>2035</v>
      </c>
      <c r="B122" s="2">
        <f>B12/'Output-Calculation-sheet'!B11*'Output-Calculation-sheet'!B101</f>
        <v>24540517881.206718</v>
      </c>
      <c r="C122" s="2">
        <f>C12/'Output-Calculation-sheet'!C11*'Output-Calculation-sheet'!C101</f>
        <v>19649911699.559414</v>
      </c>
      <c r="D122" s="2">
        <f>D12/'Output-Calculation-sheet'!D11*'Output-Calculation-sheet'!D101</f>
        <v>0</v>
      </c>
      <c r="E122" s="2">
        <f>E12/'Output-Calculation-sheet'!E11*'Output-Calculation-sheet'!E101</f>
        <v>1571036352.97138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9044934501.4301395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424604398.94984746</v>
      </c>
      <c r="M122" s="2">
        <f>M12/'Output-Calculation-sheet'!M11*'Output-Calculation-sheet'!M101</f>
        <v>6331942611.8768835</v>
      </c>
      <c r="N122" s="2">
        <f>N12/'Output-Calculation-sheet'!N11*'Output-Calculation-sheet'!N101</f>
        <v>4239782605.8877935</v>
      </c>
      <c r="O122" s="2">
        <f>O12/'Output-Calculation-sheet'!O11*'Output-Calculation-sheet'!O101</f>
        <v>2716446155.7030792</v>
      </c>
      <c r="P122" s="2">
        <f>P12/'Output-Calculation-sheet'!P11*'Output-Calculation-sheet'!P101</f>
        <v>215237753.59321746</v>
      </c>
      <c r="Q122" s="2">
        <f>Q12/'Output-Calculation-sheet'!Q11*'Output-Calculation-sheet'!Q101</f>
        <v>507363170.5325318</v>
      </c>
      <c r="R122" s="2">
        <f>R12/'Output-Calculation-sheet'!R11*'Output-Calculation-sheet'!R101</f>
        <v>0</v>
      </c>
      <c r="S122" s="2">
        <f>S12/'Output-Calculation-sheet'!S11*'Output-Calculation-sheet'!S101</f>
        <v>1991919418.3423331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180320105.77656525</v>
      </c>
      <c r="Y122" s="2">
        <f>Y12/'Output-Calculation-sheet'!Y11*'Output-Calculation-sheet'!Y101</f>
        <v>177107519.84093577</v>
      </c>
      <c r="AA122" s="2">
        <f t="shared" si="10"/>
        <v>71591.124175670833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3671986151.059648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2623083300.0983524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172842.78444653188</v>
      </c>
    </row>
    <row r="130" spans="1:27" x14ac:dyDescent="0.25">
      <c r="A130" s="2">
        <v>2032</v>
      </c>
      <c r="B130" s="2">
        <f>B9/'Output-Calculation-sheet'!B8*'Output-Calculation-sheet'!B107</f>
        <v>65478648822.47567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3757696101.4595184</v>
      </c>
      <c r="O130" s="2">
        <f>O9/'Output-Calculation-sheet'!O8*'Output-Calculation-sheet'!O107</f>
        <v>0</v>
      </c>
      <c r="P130" s="2">
        <f>P9/'Output-Calculation-sheet'!P8*'Output-Calculation-sheet'!P107</f>
        <v>6550142310.2616167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3086679499.1380916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217065.82046202599</v>
      </c>
    </row>
    <row r="131" spans="1:27" x14ac:dyDescent="0.25">
      <c r="A131" s="2">
        <v>2033</v>
      </c>
      <c r="B131" s="2">
        <f>B10/'Output-Calculation-sheet'!B9*'Output-Calculation-sheet'!B108</f>
        <v>64414858049.061394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3230622577.1602936</v>
      </c>
      <c r="O131" s="2">
        <f>O10/'Output-Calculation-sheet'!O9*'Output-Calculation-sheet'!O108</f>
        <v>0</v>
      </c>
      <c r="P131" s="2">
        <f>P10/'Output-Calculation-sheet'!P9*'Output-Calculation-sheet'!P108</f>
        <v>7311433541.3222713</v>
      </c>
      <c r="Q131" s="2">
        <f>Q10/'Output-Calculation-sheet'!Q9*'Output-Calculation-sheet'!Q108</f>
        <v>7037437787.2158365</v>
      </c>
      <c r="R131" s="2">
        <f>R10/'Output-Calculation-sheet'!R9*'Output-Calculation-sheet'!R108</f>
        <v>6920334596.3140612</v>
      </c>
      <c r="S131" s="2">
        <f>S10/'Output-Calculation-sheet'!S9*'Output-Calculation-sheet'!S108</f>
        <v>2665780357.5428009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231728.74800402793</v>
      </c>
    </row>
    <row r="132" spans="1:27" x14ac:dyDescent="0.25">
      <c r="A132" s="2">
        <v>2034</v>
      </c>
      <c r="B132" s="2">
        <f>B11/'Output-Calculation-sheet'!B10*'Output-Calculation-sheet'!B109</f>
        <v>50652848935.56469</v>
      </c>
      <c r="C132" s="2">
        <f>C11/'Output-Calculation-sheet'!C10*'Output-Calculation-sheet'!C109</f>
        <v>0</v>
      </c>
      <c r="D132" s="2">
        <f>D11/'Output-Calculation-sheet'!D10*'Output-Calculation-sheet'!D109</f>
        <v>33081642229.893505</v>
      </c>
      <c r="E132" s="2">
        <f>E11/'Output-Calculation-sheet'!E10*'Output-Calculation-sheet'!E109</f>
        <v>25773718044.395832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10514436425.213364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7818267043.2043486</v>
      </c>
      <c r="M132" s="2">
        <f>M11/'Output-Calculation-sheet'!M10*'Output-Calculation-sheet'!M109</f>
        <v>0</v>
      </c>
      <c r="N132" s="2">
        <f>N11/'Output-Calculation-sheet'!N10*'Output-Calculation-sheet'!N109</f>
        <v>2477655600.7862492</v>
      </c>
      <c r="O132" s="2">
        <f>O11/'Output-Calculation-sheet'!O10*'Output-Calculation-sheet'!O109</f>
        <v>0</v>
      </c>
      <c r="P132" s="2">
        <f>P11/'Output-Calculation-sheet'!P10*'Output-Calculation-sheet'!P109</f>
        <v>7184650108.3055172</v>
      </c>
      <c r="Q132" s="2">
        <f>Q11/'Output-Calculation-sheet'!Q10*'Output-Calculation-sheet'!Q109</f>
        <v>6092419463.2979641</v>
      </c>
      <c r="R132" s="2">
        <f>R11/'Output-Calculation-sheet'!R10*'Output-Calculation-sheet'!R109</f>
        <v>6800325185.4566097</v>
      </c>
      <c r="S132" s="2">
        <f>S11/'Output-Calculation-sheet'!S10*'Output-Calculation-sheet'!S109</f>
        <v>2117795437.3806269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2125827091.4200611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812229345.04824221</v>
      </c>
      <c r="AA132" s="2">
        <f t="shared" si="11"/>
        <v>211416.93495962472</v>
      </c>
    </row>
    <row r="133" spans="1:27" x14ac:dyDescent="0.25">
      <c r="A133" s="2">
        <v>2035</v>
      </c>
      <c r="B133" s="2">
        <f>B12/'Output-Calculation-sheet'!B11*'Output-Calculation-sheet'!B110</f>
        <v>37548882415.792511</v>
      </c>
      <c r="C133" s="2">
        <f>C12/'Output-Calculation-sheet'!C11*'Output-Calculation-sheet'!C110</f>
        <v>0</v>
      </c>
      <c r="D133" s="2">
        <f>D12/'Output-Calculation-sheet'!D11*'Output-Calculation-sheet'!D110</f>
        <v>25810794949.782402</v>
      </c>
      <c r="E133" s="2">
        <f>E12/'Output-Calculation-sheet'!E11*'Output-Calculation-sheet'!E110</f>
        <v>20320803826.860703</v>
      </c>
      <c r="F133" s="2">
        <f>F12/'Output-Calculation-sheet'!F11*'Output-Calculation-sheet'!F110</f>
        <v>13964568272.470291</v>
      </c>
      <c r="G133" s="2">
        <f>G12/'Output-Calculation-sheet'!G11*'Output-Calculation-sheet'!G110</f>
        <v>9626585763.9564056</v>
      </c>
      <c r="H133" s="2">
        <f>H12/'Output-Calculation-sheet'!H11*'Output-Calculation-sheet'!H110</f>
        <v>0</v>
      </c>
      <c r="I133" s="2">
        <f>I12/'Output-Calculation-sheet'!I11*'Output-Calculation-sheet'!I110</f>
        <v>8735713997.9160309</v>
      </c>
      <c r="J133" s="2">
        <f>J12/'Output-Calculation-sheet'!J11*'Output-Calculation-sheet'!J110</f>
        <v>8180887468.7176342</v>
      </c>
      <c r="K133" s="2">
        <f>K12/'Output-Calculation-sheet'!K11*'Output-Calculation-sheet'!K110</f>
        <v>8377235670.8765497</v>
      </c>
      <c r="L133" s="2">
        <f>L12/'Output-Calculation-sheet'!L11*'Output-Calculation-sheet'!L110</f>
        <v>6139306904.8026381</v>
      </c>
      <c r="M133" s="2">
        <f>M12/'Output-Calculation-sheet'!M11*'Output-Calculation-sheet'!M110</f>
        <v>0</v>
      </c>
      <c r="N133" s="2">
        <f>N12/'Output-Calculation-sheet'!N11*'Output-Calculation-sheet'!N110</f>
        <v>1916747969.7339389</v>
      </c>
      <c r="O133" s="2">
        <f>O12/'Output-Calculation-sheet'!O11*'Output-Calculation-sheet'!O110</f>
        <v>0</v>
      </c>
      <c r="P133" s="2">
        <f>P12/'Output-Calculation-sheet'!P11*'Output-Calculation-sheet'!P110</f>
        <v>5725360472.6180334</v>
      </c>
      <c r="Q133" s="2">
        <f>Q12/'Output-Calculation-sheet'!Q11*'Output-Calculation-sheet'!Q110</f>
        <v>4656601416.4320908</v>
      </c>
      <c r="R133" s="2">
        <f>R12/'Output-Calculation-sheet'!R11*'Output-Calculation-sheet'!R110</f>
        <v>5488634352.2861996</v>
      </c>
      <c r="S133" s="2">
        <f>S12/'Output-Calculation-sheet'!S11*'Output-Calculation-sheet'!S110</f>
        <v>1480108805.1085026</v>
      </c>
      <c r="T133" s="2">
        <f>T12/'Output-Calculation-sheet'!T11*'Output-Calculation-sheet'!T110</f>
        <v>2065522121.3562922</v>
      </c>
      <c r="U133" s="2">
        <f>U12/'Output-Calculation-sheet'!U11*'Output-Calculation-sheet'!U110</f>
        <v>1674621504.5240502</v>
      </c>
      <c r="V133" s="2">
        <f>V12/'Output-Calculation-sheet'!V11*'Output-Calculation-sheet'!V110</f>
        <v>1320671899.1983693</v>
      </c>
      <c r="W133" s="2">
        <f>W12/'Output-Calculation-sheet'!W11*'Output-Calculation-sheet'!W110</f>
        <v>1232438110.7851238</v>
      </c>
      <c r="X133" s="2">
        <f>X12/'Output-Calculation-sheet'!X11*'Output-Calculation-sheet'!X110</f>
        <v>0</v>
      </c>
      <c r="Y133" s="2">
        <f>Y12/'Output-Calculation-sheet'!Y11*'Output-Calculation-sheet'!Y110</f>
        <v>527803009.13103229</v>
      </c>
      <c r="AA133" s="2">
        <f t="shared" si="11"/>
        <v>164793.28893234881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10045240966.655014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305940390.19802284</v>
      </c>
      <c r="Y140" s="2">
        <f>Y8/'Output-Calculation-sheet'!Y7*'Output-Calculation-sheet'!Y115</f>
        <v>0</v>
      </c>
      <c r="AA140" s="2">
        <f t="shared" si="12"/>
        <v>10351.181356853036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6989640326.4000978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390733686.48646754</v>
      </c>
      <c r="Y141" s="2">
        <f>Y9/'Output-Calculation-sheet'!Y8*'Output-Calculation-sheet'!Y116</f>
        <v>0</v>
      </c>
      <c r="AA141" s="2">
        <f t="shared" si="12"/>
        <v>7380.3740128865657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359913567.10447568</v>
      </c>
      <c r="Y142" s="2">
        <f>Y10/'Output-Calculation-sheet'!Y9*'Output-Calculation-sheet'!Y117</f>
        <v>0</v>
      </c>
      <c r="AA142" s="2">
        <f t="shared" si="12"/>
        <v>359.9135671044757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485.65733846323997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556673698.73015511</v>
      </c>
      <c r="Y144" s="2">
        <f>Y12/'Output-Calculation-sheet'!Y11*'Output-Calculation-sheet'!Y119</f>
        <v>0</v>
      </c>
      <c r="AA144" s="2">
        <f t="shared" si="12"/>
        <v>556.67369873015514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30150324174.420845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7355975728.5008335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228952.56282894601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32663807085.43631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7443624947.8154154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188355.93146337234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32547778148.109917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6810054046.1393423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131295.24065703218</v>
      </c>
    </row>
    <row r="154" spans="1:27" x14ac:dyDescent="0.25">
      <c r="A154" s="2">
        <v>2034</v>
      </c>
      <c r="B154" s="2">
        <f>B11/'Output-Calculation-sheet'!B10*'Output-Calculation-sheet'!B127</f>
        <v>13570323536.958927</v>
      </c>
      <c r="C154" s="2">
        <f>C11/'Output-Calculation-sheet'!C10*'Output-Calculation-sheet'!C127</f>
        <v>25043676661.569317</v>
      </c>
      <c r="D154" s="2">
        <f>D11/'Output-Calculation-sheet'!D10*'Output-Calculation-sheet'!D127</f>
        <v>5036981881.0280876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2188392719.1199446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1615684897.707042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1393647897.7645876</v>
      </c>
      <c r="M154" s="2">
        <f>M11/'Output-Calculation-sheet'!M10*'Output-Calculation-sheet'!M127</f>
        <v>1406281489.6338518</v>
      </c>
      <c r="N154" s="2">
        <f>N11/'Output-Calculation-sheet'!N10*'Output-Calculation-sheet'!N127</f>
        <v>1306776431.027379</v>
      </c>
      <c r="O154" s="2">
        <f>O11/'Output-Calculation-sheet'!O10*'Output-Calculation-sheet'!O127</f>
        <v>5652883048.8570423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1738493150.4168501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901566570.20478773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384022303.78950417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74251.486921478412</v>
      </c>
    </row>
    <row r="155" spans="1:27" x14ac:dyDescent="0.25">
      <c r="A155" s="2">
        <v>2035</v>
      </c>
      <c r="B155" s="2">
        <f>B12/'Output-Calculation-sheet'!B11*'Output-Calculation-sheet'!B128</f>
        <v>9205837613.2611828</v>
      </c>
      <c r="C155" s="2">
        <f>C12/'Output-Calculation-sheet'!C11*'Output-Calculation-sheet'!C128</f>
        <v>16262468973.603563</v>
      </c>
      <c r="D155" s="2">
        <f>D12/'Output-Calculation-sheet'!D11*'Output-Calculation-sheet'!D128</f>
        <v>3792631808.7286806</v>
      </c>
      <c r="E155" s="2">
        <f>E12/'Output-Calculation-sheet'!E11*'Output-Calculation-sheet'!E128</f>
        <v>2067135512.3116889</v>
      </c>
      <c r="F155" s="2">
        <f>F12/'Output-Calculation-sheet'!F11*'Output-Calculation-sheet'!F128</f>
        <v>1126001655.1860106</v>
      </c>
      <c r="G155" s="2">
        <f>G12/'Output-Calculation-sheet'!G11*'Output-Calculation-sheet'!G128</f>
        <v>1062322624.5291784</v>
      </c>
      <c r="H155" s="2">
        <f>H12/'Output-Calculation-sheet'!H11*'Output-Calculation-sheet'!H128</f>
        <v>1551652326.2672129</v>
      </c>
      <c r="I155" s="2">
        <f>I12/'Output-Calculation-sheet'!I11*'Output-Calculation-sheet'!I128</f>
        <v>970643860.43348289</v>
      </c>
      <c r="J155" s="2">
        <f>J12/'Output-Calculation-sheet'!J11*'Output-Calculation-sheet'!J128</f>
        <v>1207500188.1615086</v>
      </c>
      <c r="K155" s="2">
        <f>K12/'Output-Calculation-sheet'!K11*'Output-Calculation-sheet'!K128</f>
        <v>967998651.15342271</v>
      </c>
      <c r="L155" s="2">
        <f>L12/'Output-Calculation-sheet'!L11*'Output-Calculation-sheet'!L128</f>
        <v>990864014.6821413</v>
      </c>
      <c r="M155" s="2">
        <f>M12/'Output-Calculation-sheet'!M11*'Output-Calculation-sheet'!M128</f>
        <v>979630387.04983354</v>
      </c>
      <c r="N155" s="2">
        <f>N12/'Output-Calculation-sheet'!N11*'Output-Calculation-sheet'!N128</f>
        <v>898316575.69660759</v>
      </c>
      <c r="O155" s="2">
        <f>O12/'Output-Calculation-sheet'!O11*'Output-Calculation-sheet'!O128</f>
        <v>4221980790.7376189</v>
      </c>
      <c r="P155" s="2">
        <f>P12/'Output-Calculation-sheet'!P11*'Output-Calculation-sheet'!P128</f>
        <v>519523448.03200865</v>
      </c>
      <c r="Q155" s="2">
        <f>Q12/'Output-Calculation-sheet'!Q11*'Output-Calculation-sheet'!Q128</f>
        <v>1234465563.0198002</v>
      </c>
      <c r="R155" s="2">
        <f>R12/'Output-Calculation-sheet'!R11*'Output-Calculation-sheet'!R128</f>
        <v>570179847.4048034</v>
      </c>
      <c r="S155" s="2">
        <f>S12/'Output-Calculation-sheet'!S11*'Output-Calculation-sheet'!S128</f>
        <v>598884104.16411471</v>
      </c>
      <c r="T155" s="2">
        <f>T12/'Output-Calculation-sheet'!T11*'Output-Calculation-sheet'!T128</f>
        <v>147739093.47324297</v>
      </c>
      <c r="U155" s="2">
        <f>U12/'Output-Calculation-sheet'!U11*'Output-Calculation-sheet'!U128</f>
        <v>287560398.89444077</v>
      </c>
      <c r="V155" s="2">
        <f>V12/'Output-Calculation-sheet'!V11*'Output-Calculation-sheet'!V128</f>
        <v>159749131.73674053</v>
      </c>
      <c r="W155" s="2">
        <f>W12/'Output-Calculation-sheet'!W11*'Output-Calculation-sheet'!W128</f>
        <v>57173971.769592404</v>
      </c>
      <c r="X155" s="2">
        <f>X12/'Output-Calculation-sheet'!X11*'Output-Calculation-sheet'!X128</f>
        <v>25748598.960691277</v>
      </c>
      <c r="Y155" s="2">
        <f>Y12/'Output-Calculation-sheet'!Y11*'Output-Calculation-sheet'!Y128</f>
        <v>63418610.877859503</v>
      </c>
      <c r="AA155" s="2">
        <f t="shared" si="13"/>
        <v>48969.427750135423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8824.1698579420245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5658.1565042970342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3927.3343351751428</v>
      </c>
      <c r="N19" s="2">
        <f>N8/'Output-Calculation-sheet'!N7*'Output-Calculation-sheet'!N25</f>
        <v>1342.5052145937757</v>
      </c>
      <c r="O19" s="2">
        <f>O8/'Output-Calculation-sheet'!O7*'Output-Calculation-sheet'!O25</f>
        <v>2098.2761749510223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207.33798845671666</v>
      </c>
      <c r="Y19" s="2">
        <f>Y8/'Output-Calculation-sheet'!Y7*'Output-Calculation-sheet'!Y25</f>
        <v>0</v>
      </c>
      <c r="AA19" s="2">
        <f t="shared" si="0"/>
        <v>23.796666336613395</v>
      </c>
    </row>
    <row r="20" spans="1:27" x14ac:dyDescent="0.25">
      <c r="A20" s="2">
        <v>2032</v>
      </c>
      <c r="B20" s="2">
        <f>B9/'Output-Calculation-sheet'!B8*'Output-Calculation-sheet'!B26</f>
        <v>6958.3822490667899</v>
      </c>
      <c r="C20" s="2">
        <f>C9/'Output-Calculation-sheet'!C8*'Output-Calculation-sheet'!C26</f>
        <v>11764.15390131112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7564.2454306890249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5260.4926370647581</v>
      </c>
      <c r="N20" s="2">
        <f>N9/'Output-Calculation-sheet'!N8*'Output-Calculation-sheet'!N26</f>
        <v>2368.7300304389023</v>
      </c>
      <c r="O20" s="2">
        <f>O9/'Output-Calculation-sheet'!O8*'Output-Calculation-sheet'!O26</f>
        <v>2466.6014703041546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861.44087941612781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281.11690614271362</v>
      </c>
      <c r="Y20" s="2">
        <f>Y9/'Output-Calculation-sheet'!Y8*'Output-Calculation-sheet'!Y26</f>
        <v>0</v>
      </c>
      <c r="AA20" s="2">
        <f t="shared" si="0"/>
        <v>37.525163504433593</v>
      </c>
    </row>
    <row r="21" spans="1:27" x14ac:dyDescent="0.25">
      <c r="A21" s="2">
        <v>2033</v>
      </c>
      <c r="B21" s="2">
        <f>B10/'Output-Calculation-sheet'!B9*'Output-Calculation-sheet'!B27</f>
        <v>15641.008122445313</v>
      </c>
      <c r="C21" s="2">
        <f>C10/'Output-Calculation-sheet'!C9*'Output-Calculation-sheet'!C27</f>
        <v>16060.239410765189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9032.3882863495492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6274.7182949831595</v>
      </c>
      <c r="N21" s="2">
        <f>N10/'Output-Calculation-sheet'!N9*'Output-Calculation-sheet'!N27</f>
        <v>3427.8129277388821</v>
      </c>
      <c r="O21" s="2">
        <f>O10/'Output-Calculation-sheet'!O9*'Output-Calculation-sheet'!O27</f>
        <v>2650.5724559595678</v>
      </c>
      <c r="P21" s="2">
        <f>P10/'Output-Calculation-sheet'!P9*'Output-Calculation-sheet'!P27</f>
        <v>0</v>
      </c>
      <c r="Q21" s="2">
        <f>Q10/'Output-Calculation-sheet'!Q9*'Output-Calculation-sheet'!Q27</f>
        <v>231.4580932800904</v>
      </c>
      <c r="R21" s="2">
        <f>R10/'Output-Calculation-sheet'!R9*'Output-Calculation-sheet'!R27</f>
        <v>0</v>
      </c>
      <c r="S21" s="2">
        <f>S10/'Output-Calculation-sheet'!S9*'Output-Calculation-sheet'!S27</f>
        <v>1492.1357274942225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397.77733471983913</v>
      </c>
      <c r="Y21" s="2">
        <f>Y10/'Output-Calculation-sheet'!Y9*'Output-Calculation-sheet'!Y27</f>
        <v>0</v>
      </c>
      <c r="AA21" s="2">
        <f t="shared" si="0"/>
        <v>55.208110653735808</v>
      </c>
    </row>
    <row r="22" spans="1:27" x14ac:dyDescent="0.25">
      <c r="A22" s="2">
        <v>2034</v>
      </c>
      <c r="B22" s="2">
        <f>B11/'Output-Calculation-sheet'!B10*'Output-Calculation-sheet'!B28</f>
        <v>24638.380141970287</v>
      </c>
      <c r="C22" s="2">
        <f>C11/'Output-Calculation-sheet'!C10*'Output-Calculation-sheet'!C28</f>
        <v>17325.968213347329</v>
      </c>
      <c r="D22" s="2">
        <f>D11/'Output-Calculation-sheet'!D10*'Output-Calculation-sheet'!D28</f>
        <v>0</v>
      </c>
      <c r="E22" s="2">
        <f>E11/'Output-Calculation-sheet'!E10*'Output-Calculation-sheet'!E28</f>
        <v>1411.3144548991111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9908.9224582427978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707.67117539652372</v>
      </c>
      <c r="M22" s="2">
        <f>M11/'Output-Calculation-sheet'!M10*'Output-Calculation-sheet'!M28</f>
        <v>7040.7063667436487</v>
      </c>
      <c r="N22" s="2">
        <f>N11/'Output-Calculation-sheet'!N10*'Output-Calculation-sheet'!N28</f>
        <v>4151.9433295683248</v>
      </c>
      <c r="O22" s="2">
        <f>O11/'Output-Calculation-sheet'!O10*'Output-Calculation-sheet'!O28</f>
        <v>2647.3100404233896</v>
      </c>
      <c r="P22" s="2">
        <f>P11/'Output-Calculation-sheet'!P10*'Output-Calculation-sheet'!P28</f>
        <v>0</v>
      </c>
      <c r="Q22" s="2">
        <f>Q11/'Output-Calculation-sheet'!Q10*'Output-Calculation-sheet'!Q28</f>
        <v>621.78980915474312</v>
      </c>
      <c r="R22" s="2">
        <f>R11/'Output-Calculation-sheet'!R10*'Output-Calculation-sheet'!R28</f>
        <v>0</v>
      </c>
      <c r="S22" s="2">
        <f>S11/'Output-Calculation-sheet'!S10*'Output-Calculation-sheet'!S28</f>
        <v>1824.4307273094132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76.497284351730201</v>
      </c>
      <c r="AA22" s="2">
        <f t="shared" si="0"/>
        <v>70.667910318310732</v>
      </c>
    </row>
    <row r="23" spans="1:27" x14ac:dyDescent="0.25">
      <c r="A23" s="2">
        <v>2035</v>
      </c>
      <c r="B23" s="2">
        <f>B12/'Output-Calculation-sheet'!B11*'Output-Calculation-sheet'!B29</f>
        <v>24575.697716687569</v>
      </c>
      <c r="C23" s="2">
        <f>C12/'Output-Calculation-sheet'!C11*'Output-Calculation-sheet'!C29</f>
        <v>17896.180482182244</v>
      </c>
      <c r="D23" s="2">
        <f>D12/'Output-Calculation-sheet'!D11*'Output-Calculation-sheet'!D29</f>
        <v>0</v>
      </c>
      <c r="E23" s="2">
        <f>E12/'Output-Calculation-sheet'!E11*'Output-Calculation-sheet'!E29</f>
        <v>3268.4444358333863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8883.5460572611228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713.19764786883195</v>
      </c>
      <c r="M23" s="2">
        <f>M12/'Output-Calculation-sheet'!M11*'Output-Calculation-sheet'!M29</f>
        <v>6348.5926589063138</v>
      </c>
      <c r="N23" s="2">
        <f>N12/'Output-Calculation-sheet'!N11*'Output-Calculation-sheet'!N29</f>
        <v>3797.3751337254575</v>
      </c>
      <c r="O23" s="2">
        <f>O12/'Output-Calculation-sheet'!O11*'Output-Calculation-sheet'!O29</f>
        <v>2467.0583785466592</v>
      </c>
      <c r="P23" s="2">
        <f>P12/'Output-Calculation-sheet'!P11*'Output-Calculation-sheet'!P29</f>
        <v>516.78903688167691</v>
      </c>
      <c r="Q23" s="2">
        <f>Q12/'Output-Calculation-sheet'!Q11*'Output-Calculation-sheet'!Q29</f>
        <v>769.96138113771008</v>
      </c>
      <c r="R23" s="2">
        <f>R12/'Output-Calculation-sheet'!R11*'Output-Calculation-sheet'!R29</f>
        <v>0</v>
      </c>
      <c r="S23" s="2">
        <f>S12/'Output-Calculation-sheet'!S11*'Output-Calculation-sheet'!S29</f>
        <v>1818.2781177959466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160.26652026130395</v>
      </c>
      <c r="Y23" s="2">
        <f>Y12/'Output-Calculation-sheet'!Y11*'Output-Calculation-sheet'!Y29</f>
        <v>169.10556311091239</v>
      </c>
      <c r="AA23" s="2">
        <f t="shared" si="0"/>
        <v>71.384493130199132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1828.2426234025472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46.998951967496495</v>
      </c>
    </row>
    <row r="31" spans="1:27" x14ac:dyDescent="0.25">
      <c r="A31" s="2">
        <v>2032</v>
      </c>
      <c r="B31" s="2">
        <f>B9/'Output-Calculation-sheet'!B8*'Output-Calculation-sheet'!B17</f>
        <v>29463.798013647305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2018.1398650549734</v>
      </c>
      <c r="O31" s="2">
        <f>O9/'Output-Calculation-sheet'!O8*'Output-Calculation-sheet'!O17</f>
        <v>0</v>
      </c>
      <c r="P31" s="2">
        <f>P9/'Output-Calculation-sheet'!P8*'Output-Calculation-sheet'!P17</f>
        <v>2499.0445466061806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1500.606521480257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64.163588032414992</v>
      </c>
    </row>
    <row r="32" spans="1:27" x14ac:dyDescent="0.25">
      <c r="A32" s="2">
        <v>2033</v>
      </c>
      <c r="B32" s="2">
        <f>B10/'Output-Calculation-sheet'!B9*'Output-Calculation-sheet'!B18</f>
        <v>31678.3883906872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3021.4784771508589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1935.8358130702086</v>
      </c>
      <c r="O32" s="2">
        <f>O10/'Output-Calculation-sheet'!O9*'Output-Calculation-sheet'!O18</f>
        <v>0</v>
      </c>
      <c r="P32" s="2">
        <f>P10/'Output-Calculation-sheet'!P9*'Output-Calculation-sheet'!P18</f>
        <v>3109.7015224610564</v>
      </c>
      <c r="Q32" s="2">
        <f>Q10/'Output-Calculation-sheet'!Q9*'Output-Calculation-sheet'!Q18</f>
        <v>3387.9698074892235</v>
      </c>
      <c r="R32" s="2">
        <f>R10/'Output-Calculation-sheet'!R9*'Output-Calculation-sheet'!R18</f>
        <v>2233.0581059483329</v>
      </c>
      <c r="S32" s="2">
        <f>S10/'Output-Calculation-sheet'!S9*'Output-Calculation-sheet'!S18</f>
        <v>1462.5204021016229</v>
      </c>
      <c r="T32" s="2">
        <f>T10/'Output-Calculation-sheet'!T9*'Output-Calculation-sheet'!T18</f>
        <v>651.96600568937811</v>
      </c>
      <c r="U32" s="2">
        <f>U10/'Output-Calculation-sheet'!U9*'Output-Calculation-sheet'!U18</f>
        <v>720.82858654247752</v>
      </c>
      <c r="V32" s="2">
        <f>V10/'Output-Calculation-sheet'!V9*'Output-Calculation-sheet'!V18</f>
        <v>531.93839866210089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308.01376101638124</v>
      </c>
      <c r="AA32" s="2">
        <f t="shared" si="1"/>
        <v>76.147853969554916</v>
      </c>
    </row>
    <row r="33" spans="1:27" x14ac:dyDescent="0.25">
      <c r="A33" s="2">
        <v>2034</v>
      </c>
      <c r="B33" s="2">
        <f>B11/'Output-Calculation-sheet'!B10*'Output-Calculation-sheet'!B19</f>
        <v>27993.3961119265</v>
      </c>
      <c r="C33" s="2">
        <f>C11/'Output-Calculation-sheet'!C10*'Output-Calculation-sheet'!C19</f>
        <v>0</v>
      </c>
      <c r="D33" s="2">
        <f>D11/'Output-Calculation-sheet'!D10*'Output-Calculation-sheet'!D19</f>
        <v>8182.1383882379232</v>
      </c>
      <c r="E33" s="2">
        <f>E11/'Output-Calculation-sheet'!E10*'Output-Calculation-sheet'!E19</f>
        <v>10293.906033355102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3089.5560986627943</v>
      </c>
      <c r="J33" s="2">
        <f>J11/'Output-Calculation-sheet'!J10*'Output-Calculation-sheet'!J19</f>
        <v>2557.4262059319522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2866.140919380462</v>
      </c>
      <c r="M33" s="2">
        <f>M11/'Output-Calculation-sheet'!M10*'Output-Calculation-sheet'!M19</f>
        <v>0</v>
      </c>
      <c r="N33" s="2">
        <f>N11/'Output-Calculation-sheet'!N10*'Output-Calculation-sheet'!N19</f>
        <v>1701.2108794242645</v>
      </c>
      <c r="O33" s="2">
        <f>O11/'Output-Calculation-sheet'!O10*'Output-Calculation-sheet'!O19</f>
        <v>0</v>
      </c>
      <c r="P33" s="2">
        <f>P11/'Output-Calculation-sheet'!P10*'Output-Calculation-sheet'!P19</f>
        <v>3665.3141362324191</v>
      </c>
      <c r="Q33" s="2">
        <f>Q11/'Output-Calculation-sheet'!Q10*'Output-Calculation-sheet'!Q19</f>
        <v>3067.8711960407027</v>
      </c>
      <c r="R33" s="2">
        <f>R11/'Output-Calculation-sheet'!R10*'Output-Calculation-sheet'!R19</f>
        <v>2617.3925786915315</v>
      </c>
      <c r="S33" s="2">
        <f>S11/'Output-Calculation-sheet'!S10*'Output-Calculation-sheet'!S19</f>
        <v>1312.3596927188105</v>
      </c>
      <c r="T33" s="2">
        <f>T11/'Output-Calculation-sheet'!T10*'Output-Calculation-sheet'!T19</f>
        <v>767.9927987362488</v>
      </c>
      <c r="U33" s="2">
        <f>U11/'Output-Calculation-sheet'!U10*'Output-Calculation-sheet'!U19</f>
        <v>827.8689427985878</v>
      </c>
      <c r="V33" s="2">
        <f>V11/'Output-Calculation-sheet'!V10*'Output-Calculation-sheet'!V19</f>
        <v>602.3987894806927</v>
      </c>
      <c r="W33" s="2">
        <f>W11/'Output-Calculation-sheet'!W10*'Output-Calculation-sheet'!W19</f>
        <v>375.09044530765578</v>
      </c>
      <c r="X33" s="2">
        <f>X11/'Output-Calculation-sheet'!X10*'Output-Calculation-sheet'!X19</f>
        <v>0</v>
      </c>
      <c r="Y33" s="2">
        <f>Y11/'Output-Calculation-sheet'!Y10*'Output-Calculation-sheet'!Y19</f>
        <v>338.08144138407158</v>
      </c>
      <c r="AA33" s="2">
        <f t="shared" si="1"/>
        <v>81.434335153734494</v>
      </c>
    </row>
    <row r="34" spans="1:27" x14ac:dyDescent="0.25">
      <c r="A34" s="2">
        <v>2035</v>
      </c>
      <c r="B34" s="2">
        <f>B12/'Output-Calculation-sheet'!B11*'Output-Calculation-sheet'!B20</f>
        <v>22901.779560741215</v>
      </c>
      <c r="C34" s="2">
        <f>C12/'Output-Calculation-sheet'!C11*'Output-Calculation-sheet'!C20</f>
        <v>0</v>
      </c>
      <c r="D34" s="2">
        <f>D12/'Output-Calculation-sheet'!D11*'Output-Calculation-sheet'!D20</f>
        <v>7141.522309194429</v>
      </c>
      <c r="E34" s="2">
        <f>E12/'Output-Calculation-sheet'!E11*'Output-Calculation-sheet'!E20</f>
        <v>8359.15304744487</v>
      </c>
      <c r="F34" s="2">
        <f>F12/'Output-Calculation-sheet'!F11*'Output-Calculation-sheet'!F20</f>
        <v>4855.8239450761439</v>
      </c>
      <c r="G34" s="2">
        <f>G12/'Output-Calculation-sheet'!G11*'Output-Calculation-sheet'!G20</f>
        <v>2577.7541879438509</v>
      </c>
      <c r="H34" s="2">
        <f>H12/'Output-Calculation-sheet'!H11*'Output-Calculation-sheet'!H20</f>
        <v>0</v>
      </c>
      <c r="I34" s="2">
        <f>I12/'Output-Calculation-sheet'!I11*'Output-Calculation-sheet'!I20</f>
        <v>2857.4284854165908</v>
      </c>
      <c r="J34" s="2">
        <f>J12/'Output-Calculation-sheet'!J11*'Output-Calculation-sheet'!J20</f>
        <v>2234.9861692697973</v>
      </c>
      <c r="K34" s="2">
        <f>K12/'Output-Calculation-sheet'!K11*'Output-Calculation-sheet'!K20</f>
        <v>3299.5756339667391</v>
      </c>
      <c r="L34" s="2">
        <f>L12/'Output-Calculation-sheet'!L11*'Output-Calculation-sheet'!L20</f>
        <v>2505.2771265006845</v>
      </c>
      <c r="M34" s="2">
        <f>M12/'Output-Calculation-sheet'!M11*'Output-Calculation-sheet'!M20</f>
        <v>0</v>
      </c>
      <c r="N34" s="2">
        <f>N12/'Output-Calculation-sheet'!N11*'Output-Calculation-sheet'!N20</f>
        <v>1457.8910353717804</v>
      </c>
      <c r="O34" s="2">
        <f>O12/'Output-Calculation-sheet'!O11*'Output-Calculation-sheet'!O20</f>
        <v>0</v>
      </c>
      <c r="P34" s="2">
        <f>P12/'Output-Calculation-sheet'!P11*'Output-Calculation-sheet'!P20</f>
        <v>3148.3450794410783</v>
      </c>
      <c r="Q34" s="2">
        <f>Q12/'Output-Calculation-sheet'!Q11*'Output-Calculation-sheet'!Q20</f>
        <v>2583.5264169042498</v>
      </c>
      <c r="R34" s="2">
        <f>R12/'Output-Calculation-sheet'!R11*'Output-Calculation-sheet'!R20</f>
        <v>2450.1347427607134</v>
      </c>
      <c r="S34" s="2">
        <f>S12/'Output-Calculation-sheet'!S11*'Output-Calculation-sheet'!S20</f>
        <v>1036.562130408694</v>
      </c>
      <c r="T34" s="2">
        <f>T12/'Output-Calculation-sheet'!T11*'Output-Calculation-sheet'!T20</f>
        <v>758.94720342564767</v>
      </c>
      <c r="U34" s="2">
        <f>U12/'Output-Calculation-sheet'!U11*'Output-Calculation-sheet'!U20</f>
        <v>725.1435619008397</v>
      </c>
      <c r="V34" s="2">
        <f>V12/'Output-Calculation-sheet'!V11*'Output-Calculation-sheet'!V20</f>
        <v>539.83324546186736</v>
      </c>
      <c r="W34" s="2">
        <f>W12/'Output-Calculation-sheet'!W11*'Output-Calculation-sheet'!W20</f>
        <v>425.64821161598081</v>
      </c>
      <c r="X34" s="2">
        <f>X12/'Output-Calculation-sheet'!X11*'Output-Calculation-sheet'!X20</f>
        <v>0</v>
      </c>
      <c r="Y34" s="2">
        <f>Y12/'Output-Calculation-sheet'!Y11*'Output-Calculation-sheet'!Y20</f>
        <v>251.38301789725915</v>
      </c>
      <c r="AA34" s="2">
        <f t="shared" si="1"/>
        <v>70.110715110742419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0.71789899165355975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0.39515885244437637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1.1130578440979362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2.2395061559726255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0.55938063966032714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2.7988867956329528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3.8073003697928773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0.69034251255623935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4.4976428823491164</v>
      </c>
    </row>
    <row r="44" spans="1:27" x14ac:dyDescent="0.25">
      <c r="A44" s="2">
        <v>2034</v>
      </c>
      <c r="B44" s="2">
        <f>B11/'Output-Calculation-sheet'!B10*'Output-Calculation-sheet'!B37*0.0114</f>
        <v>0.24843414585945611</v>
      </c>
      <c r="C44" s="2">
        <f>C11/'Output-Calculation-sheet'!C10*'Output-Calculation-sheet'!C37*0.0114</f>
        <v>3.9500719570661942</v>
      </c>
      <c r="D44" s="2">
        <f>D11/'Output-Calculation-sheet'!D10*'Output-Calculation-sheet'!D37*0.0114</f>
        <v>5.2225099382105331E-2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7.2594308042330982E-2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1.6676281164432892E-2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1.3168726228441634E-2</v>
      </c>
      <c r="M44" s="2">
        <f>M11/'Output-Calculation-sheet'!M10*'Output-Calculation-sheet'!M37*0.0114</f>
        <v>3.7463961582417375E-2</v>
      </c>
      <c r="N44" s="2">
        <f>N11/'Output-Calculation-sheet'!N10*'Output-Calculation-sheet'!N37*0.0114</f>
        <v>2.4547332346616057E-2</v>
      </c>
      <c r="O44" s="2">
        <f>O11/'Output-Calculation-sheet'!O10*'Output-Calculation-sheet'!O37*0.0114</f>
        <v>0.75593567430098974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5.3768053707069337E-2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2.8142756633407998E-2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6.8620968204583096E-3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5.2598903931339196</v>
      </c>
    </row>
    <row r="45" spans="1:27" x14ac:dyDescent="0.25">
      <c r="A45" s="2">
        <v>2035</v>
      </c>
      <c r="B45" s="2">
        <f>B12/'Output-Calculation-sheet'!B11*'Output-Calculation-sheet'!B38*0.0114</f>
        <v>0.97762903332363171</v>
      </c>
      <c r="C45" s="2">
        <f>C12/'Output-Calculation-sheet'!C11*'Output-Calculation-sheet'!C38*0.0114</f>
        <v>3.7120429346667407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0.25406772945955153</v>
      </c>
      <c r="F45" s="2">
        <f>F12/'Output-Calculation-sheet'!F11*'Output-Calculation-sheet'!F38*0.0114</f>
        <v>9.1309212957430316E-2</v>
      </c>
      <c r="G45" s="2">
        <f>G12/'Output-Calculation-sheet'!G11*'Output-Calculation-sheet'!G38*0.0114</f>
        <v>8.1914034473784578E-2</v>
      </c>
      <c r="H45" s="2">
        <f>H12/'Output-Calculation-sheet'!H11*'Output-Calculation-sheet'!H38*0.0114</f>
        <v>0.28567048603846595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5.8332352298716632E-2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6.9094791288462631E-2</v>
      </c>
      <c r="M45" s="2">
        <f>M12/'Output-Calculation-sheet'!M11*'Output-Calculation-sheet'!M38*0.0114</f>
        <v>0.17472808507547313</v>
      </c>
      <c r="N45" s="2">
        <f>N12/'Output-Calculation-sheet'!N11*'Output-Calculation-sheet'!N38*0.0114</f>
        <v>0.10733085694567571</v>
      </c>
      <c r="O45" s="2">
        <f>O12/'Output-Calculation-sheet'!O11*'Output-Calculation-sheet'!O38*0.0114</f>
        <v>0.75119460281946815</v>
      </c>
      <c r="P45" s="2">
        <f>P12/'Output-Calculation-sheet'!P11*'Output-Calculation-sheet'!P38*0.0114</f>
        <v>6.94084013308814E-2</v>
      </c>
      <c r="Q45" s="2">
        <f>Q12/'Output-Calculation-sheet'!Q11*'Output-Calculation-sheet'!Q38*0.0114</f>
        <v>0.10344209006685093</v>
      </c>
      <c r="R45" s="2">
        <f>R12/'Output-Calculation-sheet'!R11*'Output-Calculation-sheet'!R38*0.0114</f>
        <v>4.6628331150573243E-2</v>
      </c>
      <c r="S45" s="2">
        <f>S12/'Output-Calculation-sheet'!S11*'Output-Calculation-sheet'!S38*0.0114</f>
        <v>6.7678327689302792E-2</v>
      </c>
      <c r="T45" s="2">
        <f>T12/'Output-Calculation-sheet'!T11*'Output-Calculation-sheet'!T38*0.0114</f>
        <v>1.3800580796982733E-2</v>
      </c>
      <c r="U45" s="2">
        <f>U12/'Output-Calculation-sheet'!U11*'Output-Calculation-sheet'!U38*0.0114</f>
        <v>2.1002702259003827E-2</v>
      </c>
      <c r="V45" s="2">
        <f>V12/'Output-Calculation-sheet'!V11*'Output-Calculation-sheet'!V38*0.0114</f>
        <v>9.2542389804339889E-3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4.7920085844629272E-3</v>
      </c>
      <c r="Y45" s="2">
        <f>Y12/'Output-Calculation-sheet'!Y11*'Output-Calculation-sheet'!Y38*0.0114</f>
        <v>8.0926649065109595E-3</v>
      </c>
      <c r="AA45" s="2">
        <f t="shared" si="2"/>
        <v>7.2274566820090644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7989.9439410434125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5464.5117040239229</v>
      </c>
      <c r="N52" s="2">
        <f>N8/'Output-Calculation-sheet'!N7*'Output-Calculation-sheet'!N43</f>
        <v>172.6149613747431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36.94851396603012</v>
      </c>
      <c r="Y52" s="2">
        <f>Y8/'Output-Calculation-sheet'!Y7*'Output-Calculation-sheet'!Y43</f>
        <v>0</v>
      </c>
      <c r="AA52" s="2">
        <f t="shared" si="3"/>
        <v>13.66401912040811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230.12469271899158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15151.017828015258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10362.363595502628</v>
      </c>
      <c r="N53" s="2">
        <f>N9/'Output-Calculation-sheet'!N8*'Output-Calculation-sheet'!N44</f>
        <v>3677.2250530373612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1146.7257495114327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316.27743610903366</v>
      </c>
      <c r="Y53" s="2">
        <f>Y9/'Output-Calculation-sheet'!Y8*'Output-Calculation-sheet'!Y44</f>
        <v>0</v>
      </c>
      <c r="AA53" s="2">
        <f t="shared" si="3"/>
        <v>31.04673518620902</v>
      </c>
    </row>
    <row r="54" spans="1:27" x14ac:dyDescent="0.25">
      <c r="A54" s="2">
        <v>2033</v>
      </c>
      <c r="B54" s="2">
        <f>B10/'Output-Calculation-sheet'!B9*'Output-Calculation-sheet'!B45</f>
        <v>29870.402252910335</v>
      </c>
      <c r="C54" s="2">
        <f>C10/'Output-Calculation-sheet'!C9*'Output-Calculation-sheet'!C45</f>
        <v>6417.8615882619697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14920.570501765495</v>
      </c>
      <c r="N54" s="2">
        <f>N10/'Output-Calculation-sheet'!N9*'Output-Calculation-sheet'!N45</f>
        <v>8347.9309080208095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874.15470255141065</v>
      </c>
      <c r="R54" s="2">
        <f>R10/'Output-Calculation-sheet'!R9*'Output-Calculation-sheet'!R45</f>
        <v>1482.068315422576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91.274014532864371</v>
      </c>
    </row>
    <row r="55" spans="1:27" x14ac:dyDescent="0.25">
      <c r="A55" s="2">
        <v>2034</v>
      </c>
      <c r="B55" s="2">
        <f>B11/'Output-Calculation-sheet'!B10*'Output-Calculation-sheet'!B46</f>
        <v>69463.494730440027</v>
      </c>
      <c r="C55" s="2">
        <f>C11/'Output-Calculation-sheet'!C10*'Output-Calculation-sheet'!C46</f>
        <v>14252.943589518763</v>
      </c>
      <c r="D55" s="2">
        <f>D11/'Output-Calculation-sheet'!D10*'Output-Calculation-sheet'!D46</f>
        <v>6015.0487270793246</v>
      </c>
      <c r="E55" s="2">
        <f>E11/'Output-Calculation-sheet'!E10*'Output-Calculation-sheet'!E46</f>
        <v>9007.3288844012095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23269.978084534032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863.07069184345664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724.27994256428985</v>
      </c>
      <c r="M55" s="2">
        <f>M11/'Output-Calculation-sheet'!M10*'Output-Calculation-sheet'!M46</f>
        <v>16272.723663941815</v>
      </c>
      <c r="N55" s="2">
        <f>N11/'Output-Calculation-sheet'!N10*'Output-Calculation-sheet'!N46</f>
        <v>11852.700956311235</v>
      </c>
      <c r="O55" s="2">
        <f>O11/'Output-Calculation-sheet'!O10*'Output-Calculation-sheet'!O46</f>
        <v>0</v>
      </c>
      <c r="P55" s="2">
        <f>P11/'Output-Calculation-sheet'!P10*'Output-Calculation-sheet'!P46</f>
        <v>4699.597596852368</v>
      </c>
      <c r="Q55" s="2">
        <f>Q11/'Output-Calculation-sheet'!Q10*'Output-Calculation-sheet'!Q46</f>
        <v>1738.5004031952421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4984.2303195483109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1156.0225389201914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77.570479368417892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179.46954822179811</v>
      </c>
    </row>
    <row r="56" spans="1:27" x14ac:dyDescent="0.25">
      <c r="A56" s="2">
        <v>2035</v>
      </c>
      <c r="B56" s="2">
        <f>B12/'Output-Calculation-sheet'!B11*'Output-Calculation-sheet'!B47</f>
        <v>69625.100843038759</v>
      </c>
      <c r="C56" s="2">
        <f>C12/'Output-Calculation-sheet'!C11*'Output-Calculation-sheet'!C47</f>
        <v>25099.705515838705</v>
      </c>
      <c r="D56" s="2">
        <f>D12/'Output-Calculation-sheet'!D11*'Output-Calculation-sheet'!D47</f>
        <v>5480.3817457032947</v>
      </c>
      <c r="E56" s="2">
        <f>E12/'Output-Calculation-sheet'!E11*'Output-Calculation-sheet'!E47</f>
        <v>14556.361642720169</v>
      </c>
      <c r="F56" s="2">
        <f>F12/'Output-Calculation-sheet'!F11*'Output-Calculation-sheet'!F47</f>
        <v>1712.0477429518185</v>
      </c>
      <c r="G56" s="2">
        <f>G12/'Output-Calculation-sheet'!G11*'Output-Calculation-sheet'!G47</f>
        <v>4424.7949499084689</v>
      </c>
      <c r="H56" s="2">
        <f>H12/'Output-Calculation-sheet'!H11*'Output-Calculation-sheet'!H47</f>
        <v>20670.737703212195</v>
      </c>
      <c r="I56" s="2">
        <f>I12/'Output-Calculation-sheet'!I11*'Output-Calculation-sheet'!I47</f>
        <v>2459.7647879372171</v>
      </c>
      <c r="J56" s="2">
        <f>J12/'Output-Calculation-sheet'!J11*'Output-Calculation-sheet'!J47</f>
        <v>882.66059399373842</v>
      </c>
      <c r="K56" s="2">
        <f>K12/'Output-Calculation-sheet'!K11*'Output-Calculation-sheet'!K47</f>
        <v>3677.7867761810435</v>
      </c>
      <c r="L56" s="2">
        <f>L12/'Output-Calculation-sheet'!L11*'Output-Calculation-sheet'!L47</f>
        <v>831.35984254977677</v>
      </c>
      <c r="M56" s="2">
        <f>M12/'Output-Calculation-sheet'!M11*'Output-Calculation-sheet'!M47</f>
        <v>14470.627484375533</v>
      </c>
      <c r="N56" s="2">
        <f>N12/'Output-Calculation-sheet'!N11*'Output-Calculation-sheet'!N47</f>
        <v>10792.400115511233</v>
      </c>
      <c r="O56" s="2">
        <f>O12/'Output-Calculation-sheet'!O11*'Output-Calculation-sheet'!O47</f>
        <v>0</v>
      </c>
      <c r="P56" s="2">
        <f>P12/'Output-Calculation-sheet'!P11*'Output-Calculation-sheet'!P47</f>
        <v>5570.9374752417962</v>
      </c>
      <c r="Q56" s="2">
        <f>Q12/'Output-Calculation-sheet'!Q11*'Output-Calculation-sheet'!Q47</f>
        <v>1974.8035376398811</v>
      </c>
      <c r="R56" s="2">
        <f>R12/'Output-Calculation-sheet'!R11*'Output-Calculation-sheet'!R47</f>
        <v>3853.7906675500089</v>
      </c>
      <c r="S56" s="2">
        <f>S12/'Output-Calculation-sheet'!S11*'Output-Calculation-sheet'!S47</f>
        <v>5029.4604125726692</v>
      </c>
      <c r="T56" s="2">
        <f>T12/'Output-Calculation-sheet'!T11*'Output-Calculation-sheet'!T47</f>
        <v>1320.7397938165052</v>
      </c>
      <c r="U56" s="2">
        <f>U12/'Output-Calculation-sheet'!U11*'Output-Calculation-sheet'!U47</f>
        <v>1030.1325393701877</v>
      </c>
      <c r="V56" s="2">
        <f>V12/'Output-Calculation-sheet'!V11*'Output-Calculation-sheet'!V47</f>
        <v>593.81366791118091</v>
      </c>
      <c r="W56" s="2">
        <f>W12/'Output-Calculation-sheet'!W11*'Output-Calculation-sheet'!W47</f>
        <v>511.91746340250432</v>
      </c>
      <c r="X56" s="2">
        <f>X12/'Output-Calculation-sheet'!X11*'Output-Calculation-sheet'!X47</f>
        <v>307.9075691332539</v>
      </c>
      <c r="Y56" s="2">
        <f>Y12/'Output-Calculation-sheet'!Y11*'Output-Calculation-sheet'!Y47</f>
        <v>659.48120159198947</v>
      </c>
      <c r="AA56" s="2">
        <f t="shared" si="3"/>
        <v>195.53671407215191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6.1246486572041121</v>
      </c>
      <c r="C63" s="2">
        <f>C8*'Output-Calculation-sheet'!C52/10^9</f>
        <v>3.826964746712219</v>
      </c>
      <c r="D63" s="2">
        <f>D8*'Output-Calculation-sheet'!D52/10^9</f>
        <v>1.7492693850278729</v>
      </c>
      <c r="E63" s="2">
        <f>E8*'Output-Calculation-sheet'!E52/10^9</f>
        <v>1.6068156825118247</v>
      </c>
      <c r="F63" s="2">
        <f>F8*'Output-Calculation-sheet'!F52/10^9</f>
        <v>0.84681966377418549</v>
      </c>
      <c r="G63" s="2">
        <f>G8*'Output-Calculation-sheet'!G52/10^9</f>
        <v>0.62624969135784114</v>
      </c>
      <c r="H63" s="2">
        <f>H8*'Output-Calculation-sheet'!H52/10^9</f>
        <v>1.0805139174217622</v>
      </c>
      <c r="I63" s="2">
        <f>I8*'Output-Calculation-sheet'!I52/10^9</f>
        <v>0.58056127970977733</v>
      </c>
      <c r="J63" s="2">
        <f>J8*'Output-Calculation-sheet'!J52/10^9</f>
        <v>0.59022086389898021</v>
      </c>
      <c r="K63" s="2">
        <f>K8*'Output-Calculation-sheet'!K52/10^9</f>
        <v>0.59397839764760141</v>
      </c>
      <c r="L63" s="2">
        <f>L8*'Output-Calculation-sheet'!L52/10^9</f>
        <v>0.48420945152760253</v>
      </c>
      <c r="M63" s="2">
        <f>M8*'Output-Calculation-sheet'!M52/10^9</f>
        <v>0.74811076958375822</v>
      </c>
      <c r="N63" s="2">
        <f>N8*'Output-Calculation-sheet'!N52/10^9</f>
        <v>0.67125007925888402</v>
      </c>
      <c r="O63" s="2">
        <f>O8*'Output-Calculation-sheet'!O52/10^9</f>
        <v>0.72586171753292572</v>
      </c>
      <c r="P63" s="2">
        <f>P8*'Output-Calculation-sheet'!P52/10^9</f>
        <v>0.47816860593515215</v>
      </c>
      <c r="Q63" s="2">
        <f>Q8*'Output-Calculation-sheet'!Q52/10^9</f>
        <v>0.4931296362759936</v>
      </c>
      <c r="R63" s="2">
        <f>R8*'Output-Calculation-sheet'!R52/10^9</f>
        <v>0.40386838209374681</v>
      </c>
      <c r="S63" s="2">
        <f>S8*'Output-Calculation-sheet'!S52/10^9</f>
        <v>0.37136266051549893</v>
      </c>
      <c r="T63" s="2">
        <f>T8*'Output-Calculation-sheet'!T52/10^9</f>
        <v>0.13924650685074144</v>
      </c>
      <c r="U63" s="2">
        <f>U8*'Output-Calculation-sheet'!U52/10^9</f>
        <v>0.12649909506326432</v>
      </c>
      <c r="V63" s="2">
        <f>V8*'Output-Calculation-sheet'!V52/10^9</f>
        <v>9.7745020842378086E-2</v>
      </c>
      <c r="W63" s="2">
        <f>W8*'Output-Calculation-sheet'!W52/10^9</f>
        <v>7.6363860393890592E-2</v>
      </c>
      <c r="X63" s="2">
        <f>X8*'Output-Calculation-sheet'!X52/10^9</f>
        <v>9.0115807181154264E-2</v>
      </c>
      <c r="Y63" s="2">
        <f>Y8*'Output-Calculation-sheet'!Y52/10^9</f>
        <v>4.9639620975236783E-2</v>
      </c>
      <c r="AA63" s="2">
        <f t="shared" si="4"/>
        <v>22.581613499296402</v>
      </c>
    </row>
    <row r="64" spans="1:27" x14ac:dyDescent="0.25">
      <c r="A64" s="2">
        <v>2032</v>
      </c>
      <c r="B64" s="2">
        <f>B9*'Output-Calculation-sheet'!B53/10^9</f>
        <v>6.7799462381594866</v>
      </c>
      <c r="C64" s="2">
        <f>C9*'Output-Calculation-sheet'!C53/10^9</f>
        <v>4.4887644985851365</v>
      </c>
      <c r="D64" s="2">
        <f>D9*'Output-Calculation-sheet'!D53/10^9</f>
        <v>1.6335577055472474</v>
      </c>
      <c r="E64" s="2">
        <f>E9*'Output-Calculation-sheet'!E53/10^9</f>
        <v>1.5948440803439583</v>
      </c>
      <c r="F64" s="2">
        <f>F9*'Output-Calculation-sheet'!F53/10^9</f>
        <v>0.80433186547985136</v>
      </c>
      <c r="G64" s="2">
        <f>G9*'Output-Calculation-sheet'!G53/10^9</f>
        <v>0.58424253231895906</v>
      </c>
      <c r="H64" s="2">
        <f>H9*'Output-Calculation-sheet'!H53/10^9</f>
        <v>1.2542346146523642</v>
      </c>
      <c r="I64" s="2">
        <f>I9*'Output-Calculation-sheet'!I53/10^9</f>
        <v>0.54553467670452016</v>
      </c>
      <c r="J64" s="2">
        <f>J9*'Output-Calculation-sheet'!J53/10^9</f>
        <v>0.54451657064962466</v>
      </c>
      <c r="K64" s="2">
        <f>K9*'Output-Calculation-sheet'!K53/10^9</f>
        <v>0.58730707639383772</v>
      </c>
      <c r="L64" s="2">
        <f>L9*'Output-Calculation-sheet'!L53/10^9</f>
        <v>0.48412848384911028</v>
      </c>
      <c r="M64" s="2">
        <f>M9*'Output-Calculation-sheet'!M53/10^9</f>
        <v>0.86899579636561797</v>
      </c>
      <c r="N64" s="2">
        <f>N9*'Output-Calculation-sheet'!N53/10^9</f>
        <v>0.77215926817844716</v>
      </c>
      <c r="O64" s="2">
        <f>O9*'Output-Calculation-sheet'!O53/10^9</f>
        <v>0.83079173796946748</v>
      </c>
      <c r="P64" s="2">
        <f>P9*'Output-Calculation-sheet'!P53/10^9</f>
        <v>0.52527504151618054</v>
      </c>
      <c r="Q64" s="2">
        <f>Q9*'Output-Calculation-sheet'!Q53/10^9</f>
        <v>0.53750206646980192</v>
      </c>
      <c r="R64" s="2">
        <f>R9*'Output-Calculation-sheet'!R53/10^9</f>
        <v>0.42023897831075829</v>
      </c>
      <c r="S64" s="2">
        <f>S9*'Output-Calculation-sheet'!S53/10^9</f>
        <v>0.42531694836899719</v>
      </c>
      <c r="T64" s="2">
        <f>T9*'Output-Calculation-sheet'!T53/10^9</f>
        <v>0.13466244005417571</v>
      </c>
      <c r="U64" s="2">
        <f>U9*'Output-Calculation-sheet'!U53/10^9</f>
        <v>0.13283803001315758</v>
      </c>
      <c r="V64" s="2">
        <f>V9*'Output-Calculation-sheet'!V53/10^9</f>
        <v>9.8835139275450054E-2</v>
      </c>
      <c r="W64" s="2">
        <f>W9*'Output-Calculation-sheet'!W53/10^9</f>
        <v>7.1354745684913248E-2</v>
      </c>
      <c r="X64" s="2">
        <f>X9*'Output-Calculation-sheet'!X53/10^9</f>
        <v>0.10509630316274202</v>
      </c>
      <c r="Y64" s="2">
        <f>Y9*'Output-Calculation-sheet'!Y53/10^9</f>
        <v>5.1434969870492654E-2</v>
      </c>
      <c r="AA64" s="2">
        <f t="shared" si="4"/>
        <v>24.2759098079243</v>
      </c>
    </row>
    <row r="65" spans="1:27" x14ac:dyDescent="0.25">
      <c r="A65" s="2">
        <v>2033</v>
      </c>
      <c r="B65" s="2">
        <f>B10*'Output-Calculation-sheet'!B54/10^9</f>
        <v>7.3212941007564885</v>
      </c>
      <c r="C65" s="2">
        <f>C10*'Output-Calculation-sheet'!C54/10^9</f>
        <v>4.8356472541849991</v>
      </c>
      <c r="D65" s="2">
        <f>D10*'Output-Calculation-sheet'!D54/10^9</f>
        <v>1.4063870193766412</v>
      </c>
      <c r="E65" s="2">
        <f>E10*'Output-Calculation-sheet'!E54/10^9</f>
        <v>1.5959201036060908</v>
      </c>
      <c r="F65" s="2">
        <f>F10*'Output-Calculation-sheet'!F54/10^9</f>
        <v>0.72397817702437361</v>
      </c>
      <c r="G65" s="2">
        <f>G10*'Output-Calculation-sheet'!G54/10^9</f>
        <v>0.49966594040167095</v>
      </c>
      <c r="H65" s="2">
        <f>H10*'Output-Calculation-sheet'!H54/10^9</f>
        <v>1.3280994175581533</v>
      </c>
      <c r="I65" s="2">
        <f>I10*'Output-Calculation-sheet'!I54/10^9</f>
        <v>0.4915050569022667</v>
      </c>
      <c r="J65" s="2">
        <f>J10*'Output-Calculation-sheet'!J54/10^9</f>
        <v>0.45329486210107423</v>
      </c>
      <c r="K65" s="2">
        <f>K10*'Output-Calculation-sheet'!K54/10^9</f>
        <v>0.57815693853679229</v>
      </c>
      <c r="L65" s="2">
        <f>L10*'Output-Calculation-sheet'!L54/10^9</f>
        <v>0.48083983316245182</v>
      </c>
      <c r="M65" s="2">
        <f>M10*'Output-Calculation-sheet'!M54/10^9</f>
        <v>0.92029390417308954</v>
      </c>
      <c r="N65" s="2">
        <f>N10*'Output-Calculation-sheet'!N54/10^9</f>
        <v>0.82736061677977135</v>
      </c>
      <c r="O65" s="2">
        <f>O10*'Output-Calculation-sheet'!O54/10^9</f>
        <v>0.87590438130505011</v>
      </c>
      <c r="P65" s="2">
        <f>P10*'Output-Calculation-sheet'!P54/10^9</f>
        <v>0.55831680188453492</v>
      </c>
      <c r="Q65" s="2">
        <f>Q10*'Output-Calculation-sheet'!Q54/10^9</f>
        <v>0.57927907897694442</v>
      </c>
      <c r="R65" s="2">
        <f>R10*'Output-Calculation-sheet'!R54/10^9</f>
        <v>0.43285624040430787</v>
      </c>
      <c r="S65" s="2">
        <f>S10*'Output-Calculation-sheet'!S54/10^9</f>
        <v>0.45773228007897088</v>
      </c>
      <c r="T65" s="2">
        <f>T10*'Output-Calculation-sheet'!T54/10^9</f>
        <v>0.12991981586964649</v>
      </c>
      <c r="U65" s="2">
        <f>U10*'Output-Calculation-sheet'!U54/10^9</f>
        <v>0.14047710057506416</v>
      </c>
      <c r="V65" s="2">
        <f>V10*'Output-Calculation-sheet'!V54/10^9</f>
        <v>9.8034388880305814E-2</v>
      </c>
      <c r="W65" s="2">
        <f>W10*'Output-Calculation-sheet'!W54/10^9</f>
        <v>6.1321618225919153E-2</v>
      </c>
      <c r="X65" s="2">
        <f>X10*'Output-Calculation-sheet'!X54/10^9</f>
        <v>0.11280945360792127</v>
      </c>
      <c r="Y65" s="2">
        <f>Y10*'Output-Calculation-sheet'!Y54/10^9</f>
        <v>5.4100582488122682E-2</v>
      </c>
      <c r="AA65" s="2">
        <f t="shared" si="4"/>
        <v>24.963194966860648</v>
      </c>
    </row>
    <row r="66" spans="1:27" x14ac:dyDescent="0.25">
      <c r="A66" s="2">
        <v>2034</v>
      </c>
      <c r="B66" s="2">
        <f>B11*'Output-Calculation-sheet'!B55/10^9</f>
        <v>7.5882710616263775</v>
      </c>
      <c r="C66" s="2">
        <f>C11*'Output-Calculation-sheet'!C55/10^9</f>
        <v>4.8340745157670471</v>
      </c>
      <c r="D66" s="2">
        <f>D11*'Output-Calculation-sheet'!D55/10^9</f>
        <v>1.4237402015540002</v>
      </c>
      <c r="E66" s="2">
        <f>E11*'Output-Calculation-sheet'!E55/10^9</f>
        <v>1.7555301504925527</v>
      </c>
      <c r="F66" s="2">
        <f>F11*'Output-Calculation-sheet'!F55/10^9</f>
        <v>0.70308708179571866</v>
      </c>
      <c r="G66" s="2">
        <f>G11*'Output-Calculation-sheet'!G55/10^9</f>
        <v>0.5064042284924557</v>
      </c>
      <c r="H66" s="2">
        <f>H11*'Output-Calculation-sheet'!H55/10^9</f>
        <v>1.3340047530932089</v>
      </c>
      <c r="I66" s="2">
        <f>I11*'Output-Calculation-sheet'!I55/10^9</f>
        <v>0.49778664624087277</v>
      </c>
      <c r="J66" s="2">
        <f>J11*'Output-Calculation-sheet'!J55/10^9</f>
        <v>0.43917787513032186</v>
      </c>
      <c r="K66" s="2">
        <f>K11*'Output-Calculation-sheet'!K55/10^9</f>
        <v>0.58692325068518081</v>
      </c>
      <c r="L66" s="2">
        <f>L11*'Output-Calculation-sheet'!L55/10^9</f>
        <v>0.51409377408916435</v>
      </c>
      <c r="M66" s="2">
        <f>M11*'Output-Calculation-sheet'!M55/10^9</f>
        <v>0.92629685866759737</v>
      </c>
      <c r="N66" s="2">
        <f>N11*'Output-Calculation-sheet'!N55/10^9</f>
        <v>0.82924667992629308</v>
      </c>
      <c r="O66" s="2">
        <f>O11*'Output-Calculation-sheet'!O55/10^9</f>
        <v>0.86030537191585521</v>
      </c>
      <c r="P66" s="2">
        <f>P11*'Output-Calculation-sheet'!P55/10^9</f>
        <v>0.58285937363025841</v>
      </c>
      <c r="Q66" s="2">
        <f>Q11*'Output-Calculation-sheet'!Q55/10^9</f>
        <v>0.60506754197907364</v>
      </c>
      <c r="R66" s="2">
        <f>R11*'Output-Calculation-sheet'!R55/10^9</f>
        <v>0.44110302133560975</v>
      </c>
      <c r="S66" s="2">
        <f>S11*'Output-Calculation-sheet'!S55/10^9</f>
        <v>0.46711786784005155</v>
      </c>
      <c r="T66" s="2">
        <f>T11*'Output-Calculation-sheet'!T55/10^9</f>
        <v>0.12986218589558463</v>
      </c>
      <c r="U66" s="2">
        <f>U11*'Output-Calculation-sheet'!U55/10^9</f>
        <v>0.14998215440013718</v>
      </c>
      <c r="V66" s="2">
        <f>V11*'Output-Calculation-sheet'!V55/10^9</f>
        <v>9.7000379239511936E-2</v>
      </c>
      <c r="W66" s="2">
        <f>W11*'Output-Calculation-sheet'!W55/10^9</f>
        <v>5.9096639403018583E-2</v>
      </c>
      <c r="X66" s="2">
        <f>X11*'Output-Calculation-sheet'!X55/10^9</f>
        <v>0.1127932094991696</v>
      </c>
      <c r="Y66" s="2">
        <f>Y11*'Output-Calculation-sheet'!Y55/10^9</f>
        <v>6.1277435562398681E-2</v>
      </c>
      <c r="AA66" s="2">
        <f t="shared" si="4"/>
        <v>25.50510225826147</v>
      </c>
    </row>
    <row r="67" spans="1:27" x14ac:dyDescent="0.25">
      <c r="A67" s="2">
        <v>2035</v>
      </c>
      <c r="B67" s="2">
        <f>B12*'Output-Calculation-sheet'!B56/10^9</f>
        <v>7.3886915533295801</v>
      </c>
      <c r="C67" s="2">
        <f>C12*'Output-Calculation-sheet'!C56/10^9</f>
        <v>4.5061479776784203</v>
      </c>
      <c r="D67" s="2">
        <f>D12*'Output-Calculation-sheet'!D56/10^9</f>
        <v>1.5028673907613617</v>
      </c>
      <c r="E67" s="2">
        <f>E12*'Output-Calculation-sheet'!E56/10^9</f>
        <v>2.0319816193772442</v>
      </c>
      <c r="F67" s="2">
        <f>F12*'Output-Calculation-sheet'!F56/10^9</f>
        <v>0.80577118897428635</v>
      </c>
      <c r="G67" s="2">
        <f>G12*'Output-Calculation-sheet'!G56/10^9</f>
        <v>0.58485271537157246</v>
      </c>
      <c r="H67" s="2">
        <f>H12*'Output-Calculation-sheet'!H56/10^9</f>
        <v>1.2749122066823113</v>
      </c>
      <c r="I67" s="2">
        <f>I12*'Output-Calculation-sheet'!I56/10^9</f>
        <v>0.5524705957098206</v>
      </c>
      <c r="J67" s="2">
        <f>J12*'Output-Calculation-sheet'!J56/10^9</f>
        <v>0.45622034744429096</v>
      </c>
      <c r="K67" s="2">
        <f>K12*'Output-Calculation-sheet'!K56/10^9</f>
        <v>0.61683169616880074</v>
      </c>
      <c r="L67" s="2">
        <f>L12*'Output-Calculation-sheet'!L56/10^9</f>
        <v>0.53225260184229251</v>
      </c>
      <c r="M67" s="2">
        <f>M12*'Output-Calculation-sheet'!M56/10^9</f>
        <v>0.89345466681909891</v>
      </c>
      <c r="N67" s="2">
        <f>N12*'Output-Calculation-sheet'!N56/10^9</f>
        <v>0.78208909424911399</v>
      </c>
      <c r="O67" s="2">
        <f>O12*'Output-Calculation-sheet'!O56/10^9</f>
        <v>0.79152048861935076</v>
      </c>
      <c r="P67" s="2">
        <f>P12*'Output-Calculation-sheet'!P56/10^9</f>
        <v>0.6231944714198947</v>
      </c>
      <c r="Q67" s="2">
        <f>Q12*'Output-Calculation-sheet'!Q56/10^9</f>
        <v>0.58419488259007757</v>
      </c>
      <c r="R67" s="2">
        <f>R12*'Output-Calculation-sheet'!R56/10^9</f>
        <v>0.45897463514133952</v>
      </c>
      <c r="S67" s="2">
        <f>S12*'Output-Calculation-sheet'!S56/10^9</f>
        <v>0.44513123257182546</v>
      </c>
      <c r="T67" s="2">
        <f>T12*'Output-Calculation-sheet'!T56/10^9</f>
        <v>0.14109116075477607</v>
      </c>
      <c r="U67" s="2">
        <f>U12*'Output-Calculation-sheet'!U56/10^9</f>
        <v>0.15214010012009546</v>
      </c>
      <c r="V67" s="2">
        <f>V12*'Output-Calculation-sheet'!V56/10^9</f>
        <v>9.593964689921361E-2</v>
      </c>
      <c r="W67" s="2">
        <f>W12*'Output-Calculation-sheet'!W56/10^9</f>
        <v>7.4645672500202126E-2</v>
      </c>
      <c r="X67" s="2">
        <f>X12*'Output-Calculation-sheet'!X56/10^9</f>
        <v>0.10935723096234819</v>
      </c>
      <c r="Y67" s="2">
        <f>Y12*'Output-Calculation-sheet'!Y56/10^9</f>
        <v>7.0090665503744973E-2</v>
      </c>
      <c r="AA67" s="2">
        <f t="shared" si="4"/>
        <v>25.474823841491059</v>
      </c>
    </row>
    <row r="68" spans="1:27" x14ac:dyDescent="0.25">
      <c r="B68" s="2">
        <f>SUM(B60:B67)</f>
        <v>35.202851611076042</v>
      </c>
      <c r="C68" s="2">
        <f t="shared" ref="C68:Y68" si="5">SUM(C60:C67)</f>
        <v>22.49159899292782</v>
      </c>
      <c r="D68" s="2">
        <f t="shared" si="5"/>
        <v>7.7158217022671227</v>
      </c>
      <c r="E68" s="2">
        <f t="shared" si="5"/>
        <v>8.5850916363316703</v>
      </c>
      <c r="F68" s="2">
        <f t="shared" si="5"/>
        <v>3.8839879770484154</v>
      </c>
      <c r="G68" s="2">
        <f t="shared" si="5"/>
        <v>2.8014151079424989</v>
      </c>
      <c r="H68" s="2">
        <f t="shared" si="5"/>
        <v>6.2717649094077998</v>
      </c>
      <c r="I68" s="2">
        <f t="shared" si="5"/>
        <v>2.6678582552672574</v>
      </c>
      <c r="J68" s="2">
        <f t="shared" si="5"/>
        <v>2.4834305192242923</v>
      </c>
      <c r="K68" s="2">
        <f t="shared" si="5"/>
        <v>2.963197359432213</v>
      </c>
      <c r="L68" s="2">
        <f t="shared" si="5"/>
        <v>2.4955241444706213</v>
      </c>
      <c r="M68" s="2">
        <f t="shared" si="5"/>
        <v>4.3571519956091622</v>
      </c>
      <c r="N68" s="2">
        <f t="shared" si="5"/>
        <v>3.8821057383925095</v>
      </c>
      <c r="O68" s="2">
        <f t="shared" si="5"/>
        <v>4.0843836973426493</v>
      </c>
      <c r="P68" s="2">
        <f t="shared" si="5"/>
        <v>2.7678142943860209</v>
      </c>
      <c r="Q68" s="2">
        <f t="shared" si="5"/>
        <v>2.7991732062918908</v>
      </c>
      <c r="R68" s="2">
        <f t="shared" si="5"/>
        <v>2.157041257285762</v>
      </c>
      <c r="S68" s="2">
        <f t="shared" si="5"/>
        <v>2.1666609893753441</v>
      </c>
      <c r="T68" s="2">
        <f t="shared" si="5"/>
        <v>0.67478210942492445</v>
      </c>
      <c r="U68" s="2">
        <f t="shared" si="5"/>
        <v>0.70193648017171872</v>
      </c>
      <c r="V68" s="2">
        <f t="shared" si="5"/>
        <v>0.48755457513685951</v>
      </c>
      <c r="W68" s="2">
        <f t="shared" si="5"/>
        <v>0.34278253620794363</v>
      </c>
      <c r="X68" s="2">
        <f t="shared" si="5"/>
        <v>0.53017200441333534</v>
      </c>
      <c r="Y68" s="2">
        <f t="shared" si="5"/>
        <v>0.28654327439999577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1695.7953300425831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1143.9025974142885</v>
      </c>
      <c r="N74" s="2">
        <f>N8/'Output-Calculation-sheet'!N7*'Output-Calculation-sheet'!N61</f>
        <v>47.549959359964042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10.150720130561979</v>
      </c>
      <c r="Y74" s="2">
        <f>Y8/'Output-Calculation-sheet'!Y7*'Output-Calculation-sheet'!Y61</f>
        <v>0</v>
      </c>
      <c r="AA74" s="2">
        <f t="shared" si="6"/>
        <v>2.8973986069473976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63.222549726505392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2888.5487192525375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1957.2954519590496</v>
      </c>
      <c r="N75" s="2">
        <f>N9/'Output-Calculation-sheet'!N8*'Output-Calculation-sheet'!N62</f>
        <v>753.48175859561479</v>
      </c>
      <c r="O75" s="2">
        <f>O9/'Output-Calculation-sheet'!O8*'Output-Calculation-sheet'!O62</f>
        <v>0</v>
      </c>
      <c r="P75" s="2">
        <f>P9/'Output-Calculation-sheet'!P8*'Output-Calculation-sheet'!P62</f>
        <v>49.014673818926141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253.24554020255925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68.729760552035373</v>
      </c>
      <c r="Y75" s="2">
        <f>Y9/'Output-Calculation-sheet'!Y8*'Output-Calculation-sheet'!Y62</f>
        <v>0</v>
      </c>
      <c r="AA75" s="2">
        <f t="shared" si="6"/>
        <v>6.0335384541072274</v>
      </c>
    </row>
    <row r="76" spans="1:27" x14ac:dyDescent="0.25">
      <c r="A76" s="2">
        <v>2033</v>
      </c>
      <c r="B76" s="2">
        <f>B10/'Output-Calculation-sheet'!B9*'Output-Calculation-sheet'!B63</f>
        <v>6001.6170444139607</v>
      </c>
      <c r="C76" s="2">
        <f>C10/'Output-Calculation-sheet'!C9*'Output-Calculation-sheet'!C63</f>
        <v>1763.1474423024154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3932.6375356426029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2674.8992776344485</v>
      </c>
      <c r="N76" s="2">
        <f>N10/'Output-Calculation-sheet'!N9*'Output-Calculation-sheet'!N63</f>
        <v>1528.0479632673507</v>
      </c>
      <c r="O76" s="2">
        <f>O10/'Output-Calculation-sheet'!O9*'Output-Calculation-sheet'!O63</f>
        <v>0</v>
      </c>
      <c r="P76" s="2">
        <f>P10/'Output-Calculation-sheet'!P9*'Output-Calculation-sheet'!P63</f>
        <v>526.78012122166388</v>
      </c>
      <c r="Q76" s="2">
        <f>Q10/'Output-Calculation-sheet'!Q9*'Output-Calculation-sheet'!Q63</f>
        <v>237.16395788907869</v>
      </c>
      <c r="R76" s="2">
        <f>R10/'Output-Calculation-sheet'!R9*'Output-Calculation-sheet'!R63</f>
        <v>401.47035753841317</v>
      </c>
      <c r="S76" s="2">
        <f>S10/'Output-Calculation-sheet'!S9*'Output-Calculation-sheet'!S63</f>
        <v>679.39817588422261</v>
      </c>
      <c r="T76" s="2">
        <f>T10/'Output-Calculation-sheet'!T9*'Output-Calculation-sheet'!T63</f>
        <v>26.388509563082334</v>
      </c>
      <c r="U76" s="2">
        <f>U10/'Output-Calculation-sheet'!U9*'Output-Calculation-sheet'!U63</f>
        <v>142.51935079926142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153.37155676085072</v>
      </c>
      <c r="Y76" s="2">
        <f>Y10/'Output-Calculation-sheet'!Y9*'Output-Calculation-sheet'!Y63</f>
        <v>6.7665842338822184</v>
      </c>
      <c r="AA76" s="2">
        <f t="shared" si="6"/>
        <v>18.184981513165489</v>
      </c>
    </row>
    <row r="77" spans="1:27" x14ac:dyDescent="0.25">
      <c r="A77" s="2">
        <v>2034</v>
      </c>
      <c r="B77" s="2">
        <f>B11/'Output-Calculation-sheet'!B10*'Output-Calculation-sheet'!B64</f>
        <v>11825.988362164551</v>
      </c>
      <c r="C77" s="2">
        <f>C11/'Output-Calculation-sheet'!C10*'Output-Calculation-sheet'!C64</f>
        <v>3225.6076599915441</v>
      </c>
      <c r="D77" s="2">
        <f>D11/'Output-Calculation-sheet'!D10*'Output-Calculation-sheet'!D64</f>
        <v>1429.0115724173913</v>
      </c>
      <c r="E77" s="2">
        <f>E11/'Output-Calculation-sheet'!E10*'Output-Calculation-sheet'!E64</f>
        <v>2076.3349396876947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4295.6694756176848</v>
      </c>
      <c r="I77" s="2">
        <f>I11/'Output-Calculation-sheet'!I10*'Output-Calculation-sheet'!I64</f>
        <v>518.36605326944175</v>
      </c>
      <c r="J77" s="2">
        <f>J11/'Output-Calculation-sheet'!J10*'Output-Calculation-sheet'!J64</f>
        <v>285.16001941675921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205.90458609592042</v>
      </c>
      <c r="M77" s="2">
        <f>M11/'Output-Calculation-sheet'!M10*'Output-Calculation-sheet'!M64</f>
        <v>2998.7787052401886</v>
      </c>
      <c r="N77" s="2">
        <f>N11/'Output-Calculation-sheet'!N10*'Output-Calculation-sheet'!N64</f>
        <v>2076.3640991104935</v>
      </c>
      <c r="O77" s="2">
        <f>O11/'Output-Calculation-sheet'!O10*'Output-Calculation-sheet'!O64</f>
        <v>0</v>
      </c>
      <c r="P77" s="2">
        <f>P11/'Output-Calculation-sheet'!P10*'Output-Calculation-sheet'!P64</f>
        <v>980.8313813707548</v>
      </c>
      <c r="Q77" s="2">
        <f>Q11/'Output-Calculation-sheet'!Q10*'Output-Calculation-sheet'!Q64</f>
        <v>402.00864478075198</v>
      </c>
      <c r="R77" s="2">
        <f>R11/'Output-Calculation-sheet'!R10*'Output-Calculation-sheet'!R64</f>
        <v>833.82319075598332</v>
      </c>
      <c r="S77" s="2">
        <f>S11/'Output-Calculation-sheet'!S10*'Output-Calculation-sheet'!S64</f>
        <v>901.31992011071134</v>
      </c>
      <c r="T77" s="2">
        <f>T11/'Output-Calculation-sheet'!T10*'Output-Calculation-sheet'!T64</f>
        <v>230.68820457143534</v>
      </c>
      <c r="U77" s="2">
        <f>U11/'Output-Calculation-sheet'!U10*'Output-Calculation-sheet'!U64</f>
        <v>251.07057904842389</v>
      </c>
      <c r="V77" s="2">
        <f>V11/'Output-Calculation-sheet'!V10*'Output-Calculation-sheet'!V64</f>
        <v>120.35796571610727</v>
      </c>
      <c r="W77" s="2">
        <f>W11/'Output-Calculation-sheet'!W10*'Output-Calculation-sheet'!W64</f>
        <v>26.159940807730049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76.537525267122149</v>
      </c>
      <c r="AA77" s="2">
        <f t="shared" si="6"/>
        <v>34.703636158733069</v>
      </c>
    </row>
    <row r="78" spans="1:27" x14ac:dyDescent="0.25">
      <c r="A78" s="2">
        <v>2035</v>
      </c>
      <c r="B78" s="2">
        <f>B12/'Output-Calculation-sheet'!B11*'Output-Calculation-sheet'!B65</f>
        <v>12044.542147316472</v>
      </c>
      <c r="C78" s="2">
        <f>C12/'Output-Calculation-sheet'!C11*'Output-Calculation-sheet'!C65</f>
        <v>5091.002665829069</v>
      </c>
      <c r="D78" s="2">
        <f>D12/'Output-Calculation-sheet'!D11*'Output-Calculation-sheet'!D65</f>
        <v>1298.638149000305</v>
      </c>
      <c r="E78" s="2">
        <f>E12/'Output-Calculation-sheet'!E11*'Output-Calculation-sheet'!E65</f>
        <v>2492.8183207955653</v>
      </c>
      <c r="F78" s="2">
        <f>F12/'Output-Calculation-sheet'!F11*'Output-Calculation-sheet'!F65</f>
        <v>543.17167579047168</v>
      </c>
      <c r="G78" s="2">
        <f>G12/'Output-Calculation-sheet'!G11*'Output-Calculation-sheet'!G65</f>
        <v>998.97757761590537</v>
      </c>
      <c r="H78" s="2">
        <f>H12/'Output-Calculation-sheet'!H11*'Output-Calculation-sheet'!H65</f>
        <v>3839.7983518263718</v>
      </c>
      <c r="I78" s="2">
        <f>I12/'Output-Calculation-sheet'!I11*'Output-Calculation-sheet'!I65</f>
        <v>636.25700419285533</v>
      </c>
      <c r="J78" s="2">
        <f>J12/'Output-Calculation-sheet'!J11*'Output-Calculation-sheet'!J65</f>
        <v>272.53105253245798</v>
      </c>
      <c r="K78" s="2">
        <f>K12/'Output-Calculation-sheet'!K11*'Output-Calculation-sheet'!K65</f>
        <v>811.68055434347798</v>
      </c>
      <c r="L78" s="2">
        <f>L12/'Output-Calculation-sheet'!L11*'Output-Calculation-sheet'!L65</f>
        <v>234.98188968904805</v>
      </c>
      <c r="M78" s="2">
        <f>M12/'Output-Calculation-sheet'!M11*'Output-Calculation-sheet'!M65</f>
        <v>2701.1630417370698</v>
      </c>
      <c r="N78" s="2">
        <f>N12/'Output-Calculation-sheet'!N11*'Output-Calculation-sheet'!N65</f>
        <v>1896.4242038794182</v>
      </c>
      <c r="O78" s="2">
        <f>O12/'Output-Calculation-sheet'!O11*'Output-Calculation-sheet'!O65</f>
        <v>0</v>
      </c>
      <c r="P78" s="2">
        <f>P12/'Output-Calculation-sheet'!P11*'Output-Calculation-sheet'!P65</f>
        <v>1071.8161883963057</v>
      </c>
      <c r="Q78" s="2">
        <f>Q12/'Output-Calculation-sheet'!Q11*'Output-Calculation-sheet'!Q65</f>
        <v>424.43922850587876</v>
      </c>
      <c r="R78" s="2">
        <f>R12/'Output-Calculation-sheet'!R11*'Output-Calculation-sheet'!R65</f>
        <v>843.30118224862781</v>
      </c>
      <c r="S78" s="2">
        <f>S12/'Output-Calculation-sheet'!S11*'Output-Calculation-sheet'!S65</f>
        <v>878.35405499266608</v>
      </c>
      <c r="T78" s="2">
        <f>T12/'Output-Calculation-sheet'!T11*'Output-Calculation-sheet'!T65</f>
        <v>301.00912848545249</v>
      </c>
      <c r="U78" s="2">
        <f>U12/'Output-Calculation-sheet'!U11*'Output-Calculation-sheet'!U65</f>
        <v>223.87906798594841</v>
      </c>
      <c r="V78" s="2">
        <f>V12/'Output-Calculation-sheet'!V11*'Output-Calculation-sheet'!V65</f>
        <v>115.2349608586203</v>
      </c>
      <c r="W78" s="2">
        <f>W12/'Output-Calculation-sheet'!W11*'Output-Calculation-sheet'!W65</f>
        <v>114.95086431122634</v>
      </c>
      <c r="X78" s="2">
        <f>X12/'Output-Calculation-sheet'!X11*'Output-Calculation-sheet'!X65</f>
        <v>60.004144334265064</v>
      </c>
      <c r="Y78" s="2">
        <f>Y12/'Output-Calculation-sheet'!Y11*'Output-Calculation-sheet'!Y65</f>
        <v>104.08292741207457</v>
      </c>
      <c r="AA78" s="2">
        <f t="shared" si="6"/>
        <v>36.999058382079554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435.56737066699895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252.83641745667009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0.68840378812366909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1470.55291444819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367.4683734220863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1.8380212878702764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2488.1041890313099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452.00997845944244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2.9401141674907523</v>
      </c>
    </row>
    <row r="88" spans="1:27" x14ac:dyDescent="0.25">
      <c r="A88" s="2">
        <v>2034</v>
      </c>
      <c r="B88" s="2">
        <f>B11/'Output-Calculation-sheet'!B10*'Output-Calculation-sheet'!B73</f>
        <v>119.85857914272005</v>
      </c>
      <c r="C88" s="2">
        <f>C11/'Output-Calculation-sheet'!C10*'Output-Calculation-sheet'!C73</f>
        <v>2601.3173532394549</v>
      </c>
      <c r="D88" s="2">
        <f>D11/'Output-Calculation-sheet'!D10*'Output-Calculation-sheet'!D73</f>
        <v>9.1622981372114616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42.983471867169655</v>
      </c>
      <c r="I88" s="2">
        <f>I11/'Output-Calculation-sheet'!I10*'Output-Calculation-sheet'!I73</f>
        <v>0</v>
      </c>
      <c r="J88" s="2">
        <f>J11/'Output-Calculation-sheet'!J10*'Output-Calculation-sheet'!J73</f>
        <v>2.9256633621812091</v>
      </c>
      <c r="K88" s="2">
        <f>K11/'Output-Calculation-sheet'!K10*'Output-Calculation-sheet'!K73</f>
        <v>0</v>
      </c>
      <c r="L88" s="2">
        <f>L11/'Output-Calculation-sheet'!L10*'Output-Calculation-sheet'!L73</f>
        <v>6.9309085412850706</v>
      </c>
      <c r="M88" s="2">
        <f>M11/'Output-Calculation-sheet'!M10*'Output-Calculation-sheet'!M73</f>
        <v>20.813311990231874</v>
      </c>
      <c r="N88" s="2">
        <f>N11/'Output-Calculation-sheet'!N10*'Output-Calculation-sheet'!N73</f>
        <v>10.766373836235113</v>
      </c>
      <c r="O88" s="2">
        <f>O11/'Output-Calculation-sheet'!O10*'Output-Calculation-sheet'!O73</f>
        <v>491.2979063439447</v>
      </c>
      <c r="P88" s="2">
        <f>P11/'Output-Calculation-sheet'!P10*'Output-Calculation-sheet'!P73</f>
        <v>0</v>
      </c>
      <c r="Q88" s="2">
        <f>Q11/'Output-Calculation-sheet'!Q10*'Output-Calculation-sheet'!Q73</f>
        <v>33.015471574516262</v>
      </c>
      <c r="R88" s="2">
        <f>R11/'Output-Calculation-sheet'!R10*'Output-Calculation-sheet'!R73</f>
        <v>0</v>
      </c>
      <c r="S88" s="2">
        <f>S11/'Output-Calculation-sheet'!S10*'Output-Calculation-sheet'!S73</f>
        <v>15.429142891122805</v>
      </c>
      <c r="T88" s="2">
        <f>T11/'Output-Calculation-sheet'!T10*'Output-Calculation-sheet'!T73</f>
        <v>0</v>
      </c>
      <c r="U88" s="2">
        <f>U11/'Output-Calculation-sheet'!U10*'Output-Calculation-sheet'!U73</f>
        <v>3.0096915879203112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3.3575101725139933</v>
      </c>
    </row>
    <row r="89" spans="1:27" x14ac:dyDescent="0.25">
      <c r="A89" s="2">
        <v>2035</v>
      </c>
      <c r="B89" s="2">
        <f>B12/'Output-Calculation-sheet'!B11*'Output-Calculation-sheet'!B74</f>
        <v>590.76998115073263</v>
      </c>
      <c r="C89" s="2">
        <f>C12/'Output-Calculation-sheet'!C11*'Output-Calculation-sheet'!C74</f>
        <v>2419.5211623376049</v>
      </c>
      <c r="D89" s="2">
        <f>D12/'Output-Calculation-sheet'!D11*'Output-Calculation-sheet'!D74</f>
        <v>112.17155619860544</v>
      </c>
      <c r="E89" s="2">
        <f>E12/'Output-Calculation-sheet'!E11*'Output-Calculation-sheet'!E74</f>
        <v>149.63888827818195</v>
      </c>
      <c r="F89" s="2">
        <f>F12/'Output-Calculation-sheet'!F11*'Output-Calculation-sheet'!F74</f>
        <v>48.057480503910696</v>
      </c>
      <c r="G89" s="2">
        <f>G12/'Output-Calculation-sheet'!G11*'Output-Calculation-sheet'!G74</f>
        <v>45.986826371247481</v>
      </c>
      <c r="H89" s="2">
        <f>H12/'Output-Calculation-sheet'!H11*'Output-Calculation-sheet'!H74</f>
        <v>179.58817104757361</v>
      </c>
      <c r="I89" s="2">
        <f>I12/'Output-Calculation-sheet'!I11*'Output-Calculation-sheet'!I74</f>
        <v>38.777164286976621</v>
      </c>
      <c r="J89" s="2">
        <f>J12/'Output-Calculation-sheet'!J11*'Output-Calculation-sheet'!J74</f>
        <v>30.701238051956118</v>
      </c>
      <c r="K89" s="2">
        <f>K12/'Output-Calculation-sheet'!K11*'Output-Calculation-sheet'!K74</f>
        <v>40.65256540165575</v>
      </c>
      <c r="L89" s="2">
        <f>L12/'Output-Calculation-sheet'!L11*'Output-Calculation-sheet'!L74</f>
        <v>42.426626229757751</v>
      </c>
      <c r="M89" s="2">
        <f>M12/'Output-Calculation-sheet'!M11*'Output-Calculation-sheet'!M74</f>
        <v>113.03680942382583</v>
      </c>
      <c r="N89" s="2">
        <f>N12/'Output-Calculation-sheet'!N11*'Output-Calculation-sheet'!N74</f>
        <v>68.72940839503795</v>
      </c>
      <c r="O89" s="2">
        <f>O12/'Output-Calculation-sheet'!O11*'Output-Calculation-sheet'!O74</f>
        <v>490.25331973481082</v>
      </c>
      <c r="P89" s="2">
        <f>P12/'Output-Calculation-sheet'!P11*'Output-Calculation-sheet'!P74</f>
        <v>40.009855403766217</v>
      </c>
      <c r="Q89" s="2">
        <f>Q12/'Output-Calculation-sheet'!Q11*'Output-Calculation-sheet'!Q74</f>
        <v>67.641558097940788</v>
      </c>
      <c r="R89" s="2">
        <f>R12/'Output-Calculation-sheet'!R11*'Output-Calculation-sheet'!R74</f>
        <v>27.813390510868246</v>
      </c>
      <c r="S89" s="2">
        <f>S12/'Output-Calculation-sheet'!S11*'Output-Calculation-sheet'!S74</f>
        <v>43.175966627944362</v>
      </c>
      <c r="T89" s="2">
        <f>T12/'Output-Calculation-sheet'!T11*'Output-Calculation-sheet'!T74</f>
        <v>6.9608192616360274</v>
      </c>
      <c r="U89" s="2">
        <f>U12/'Output-Calculation-sheet'!U11*'Output-Calculation-sheet'!U74</f>
        <v>13.422779639212971</v>
      </c>
      <c r="V89" s="2">
        <f>V12/'Output-Calculation-sheet'!V11*'Output-Calculation-sheet'!V74</f>
        <v>5.0735959322554756</v>
      </c>
      <c r="W89" s="2">
        <f>W12/'Output-Calculation-sheet'!W11*'Output-Calculation-sheet'!W74</f>
        <v>3.8661806367508049</v>
      </c>
      <c r="X89" s="2">
        <f>X12/'Output-Calculation-sheet'!X11*'Output-Calculation-sheet'!X74</f>
        <v>2.7322855964043007</v>
      </c>
      <c r="Y89" s="2">
        <f>Y12/'Output-Calculation-sheet'!Y11*'Output-Calculation-sheet'!Y74</f>
        <v>5.0705920466860643</v>
      </c>
      <c r="AA89" s="2">
        <f t="shared" si="7"/>
        <v>4.5860782211653426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13847401060.92514</v>
      </c>
      <c r="C96" s="2">
        <f>C8/'Output-Calculation-sheet'!C7*'Output-Calculation-sheet'!C79</f>
        <v>4684647770.9154453</v>
      </c>
      <c r="D96" s="2">
        <f>D8/'Output-Calculation-sheet'!D7*'Output-Calculation-sheet'!D79</f>
        <v>4890438885.5767946</v>
      </c>
      <c r="E96" s="2">
        <f>E8/'Output-Calculation-sheet'!E7*'Output-Calculation-sheet'!E79</f>
        <v>8694797426.4129505</v>
      </c>
      <c r="F96" s="2">
        <f>F8/'Output-Calculation-sheet'!F7*'Output-Calculation-sheet'!F79</f>
        <v>3598690159.938787</v>
      </c>
      <c r="G96" s="2">
        <f>G8/'Output-Calculation-sheet'!G7*'Output-Calculation-sheet'!G79</f>
        <v>2803089840.5131016</v>
      </c>
      <c r="H96" s="2">
        <f>H8/'Output-Calculation-sheet'!H7*'Output-Calculation-sheet'!H79</f>
        <v>2399290024.19491</v>
      </c>
      <c r="I96" s="2">
        <f>I8/'Output-Calculation-sheet'!I7*'Output-Calculation-sheet'!I79</f>
        <v>1952645239.7070212</v>
      </c>
      <c r="J96" s="2">
        <f>J8/'Output-Calculation-sheet'!J7*'Output-Calculation-sheet'!J79</f>
        <v>1320425431.6278396</v>
      </c>
      <c r="K96" s="2">
        <f>K8/'Output-Calculation-sheet'!K7*'Output-Calculation-sheet'!K79</f>
        <v>1889137698.4773774</v>
      </c>
      <c r="L96" s="2">
        <f>L8/'Output-Calculation-sheet'!L7*'Output-Calculation-sheet'!L79</f>
        <v>1332977125.7350798</v>
      </c>
      <c r="M96" s="2">
        <f>M8/'Output-Calculation-sheet'!M7*'Output-Calculation-sheet'!M79</f>
        <v>1791021500.4146302</v>
      </c>
      <c r="N96" s="2">
        <f>N8/'Output-Calculation-sheet'!N7*'Output-Calculation-sheet'!N79</f>
        <v>1332660699.2966375</v>
      </c>
      <c r="O96" s="2">
        <f>O8/'Output-Calculation-sheet'!O7*'Output-Calculation-sheet'!O79</f>
        <v>673704451.64932001</v>
      </c>
      <c r="P96" s="2">
        <f>P8/'Output-Calculation-sheet'!P7*'Output-Calculation-sheet'!P79</f>
        <v>2253414712.4668479</v>
      </c>
      <c r="Q96" s="2">
        <f>Q8/'Output-Calculation-sheet'!Q7*'Output-Calculation-sheet'!Q79</f>
        <v>1050185876.4961545</v>
      </c>
      <c r="R96" s="2">
        <f>R8/'Output-Calculation-sheet'!R7*'Output-Calculation-sheet'!R79</f>
        <v>1310233951.2779191</v>
      </c>
      <c r="S96" s="2">
        <f>S8/'Output-Calculation-sheet'!S7*'Output-Calculation-sheet'!S79</f>
        <v>763450535.77320349</v>
      </c>
      <c r="T96" s="2">
        <f>T8/'Output-Calculation-sheet'!T7*'Output-Calculation-sheet'!T79</f>
        <v>583097737.43198264</v>
      </c>
      <c r="U96" s="2">
        <f>U8/'Output-Calculation-sheet'!U7*'Output-Calculation-sheet'!U79</f>
        <v>366287722.18826902</v>
      </c>
      <c r="V96" s="2">
        <f>V8/'Output-Calculation-sheet'!V7*'Output-Calculation-sheet'!V79</f>
        <v>190048317.32774886</v>
      </c>
      <c r="W96" s="2">
        <f>W8/'Output-Calculation-sheet'!W7*'Output-Calculation-sheet'!W79</f>
        <v>561581990.80183268</v>
      </c>
      <c r="X96" s="2">
        <f>X8/'Output-Calculation-sheet'!X7*'Output-Calculation-sheet'!X79</f>
        <v>197379083.54882321</v>
      </c>
      <c r="Y96" s="2">
        <f>Y8/'Output-Calculation-sheet'!Y7*'Output-Calculation-sheet'!Y79</f>
        <v>308698194.86362094</v>
      </c>
      <c r="AA96" s="2">
        <f t="shared" si="8"/>
        <v>58.795305437561439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1212.2417183623706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37.558225417614771</v>
      </c>
      <c r="Y107" s="2">
        <f>Y8/'Output-Calculation-sheet'!Y7*'Output-Calculation-sheet'!Y88</f>
        <v>0</v>
      </c>
      <c r="AA107" s="2">
        <f t="shared" si="9"/>
        <v>1.2497999437799854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864.37079704206587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50.21311872246514</v>
      </c>
      <c r="Y108" s="2">
        <f>Y9/'Output-Calculation-sheet'!Y8*'Output-Calculation-sheet'!Y89</f>
        <v>0</v>
      </c>
      <c r="AA108" s="2">
        <f t="shared" si="9"/>
        <v>0.91458391576453091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4.9796505909516238E-2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7.4025809785762398E-2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97.101226579906694</v>
      </c>
      <c r="Y111" s="2">
        <f>Y12/'Output-Calculation-sheet'!Y11*'Output-Calculation-sheet'!Y92</f>
        <v>0</v>
      </c>
      <c r="AA111" s="2">
        <f t="shared" si="9"/>
        <v>9.7101226579906691E-2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13554121883.206486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8325316426.2598133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5743762035.652257</v>
      </c>
      <c r="N118" s="2">
        <f>N8/'Output-Calculation-sheet'!N7*'Output-Calculation-sheet'!N97</f>
        <v>1924713629.3156734</v>
      </c>
      <c r="O118" s="2">
        <f>O8/'Output-Calculation-sheet'!O7*'Output-Calculation-sheet'!O97</f>
        <v>3295027401.3996887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576210807.68524432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312750147.72515553</v>
      </c>
      <c r="Y118" s="2">
        <f>Y8/'Output-Calculation-sheet'!Y7*'Output-Calculation-sheet'!Y97</f>
        <v>0</v>
      </c>
      <c r="AA118" s="2">
        <f t="shared" si="10"/>
        <v>35352.116287687335</v>
      </c>
    </row>
    <row r="119" spans="1:27" x14ac:dyDescent="0.25">
      <c r="A119" s="2">
        <v>2032</v>
      </c>
      <c r="B119" s="2">
        <f>B9/'Output-Calculation-sheet'!B8*'Output-Calculation-sheet'!B98</f>
        <v>7116698935.511982</v>
      </c>
      <c r="C119" s="2">
        <f>C9/'Output-Calculation-sheet'!C8*'Output-Calculation-sheet'!C98</f>
        <v>18353566803.816257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11130510632.65704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7679079713.5972605</v>
      </c>
      <c r="N119" s="2">
        <f>N9/'Output-Calculation-sheet'!N8*'Output-Calculation-sheet'!N98</f>
        <v>3600771022.1443729</v>
      </c>
      <c r="O119" s="2">
        <f>O9/'Output-Calculation-sheet'!O8*'Output-Calculation-sheet'!O98</f>
        <v>3876281027.4405131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1083046300.3256545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422387668.169662</v>
      </c>
      <c r="Y119" s="2">
        <f>Y9/'Output-Calculation-sheet'!Y8*'Output-Calculation-sheet'!Y98</f>
        <v>0</v>
      </c>
      <c r="AA119" s="2">
        <f t="shared" si="10"/>
        <v>53262.342103662733</v>
      </c>
    </row>
    <row r="120" spans="1:27" x14ac:dyDescent="0.25">
      <c r="A120" s="2">
        <v>2033</v>
      </c>
      <c r="B120" s="2">
        <f>B10/'Output-Calculation-sheet'!B9*'Output-Calculation-sheet'!B99</f>
        <v>18156138211.790192</v>
      </c>
      <c r="C120" s="2">
        <f>C10/'Output-Calculation-sheet'!C9*'Output-Calculation-sheet'!C99</f>
        <v>25155751970.942322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5361283648.2239618</v>
      </c>
      <c r="O120" s="2">
        <f>O10/'Output-Calculation-sheet'!O9*'Output-Calculation-sheet'!O99</f>
        <v>4166443068.2661343</v>
      </c>
      <c r="P120" s="2">
        <f>P10/'Output-Calculation-sheet'!P9*'Output-Calculation-sheet'!P99</f>
        <v>0</v>
      </c>
      <c r="Q120" s="2">
        <f>Q10/'Output-Calculation-sheet'!Q9*'Output-Calculation-sheet'!Q99</f>
        <v>174426758.1791721</v>
      </c>
      <c r="R120" s="2">
        <f>R10/'Output-Calculation-sheet'!R9*'Output-Calculation-sheet'!R99</f>
        <v>0</v>
      </c>
      <c r="S120" s="2">
        <f>S10/'Output-Calculation-sheet'!S9*'Output-Calculation-sheet'!S99</f>
        <v>2159529413.8643804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587780106.61874652</v>
      </c>
      <c r="Y120" s="2">
        <f>Y10/'Output-Calculation-sheet'!Y9*'Output-Calculation-sheet'!Y99</f>
        <v>0</v>
      </c>
      <c r="AA120" s="2">
        <f t="shared" si="10"/>
        <v>78146.259864992462</v>
      </c>
    </row>
    <row r="121" spans="1:27" x14ac:dyDescent="0.25">
      <c r="A121" s="2">
        <v>2034</v>
      </c>
      <c r="B121" s="2">
        <f>B11/'Output-Calculation-sheet'!B10*'Output-Calculation-sheet'!B100</f>
        <v>33329598121.470604</v>
      </c>
      <c r="C121" s="2">
        <f>C11/'Output-Calculation-sheet'!C10*'Output-Calculation-sheet'!C100</f>
        <v>27130535010.304802</v>
      </c>
      <c r="D121" s="2">
        <f>D11/'Output-Calculation-sheet'!D10*'Output-Calculation-sheet'!D100</f>
        <v>0</v>
      </c>
      <c r="E121" s="2">
        <f>E11/'Output-Calculation-sheet'!E10*'Output-Calculation-sheet'!E100</f>
        <v>800197044.61829817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13934537923.982132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570748304.80002069</v>
      </c>
      <c r="M121" s="2">
        <f>M11/'Output-Calculation-sheet'!M10*'Output-Calculation-sheet'!M100</f>
        <v>9707480978.0529175</v>
      </c>
      <c r="N121" s="2">
        <f>N11/'Output-Calculation-sheet'!N10*'Output-Calculation-sheet'!N100</f>
        <v>6508817762.5202389</v>
      </c>
      <c r="O121" s="2">
        <f>O11/'Output-Calculation-sheet'!O10*'Output-Calculation-sheet'!O100</f>
        <v>4155807609.1286349</v>
      </c>
      <c r="P121" s="2">
        <f>P11/'Output-Calculation-sheet'!P10*'Output-Calculation-sheet'!P100</f>
        <v>0</v>
      </c>
      <c r="Q121" s="2">
        <f>Q11/'Output-Calculation-sheet'!Q10*'Output-Calculation-sheet'!Q100</f>
        <v>520665966.62980705</v>
      </c>
      <c r="R121" s="2">
        <f>R11/'Output-Calculation-sheet'!R10*'Output-Calculation-sheet'!R100</f>
        <v>0</v>
      </c>
      <c r="S121" s="2">
        <f>S11/'Output-Calculation-sheet'!S10*'Output-Calculation-sheet'!S100</f>
        <v>2731934647.8908868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42806604.257128492</v>
      </c>
      <c r="AA121" s="2">
        <f t="shared" si="10"/>
        <v>99907.704032462367</v>
      </c>
    </row>
    <row r="122" spans="1:27" x14ac:dyDescent="0.25">
      <c r="A122" s="2">
        <v>2035</v>
      </c>
      <c r="B122" s="2">
        <f>B12/'Output-Calculation-sheet'!B11*'Output-Calculation-sheet'!B101</f>
        <v>34962910910.270325</v>
      </c>
      <c r="C122" s="2">
        <f>C12/'Output-Calculation-sheet'!C11*'Output-Calculation-sheet'!C101</f>
        <v>27995257291.309944</v>
      </c>
      <c r="D122" s="2">
        <f>D12/'Output-Calculation-sheet'!D11*'Output-Calculation-sheet'!D101</f>
        <v>0</v>
      </c>
      <c r="E122" s="2">
        <f>E12/'Output-Calculation-sheet'!E11*'Output-Calculation-sheet'!E101</f>
        <v>2238257738.1465359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12886331115.485903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604934494.22928023</v>
      </c>
      <c r="M122" s="2">
        <f>M12/'Output-Calculation-sheet'!M11*'Output-Calculation-sheet'!M101</f>
        <v>9021127691.7482052</v>
      </c>
      <c r="N122" s="2">
        <f>N12/'Output-Calculation-sheet'!N11*'Output-Calculation-sheet'!N101</f>
        <v>6040424340.1109352</v>
      </c>
      <c r="O122" s="2">
        <f>O12/'Output-Calculation-sheet'!O11*'Output-Calculation-sheet'!O101</f>
        <v>3870124721.6598234</v>
      </c>
      <c r="P122" s="2">
        <f>P12/'Output-Calculation-sheet'!P11*'Output-Calculation-sheet'!P101</f>
        <v>306649535.26385564</v>
      </c>
      <c r="Q122" s="2">
        <f>Q12/'Output-Calculation-sheet'!Q11*'Output-Calculation-sheet'!Q101</f>
        <v>722841034.42110956</v>
      </c>
      <c r="R122" s="2">
        <f>R12/'Output-Calculation-sheet'!R11*'Output-Calculation-sheet'!R101</f>
        <v>0</v>
      </c>
      <c r="S122" s="2">
        <f>S12/'Output-Calculation-sheet'!S11*'Output-Calculation-sheet'!S101</f>
        <v>2837890443.1056752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256902312.49865395</v>
      </c>
      <c r="Y122" s="2">
        <f>Y12/'Output-Calculation-sheet'!Y11*'Output-Calculation-sheet'!Y101</f>
        <v>252325336.72321528</v>
      </c>
      <c r="AA122" s="2">
        <f t="shared" si="10"/>
        <v>101995.97696497347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3713740973.9932432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2652910857.7823787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174808.21121096332</v>
      </c>
    </row>
    <row r="130" spans="1:27" x14ac:dyDescent="0.25">
      <c r="A130" s="2">
        <v>2032</v>
      </c>
      <c r="B130" s="2">
        <f>B9/'Output-Calculation-sheet'!B8*'Output-Calculation-sheet'!B107</f>
        <v>68600968603.643791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3936880142.0620503</v>
      </c>
      <c r="O130" s="2">
        <f>O9/'Output-Calculation-sheet'!O8*'Output-Calculation-sheet'!O107</f>
        <v>0</v>
      </c>
      <c r="P130" s="2">
        <f>P9/'Output-Calculation-sheet'!P8*'Output-Calculation-sheet'!P107</f>
        <v>6862482886.5041752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3233866416.2721682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227416.5060249118</v>
      </c>
    </row>
    <row r="131" spans="1:27" x14ac:dyDescent="0.25">
      <c r="A131" s="2">
        <v>2033</v>
      </c>
      <c r="B131" s="2">
        <f>B10/'Output-Calculation-sheet'!B9*'Output-Calculation-sheet'!B108</f>
        <v>71945731244.018661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3608321289.9453125</v>
      </c>
      <c r="O131" s="2">
        <f>O10/'Output-Calculation-sheet'!O9*'Output-Calculation-sheet'!O108</f>
        <v>0</v>
      </c>
      <c r="P131" s="2">
        <f>P10/'Output-Calculation-sheet'!P9*'Output-Calculation-sheet'!P108</f>
        <v>8166228235.2905159</v>
      </c>
      <c r="Q131" s="2">
        <f>Q10/'Output-Calculation-sheet'!Q9*'Output-Calculation-sheet'!Q108</f>
        <v>7860199075.4974499</v>
      </c>
      <c r="R131" s="2">
        <f>R10/'Output-Calculation-sheet'!R9*'Output-Calculation-sheet'!R108</f>
        <v>7729405110.3222227</v>
      </c>
      <c r="S131" s="2">
        <f>S10/'Output-Calculation-sheet'!S9*'Output-Calculation-sheet'!S108</f>
        <v>2977442207.7167487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258820.63130081905</v>
      </c>
    </row>
    <row r="132" spans="1:27" x14ac:dyDescent="0.25">
      <c r="A132" s="2">
        <v>2034</v>
      </c>
      <c r="B132" s="2">
        <f>B11/'Output-Calculation-sheet'!B10*'Output-Calculation-sheet'!B109</f>
        <v>62404020551.154236</v>
      </c>
      <c r="C132" s="2">
        <f>C11/'Output-Calculation-sheet'!C10*'Output-Calculation-sheet'!C109</f>
        <v>0</v>
      </c>
      <c r="D132" s="2">
        <f>D11/'Output-Calculation-sheet'!D10*'Output-Calculation-sheet'!D109</f>
        <v>40756394259.409904</v>
      </c>
      <c r="E132" s="2">
        <f>E11/'Output-Calculation-sheet'!E10*'Output-Calculation-sheet'!E109</f>
        <v>31753073406.949959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12953725615.660765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9632060337.9916649</v>
      </c>
      <c r="M132" s="2">
        <f>M11/'Output-Calculation-sheet'!M10*'Output-Calculation-sheet'!M109</f>
        <v>0</v>
      </c>
      <c r="N132" s="2">
        <f>N11/'Output-Calculation-sheet'!N10*'Output-Calculation-sheet'!N109</f>
        <v>3052457547.3895559</v>
      </c>
      <c r="O132" s="2">
        <f>O11/'Output-Calculation-sheet'!O10*'Output-Calculation-sheet'!O109</f>
        <v>0</v>
      </c>
      <c r="P132" s="2">
        <f>P11/'Output-Calculation-sheet'!P10*'Output-Calculation-sheet'!P109</f>
        <v>8851447893.5211658</v>
      </c>
      <c r="Q132" s="2">
        <f>Q11/'Output-Calculation-sheet'!Q10*'Output-Calculation-sheet'!Q109</f>
        <v>7505825977.8741846</v>
      </c>
      <c r="R132" s="2">
        <f>R11/'Output-Calculation-sheet'!R10*'Output-Calculation-sheet'!R109</f>
        <v>8377961783.8989201</v>
      </c>
      <c r="S132" s="2">
        <f>S11/'Output-Calculation-sheet'!S10*'Output-Calculation-sheet'!S109</f>
        <v>2609111881.6546769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2619006833.5531225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1000661913.5109063</v>
      </c>
      <c r="AA132" s="2">
        <f t="shared" si="11"/>
        <v>260464.45622171351</v>
      </c>
    </row>
    <row r="133" spans="1:27" x14ac:dyDescent="0.25">
      <c r="A133" s="2">
        <v>2035</v>
      </c>
      <c r="B133" s="2">
        <f>B12/'Output-Calculation-sheet'!B11*'Output-Calculation-sheet'!B110</f>
        <v>53495946460.401871</v>
      </c>
      <c r="C133" s="2">
        <f>C12/'Output-Calculation-sheet'!C11*'Output-Calculation-sheet'!C110</f>
        <v>0</v>
      </c>
      <c r="D133" s="2">
        <f>D12/'Output-Calculation-sheet'!D11*'Output-Calculation-sheet'!D110</f>
        <v>36772676465.950897</v>
      </c>
      <c r="E133" s="2">
        <f>E12/'Output-Calculation-sheet'!E11*'Output-Calculation-sheet'!E110</f>
        <v>28951078264.232433</v>
      </c>
      <c r="F133" s="2">
        <f>F12/'Output-Calculation-sheet'!F11*'Output-Calculation-sheet'!F110</f>
        <v>19895340382.554241</v>
      </c>
      <c r="G133" s="2">
        <f>G12/'Output-Calculation-sheet'!G11*'Output-Calculation-sheet'!G110</f>
        <v>13715010500.778162</v>
      </c>
      <c r="H133" s="2">
        <f>H12/'Output-Calculation-sheet'!H11*'Output-Calculation-sheet'!H110</f>
        <v>0</v>
      </c>
      <c r="I133" s="2">
        <f>I12/'Output-Calculation-sheet'!I11*'Output-Calculation-sheet'!I110</f>
        <v>12445784222.045155</v>
      </c>
      <c r="J133" s="2">
        <f>J12/'Output-Calculation-sheet'!J11*'Output-Calculation-sheet'!J110</f>
        <v>11655322072.675709</v>
      </c>
      <c r="K133" s="2">
        <f>K12/'Output-Calculation-sheet'!K11*'Output-Calculation-sheet'!K110</f>
        <v>11935059637.005232</v>
      </c>
      <c r="L133" s="2">
        <f>L12/'Output-Calculation-sheet'!L11*'Output-Calculation-sheet'!L110</f>
        <v>8746679324.4734612</v>
      </c>
      <c r="M133" s="2">
        <f>M12/'Output-Calculation-sheet'!M11*'Output-Calculation-sheet'!M110</f>
        <v>0</v>
      </c>
      <c r="N133" s="2">
        <f>N12/'Output-Calculation-sheet'!N11*'Output-Calculation-sheet'!N110</f>
        <v>2730793572.8027081</v>
      </c>
      <c r="O133" s="2">
        <f>O12/'Output-Calculation-sheet'!O11*'Output-Calculation-sheet'!O110</f>
        <v>0</v>
      </c>
      <c r="P133" s="2">
        <f>P12/'Output-Calculation-sheet'!P11*'Output-Calculation-sheet'!P110</f>
        <v>8156929250.7320309</v>
      </c>
      <c r="Q133" s="2">
        <f>Q12/'Output-Calculation-sheet'!Q11*'Output-Calculation-sheet'!Q110</f>
        <v>6634266695.4079828</v>
      </c>
      <c r="R133" s="2">
        <f>R12/'Output-Calculation-sheet'!R11*'Output-Calculation-sheet'!R110</f>
        <v>7819665208.6543303</v>
      </c>
      <c r="S133" s="2">
        <f>S12/'Output-Calculation-sheet'!S11*'Output-Calculation-sheet'!S110</f>
        <v>2108713130.7096369</v>
      </c>
      <c r="T133" s="2">
        <f>T12/'Output-Calculation-sheet'!T11*'Output-Calculation-sheet'!T110</f>
        <v>2942752319.3174582</v>
      </c>
      <c r="U133" s="2">
        <f>U12/'Output-Calculation-sheet'!U11*'Output-Calculation-sheet'!U110</f>
        <v>2385835651.6565166</v>
      </c>
      <c r="V133" s="2">
        <f>V12/'Output-Calculation-sheet'!V11*'Output-Calculation-sheet'!V110</f>
        <v>1881563142.9168348</v>
      </c>
      <c r="W133" s="2">
        <f>W12/'Output-Calculation-sheet'!W11*'Output-Calculation-sheet'!W110</f>
        <v>1755856338.4190216</v>
      </c>
      <c r="X133" s="2">
        <f>X12/'Output-Calculation-sheet'!X11*'Output-Calculation-sheet'!X110</f>
        <v>0</v>
      </c>
      <c r="Y133" s="2">
        <f>Y12/'Output-Calculation-sheet'!Y11*'Output-Calculation-sheet'!Y110</f>
        <v>751961701.69467795</v>
      </c>
      <c r="AA133" s="2">
        <f t="shared" si="11"/>
        <v>234781.2343424283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10159467230.217293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309419294.06514853</v>
      </c>
      <c r="Y140" s="2">
        <f>Y8/'Output-Calculation-sheet'!Y7*'Output-Calculation-sheet'!Y115</f>
        <v>0</v>
      </c>
      <c r="AA140" s="2">
        <f t="shared" si="12"/>
        <v>10468.886524282441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7322938166.9456158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409365645.7651794</v>
      </c>
      <c r="Y141" s="2">
        <f>Y9/'Output-Calculation-sheet'!Y8*'Output-Calculation-sheet'!Y116</f>
        <v>0</v>
      </c>
      <c r="AA141" s="2">
        <f t="shared" si="12"/>
        <v>7732.3038127107957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401991800.56024343</v>
      </c>
      <c r="Y142" s="2">
        <f>Y10/'Output-Calculation-sheet'!Y9*'Output-Calculation-sheet'!Y117</f>
        <v>0</v>
      </c>
      <c r="AA142" s="2">
        <f t="shared" si="12"/>
        <v>401.99180056024341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598.32706683156732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793093814.44219291</v>
      </c>
      <c r="Y144" s="2">
        <f>Y12/'Output-Calculation-sheet'!Y11*'Output-Calculation-sheet'!Y119</f>
        <v>0</v>
      </c>
      <c r="AA144" s="2">
        <f t="shared" si="12"/>
        <v>793.09381444219287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30493168998.857384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7439621867.5143881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231556.02409700022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34221365966.46365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7798570839.8904371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197337.5989425364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36353005659.817337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7606231434.7973976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146645.23658089823</v>
      </c>
    </row>
    <row r="154" spans="1:27" x14ac:dyDescent="0.25">
      <c r="A154" s="2">
        <v>2034</v>
      </c>
      <c r="B154" s="2">
        <f>B11/'Output-Calculation-sheet'!B10*'Output-Calculation-sheet'!B127</f>
        <v>16718561081.598047</v>
      </c>
      <c r="C154" s="2">
        <f>C11/'Output-Calculation-sheet'!C10*'Output-Calculation-sheet'!C127</f>
        <v>30853666593.424965</v>
      </c>
      <c r="D154" s="2">
        <f>D11/'Output-Calculation-sheet'!D10*'Output-Calculation-sheet'!D127</f>
        <v>6205532905.3519506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2696087329.4941521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1990514564.915375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1716966249.2983854</v>
      </c>
      <c r="M154" s="2">
        <f>M11/'Output-Calculation-sheet'!M10*'Output-Calculation-sheet'!M127</f>
        <v>1732530762.31615</v>
      </c>
      <c r="N154" s="2">
        <f>N11/'Output-Calculation-sheet'!N10*'Output-Calculation-sheet'!N127</f>
        <v>1609941098.5023487</v>
      </c>
      <c r="O154" s="2">
        <f>O11/'Output-Calculation-sheet'!O10*'Output-Calculation-sheet'!O127</f>
        <v>6964319625.9877577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2141813630.7527814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1110724864.5947456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473113284.66967398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91477.407750471742</v>
      </c>
    </row>
    <row r="155" spans="1:27" x14ac:dyDescent="0.25">
      <c r="A155" s="2">
        <v>2035</v>
      </c>
      <c r="B155" s="2">
        <f>B12/'Output-Calculation-sheet'!B11*'Output-Calculation-sheet'!B128</f>
        <v>13115570008.950418</v>
      </c>
      <c r="C155" s="2">
        <f>C12/'Output-Calculation-sheet'!C11*'Output-Calculation-sheet'!C128</f>
        <v>23169162796.705338</v>
      </c>
      <c r="D155" s="2">
        <f>D12/'Output-Calculation-sheet'!D11*'Output-Calculation-sheet'!D128</f>
        <v>5403367960.1189375</v>
      </c>
      <c r="E155" s="2">
        <f>E12/'Output-Calculation-sheet'!E11*'Output-Calculation-sheet'!E128</f>
        <v>2945050919.7182331</v>
      </c>
      <c r="F155" s="2">
        <f>F12/'Output-Calculation-sheet'!F11*'Output-Calculation-sheet'!F128</f>
        <v>1604216167.9576416</v>
      </c>
      <c r="G155" s="2">
        <f>G12/'Output-Calculation-sheet'!G11*'Output-Calculation-sheet'!G128</f>
        <v>1513492561.9406633</v>
      </c>
      <c r="H155" s="2">
        <f>H12/'Output-Calculation-sheet'!H11*'Output-Calculation-sheet'!H128</f>
        <v>2210641287.5882897</v>
      </c>
      <c r="I155" s="2">
        <f>I12/'Output-Calculation-sheet'!I11*'Output-Calculation-sheet'!I128</f>
        <v>1382877695.6628747</v>
      </c>
      <c r="J155" s="2">
        <f>J12/'Output-Calculation-sheet'!J11*'Output-Calculation-sheet'!J128</f>
        <v>1720327244.404083</v>
      </c>
      <c r="K155" s="2">
        <f>K12/'Output-Calculation-sheet'!K11*'Output-Calculation-sheet'!K128</f>
        <v>1379109062.2197888</v>
      </c>
      <c r="L155" s="2">
        <f>L12/'Output-Calculation-sheet'!L11*'Output-Calculation-sheet'!L128</f>
        <v>1411685378.3291466</v>
      </c>
      <c r="M155" s="2">
        <f>M12/'Output-Calculation-sheet'!M11*'Output-Calculation-sheet'!M128</f>
        <v>1395680812.980984</v>
      </c>
      <c r="N155" s="2">
        <f>N12/'Output-Calculation-sheet'!N11*'Output-Calculation-sheet'!N128</f>
        <v>1279832909.6938848</v>
      </c>
      <c r="O155" s="2">
        <f>O12/'Output-Calculation-sheet'!O11*'Output-Calculation-sheet'!O128</f>
        <v>6015062068.6157064</v>
      </c>
      <c r="P155" s="2">
        <f>P12/'Output-Calculation-sheet'!P11*'Output-Calculation-sheet'!P128</f>
        <v>740165799.15983438</v>
      </c>
      <c r="Q155" s="2">
        <f>Q12/'Output-Calculation-sheet'!Q11*'Output-Calculation-sheet'!Q128</f>
        <v>1758744852.5163586</v>
      </c>
      <c r="R155" s="2">
        <f>R12/'Output-Calculation-sheet'!R11*'Output-Calculation-sheet'!R128</f>
        <v>812336043.76833987</v>
      </c>
      <c r="S155" s="2">
        <f>S12/'Output-Calculation-sheet'!S11*'Output-Calculation-sheet'!S128</f>
        <v>853231039.41103101</v>
      </c>
      <c r="T155" s="2">
        <f>T12/'Output-Calculation-sheet'!T11*'Output-Calculation-sheet'!T128</f>
        <v>210484097.68991798</v>
      </c>
      <c r="U155" s="2">
        <f>U12/'Output-Calculation-sheet'!U11*'Output-Calculation-sheet'!U128</f>
        <v>409687711.4222396</v>
      </c>
      <c r="V155" s="2">
        <f>V12/'Output-Calculation-sheet'!V11*'Output-Calculation-sheet'!V128</f>
        <v>227594816.37435007</v>
      </c>
      <c r="W155" s="2">
        <f>W12/'Output-Calculation-sheet'!W11*'Output-Calculation-sheet'!W128</f>
        <v>81455839.320220411</v>
      </c>
      <c r="X155" s="2">
        <f>X12/'Output-Calculation-sheet'!X11*'Output-Calculation-sheet'!X128</f>
        <v>36684065.751372844</v>
      </c>
      <c r="Y155" s="2">
        <f>Y12/'Output-Calculation-sheet'!Y11*'Output-Calculation-sheet'!Y128</f>
        <v>90352585.585560277</v>
      </c>
      <c r="AA155" s="2">
        <f t="shared" si="13"/>
        <v>69766.813725885208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8887.3524002864888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5698.6698578112564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3955.4547104543822</v>
      </c>
      <c r="N19" s="2">
        <f>N8/'Output-Calculation-sheet'!N7*'Output-Calculation-sheet'!N25</f>
        <v>1352.1177780342214</v>
      </c>
      <c r="O19" s="2">
        <f>O8/'Output-Calculation-sheet'!O7*'Output-Calculation-sheet'!O25</f>
        <v>2113.3001857541349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208.82256337381119</v>
      </c>
      <c r="Y19" s="2">
        <f>Y8/'Output-Calculation-sheet'!Y7*'Output-Calculation-sheet'!Y25</f>
        <v>0</v>
      </c>
      <c r="AA19" s="2">
        <f t="shared" si="0"/>
        <v>23.967054475404368</v>
      </c>
    </row>
    <row r="20" spans="1:27" x14ac:dyDescent="0.25">
      <c r="A20" s="2">
        <v>2032</v>
      </c>
      <c r="B20" s="2">
        <f>B9/'Output-Calculation-sheet'!B8*'Output-Calculation-sheet'!B26</f>
        <v>7138.0354393921571</v>
      </c>
      <c r="C20" s="2">
        <f>C9/'Output-Calculation-sheet'!C8*'Output-Calculation-sheet'!C26</f>
        <v>12067.883662655087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7759.5409426896249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5396.3093040865415</v>
      </c>
      <c r="N20" s="2">
        <f>N9/'Output-Calculation-sheet'!N8*'Output-Calculation-sheet'!N26</f>
        <v>2429.8864733815021</v>
      </c>
      <c r="O20" s="2">
        <f>O9/'Output-Calculation-sheet'!O8*'Output-Calculation-sheet'!O26</f>
        <v>2530.2847816745257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883.68176770371122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288.3748501928136</v>
      </c>
      <c r="Y20" s="2">
        <f>Y9/'Output-Calculation-sheet'!Y8*'Output-Calculation-sheet'!Y26</f>
        <v>0</v>
      </c>
      <c r="AA20" s="2">
        <f t="shared" si="0"/>
        <v>38.493997221775963</v>
      </c>
    </row>
    <row r="21" spans="1:27" x14ac:dyDescent="0.25">
      <c r="A21" s="2">
        <v>2033</v>
      </c>
      <c r="B21" s="2">
        <f>B10/'Output-Calculation-sheet'!B9*'Output-Calculation-sheet'!B27</f>
        <v>16527.071848453819</v>
      </c>
      <c r="C21" s="2">
        <f>C10/'Output-Calculation-sheet'!C9*'Output-Calculation-sheet'!C27</f>
        <v>16970.052605764438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9544.0734384257448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6630.181333463911</v>
      </c>
      <c r="N21" s="2">
        <f>N10/'Output-Calculation-sheet'!N9*'Output-Calculation-sheet'!N27</f>
        <v>3621.9986650670203</v>
      </c>
      <c r="O21" s="2">
        <f>O10/'Output-Calculation-sheet'!O9*'Output-Calculation-sheet'!O27</f>
        <v>2800.7274899572017</v>
      </c>
      <c r="P21" s="2">
        <f>P10/'Output-Calculation-sheet'!P9*'Output-Calculation-sheet'!P27</f>
        <v>0</v>
      </c>
      <c r="Q21" s="2">
        <f>Q10/'Output-Calculation-sheet'!Q9*'Output-Calculation-sheet'!Q27</f>
        <v>244.57020337817784</v>
      </c>
      <c r="R21" s="2">
        <f>R10/'Output-Calculation-sheet'!R9*'Output-Calculation-sheet'!R27</f>
        <v>0</v>
      </c>
      <c r="S21" s="2">
        <f>S10/'Output-Calculation-sheet'!S9*'Output-Calculation-sheet'!S27</f>
        <v>1576.6652752103091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420.31143639438579</v>
      </c>
      <c r="Y21" s="2">
        <f>Y10/'Output-Calculation-sheet'!Y9*'Output-Calculation-sheet'!Y27</f>
        <v>0</v>
      </c>
      <c r="AA21" s="2">
        <f t="shared" si="0"/>
        <v>58.335652296114993</v>
      </c>
    </row>
    <row r="22" spans="1:27" x14ac:dyDescent="0.25">
      <c r="A22" s="2">
        <v>2034</v>
      </c>
      <c r="B22" s="2">
        <f>B11/'Output-Calculation-sheet'!B10*'Output-Calculation-sheet'!B28</f>
        <v>27173.363708871679</v>
      </c>
      <c r="C22" s="2">
        <f>C11/'Output-Calculation-sheet'!C10*'Output-Calculation-sheet'!C28</f>
        <v>19108.595336088812</v>
      </c>
      <c r="D22" s="2">
        <f>D11/'Output-Calculation-sheet'!D10*'Output-Calculation-sheet'!D28</f>
        <v>0</v>
      </c>
      <c r="E22" s="2">
        <f>E11/'Output-Calculation-sheet'!E10*'Output-Calculation-sheet'!E28</f>
        <v>1556.5211986170254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10928.427614531734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780.48175750715927</v>
      </c>
      <c r="M22" s="2">
        <f>M11/'Output-Calculation-sheet'!M10*'Output-Calculation-sheet'!M28</f>
        <v>7765.1076803133592</v>
      </c>
      <c r="N22" s="2">
        <f>N11/'Output-Calculation-sheet'!N10*'Output-Calculation-sheet'!N28</f>
        <v>4579.1267746858293</v>
      </c>
      <c r="O22" s="2">
        <f>O11/'Output-Calculation-sheet'!O10*'Output-Calculation-sheet'!O28</f>
        <v>2919.6853918181305</v>
      </c>
      <c r="P22" s="2">
        <f>P11/'Output-Calculation-sheet'!P10*'Output-Calculation-sheet'!P28</f>
        <v>0</v>
      </c>
      <c r="Q22" s="2">
        <f>Q11/'Output-Calculation-sheet'!Q10*'Output-Calculation-sheet'!Q28</f>
        <v>685.76426442296906</v>
      </c>
      <c r="R22" s="2">
        <f>R11/'Output-Calculation-sheet'!R10*'Output-Calculation-sheet'!R28</f>
        <v>0</v>
      </c>
      <c r="S22" s="2">
        <f>S11/'Output-Calculation-sheet'!S10*'Output-Calculation-sheet'!S28</f>
        <v>2012.1420088965094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84.36790561931457</v>
      </c>
      <c r="AA22" s="2">
        <f t="shared" si="0"/>
        <v>77.938761337409161</v>
      </c>
    </row>
    <row r="23" spans="1:27" x14ac:dyDescent="0.25">
      <c r="A23" s="2">
        <v>2035</v>
      </c>
      <c r="B23" s="2">
        <f>B12/'Output-Calculation-sheet'!B11*'Output-Calculation-sheet'!B29</f>
        <v>28753.507211519114</v>
      </c>
      <c r="C23" s="2">
        <f>C12/'Output-Calculation-sheet'!C11*'Output-Calculation-sheet'!C29</f>
        <v>20938.488114771295</v>
      </c>
      <c r="D23" s="2">
        <f>D12/'Output-Calculation-sheet'!D11*'Output-Calculation-sheet'!D29</f>
        <v>0</v>
      </c>
      <c r="E23" s="2">
        <f>E12/'Output-Calculation-sheet'!E11*'Output-Calculation-sheet'!E29</f>
        <v>3824.0721276600962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10393.727517566018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834.43953240481812</v>
      </c>
      <c r="M23" s="2">
        <f>M12/'Output-Calculation-sheet'!M11*'Output-Calculation-sheet'!M29</f>
        <v>7427.838139338256</v>
      </c>
      <c r="N23" s="2">
        <f>N12/'Output-Calculation-sheet'!N11*'Output-Calculation-sheet'!N29</f>
        <v>4442.9197718474852</v>
      </c>
      <c r="O23" s="2">
        <f>O12/'Output-Calculation-sheet'!O11*'Output-Calculation-sheet'!O29</f>
        <v>2886.45236837415</v>
      </c>
      <c r="P23" s="2">
        <f>P12/'Output-Calculation-sheet'!P11*'Output-Calculation-sheet'!P29</f>
        <v>604.64193001207491</v>
      </c>
      <c r="Q23" s="2">
        <f>Q12/'Output-Calculation-sheet'!Q11*'Output-Calculation-sheet'!Q29</f>
        <v>900.85296378386533</v>
      </c>
      <c r="R23" s="2">
        <f>R12/'Output-Calculation-sheet'!R11*'Output-Calculation-sheet'!R29</f>
        <v>0</v>
      </c>
      <c r="S23" s="2">
        <f>S12/'Output-Calculation-sheet'!S11*'Output-Calculation-sheet'!S29</f>
        <v>2127.3810239410755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187.51144318353849</v>
      </c>
      <c r="Y23" s="2">
        <f>Y12/'Output-Calculation-sheet'!Y11*'Output-Calculation-sheet'!Y29</f>
        <v>197.85310205520361</v>
      </c>
      <c r="AA23" s="2">
        <f t="shared" si="0"/>
        <v>83.519685246457016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1841.3331484976782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47.335472379120162</v>
      </c>
    </row>
    <row r="31" spans="1:27" x14ac:dyDescent="0.25">
      <c r="A31" s="2">
        <v>2032</v>
      </c>
      <c r="B31" s="2">
        <f>B9/'Output-Calculation-sheet'!B8*'Output-Calculation-sheet'!B17</f>
        <v>30224.501453439487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2070.2446865928468</v>
      </c>
      <c r="O31" s="2">
        <f>O9/'Output-Calculation-sheet'!O8*'Output-Calculation-sheet'!O17</f>
        <v>0</v>
      </c>
      <c r="P31" s="2">
        <f>P9/'Output-Calculation-sheet'!P8*'Output-Calculation-sheet'!P17</f>
        <v>2563.565481141392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1539.3495423948002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65.820179015799354</v>
      </c>
    </row>
    <row r="32" spans="1:27" x14ac:dyDescent="0.25">
      <c r="A32" s="2">
        <v>2033</v>
      </c>
      <c r="B32" s="2">
        <f>B10/'Output-Calculation-sheet'!B9*'Output-Calculation-sheet'!B18</f>
        <v>33472.970340370928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3192.6453518535768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2045.5009881050728</v>
      </c>
      <c r="O32" s="2">
        <f>O10/'Output-Calculation-sheet'!O9*'Output-Calculation-sheet'!O18</f>
        <v>0</v>
      </c>
      <c r="P32" s="2">
        <f>P10/'Output-Calculation-sheet'!P9*'Output-Calculation-sheet'!P18</f>
        <v>3285.8662361544207</v>
      </c>
      <c r="Q32" s="2">
        <f>Q10/'Output-Calculation-sheet'!Q9*'Output-Calculation-sheet'!Q18</f>
        <v>3579.8984304863784</v>
      </c>
      <c r="R32" s="2">
        <f>R10/'Output-Calculation-sheet'!R9*'Output-Calculation-sheet'!R18</f>
        <v>2359.5609355780093</v>
      </c>
      <c r="S32" s="2">
        <f>S10/'Output-Calculation-sheet'!S9*'Output-Calculation-sheet'!S18</f>
        <v>1545.3722404681018</v>
      </c>
      <c r="T32" s="2">
        <f>T10/'Output-Calculation-sheet'!T9*'Output-Calculation-sheet'!T18</f>
        <v>688.89990558314673</v>
      </c>
      <c r="U32" s="2">
        <f>U10/'Output-Calculation-sheet'!U9*'Output-Calculation-sheet'!U18</f>
        <v>761.66355435307037</v>
      </c>
      <c r="V32" s="2">
        <f>V10/'Output-Calculation-sheet'!V9*'Output-Calculation-sheet'!V18</f>
        <v>562.07272989163107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325.4627527061445</v>
      </c>
      <c r="AA32" s="2">
        <f t="shared" si="1"/>
        <v>80.461632895287437</v>
      </c>
    </row>
    <row r="33" spans="1:27" x14ac:dyDescent="0.25">
      <c r="A33" s="2">
        <v>2034</v>
      </c>
      <c r="B33" s="2">
        <f>B11/'Output-Calculation-sheet'!B10*'Output-Calculation-sheet'!B19</f>
        <v>30873.56918810261</v>
      </c>
      <c r="C33" s="2">
        <f>C11/'Output-Calculation-sheet'!C10*'Output-Calculation-sheet'!C19</f>
        <v>0</v>
      </c>
      <c r="D33" s="2">
        <f>D11/'Output-Calculation-sheet'!D10*'Output-Calculation-sheet'!D19</f>
        <v>9023.9788922312819</v>
      </c>
      <c r="E33" s="2">
        <f>E11/'Output-Calculation-sheet'!E10*'Output-Calculation-sheet'!E19</f>
        <v>11353.021222073652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3407.4330814027749</v>
      </c>
      <c r="J33" s="2">
        <f>J11/'Output-Calculation-sheet'!J10*'Output-Calculation-sheet'!J19</f>
        <v>2820.5536261699795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3161.0312526405</v>
      </c>
      <c r="M33" s="2">
        <f>M11/'Output-Calculation-sheet'!M10*'Output-Calculation-sheet'!M19</f>
        <v>0</v>
      </c>
      <c r="N33" s="2">
        <f>N11/'Output-Calculation-sheet'!N10*'Output-Calculation-sheet'!N19</f>
        <v>1876.2443677593265</v>
      </c>
      <c r="O33" s="2">
        <f>O11/'Output-Calculation-sheet'!O10*'Output-Calculation-sheet'!O19</f>
        <v>0</v>
      </c>
      <c r="P33" s="2">
        <f>P11/'Output-Calculation-sheet'!P10*'Output-Calculation-sheet'!P19</f>
        <v>4042.4294761752803</v>
      </c>
      <c r="Q33" s="2">
        <f>Q11/'Output-Calculation-sheet'!Q10*'Output-Calculation-sheet'!Q19</f>
        <v>3383.5170713994294</v>
      </c>
      <c r="R33" s="2">
        <f>R11/'Output-Calculation-sheet'!R10*'Output-Calculation-sheet'!R19</f>
        <v>2886.6897945344749</v>
      </c>
      <c r="S33" s="2">
        <f>S11/'Output-Calculation-sheet'!S10*'Output-Calculation-sheet'!S19</f>
        <v>1447.385219386405</v>
      </c>
      <c r="T33" s="2">
        <f>T11/'Output-Calculation-sheet'!T10*'Output-Calculation-sheet'!T19</f>
        <v>847.00972732802074</v>
      </c>
      <c r="U33" s="2">
        <f>U11/'Output-Calculation-sheet'!U10*'Output-Calculation-sheet'!U19</f>
        <v>913.04638358202328</v>
      </c>
      <c r="V33" s="2">
        <f>V11/'Output-Calculation-sheet'!V10*'Output-Calculation-sheet'!V19</f>
        <v>664.37814945710443</v>
      </c>
      <c r="W33" s="2">
        <f>W11/'Output-Calculation-sheet'!W10*'Output-Calculation-sheet'!W19</f>
        <v>413.68259744905851</v>
      </c>
      <c r="X33" s="2">
        <f>X11/'Output-Calculation-sheet'!X10*'Output-Calculation-sheet'!X19</f>
        <v>0</v>
      </c>
      <c r="Y33" s="2">
        <f>Y11/'Output-Calculation-sheet'!Y10*'Output-Calculation-sheet'!Y19</f>
        <v>372.86582628456466</v>
      </c>
      <c r="AA33" s="2">
        <f t="shared" si="1"/>
        <v>89.812917682567473</v>
      </c>
    </row>
    <row r="34" spans="1:27" x14ac:dyDescent="0.25">
      <c r="A34" s="2">
        <v>2035</v>
      </c>
      <c r="B34" s="2">
        <f>B12/'Output-Calculation-sheet'!B11*'Output-Calculation-sheet'!B20</f>
        <v>26795.026995683209</v>
      </c>
      <c r="C34" s="2">
        <f>C12/'Output-Calculation-sheet'!C11*'Output-Calculation-sheet'!C20</f>
        <v>0</v>
      </c>
      <c r="D34" s="2">
        <f>D12/'Output-Calculation-sheet'!D11*'Output-Calculation-sheet'!D20</f>
        <v>8355.5639227777665</v>
      </c>
      <c r="E34" s="2">
        <f>E12/'Output-Calculation-sheet'!E11*'Output-Calculation-sheet'!E20</f>
        <v>9780.188957511893</v>
      </c>
      <c r="F34" s="2">
        <f>F12/'Output-Calculation-sheet'!F11*'Output-Calculation-sheet'!F20</f>
        <v>5681.3023350220874</v>
      </c>
      <c r="G34" s="2">
        <f>G12/'Output-Calculation-sheet'!G11*'Output-Calculation-sheet'!G20</f>
        <v>3015.9661990893542</v>
      </c>
      <c r="H34" s="2">
        <f>H12/'Output-Calculation-sheet'!H11*'Output-Calculation-sheet'!H20</f>
        <v>0</v>
      </c>
      <c r="I34" s="2">
        <f>I12/'Output-Calculation-sheet'!I11*'Output-Calculation-sheet'!I20</f>
        <v>3343.1844543740649</v>
      </c>
      <c r="J34" s="2">
        <f>J12/'Output-Calculation-sheet'!J11*'Output-Calculation-sheet'!J20</f>
        <v>2614.9284417714734</v>
      </c>
      <c r="K34" s="2">
        <f>K12/'Output-Calculation-sheet'!K11*'Output-Calculation-sheet'!K20</f>
        <v>3860.4955545898138</v>
      </c>
      <c r="L34" s="2">
        <f>L12/'Output-Calculation-sheet'!L11*'Output-Calculation-sheet'!L20</f>
        <v>2931.1682115449057</v>
      </c>
      <c r="M34" s="2">
        <f>M12/'Output-Calculation-sheet'!M11*'Output-Calculation-sheet'!M20</f>
        <v>0</v>
      </c>
      <c r="N34" s="2">
        <f>N12/'Output-Calculation-sheet'!N11*'Output-Calculation-sheet'!N20</f>
        <v>1705.7290044183396</v>
      </c>
      <c r="O34" s="2">
        <f>O12/'Output-Calculation-sheet'!O11*'Output-Calculation-sheet'!O20</f>
        <v>0</v>
      </c>
      <c r="P34" s="2">
        <f>P12/'Output-Calculation-sheet'!P11*'Output-Calculation-sheet'!P20</f>
        <v>3683.556169580901</v>
      </c>
      <c r="Q34" s="2">
        <f>Q12/'Output-Calculation-sheet'!Q11*'Output-Calculation-sheet'!Q20</f>
        <v>3022.7196930878854</v>
      </c>
      <c r="R34" s="2">
        <f>R12/'Output-Calculation-sheet'!R11*'Output-Calculation-sheet'!R20</f>
        <v>2866.6517552145128</v>
      </c>
      <c r="S34" s="2">
        <f>S12/'Output-Calculation-sheet'!S11*'Output-Calculation-sheet'!S20</f>
        <v>1212.7751991210298</v>
      </c>
      <c r="T34" s="2">
        <f>T12/'Output-Calculation-sheet'!T11*'Output-Calculation-sheet'!T20</f>
        <v>887.9664023554302</v>
      </c>
      <c r="U34" s="2">
        <f>U12/'Output-Calculation-sheet'!U11*'Output-Calculation-sheet'!U20</f>
        <v>848.41622308629087</v>
      </c>
      <c r="V34" s="2">
        <f>V12/'Output-Calculation-sheet'!V11*'Output-Calculation-sheet'!V20</f>
        <v>631.60359861789993</v>
      </c>
      <c r="W34" s="2">
        <f>W12/'Output-Calculation-sheet'!W11*'Output-Calculation-sheet'!W20</f>
        <v>498.00738369107574</v>
      </c>
      <c r="X34" s="2">
        <f>X12/'Output-Calculation-sheet'!X11*'Output-Calculation-sheet'!X20</f>
        <v>0</v>
      </c>
      <c r="Y34" s="2">
        <f>Y12/'Output-Calculation-sheet'!Y11*'Output-Calculation-sheet'!Y20</f>
        <v>294.1175262362612</v>
      </c>
      <c r="AA34" s="2">
        <f t="shared" si="1"/>
        <v>82.029368027774197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0.72303926934193341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0.39798825638030405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1.1210275257222375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2.2973262657729658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0.57382286386189363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2.8711491296348592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4.0229840856558683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0.7294504430751082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4.7524345287309764</v>
      </c>
    </row>
    <row r="44" spans="1:27" x14ac:dyDescent="0.25">
      <c r="A44" s="2">
        <v>2034</v>
      </c>
      <c r="B44" s="2">
        <f>B11/'Output-Calculation-sheet'!B10*'Output-Calculation-sheet'!B37*0.0114</f>
        <v>0.27399493652759388</v>
      </c>
      <c r="C44" s="2">
        <f>C11/'Output-Calculation-sheet'!C10*'Output-Calculation-sheet'!C37*0.0114</f>
        <v>4.3564853430738051</v>
      </c>
      <c r="D44" s="2">
        <f>D11/'Output-Calculation-sheet'!D10*'Output-Calculation-sheet'!D37*0.0114</f>
        <v>5.7598414021727676E-2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8.0063361481619716E-2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1.8392063552125366E-2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1.4523624740185002E-2</v>
      </c>
      <c r="M44" s="2">
        <f>M11/'Output-Calculation-sheet'!M10*'Output-Calculation-sheet'!M37*0.0114</f>
        <v>4.1318538320628963E-2</v>
      </c>
      <c r="N44" s="2">
        <f>N11/'Output-Calculation-sheet'!N10*'Output-Calculation-sheet'!N37*0.0114</f>
        <v>2.7072948225232117E-2</v>
      </c>
      <c r="O44" s="2">
        <f>O11/'Output-Calculation-sheet'!O10*'Output-Calculation-sheet'!O37*0.0114</f>
        <v>0.83371207441112694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5.9300119199455735E-2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3.1038297053756801E-2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7.5681214281684587E-3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5.8010678420354278</v>
      </c>
    </row>
    <row r="45" spans="1:27" x14ac:dyDescent="0.25">
      <c r="A45" s="2">
        <v>2035</v>
      </c>
      <c r="B45" s="2">
        <f>B12/'Output-Calculation-sheet'!B11*'Output-Calculation-sheet'!B38*0.0114</f>
        <v>1.1438236172954661</v>
      </c>
      <c r="C45" s="2">
        <f>C12/'Output-Calculation-sheet'!C11*'Output-Calculation-sheet'!C38*0.0114</f>
        <v>4.3430813042159624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0.2972586323060516</v>
      </c>
      <c r="F45" s="2">
        <f>F12/'Output-Calculation-sheet'!F11*'Output-Calculation-sheet'!F38*0.0114</f>
        <v>0.10683155951527055</v>
      </c>
      <c r="G45" s="2">
        <f>G12/'Output-Calculation-sheet'!G11*'Output-Calculation-sheet'!G38*0.0114</f>
        <v>9.5839223289569814E-2</v>
      </c>
      <c r="H45" s="2">
        <f>H12/'Output-Calculation-sheet'!H11*'Output-Calculation-sheet'!H38*0.0114</f>
        <v>0.33423378148273908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6.8248711870634568E-2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8.0840739599518388E-2</v>
      </c>
      <c r="M45" s="2">
        <f>M12/'Output-Calculation-sheet'!M11*'Output-Calculation-sheet'!M38*0.0114</f>
        <v>0.2044314392287255</v>
      </c>
      <c r="N45" s="2">
        <f>N12/'Output-Calculation-sheet'!N11*'Output-Calculation-sheet'!N38*0.0114</f>
        <v>0.12557684444134581</v>
      </c>
      <c r="O45" s="2">
        <f>O12/'Output-Calculation-sheet'!O11*'Output-Calculation-sheet'!O38*0.0114</f>
        <v>0.87889587829513305</v>
      </c>
      <c r="P45" s="2">
        <f>P12/'Output-Calculation-sheet'!P11*'Output-Calculation-sheet'!P38*0.0114</f>
        <v>8.1207662594757285E-2</v>
      </c>
      <c r="Q45" s="2">
        <f>Q12/'Output-Calculation-sheet'!Q11*'Output-Calculation-sheet'!Q38*0.0114</f>
        <v>0.12102699654757559</v>
      </c>
      <c r="R45" s="2">
        <f>R12/'Output-Calculation-sheet'!R11*'Output-Calculation-sheet'!R38*0.0114</f>
        <v>5.4555035281408037E-2</v>
      </c>
      <c r="S45" s="2">
        <f>S12/'Output-Calculation-sheet'!S11*'Output-Calculation-sheet'!S38*0.0114</f>
        <v>7.9183480595814038E-2</v>
      </c>
      <c r="T45" s="2">
        <f>T12/'Output-Calculation-sheet'!T11*'Output-Calculation-sheet'!T38*0.0114</f>
        <v>1.6146646335080322E-2</v>
      </c>
      <c r="U45" s="2">
        <f>U12/'Output-Calculation-sheet'!U11*'Output-Calculation-sheet'!U38*0.0114</f>
        <v>2.4573111120893623E-2</v>
      </c>
      <c r="V45" s="2">
        <f>V12/'Output-Calculation-sheet'!V11*'Output-Calculation-sheet'!V38*0.0114</f>
        <v>1.0827437345973962E-2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5.6066385166129032E-3</v>
      </c>
      <c r="Y45" s="2">
        <f>Y12/'Output-Calculation-sheet'!Y11*'Output-Calculation-sheet'!Y38*0.0114</f>
        <v>9.4683984736582266E-3</v>
      </c>
      <c r="AA45" s="2">
        <f t="shared" si="2"/>
        <v>8.4561069322551816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8047.1532853230337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5503.6385281546454</v>
      </c>
      <c r="N52" s="2">
        <f>N8/'Output-Calculation-sheet'!N7*'Output-Calculation-sheet'!N43</f>
        <v>173.85091356989852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37.213071548874311</v>
      </c>
      <c r="Y52" s="2">
        <f>Y8/'Output-Calculation-sheet'!Y7*'Output-Calculation-sheet'!Y43</f>
        <v>0</v>
      </c>
      <c r="AA52" s="2">
        <f t="shared" si="3"/>
        <v>13.761855798596452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236.06610751050528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15542.190458671548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10629.901596809348</v>
      </c>
      <c r="N53" s="2">
        <f>N9/'Output-Calculation-sheet'!N8*'Output-Calculation-sheet'!N44</f>
        <v>3772.1645359051108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1176.3321913471921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324.44316319775976</v>
      </c>
      <c r="Y53" s="2">
        <f>Y9/'Output-Calculation-sheet'!Y8*'Output-Calculation-sheet'!Y44</f>
        <v>0</v>
      </c>
      <c r="AA53" s="2">
        <f t="shared" si="3"/>
        <v>31.848307279512365</v>
      </c>
    </row>
    <row r="54" spans="1:27" x14ac:dyDescent="0.25">
      <c r="A54" s="2">
        <v>2033</v>
      </c>
      <c r="B54" s="2">
        <f>B10/'Output-Calculation-sheet'!B9*'Output-Calculation-sheet'!B45</f>
        <v>31562.561716698707</v>
      </c>
      <c r="C54" s="2">
        <f>C10/'Output-Calculation-sheet'!C9*'Output-Calculation-sheet'!C45</f>
        <v>6781.4336999432981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15765.821408194923</v>
      </c>
      <c r="N54" s="2">
        <f>N10/'Output-Calculation-sheet'!N9*'Output-Calculation-sheet'!N45</f>
        <v>8820.8415226638554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923.67560087119693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96.444691050107949</v>
      </c>
    </row>
    <row r="55" spans="1:27" x14ac:dyDescent="0.25">
      <c r="A55" s="2">
        <v>2034</v>
      </c>
      <c r="B55" s="2">
        <f>B11/'Output-Calculation-sheet'!B10*'Output-Calculation-sheet'!B46</f>
        <v>76610.426331728551</v>
      </c>
      <c r="C55" s="2">
        <f>C11/'Output-Calculation-sheet'!C10*'Output-Calculation-sheet'!C46</f>
        <v>15719.394613133551</v>
      </c>
      <c r="D55" s="2">
        <f>D11/'Output-Calculation-sheet'!D10*'Output-Calculation-sheet'!D46</f>
        <v>6633.9225974147748</v>
      </c>
      <c r="E55" s="2">
        <f>E11/'Output-Calculation-sheet'!E10*'Output-Calculation-sheet'!E46</f>
        <v>9934.0712502573806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25664.170060895514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951.86995576789172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798.79936071017505</v>
      </c>
      <c r="M55" s="2">
        <f>M11/'Output-Calculation-sheet'!M10*'Output-Calculation-sheet'!M46</f>
        <v>17946.984992776117</v>
      </c>
      <c r="N55" s="2">
        <f>N11/'Output-Calculation-sheet'!N10*'Output-Calculation-sheet'!N46</f>
        <v>13072.196798753524</v>
      </c>
      <c r="O55" s="2">
        <f>O11/'Output-Calculation-sheet'!O10*'Output-Calculation-sheet'!O46</f>
        <v>0</v>
      </c>
      <c r="P55" s="2">
        <f>P11/'Output-Calculation-sheet'!P10*'Output-Calculation-sheet'!P46</f>
        <v>5183.1278699637951</v>
      </c>
      <c r="Q55" s="2">
        <f>Q11/'Output-Calculation-sheet'!Q10*'Output-Calculation-sheet'!Q46</f>
        <v>1917.3705207824019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5497.0457676785072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1274.9629125260985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85.551519085417638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197.93473760843671</v>
      </c>
    </row>
    <row r="56" spans="1:27" x14ac:dyDescent="0.25">
      <c r="A56" s="2">
        <v>2035</v>
      </c>
      <c r="B56" s="2">
        <f>B12/'Output-Calculation-sheet'!B11*'Output-Calculation-sheet'!B47</f>
        <v>81461.200502709267</v>
      </c>
      <c r="C56" s="2">
        <f>C12/'Output-Calculation-sheet'!C11*'Output-Calculation-sheet'!C47</f>
        <v>29366.595076021673</v>
      </c>
      <c r="D56" s="2">
        <f>D12/'Output-Calculation-sheet'!D11*'Output-Calculation-sheet'!D47</f>
        <v>6412.0334593778844</v>
      </c>
      <c r="E56" s="2">
        <f>E12/'Output-Calculation-sheet'!E11*'Output-Calculation-sheet'!E47</f>
        <v>17030.908106557239</v>
      </c>
      <c r="F56" s="2">
        <f>F12/'Output-Calculation-sheet'!F11*'Output-Calculation-sheet'!F47</f>
        <v>2003.0917409113229</v>
      </c>
      <c r="G56" s="2">
        <f>G12/'Output-Calculation-sheet'!G11*'Output-Calculation-sheet'!G47</f>
        <v>5176.9994475190424</v>
      </c>
      <c r="H56" s="2">
        <f>H12/'Output-Calculation-sheet'!H11*'Output-Calculation-sheet'!H47</f>
        <v>24184.713389160377</v>
      </c>
      <c r="I56" s="2">
        <f>I12/'Output-Calculation-sheet'!I11*'Output-Calculation-sheet'!I47</f>
        <v>2877.9188849058837</v>
      </c>
      <c r="J56" s="2">
        <f>J12/'Output-Calculation-sheet'!J11*'Output-Calculation-sheet'!J47</f>
        <v>1032.7107717267074</v>
      </c>
      <c r="K56" s="2">
        <f>K12/'Output-Calculation-sheet'!K11*'Output-Calculation-sheet'!K47</f>
        <v>4303.0016811911155</v>
      </c>
      <c r="L56" s="2">
        <f>L12/'Output-Calculation-sheet'!L11*'Output-Calculation-sheet'!L47</f>
        <v>972.68901594157353</v>
      </c>
      <c r="M56" s="2">
        <f>M12/'Output-Calculation-sheet'!M11*'Output-Calculation-sheet'!M47</f>
        <v>16930.59934752811</v>
      </c>
      <c r="N56" s="2">
        <f>N12/'Output-Calculation-sheet'!N11*'Output-Calculation-sheet'!N47</f>
        <v>12627.082173957431</v>
      </c>
      <c r="O56" s="2">
        <f>O12/'Output-Calculation-sheet'!O11*'Output-Calculation-sheet'!O47</f>
        <v>0</v>
      </c>
      <c r="P56" s="2">
        <f>P12/'Output-Calculation-sheet'!P11*'Output-Calculation-sheet'!P47</f>
        <v>6517.9834451055185</v>
      </c>
      <c r="Q56" s="2">
        <f>Q12/'Output-Calculation-sheet'!Q11*'Output-Calculation-sheet'!Q47</f>
        <v>2310.5153886355342</v>
      </c>
      <c r="R56" s="2">
        <f>R12/'Output-Calculation-sheet'!R11*'Output-Calculation-sheet'!R47</f>
        <v>4508.9258107142678</v>
      </c>
      <c r="S56" s="2">
        <f>S12/'Output-Calculation-sheet'!S11*'Output-Calculation-sheet'!S47</f>
        <v>5884.4565843093387</v>
      </c>
      <c r="T56" s="2">
        <f>T12/'Output-Calculation-sheet'!T11*'Output-Calculation-sheet'!T47</f>
        <v>1545.2623817168974</v>
      </c>
      <c r="U56" s="2">
        <f>U12/'Output-Calculation-sheet'!U11*'Output-Calculation-sheet'!U47</f>
        <v>1205.2525930724014</v>
      </c>
      <c r="V56" s="2">
        <f>V12/'Output-Calculation-sheet'!V11*'Output-Calculation-sheet'!V47</f>
        <v>694.76056303332928</v>
      </c>
      <c r="W56" s="2">
        <f>W12/'Output-Calculation-sheet'!W11*'Output-Calculation-sheet'!W47</f>
        <v>598.94220076004569</v>
      </c>
      <c r="X56" s="2">
        <f>X12/'Output-Calculation-sheet'!X11*'Output-Calculation-sheet'!X47</f>
        <v>360.25111521218872</v>
      </c>
      <c r="Y56" s="2">
        <f>Y12/'Output-Calculation-sheet'!Y11*'Output-Calculation-sheet'!Y47</f>
        <v>771.59141947618355</v>
      </c>
      <c r="AA56" s="2">
        <f t="shared" si="3"/>
        <v>228.77748509954333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6.1685021730994896</v>
      </c>
      <c r="C63" s="2">
        <f>C8*'Output-Calculation-sheet'!C52/10^9</f>
        <v>3.8543664588338742</v>
      </c>
      <c r="D63" s="2">
        <f>D8*'Output-Calculation-sheet'!D52/10^9</f>
        <v>1.7617944484356134</v>
      </c>
      <c r="E63" s="2">
        <f>E8*'Output-Calculation-sheet'!E52/10^9</f>
        <v>1.6183207534175805</v>
      </c>
      <c r="F63" s="2">
        <f>F8*'Output-Calculation-sheet'!F52/10^9</f>
        <v>0.85288303518768815</v>
      </c>
      <c r="G63" s="2">
        <f>G8*'Output-Calculation-sheet'!G52/10^9</f>
        <v>0.6307337446205753</v>
      </c>
      <c r="H63" s="2">
        <f>H8*'Output-Calculation-sheet'!H52/10^9</f>
        <v>1.0882505790500328</v>
      </c>
      <c r="I63" s="2">
        <f>I8*'Output-Calculation-sheet'!I52/10^9</f>
        <v>0.58471819625029531</v>
      </c>
      <c r="J63" s="2">
        <f>J8*'Output-Calculation-sheet'!J52/10^9</f>
        <v>0.5944469446891546</v>
      </c>
      <c r="K63" s="2">
        <f>K8*'Output-Calculation-sheet'!K52/10^9</f>
        <v>0.59823138301225742</v>
      </c>
      <c r="L63" s="2">
        <f>L8*'Output-Calculation-sheet'!L52/10^9</f>
        <v>0.48767647275081683</v>
      </c>
      <c r="M63" s="2">
        <f>M8*'Output-Calculation-sheet'!M52/10^9</f>
        <v>0.75346736869036246</v>
      </c>
      <c r="N63" s="2">
        <f>N8*'Output-Calculation-sheet'!N52/10^9</f>
        <v>0.67605634287792882</v>
      </c>
      <c r="O63" s="2">
        <f>O8*'Output-Calculation-sheet'!O52/10^9</f>
        <v>0.73105900967967319</v>
      </c>
      <c r="P63" s="2">
        <f>P8*'Output-Calculation-sheet'!P52/10^9</f>
        <v>0.48159237368652874</v>
      </c>
      <c r="Q63" s="2">
        <f>Q8*'Output-Calculation-sheet'!Q52/10^9</f>
        <v>0.49666052752433859</v>
      </c>
      <c r="R63" s="2">
        <f>R8*'Output-Calculation-sheet'!R52/10^9</f>
        <v>0.40676014772881808</v>
      </c>
      <c r="S63" s="2">
        <f>S8*'Output-Calculation-sheet'!S52/10^9</f>
        <v>0.37402167970947514</v>
      </c>
      <c r="T63" s="2">
        <f>T8*'Output-Calculation-sheet'!T52/10^9</f>
        <v>0.14024353529160916</v>
      </c>
      <c r="U63" s="2">
        <f>U8*'Output-Calculation-sheet'!U52/10^9</f>
        <v>0.12740484988882195</v>
      </c>
      <c r="V63" s="2">
        <f>V8*'Output-Calculation-sheet'!V52/10^9</f>
        <v>9.8444891653769531E-2</v>
      </c>
      <c r="W63" s="2">
        <f>W8*'Output-Calculation-sheet'!W52/10^9</f>
        <v>7.6910638495468184E-2</v>
      </c>
      <c r="X63" s="2">
        <f>X8*'Output-Calculation-sheet'!X52/10^9</f>
        <v>9.07610515378236E-2</v>
      </c>
      <c r="Y63" s="2">
        <f>Y8*'Output-Calculation-sheet'!Y52/10^9</f>
        <v>4.9995049021695825E-2</v>
      </c>
      <c r="AA63" s="2">
        <f t="shared" si="4"/>
        <v>22.743301655133692</v>
      </c>
    </row>
    <row r="64" spans="1:27" x14ac:dyDescent="0.25">
      <c r="A64" s="2">
        <v>2032</v>
      </c>
      <c r="B64" s="2">
        <f>B9*'Output-Calculation-sheet'!B53/10^9</f>
        <v>6.9549925245406614</v>
      </c>
      <c r="C64" s="2">
        <f>C9*'Output-Calculation-sheet'!C53/10^9</f>
        <v>4.6046565024913928</v>
      </c>
      <c r="D64" s="2">
        <f>D9*'Output-Calculation-sheet'!D53/10^9</f>
        <v>1.6757332921818433</v>
      </c>
      <c r="E64" s="2">
        <f>E9*'Output-Calculation-sheet'!E53/10^9</f>
        <v>1.636020149270575</v>
      </c>
      <c r="F64" s="2">
        <f>F9*'Output-Calculation-sheet'!F53/10^9</f>
        <v>0.82509829947867186</v>
      </c>
      <c r="G64" s="2">
        <f>G9*'Output-Calculation-sheet'!G53/10^9</f>
        <v>0.59932664685850612</v>
      </c>
      <c r="H64" s="2">
        <f>H9*'Output-Calculation-sheet'!H53/10^9</f>
        <v>1.2866167462849039</v>
      </c>
      <c r="I64" s="2">
        <f>I9*'Output-Calculation-sheet'!I53/10^9</f>
        <v>0.55961942249672336</v>
      </c>
      <c r="J64" s="2">
        <f>J9*'Output-Calculation-sheet'!J53/10^9</f>
        <v>0.55857503073427339</v>
      </c>
      <c r="K64" s="2">
        <f>K9*'Output-Calculation-sheet'!K53/10^9</f>
        <v>0.60247031207106261</v>
      </c>
      <c r="L64" s="2">
        <f>L9*'Output-Calculation-sheet'!L53/10^9</f>
        <v>0.49662782975131925</v>
      </c>
      <c r="M64" s="2">
        <f>M9*'Output-Calculation-sheet'!M53/10^9</f>
        <v>0.89143173932022557</v>
      </c>
      <c r="N64" s="2">
        <f>N9*'Output-Calculation-sheet'!N53/10^9</f>
        <v>0.79209506230446891</v>
      </c>
      <c r="O64" s="2">
        <f>O9*'Output-Calculation-sheet'!O53/10^9</f>
        <v>0.8522413193347611</v>
      </c>
      <c r="P64" s="2">
        <f>P9*'Output-Calculation-sheet'!P53/10^9</f>
        <v>0.53883671916321241</v>
      </c>
      <c r="Q64" s="2">
        <f>Q9*'Output-Calculation-sheet'!Q53/10^9</f>
        <v>0.55137942439458787</v>
      </c>
      <c r="R64" s="2">
        <f>R9*'Output-Calculation-sheet'!R53/10^9</f>
        <v>0.43108880955748613</v>
      </c>
      <c r="S64" s="2">
        <f>S9*'Output-Calculation-sheet'!S53/10^9</f>
        <v>0.43629788387080692</v>
      </c>
      <c r="T64" s="2">
        <f>T9*'Output-Calculation-sheet'!T53/10^9</f>
        <v>0.13813918739382866</v>
      </c>
      <c r="U64" s="2">
        <f>U9*'Output-Calculation-sheet'!U53/10^9</f>
        <v>0.13626767429457104</v>
      </c>
      <c r="V64" s="2">
        <f>V9*'Output-Calculation-sheet'!V53/10^9</f>
        <v>0.10138688872690739</v>
      </c>
      <c r="W64" s="2">
        <f>W9*'Output-Calculation-sheet'!W53/10^9</f>
        <v>7.3196999710102698E-2</v>
      </c>
      <c r="X64" s="2">
        <f>X9*'Output-Calculation-sheet'!X53/10^9</f>
        <v>0.10780970485278582</v>
      </c>
      <c r="Y64" s="2">
        <f>Y9*'Output-Calculation-sheet'!Y53/10^9</f>
        <v>5.2762930321754505E-2</v>
      </c>
      <c r="AA64" s="2">
        <f t="shared" si="4"/>
        <v>24.902671099405442</v>
      </c>
    </row>
    <row r="65" spans="1:27" x14ac:dyDescent="0.25">
      <c r="A65" s="2">
        <v>2033</v>
      </c>
      <c r="B65" s="2">
        <f>B10*'Output-Calculation-sheet'!B54/10^9</f>
        <v>7.736045699843709</v>
      </c>
      <c r="C65" s="2">
        <f>C10*'Output-Calculation-sheet'!C54/10^9</f>
        <v>5.1095868615404418</v>
      </c>
      <c r="D65" s="2">
        <f>D10*'Output-Calculation-sheet'!D54/10^9</f>
        <v>1.4860588994014718</v>
      </c>
      <c r="E65" s="2">
        <f>E10*'Output-Calculation-sheet'!E54/10^9</f>
        <v>1.6863290403154736</v>
      </c>
      <c r="F65" s="2">
        <f>F10*'Output-Calculation-sheet'!F54/10^9</f>
        <v>0.76499156925978251</v>
      </c>
      <c r="G65" s="2">
        <f>G10*'Output-Calculation-sheet'!G54/10^9</f>
        <v>0.52797203560000472</v>
      </c>
      <c r="H65" s="2">
        <f>H10*'Output-Calculation-sheet'!H54/10^9</f>
        <v>1.4033363018573557</v>
      </c>
      <c r="I65" s="2">
        <f>I10*'Output-Calculation-sheet'!I54/10^9</f>
        <v>0.51934883772902052</v>
      </c>
      <c r="J65" s="2">
        <f>J10*'Output-Calculation-sheet'!J54/10^9</f>
        <v>0.47897403388779647</v>
      </c>
      <c r="K65" s="2">
        <f>K10*'Output-Calculation-sheet'!K54/10^9</f>
        <v>0.61090955187010021</v>
      </c>
      <c r="L65" s="2">
        <f>L10*'Output-Calculation-sheet'!L54/10^9</f>
        <v>0.50807942864439715</v>
      </c>
      <c r="M65" s="2">
        <f>M10*'Output-Calculation-sheet'!M54/10^9</f>
        <v>0.97242859008149629</v>
      </c>
      <c r="N65" s="2">
        <f>N10*'Output-Calculation-sheet'!N54/10^9</f>
        <v>0.87423062829805509</v>
      </c>
      <c r="O65" s="2">
        <f>O10*'Output-Calculation-sheet'!O54/10^9</f>
        <v>0.92552439899512406</v>
      </c>
      <c r="P65" s="2">
        <f>P10*'Output-Calculation-sheet'!P54/10^9</f>
        <v>0.58994547069527803</v>
      </c>
      <c r="Q65" s="2">
        <f>Q10*'Output-Calculation-sheet'!Q54/10^9</f>
        <v>0.61209526161037209</v>
      </c>
      <c r="R65" s="2">
        <f>R10*'Output-Calculation-sheet'!R54/10^9</f>
        <v>0.45737756346712805</v>
      </c>
      <c r="S65" s="2">
        <f>S10*'Output-Calculation-sheet'!S54/10^9</f>
        <v>0.48366283176886626</v>
      </c>
      <c r="T65" s="2">
        <f>T10*'Output-Calculation-sheet'!T54/10^9</f>
        <v>0.13727977855431525</v>
      </c>
      <c r="U65" s="2">
        <f>U10*'Output-Calculation-sheet'!U54/10^9</f>
        <v>0.14843513385399282</v>
      </c>
      <c r="V65" s="2">
        <f>V10*'Output-Calculation-sheet'!V54/10^9</f>
        <v>0.10358804087052487</v>
      </c>
      <c r="W65" s="2">
        <f>W10*'Output-Calculation-sheet'!W54/10^9</f>
        <v>6.4795490312984746E-2</v>
      </c>
      <c r="X65" s="2">
        <f>X10*'Output-Calculation-sheet'!X54/10^9</f>
        <v>0.11920011359673478</v>
      </c>
      <c r="Y65" s="2">
        <f>Y10*'Output-Calculation-sheet'!Y54/10^9</f>
        <v>5.7165382616310455E-2</v>
      </c>
      <c r="AA65" s="2">
        <f t="shared" si="4"/>
        <v>26.377360944670723</v>
      </c>
    </row>
    <row r="66" spans="1:27" x14ac:dyDescent="0.25">
      <c r="A66" s="2">
        <v>2034</v>
      </c>
      <c r="B66" s="2">
        <f>B11*'Output-Calculation-sheet'!B55/10^9</f>
        <v>8.3690099873014638</v>
      </c>
      <c r="C66" s="2">
        <f>C11*'Output-Calculation-sheet'!C55/10^9</f>
        <v>5.3314407950449478</v>
      </c>
      <c r="D66" s="2">
        <f>D11*'Output-Calculation-sheet'!D55/10^9</f>
        <v>1.5702254004055367</v>
      </c>
      <c r="E66" s="2">
        <f>E11*'Output-Calculation-sheet'!E55/10^9</f>
        <v>1.9361524177461442</v>
      </c>
      <c r="F66" s="2">
        <f>F11*'Output-Calculation-sheet'!F55/10^9</f>
        <v>0.77542601756109042</v>
      </c>
      <c r="G66" s="2">
        <f>G11*'Output-Calculation-sheet'!G55/10^9</f>
        <v>0.55850693938662632</v>
      </c>
      <c r="H66" s="2">
        <f>H11*'Output-Calculation-sheet'!H55/10^9</f>
        <v>1.4712572878691905</v>
      </c>
      <c r="I66" s="2">
        <f>I11*'Output-Calculation-sheet'!I55/10^9</f>
        <v>0.5490027148611476</v>
      </c>
      <c r="J66" s="2">
        <f>J11*'Output-Calculation-sheet'!J55/10^9</f>
        <v>0.48436382850822146</v>
      </c>
      <c r="K66" s="2">
        <f>K11*'Output-Calculation-sheet'!K55/10^9</f>
        <v>0.64731036976306255</v>
      </c>
      <c r="L66" s="2">
        <f>L11*'Output-Calculation-sheet'!L55/10^9</f>
        <v>0.56698764380190481</v>
      </c>
      <c r="M66" s="2">
        <f>M11*'Output-Calculation-sheet'!M55/10^9</f>
        <v>1.0216013105538146</v>
      </c>
      <c r="N66" s="2">
        <f>N11*'Output-Calculation-sheet'!N55/10^9</f>
        <v>0.91456587276315593</v>
      </c>
      <c r="O66" s="2">
        <f>O11*'Output-Calculation-sheet'!O55/10^9</f>
        <v>0.94882011873594729</v>
      </c>
      <c r="P66" s="2">
        <f>P11*'Output-Calculation-sheet'!P55/10^9</f>
        <v>0.64282837018982653</v>
      </c>
      <c r="Q66" s="2">
        <f>Q11*'Output-Calculation-sheet'!Q55/10^9</f>
        <v>0.66732148346971365</v>
      </c>
      <c r="R66" s="2">
        <f>R11*'Output-Calculation-sheet'!R55/10^9</f>
        <v>0.4864870483679527</v>
      </c>
      <c r="S66" s="2">
        <f>S11*'Output-Calculation-sheet'!S55/10^9</f>
        <v>0.51517849974675012</v>
      </c>
      <c r="T66" s="2">
        <f>T11*'Output-Calculation-sheet'!T55/10^9</f>
        <v>0.14322339330087289</v>
      </c>
      <c r="U66" s="2">
        <f>U11*'Output-Calculation-sheet'!U55/10^9</f>
        <v>0.16541345688601605</v>
      </c>
      <c r="V66" s="2">
        <f>V11*'Output-Calculation-sheet'!V55/10^9</f>
        <v>0.10698051453811856</v>
      </c>
      <c r="W66" s="2">
        <f>W11*'Output-Calculation-sheet'!W55/10^9</f>
        <v>6.5176950238492598E-2</v>
      </c>
      <c r="X66" s="2">
        <f>X11*'Output-Calculation-sheet'!X55/10^9</f>
        <v>0.12439823105054157</v>
      </c>
      <c r="Y66" s="2">
        <f>Y11*'Output-Calculation-sheet'!Y55/10^9</f>
        <v>6.7582123260106972E-2</v>
      </c>
      <c r="AA66" s="2">
        <f t="shared" si="4"/>
        <v>28.129260775350637</v>
      </c>
    </row>
    <row r="67" spans="1:27" x14ac:dyDescent="0.25">
      <c r="A67" s="2">
        <v>2035</v>
      </c>
      <c r="B67" s="2">
        <f>B12*'Output-Calculation-sheet'!B56/10^9</f>
        <v>8.6447513438486254</v>
      </c>
      <c r="C67" s="2">
        <f>C12*'Output-Calculation-sheet'!C56/10^9</f>
        <v>5.2721822943146313</v>
      </c>
      <c r="D67" s="2">
        <f>D12*'Output-Calculation-sheet'!D56/10^9</f>
        <v>1.7583512320332257</v>
      </c>
      <c r="E67" s="2">
        <f>E12*'Output-Calculation-sheet'!E56/10^9</f>
        <v>2.3774136067259901</v>
      </c>
      <c r="F67" s="2">
        <f>F12*'Output-Calculation-sheet'!F56/10^9</f>
        <v>0.94275035281192676</v>
      </c>
      <c r="G67" s="2">
        <f>G12*'Output-Calculation-sheet'!G56/10^9</f>
        <v>0.68427627011761871</v>
      </c>
      <c r="H67" s="2">
        <f>H12*'Output-Calculation-sheet'!H56/10^9</f>
        <v>1.4916442150084586</v>
      </c>
      <c r="I67" s="2">
        <f>I12*'Output-Calculation-sheet'!I56/10^9</f>
        <v>0.6463892680087745</v>
      </c>
      <c r="J67" s="2">
        <f>J12*'Output-Calculation-sheet'!J56/10^9</f>
        <v>0.5337767090687211</v>
      </c>
      <c r="K67" s="2">
        <f>K12*'Output-Calculation-sheet'!K56/10^9</f>
        <v>0.72169160072472338</v>
      </c>
      <c r="L67" s="2">
        <f>L12*'Output-Calculation-sheet'!L56/10^9</f>
        <v>0.62273426381828623</v>
      </c>
      <c r="M67" s="2">
        <f>M12*'Output-Calculation-sheet'!M56/10^9</f>
        <v>1.045339810967165</v>
      </c>
      <c r="N67" s="2">
        <f>N12*'Output-Calculation-sheet'!N56/10^9</f>
        <v>0.91504235895091268</v>
      </c>
      <c r="O67" s="2">
        <f>O12*'Output-Calculation-sheet'!O56/10^9</f>
        <v>0.92607706767680731</v>
      </c>
      <c r="P67" s="2">
        <f>P12*'Output-Calculation-sheet'!P56/10^9</f>
        <v>0.7291360324628049</v>
      </c>
      <c r="Q67" s="2">
        <f>Q12*'Output-Calculation-sheet'!Q56/10^9</f>
        <v>0.68350660734569069</v>
      </c>
      <c r="R67" s="2">
        <f>R12*'Output-Calculation-sheet'!R56/10^9</f>
        <v>0.53699921904881065</v>
      </c>
      <c r="S67" s="2">
        <f>S12*'Output-Calculation-sheet'!S56/10^9</f>
        <v>0.52080247134287661</v>
      </c>
      <c r="T67" s="2">
        <f>T12*'Output-Calculation-sheet'!T56/10^9</f>
        <v>0.1650763186873565</v>
      </c>
      <c r="U67" s="2">
        <f>U12*'Output-Calculation-sheet'!U56/10^9</f>
        <v>0.17800355116648256</v>
      </c>
      <c r="V67" s="2">
        <f>V12*'Output-Calculation-sheet'!V56/10^9</f>
        <v>0.1122491560886172</v>
      </c>
      <c r="W67" s="2">
        <f>W12*'Output-Calculation-sheet'!W56/10^9</f>
        <v>8.7335257264571683E-2</v>
      </c>
      <c r="X67" s="2">
        <f>X12*'Output-Calculation-sheet'!X56/10^9</f>
        <v>0.12794769716639637</v>
      </c>
      <c r="Y67" s="2">
        <f>Y12*'Output-Calculation-sheet'!Y56/10^9</f>
        <v>8.2005910035816643E-2</v>
      </c>
      <c r="AA67" s="2">
        <f t="shared" si="4"/>
        <v>29.805482614685292</v>
      </c>
    </row>
    <row r="68" spans="1:27" x14ac:dyDescent="0.25">
      <c r="B68" s="2">
        <f>SUM(B60:B67)</f>
        <v>37.873301728633948</v>
      </c>
      <c r="C68" s="2">
        <f t="shared" ref="C68:Y68" si="5">SUM(C60:C67)</f>
        <v>24.17223291222529</v>
      </c>
      <c r="D68" s="2">
        <f t="shared" si="5"/>
        <v>8.2521632724576914</v>
      </c>
      <c r="E68" s="2">
        <f t="shared" si="5"/>
        <v>9.254235967475763</v>
      </c>
      <c r="F68" s="2">
        <f t="shared" si="5"/>
        <v>4.1611492742991594</v>
      </c>
      <c r="G68" s="2">
        <f t="shared" si="5"/>
        <v>3.0008156365833312</v>
      </c>
      <c r="H68" s="2">
        <f t="shared" si="5"/>
        <v>6.7411051300699416</v>
      </c>
      <c r="I68" s="2">
        <f t="shared" si="5"/>
        <v>2.8590784393459612</v>
      </c>
      <c r="J68" s="2">
        <f t="shared" si="5"/>
        <v>2.650136546888167</v>
      </c>
      <c r="K68" s="2">
        <f t="shared" si="5"/>
        <v>3.1806132174412065</v>
      </c>
      <c r="L68" s="2">
        <f t="shared" si="5"/>
        <v>2.6821056387667244</v>
      </c>
      <c r="M68" s="2">
        <f t="shared" si="5"/>
        <v>4.684268819613064</v>
      </c>
      <c r="N68" s="2">
        <f t="shared" si="5"/>
        <v>4.1719902651945215</v>
      </c>
      <c r="O68" s="2">
        <f t="shared" si="5"/>
        <v>4.3837219144223125</v>
      </c>
      <c r="P68" s="2">
        <f t="shared" si="5"/>
        <v>2.9823389661976507</v>
      </c>
      <c r="Q68" s="2">
        <f t="shared" si="5"/>
        <v>3.0109633043447026</v>
      </c>
      <c r="R68" s="2">
        <f t="shared" si="5"/>
        <v>2.3187127881701954</v>
      </c>
      <c r="S68" s="2">
        <f t="shared" si="5"/>
        <v>2.3299633664387751</v>
      </c>
      <c r="T68" s="2">
        <f t="shared" si="5"/>
        <v>0.72396221322798249</v>
      </c>
      <c r="U68" s="2">
        <f t="shared" si="5"/>
        <v>0.75552466608988444</v>
      </c>
      <c r="V68" s="2">
        <f t="shared" si="5"/>
        <v>0.52264949187793763</v>
      </c>
      <c r="W68" s="2">
        <f t="shared" si="5"/>
        <v>0.36741533602161991</v>
      </c>
      <c r="X68" s="2">
        <f t="shared" si="5"/>
        <v>0.57011679820428207</v>
      </c>
      <c r="Y68" s="2">
        <f t="shared" si="5"/>
        <v>0.30951139525568439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1707.9375102105596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1152.093132667191</v>
      </c>
      <c r="N74" s="2">
        <f>N8/'Output-Calculation-sheet'!N7*'Output-Calculation-sheet'!N61</f>
        <v>47.890425077318127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10.223400996275233</v>
      </c>
      <c r="Y74" s="2">
        <f>Y8/'Output-Calculation-sheet'!Y7*'Output-Calculation-sheet'!Y61</f>
        <v>0</v>
      </c>
      <c r="AA74" s="2">
        <f t="shared" si="6"/>
        <v>2.9181444689513438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64.854844756056863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2963.1259664127629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2007.8293777721844</v>
      </c>
      <c r="N75" s="2">
        <f>N9/'Output-Calculation-sheet'!N8*'Output-Calculation-sheet'!N62</f>
        <v>772.93533227674232</v>
      </c>
      <c r="O75" s="2">
        <f>O9/'Output-Calculation-sheet'!O8*'Output-Calculation-sheet'!O62</f>
        <v>0</v>
      </c>
      <c r="P75" s="2">
        <f>P9/'Output-Calculation-sheet'!P8*'Output-Calculation-sheet'!P62</f>
        <v>50.280146483281179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259.7838946080193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70.504242078273421</v>
      </c>
      <c r="Y75" s="2">
        <f>Y9/'Output-Calculation-sheet'!Y8*'Output-Calculation-sheet'!Y62</f>
        <v>0</v>
      </c>
      <c r="AA75" s="2">
        <f t="shared" si="6"/>
        <v>6.1893138043873206</v>
      </c>
    </row>
    <row r="76" spans="1:27" x14ac:dyDescent="0.25">
      <c r="A76" s="2">
        <v>2033</v>
      </c>
      <c r="B76" s="2">
        <f>B10/'Output-Calculation-sheet'!B9*'Output-Calculation-sheet'!B63</f>
        <v>6341.608886296478</v>
      </c>
      <c r="C76" s="2">
        <f>C10/'Output-Calculation-sheet'!C9*'Output-Calculation-sheet'!C63</f>
        <v>1863.0298143335986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4155.4216068861906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2826.4324270378447</v>
      </c>
      <c r="N76" s="2">
        <f>N10/'Output-Calculation-sheet'!N9*'Output-Calculation-sheet'!N63</f>
        <v>1614.6119405540464</v>
      </c>
      <c r="O76" s="2">
        <f>O10/'Output-Calculation-sheet'!O9*'Output-Calculation-sheet'!O63</f>
        <v>0</v>
      </c>
      <c r="P76" s="2">
        <f>P10/'Output-Calculation-sheet'!P9*'Output-Calculation-sheet'!P63</f>
        <v>556.6222358310838</v>
      </c>
      <c r="Q76" s="2">
        <f>Q10/'Output-Calculation-sheet'!Q9*'Output-Calculation-sheet'!Q63</f>
        <v>250.59930544193639</v>
      </c>
      <c r="R76" s="2">
        <f>R10/'Output-Calculation-sheet'!R9*'Output-Calculation-sheet'!R63</f>
        <v>424.21366910104666</v>
      </c>
      <c r="S76" s="2">
        <f>S10/'Output-Calculation-sheet'!S9*'Output-Calculation-sheet'!S63</f>
        <v>717.88610929968343</v>
      </c>
      <c r="T76" s="2">
        <f>T10/'Output-Calculation-sheet'!T9*'Output-Calculation-sheet'!T63</f>
        <v>27.883419668890806</v>
      </c>
      <c r="U76" s="2">
        <f>U10/'Output-Calculation-sheet'!U9*'Output-Calculation-sheet'!U63</f>
        <v>150.59307763380542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162.0600614904294</v>
      </c>
      <c r="Y76" s="2">
        <f>Y10/'Output-Calculation-sheet'!Y9*'Output-Calculation-sheet'!Y63</f>
        <v>7.1499114971690512</v>
      </c>
      <c r="AA76" s="2">
        <f t="shared" si="6"/>
        <v>19.215161431928426</v>
      </c>
    </row>
    <row r="77" spans="1:27" x14ac:dyDescent="0.25">
      <c r="A77" s="2">
        <v>2034</v>
      </c>
      <c r="B77" s="2">
        <f>B11/'Output-Calculation-sheet'!B10*'Output-Calculation-sheet'!B64</f>
        <v>13042.735810158789</v>
      </c>
      <c r="C77" s="2">
        <f>C11/'Output-Calculation-sheet'!C10*'Output-Calculation-sheet'!C64</f>
        <v>3557.482660061899</v>
      </c>
      <c r="D77" s="2">
        <f>D11/'Output-Calculation-sheet'!D10*'Output-Calculation-sheet'!D64</f>
        <v>1576.0391299157525</v>
      </c>
      <c r="E77" s="2">
        <f>E11/'Output-Calculation-sheet'!E10*'Output-Calculation-sheet'!E64</f>
        <v>2289.9640387259637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4737.6405575956396</v>
      </c>
      <c r="I77" s="2">
        <f>I11/'Output-Calculation-sheet'!I10*'Output-Calculation-sheet'!I64</f>
        <v>571.69948749303137</v>
      </c>
      <c r="J77" s="2">
        <f>J11/'Output-Calculation-sheet'!J10*'Output-Calculation-sheet'!J64</f>
        <v>314.49944672461953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227.0896128344944</v>
      </c>
      <c r="M77" s="2">
        <f>M11/'Output-Calculation-sheet'!M10*'Output-Calculation-sheet'!M64</f>
        <v>3307.3158206980474</v>
      </c>
      <c r="N77" s="2">
        <f>N11/'Output-Calculation-sheet'!N10*'Output-Calculation-sheet'!N64</f>
        <v>2289.9961982915156</v>
      </c>
      <c r="O77" s="2">
        <f>O11/'Output-Calculation-sheet'!O10*'Output-Calculation-sheet'!O64</f>
        <v>0</v>
      </c>
      <c r="P77" s="2">
        <f>P11/'Output-Calculation-sheet'!P10*'Output-Calculation-sheet'!P64</f>
        <v>1081.7467588975676</v>
      </c>
      <c r="Q77" s="2">
        <f>Q11/'Output-Calculation-sheet'!Q10*'Output-Calculation-sheet'!Q64</f>
        <v>443.37034560683594</v>
      </c>
      <c r="R77" s="2">
        <f>R11/'Output-Calculation-sheet'!R10*'Output-Calculation-sheet'!R64</f>
        <v>919.61324976506</v>
      </c>
      <c r="S77" s="2">
        <f>S11/'Output-Calculation-sheet'!S10*'Output-Calculation-sheet'!S64</f>
        <v>994.05455497046921</v>
      </c>
      <c r="T77" s="2">
        <f>T11/'Output-Calculation-sheet'!T10*'Output-Calculation-sheet'!T64</f>
        <v>254.42315809909894</v>
      </c>
      <c r="U77" s="2">
        <f>U11/'Output-Calculation-sheet'!U10*'Output-Calculation-sheet'!U64</f>
        <v>276.90262597491778</v>
      </c>
      <c r="V77" s="2">
        <f>V11/'Output-Calculation-sheet'!V10*'Output-Calculation-sheet'!V64</f>
        <v>132.74130680744312</v>
      </c>
      <c r="W77" s="2">
        <f>W11/'Output-Calculation-sheet'!W10*'Output-Calculation-sheet'!W64</f>
        <v>28.851474085347778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84.412286825531154</v>
      </c>
      <c r="AA77" s="2">
        <f t="shared" si="6"/>
        <v>38.274209665075524</v>
      </c>
    </row>
    <row r="78" spans="1:27" x14ac:dyDescent="0.25">
      <c r="A78" s="2">
        <v>2035</v>
      </c>
      <c r="B78" s="2">
        <f>B12/'Output-Calculation-sheet'!B11*'Output-Calculation-sheet'!B65</f>
        <v>14092.085339133522</v>
      </c>
      <c r="C78" s="2">
        <f>C12/'Output-Calculation-sheet'!C11*'Output-Calculation-sheet'!C65</f>
        <v>5956.460872579024</v>
      </c>
      <c r="D78" s="2">
        <f>D12/'Output-Calculation-sheet'!D11*'Output-Calculation-sheet'!D65</f>
        <v>1519.4035104475972</v>
      </c>
      <c r="E78" s="2">
        <f>E12/'Output-Calculation-sheet'!E11*'Output-Calculation-sheet'!E65</f>
        <v>2916.5914388396563</v>
      </c>
      <c r="F78" s="2">
        <f>F12/'Output-Calculation-sheet'!F11*'Output-Calculation-sheet'!F65</f>
        <v>635.50955407175013</v>
      </c>
      <c r="G78" s="2">
        <f>G12/'Output-Calculation-sheet'!G11*'Output-Calculation-sheet'!G65</f>
        <v>1168.8013627633604</v>
      </c>
      <c r="H78" s="2">
        <f>H12/'Output-Calculation-sheet'!H11*'Output-Calculation-sheet'!H65</f>
        <v>4492.5548349762212</v>
      </c>
      <c r="I78" s="2">
        <f>I12/'Output-Calculation-sheet'!I11*'Output-Calculation-sheet'!I65</f>
        <v>744.41916438515875</v>
      </c>
      <c r="J78" s="2">
        <f>J12/'Output-Calculation-sheet'!J11*'Output-Calculation-sheet'!J65</f>
        <v>318.86067588770487</v>
      </c>
      <c r="K78" s="2">
        <f>K12/'Output-Calculation-sheet'!K11*'Output-Calculation-sheet'!K65</f>
        <v>949.66429607886323</v>
      </c>
      <c r="L78" s="2">
        <f>L12/'Output-Calculation-sheet'!L11*'Output-Calculation-sheet'!L65</f>
        <v>274.92824568567789</v>
      </c>
      <c r="M78" s="2">
        <f>M12/'Output-Calculation-sheet'!M11*'Output-Calculation-sheet'!M65</f>
        <v>3160.3542611665962</v>
      </c>
      <c r="N78" s="2">
        <f>N12/'Output-Calculation-sheet'!N11*'Output-Calculation-sheet'!N65</f>
        <v>2218.8117566778042</v>
      </c>
      <c r="O78" s="2">
        <f>O12/'Output-Calculation-sheet'!O11*'Output-Calculation-sheet'!O65</f>
        <v>0</v>
      </c>
      <c r="P78" s="2">
        <f>P12/'Output-Calculation-sheet'!P11*'Output-Calculation-sheet'!P65</f>
        <v>1254.0223621626628</v>
      </c>
      <c r="Q78" s="2">
        <f>Q12/'Output-Calculation-sheet'!Q11*'Output-Calculation-sheet'!Q65</f>
        <v>496.59287636047333</v>
      </c>
      <c r="R78" s="2">
        <f>R12/'Output-Calculation-sheet'!R11*'Output-Calculation-sheet'!R65</f>
        <v>986.6603546642566</v>
      </c>
      <c r="S78" s="2">
        <f>S12/'Output-Calculation-sheet'!S11*'Output-Calculation-sheet'!S65</f>
        <v>1027.6721314548613</v>
      </c>
      <c r="T78" s="2">
        <f>T12/'Output-Calculation-sheet'!T11*'Output-Calculation-sheet'!T65</f>
        <v>352.17995624850619</v>
      </c>
      <c r="U78" s="2">
        <f>U12/'Output-Calculation-sheet'!U11*'Output-Calculation-sheet'!U65</f>
        <v>261.93797100096316</v>
      </c>
      <c r="V78" s="2">
        <f>V12/'Output-Calculation-sheet'!V11*'Output-Calculation-sheet'!V65</f>
        <v>134.82462700611617</v>
      </c>
      <c r="W78" s="2">
        <f>W12/'Output-Calculation-sheet'!W11*'Output-Calculation-sheet'!W65</f>
        <v>134.49223472906138</v>
      </c>
      <c r="X78" s="2">
        <f>X12/'Output-Calculation-sheet'!X11*'Output-Calculation-sheet'!X65</f>
        <v>70.204704530719326</v>
      </c>
      <c r="Y78" s="2">
        <f>Y12/'Output-Calculation-sheet'!Y11*'Output-Calculation-sheet'!Y65</f>
        <v>121.77677469994875</v>
      </c>
      <c r="AA78" s="2">
        <f t="shared" si="6"/>
        <v>43.288809305550494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438.68610639898009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254.64676878822345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0.69333287518720355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1508.5200040915215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376.95576047067868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1.8854757645622002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2629.0553893101946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477.61636153727324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3.1066717508474682</v>
      </c>
    </row>
    <row r="88" spans="1:27" x14ac:dyDescent="0.25">
      <c r="A88" s="2">
        <v>2034</v>
      </c>
      <c r="B88" s="2">
        <f>B11/'Output-Calculation-sheet'!B10*'Output-Calculation-sheet'!B73</f>
        <v>132.1905395527865</v>
      </c>
      <c r="C88" s="2">
        <f>C11/'Output-Calculation-sheet'!C10*'Output-Calculation-sheet'!C73</f>
        <v>2868.9606278687143</v>
      </c>
      <c r="D88" s="2">
        <f>D11/'Output-Calculation-sheet'!D10*'Output-Calculation-sheet'!D73</f>
        <v>10.104984916092574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47.405937719380098</v>
      </c>
      <c r="I88" s="2">
        <f>I11/'Output-Calculation-sheet'!I10*'Output-Calculation-sheet'!I73</f>
        <v>0</v>
      </c>
      <c r="J88" s="2">
        <f>J11/'Output-Calculation-sheet'!J10*'Output-Calculation-sheet'!J73</f>
        <v>3.2266778161623448</v>
      </c>
      <c r="K88" s="2">
        <f>K11/'Output-Calculation-sheet'!K10*'Output-Calculation-sheet'!K73</f>
        <v>0</v>
      </c>
      <c r="L88" s="2">
        <f>L11/'Output-Calculation-sheet'!L10*'Output-Calculation-sheet'!L73</f>
        <v>7.644013021150001</v>
      </c>
      <c r="M88" s="2">
        <f>M11/'Output-Calculation-sheet'!M10*'Output-Calculation-sheet'!M73</f>
        <v>22.954743511460535</v>
      </c>
      <c r="N88" s="2">
        <f>N11/'Output-Calculation-sheet'!N10*'Output-Calculation-sheet'!N73</f>
        <v>11.874100098786016</v>
      </c>
      <c r="O88" s="2">
        <f>O11/'Output-Calculation-sheet'!O10*'Output-Calculation-sheet'!O73</f>
        <v>541.84636415077216</v>
      </c>
      <c r="P88" s="2">
        <f>P11/'Output-Calculation-sheet'!P10*'Output-Calculation-sheet'!P73</f>
        <v>0</v>
      </c>
      <c r="Q88" s="2">
        <f>Q11/'Output-Calculation-sheet'!Q10*'Output-Calculation-sheet'!Q73</f>
        <v>36.412353894402642</v>
      </c>
      <c r="R88" s="2">
        <f>R11/'Output-Calculation-sheet'!R10*'Output-Calculation-sheet'!R73</f>
        <v>0</v>
      </c>
      <c r="S88" s="2">
        <f>S11/'Output-Calculation-sheet'!S10*'Output-Calculation-sheet'!S73</f>
        <v>17.016610226840349</v>
      </c>
      <c r="T88" s="2">
        <f>T11/'Output-Calculation-sheet'!T10*'Output-Calculation-sheet'!T73</f>
        <v>0</v>
      </c>
      <c r="U88" s="2">
        <f>U11/'Output-Calculation-sheet'!U10*'Output-Calculation-sheet'!U73</f>
        <v>3.3193515035826571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3.7029563042801303</v>
      </c>
    </row>
    <row r="89" spans="1:27" x14ac:dyDescent="0.25">
      <c r="A89" s="2">
        <v>2035</v>
      </c>
      <c r="B89" s="2">
        <f>B12/'Output-Calculation-sheet'!B11*'Output-Calculation-sheet'!B74</f>
        <v>691.19945684521349</v>
      </c>
      <c r="C89" s="2">
        <f>C12/'Output-Calculation-sheet'!C11*'Output-Calculation-sheet'!C74</f>
        <v>2830.8339397606478</v>
      </c>
      <c r="D89" s="2">
        <f>D12/'Output-Calculation-sheet'!D11*'Output-Calculation-sheet'!D74</f>
        <v>131.24045092293915</v>
      </c>
      <c r="E89" s="2">
        <f>E12/'Output-Calculation-sheet'!E11*'Output-Calculation-sheet'!E74</f>
        <v>175.07713932812561</v>
      </c>
      <c r="F89" s="2">
        <f>F12/'Output-Calculation-sheet'!F11*'Output-Calculation-sheet'!F74</f>
        <v>56.2271365869845</v>
      </c>
      <c r="G89" s="2">
        <f>G12/'Output-Calculation-sheet'!G11*'Output-Calculation-sheet'!G74</f>
        <v>53.804476232740939</v>
      </c>
      <c r="H89" s="2">
        <f>H12/'Output-Calculation-sheet'!H11*'Output-Calculation-sheet'!H74</f>
        <v>210.11772812511373</v>
      </c>
      <c r="I89" s="2">
        <f>I12/'Output-Calculation-sheet'!I11*'Output-Calculation-sheet'!I74</f>
        <v>45.369188937034423</v>
      </c>
      <c r="J89" s="2">
        <f>J12/'Output-Calculation-sheet'!J11*'Output-Calculation-sheet'!J74</f>
        <v>35.920374668755038</v>
      </c>
      <c r="K89" s="2">
        <f>K12/'Output-Calculation-sheet'!K11*'Output-Calculation-sheet'!K74</f>
        <v>47.563403729919067</v>
      </c>
      <c r="L89" s="2">
        <f>L12/'Output-Calculation-sheet'!L11*'Output-Calculation-sheet'!L74</f>
        <v>49.639050631283219</v>
      </c>
      <c r="M89" s="2">
        <f>M12/'Output-Calculation-sheet'!M11*'Output-Calculation-sheet'!M74</f>
        <v>132.2527951150746</v>
      </c>
      <c r="N89" s="2">
        <f>N12/'Output-Calculation-sheet'!N11*'Output-Calculation-sheet'!N74</f>
        <v>80.413242493142491</v>
      </c>
      <c r="O89" s="2">
        <f>O12/'Output-Calculation-sheet'!O11*'Output-Calculation-sheet'!O74</f>
        <v>573.59520478208685</v>
      </c>
      <c r="P89" s="2">
        <f>P12/'Output-Calculation-sheet'!P11*'Output-Calculation-sheet'!P74</f>
        <v>46.811434578431516</v>
      </c>
      <c r="Q89" s="2">
        <f>Q12/'Output-Calculation-sheet'!Q11*'Output-Calculation-sheet'!Q74</f>
        <v>79.140460262370013</v>
      </c>
      <c r="R89" s="2">
        <f>R12/'Output-Calculation-sheet'!R11*'Output-Calculation-sheet'!R74</f>
        <v>32.541599992418824</v>
      </c>
      <c r="S89" s="2">
        <f>S12/'Output-Calculation-sheet'!S11*'Output-Calculation-sheet'!S74</f>
        <v>50.515777094618208</v>
      </c>
      <c r="T89" s="2">
        <f>T12/'Output-Calculation-sheet'!T11*'Output-Calculation-sheet'!T74</f>
        <v>8.1441417918168284</v>
      </c>
      <c r="U89" s="2">
        <f>U12/'Output-Calculation-sheet'!U11*'Output-Calculation-sheet'!U74</f>
        <v>15.704619889292916</v>
      </c>
      <c r="V89" s="2">
        <f>V12/'Output-Calculation-sheet'!V11*'Output-Calculation-sheet'!V74</f>
        <v>5.9360950361699354</v>
      </c>
      <c r="W89" s="2">
        <f>W12/'Output-Calculation-sheet'!W11*'Output-Calculation-sheet'!W74</f>
        <v>4.5234220448750451</v>
      </c>
      <c r="X89" s="2">
        <f>X12/'Output-Calculation-sheet'!X11*'Output-Calculation-sheet'!X74</f>
        <v>3.1967675752617426</v>
      </c>
      <c r="Y89" s="2">
        <f>Y12/'Output-Calculation-sheet'!Y11*'Output-Calculation-sheet'!Y74</f>
        <v>5.9325804972795906</v>
      </c>
      <c r="AA89" s="2">
        <f t="shared" si="7"/>
        <v>5.3657004869215941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13946550784.692667</v>
      </c>
      <c r="C96" s="2">
        <f>C8/'Output-Calculation-sheet'!C7*'Output-Calculation-sheet'!C79</f>
        <v>4718190637.940876</v>
      </c>
      <c r="D96" s="2">
        <f>D8/'Output-Calculation-sheet'!D7*'Output-Calculation-sheet'!D79</f>
        <v>4925455251.6424208</v>
      </c>
      <c r="E96" s="2">
        <f>E8/'Output-Calculation-sheet'!E7*'Output-Calculation-sheet'!E79</f>
        <v>8757053640.358839</v>
      </c>
      <c r="F96" s="2">
        <f>F8/'Output-Calculation-sheet'!F7*'Output-Calculation-sheet'!F79</f>
        <v>3624457387.5732698</v>
      </c>
      <c r="G96" s="2">
        <f>G8/'Output-Calculation-sheet'!G7*'Output-Calculation-sheet'!G79</f>
        <v>2823160435.8659506</v>
      </c>
      <c r="H96" s="2">
        <f>H8/'Output-Calculation-sheet'!H7*'Output-Calculation-sheet'!H79</f>
        <v>2416469344.8551879</v>
      </c>
      <c r="I96" s="2">
        <f>I8/'Output-Calculation-sheet'!I7*'Output-Calculation-sheet'!I79</f>
        <v>1966626508.4867086</v>
      </c>
      <c r="J96" s="2">
        <f>J8/'Output-Calculation-sheet'!J7*'Output-Calculation-sheet'!J79</f>
        <v>1329879900.103585</v>
      </c>
      <c r="K96" s="2">
        <f>K8/'Output-Calculation-sheet'!K7*'Output-Calculation-sheet'!K79</f>
        <v>1902664242.5659573</v>
      </c>
      <c r="L96" s="2">
        <f>L8/'Output-Calculation-sheet'!L7*'Output-Calculation-sheet'!L79</f>
        <v>1342521466.454582</v>
      </c>
      <c r="M96" s="2">
        <f>M8/'Output-Calculation-sheet'!M7*'Output-Calculation-sheet'!M79</f>
        <v>1803845516.0004077</v>
      </c>
      <c r="N96" s="2">
        <f>N8/'Output-Calculation-sheet'!N7*'Output-Calculation-sheet'!N79</f>
        <v>1342202774.3495481</v>
      </c>
      <c r="O96" s="2">
        <f>O8/'Output-Calculation-sheet'!O7*'Output-Calculation-sheet'!O79</f>
        <v>678528288.98804426</v>
      </c>
      <c r="P96" s="2">
        <f>P8/'Output-Calculation-sheet'!P7*'Output-Calculation-sheet'!P79</f>
        <v>2269549541.3269162</v>
      </c>
      <c r="Q96" s="2">
        <f>Q8/'Output-Calculation-sheet'!Q7*'Output-Calculation-sheet'!Q79</f>
        <v>1057705384.2435668</v>
      </c>
      <c r="R96" s="2">
        <f>R8/'Output-Calculation-sheet'!R7*'Output-Calculation-sheet'!R79</f>
        <v>1319615447.0379152</v>
      </c>
      <c r="S96" s="2">
        <f>S8/'Output-Calculation-sheet'!S7*'Output-Calculation-sheet'!S79</f>
        <v>768916970.18923879</v>
      </c>
      <c r="T96" s="2">
        <f>T8/'Output-Calculation-sheet'!T7*'Output-Calculation-sheet'!T79</f>
        <v>587272815.43698037</v>
      </c>
      <c r="U96" s="2">
        <f>U8/'Output-Calculation-sheet'!U7*'Output-Calculation-sheet'!U79</f>
        <v>368910403.96910399</v>
      </c>
      <c r="V96" s="2">
        <f>V8/'Output-Calculation-sheet'!V7*'Output-Calculation-sheet'!V79</f>
        <v>191409095.28764352</v>
      </c>
      <c r="W96" s="2">
        <f>W8/'Output-Calculation-sheet'!W7*'Output-Calculation-sheet'!W79</f>
        <v>565603012.437289</v>
      </c>
      <c r="X96" s="2">
        <f>X8/'Output-Calculation-sheet'!X7*'Output-Calculation-sheet'!X79</f>
        <v>198792351.02950421</v>
      </c>
      <c r="Y96" s="2">
        <f>Y8/'Output-Calculation-sheet'!Y7*'Output-Calculation-sheet'!Y79</f>
        <v>310908525.92961645</v>
      </c>
      <c r="AA96" s="2">
        <f t="shared" si="8"/>
        <v>59.216289726765822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1220.9215732308965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37.827148637139565</v>
      </c>
      <c r="Y107" s="2">
        <f>Y8/'Output-Calculation-sheet'!Y7*'Output-Calculation-sheet'!Y88</f>
        <v>0</v>
      </c>
      <c r="AA107" s="2">
        <f t="shared" si="9"/>
        <v>1.258748721868036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886.68733064921491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51.509533126242268</v>
      </c>
      <c r="Y108" s="2">
        <f>Y9/'Output-Calculation-sheet'!Y8*'Output-Calculation-sheet'!Y89</f>
        <v>0</v>
      </c>
      <c r="AA108" s="2">
        <f t="shared" si="9"/>
        <v>0.93819686377545708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5.2617479930050941E-2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8.1642146990245065E-2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113.6082015208404</v>
      </c>
      <c r="Y111" s="2">
        <f>Y12/'Output-Calculation-sheet'!Y11*'Output-Calculation-sheet'!Y92</f>
        <v>0</v>
      </c>
      <c r="AA111" s="2">
        <f t="shared" si="9"/>
        <v>0.11360820152084039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13651171678.667635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8384927094.0168247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5784888339.1886187</v>
      </c>
      <c r="N118" s="2">
        <f>N8/'Output-Calculation-sheet'!N7*'Output-Calculation-sheet'!N97</f>
        <v>1938494903.0607333</v>
      </c>
      <c r="O118" s="2">
        <f>O8/'Output-Calculation-sheet'!O7*'Output-Calculation-sheet'!O97</f>
        <v>3318620352.5403252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580336574.11336279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314989491.45606714</v>
      </c>
      <c r="Y118" s="2">
        <f>Y8/'Output-Calculation-sheet'!Y7*'Output-Calculation-sheet'!Y97</f>
        <v>0</v>
      </c>
      <c r="AA118" s="2">
        <f t="shared" si="10"/>
        <v>35605.243394290213</v>
      </c>
    </row>
    <row r="119" spans="1:27" x14ac:dyDescent="0.25">
      <c r="A119" s="2">
        <v>2032</v>
      </c>
      <c r="B119" s="2">
        <f>B9/'Output-Calculation-sheet'!B8*'Output-Calculation-sheet'!B98</f>
        <v>7300439584.2125254</v>
      </c>
      <c r="C119" s="2">
        <f>C9/'Output-Calculation-sheet'!C8*'Output-Calculation-sheet'!C98</f>
        <v>18827423615.950649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11417880839.342001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7877340044.7964516</v>
      </c>
      <c r="N119" s="2">
        <f>N9/'Output-Calculation-sheet'!N8*'Output-Calculation-sheet'!N98</f>
        <v>3693736596.4121742</v>
      </c>
      <c r="O119" s="2">
        <f>O9/'Output-Calculation-sheet'!O8*'Output-Calculation-sheet'!O98</f>
        <v>3976359785.4407334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1111008650.7914808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433292974.80913979</v>
      </c>
      <c r="Y119" s="2">
        <f>Y9/'Output-Calculation-sheet'!Y8*'Output-Calculation-sheet'!Y98</f>
        <v>0</v>
      </c>
      <c r="AA119" s="2">
        <f t="shared" si="10"/>
        <v>54637.482091755148</v>
      </c>
    </row>
    <row r="120" spans="1:27" x14ac:dyDescent="0.25">
      <c r="A120" s="2">
        <v>2033</v>
      </c>
      <c r="B120" s="2">
        <f>B10/'Output-Calculation-sheet'!B9*'Output-Calculation-sheet'!B99</f>
        <v>19184684156.394505</v>
      </c>
      <c r="C120" s="2">
        <f>C10/'Output-Calculation-sheet'!C9*'Output-Calculation-sheet'!C99</f>
        <v>26580826310.61565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5665000577.9988899</v>
      </c>
      <c r="O120" s="2">
        <f>O10/'Output-Calculation-sheet'!O9*'Output-Calculation-sheet'!O99</f>
        <v>4402472232.1390467</v>
      </c>
      <c r="P120" s="2">
        <f>P10/'Output-Calculation-sheet'!P9*'Output-Calculation-sheet'!P99</f>
        <v>0</v>
      </c>
      <c r="Q120" s="2">
        <f>Q10/'Output-Calculation-sheet'!Q9*'Output-Calculation-sheet'!Q99</f>
        <v>184308040.89815712</v>
      </c>
      <c r="R120" s="2">
        <f>R10/'Output-Calculation-sheet'!R9*'Output-Calculation-sheet'!R99</f>
        <v>0</v>
      </c>
      <c r="S120" s="2">
        <f>S10/'Output-Calculation-sheet'!S9*'Output-Calculation-sheet'!S99</f>
        <v>2281866840.1922741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621077872.80281389</v>
      </c>
      <c r="Y120" s="2">
        <f>Y10/'Output-Calculation-sheet'!Y9*'Output-Calculation-sheet'!Y99</f>
        <v>0</v>
      </c>
      <c r="AA120" s="2">
        <f t="shared" si="10"/>
        <v>82573.248563389658</v>
      </c>
    </row>
    <row r="121" spans="1:27" x14ac:dyDescent="0.25">
      <c r="A121" s="2">
        <v>2034</v>
      </c>
      <c r="B121" s="2">
        <f>B11/'Output-Calculation-sheet'!B10*'Output-Calculation-sheet'!B100</f>
        <v>36758800164.888664</v>
      </c>
      <c r="C121" s="2">
        <f>C11/'Output-Calculation-sheet'!C10*'Output-Calculation-sheet'!C100</f>
        <v>29921930386.789391</v>
      </c>
      <c r="D121" s="2">
        <f>D11/'Output-Calculation-sheet'!D10*'Output-Calculation-sheet'!D100</f>
        <v>0</v>
      </c>
      <c r="E121" s="2">
        <f>E11/'Output-Calculation-sheet'!E10*'Output-Calculation-sheet'!E100</f>
        <v>882527390.4730978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15368228955.864805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629471222.66913259</v>
      </c>
      <c r="M121" s="2">
        <f>M11/'Output-Calculation-sheet'!M10*'Output-Calculation-sheet'!M100</f>
        <v>10706260305.816145</v>
      </c>
      <c r="N121" s="2">
        <f>N11/'Output-Calculation-sheet'!N10*'Output-Calculation-sheet'!N100</f>
        <v>7178494339.1811447</v>
      </c>
      <c r="O121" s="2">
        <f>O11/'Output-Calculation-sheet'!O10*'Output-Calculation-sheet'!O100</f>
        <v>4583388640.6591606</v>
      </c>
      <c r="P121" s="2">
        <f>P11/'Output-Calculation-sheet'!P10*'Output-Calculation-sheet'!P100</f>
        <v>0</v>
      </c>
      <c r="Q121" s="2">
        <f>Q11/'Output-Calculation-sheet'!Q10*'Output-Calculation-sheet'!Q100</f>
        <v>574236033.39742851</v>
      </c>
      <c r="R121" s="2">
        <f>R11/'Output-Calculation-sheet'!R10*'Output-Calculation-sheet'!R100</f>
        <v>0</v>
      </c>
      <c r="S121" s="2">
        <f>S11/'Output-Calculation-sheet'!S10*'Output-Calculation-sheet'!S100</f>
        <v>3013016821.2458963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47210872.627102375</v>
      </c>
      <c r="AA121" s="2">
        <f t="shared" si="10"/>
        <v>110186.96697384855</v>
      </c>
    </row>
    <row r="122" spans="1:27" x14ac:dyDescent="0.25">
      <c r="A122" s="2">
        <v>2035</v>
      </c>
      <c r="B122" s="2">
        <f>B12/'Output-Calculation-sheet'!B11*'Output-Calculation-sheet'!B101</f>
        <v>40906521661.500076</v>
      </c>
      <c r="C122" s="2">
        <f>C12/'Output-Calculation-sheet'!C11*'Output-Calculation-sheet'!C101</f>
        <v>32754383688.053844</v>
      </c>
      <c r="D122" s="2">
        <f>D12/'Output-Calculation-sheet'!D11*'Output-Calculation-sheet'!D101</f>
        <v>0</v>
      </c>
      <c r="E122" s="2">
        <f>E12/'Output-Calculation-sheet'!E11*'Output-Calculation-sheet'!E101</f>
        <v>2618756169.4874773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15076976406.962763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707771903.07428336</v>
      </c>
      <c r="M122" s="2">
        <f>M12/'Output-Calculation-sheet'!M11*'Output-Calculation-sheet'!M101</f>
        <v>10554697698.96236</v>
      </c>
      <c r="N122" s="2">
        <f>N12/'Output-Calculation-sheet'!N11*'Output-Calculation-sheet'!N101</f>
        <v>7067281947.6486158</v>
      </c>
      <c r="O122" s="2">
        <f>O12/'Output-Calculation-sheet'!O11*'Output-Calculation-sheet'!O101</f>
        <v>4528036614.7310724</v>
      </c>
      <c r="P122" s="2">
        <f>P12/'Output-Calculation-sheet'!P11*'Output-Calculation-sheet'!P101</f>
        <v>358779218.61120158</v>
      </c>
      <c r="Q122" s="2">
        <f>Q12/'Output-Calculation-sheet'!Q11*'Output-Calculation-sheet'!Q101</f>
        <v>845722271.47375214</v>
      </c>
      <c r="R122" s="2">
        <f>R12/'Output-Calculation-sheet'!R11*'Output-Calculation-sheet'!R101</f>
        <v>0</v>
      </c>
      <c r="S122" s="2">
        <f>S12/'Output-Calculation-sheet'!S11*'Output-Calculation-sheet'!S101</f>
        <v>3320324991.8691854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300575087.64319295</v>
      </c>
      <c r="Y122" s="2">
        <f>Y12/'Output-Calculation-sheet'!Y11*'Output-Calculation-sheet'!Y101</f>
        <v>295220036.9958756</v>
      </c>
      <c r="AA122" s="2">
        <f t="shared" si="10"/>
        <v>119335.04769701372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3740331984.833149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2671906146.3258181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176059.86744433202</v>
      </c>
    </row>
    <row r="130" spans="1:27" x14ac:dyDescent="0.25">
      <c r="A130" s="2">
        <v>2032</v>
      </c>
      <c r="B130" s="2">
        <f>B9/'Output-Calculation-sheet'!B8*'Output-Calculation-sheet'!B107</f>
        <v>70372124948.311096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4038523462.6118646</v>
      </c>
      <c r="O130" s="2">
        <f>O9/'Output-Calculation-sheet'!O8*'Output-Calculation-sheet'!O107</f>
        <v>0</v>
      </c>
      <c r="P130" s="2">
        <f>P9/'Output-Calculation-sheet'!P8*'Output-Calculation-sheet'!P107</f>
        <v>7039660123.9689693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3317359158.9778848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233288.0001995101</v>
      </c>
    </row>
    <row r="131" spans="1:27" x14ac:dyDescent="0.25">
      <c r="A131" s="2">
        <v>2033</v>
      </c>
      <c r="B131" s="2">
        <f>B10/'Output-Calculation-sheet'!B9*'Output-Calculation-sheet'!B108</f>
        <v>76021459751.888992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3812732833.1000462</v>
      </c>
      <c r="O131" s="2">
        <f>O10/'Output-Calculation-sheet'!O9*'Output-Calculation-sheet'!O108</f>
        <v>0</v>
      </c>
      <c r="P131" s="2">
        <f>P10/'Output-Calculation-sheet'!P9*'Output-Calculation-sheet'!P108</f>
        <v>8628845386.368763</v>
      </c>
      <c r="Q131" s="2">
        <f>Q10/'Output-Calculation-sheet'!Q9*'Output-Calculation-sheet'!Q108</f>
        <v>8305479662.6233826</v>
      </c>
      <c r="R131" s="2">
        <f>R10/'Output-Calculation-sheet'!R9*'Output-Calculation-sheet'!R108</f>
        <v>8167276214.1709042</v>
      </c>
      <c r="S131" s="2">
        <f>S10/'Output-Calculation-sheet'!S9*'Output-Calculation-sheet'!S108</f>
        <v>3146114426.0220757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273482.8302551934</v>
      </c>
    </row>
    <row r="132" spans="1:27" x14ac:dyDescent="0.25">
      <c r="A132" s="2">
        <v>2034</v>
      </c>
      <c r="B132" s="2">
        <f>B11/'Output-Calculation-sheet'!B10*'Output-Calculation-sheet'!B109</f>
        <v>68824619863.86142</v>
      </c>
      <c r="C132" s="2">
        <f>C11/'Output-Calculation-sheet'!C10*'Output-Calculation-sheet'!C109</f>
        <v>0</v>
      </c>
      <c r="D132" s="2">
        <f>D11/'Output-Calculation-sheet'!D10*'Output-Calculation-sheet'!D109</f>
        <v>44949721462.676949</v>
      </c>
      <c r="E132" s="2">
        <f>E11/'Output-Calculation-sheet'!E10*'Output-Calculation-sheet'!E109</f>
        <v>35020070621.10994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14286503232.396721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10623079817.824196</v>
      </c>
      <c r="M132" s="2">
        <f>M11/'Output-Calculation-sheet'!M10*'Output-Calculation-sheet'!M109</f>
        <v>0</v>
      </c>
      <c r="N132" s="2">
        <f>N11/'Output-Calculation-sheet'!N10*'Output-Calculation-sheet'!N109</f>
        <v>3366517549.5775838</v>
      </c>
      <c r="O132" s="2">
        <f>O11/'Output-Calculation-sheet'!O10*'Output-Calculation-sheet'!O109</f>
        <v>0</v>
      </c>
      <c r="P132" s="2">
        <f>P11/'Output-Calculation-sheet'!P10*'Output-Calculation-sheet'!P109</f>
        <v>9762152039.8192253</v>
      </c>
      <c r="Q132" s="2">
        <f>Q11/'Output-Calculation-sheet'!Q10*'Output-Calculation-sheet'!Q109</f>
        <v>8278082327.532527</v>
      </c>
      <c r="R132" s="2">
        <f>R11/'Output-Calculation-sheet'!R10*'Output-Calculation-sheet'!R109</f>
        <v>9239950085.2375164</v>
      </c>
      <c r="S132" s="2">
        <f>S11/'Output-Calculation-sheet'!S10*'Output-Calculation-sheet'!S109</f>
        <v>2877557116.5317473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2888470136.1892462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1103617606.7081704</v>
      </c>
      <c r="AA132" s="2">
        <f t="shared" si="11"/>
        <v>287263.01653612353</v>
      </c>
    </row>
    <row r="133" spans="1:27" x14ac:dyDescent="0.25">
      <c r="A133" s="2">
        <v>2035</v>
      </c>
      <c r="B133" s="2">
        <f>B12/'Output-Calculation-sheet'!B11*'Output-Calculation-sheet'!B110</f>
        <v>62590128673.812935</v>
      </c>
      <c r="C133" s="2">
        <f>C12/'Output-Calculation-sheet'!C11*'Output-Calculation-sheet'!C110</f>
        <v>0</v>
      </c>
      <c r="D133" s="2">
        <f>D12/'Output-Calculation-sheet'!D11*'Output-Calculation-sheet'!D110</f>
        <v>43023943008.243179</v>
      </c>
      <c r="E133" s="2">
        <f>E12/'Output-Calculation-sheet'!E11*'Output-Calculation-sheet'!E110</f>
        <v>33872691927.139412</v>
      </c>
      <c r="F133" s="2">
        <f>F12/'Output-Calculation-sheet'!F11*'Output-Calculation-sheet'!F110</f>
        <v>23277500389.214008</v>
      </c>
      <c r="G133" s="2">
        <f>G12/'Output-Calculation-sheet'!G11*'Output-Calculation-sheet'!G110</f>
        <v>16046529294.360899</v>
      </c>
      <c r="H133" s="2">
        <f>H12/'Output-Calculation-sheet'!H11*'Output-Calculation-sheet'!H110</f>
        <v>0</v>
      </c>
      <c r="I133" s="2">
        <f>I12/'Output-Calculation-sheet'!I11*'Output-Calculation-sheet'!I110</f>
        <v>14561537601.375587</v>
      </c>
      <c r="J133" s="2">
        <f>J12/'Output-Calculation-sheet'!J11*'Output-Calculation-sheet'!J110</f>
        <v>13636698788.075323</v>
      </c>
      <c r="K133" s="2">
        <f>K12/'Output-Calculation-sheet'!K11*'Output-Calculation-sheet'!K110</f>
        <v>13963991065.430283</v>
      </c>
      <c r="L133" s="2">
        <f>L12/'Output-Calculation-sheet'!L11*'Output-Calculation-sheet'!L110</f>
        <v>10233593769.438295</v>
      </c>
      <c r="M133" s="2">
        <f>M12/'Output-Calculation-sheet'!M11*'Output-Calculation-sheet'!M110</f>
        <v>0</v>
      </c>
      <c r="N133" s="2">
        <f>N12/'Output-Calculation-sheet'!N11*'Output-Calculation-sheet'!N110</f>
        <v>3195021911.2369518</v>
      </c>
      <c r="O133" s="2">
        <f>O12/'Output-Calculation-sheet'!O11*'Output-Calculation-sheet'!O110</f>
        <v>0</v>
      </c>
      <c r="P133" s="2">
        <f>P12/'Output-Calculation-sheet'!P11*'Output-Calculation-sheet'!P110</f>
        <v>9543587601.808569</v>
      </c>
      <c r="Q133" s="2">
        <f>Q12/'Output-Calculation-sheet'!Q11*'Output-Calculation-sheet'!Q110</f>
        <v>7762076074.8544025</v>
      </c>
      <c r="R133" s="2">
        <f>R12/'Output-Calculation-sheet'!R11*'Output-Calculation-sheet'!R110</f>
        <v>9148989483.8685722</v>
      </c>
      <c r="S133" s="2">
        <f>S12/'Output-Calculation-sheet'!S11*'Output-Calculation-sheet'!S110</f>
        <v>2467189290.4067259</v>
      </c>
      <c r="T133" s="2">
        <f>T12/'Output-Calculation-sheet'!T11*'Output-Calculation-sheet'!T110</f>
        <v>3443013134.7910256</v>
      </c>
      <c r="U133" s="2">
        <f>U12/'Output-Calculation-sheet'!U11*'Output-Calculation-sheet'!U110</f>
        <v>2791421973.2944961</v>
      </c>
      <c r="V133" s="2">
        <f>V12/'Output-Calculation-sheet'!V11*'Output-Calculation-sheet'!V110</f>
        <v>2201424351.0999637</v>
      </c>
      <c r="W133" s="2">
        <f>W12/'Output-Calculation-sheet'!W11*'Output-Calculation-sheet'!W110</f>
        <v>2054347692.2260818</v>
      </c>
      <c r="X133" s="2">
        <f>X12/'Output-Calculation-sheet'!X11*'Output-Calculation-sheet'!X110</f>
        <v>0</v>
      </c>
      <c r="Y133" s="2">
        <f>Y12/'Output-Calculation-sheet'!Y11*'Output-Calculation-sheet'!Y110</f>
        <v>879793382.13386703</v>
      </c>
      <c r="AA133" s="2">
        <f t="shared" si="11"/>
        <v>274693.47941281053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10232210726.637262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311634788.32287407</v>
      </c>
      <c r="Y140" s="2">
        <f>Y8/'Output-Calculation-sheet'!Y7*'Output-Calculation-sheet'!Y115</f>
        <v>0</v>
      </c>
      <c r="AA140" s="2">
        <f t="shared" si="12"/>
        <v>10543.845514960136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7512003549.84027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419934746.69107085</v>
      </c>
      <c r="Y141" s="2">
        <f>Y9/'Output-Calculation-sheet'!Y8*'Output-Calculation-sheet'!Y116</f>
        <v>0</v>
      </c>
      <c r="AA141" s="2">
        <f t="shared" si="12"/>
        <v>7931.9382965313407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424764651.89059561</v>
      </c>
      <c r="Y142" s="2">
        <f>Y10/'Output-Calculation-sheet'!Y9*'Output-Calculation-sheet'!Y117</f>
        <v>0</v>
      </c>
      <c r="AA142" s="2">
        <f t="shared" si="12"/>
        <v>424.76465189059559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659.88749707538113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927917855.10488701</v>
      </c>
      <c r="Y144" s="2">
        <f>Y12/'Output-Calculation-sheet'!Y11*'Output-Calculation-sheet'!Y119</f>
        <v>0</v>
      </c>
      <c r="AA144" s="2">
        <f t="shared" si="12"/>
        <v>927.91785510488705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30711505224.531143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7492890813.0626144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233214.00422806689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35104901442.542397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7999916221.7933359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202432.50864312518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38412404861.862518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8037124745.0775738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154952.69500743062</v>
      </c>
    </row>
    <row r="154" spans="1:27" x14ac:dyDescent="0.25">
      <c r="A154" s="2">
        <v>2034</v>
      </c>
      <c r="B154" s="2">
        <f>B11/'Output-Calculation-sheet'!B10*'Output-Calculation-sheet'!B127</f>
        <v>18438693548.094646</v>
      </c>
      <c r="C154" s="2">
        <f>C11/'Output-Calculation-sheet'!C10*'Output-Calculation-sheet'!C127</f>
        <v>34028126007.652191</v>
      </c>
      <c r="D154" s="2">
        <f>D11/'Output-Calculation-sheet'!D10*'Output-Calculation-sheet'!D127</f>
        <v>6844005233.8203392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2973481258.6330419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2195313812.3765693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1893620769.6774051</v>
      </c>
      <c r="M154" s="2">
        <f>M11/'Output-Calculation-sheet'!M10*'Output-Calculation-sheet'!M127</f>
        <v>1910786677.9370444</v>
      </c>
      <c r="N154" s="2">
        <f>N11/'Output-Calculation-sheet'!N10*'Output-Calculation-sheet'!N127</f>
        <v>1775584058.9918878</v>
      </c>
      <c r="O154" s="2">
        <f>O11/'Output-Calculation-sheet'!O10*'Output-Calculation-sheet'!O127</f>
        <v>7680861691.8541079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2362179674.5445509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1225004669.6335557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521790770.5680815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100889.29782011003</v>
      </c>
    </row>
    <row r="155" spans="1:27" x14ac:dyDescent="0.25">
      <c r="A155" s="2">
        <v>2035</v>
      </c>
      <c r="B155" s="2">
        <f>B12/'Output-Calculation-sheet'!B11*'Output-Calculation-sheet'!B128</f>
        <v>15345185360.88055</v>
      </c>
      <c r="C155" s="2">
        <f>C12/'Output-Calculation-sheet'!C11*'Output-Calculation-sheet'!C128</f>
        <v>27107864738.569065</v>
      </c>
      <c r="D155" s="2">
        <f>D12/'Output-Calculation-sheet'!D11*'Output-Calculation-sheet'!D128</f>
        <v>6321927515.5013628</v>
      </c>
      <c r="E155" s="2">
        <f>E12/'Output-Calculation-sheet'!E11*'Output-Calculation-sheet'!E128</f>
        <v>3445702491.7306342</v>
      </c>
      <c r="F155" s="2">
        <f>F12/'Output-Calculation-sheet'!F11*'Output-Calculation-sheet'!F128</f>
        <v>1876929057.5577111</v>
      </c>
      <c r="G155" s="2">
        <f>G12/'Output-Calculation-sheet'!G11*'Output-Calculation-sheet'!G128</f>
        <v>1770782656.7540889</v>
      </c>
      <c r="H155" s="2">
        <f>H12/'Output-Calculation-sheet'!H11*'Output-Calculation-sheet'!H128</f>
        <v>2586444988.7658863</v>
      </c>
      <c r="I155" s="2">
        <f>I12/'Output-Calculation-sheet'!I11*'Output-Calculation-sheet'!I128</f>
        <v>1617963577.404011</v>
      </c>
      <c r="J155" s="2">
        <f>J12/'Output-Calculation-sheet'!J11*'Output-Calculation-sheet'!J128</f>
        <v>2012778737.6940763</v>
      </c>
      <c r="K155" s="2">
        <f>K12/'Output-Calculation-sheet'!K11*'Output-Calculation-sheet'!K128</f>
        <v>1613554285.3410735</v>
      </c>
      <c r="L155" s="2">
        <f>L12/'Output-Calculation-sheet'!L11*'Output-Calculation-sheet'!L128</f>
        <v>1651668496.8264759</v>
      </c>
      <c r="M155" s="2">
        <f>M12/'Output-Calculation-sheet'!M11*'Output-Calculation-sheet'!M128</f>
        <v>1632943193.8682148</v>
      </c>
      <c r="N155" s="2">
        <f>N12/'Output-Calculation-sheet'!N11*'Output-Calculation-sheet'!N128</f>
        <v>1497401425.695215</v>
      </c>
      <c r="O155" s="2">
        <f>O12/'Output-Calculation-sheet'!O11*'Output-Calculation-sheet'!O128</f>
        <v>7037608151.0083122</v>
      </c>
      <c r="P155" s="2">
        <f>P12/'Output-Calculation-sheet'!P11*'Output-Calculation-sheet'!P128</f>
        <v>865992204.54322243</v>
      </c>
      <c r="Q155" s="2">
        <f>Q12/'Output-Calculation-sheet'!Q11*'Output-Calculation-sheet'!Q128</f>
        <v>2057727246.771626</v>
      </c>
      <c r="R155" s="2">
        <f>R12/'Output-Calculation-sheet'!R11*'Output-Calculation-sheet'!R128</f>
        <v>950431217.12916756</v>
      </c>
      <c r="S155" s="2">
        <f>S12/'Output-Calculation-sheet'!S11*'Output-Calculation-sheet'!S128</f>
        <v>998278263.65793037</v>
      </c>
      <c r="T155" s="2">
        <f>T12/'Output-Calculation-sheet'!T11*'Output-Calculation-sheet'!T128</f>
        <v>246265887.97629827</v>
      </c>
      <c r="U155" s="2">
        <f>U12/'Output-Calculation-sheet'!U11*'Output-Calculation-sheet'!U128</f>
        <v>479333636.85748851</v>
      </c>
      <c r="V155" s="2">
        <f>V12/'Output-Calculation-sheet'!V11*'Output-Calculation-sheet'!V128</f>
        <v>266285387.67713556</v>
      </c>
      <c r="W155" s="2">
        <f>W12/'Output-Calculation-sheet'!W11*'Output-Calculation-sheet'!W128</f>
        <v>95303136.062091231</v>
      </c>
      <c r="X155" s="2">
        <f>X12/'Output-Calculation-sheet'!X11*'Output-Calculation-sheet'!X128</f>
        <v>42920268.685340539</v>
      </c>
      <c r="Y155" s="2">
        <f>Y12/'Output-Calculation-sheet'!Y11*'Output-Calculation-sheet'!Y128</f>
        <v>105712307.79135618</v>
      </c>
      <c r="AA155" s="2">
        <f t="shared" si="13"/>
        <v>81627.004234748325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7" sqref="B7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1673.4490000000001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2491.4850000000001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1727.1410000000001</v>
      </c>
      <c r="O17" s="7">
        <v>0</v>
      </c>
      <c r="P17" s="7">
        <v>2315.0540000000001</v>
      </c>
      <c r="Q17" s="7">
        <v>2600.6390000000001</v>
      </c>
      <c r="R17" s="7">
        <v>1715.731</v>
      </c>
      <c r="S17" s="7">
        <v>2240.3249999999998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2701.1640000000002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1932.396</v>
      </c>
      <c r="L18" s="7">
        <v>2097.828</v>
      </c>
      <c r="M18" s="7">
        <v>0</v>
      </c>
      <c r="N18" s="7">
        <v>1670.5650000000001</v>
      </c>
      <c r="O18" s="7">
        <v>0</v>
      </c>
      <c r="P18" s="7">
        <v>2904.8530000000001</v>
      </c>
      <c r="Q18" s="7">
        <v>3336.9859999999999</v>
      </c>
      <c r="R18" s="7">
        <v>2217.8879999999999</v>
      </c>
      <c r="S18" s="7">
        <v>2201.732</v>
      </c>
      <c r="T18" s="7">
        <v>1750.278</v>
      </c>
      <c r="U18" s="7">
        <v>2225.2269999999999</v>
      </c>
      <c r="V18" s="7">
        <v>2129.61</v>
      </c>
      <c r="W18" s="7">
        <v>1226.963</v>
      </c>
      <c r="X18" s="7">
        <v>0</v>
      </c>
      <c r="Y18" s="7">
        <v>2467.721</v>
      </c>
    </row>
    <row r="19" spans="1:25" ht="28.5" customHeight="1" x14ac:dyDescent="0.25">
      <c r="A19" s="4"/>
      <c r="B19" s="7">
        <v>2569.0889999999999</v>
      </c>
      <c r="C19" s="7">
        <v>0</v>
      </c>
      <c r="D19" s="7">
        <v>1786.0450000000001</v>
      </c>
      <c r="E19" s="7">
        <v>2827.3780000000002</v>
      </c>
      <c r="F19" s="7">
        <v>2061.7420000000002</v>
      </c>
      <c r="G19" s="7">
        <v>1722.914</v>
      </c>
      <c r="H19" s="7">
        <v>0</v>
      </c>
      <c r="I19" s="7">
        <v>2090.2179999999998</v>
      </c>
      <c r="J19" s="7">
        <v>1748.271</v>
      </c>
      <c r="K19" s="7">
        <v>2494.4749999999999</v>
      </c>
      <c r="L19" s="7">
        <v>2481.1819999999998</v>
      </c>
      <c r="M19" s="7">
        <v>0</v>
      </c>
      <c r="N19" s="7">
        <v>1580.115</v>
      </c>
      <c r="O19" s="7">
        <v>0</v>
      </c>
      <c r="P19" s="7">
        <v>3685.1260000000002</v>
      </c>
      <c r="Q19" s="7">
        <v>3252.2779999999998</v>
      </c>
      <c r="R19" s="7">
        <v>2797.9769999999999</v>
      </c>
      <c r="S19" s="7">
        <v>2126.4299999999998</v>
      </c>
      <c r="T19" s="7">
        <v>2219.09</v>
      </c>
      <c r="U19" s="7">
        <v>2750.6770000000001</v>
      </c>
      <c r="V19" s="7">
        <v>2595.7240000000002</v>
      </c>
      <c r="W19" s="7">
        <v>1866.4949999999999</v>
      </c>
      <c r="X19" s="7">
        <v>0</v>
      </c>
      <c r="Y19" s="7">
        <v>2915.2979999999998</v>
      </c>
    </row>
    <row r="20" spans="1:25" ht="28.5" customHeight="1" x14ac:dyDescent="0.25">
      <c r="A20" s="4"/>
      <c r="B20" s="7">
        <v>2403.491</v>
      </c>
      <c r="C20" s="7">
        <v>0</v>
      </c>
      <c r="D20" s="7">
        <v>1782.65</v>
      </c>
      <c r="E20" s="7">
        <v>2625.5219999999999</v>
      </c>
      <c r="F20" s="7">
        <v>2425.0079999999998</v>
      </c>
      <c r="G20" s="7">
        <v>1793.7339999999999</v>
      </c>
      <c r="H20" s="7">
        <v>0</v>
      </c>
      <c r="I20" s="7">
        <v>2210.6529999999998</v>
      </c>
      <c r="J20" s="7">
        <v>1747.15</v>
      </c>
      <c r="K20" s="7">
        <v>2597.288</v>
      </c>
      <c r="L20" s="7">
        <v>2480.085</v>
      </c>
      <c r="M20" s="7">
        <v>0</v>
      </c>
      <c r="N20" s="7">
        <v>1548.479</v>
      </c>
      <c r="O20" s="7">
        <v>0</v>
      </c>
      <c r="P20" s="7">
        <v>3619.7049999999999</v>
      </c>
      <c r="Q20" s="7">
        <v>3131.9380000000001</v>
      </c>
      <c r="R20" s="7">
        <v>2995.125</v>
      </c>
      <c r="S20" s="7">
        <v>1920.6279999999999</v>
      </c>
      <c r="T20" s="7">
        <v>2507.7199999999998</v>
      </c>
      <c r="U20" s="7">
        <v>2755.1909999999998</v>
      </c>
      <c r="V20" s="7">
        <v>2660.0129999999999</v>
      </c>
      <c r="W20" s="7">
        <v>2422.096</v>
      </c>
      <c r="X20" s="7">
        <v>0</v>
      </c>
      <c r="Y20" s="7">
        <v>2478.8330000000001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1681.499</v>
      </c>
      <c r="D25" s="7">
        <v>0</v>
      </c>
      <c r="E25" s="7">
        <v>0</v>
      </c>
      <c r="F25" s="7">
        <v>0</v>
      </c>
      <c r="G25" s="7">
        <v>0</v>
      </c>
      <c r="H25" s="7">
        <v>3502.558</v>
      </c>
      <c r="I25" s="7">
        <v>0</v>
      </c>
      <c r="J25" s="7">
        <v>0</v>
      </c>
      <c r="K25" s="7">
        <v>0</v>
      </c>
      <c r="L25" s="7">
        <v>0</v>
      </c>
      <c r="M25" s="7">
        <v>3533.12</v>
      </c>
      <c r="N25" s="7">
        <v>1228.838</v>
      </c>
      <c r="O25" s="7">
        <v>2058.1390000000001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1700.296</v>
      </c>
      <c r="Y25" s="7">
        <v>0</v>
      </c>
    </row>
    <row r="26" spans="1:25" x14ac:dyDescent="0.25">
      <c r="B26" s="7">
        <v>588.40700000000004</v>
      </c>
      <c r="C26" s="7">
        <v>2095.9520000000002</v>
      </c>
      <c r="D26" s="7">
        <v>0</v>
      </c>
      <c r="E26" s="7">
        <v>0</v>
      </c>
      <c r="F26" s="7">
        <v>0</v>
      </c>
      <c r="G26" s="7">
        <v>0</v>
      </c>
      <c r="H26" s="7">
        <v>4377.9809999999998</v>
      </c>
      <c r="I26" s="7">
        <v>0</v>
      </c>
      <c r="J26" s="7">
        <v>0</v>
      </c>
      <c r="K26" s="7">
        <v>0</v>
      </c>
      <c r="L26" s="7">
        <v>0</v>
      </c>
      <c r="M26" s="7">
        <v>4424.71</v>
      </c>
      <c r="N26" s="7">
        <v>2027.1790000000001</v>
      </c>
      <c r="O26" s="7">
        <v>2262.085</v>
      </c>
      <c r="P26" s="7">
        <v>0</v>
      </c>
      <c r="Q26" s="7">
        <v>0</v>
      </c>
      <c r="R26" s="7">
        <v>0</v>
      </c>
      <c r="S26" s="7">
        <v>1286.085</v>
      </c>
      <c r="T26" s="7">
        <v>0</v>
      </c>
      <c r="U26" s="7">
        <v>0</v>
      </c>
      <c r="V26" s="7">
        <v>0</v>
      </c>
      <c r="W26" s="7">
        <v>0</v>
      </c>
      <c r="X26" s="7">
        <v>2155.413</v>
      </c>
      <c r="Y26" s="7">
        <v>0</v>
      </c>
    </row>
    <row r="27" spans="1:25" x14ac:dyDescent="0.25">
      <c r="B27" s="7">
        <v>1333.683</v>
      </c>
      <c r="C27" s="7">
        <v>2885.3</v>
      </c>
      <c r="D27" s="7">
        <v>0</v>
      </c>
      <c r="E27" s="7">
        <v>0</v>
      </c>
      <c r="F27" s="7">
        <v>0</v>
      </c>
      <c r="G27" s="7">
        <v>0</v>
      </c>
      <c r="H27" s="7">
        <v>5271.4390000000003</v>
      </c>
      <c r="I27" s="7">
        <v>0</v>
      </c>
      <c r="J27" s="7">
        <v>0</v>
      </c>
      <c r="K27" s="7">
        <v>0</v>
      </c>
      <c r="L27" s="7">
        <v>0</v>
      </c>
      <c r="M27" s="7">
        <v>5321.9520000000002</v>
      </c>
      <c r="N27" s="7">
        <v>2958.0940000000001</v>
      </c>
      <c r="O27" s="7">
        <v>2451.1390000000001</v>
      </c>
      <c r="P27" s="7">
        <v>0</v>
      </c>
      <c r="Q27" s="7">
        <v>227.97499999999999</v>
      </c>
      <c r="R27" s="7">
        <v>0</v>
      </c>
      <c r="S27" s="7">
        <v>2246.3159999999998</v>
      </c>
      <c r="T27" s="7">
        <v>0</v>
      </c>
      <c r="U27" s="7">
        <v>0</v>
      </c>
      <c r="V27" s="7">
        <v>0</v>
      </c>
      <c r="W27" s="7">
        <v>0</v>
      </c>
      <c r="X27" s="7">
        <v>3075.402</v>
      </c>
      <c r="Y27" s="7">
        <v>0</v>
      </c>
    </row>
    <row r="28" spans="1:25" x14ac:dyDescent="0.25">
      <c r="B28" s="7">
        <v>2261.183</v>
      </c>
      <c r="C28" s="7">
        <v>3350.2109999999998</v>
      </c>
      <c r="D28" s="7">
        <v>0</v>
      </c>
      <c r="E28" s="7">
        <v>387.63900000000001</v>
      </c>
      <c r="F28" s="7">
        <v>0</v>
      </c>
      <c r="G28" s="7">
        <v>0</v>
      </c>
      <c r="H28" s="7">
        <v>6224.2740000000003</v>
      </c>
      <c r="I28" s="7">
        <v>0</v>
      </c>
      <c r="J28" s="7">
        <v>0</v>
      </c>
      <c r="K28" s="7">
        <v>0</v>
      </c>
      <c r="L28" s="7">
        <v>612.62199999999996</v>
      </c>
      <c r="M28" s="7">
        <v>6427.3010000000004</v>
      </c>
      <c r="N28" s="7">
        <v>3856.3989999999999</v>
      </c>
      <c r="O28" s="7">
        <v>2634.9279999999999</v>
      </c>
      <c r="P28" s="7">
        <v>0</v>
      </c>
      <c r="Q28" s="7">
        <v>659.16499999999996</v>
      </c>
      <c r="R28" s="7">
        <v>0</v>
      </c>
      <c r="S28" s="7">
        <v>2956.1439999999998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659.64099999999996</v>
      </c>
    </row>
    <row r="29" spans="1:25" x14ac:dyDescent="0.25">
      <c r="B29" s="7">
        <v>2579.165</v>
      </c>
      <c r="C29" s="7">
        <v>3957.17</v>
      </c>
      <c r="D29" s="7">
        <v>0</v>
      </c>
      <c r="E29" s="7">
        <v>1026.5840000000001</v>
      </c>
      <c r="F29" s="7">
        <v>0</v>
      </c>
      <c r="G29" s="7">
        <v>0</v>
      </c>
      <c r="H29" s="7">
        <v>6381.1409999999996</v>
      </c>
      <c r="I29" s="7">
        <v>0</v>
      </c>
      <c r="J29" s="7">
        <v>0</v>
      </c>
      <c r="K29" s="7">
        <v>0</v>
      </c>
      <c r="L29" s="7">
        <v>706.02599999999995</v>
      </c>
      <c r="M29" s="7">
        <v>6627.3450000000003</v>
      </c>
      <c r="N29" s="7">
        <v>4033.33</v>
      </c>
      <c r="O29" s="7">
        <v>2807.9740000000002</v>
      </c>
      <c r="P29" s="7">
        <v>594.16099999999994</v>
      </c>
      <c r="Q29" s="7">
        <v>933.40300000000002</v>
      </c>
      <c r="R29" s="7">
        <v>0</v>
      </c>
      <c r="S29" s="7">
        <v>3369.056</v>
      </c>
      <c r="T29" s="7">
        <v>0</v>
      </c>
      <c r="U29" s="7">
        <v>0</v>
      </c>
      <c r="V29" s="7">
        <v>0</v>
      </c>
      <c r="W29" s="7">
        <v>0</v>
      </c>
      <c r="X29" s="7">
        <v>1525.0709999999999</v>
      </c>
      <c r="Y29" s="7">
        <v>1667.5129999999999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12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34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35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45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60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56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2</v>
      </c>
      <c r="C37" s="7">
        <v>67</v>
      </c>
      <c r="D37" s="7">
        <v>1</v>
      </c>
      <c r="E37" s="7">
        <v>0</v>
      </c>
      <c r="F37" s="7">
        <v>0</v>
      </c>
      <c r="G37" s="7">
        <v>0</v>
      </c>
      <c r="H37" s="7">
        <v>4</v>
      </c>
      <c r="I37" s="7">
        <v>0</v>
      </c>
      <c r="J37" s="7">
        <v>1</v>
      </c>
      <c r="K37" s="7">
        <v>0</v>
      </c>
      <c r="L37" s="7">
        <v>1</v>
      </c>
      <c r="M37" s="7">
        <v>3</v>
      </c>
      <c r="N37" s="7">
        <v>2</v>
      </c>
      <c r="O37" s="7">
        <v>66</v>
      </c>
      <c r="P37" s="7">
        <v>0</v>
      </c>
      <c r="Q37" s="7">
        <v>5</v>
      </c>
      <c r="R37" s="7">
        <v>0</v>
      </c>
      <c r="S37" s="7">
        <v>4</v>
      </c>
      <c r="T37" s="7">
        <v>0</v>
      </c>
      <c r="U37" s="7">
        <v>2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9</v>
      </c>
      <c r="C38" s="7">
        <v>72</v>
      </c>
      <c r="D38" s="7">
        <v>4</v>
      </c>
      <c r="E38" s="7">
        <v>7</v>
      </c>
      <c r="F38" s="7">
        <v>4</v>
      </c>
      <c r="G38" s="7">
        <v>5</v>
      </c>
      <c r="H38" s="7">
        <v>18</v>
      </c>
      <c r="I38" s="7">
        <v>4</v>
      </c>
      <c r="J38" s="7">
        <v>4</v>
      </c>
      <c r="K38" s="7">
        <v>5</v>
      </c>
      <c r="L38" s="7">
        <v>6</v>
      </c>
      <c r="M38" s="7">
        <v>16</v>
      </c>
      <c r="N38" s="7">
        <v>10</v>
      </c>
      <c r="O38" s="7">
        <v>75</v>
      </c>
      <c r="P38" s="7">
        <v>7</v>
      </c>
      <c r="Q38" s="7">
        <v>11</v>
      </c>
      <c r="R38" s="7">
        <v>5</v>
      </c>
      <c r="S38" s="7">
        <v>11</v>
      </c>
      <c r="T38" s="7">
        <v>4</v>
      </c>
      <c r="U38" s="7">
        <v>7</v>
      </c>
      <c r="V38" s="7">
        <v>4</v>
      </c>
      <c r="W38" s="7">
        <v>3</v>
      </c>
      <c r="X38" s="7">
        <v>4</v>
      </c>
      <c r="Y38" s="7">
        <v>7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4946</v>
      </c>
      <c r="I43" s="7">
        <v>0</v>
      </c>
      <c r="J43" s="7">
        <v>0</v>
      </c>
      <c r="K43" s="7">
        <v>0</v>
      </c>
      <c r="L43" s="7">
        <v>0</v>
      </c>
      <c r="M43" s="7">
        <v>4916</v>
      </c>
      <c r="N43" s="7">
        <v>158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303</v>
      </c>
      <c r="Y43" s="7">
        <v>0</v>
      </c>
    </row>
    <row r="44" spans="1:25" x14ac:dyDescent="0.25">
      <c r="B44" s="7">
        <v>0</v>
      </c>
      <c r="C44" s="7">
        <v>41</v>
      </c>
      <c r="D44" s="7">
        <v>0</v>
      </c>
      <c r="E44" s="7">
        <v>0</v>
      </c>
      <c r="F44" s="7">
        <v>0</v>
      </c>
      <c r="G44" s="7">
        <v>0</v>
      </c>
      <c r="H44" s="7">
        <v>8769</v>
      </c>
      <c r="I44" s="7">
        <v>0</v>
      </c>
      <c r="J44" s="7">
        <v>0</v>
      </c>
      <c r="K44" s="7">
        <v>0</v>
      </c>
      <c r="L44" s="7">
        <v>0</v>
      </c>
      <c r="M44" s="7">
        <v>8716</v>
      </c>
      <c r="N44" s="7">
        <v>3147</v>
      </c>
      <c r="O44" s="7">
        <v>0</v>
      </c>
      <c r="P44" s="7">
        <v>151</v>
      </c>
      <c r="Q44" s="7">
        <v>0</v>
      </c>
      <c r="R44" s="7">
        <v>0</v>
      </c>
      <c r="S44" s="7">
        <v>1712</v>
      </c>
      <c r="T44" s="7">
        <v>0</v>
      </c>
      <c r="U44" s="7">
        <v>0</v>
      </c>
      <c r="V44" s="7">
        <v>0</v>
      </c>
      <c r="W44" s="7">
        <v>0</v>
      </c>
      <c r="X44" s="7">
        <v>2425</v>
      </c>
      <c r="Y44" s="7">
        <v>0</v>
      </c>
    </row>
    <row r="45" spans="1:25" x14ac:dyDescent="0.25">
      <c r="B45" s="7">
        <v>2547</v>
      </c>
      <c r="C45" s="7">
        <v>1153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12655</v>
      </c>
      <c r="N45" s="7">
        <v>7204</v>
      </c>
      <c r="O45" s="7">
        <v>0</v>
      </c>
      <c r="P45" s="7">
        <v>2110</v>
      </c>
      <c r="Q45" s="7">
        <v>861</v>
      </c>
      <c r="R45" s="7">
        <v>1472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6375</v>
      </c>
      <c r="C46" s="7">
        <v>2756</v>
      </c>
      <c r="D46" s="7">
        <v>1313</v>
      </c>
      <c r="E46" s="7">
        <v>2474</v>
      </c>
      <c r="F46" s="7">
        <v>118</v>
      </c>
      <c r="G46" s="7">
        <v>1967</v>
      </c>
      <c r="H46" s="7">
        <v>14617</v>
      </c>
      <c r="I46" s="7">
        <v>1181</v>
      </c>
      <c r="J46" s="7">
        <v>590</v>
      </c>
      <c r="K46" s="7">
        <v>2362</v>
      </c>
      <c r="L46" s="7">
        <v>627</v>
      </c>
      <c r="M46" s="7">
        <v>14855</v>
      </c>
      <c r="N46" s="7">
        <v>11009</v>
      </c>
      <c r="O46" s="7">
        <v>0</v>
      </c>
      <c r="P46" s="7">
        <v>4725</v>
      </c>
      <c r="Q46" s="7">
        <v>1843</v>
      </c>
      <c r="R46" s="7">
        <v>4065</v>
      </c>
      <c r="S46" s="7">
        <v>8076</v>
      </c>
      <c r="T46" s="7">
        <v>2488</v>
      </c>
      <c r="U46" s="7">
        <v>3841</v>
      </c>
      <c r="V46" s="7">
        <v>2505</v>
      </c>
      <c r="W46" s="7">
        <v>386</v>
      </c>
      <c r="X46" s="7">
        <v>6037</v>
      </c>
      <c r="Y46" s="7">
        <v>3810</v>
      </c>
    </row>
    <row r="47" spans="1:25" x14ac:dyDescent="0.25">
      <c r="B47" s="7">
        <v>7307</v>
      </c>
      <c r="C47" s="7">
        <v>5550</v>
      </c>
      <c r="D47" s="7">
        <v>1368</v>
      </c>
      <c r="E47" s="7">
        <v>4572</v>
      </c>
      <c r="F47" s="7">
        <v>855</v>
      </c>
      <c r="G47" s="7">
        <v>3079</v>
      </c>
      <c r="H47" s="7">
        <v>14848</v>
      </c>
      <c r="I47" s="7">
        <v>1903</v>
      </c>
      <c r="J47" s="7">
        <v>690</v>
      </c>
      <c r="K47" s="7">
        <v>2895</v>
      </c>
      <c r="L47" s="7">
        <v>823</v>
      </c>
      <c r="M47" s="7">
        <v>15106</v>
      </c>
      <c r="N47" s="7">
        <v>11463</v>
      </c>
      <c r="O47" s="7">
        <v>0</v>
      </c>
      <c r="P47" s="7">
        <v>6405</v>
      </c>
      <c r="Q47" s="7">
        <v>2394</v>
      </c>
      <c r="R47" s="7">
        <v>4711</v>
      </c>
      <c r="S47" s="7">
        <v>9319</v>
      </c>
      <c r="T47" s="7">
        <v>4364</v>
      </c>
      <c r="U47" s="7">
        <v>3914</v>
      </c>
      <c r="V47" s="7">
        <v>2926</v>
      </c>
      <c r="W47" s="7">
        <v>2913</v>
      </c>
      <c r="X47" s="7">
        <v>2930</v>
      </c>
      <c r="Y47" s="7">
        <v>6503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5.4071238850346877E-2</v>
      </c>
      <c r="C52" s="7">
        <v>7.1694847040222318E-2</v>
      </c>
      <c r="D52" s="7">
        <v>3.6768907196203085E-2</v>
      </c>
      <c r="E52" s="7">
        <v>4.2569514890369357E-2</v>
      </c>
      <c r="F52" s="7">
        <v>3.4851048956480536E-2</v>
      </c>
      <c r="G52" s="7">
        <v>3.6681521032004186E-2</v>
      </c>
      <c r="H52" s="7">
        <v>6.4881367149644265E-2</v>
      </c>
      <c r="I52" s="7">
        <v>3.7324326229469677E-2</v>
      </c>
      <c r="J52" s="7">
        <v>3.8985036115601779E-2</v>
      </c>
      <c r="K52" s="7">
        <v>3.9612981018773606E-2</v>
      </c>
      <c r="L52" s="7">
        <v>4.0254129696614717E-2</v>
      </c>
      <c r="M52" s="7">
        <v>6.5112041868359838E-2</v>
      </c>
      <c r="N52" s="7">
        <v>5.9523811397365484E-2</v>
      </c>
      <c r="O52" s="7">
        <v>6.9986235089344165E-2</v>
      </c>
      <c r="P52" s="7">
        <v>4.6578021065408169E-2</v>
      </c>
      <c r="Q52" s="7">
        <v>4.8824444991840382E-2</v>
      </c>
      <c r="R52" s="7">
        <v>4.1564276929180716E-2</v>
      </c>
      <c r="S52" s="7">
        <v>5.7502244766150505E-2</v>
      </c>
      <c r="T52" s="7">
        <v>3.8985161759186052E-2</v>
      </c>
      <c r="U52" s="7">
        <v>4.0663179382495536E-2</v>
      </c>
      <c r="V52" s="7">
        <v>4.080435824137215E-2</v>
      </c>
      <c r="W52" s="7">
        <v>3.6820785381709568E-2</v>
      </c>
      <c r="X52" s="7">
        <v>7.2419396177755849E-2</v>
      </c>
      <c r="Y52" s="7">
        <v>4.1020149124054155E-2</v>
      </c>
    </row>
    <row r="53" spans="1:25" x14ac:dyDescent="0.25">
      <c r="B53" s="7">
        <v>5.5964067393458869E-2</v>
      </c>
      <c r="C53" s="7">
        <v>7.8624551821063815E-2</v>
      </c>
      <c r="D53" s="7">
        <v>3.2103796122129893E-2</v>
      </c>
      <c r="E53" s="7">
        <v>3.9504698456107996E-2</v>
      </c>
      <c r="F53" s="7">
        <v>3.0949816306399373E-2</v>
      </c>
      <c r="G53" s="7">
        <v>3.1995644447265284E-2</v>
      </c>
      <c r="H53" s="7">
        <v>7.0415179521119434E-2</v>
      </c>
      <c r="I53" s="7">
        <v>3.2791716597351125E-2</v>
      </c>
      <c r="J53" s="7">
        <v>3.3627328401118109E-2</v>
      </c>
      <c r="K53" s="7">
        <v>3.6620982360315898E-2</v>
      </c>
      <c r="L53" s="7">
        <v>3.763012798695594E-2</v>
      </c>
      <c r="M53" s="7">
        <v>7.0714905387565224E-2</v>
      </c>
      <c r="N53" s="7">
        <v>6.4019333973340045E-2</v>
      </c>
      <c r="O53" s="7">
        <v>7.4894304009708895E-2</v>
      </c>
      <c r="P53" s="7">
        <v>4.7839278441894451E-2</v>
      </c>
      <c r="Q53" s="7">
        <v>4.9757004957354432E-2</v>
      </c>
      <c r="R53" s="7">
        <v>4.0436595913509225E-2</v>
      </c>
      <c r="S53" s="7">
        <v>6.1573967013752146E-2</v>
      </c>
      <c r="T53" s="7">
        <v>3.5250021961874184E-2</v>
      </c>
      <c r="U53" s="7">
        <v>3.9924016011737687E-2</v>
      </c>
      <c r="V53" s="7">
        <v>3.8576353067058464E-2</v>
      </c>
      <c r="W53" s="7">
        <v>3.2168137493710718E-2</v>
      </c>
      <c r="X53" s="7">
        <v>7.8965837001424788E-2</v>
      </c>
      <c r="Y53" s="7">
        <v>3.9739751670536942E-2</v>
      </c>
    </row>
    <row r="54" spans="1:25" x14ac:dyDescent="0.25">
      <c r="B54" s="7">
        <v>6.0938140733399405E-2</v>
      </c>
      <c r="C54" s="7">
        <v>8.5409130472973507E-2</v>
      </c>
      <c r="D54" s="7">
        <v>2.7870520726683969E-2</v>
      </c>
      <c r="E54" s="7">
        <v>3.9862083220708187E-2</v>
      </c>
      <c r="F54" s="7">
        <v>2.8090961342788569E-2</v>
      </c>
      <c r="G54" s="7">
        <v>2.7592799454167528E-2</v>
      </c>
      <c r="H54" s="7">
        <v>7.5185903042049779E-2</v>
      </c>
      <c r="I54" s="7">
        <v>2.9791207500176227E-2</v>
      </c>
      <c r="J54" s="7">
        <v>2.8228018061782763E-2</v>
      </c>
      <c r="K54" s="7">
        <v>3.6352043057119358E-2</v>
      </c>
      <c r="L54" s="7">
        <v>3.7687195763845466E-2</v>
      </c>
      <c r="M54" s="7">
        <v>7.5515857798453517E-2</v>
      </c>
      <c r="N54" s="7">
        <v>6.9169945389590967E-2</v>
      </c>
      <c r="O54" s="7">
        <v>7.9621736422720094E-2</v>
      </c>
      <c r="P54" s="7">
        <v>5.1273962101430183E-2</v>
      </c>
      <c r="Q54" s="7">
        <v>5.407297472057148E-2</v>
      </c>
      <c r="R54" s="7">
        <v>4.1999127157310058E-2</v>
      </c>
      <c r="S54" s="7">
        <v>6.682120634520565E-2</v>
      </c>
      <c r="T54" s="7">
        <v>3.4293091193687758E-2</v>
      </c>
      <c r="U54" s="7">
        <v>4.2573137279918349E-2</v>
      </c>
      <c r="V54" s="7">
        <v>3.858393886644202E-2</v>
      </c>
      <c r="W54" s="7">
        <v>2.7876290800475989E-2</v>
      </c>
      <c r="X54" s="7">
        <v>8.5470378005778738E-2</v>
      </c>
      <c r="Y54" s="7">
        <v>4.2148966083755901E-2</v>
      </c>
    </row>
    <row r="55" spans="1:25" x14ac:dyDescent="0.25">
      <c r="B55" s="7">
        <v>6.7979797819623392E-2</v>
      </c>
      <c r="C55" s="7">
        <v>9.1896445711456609E-2</v>
      </c>
      <c r="D55" s="7">
        <v>3.0367334142876418E-2</v>
      </c>
      <c r="E55" s="7">
        <v>4.7194656003052803E-2</v>
      </c>
      <c r="F55" s="7">
        <v>2.9362020085904914E-2</v>
      </c>
      <c r="G55" s="7">
        <v>3.0098789330879203E-2</v>
      </c>
      <c r="H55" s="7">
        <v>8.128284523443717E-2</v>
      </c>
      <c r="I55" s="7">
        <v>3.2474243599082062E-2</v>
      </c>
      <c r="J55" s="7">
        <v>2.9435792273570707E-2</v>
      </c>
      <c r="K55" s="7">
        <v>3.9719162494310421E-2</v>
      </c>
      <c r="L55" s="7">
        <v>4.3368201929698195E-2</v>
      </c>
      <c r="M55" s="7">
        <v>8.1808323379644179E-2</v>
      </c>
      <c r="N55" s="7">
        <v>7.4617727136809309E-2</v>
      </c>
      <c r="O55" s="7">
        <v>8.4171151174488604E-2</v>
      </c>
      <c r="P55" s="7">
        <v>5.7612358159851156E-2</v>
      </c>
      <c r="Q55" s="7">
        <v>6.0789974443452292E-2</v>
      </c>
      <c r="R55" s="7">
        <v>4.6065129934536798E-2</v>
      </c>
      <c r="S55" s="7">
        <v>7.339474015847261E-2</v>
      </c>
      <c r="T55" s="7">
        <v>3.6893480917127866E-2</v>
      </c>
      <c r="U55" s="7">
        <v>4.8922134154120951E-2</v>
      </c>
      <c r="V55" s="7">
        <v>4.1090103326572654E-2</v>
      </c>
      <c r="W55" s="7">
        <v>2.8914777219617771E-2</v>
      </c>
      <c r="X55" s="7">
        <v>9.1979018251574035E-2</v>
      </c>
      <c r="Y55" s="7">
        <v>5.1383212485980129E-2</v>
      </c>
    </row>
    <row r="56" spans="1:25" x14ac:dyDescent="0.25">
      <c r="B56" s="7">
        <v>7.5692749256689798E-2</v>
      </c>
      <c r="C56" s="7">
        <v>9.7958140686262768E-2</v>
      </c>
      <c r="D56" s="7">
        <v>3.6656102923085472E-2</v>
      </c>
      <c r="E56" s="7">
        <v>6.2467484457729795E-2</v>
      </c>
      <c r="F56" s="7">
        <v>3.8480283035721222E-2</v>
      </c>
      <c r="G56" s="7">
        <v>3.9750987734636561E-2</v>
      </c>
      <c r="H56" s="7">
        <v>8.8832423318442183E-2</v>
      </c>
      <c r="I56" s="7">
        <v>4.1214940827243751E-2</v>
      </c>
      <c r="J56" s="7">
        <v>3.496710175282116E-2</v>
      </c>
      <c r="K56" s="7">
        <v>4.7734805835708979E-2</v>
      </c>
      <c r="L56" s="7">
        <v>5.1344812847769129E-2</v>
      </c>
      <c r="M56" s="7">
        <v>9.0233859307223233E-2</v>
      </c>
      <c r="N56" s="7">
        <v>8.047559843250815E-2</v>
      </c>
      <c r="O56" s="7">
        <v>8.8556919981476453E-2</v>
      </c>
      <c r="P56" s="7">
        <v>7.0440944190243479E-2</v>
      </c>
      <c r="Q56" s="7">
        <v>6.7117467746405146E-2</v>
      </c>
      <c r="R56" s="7">
        <v>5.4811370759769884E-2</v>
      </c>
      <c r="S56" s="7">
        <v>7.9979048849261977E-2</v>
      </c>
      <c r="T56" s="7">
        <v>4.5837026921264686E-2</v>
      </c>
      <c r="U56" s="7">
        <v>5.67491308369482E-2</v>
      </c>
      <c r="V56" s="7">
        <v>4.6474168356836001E-2</v>
      </c>
      <c r="W56" s="7">
        <v>4.1764896616166051E-2</v>
      </c>
      <c r="X56" s="7">
        <v>0.10197718752238663</v>
      </c>
      <c r="Y56" s="7">
        <v>6.7209484542596717E-2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1049.7449999999999</v>
      </c>
      <c r="I61" s="7">
        <v>0</v>
      </c>
      <c r="J61" s="7">
        <v>0</v>
      </c>
      <c r="K61" s="7">
        <v>0</v>
      </c>
      <c r="L61" s="7">
        <v>0</v>
      </c>
      <c r="M61" s="7">
        <v>1029.0809999999999</v>
      </c>
      <c r="N61" s="7">
        <v>43.524000000000001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83.242000000000004</v>
      </c>
      <c r="Y61" s="7">
        <v>0</v>
      </c>
    </row>
    <row r="62" spans="1:25" x14ac:dyDescent="0.25">
      <c r="B62" s="7">
        <v>0</v>
      </c>
      <c r="C62" s="7">
        <v>11.263999999999999</v>
      </c>
      <c r="D62" s="7">
        <v>0</v>
      </c>
      <c r="E62" s="7">
        <v>0</v>
      </c>
      <c r="F62" s="7">
        <v>0</v>
      </c>
      <c r="G62" s="7">
        <v>0</v>
      </c>
      <c r="H62" s="7">
        <v>1671.8140000000001</v>
      </c>
      <c r="I62" s="7">
        <v>0</v>
      </c>
      <c r="J62" s="7">
        <v>0</v>
      </c>
      <c r="K62" s="7">
        <v>0</v>
      </c>
      <c r="L62" s="7">
        <v>0</v>
      </c>
      <c r="M62" s="7">
        <v>1646.3219999999999</v>
      </c>
      <c r="N62" s="7">
        <v>644.83600000000001</v>
      </c>
      <c r="O62" s="7">
        <v>0</v>
      </c>
      <c r="P62" s="7">
        <v>45.405999999999999</v>
      </c>
      <c r="Q62" s="7">
        <v>0</v>
      </c>
      <c r="R62" s="7">
        <v>0</v>
      </c>
      <c r="S62" s="7">
        <v>378.08199999999999</v>
      </c>
      <c r="T62" s="7">
        <v>0</v>
      </c>
      <c r="U62" s="7">
        <v>0</v>
      </c>
      <c r="V62" s="7">
        <v>0</v>
      </c>
      <c r="W62" s="7">
        <v>0</v>
      </c>
      <c r="X62" s="7">
        <v>526.97299999999996</v>
      </c>
      <c r="Y62" s="7">
        <v>0</v>
      </c>
    </row>
    <row r="63" spans="1:25" x14ac:dyDescent="0.25">
      <c r="B63" s="7">
        <v>511.74799999999999</v>
      </c>
      <c r="C63" s="7">
        <v>316.75799999999998</v>
      </c>
      <c r="D63" s="7">
        <v>0</v>
      </c>
      <c r="E63" s="7">
        <v>0</v>
      </c>
      <c r="F63" s="7">
        <v>0</v>
      </c>
      <c r="G63" s="7">
        <v>0</v>
      </c>
      <c r="H63" s="7">
        <v>2295.1469999999999</v>
      </c>
      <c r="I63" s="7">
        <v>0</v>
      </c>
      <c r="J63" s="7">
        <v>0</v>
      </c>
      <c r="K63" s="7">
        <v>63.735999999999997</v>
      </c>
      <c r="L63" s="7">
        <v>0</v>
      </c>
      <c r="M63" s="7">
        <v>2268.7370000000001</v>
      </c>
      <c r="N63" s="7">
        <v>1318.6569999999999</v>
      </c>
      <c r="O63" s="7">
        <v>0</v>
      </c>
      <c r="P63" s="7">
        <v>492.07900000000001</v>
      </c>
      <c r="Q63" s="7">
        <v>233.595</v>
      </c>
      <c r="R63" s="7">
        <v>398.74299999999999</v>
      </c>
      <c r="S63" s="7">
        <v>1022.7910000000001</v>
      </c>
      <c r="T63" s="7">
        <v>70.843000000000004</v>
      </c>
      <c r="U63" s="7">
        <v>439.96300000000002</v>
      </c>
      <c r="V63" s="7">
        <v>44.505000000000003</v>
      </c>
      <c r="W63" s="7">
        <v>0</v>
      </c>
      <c r="X63" s="7">
        <v>1185.787</v>
      </c>
      <c r="Y63" s="7">
        <v>54.212000000000003</v>
      </c>
    </row>
    <row r="64" spans="1:25" x14ac:dyDescent="0.25">
      <c r="B64" s="7">
        <v>1085.328</v>
      </c>
      <c r="C64" s="7">
        <v>623.71500000000003</v>
      </c>
      <c r="D64" s="7">
        <v>311.93299999999999</v>
      </c>
      <c r="E64" s="7">
        <v>570.29700000000003</v>
      </c>
      <c r="F64" s="7">
        <v>64.834999999999994</v>
      </c>
      <c r="G64" s="7">
        <v>532.03</v>
      </c>
      <c r="H64" s="7">
        <v>2698.3180000000002</v>
      </c>
      <c r="I64" s="7">
        <v>350.697</v>
      </c>
      <c r="J64" s="7">
        <v>194.93700000000001</v>
      </c>
      <c r="K64" s="7">
        <v>544.37800000000004</v>
      </c>
      <c r="L64" s="7">
        <v>178.249</v>
      </c>
      <c r="M64" s="7">
        <v>2737.5169999999998</v>
      </c>
      <c r="N64" s="7">
        <v>1928.5640000000001</v>
      </c>
      <c r="O64" s="7">
        <v>0</v>
      </c>
      <c r="P64" s="7">
        <v>986.13300000000004</v>
      </c>
      <c r="Q64" s="7">
        <v>426.173</v>
      </c>
      <c r="R64" s="7">
        <v>891.35199999999998</v>
      </c>
      <c r="S64" s="7">
        <v>1460.4179999999999</v>
      </c>
      <c r="T64" s="7">
        <v>666.56600000000003</v>
      </c>
      <c r="U64" s="7">
        <v>834.20699999999999</v>
      </c>
      <c r="V64" s="7">
        <v>518.62</v>
      </c>
      <c r="W64" s="7">
        <v>130.17500000000001</v>
      </c>
      <c r="X64" s="7">
        <v>1082.088</v>
      </c>
      <c r="Y64" s="7">
        <v>659.98800000000006</v>
      </c>
    </row>
    <row r="65" spans="1:25" x14ac:dyDescent="0.25">
      <c r="B65" s="7">
        <v>1264.048</v>
      </c>
      <c r="C65" s="7">
        <v>1125.713</v>
      </c>
      <c r="D65" s="7">
        <v>324.16300000000001</v>
      </c>
      <c r="E65" s="7">
        <v>782.96799999999996</v>
      </c>
      <c r="F65" s="7">
        <v>271.26100000000002</v>
      </c>
      <c r="G65" s="7">
        <v>695.14</v>
      </c>
      <c r="H65" s="7">
        <v>2758.1660000000002</v>
      </c>
      <c r="I65" s="7">
        <v>492.24099999999999</v>
      </c>
      <c r="J65" s="7">
        <v>213.04499999999999</v>
      </c>
      <c r="K65" s="7">
        <v>638.92100000000005</v>
      </c>
      <c r="L65" s="7">
        <v>232.619</v>
      </c>
      <c r="M65" s="7">
        <v>2819.7649999999999</v>
      </c>
      <c r="N65" s="7">
        <v>2014.261</v>
      </c>
      <c r="O65" s="7">
        <v>0</v>
      </c>
      <c r="P65" s="7">
        <v>1232.2850000000001</v>
      </c>
      <c r="Q65" s="7">
        <v>514.53599999999994</v>
      </c>
      <c r="R65" s="7">
        <v>1030.8789999999999</v>
      </c>
      <c r="S65" s="7">
        <v>1627.4870000000001</v>
      </c>
      <c r="T65" s="7">
        <v>994.59699999999998</v>
      </c>
      <c r="U65" s="7">
        <v>850.63099999999997</v>
      </c>
      <c r="V65" s="7">
        <v>567.81700000000001</v>
      </c>
      <c r="W65" s="7">
        <v>654.11300000000006</v>
      </c>
      <c r="X65" s="7">
        <v>570.99</v>
      </c>
      <c r="Y65" s="7">
        <v>1026.3389999999999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83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248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262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337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447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418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11</v>
      </c>
      <c r="C73" s="7">
        <v>503</v>
      </c>
      <c r="D73" s="7">
        <v>2</v>
      </c>
      <c r="E73" s="7">
        <v>0</v>
      </c>
      <c r="F73" s="7">
        <v>0</v>
      </c>
      <c r="G73" s="7">
        <v>0</v>
      </c>
      <c r="H73" s="7">
        <v>27</v>
      </c>
      <c r="I73" s="7">
        <v>0</v>
      </c>
      <c r="J73" s="7">
        <v>2</v>
      </c>
      <c r="K73" s="7">
        <v>0</v>
      </c>
      <c r="L73" s="7">
        <v>6</v>
      </c>
      <c r="M73" s="7">
        <v>19</v>
      </c>
      <c r="N73" s="7">
        <v>10</v>
      </c>
      <c r="O73" s="7">
        <v>489</v>
      </c>
      <c r="P73" s="7">
        <v>0</v>
      </c>
      <c r="Q73" s="7">
        <v>35</v>
      </c>
      <c r="R73" s="7">
        <v>0</v>
      </c>
      <c r="S73" s="7">
        <v>25</v>
      </c>
      <c r="T73" s="7">
        <v>0</v>
      </c>
      <c r="U73" s="7">
        <v>10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62</v>
      </c>
      <c r="C74" s="7">
        <v>535</v>
      </c>
      <c r="D74" s="7">
        <v>28</v>
      </c>
      <c r="E74" s="7">
        <v>47</v>
      </c>
      <c r="F74" s="7">
        <v>24</v>
      </c>
      <c r="G74" s="7">
        <v>32</v>
      </c>
      <c r="H74" s="7">
        <v>129</v>
      </c>
      <c r="I74" s="7">
        <v>30</v>
      </c>
      <c r="J74" s="7">
        <v>24</v>
      </c>
      <c r="K74" s="7">
        <v>32</v>
      </c>
      <c r="L74" s="7">
        <v>42</v>
      </c>
      <c r="M74" s="7">
        <v>118</v>
      </c>
      <c r="N74" s="7">
        <v>73</v>
      </c>
      <c r="O74" s="7">
        <v>558</v>
      </c>
      <c r="P74" s="7">
        <v>46</v>
      </c>
      <c r="Q74" s="7">
        <v>82</v>
      </c>
      <c r="R74" s="7">
        <v>34</v>
      </c>
      <c r="S74" s="7">
        <v>80</v>
      </c>
      <c r="T74" s="7">
        <v>23</v>
      </c>
      <c r="U74" s="7">
        <v>51</v>
      </c>
      <c r="V74" s="7">
        <v>25</v>
      </c>
      <c r="W74" s="7">
        <v>22</v>
      </c>
      <c r="X74" s="7">
        <v>26</v>
      </c>
      <c r="Y74" s="7">
        <v>50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1252391000</v>
      </c>
      <c r="C79" s="7">
        <v>892688000</v>
      </c>
      <c r="D79" s="7">
        <v>1052014000</v>
      </c>
      <c r="E79" s="7">
        <v>2353484000</v>
      </c>
      <c r="F79" s="7">
        <v>1548792000</v>
      </c>
      <c r="G79" s="7">
        <v>1680939000</v>
      </c>
      <c r="H79" s="7">
        <v>1485228000</v>
      </c>
      <c r="I79" s="7">
        <v>1301868000</v>
      </c>
      <c r="J79" s="7">
        <v>889544400</v>
      </c>
      <c r="K79" s="7">
        <v>1281516000</v>
      </c>
      <c r="L79" s="7">
        <v>1137187000</v>
      </c>
      <c r="M79" s="7">
        <v>1611244000</v>
      </c>
      <c r="N79" s="7">
        <v>1219827000</v>
      </c>
      <c r="O79" s="7">
        <v>660817400</v>
      </c>
      <c r="P79" s="7">
        <v>2232700000</v>
      </c>
      <c r="Q79" s="7">
        <v>1097147000</v>
      </c>
      <c r="R79" s="7">
        <v>1380296000</v>
      </c>
      <c r="S79" s="7">
        <v>1219066000</v>
      </c>
      <c r="T79" s="7">
        <v>1660379000</v>
      </c>
      <c r="U79" s="7">
        <v>1199357000</v>
      </c>
      <c r="V79" s="7">
        <v>807024200</v>
      </c>
      <c r="W79" s="7">
        <v>2753925000</v>
      </c>
      <c r="X79" s="7">
        <v>1618627000</v>
      </c>
      <c r="Y79" s="7">
        <v>2623275000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231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308</v>
      </c>
      <c r="Y88" s="7">
        <v>0</v>
      </c>
    </row>
    <row r="89" spans="1:25" x14ac:dyDescent="0.25">
      <c r="B89" s="7">
        <v>0</v>
      </c>
      <c r="C89" s="7">
        <v>154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385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924</v>
      </c>
      <c r="Y92" s="7">
        <v>0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2582820000</v>
      </c>
      <c r="D97" s="7">
        <v>0</v>
      </c>
      <c r="E97" s="7">
        <v>0</v>
      </c>
      <c r="F97" s="7">
        <v>0</v>
      </c>
      <c r="G97" s="7">
        <v>0</v>
      </c>
      <c r="H97" s="7">
        <v>5153605000</v>
      </c>
      <c r="I97" s="7">
        <v>0</v>
      </c>
      <c r="J97" s="7">
        <v>0</v>
      </c>
      <c r="K97" s="7">
        <v>0</v>
      </c>
      <c r="L97" s="7">
        <v>0</v>
      </c>
      <c r="M97" s="7">
        <v>5167220000</v>
      </c>
      <c r="N97" s="7">
        <v>1761752000</v>
      </c>
      <c r="O97" s="7">
        <v>3231998000</v>
      </c>
      <c r="P97" s="7">
        <v>0</v>
      </c>
      <c r="Q97" s="7">
        <v>0</v>
      </c>
      <c r="R97" s="7">
        <v>0</v>
      </c>
      <c r="S97" s="7">
        <v>920084500</v>
      </c>
      <c r="T97" s="7">
        <v>0</v>
      </c>
      <c r="U97" s="7">
        <v>0</v>
      </c>
      <c r="V97" s="7">
        <v>0</v>
      </c>
      <c r="W97" s="7">
        <v>0</v>
      </c>
      <c r="X97" s="7">
        <v>2564739000</v>
      </c>
      <c r="Y97" s="7">
        <v>0</v>
      </c>
    </row>
    <row r="98" spans="1:25" x14ac:dyDescent="0.25">
      <c r="B98" s="7">
        <v>601794400</v>
      </c>
      <c r="C98" s="7">
        <v>3269950000</v>
      </c>
      <c r="D98" s="7">
        <v>0</v>
      </c>
      <c r="E98" s="7">
        <v>0</v>
      </c>
      <c r="F98" s="7">
        <v>0</v>
      </c>
      <c r="G98" s="7">
        <v>0</v>
      </c>
      <c r="H98" s="7">
        <v>6442039000</v>
      </c>
      <c r="I98" s="7">
        <v>0</v>
      </c>
      <c r="J98" s="7">
        <v>0</v>
      </c>
      <c r="K98" s="7">
        <v>0</v>
      </c>
      <c r="L98" s="7">
        <v>0</v>
      </c>
      <c r="M98" s="7">
        <v>6459034000</v>
      </c>
      <c r="N98" s="7">
        <v>3081570000</v>
      </c>
      <c r="O98" s="7">
        <v>3554882000</v>
      </c>
      <c r="P98" s="7">
        <v>0</v>
      </c>
      <c r="Q98" s="7">
        <v>0</v>
      </c>
      <c r="R98" s="7">
        <v>0</v>
      </c>
      <c r="S98" s="7">
        <v>1616930000</v>
      </c>
      <c r="T98" s="7">
        <v>0</v>
      </c>
      <c r="U98" s="7">
        <v>0</v>
      </c>
      <c r="V98" s="7">
        <v>0</v>
      </c>
      <c r="W98" s="7">
        <v>0</v>
      </c>
      <c r="X98" s="7">
        <v>3238581000</v>
      </c>
      <c r="Y98" s="7">
        <v>0</v>
      </c>
    </row>
    <row r="99" spans="1:25" x14ac:dyDescent="0.25">
      <c r="B99" s="7">
        <v>1548144000</v>
      </c>
      <c r="C99" s="7">
        <v>4519353000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4626618000</v>
      </c>
      <c r="O99" s="7">
        <v>3852953000</v>
      </c>
      <c r="P99" s="7">
        <v>0</v>
      </c>
      <c r="Q99" s="7">
        <v>171801900</v>
      </c>
      <c r="R99" s="7">
        <v>0</v>
      </c>
      <c r="S99" s="7">
        <v>3251035000</v>
      </c>
      <c r="T99" s="7">
        <v>0</v>
      </c>
      <c r="U99" s="7">
        <v>0</v>
      </c>
      <c r="V99" s="7">
        <v>0</v>
      </c>
      <c r="W99" s="7">
        <v>0</v>
      </c>
      <c r="X99" s="7">
        <v>4544402000</v>
      </c>
      <c r="Y99" s="7">
        <v>0</v>
      </c>
    </row>
    <row r="100" spans="1:25" x14ac:dyDescent="0.25">
      <c r="B100" s="7">
        <v>3058818000</v>
      </c>
      <c r="C100" s="7">
        <v>5246057000</v>
      </c>
      <c r="D100" s="7">
        <v>0</v>
      </c>
      <c r="E100" s="7">
        <v>219786300</v>
      </c>
      <c r="F100" s="7">
        <v>0</v>
      </c>
      <c r="G100" s="7">
        <v>0</v>
      </c>
      <c r="H100" s="7">
        <v>8752958000</v>
      </c>
      <c r="I100" s="7">
        <v>0</v>
      </c>
      <c r="J100" s="7">
        <v>0</v>
      </c>
      <c r="K100" s="7">
        <v>0</v>
      </c>
      <c r="L100" s="7">
        <v>494089600</v>
      </c>
      <c r="M100" s="7">
        <v>8861739000</v>
      </c>
      <c r="N100" s="7">
        <v>6045506000</v>
      </c>
      <c r="O100" s="7">
        <v>4136370000</v>
      </c>
      <c r="P100" s="7">
        <v>0</v>
      </c>
      <c r="Q100" s="7">
        <v>551962700</v>
      </c>
      <c r="R100" s="7">
        <v>0</v>
      </c>
      <c r="S100" s="7">
        <v>4426582000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369124100</v>
      </c>
    </row>
    <row r="101" spans="1:25" x14ac:dyDescent="0.25">
      <c r="B101" s="7">
        <v>3669280000</v>
      </c>
      <c r="C101" s="7">
        <v>6190259000</v>
      </c>
      <c r="D101" s="7">
        <v>0</v>
      </c>
      <c r="E101" s="7">
        <v>703013200</v>
      </c>
      <c r="F101" s="7">
        <v>0</v>
      </c>
      <c r="G101" s="7">
        <v>0</v>
      </c>
      <c r="H101" s="7">
        <v>9256382000</v>
      </c>
      <c r="I101" s="7">
        <v>0</v>
      </c>
      <c r="J101" s="7">
        <v>0</v>
      </c>
      <c r="K101" s="7">
        <v>0</v>
      </c>
      <c r="L101" s="7">
        <v>598851500</v>
      </c>
      <c r="M101" s="7">
        <v>9417225000</v>
      </c>
      <c r="N101" s="7">
        <v>6415754000</v>
      </c>
      <c r="O101" s="7">
        <v>4404926000</v>
      </c>
      <c r="P101" s="7">
        <v>352560100</v>
      </c>
      <c r="Q101" s="7">
        <v>876280300</v>
      </c>
      <c r="R101" s="7">
        <v>0</v>
      </c>
      <c r="S101" s="7">
        <v>5258278000</v>
      </c>
      <c r="T101" s="7">
        <v>0</v>
      </c>
      <c r="U101" s="7">
        <v>0</v>
      </c>
      <c r="V101" s="7">
        <v>0</v>
      </c>
      <c r="W101" s="7">
        <v>0</v>
      </c>
      <c r="X101" s="7">
        <v>2444642000</v>
      </c>
      <c r="Y101" s="7">
        <v>2488125000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3399306000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4236127000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5800959000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3369215000</v>
      </c>
      <c r="O107" s="7">
        <v>0</v>
      </c>
      <c r="P107" s="7">
        <v>6357237000</v>
      </c>
      <c r="Q107" s="7">
        <v>6594829000</v>
      </c>
      <c r="R107" s="7">
        <v>6397716000</v>
      </c>
      <c r="S107" s="7">
        <v>4827989000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6134694000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3113867000</v>
      </c>
      <c r="O108" s="7">
        <v>0</v>
      </c>
      <c r="P108" s="7">
        <v>7628286000</v>
      </c>
      <c r="Q108" s="7">
        <v>7741915000</v>
      </c>
      <c r="R108" s="7">
        <v>7676896000</v>
      </c>
      <c r="S108" s="7">
        <v>4482351000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5727118000</v>
      </c>
      <c r="C109" s="7">
        <v>0</v>
      </c>
      <c r="D109" s="7">
        <v>8896544000</v>
      </c>
      <c r="E109" s="7">
        <v>8721465000</v>
      </c>
      <c r="F109" s="7">
        <v>9150270000</v>
      </c>
      <c r="G109" s="7">
        <v>8957774000</v>
      </c>
      <c r="H109" s="7">
        <v>0</v>
      </c>
      <c r="I109" s="7">
        <v>9073855000</v>
      </c>
      <c r="J109" s="7">
        <v>8855240000</v>
      </c>
      <c r="K109" s="7">
        <v>8900207000</v>
      </c>
      <c r="L109" s="7">
        <v>8338353000</v>
      </c>
      <c r="M109" s="7">
        <v>0</v>
      </c>
      <c r="N109" s="7">
        <v>2835177000</v>
      </c>
      <c r="O109" s="7">
        <v>0</v>
      </c>
      <c r="P109" s="7">
        <v>8899292000</v>
      </c>
      <c r="Q109" s="7">
        <v>7956994000</v>
      </c>
      <c r="R109" s="7">
        <v>8955991000</v>
      </c>
      <c r="S109" s="7">
        <v>4227571000</v>
      </c>
      <c r="T109" s="7">
        <v>8898734000</v>
      </c>
      <c r="U109" s="7">
        <v>8701911000</v>
      </c>
      <c r="V109" s="7">
        <v>8900544000</v>
      </c>
      <c r="W109" s="7">
        <v>8899306000</v>
      </c>
      <c r="X109" s="7">
        <v>0</v>
      </c>
      <c r="Y109" s="7">
        <v>8628772000</v>
      </c>
    </row>
    <row r="110" spans="1:25" x14ac:dyDescent="0.25">
      <c r="B110" s="7">
        <v>5614281000</v>
      </c>
      <c r="C110" s="7">
        <v>0</v>
      </c>
      <c r="D110" s="7">
        <v>9179109000</v>
      </c>
      <c r="E110" s="7">
        <v>9093229000</v>
      </c>
      <c r="F110" s="7">
        <v>9935772000</v>
      </c>
      <c r="G110" s="7">
        <v>9543610000</v>
      </c>
      <c r="H110" s="7">
        <v>0</v>
      </c>
      <c r="I110" s="7">
        <v>9628696000</v>
      </c>
      <c r="J110" s="7">
        <v>9111285000</v>
      </c>
      <c r="K110" s="7">
        <v>9394780000</v>
      </c>
      <c r="L110" s="7">
        <v>8658726000</v>
      </c>
      <c r="M110" s="7">
        <v>0</v>
      </c>
      <c r="N110" s="7">
        <v>2900475000</v>
      </c>
      <c r="O110" s="7">
        <v>0</v>
      </c>
      <c r="P110" s="7">
        <v>9378158000</v>
      </c>
      <c r="Q110" s="7">
        <v>8042539000</v>
      </c>
      <c r="R110" s="7">
        <v>9559015000</v>
      </c>
      <c r="S110" s="7">
        <v>3907198000</v>
      </c>
      <c r="T110" s="7">
        <v>9723468000</v>
      </c>
      <c r="U110" s="7">
        <v>9065009000</v>
      </c>
      <c r="V110" s="7">
        <v>9271349000</v>
      </c>
      <c r="W110" s="7">
        <v>9991473000</v>
      </c>
      <c r="X110" s="7">
        <v>0</v>
      </c>
      <c r="Y110" s="7">
        <v>7414930000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1935948000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2537424000</v>
      </c>
      <c r="Y115" s="7">
        <v>0</v>
      </c>
    </row>
    <row r="116" spans="1:25" x14ac:dyDescent="0.25">
      <c r="B116" s="7">
        <v>0</v>
      </c>
      <c r="C116" s="7">
        <v>1304686000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3138737000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3107986000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7546956000</v>
      </c>
      <c r="Y119" s="7">
        <v>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5810658000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7297312000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6097025000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7151958000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6530994000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7033926000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1534343000</v>
      </c>
      <c r="C127" s="7">
        <v>5965975000</v>
      </c>
      <c r="D127" s="7">
        <v>1354580000</v>
      </c>
      <c r="E127" s="7">
        <v>1277111000</v>
      </c>
      <c r="F127" s="7">
        <v>1307173000</v>
      </c>
      <c r="G127" s="7">
        <v>1279751000</v>
      </c>
      <c r="H127" s="7">
        <v>1693543000</v>
      </c>
      <c r="I127" s="7">
        <v>1296311000</v>
      </c>
      <c r="J127" s="7">
        <v>1360727000</v>
      </c>
      <c r="K127" s="7">
        <v>1271458000</v>
      </c>
      <c r="L127" s="7">
        <v>1486356000</v>
      </c>
      <c r="M127" s="7">
        <v>1581588000</v>
      </c>
      <c r="N127" s="7">
        <v>1495342000</v>
      </c>
      <c r="O127" s="7">
        <v>6931746000</v>
      </c>
      <c r="P127" s="7">
        <v>1271456000</v>
      </c>
      <c r="Q127" s="7">
        <v>2270556000</v>
      </c>
      <c r="R127" s="7">
        <v>1279543000</v>
      </c>
      <c r="S127" s="7">
        <v>1799719000</v>
      </c>
      <c r="T127" s="7">
        <v>1271334000</v>
      </c>
      <c r="U127" s="7">
        <v>1571966000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1376450000</v>
      </c>
      <c r="C128" s="7">
        <v>5123122000</v>
      </c>
      <c r="D128" s="7">
        <v>1348776000</v>
      </c>
      <c r="E128" s="7">
        <v>925009500</v>
      </c>
      <c r="F128" s="7">
        <v>801148700</v>
      </c>
      <c r="G128" s="7">
        <v>1053166000</v>
      </c>
      <c r="H128" s="7">
        <v>1587926000</v>
      </c>
      <c r="I128" s="7">
        <v>1069865000</v>
      </c>
      <c r="J128" s="7">
        <v>1344827000</v>
      </c>
      <c r="K128" s="7">
        <v>1085577000</v>
      </c>
      <c r="L128" s="7">
        <v>1397490000</v>
      </c>
      <c r="M128" s="7">
        <v>1456962000</v>
      </c>
      <c r="N128" s="7">
        <v>1359357000</v>
      </c>
      <c r="O128" s="7">
        <v>6846266000</v>
      </c>
      <c r="P128" s="7">
        <v>850981000</v>
      </c>
      <c r="Q128" s="7">
        <v>2132078000</v>
      </c>
      <c r="R128" s="7">
        <v>993026200</v>
      </c>
      <c r="S128" s="7">
        <v>1580937000</v>
      </c>
      <c r="T128" s="7">
        <v>695483400</v>
      </c>
      <c r="U128" s="7">
        <v>1556613000</v>
      </c>
      <c r="V128" s="7">
        <v>1121467000</v>
      </c>
      <c r="W128" s="7">
        <v>463513900</v>
      </c>
      <c r="X128" s="7">
        <v>349079800</v>
      </c>
      <c r="Y128" s="7">
        <v>890947100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