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LC\SSP5-60\"/>
    </mc:Choice>
  </mc:AlternateContent>
  <xr:revisionPtr revIDLastSave="0" documentId="13_ncr:1_{A5609FD9-9003-4F38-BD19-A2E8D2077E81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<sst xmlns="http://schemas.openxmlformats.org/spreadsheetml/2006/main" count="1001" uniqueCount="55">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</sst>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1717.6897117981662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535.89590283840755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369.72735539137568</v>
      </c>
      <c r="N16" s="2">
        <f>N5/'Output-Calculation-sheet'!N4*'Output-Calculation-sheet'!N22</f>
        <v>0</v>
      </c>
      <c r="O16" s="2">
        <f>O5/'Output-Calculation-sheet'!O4*'Output-Calculation-sheet'!O22</f>
        <v>333.74363847429015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40.042689274825726</v>
      </c>
      <c r="Y16" s="2">
        <f>Y5/'Output-Calculation-sheet'!Y4*'Output-Calculation-sheet'!Y22</f>
        <v>0</v>
      </c>
      <c r="AA16" s="2">
        <f>SUM(B16:Y16)/1000</f>
        <v>2.9970992977770647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4616.1594293206508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1361.2688260627315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939.68456778777102</v>
      </c>
      <c r="N17" s="2">
        <f>N6/'Output-Calculation-sheet'!N5*'Output-Calculation-sheet'!N23</f>
        <v>0</v>
      </c>
      <c r="O17" s="2">
        <f>O6/'Output-Calculation-sheet'!O5*'Output-Calculation-sheet'!O23</f>
        <v>902.56425141878651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104.48753231084714</v>
      </c>
      <c r="Y17" s="2">
        <f>Y6/'Output-Calculation-sheet'!Y5*'Output-Calculation-sheet'!Y23</f>
        <v>0</v>
      </c>
      <c r="AA17" s="2">
        <f t="shared" ref="AA17:AA23" si="0">SUM(B17:Y17)/1000</f>
        <v>7.9241646069007867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8648.1481788775927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2591.8645029283362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1787.082615274719</v>
      </c>
      <c r="N18" s="2">
        <f>N7/'Output-Calculation-sheet'!N6*'Output-Calculation-sheet'!N24</f>
        <v>553.84537548532228</v>
      </c>
      <c r="O18" s="2">
        <f>O7/'Output-Calculation-sheet'!O6*'Output-Calculation-sheet'!O24</f>
        <v>1679.1558522587386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121.07977262799619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200.44556144284064</v>
      </c>
      <c r="Y18" s="2">
        <f>Y7/'Output-Calculation-sheet'!Y6*'Output-Calculation-sheet'!Y24</f>
        <v>0</v>
      </c>
      <c r="AA18" s="2">
        <f t="shared" si="0"/>
        <v>15.581621858895545</v>
      </c>
    </row>
    <row r="19" spans="1:27" x14ac:dyDescent="0.25">
      <c r="A19" s="2">
        <v>2031</v>
      </c>
      <c r="B19" s="2">
        <f>B8/'Output-Calculation-sheet'!B7*'Output-Calculation-sheet'!B25</f>
        <v>826.69037179480028</v>
      </c>
      <c r="C19" s="2">
        <f>C8/'Output-Calculation-sheet'!C7*'Output-Calculation-sheet'!C25</f>
        <v>12462.485040276819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3709.7475217011083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2577.2156149886205</v>
      </c>
      <c r="N19" s="2">
        <f>N8/'Output-Calculation-sheet'!N7*'Output-Calculation-sheet'!N25</f>
        <v>882.343766091769</v>
      </c>
      <c r="O19" s="2">
        <f>O8/'Output-Calculation-sheet'!O7*'Output-Calculation-sheet'!O25</f>
        <v>2410.1902410139919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314.83418457568757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287.95239115601595</v>
      </c>
      <c r="Y19" s="2">
        <f>Y8/'Output-Calculation-sheet'!Y7*'Output-Calculation-sheet'!Y25</f>
        <v>0</v>
      </c>
      <c r="AA19" s="2">
        <f t="shared" si="0"/>
        <v>23.471459131598813</v>
      </c>
    </row>
    <row r="20" spans="1:27" x14ac:dyDescent="0.25">
      <c r="A20" s="2">
        <v>2032</v>
      </c>
      <c r="B20" s="2">
        <f>B9/'Output-Calculation-sheet'!B8*'Output-Calculation-sheet'!B26</f>
        <v>4283.433888701773</v>
      </c>
      <c r="C20" s="2">
        <f>C9/'Output-Calculation-sheet'!C8*'Output-Calculation-sheet'!C26</f>
        <v>15686.54234734802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4660.2462607247235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3238.3366150508782</v>
      </c>
      <c r="N20" s="2">
        <f>N9/'Output-Calculation-sheet'!N8*'Output-Calculation-sheet'!N26</f>
        <v>1458.0451092841699</v>
      </c>
      <c r="O20" s="2">
        <f>O9/'Output-Calculation-sheet'!O8*'Output-Calculation-sheet'!O26</f>
        <v>3056.454414857441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531.08000131952338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362.24171386713516</v>
      </c>
      <c r="Y20" s="2">
        <f>Y9/'Output-Calculation-sheet'!Y8*'Output-Calculation-sheet'!Y26</f>
        <v>0</v>
      </c>
      <c r="AA20" s="2">
        <f t="shared" si="0"/>
        <v>33.276380351153662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21852.538295512284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5594.7226048659977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3885.9994321616718</v>
      </c>
      <c r="N21" s="2">
        <f>N10/'Output-Calculation-sheet'!N9*'Output-Calculation-sheet'!N27</f>
        <v>2126.2594886214943</v>
      </c>
      <c r="O21" s="2">
        <f>O10/'Output-Calculation-sheet'!O9*'Output-Calculation-sheet'!O27</f>
        <v>3712.4781323960283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925.31926130677004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456.93963023864609</v>
      </c>
      <c r="Y21" s="2">
        <f>Y10/'Output-Calculation-sheet'!Y9*'Output-Calculation-sheet'!Y27</f>
        <v>0</v>
      </c>
      <c r="AA21" s="2">
        <f t="shared" si="0"/>
        <v>48.3763448838599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22398.154035438703</v>
      </c>
      <c r="D22" s="2">
        <f>D11/'Output-Calculation-sheet'!D10*'Output-Calculation-sheet'!D28</f>
        <v>0</v>
      </c>
      <c r="E22" s="2">
        <f>E11/'Output-Calculation-sheet'!E10*'Output-Calculation-sheet'!E28</f>
        <v>950.20819774063466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7386.1220622789415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560.42487054624542</v>
      </c>
      <c r="M22" s="2">
        <f>M11/'Output-Calculation-sheet'!M10*'Output-Calculation-sheet'!M28</f>
        <v>5090.8688987399337</v>
      </c>
      <c r="N22" s="2">
        <f>N11/'Output-Calculation-sheet'!N10*'Output-Calculation-sheet'!N28</f>
        <v>2929.8234090118062</v>
      </c>
      <c r="O22" s="2">
        <f>O11/'Output-Calculation-sheet'!O10*'Output-Calculation-sheet'!O28</f>
        <v>3944.3345605472559</v>
      </c>
      <c r="P22" s="2">
        <f>P11/'Output-Calculation-sheet'!P10*'Output-Calculation-sheet'!P28</f>
        <v>0</v>
      </c>
      <c r="Q22" s="2">
        <f>Q11/'Output-Calculation-sheet'!Q10*'Output-Calculation-sheet'!Q28</f>
        <v>1098.8374236664579</v>
      </c>
      <c r="R22" s="2">
        <f>R11/'Output-Calculation-sheet'!R10*'Output-Calculation-sheet'!R28</f>
        <v>0</v>
      </c>
      <c r="S22" s="2">
        <f>S11/'Output-Calculation-sheet'!S10*'Output-Calculation-sheet'!S28</f>
        <v>1485.8367416130982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521.46228771667438</v>
      </c>
      <c r="Y22" s="2">
        <f>Y11/'Output-Calculation-sheet'!Y10*'Output-Calculation-sheet'!Y28</f>
        <v>51.163524336568884</v>
      </c>
      <c r="AA22" s="2">
        <f t="shared" si="0"/>
        <v>64.809639128323113</v>
      </c>
    </row>
    <row r="23" spans="1:27" x14ac:dyDescent="0.25">
      <c r="A23" s="2">
        <v>2035</v>
      </c>
      <c r="B23" s="2">
        <f>B12/'Output-Calculation-sheet'!B11*'Output-Calculation-sheet'!B29</f>
        <v>25652.230930037353</v>
      </c>
      <c r="C23" s="2">
        <f>C12/'Output-Calculation-sheet'!C11*'Output-Calculation-sheet'!C29</f>
        <v>23919.318396590228</v>
      </c>
      <c r="D23" s="2">
        <f>D12/'Output-Calculation-sheet'!D11*'Output-Calculation-sheet'!D29</f>
        <v>0</v>
      </c>
      <c r="E23" s="2">
        <f>E12/'Output-Calculation-sheet'!E11*'Output-Calculation-sheet'!E29</f>
        <v>4712.008104727026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8232.2075338806881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1366.2260314164375</v>
      </c>
      <c r="M23" s="2">
        <f>M12/'Output-Calculation-sheet'!M11*'Output-Calculation-sheet'!M29</f>
        <v>5851.2341446369792</v>
      </c>
      <c r="N23" s="2">
        <f>N12/'Output-Calculation-sheet'!N11*'Output-Calculation-sheet'!N29</f>
        <v>3398.3316813219226</v>
      </c>
      <c r="O23" s="2">
        <f>O12/'Output-Calculation-sheet'!O11*'Output-Calculation-sheet'!O29</f>
        <v>3954.4327529535713</v>
      </c>
      <c r="P23" s="2">
        <f>P12/'Output-Calculation-sheet'!P11*'Output-Calculation-sheet'!P29</f>
        <v>546.615673785186</v>
      </c>
      <c r="Q23" s="2">
        <f>Q12/'Output-Calculation-sheet'!Q11*'Output-Calculation-sheet'!Q29</f>
        <v>1740.076219382411</v>
      </c>
      <c r="R23" s="2">
        <f>R12/'Output-Calculation-sheet'!R11*'Output-Calculation-sheet'!R29</f>
        <v>0</v>
      </c>
      <c r="S23" s="2">
        <f>S12/'Output-Calculation-sheet'!S11*'Output-Calculation-sheet'!S29</f>
        <v>1879.4111538921477</v>
      </c>
      <c r="T23" s="2">
        <f>T12/'Output-Calculation-sheet'!T11*'Output-Calculation-sheet'!T29</f>
        <v>0</v>
      </c>
      <c r="U23" s="2">
        <f>U12/'Output-Calculation-sheet'!U11*'Output-Calculation-sheet'!U29</f>
        <v>202.80746034452969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559.04256209049379</v>
      </c>
      <c r="Y23" s="2">
        <f>Y12/'Output-Calculation-sheet'!Y11*'Output-Calculation-sheet'!Y29</f>
        <v>172.49384358058606</v>
      </c>
      <c r="AA23" s="2">
        <f t="shared" si="0"/>
        <v>82.186436488639544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2168.4179502480833</v>
      </c>
      <c r="C27" s="2">
        <f>C5/'Output-Calculation-sheet'!C4*'Output-Calculation-sheet'!C13</f>
        <v>0</v>
      </c>
      <c r="D27" s="2">
        <f>D5/'Output-Calculation-sheet'!D4*'Output-Calculation-sheet'!D13</f>
        <v>387.3625095680614</v>
      </c>
      <c r="E27" s="2">
        <f>E5/'Output-Calculation-sheet'!E4*'Output-Calculation-sheet'!E13</f>
        <v>416.75420472560523</v>
      </c>
      <c r="F27" s="2">
        <f>F5/'Output-Calculation-sheet'!F4*'Output-Calculation-sheet'!F13</f>
        <v>210.27226744087841</v>
      </c>
      <c r="G27" s="2">
        <f>G5/'Output-Calculation-sheet'!G4*'Output-Calculation-sheet'!G13</f>
        <v>137.6969820975693</v>
      </c>
      <c r="H27" s="2">
        <f>H5/'Output-Calculation-sheet'!H4*'Output-Calculation-sheet'!H13</f>
        <v>0</v>
      </c>
      <c r="I27" s="2">
        <f>I5/'Output-Calculation-sheet'!I4*'Output-Calculation-sheet'!I13</f>
        <v>134.23708372142337</v>
      </c>
      <c r="J27" s="2">
        <f>J5/'Output-Calculation-sheet'!J4*'Output-Calculation-sheet'!J13</f>
        <v>119.49712886588522</v>
      </c>
      <c r="K27" s="2">
        <f>K5/'Output-Calculation-sheet'!K4*'Output-Calculation-sheet'!K13</f>
        <v>159.54426378509521</v>
      </c>
      <c r="L27" s="2">
        <f>L5/'Output-Calculation-sheet'!L4*'Output-Calculation-sheet'!L13</f>
        <v>134.76318599199658</v>
      </c>
      <c r="M27" s="2">
        <f>M5/'Output-Calculation-sheet'!M4*'Output-Calculation-sheet'!M13</f>
        <v>0</v>
      </c>
      <c r="N27" s="2">
        <f>N5/'Output-Calculation-sheet'!N4*'Output-Calculation-sheet'!N13</f>
        <v>258.66272783157029</v>
      </c>
      <c r="O27" s="2">
        <f>O5/'Output-Calculation-sheet'!O4*'Output-Calculation-sheet'!O13</f>
        <v>0</v>
      </c>
      <c r="P27" s="2">
        <f>P5/'Output-Calculation-sheet'!P4*'Output-Calculation-sheet'!P13</f>
        <v>158.02181472811503</v>
      </c>
      <c r="Q27" s="2">
        <f>Q5/'Output-Calculation-sheet'!Q4*'Output-Calculation-sheet'!Q13</f>
        <v>175.86098471331613</v>
      </c>
      <c r="R27" s="2">
        <f>R5/'Output-Calculation-sheet'!R4*'Output-Calculation-sheet'!R13</f>
        <v>118.88956965713226</v>
      </c>
      <c r="S27" s="2">
        <f>S5/'Output-Calculation-sheet'!S4*'Output-Calculation-sheet'!S13</f>
        <v>137.21645831932483</v>
      </c>
      <c r="T27" s="2">
        <f>T5/'Output-Calculation-sheet'!T4*'Output-Calculation-sheet'!T13</f>
        <v>36.035341649726895</v>
      </c>
      <c r="U27" s="2">
        <f>U5/'Output-Calculation-sheet'!U4*'Output-Calculation-sheet'!U13</f>
        <v>35.972209631230882</v>
      </c>
      <c r="V27" s="2">
        <f>V5/'Output-Calculation-sheet'!V4*'Output-Calculation-sheet'!V13</f>
        <v>27.996477773935315</v>
      </c>
      <c r="W27" s="2">
        <f>W5/'Output-Calculation-sheet'!W4*'Output-Calculation-sheet'!W13</f>
        <v>16.980248955133693</v>
      </c>
      <c r="X27" s="2">
        <f>X5/'Output-Calculation-sheet'!X4*'Output-Calculation-sheet'!X13</f>
        <v>0</v>
      </c>
      <c r="Y27" s="2">
        <f>Y5/'Output-Calculation-sheet'!Y4*'Output-Calculation-sheet'!Y13</f>
        <v>14.356919846048267</v>
      </c>
      <c r="AA27" s="2">
        <f>SUM(B27:Y27)/1000</f>
        <v>4.8485383295501316</v>
      </c>
    </row>
    <row r="28" spans="1:27" x14ac:dyDescent="0.25">
      <c r="A28" s="2">
        <v>2029</v>
      </c>
      <c r="B28" s="2">
        <f>B6/'Output-Calculation-sheet'!B5*'Output-Calculation-sheet'!B14</f>
        <v>5450.6267810248974</v>
      </c>
      <c r="C28" s="2">
        <f>C6/'Output-Calculation-sheet'!C5*'Output-Calculation-sheet'!C14</f>
        <v>0</v>
      </c>
      <c r="D28" s="2">
        <f>D6/'Output-Calculation-sheet'!D5*'Output-Calculation-sheet'!D14</f>
        <v>973.62094107687381</v>
      </c>
      <c r="E28" s="2">
        <f>E6/'Output-Calculation-sheet'!E5*'Output-Calculation-sheet'!E14</f>
        <v>1047.5874761883697</v>
      </c>
      <c r="F28" s="2">
        <f>F6/'Output-Calculation-sheet'!F5*'Output-Calculation-sheet'!F14</f>
        <v>528.5134562351293</v>
      </c>
      <c r="G28" s="2">
        <f>G6/'Output-Calculation-sheet'!G5*'Output-Calculation-sheet'!G14</f>
        <v>346.11354143701686</v>
      </c>
      <c r="H28" s="2">
        <f>H6/'Output-Calculation-sheet'!H5*'Output-Calculation-sheet'!H14</f>
        <v>0</v>
      </c>
      <c r="I28" s="2">
        <f>I6/'Output-Calculation-sheet'!I5*'Output-Calculation-sheet'!I14</f>
        <v>337.41678089994491</v>
      </c>
      <c r="J28" s="2">
        <f>J6/'Output-Calculation-sheet'!J5*'Output-Calculation-sheet'!J14</f>
        <v>300.35096003923604</v>
      </c>
      <c r="K28" s="2">
        <f>K6/'Output-Calculation-sheet'!K5*'Output-Calculation-sheet'!K14</f>
        <v>401.0286159757141</v>
      </c>
      <c r="L28" s="2">
        <f>L6/'Output-Calculation-sheet'!L5*'Output-Calculation-sheet'!L14</f>
        <v>338.73918548174697</v>
      </c>
      <c r="M28" s="2">
        <f>M6/'Output-Calculation-sheet'!M5*'Output-Calculation-sheet'!M14</f>
        <v>0</v>
      </c>
      <c r="N28" s="2">
        <f>N6/'Output-Calculation-sheet'!N5*'Output-Calculation-sheet'!N14</f>
        <v>650.18315222105377</v>
      </c>
      <c r="O28" s="2">
        <f>O6/'Output-Calculation-sheet'!O5*'Output-Calculation-sheet'!O14</f>
        <v>0</v>
      </c>
      <c r="P28" s="2">
        <f>P6/'Output-Calculation-sheet'!P5*'Output-Calculation-sheet'!P14</f>
        <v>397.20180563650507</v>
      </c>
      <c r="Q28" s="2">
        <f>Q6/'Output-Calculation-sheet'!Q5*'Output-Calculation-sheet'!Q14</f>
        <v>442.052222801384</v>
      </c>
      <c r="R28" s="2">
        <f>R6/'Output-Calculation-sheet'!R5*'Output-Calculation-sheet'!R14</f>
        <v>298.83944707513916</v>
      </c>
      <c r="S28" s="2">
        <f>S6/'Output-Calculation-sheet'!S5*'Output-Calculation-sheet'!S14</f>
        <v>344.9123012191252</v>
      </c>
      <c r="T28" s="2">
        <f>T6/'Output-Calculation-sheet'!T5*'Output-Calculation-sheet'!T14</f>
        <v>90.578017944083726</v>
      </c>
      <c r="U28" s="2">
        <f>U6/'Output-Calculation-sheet'!U5*'Output-Calculation-sheet'!U14</f>
        <v>90.416112033859392</v>
      </c>
      <c r="V28" s="2">
        <f>V6/'Output-Calculation-sheet'!V5*'Output-Calculation-sheet'!V14</f>
        <v>70.36914132381834</v>
      </c>
      <c r="W28" s="2">
        <f>W6/'Output-Calculation-sheet'!W5*'Output-Calculation-sheet'!W14</f>
        <v>42.683506039201419</v>
      </c>
      <c r="X28" s="2">
        <f>X6/'Output-Calculation-sheet'!X5*'Output-Calculation-sheet'!X14</f>
        <v>0</v>
      </c>
      <c r="Y28" s="2">
        <f>Y6/'Output-Calculation-sheet'!Y5*'Output-Calculation-sheet'!Y14</f>
        <v>36.087387656195219</v>
      </c>
      <c r="AA28" s="2">
        <f t="shared" ref="AA28:AA34" si="1">SUM(B28:Y28)/1000</f>
        <v>12.187320832309293</v>
      </c>
    </row>
    <row r="29" spans="1:27" x14ac:dyDescent="0.25">
      <c r="A29" s="2">
        <v>2030</v>
      </c>
      <c r="B29" s="2">
        <f>B7/'Output-Calculation-sheet'!B6*'Output-Calculation-sheet'!B15</f>
        <v>9680.8503427449596</v>
      </c>
      <c r="C29" s="2">
        <f>C7/'Output-Calculation-sheet'!C6*'Output-Calculation-sheet'!C15</f>
        <v>0</v>
      </c>
      <c r="D29" s="2">
        <f>D7/'Output-Calculation-sheet'!D6*'Output-Calculation-sheet'!D15</f>
        <v>1693.4769059434007</v>
      </c>
      <c r="E29" s="2">
        <f>E7/'Output-Calculation-sheet'!E6*'Output-Calculation-sheet'!E15</f>
        <v>1822.0781812598548</v>
      </c>
      <c r="F29" s="2">
        <f>F7/'Output-Calculation-sheet'!F6*'Output-Calculation-sheet'!F15</f>
        <v>919.27371928240984</v>
      </c>
      <c r="G29" s="2">
        <f>G7/'Output-Calculation-sheet'!G6*'Output-Calculation-sheet'!G15</f>
        <v>602.00580669751787</v>
      </c>
      <c r="H29" s="2">
        <f>H7/'Output-Calculation-sheet'!H6*'Output-Calculation-sheet'!H15</f>
        <v>0</v>
      </c>
      <c r="I29" s="2">
        <f>I7/'Output-Calculation-sheet'!I6*'Output-Calculation-sheet'!I15</f>
        <v>586.87926665797454</v>
      </c>
      <c r="J29" s="2">
        <f>J7/'Output-Calculation-sheet'!J6*'Output-Calculation-sheet'!J15</f>
        <v>522.4186255892356</v>
      </c>
      <c r="K29" s="2">
        <f>K7/'Output-Calculation-sheet'!K6*'Output-Calculation-sheet'!K15</f>
        <v>697.53927685320855</v>
      </c>
      <c r="L29" s="2">
        <f>L7/'Output-Calculation-sheet'!L6*'Output-Calculation-sheet'!L15</f>
        <v>589.19368683115022</v>
      </c>
      <c r="M29" s="2">
        <f>M7/'Output-Calculation-sheet'!M6*'Output-Calculation-sheet'!M15</f>
        <v>0</v>
      </c>
      <c r="N29" s="2">
        <f>N7/'Output-Calculation-sheet'!N6*'Output-Calculation-sheet'!N15</f>
        <v>760.16919619477528</v>
      </c>
      <c r="O29" s="2">
        <f>O7/'Output-Calculation-sheet'!O6*'Output-Calculation-sheet'!O15</f>
        <v>0</v>
      </c>
      <c r="P29" s="2">
        <f>P7/'Output-Calculation-sheet'!P6*'Output-Calculation-sheet'!P15</f>
        <v>690.86517803126105</v>
      </c>
      <c r="Q29" s="2">
        <f>Q7/'Output-Calculation-sheet'!Q6*'Output-Calculation-sheet'!Q15</f>
        <v>778.47067775385005</v>
      </c>
      <c r="R29" s="2">
        <f>R7/'Output-Calculation-sheet'!R6*'Output-Calculation-sheet'!R15</f>
        <v>519.78053693760717</v>
      </c>
      <c r="S29" s="2">
        <f>S7/'Output-Calculation-sheet'!S6*'Output-Calculation-sheet'!S15</f>
        <v>536.87830172164774</v>
      </c>
      <c r="T29" s="2">
        <f>T7/'Output-Calculation-sheet'!T6*'Output-Calculation-sheet'!T15</f>
        <v>157.54510076403079</v>
      </c>
      <c r="U29" s="2">
        <f>U7/'Output-Calculation-sheet'!U6*'Output-Calculation-sheet'!U15</f>
        <v>157.26535861244582</v>
      </c>
      <c r="V29" s="2">
        <f>V7/'Output-Calculation-sheet'!V6*'Output-Calculation-sheet'!V15</f>
        <v>122.39662581881235</v>
      </c>
      <c r="W29" s="2">
        <f>W7/'Output-Calculation-sheet'!W6*'Output-Calculation-sheet'!W15</f>
        <v>74.239474152718984</v>
      </c>
      <c r="X29" s="2">
        <f>X7/'Output-Calculation-sheet'!X6*'Output-Calculation-sheet'!X15</f>
        <v>0</v>
      </c>
      <c r="Y29" s="2">
        <f>Y7/'Output-Calculation-sheet'!Y6*'Output-Calculation-sheet'!Y15</f>
        <v>62.767890638936969</v>
      </c>
      <c r="AA29" s="2">
        <f t="shared" si="1"/>
        <v>20.974094152485797</v>
      </c>
    </row>
    <row r="30" spans="1:27" x14ac:dyDescent="0.25">
      <c r="A30" s="2">
        <v>2031</v>
      </c>
      <c r="B30" s="2">
        <f>B8/'Output-Calculation-sheet'!B7*'Output-Calculation-sheet'!B16</f>
        <v>14408.944633028175</v>
      </c>
      <c r="C30" s="2">
        <f>C8/'Output-Calculation-sheet'!C7*'Output-Calculation-sheet'!C16</f>
        <v>0</v>
      </c>
      <c r="D30" s="2">
        <f>D8/'Output-Calculation-sheet'!D7*'Output-Calculation-sheet'!D16</f>
        <v>2426.2757949240959</v>
      </c>
      <c r="E30" s="2">
        <f>E8/'Output-Calculation-sheet'!E7*'Output-Calculation-sheet'!E16</f>
        <v>2610.5356759530309</v>
      </c>
      <c r="F30" s="2">
        <f>F8/'Output-Calculation-sheet'!F7*'Output-Calculation-sheet'!F16</f>
        <v>1317.0291398891804</v>
      </c>
      <c r="G30" s="2">
        <f>G8/'Output-Calculation-sheet'!G7*'Output-Calculation-sheet'!G16</f>
        <v>862.49766094885206</v>
      </c>
      <c r="H30" s="2">
        <f>H8/'Output-Calculation-sheet'!H7*'Output-Calculation-sheet'!H16</f>
        <v>0</v>
      </c>
      <c r="I30" s="2">
        <f>I8/'Output-Calculation-sheet'!I7*'Output-Calculation-sheet'!I16</f>
        <v>840.80607652168567</v>
      </c>
      <c r="J30" s="2">
        <f>J8/'Output-Calculation-sheet'!J7*'Output-Calculation-sheet'!J16</f>
        <v>748.47908150005264</v>
      </c>
      <c r="K30" s="2">
        <f>K8/'Output-Calculation-sheet'!K7*'Output-Calculation-sheet'!K16</f>
        <v>999.36263795074433</v>
      </c>
      <c r="L30" s="2">
        <f>L8/'Output-Calculation-sheet'!L7*'Output-Calculation-sheet'!L16</f>
        <v>844.13652323847998</v>
      </c>
      <c r="M30" s="2">
        <f>M8/'Output-Calculation-sheet'!M7*'Output-Calculation-sheet'!M16</f>
        <v>0</v>
      </c>
      <c r="N30" s="2">
        <f>N8/'Output-Calculation-sheet'!N7*'Output-Calculation-sheet'!N16</f>
        <v>1199.024813794683</v>
      </c>
      <c r="O30" s="2">
        <f>O8/'Output-Calculation-sheet'!O7*'Output-Calculation-sheet'!O16</f>
        <v>0</v>
      </c>
      <c r="P30" s="2">
        <f>P8/'Output-Calculation-sheet'!P7*'Output-Calculation-sheet'!P16</f>
        <v>1077.6441594926641</v>
      </c>
      <c r="Q30" s="2">
        <f>Q8/'Output-Calculation-sheet'!Q7*'Output-Calculation-sheet'!Q16</f>
        <v>1185.0526728597515</v>
      </c>
      <c r="R30" s="2">
        <f>R8/'Output-Calculation-sheet'!R7*'Output-Calculation-sheet'!R16</f>
        <v>751.92107162365403</v>
      </c>
      <c r="S30" s="2">
        <f>S8/'Output-Calculation-sheet'!S7*'Output-Calculation-sheet'!S16</f>
        <v>756.21211026712785</v>
      </c>
      <c r="T30" s="2">
        <f>T8/'Output-Calculation-sheet'!T7*'Output-Calculation-sheet'!T16</f>
        <v>225.71589740695438</v>
      </c>
      <c r="U30" s="2">
        <f>U8/'Output-Calculation-sheet'!U7*'Output-Calculation-sheet'!U16</f>
        <v>225.31243596397678</v>
      </c>
      <c r="V30" s="2">
        <f>V8/'Output-Calculation-sheet'!V7*'Output-Calculation-sheet'!V16</f>
        <v>175.35638606563165</v>
      </c>
      <c r="W30" s="2">
        <f>W8/'Output-Calculation-sheet'!W7*'Output-Calculation-sheet'!W16</f>
        <v>106.36248830891378</v>
      </c>
      <c r="X30" s="2">
        <f>X8/'Output-Calculation-sheet'!X7*'Output-Calculation-sheet'!X16</f>
        <v>0</v>
      </c>
      <c r="Y30" s="2">
        <f>Y8/'Output-Calculation-sheet'!Y7*'Output-Calculation-sheet'!Y16</f>
        <v>90.0237542843726</v>
      </c>
      <c r="AA30" s="2">
        <f t="shared" si="1"/>
        <v>30.850693014022028</v>
      </c>
    </row>
    <row r="31" spans="1:27" x14ac:dyDescent="0.25">
      <c r="A31" s="2">
        <v>2032</v>
      </c>
      <c r="B31" s="2">
        <f>B9/'Output-Calculation-sheet'!B8*'Output-Calculation-sheet'!B17</f>
        <v>18137.47427774081</v>
      </c>
      <c r="C31" s="2">
        <f>C9/'Output-Calculation-sheet'!C8*'Output-Calculation-sheet'!C17</f>
        <v>0</v>
      </c>
      <c r="D31" s="2">
        <f>D9/'Output-Calculation-sheet'!D8*'Output-Calculation-sheet'!D17</f>
        <v>3041.8925748761212</v>
      </c>
      <c r="E31" s="2">
        <f>E9/'Output-Calculation-sheet'!E8*'Output-Calculation-sheet'!E17</f>
        <v>3575.3291134201008</v>
      </c>
      <c r="F31" s="2">
        <f>F9/'Output-Calculation-sheet'!F8*'Output-Calculation-sheet'!F17</f>
        <v>1651.237980855102</v>
      </c>
      <c r="G31" s="2">
        <f>G9/'Output-Calculation-sheet'!G8*'Output-Calculation-sheet'!G17</f>
        <v>1081.3547386840125</v>
      </c>
      <c r="H31" s="2">
        <f>H9/'Output-Calculation-sheet'!H8*'Output-Calculation-sheet'!H17</f>
        <v>0</v>
      </c>
      <c r="I31" s="2">
        <f>I9/'Output-Calculation-sheet'!I8*'Output-Calculation-sheet'!I17</f>
        <v>1054.1638951851369</v>
      </c>
      <c r="J31" s="2">
        <f>J9/'Output-Calculation-sheet'!J8*'Output-Calculation-sheet'!J17</f>
        <v>938.40905655705978</v>
      </c>
      <c r="K31" s="2">
        <f>K9/'Output-Calculation-sheet'!K8*'Output-Calculation-sheet'!K17</f>
        <v>1336.0453353746086</v>
      </c>
      <c r="L31" s="2">
        <f>L9/'Output-Calculation-sheet'!L8*'Output-Calculation-sheet'!L17</f>
        <v>1139.4118002429004</v>
      </c>
      <c r="M31" s="2">
        <f>M9/'Output-Calculation-sheet'!M8*'Output-Calculation-sheet'!M17</f>
        <v>0</v>
      </c>
      <c r="N31" s="2">
        <f>N9/'Output-Calculation-sheet'!N8*'Output-Calculation-sheet'!N17</f>
        <v>1243.1887812049297</v>
      </c>
      <c r="O31" s="2">
        <f>O9/'Output-Calculation-sheet'!O8*'Output-Calculation-sheet'!O17</f>
        <v>0</v>
      </c>
      <c r="P31" s="2">
        <f>P9/'Output-Calculation-sheet'!P8*'Output-Calculation-sheet'!P17</f>
        <v>1537.3657904666709</v>
      </c>
      <c r="Q31" s="2">
        <f>Q9/'Output-Calculation-sheet'!Q8*'Output-Calculation-sheet'!Q17</f>
        <v>1638.9731811166532</v>
      </c>
      <c r="R31" s="2">
        <f>R9/'Output-Calculation-sheet'!R8*'Output-Calculation-sheet'!R17</f>
        <v>1072.3028738148926</v>
      </c>
      <c r="S31" s="2">
        <f>S9/'Output-Calculation-sheet'!S8*'Output-Calculation-sheet'!S17</f>
        <v>922.66903645395757</v>
      </c>
      <c r="T31" s="2">
        <f>T9/'Output-Calculation-sheet'!T8*'Output-Calculation-sheet'!T17</f>
        <v>290.97721913279247</v>
      </c>
      <c r="U31" s="2">
        <f>U9/'Output-Calculation-sheet'!U8*'Output-Calculation-sheet'!U17</f>
        <v>334.42558877545628</v>
      </c>
      <c r="V31" s="2">
        <f>V9/'Output-Calculation-sheet'!V8*'Output-Calculation-sheet'!V17</f>
        <v>239.5331811084221</v>
      </c>
      <c r="W31" s="2">
        <f>W9/'Output-Calculation-sheet'!W8*'Output-Calculation-sheet'!W17</f>
        <v>133.35377353537737</v>
      </c>
      <c r="X31" s="2">
        <f>X9/'Output-Calculation-sheet'!X8*'Output-Calculation-sheet'!X17</f>
        <v>0</v>
      </c>
      <c r="Y31" s="2">
        <f>Y9/'Output-Calculation-sheet'!Y8*'Output-Calculation-sheet'!Y17</f>
        <v>128.8486366709657</v>
      </c>
      <c r="AA31" s="2">
        <f t="shared" si="1"/>
        <v>39.496956835215975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1195.6351462415848</v>
      </c>
      <c r="O32" s="2">
        <f>O10/'Output-Calculation-sheet'!O9*'Output-Calculation-sheet'!O18</f>
        <v>0</v>
      </c>
      <c r="P32" s="2">
        <f>P10/'Output-Calculation-sheet'!P9*'Output-Calculation-sheet'!P18</f>
        <v>1925.1037869990973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1382.3523999324341</v>
      </c>
      <c r="S32" s="2">
        <f>S10/'Output-Calculation-sheet'!S9*'Output-Calculation-sheet'!S18</f>
        <v>904.71308718756063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446.27733817384399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47.151574688519787</v>
      </c>
    </row>
    <row r="33" spans="1:27" x14ac:dyDescent="0.25">
      <c r="A33" s="2">
        <v>2034</v>
      </c>
      <c r="B33" s="2">
        <f>B11/'Output-Calculation-sheet'!B10*'Output-Calculation-sheet'!B19</f>
        <v>18551.367553654665</v>
      </c>
      <c r="C33" s="2">
        <f>C11/'Output-Calculation-sheet'!C10*'Output-Calculation-sheet'!C19</f>
        <v>0</v>
      </c>
      <c r="D33" s="2">
        <f>D11/'Output-Calculation-sheet'!D10*'Output-Calculation-sheet'!D19</f>
        <v>5533.389575246144</v>
      </c>
      <c r="E33" s="2">
        <f>E11/'Output-Calculation-sheet'!E10*'Output-Calculation-sheet'!E19</f>
        <v>6855.9638807730644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1883.6600287946751</v>
      </c>
      <c r="H33" s="2">
        <f>H11/'Output-Calculation-sheet'!H10*'Output-Calculation-sheet'!H19</f>
        <v>0</v>
      </c>
      <c r="I33" s="2">
        <f>I11/'Output-Calculation-sheet'!I10*'Output-Calculation-sheet'!I19</f>
        <v>2055.3330444651451</v>
      </c>
      <c r="J33" s="2">
        <f>J11/'Output-Calculation-sheet'!J10*'Output-Calculation-sheet'!J19</f>
        <v>1737.6854969660949</v>
      </c>
      <c r="K33" s="2">
        <f>K11/'Output-Calculation-sheet'!K10*'Output-Calculation-sheet'!K19</f>
        <v>2411.5868779461102</v>
      </c>
      <c r="L33" s="2">
        <f>L11/'Output-Calculation-sheet'!L10*'Output-Calculation-sheet'!L19</f>
        <v>1962.1488327478969</v>
      </c>
      <c r="M33" s="2">
        <f>M11/'Output-Calculation-sheet'!M10*'Output-Calculation-sheet'!M19</f>
        <v>0</v>
      </c>
      <c r="N33" s="2">
        <f>N11/'Output-Calculation-sheet'!N10*'Output-Calculation-sheet'!N19</f>
        <v>1108.957883724371</v>
      </c>
      <c r="O33" s="2">
        <f>O11/'Output-Calculation-sheet'!O10*'Output-Calculation-sheet'!O19</f>
        <v>0</v>
      </c>
      <c r="P33" s="2">
        <f>P11/'Output-Calculation-sheet'!P10*'Output-Calculation-sheet'!P19</f>
        <v>2440.1005130853828</v>
      </c>
      <c r="Q33" s="2">
        <f>Q11/'Output-Calculation-sheet'!Q10*'Output-Calculation-sheet'!Q19</f>
        <v>1953.7596583479944</v>
      </c>
      <c r="R33" s="2">
        <f>R11/'Output-Calculation-sheet'!R10*'Output-Calculation-sheet'!R19</f>
        <v>1742.1675099404595</v>
      </c>
      <c r="S33" s="2">
        <f>S11/'Output-Calculation-sheet'!S10*'Output-Calculation-sheet'!S19</f>
        <v>814.27843058535097</v>
      </c>
      <c r="T33" s="2">
        <f>T11/'Output-Calculation-sheet'!T10*'Output-Calculation-sheet'!T19</f>
        <v>511.18209895617275</v>
      </c>
      <c r="U33" s="2">
        <f>U11/'Output-Calculation-sheet'!U10*'Output-Calculation-sheet'!U19</f>
        <v>587.86919592692732</v>
      </c>
      <c r="V33" s="2">
        <f>V11/'Output-Calculation-sheet'!V10*'Output-Calculation-sheet'!V19</f>
        <v>400.90059636578536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98.592931448860256</v>
      </c>
      <c r="Y33" s="2">
        <f>Y11/'Output-Calculation-sheet'!Y10*'Output-Calculation-sheet'!Y19</f>
        <v>224.9795235299913</v>
      </c>
      <c r="AA33" s="2">
        <f t="shared" si="1"/>
        <v>54.268994710314679</v>
      </c>
    </row>
    <row r="34" spans="1:27" x14ac:dyDescent="0.25">
      <c r="A34" s="2">
        <v>2035</v>
      </c>
      <c r="B34" s="2">
        <f>B12/'Output-Calculation-sheet'!B11*'Output-Calculation-sheet'!B20</f>
        <v>17803.686977149551</v>
      </c>
      <c r="C34" s="2">
        <f>C12/'Output-Calculation-sheet'!C11*'Output-Calculation-sheet'!C20</f>
        <v>0</v>
      </c>
      <c r="D34" s="2">
        <f>D12/'Output-Calculation-sheet'!D11*'Output-Calculation-sheet'!D20</f>
        <v>6597.5972417919411</v>
      </c>
      <c r="E34" s="2">
        <f>E12/'Output-Calculation-sheet'!E11*'Output-Calculation-sheet'!E20</f>
        <v>5949.4473741755855</v>
      </c>
      <c r="F34" s="2">
        <f>F12/'Output-Calculation-sheet'!F11*'Output-Calculation-sheet'!F20</f>
        <v>4218.0139304666445</v>
      </c>
      <c r="G34" s="2">
        <f>G12/'Output-Calculation-sheet'!G11*'Output-Calculation-sheet'!G20</f>
        <v>2098.8319002618196</v>
      </c>
      <c r="H34" s="2">
        <f>H12/'Output-Calculation-sheet'!H11*'Output-Calculation-sheet'!H20</f>
        <v>0</v>
      </c>
      <c r="I34" s="2">
        <f>I12/'Output-Calculation-sheet'!I11*'Output-Calculation-sheet'!I20</f>
        <v>2578.7678252929322</v>
      </c>
      <c r="J34" s="2">
        <f>J12/'Output-Calculation-sheet'!J11*'Output-Calculation-sheet'!J20</f>
        <v>2148.304542625423</v>
      </c>
      <c r="K34" s="2">
        <f>K12/'Output-Calculation-sheet'!K11*'Output-Calculation-sheet'!K20</f>
        <v>3023.4450574849766</v>
      </c>
      <c r="L34" s="2">
        <f>L12/'Output-Calculation-sheet'!L11*'Output-Calculation-sheet'!L20</f>
        <v>2057.140864996436</v>
      </c>
      <c r="M34" s="2">
        <f>M12/'Output-Calculation-sheet'!M11*'Output-Calculation-sheet'!M20</f>
        <v>0</v>
      </c>
      <c r="N34" s="2">
        <f>N12/'Output-Calculation-sheet'!N11*'Output-Calculation-sheet'!N20</f>
        <v>1177.4438697157761</v>
      </c>
      <c r="O34" s="2">
        <f>O12/'Output-Calculation-sheet'!O11*'Output-Calculation-sheet'!O20</f>
        <v>0</v>
      </c>
      <c r="P34" s="2">
        <f>P12/'Output-Calculation-sheet'!P11*'Output-Calculation-sheet'!P20</f>
        <v>2501.0366698591511</v>
      </c>
      <c r="Q34" s="2">
        <f>Q12/'Output-Calculation-sheet'!Q11*'Output-Calculation-sheet'!Q20</f>
        <v>1783.0896217940085</v>
      </c>
      <c r="R34" s="2">
        <f>R12/'Output-Calculation-sheet'!R11*'Output-Calculation-sheet'!R20</f>
        <v>2169.9008717927813</v>
      </c>
      <c r="S34" s="2">
        <f>S12/'Output-Calculation-sheet'!S11*'Output-Calculation-sheet'!S20</f>
        <v>776.99450271673015</v>
      </c>
      <c r="T34" s="2">
        <f>T12/'Output-Calculation-sheet'!T11*'Output-Calculation-sheet'!T20</f>
        <v>628.09255812593551</v>
      </c>
      <c r="U34" s="2">
        <f>U12/'Output-Calculation-sheet'!U11*'Output-Calculation-sheet'!U20</f>
        <v>575.08087304242372</v>
      </c>
      <c r="V34" s="2">
        <f>V12/'Output-Calculation-sheet'!V11*'Output-Calculation-sheet'!V20</f>
        <v>567.69816359651873</v>
      </c>
      <c r="W34" s="2">
        <f>W12/'Output-Calculation-sheet'!W11*'Output-Calculation-sheet'!W20</f>
        <v>335.32989399508978</v>
      </c>
      <c r="X34" s="2">
        <f>X12/'Output-Calculation-sheet'!X11*'Output-Calculation-sheet'!X20</f>
        <v>96.963784447464207</v>
      </c>
      <c r="Y34" s="2">
        <f>Y12/'Output-Calculation-sheet'!Y11*'Output-Calculation-sheet'!Y20</f>
        <v>180.82215538139516</v>
      </c>
      <c r="AA34" s="2">
        <f t="shared" si="1"/>
        <v>57.267688678712588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0.152722849866536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0.152722849866536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0.78548672752722082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0.15259893977628322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0.93808566730350407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1.5707522226351529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0.30515490004515483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7.5208273619284167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8848.2599121072071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1460.5723037892799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1032.1792828982143</v>
      </c>
      <c r="N51" s="2">
        <f>N7/'Output-Calculation-sheet'!N6*'Output-Calculation-sheet'!N42</f>
        <v>0</v>
      </c>
      <c r="O51" s="2">
        <f>O7/'Output-Calculation-sheet'!O6*'Output-Calculation-sheet'!O42</f>
        <v>1806.1734425607524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146.01047319229338</v>
      </c>
      <c r="Y51" s="2">
        <f>Y7/'Output-Calculation-sheet'!Y6*'Output-Calculation-sheet'!Y42</f>
        <v>0</v>
      </c>
      <c r="AA51" s="2">
        <f t="shared" si="3"/>
        <v>13.293195414547746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24113.782439295726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5259.7067504880843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3590.0058963035144</v>
      </c>
      <c r="N52" s="2">
        <f>N8/'Output-Calculation-sheet'!N7*'Output-Calculation-sheet'!N43</f>
        <v>114.7447068084294</v>
      </c>
      <c r="O52" s="2">
        <f>O8/'Output-Calculation-sheet'!O7*'Output-Calculation-sheet'!O43</f>
        <v>4885.4303213756157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464.27408172421735</v>
      </c>
      <c r="Y52" s="2">
        <f>Y8/'Output-Calculation-sheet'!Y7*'Output-Calculation-sheet'!Y43</f>
        <v>0</v>
      </c>
      <c r="AA52" s="2">
        <f t="shared" si="3"/>
        <v>38.427944195995579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39872.489821322313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9317.1740758881715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6381.8529470942412</v>
      </c>
      <c r="N53" s="2">
        <f>N9/'Output-Calculation-sheet'!N8*'Output-Calculation-sheet'!N44</f>
        <v>2258.6169071604095</v>
      </c>
      <c r="O53" s="2">
        <f>O9/'Output-Calculation-sheet'!O8*'Output-Calculation-sheet'!O44</f>
        <v>7907.2505956008135</v>
      </c>
      <c r="P53" s="2">
        <f>P9/'Output-Calculation-sheet'!P8*'Output-Calculation-sheet'!P44</f>
        <v>106.32127669055531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709.20621294222053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798.05547114896501</v>
      </c>
      <c r="Y53" s="2">
        <f>Y9/'Output-Calculation-sheet'!Y8*'Output-Calculation-sheet'!Y44</f>
        <v>0</v>
      </c>
      <c r="AA53" s="2">
        <f t="shared" si="3"/>
        <v>67.350967307847696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48546.638350370464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8868.6426852321783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333.09070778415395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110.65536769956512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49471.883365310925</v>
      </c>
      <c r="D55" s="2">
        <f>D11/'Output-Calculation-sheet'!D10*'Output-Calculation-sheet'!D46</f>
        <v>4882.8693112542906</v>
      </c>
      <c r="E55" s="2">
        <f>E11/'Output-Calculation-sheet'!E10*'Output-Calculation-sheet'!E46</f>
        <v>5966.3897249526808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16268.290546180138</v>
      </c>
      <c r="I55" s="2">
        <f>I11/'Output-Calculation-sheet'!I10*'Output-Calculation-sheet'!I46</f>
        <v>1181.5880602091515</v>
      </c>
      <c r="J55" s="2">
        <f>J11/'Output-Calculation-sheet'!J10*'Output-Calculation-sheet'!J46</f>
        <v>857.54844565897065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11150.391579024152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9142.5505146667929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3343.025570382782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4177.0940102127488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962.37240900694087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1163.985468476614</v>
      </c>
      <c r="Y55" s="2">
        <f>Y11/'Output-Calculation-sheet'!Y10*'Output-Calculation-sheet'!Y46</f>
        <v>295.1088104211106</v>
      </c>
      <c r="AA55" s="2">
        <f t="shared" si="3"/>
        <v>182.35520797149465</v>
      </c>
    </row>
    <row r="56" spans="1:27" x14ac:dyDescent="0.25">
      <c r="A56" s="2">
        <v>2035</v>
      </c>
      <c r="B56" s="2">
        <f>B12/'Output-Calculation-sheet'!B11*'Output-Calculation-sheet'!B47</f>
        <v>79979.059348655996</v>
      </c>
      <c r="C56" s="2">
        <f>C12/'Output-Calculation-sheet'!C11*'Output-Calculation-sheet'!C47</f>
        <v>50222.735539518704</v>
      </c>
      <c r="D56" s="2">
        <f>D12/'Output-Calculation-sheet'!D11*'Output-Calculation-sheet'!D47</f>
        <v>13914.217790642431</v>
      </c>
      <c r="E56" s="2">
        <f>E12/'Output-Calculation-sheet'!E11*'Output-Calculation-sheet'!E47</f>
        <v>20612.671063558741</v>
      </c>
      <c r="F56" s="2">
        <f>F12/'Output-Calculation-sheet'!F11*'Output-Calculation-sheet'!F47</f>
        <v>2989.335877825652</v>
      </c>
      <c r="G56" s="2">
        <f>G12/'Output-Calculation-sheet'!G11*'Output-Calculation-sheet'!G47</f>
        <v>4816.1945287786994</v>
      </c>
      <c r="H56" s="2">
        <f>H12/'Output-Calculation-sheet'!H11*'Output-Calculation-sheet'!H47</f>
        <v>16965.840483243643</v>
      </c>
      <c r="I56" s="2">
        <f>I12/'Output-Calculation-sheet'!I11*'Output-Calculation-sheet'!I47</f>
        <v>4725.6866520341437</v>
      </c>
      <c r="J56" s="2">
        <f>J12/'Output-Calculation-sheet'!J11*'Output-Calculation-sheet'!J47</f>
        <v>3780.4765950612018</v>
      </c>
      <c r="K56" s="2">
        <f>K12/'Output-Calculation-sheet'!K11*'Output-Calculation-sheet'!K47</f>
        <v>5070.361678685681</v>
      </c>
      <c r="L56" s="2">
        <f>L12/'Output-Calculation-sheet'!L11*'Output-Calculation-sheet'!L47</f>
        <v>4247.1434568270943</v>
      </c>
      <c r="M56" s="2">
        <f>M12/'Output-Calculation-sheet'!M11*'Output-Calculation-sheet'!M47</f>
        <v>11747.121945364412</v>
      </c>
      <c r="N56" s="2">
        <f>N12/'Output-Calculation-sheet'!N11*'Output-Calculation-sheet'!N47</f>
        <v>9838.8045047873511</v>
      </c>
      <c r="O56" s="2">
        <f>O12/'Output-Calculation-sheet'!O11*'Output-Calculation-sheet'!O47</f>
        <v>9194.7989618869015</v>
      </c>
      <c r="P56" s="2">
        <f>P12/'Output-Calculation-sheet'!P11*'Output-Calculation-sheet'!P47</f>
        <v>5260.124166591173</v>
      </c>
      <c r="Q56" s="2">
        <f>Q12/'Output-Calculation-sheet'!Q11*'Output-Calculation-sheet'!Q47</f>
        <v>5315.4160736505492</v>
      </c>
      <c r="R56" s="2">
        <f>R12/'Output-Calculation-sheet'!R11*'Output-Calculation-sheet'!R47</f>
        <v>4149.6886790579129</v>
      </c>
      <c r="S56" s="2">
        <f>S12/'Output-Calculation-sheet'!S11*'Output-Calculation-sheet'!S47</f>
        <v>5195.9678092539625</v>
      </c>
      <c r="T56" s="2">
        <f>T12/'Output-Calculation-sheet'!T11*'Output-Calculation-sheet'!T47</f>
        <v>1567.511302172833</v>
      </c>
      <c r="U56" s="2">
        <f>U12/'Output-Calculation-sheet'!U11*'Output-Calculation-sheet'!U47</f>
        <v>1635.8027008652559</v>
      </c>
      <c r="V56" s="2">
        <f>V12/'Output-Calculation-sheet'!V11*'Output-Calculation-sheet'!V47</f>
        <v>850.17614314211073</v>
      </c>
      <c r="W56" s="2">
        <f>W12/'Output-Calculation-sheet'!W11*'Output-Calculation-sheet'!W47</f>
        <v>455.09841035250611</v>
      </c>
      <c r="X56" s="2">
        <f>X12/'Output-Calculation-sheet'!X11*'Output-Calculation-sheet'!X47</f>
        <v>1181.4309546347793</v>
      </c>
      <c r="Y56" s="2">
        <f>Y12/'Output-Calculation-sheet'!Y11*'Output-Calculation-sheet'!Y47</f>
        <v>659.65296585892736</v>
      </c>
      <c r="AA56" s="2">
        <f t="shared" si="3"/>
        <v>264.37531763245062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4.5420647974789752</v>
      </c>
      <c r="C60" s="2">
        <f>C5*'Output-Calculation-sheet'!C49/10^9</f>
        <v>2.2376605736280184</v>
      </c>
      <c r="D60" s="2">
        <f>D5*'Output-Calculation-sheet'!D49/10^9</f>
        <v>1.8754539496175204</v>
      </c>
      <c r="E60" s="2">
        <f>E5*'Output-Calculation-sheet'!E49/10^9</f>
        <v>1.8422484119147322</v>
      </c>
      <c r="F60" s="2">
        <f>F5*'Output-Calculation-sheet'!F49/10^9</f>
        <v>0.75621578322107597</v>
      </c>
      <c r="G60" s="2">
        <f>G5*'Output-Calculation-sheet'!G49/10^9</f>
        <v>0.55325307648755251</v>
      </c>
      <c r="H60" s="2">
        <f>H5*'Output-Calculation-sheet'!H49/10^9</f>
        <v>0.72879881671272195</v>
      </c>
      <c r="I60" s="2">
        <f>I5*'Output-Calculation-sheet'!I49/10^9</f>
        <v>0.51028962290783098</v>
      </c>
      <c r="J60" s="2">
        <f>J5*'Output-Calculation-sheet'!J49/10^9</f>
        <v>0.74851094246260996</v>
      </c>
      <c r="K60" s="2">
        <f>K5*'Output-Calculation-sheet'!K49/10^9</f>
        <v>0.61888564015325709</v>
      </c>
      <c r="L60" s="2">
        <f>L5*'Output-Calculation-sheet'!L49/10^9</f>
        <v>0.88912223821385161</v>
      </c>
      <c r="M60" s="2">
        <f>M5*'Output-Calculation-sheet'!M49/10^9</f>
        <v>0.63955433662032468</v>
      </c>
      <c r="N60" s="2">
        <f>N5*'Output-Calculation-sheet'!N49/10^9</f>
        <v>0.55847565481260208</v>
      </c>
      <c r="O60" s="2">
        <f>O5*'Output-Calculation-sheet'!O49/10^9</f>
        <v>0.46790936828999796</v>
      </c>
      <c r="P60" s="2">
        <f>P5*'Output-Calculation-sheet'!P49/10^9</f>
        <v>0.38199411688710538</v>
      </c>
      <c r="Q60" s="2">
        <f>Q5*'Output-Calculation-sheet'!Q49/10^9</f>
        <v>0.43653314491195638</v>
      </c>
      <c r="R60" s="2">
        <f>R5*'Output-Calculation-sheet'!R49/10^9</f>
        <v>0.42864700438170705</v>
      </c>
      <c r="S60" s="2">
        <f>S5*'Output-Calculation-sheet'!S49/10^9</f>
        <v>0.26777552237647467</v>
      </c>
      <c r="T60" s="2">
        <f>T5*'Output-Calculation-sheet'!T49/10^9</f>
        <v>0.16984086511964211</v>
      </c>
      <c r="U60" s="2">
        <f>U5*'Output-Calculation-sheet'!U49/10^9</f>
        <v>0.10867543338817924</v>
      </c>
      <c r="V60" s="2">
        <f>V5*'Output-Calculation-sheet'!V49/10^9</f>
        <v>0.21832786092333589</v>
      </c>
      <c r="W60" s="2">
        <f>W5*'Output-Calculation-sheet'!W49/10^9</f>
        <v>7.4161813143965027E-2</v>
      </c>
      <c r="X60" s="2">
        <f>X5*'Output-Calculation-sheet'!X49/10^9</f>
        <v>6.3471816437631168E-2</v>
      </c>
      <c r="Y60" s="2">
        <f>Y5*'Output-Calculation-sheet'!Y49/10^9</f>
        <v>4.6048347065892753E-2</v>
      </c>
      <c r="AA60" s="2">
        <f>SUM(B60:Y60)</f>
        <v>19.163919137156956</v>
      </c>
    </row>
    <row r="61" spans="1:27" x14ac:dyDescent="0.25">
      <c r="A61" s="2">
        <v>2029</v>
      </c>
      <c r="B61" s="2">
        <f>B6*'Output-Calculation-sheet'!B50/10^9</f>
        <v>5.2697561367081347</v>
      </c>
      <c r="C61" s="2">
        <f>C6*'Output-Calculation-sheet'!C50/10^9</f>
        <v>2.6914719797163738</v>
      </c>
      <c r="D61" s="2">
        <f>D6*'Output-Calculation-sheet'!D50/10^9</f>
        <v>2.0876462691251394</v>
      </c>
      <c r="E61" s="2">
        <f>E6*'Output-Calculation-sheet'!E50/10^9</f>
        <v>2.0569870686244474</v>
      </c>
      <c r="F61" s="2">
        <f>F6*'Output-Calculation-sheet'!F50/10^9</f>
        <v>0.85117255326683749</v>
      </c>
      <c r="G61" s="2">
        <f>G6*'Output-Calculation-sheet'!G50/10^9</f>
        <v>0.61992025958530939</v>
      </c>
      <c r="H61" s="2">
        <f>H6*'Output-Calculation-sheet'!H50/10^9</f>
        <v>0.85132862885012339</v>
      </c>
      <c r="I61" s="2">
        <f>I6*'Output-Calculation-sheet'!I50/10^9</f>
        <v>0.57303641303212105</v>
      </c>
      <c r="J61" s="2">
        <f>J6*'Output-Calculation-sheet'!J50/10^9</f>
        <v>0.8270992439835434</v>
      </c>
      <c r="K61" s="2">
        <f>K6*'Output-Calculation-sheet'!K50/10^9</f>
        <v>0.69442019846358494</v>
      </c>
      <c r="L61" s="2">
        <f>L6*'Output-Calculation-sheet'!L50/10^9</f>
        <v>0.98122671810697171</v>
      </c>
      <c r="M61" s="2">
        <f>M6*'Output-Calculation-sheet'!M50/10^9</f>
        <v>0.73497604260532923</v>
      </c>
      <c r="N61" s="2">
        <f>N6*'Output-Calculation-sheet'!N50/10^9</f>
        <v>0.64656709702332382</v>
      </c>
      <c r="O61" s="2">
        <f>O6*'Output-Calculation-sheet'!O50/10^9</f>
        <v>0.56334564133518783</v>
      </c>
      <c r="P61" s="2">
        <f>P6*'Output-Calculation-sheet'!P50/10^9</f>
        <v>0.43896318744162072</v>
      </c>
      <c r="Q61" s="2">
        <f>Q6*'Output-Calculation-sheet'!Q50/10^9</f>
        <v>0.50081602073563636</v>
      </c>
      <c r="R61" s="2">
        <f>R6*'Output-Calculation-sheet'!R50/10^9</f>
        <v>0.48242000281894953</v>
      </c>
      <c r="S61" s="2">
        <f>S6*'Output-Calculation-sheet'!S50/10^9</f>
        <v>0.31230589196081071</v>
      </c>
      <c r="T61" s="2">
        <f>T6*'Output-Calculation-sheet'!T50/10^9</f>
        <v>0.18922326768662698</v>
      </c>
      <c r="U61" s="2">
        <f>U6*'Output-Calculation-sheet'!U50/10^9</f>
        <v>0.12332147426102737</v>
      </c>
      <c r="V61" s="2">
        <f>V6*'Output-Calculation-sheet'!V50/10^9</f>
        <v>0.24005889886024531</v>
      </c>
      <c r="W61" s="2">
        <f>W6*'Output-Calculation-sheet'!W50/10^9</f>
        <v>8.2841705365893026E-2</v>
      </c>
      <c r="X61" s="2">
        <f>X6*'Output-Calculation-sheet'!X50/10^9</f>
        <v>7.4189039146709101E-2</v>
      </c>
      <c r="Y61" s="2">
        <f>Y6*'Output-Calculation-sheet'!Y50/10^9</f>
        <v>5.2100442259517675E-2</v>
      </c>
      <c r="AA61" s="2">
        <f t="shared" ref="AA61:AA67" si="4">SUM(B61:Y61)</f>
        <v>21.945194180963469</v>
      </c>
    </row>
    <row r="62" spans="1:27" x14ac:dyDescent="0.25">
      <c r="A62" s="2">
        <v>2030</v>
      </c>
      <c r="B62" s="2">
        <f>B7*'Output-Calculation-sheet'!B51/10^9</f>
        <v>5.6115589033136368</v>
      </c>
      <c r="C62" s="2">
        <f>C7*'Output-Calculation-sheet'!C51/10^9</f>
        <v>3.1973194981892075</v>
      </c>
      <c r="D62" s="2">
        <f>D7*'Output-Calculation-sheet'!D51/10^9</f>
        <v>2.1057540665315284</v>
      </c>
      <c r="E62" s="2">
        <f>E7*'Output-Calculation-sheet'!E51/10^9</f>
        <v>2.0828470102284498</v>
      </c>
      <c r="F62" s="2">
        <f>F7*'Output-Calculation-sheet'!F51/10^9</f>
        <v>0.87050890654627755</v>
      </c>
      <c r="G62" s="2">
        <f>G7*'Output-Calculation-sheet'!G51/10^9</f>
        <v>0.63047614879310243</v>
      </c>
      <c r="H62" s="2">
        <f>H7*'Output-Calculation-sheet'!H51/10^9</f>
        <v>0.95763312074150075</v>
      </c>
      <c r="I62" s="2">
        <f>I7*'Output-Calculation-sheet'!I51/10^9</f>
        <v>0.58438199168513072</v>
      </c>
      <c r="J62" s="2">
        <f>J7*'Output-Calculation-sheet'!J51/10^9</f>
        <v>0.8265145505537751</v>
      </c>
      <c r="K62" s="2">
        <f>K7*'Output-Calculation-sheet'!K51/10^9</f>
        <v>0.70745571248037953</v>
      </c>
      <c r="L62" s="2">
        <f>L7*'Output-Calculation-sheet'!L51/10^9</f>
        <v>0.97893512511427905</v>
      </c>
      <c r="M62" s="2">
        <f>M7*'Output-Calculation-sheet'!M51/10^9</f>
        <v>0.80408931866558475</v>
      </c>
      <c r="N62" s="2">
        <f>N7*'Output-Calculation-sheet'!N51/10^9</f>
        <v>0.68691333942035326</v>
      </c>
      <c r="O62" s="2">
        <f>O7*'Output-Calculation-sheet'!O51/10^9</f>
        <v>0.66718733496531124</v>
      </c>
      <c r="P62" s="2">
        <f>P7*'Output-Calculation-sheet'!P51/10^9</f>
        <v>0.46026073137502188</v>
      </c>
      <c r="Q62" s="2">
        <f>Q7*'Output-Calculation-sheet'!Q51/10^9</f>
        <v>0.52525920750631361</v>
      </c>
      <c r="R62" s="2">
        <f>R7*'Output-Calculation-sheet'!R51/10^9</f>
        <v>0.49331455236292882</v>
      </c>
      <c r="S62" s="2">
        <f>S7*'Output-Calculation-sheet'!S51/10^9</f>
        <v>0.33608636026663607</v>
      </c>
      <c r="T62" s="2">
        <f>T7*'Output-Calculation-sheet'!T51/10^9</f>
        <v>0.19107606751617129</v>
      </c>
      <c r="U62" s="2">
        <f>U7*'Output-Calculation-sheet'!U51/10^9</f>
        <v>0.12738082642557841</v>
      </c>
      <c r="V62" s="2">
        <f>V7*'Output-Calculation-sheet'!V51/10^9</f>
        <v>0.23836197622486754</v>
      </c>
      <c r="W62" s="2">
        <f>W7*'Output-Calculation-sheet'!W51/10^9</f>
        <v>8.3927995444775375E-2</v>
      </c>
      <c r="X62" s="2">
        <f>X7*'Output-Calculation-sheet'!X51/10^9</f>
        <v>8.3857453636661791E-2</v>
      </c>
      <c r="Y62" s="2">
        <f>Y7*'Output-Calculation-sheet'!Y51/10^9</f>
        <v>5.3623536319311667E-2</v>
      </c>
      <c r="AA62" s="2">
        <f t="shared" si="4"/>
        <v>23.304723734306787</v>
      </c>
    </row>
    <row r="63" spans="1:27" x14ac:dyDescent="0.25">
      <c r="A63" s="2">
        <v>2031</v>
      </c>
      <c r="B63" s="2">
        <f>B8*'Output-Calculation-sheet'!B52/10^9</f>
        <v>5.611622250974726</v>
      </c>
      <c r="C63" s="2">
        <f>C8*'Output-Calculation-sheet'!C52/10^9</f>
        <v>3.5389141208371466</v>
      </c>
      <c r="D63" s="2">
        <f>D8*'Output-Calculation-sheet'!D52/10^9</f>
        <v>1.9243325029595579</v>
      </c>
      <c r="E63" s="2">
        <f>E8*'Output-Calculation-sheet'!E52/10^9</f>
        <v>1.9133123040356932</v>
      </c>
      <c r="F63" s="2">
        <f>F8*'Output-Calculation-sheet'!F52/10^9</f>
        <v>0.81028824773583119</v>
      </c>
      <c r="G63" s="2">
        <f>G8*'Output-Calculation-sheet'!G52/10^9</f>
        <v>0.58255993754671398</v>
      </c>
      <c r="H63" s="2">
        <f>H8*'Output-Calculation-sheet'!H52/10^9</f>
        <v>1.017585302425444</v>
      </c>
      <c r="I63" s="2">
        <f>I8*'Output-Calculation-sheet'!I52/10^9</f>
        <v>0.54191606439519591</v>
      </c>
      <c r="J63" s="2">
        <f>J8*'Output-Calculation-sheet'!J52/10^9</f>
        <v>0.74571396505578469</v>
      </c>
      <c r="K63" s="2">
        <f>K8*'Output-Calculation-sheet'!K52/10^9</f>
        <v>0.65517434737985991</v>
      </c>
      <c r="L63" s="2">
        <f>L8*'Output-Calculation-sheet'!L52/10^9</f>
        <v>0.88123977893385097</v>
      </c>
      <c r="M63" s="2">
        <f>M8*'Output-Calculation-sheet'!M52/10^9</f>
        <v>0.82596138018043153</v>
      </c>
      <c r="N63" s="2">
        <f>N8*'Output-Calculation-sheet'!N52/10^9</f>
        <v>0.68934604093324281</v>
      </c>
      <c r="O63" s="2">
        <f>O8*'Output-Calculation-sheet'!O52/10^9</f>
        <v>0.73508901235180268</v>
      </c>
      <c r="P63" s="2">
        <f>P8*'Output-Calculation-sheet'!P52/10^9</f>
        <v>0.4527086325036519</v>
      </c>
      <c r="Q63" s="2">
        <f>Q8*'Output-Calculation-sheet'!Q52/10^9</f>
        <v>0.51233071342221481</v>
      </c>
      <c r="R63" s="2">
        <f>R8*'Output-Calculation-sheet'!R52/10^9</f>
        <v>0.45997179759604956</v>
      </c>
      <c r="S63" s="2">
        <f>S8*'Output-Calculation-sheet'!S52/10^9</f>
        <v>0.34085742873560815</v>
      </c>
      <c r="T63" s="2">
        <f>T8*'Output-Calculation-sheet'!T52/10^9</f>
        <v>0.17487542055637059</v>
      </c>
      <c r="U63" s="2">
        <f>U8*'Output-Calculation-sheet'!U52/10^9</f>
        <v>0.12010249440595902</v>
      </c>
      <c r="V63" s="2">
        <f>V8*'Output-Calculation-sheet'!V52/10^9</f>
        <v>0.21315370826392493</v>
      </c>
      <c r="W63" s="2">
        <f>W8*'Output-Calculation-sheet'!W52/10^9</f>
        <v>7.7151805113059371E-2</v>
      </c>
      <c r="X63" s="2">
        <f>X8*'Output-Calculation-sheet'!X52/10^9</f>
        <v>8.8799947767680104E-2</v>
      </c>
      <c r="Y63" s="2">
        <f>Y8*'Output-Calculation-sheet'!Y52/10^9</f>
        <v>5.0339358037142276E-2</v>
      </c>
      <c r="AA63" s="2">
        <f t="shared" si="4"/>
        <v>22.963346562146935</v>
      </c>
    </row>
    <row r="64" spans="1:27" x14ac:dyDescent="0.25">
      <c r="A64" s="2">
        <v>2032</v>
      </c>
      <c r="B64" s="2">
        <f>B9*'Output-Calculation-sheet'!B53/10^9</f>
        <v>5.3706222330366717</v>
      </c>
      <c r="C64" s="2">
        <f>C9*'Output-Calculation-sheet'!C53/10^9</f>
        <v>3.6258933377161222</v>
      </c>
      <c r="D64" s="2">
        <f>D9*'Output-Calculation-sheet'!D53/10^9</f>
        <v>1.5893807330332848</v>
      </c>
      <c r="E64" s="2">
        <f>E9*'Output-Calculation-sheet'!E53/10^9</f>
        <v>1.6276033607946772</v>
      </c>
      <c r="F64" s="2">
        <f>F9*'Output-Calculation-sheet'!F53/10^9</f>
        <v>0.68651346802665125</v>
      </c>
      <c r="G64" s="2">
        <f>G9*'Output-Calculation-sheet'!G53/10^9</f>
        <v>0.48863876626733671</v>
      </c>
      <c r="H64" s="2">
        <f>H9*'Output-Calculation-sheet'!H53/10^9</f>
        <v>1.0040817438241316</v>
      </c>
      <c r="I64" s="2">
        <f>I9*'Output-Calculation-sheet'!I53/10^9</f>
        <v>0.45679746108190727</v>
      </c>
      <c r="J64" s="2">
        <f>J9*'Output-Calculation-sheet'!J53/10^9</f>
        <v>0.60470761467654477</v>
      </c>
      <c r="K64" s="2">
        <f>K9*'Output-Calculation-sheet'!K53/10^9</f>
        <v>0.56108495269415626</v>
      </c>
      <c r="L64" s="2">
        <f>L9*'Output-Calculation-sheet'!L53/10^9</f>
        <v>0.721831143775856</v>
      </c>
      <c r="M64" s="2">
        <f>M9*'Output-Calculation-sheet'!M53/10^9</f>
        <v>0.78691556296148535</v>
      </c>
      <c r="N64" s="2">
        <f>N9*'Output-Calculation-sheet'!N53/10^9</f>
        <v>0.66243937079569759</v>
      </c>
      <c r="O64" s="2">
        <f>O9*'Output-Calculation-sheet'!O53/10^9</f>
        <v>0.74992682228646945</v>
      </c>
      <c r="P64" s="2">
        <f>P9*'Output-Calculation-sheet'!P53/10^9</f>
        <v>0.42778195530288188</v>
      </c>
      <c r="Q64" s="2">
        <f>Q9*'Output-Calculation-sheet'!Q53/10^9</f>
        <v>0.47277084936863922</v>
      </c>
      <c r="R64" s="2">
        <f>R9*'Output-Calculation-sheet'!R53/10^9</f>
        <v>0.40527571132332163</v>
      </c>
      <c r="S64" s="2">
        <f>S9*'Output-Calculation-sheet'!S53/10^9</f>
        <v>0.33484777806148147</v>
      </c>
      <c r="T64" s="2">
        <f>T9*'Output-Calculation-sheet'!T53/10^9</f>
        <v>0.14568606945139378</v>
      </c>
      <c r="U64" s="2">
        <f>U9*'Output-Calculation-sheet'!U53/10^9</f>
        <v>0.10965481433535414</v>
      </c>
      <c r="V64" s="2">
        <f>V9*'Output-Calculation-sheet'!V53/10^9</f>
        <v>0.17291957290484247</v>
      </c>
      <c r="W64" s="2">
        <f>W9*'Output-Calculation-sheet'!W53/10^9</f>
        <v>6.4253796544542816E-2</v>
      </c>
      <c r="X64" s="2">
        <f>X9*'Output-Calculation-sheet'!X53/10^9</f>
        <v>8.7214055901901719E-2</v>
      </c>
      <c r="Y64" s="2">
        <f>Y9*'Output-Calculation-sheet'!Y53/10^9</f>
        <v>4.501829934364425E-2</v>
      </c>
      <c r="AA64" s="2">
        <f t="shared" si="4"/>
        <v>21.201859473508996</v>
      </c>
    </row>
    <row r="65" spans="1:27" x14ac:dyDescent="0.25">
      <c r="A65" s="2">
        <v>2033</v>
      </c>
      <c r="B65" s="2">
        <f>B10*'Output-Calculation-sheet'!B54/10^9</f>
        <v>5.3313919678489974</v>
      </c>
      <c r="C65" s="2">
        <f>C10*'Output-Calculation-sheet'!C54/10^9</f>
        <v>3.7877766118107776</v>
      </c>
      <c r="D65" s="2">
        <f>D10*'Output-Calculation-sheet'!D54/10^9</f>
        <v>1.2595400055078545</v>
      </c>
      <c r="E65" s="2">
        <f>E10*'Output-Calculation-sheet'!E54/10^9</f>
        <v>1.4182276427158285</v>
      </c>
      <c r="F65" s="2">
        <f>F10*'Output-Calculation-sheet'!F54/10^9</f>
        <v>0.57577615278836702</v>
      </c>
      <c r="G65" s="2">
        <f>G10*'Output-Calculation-sheet'!G54/10^9</f>
        <v>0.39532241055372641</v>
      </c>
      <c r="H65" s="2">
        <f>H10*'Output-Calculation-sheet'!H54/10^9</f>
        <v>0.97695597421884317</v>
      </c>
      <c r="I65" s="2">
        <f>I10*'Output-Calculation-sheet'!I54/10^9</f>
        <v>0.38493606392387297</v>
      </c>
      <c r="J65" s="2">
        <f>J10*'Output-Calculation-sheet'!J54/10^9</f>
        <v>0.46008445159035932</v>
      </c>
      <c r="K65" s="2">
        <f>K10*'Output-Calculation-sheet'!K54/10^9</f>
        <v>0.49084916447057236</v>
      </c>
      <c r="L65" s="2">
        <f>L10*'Output-Calculation-sheet'!L54/10^9</f>
        <v>0.57979609488982042</v>
      </c>
      <c r="M65" s="2">
        <f>M10*'Output-Calculation-sheet'!M54/10^9</f>
        <v>0.7376727232193665</v>
      </c>
      <c r="N65" s="2">
        <f>N10*'Output-Calculation-sheet'!N54/10^9</f>
        <v>0.6369998085696319</v>
      </c>
      <c r="O65" s="2">
        <f>O10*'Output-Calculation-sheet'!O54/10^9</f>
        <v>0.78115119690092993</v>
      </c>
      <c r="P65" s="2">
        <f>P10*'Output-Calculation-sheet'!P54/10^9</f>
        <v>0.41532259366182395</v>
      </c>
      <c r="Q65" s="2">
        <f>Q10*'Output-Calculation-sheet'!Q54/10^9</f>
        <v>0.45319713052386473</v>
      </c>
      <c r="R65" s="2">
        <f>R10*'Output-Calculation-sheet'!R54/10^9</f>
        <v>0.36563845277363793</v>
      </c>
      <c r="S65" s="2">
        <f>S10*'Output-Calculation-sheet'!S54/10^9</f>
        <v>0.33212438273963152</v>
      </c>
      <c r="T65" s="2">
        <f>T10*'Output-Calculation-sheet'!T54/10^9</f>
        <v>0.12224925723730122</v>
      </c>
      <c r="U65" s="2">
        <f>U10*'Output-Calculation-sheet'!U54/10^9</f>
        <v>0.10556295770051123</v>
      </c>
      <c r="V65" s="2">
        <f>V10*'Output-Calculation-sheet'!V54/10^9</f>
        <v>0.13528725608481515</v>
      </c>
      <c r="W65" s="2">
        <f>W10*'Output-Calculation-sheet'!W54/10^9</f>
        <v>5.1508946772770556E-2</v>
      </c>
      <c r="X65" s="2">
        <f>X10*'Output-Calculation-sheet'!X54/10^9</f>
        <v>8.4839083509022306E-2</v>
      </c>
      <c r="Y65" s="2">
        <f>Y10*'Output-Calculation-sheet'!Y54/10^9</f>
        <v>4.2394624120440344E-2</v>
      </c>
      <c r="AA65" s="2">
        <f t="shared" si="4"/>
        <v>19.924604954132761</v>
      </c>
    </row>
    <row r="66" spans="1:27" x14ac:dyDescent="0.25">
      <c r="A66" s="2">
        <v>2034</v>
      </c>
      <c r="B66" s="2">
        <f>B11*'Output-Calculation-sheet'!B55/10^9</f>
        <v>5.4645352609171995</v>
      </c>
      <c r="C66" s="2">
        <f>C11*'Output-Calculation-sheet'!C55/10^9</f>
        <v>4.1444216208768809</v>
      </c>
      <c r="D66" s="2">
        <f>D11*'Output-Calculation-sheet'!D55/10^9</f>
        <v>1.1431030344497914</v>
      </c>
      <c r="E66" s="2">
        <f>E11*'Output-Calculation-sheet'!E55/10^9</f>
        <v>1.3840974187092883</v>
      </c>
      <c r="F66" s="2">
        <f>F11*'Output-Calculation-sheet'!F55/10^9</f>
        <v>0.53193181943913559</v>
      </c>
      <c r="G66" s="2">
        <f>G11*'Output-Calculation-sheet'!G55/10^9</f>
        <v>0.38022618908596767</v>
      </c>
      <c r="H66" s="2">
        <f>H11*'Output-Calculation-sheet'!H55/10^9</f>
        <v>0.97640228279716612</v>
      </c>
      <c r="I66" s="2">
        <f>I11*'Output-Calculation-sheet'!I55/10^9</f>
        <v>0.37183763162259192</v>
      </c>
      <c r="J66" s="2">
        <f>J11*'Output-Calculation-sheet'!J55/10^9</f>
        <v>0.38236523043989473</v>
      </c>
      <c r="K66" s="2">
        <f>K11*'Output-Calculation-sheet'!K55/10^9</f>
        <v>0.45730354813166907</v>
      </c>
      <c r="L66" s="2">
        <f>L11*'Output-Calculation-sheet'!L55/10^9</f>
        <v>0.48430561966767438</v>
      </c>
      <c r="M66" s="2">
        <f>M11*'Output-Calculation-sheet'!M55/10^9</f>
        <v>0.70422228429459555</v>
      </c>
      <c r="N66" s="2">
        <f>N11*'Output-Calculation-sheet'!N55/10^9</f>
        <v>0.61530306252484057</v>
      </c>
      <c r="O66" s="2">
        <f>O11*'Output-Calculation-sheet'!O55/10^9</f>
        <v>0.82519632644064023</v>
      </c>
      <c r="P66" s="2">
        <f>P11*'Output-Calculation-sheet'!P55/10^9</f>
        <v>0.42295955101214433</v>
      </c>
      <c r="Q66" s="2">
        <f>Q11*'Output-Calculation-sheet'!Q55/10^9</f>
        <v>0.46174478311601613</v>
      </c>
      <c r="R66" s="2">
        <f>R11*'Output-Calculation-sheet'!R55/10^9</f>
        <v>0.34257564540137697</v>
      </c>
      <c r="S66" s="2">
        <f>S11*'Output-Calculation-sheet'!S55/10^9</f>
        <v>0.33707645876150732</v>
      </c>
      <c r="T66" s="2">
        <f>T11*'Output-Calculation-sheet'!T55/10^9</f>
        <v>0.10738347942150449</v>
      </c>
      <c r="U66" s="2">
        <f>U11*'Output-Calculation-sheet'!U55/10^9</f>
        <v>0.1096391484063181</v>
      </c>
      <c r="V66" s="2">
        <f>V11*'Output-Calculation-sheet'!V55/10^9</f>
        <v>0.10187165877273388</v>
      </c>
      <c r="W66" s="2">
        <f>W11*'Output-Calculation-sheet'!W55/10^9</f>
        <v>4.6123635958120933E-2</v>
      </c>
      <c r="X66" s="2">
        <f>X11*'Output-Calculation-sheet'!X55/10^9</f>
        <v>8.7533760607835423E-2</v>
      </c>
      <c r="Y66" s="2">
        <f>Y11*'Output-Calculation-sheet'!Y55/10^9</f>
        <v>4.5261144503160267E-2</v>
      </c>
      <c r="AA66" s="2">
        <f t="shared" si="4"/>
        <v>19.927420595358061</v>
      </c>
    </row>
    <row r="67" spans="1:27" x14ac:dyDescent="0.25">
      <c r="A67" s="2">
        <v>2035</v>
      </c>
      <c r="B67" s="2">
        <f>B12*'Output-Calculation-sheet'!B56/10^9</f>
        <v>6.2251236308177145</v>
      </c>
      <c r="C67" s="2">
        <f>C12*'Output-Calculation-sheet'!C56/10^9</f>
        <v>4.5119836576021042</v>
      </c>
      <c r="D67" s="2">
        <f>D12*'Output-Calculation-sheet'!D56/10^9</f>
        <v>1.4120055064626171</v>
      </c>
      <c r="E67" s="2">
        <f>E12*'Output-Calculation-sheet'!E56/10^9</f>
        <v>1.6807551367397804</v>
      </c>
      <c r="F67" s="2">
        <f>F12*'Output-Calculation-sheet'!F56/10^9</f>
        <v>0.68788361517046459</v>
      </c>
      <c r="G67" s="2">
        <f>G12*'Output-Calculation-sheet'!G56/10^9</f>
        <v>0.48351211704818187</v>
      </c>
      <c r="H67" s="2">
        <f>H12*'Output-Calculation-sheet'!H56/10^9</f>
        <v>1.1039658281701583</v>
      </c>
      <c r="I67" s="2">
        <f>I12*'Output-Calculation-sheet'!I56/10^9</f>
        <v>0.48419898101637321</v>
      </c>
      <c r="J67" s="2">
        <f>J12*'Output-Calculation-sheet'!J56/10^9</f>
        <v>0.43805501044905892</v>
      </c>
      <c r="K67" s="2">
        <f>K12*'Output-Calculation-sheet'!K56/10^9</f>
        <v>0.54366388065442928</v>
      </c>
      <c r="L67" s="2">
        <f>L12*'Output-Calculation-sheet'!L56/10^9</f>
        <v>0.5066359787384187</v>
      </c>
      <c r="M67" s="2">
        <f>M12*'Output-Calculation-sheet'!M56/10^9</f>
        <v>0.77865426258063597</v>
      </c>
      <c r="N67" s="2">
        <f>N12*'Output-Calculation-sheet'!N56/10^9</f>
        <v>0.66202632140861639</v>
      </c>
      <c r="O67" s="2">
        <f>O12*'Output-Calculation-sheet'!O56/10^9</f>
        <v>0.87157516160950665</v>
      </c>
      <c r="P67" s="2">
        <f>P12*'Output-Calculation-sheet'!P56/10^9</f>
        <v>0.51113008499026802</v>
      </c>
      <c r="Q67" s="2">
        <f>Q12*'Output-Calculation-sheet'!Q56/10^9</f>
        <v>0.51627368351050096</v>
      </c>
      <c r="R67" s="2">
        <f>R12*'Output-Calculation-sheet'!R56/10^9</f>
        <v>0.39421949918296695</v>
      </c>
      <c r="S67" s="2">
        <f>S12*'Output-Calculation-sheet'!S56/10^9</f>
        <v>0.37698821543405764</v>
      </c>
      <c r="T67" s="2">
        <f>T12*'Output-Calculation-sheet'!T56/10^9</f>
        <v>0.11990528860250567</v>
      </c>
      <c r="U67" s="2">
        <f>U12*'Output-Calculation-sheet'!U56/10^9</f>
        <v>0.13638085757331361</v>
      </c>
      <c r="V67" s="2">
        <f>V12*'Output-Calculation-sheet'!V56/10^9</f>
        <v>9.1927939154065094E-2</v>
      </c>
      <c r="W67" s="2">
        <f>W12*'Output-Calculation-sheet'!W56/10^9</f>
        <v>5.9536746786734783E-2</v>
      </c>
      <c r="X67" s="2">
        <f>X12*'Output-Calculation-sheet'!X56/10^9</f>
        <v>9.751227389577273E-2</v>
      </c>
      <c r="Y67" s="2">
        <f>Y12*'Output-Calculation-sheet'!Y56/10^9</f>
        <v>5.5948566857372962E-2</v>
      </c>
      <c r="AA67" s="2">
        <f t="shared" si="4"/>
        <v>22.74986224445562</v>
      </c>
    </row>
    <row r="68" spans="1:27" x14ac:dyDescent="0.25">
      <c r="B68" s="2">
        <f>SUM(B60:B67)</f>
        <v>43.426675181096051</v>
      </c>
      <c r="C68" s="2">
        <f t="shared" ref="C68:Y68" si="5">SUM(C60:C67)</f>
        <v>27.735441400376629</v>
      </c>
      <c r="D68" s="2">
        <f t="shared" si="5"/>
        <v>13.397216067687292</v>
      </c>
      <c r="E68" s="2">
        <f t="shared" si="5"/>
        <v>14.006078353762897</v>
      </c>
      <c r="F68" s="2">
        <f t="shared" si="5"/>
        <v>5.7702905461946408</v>
      </c>
      <c r="G68" s="2">
        <f t="shared" si="5"/>
        <v>4.1339089053678908</v>
      </c>
      <c r="H68" s="2">
        <f t="shared" si="5"/>
        <v>7.6167516977400886</v>
      </c>
      <c r="I68" s="2">
        <f t="shared" si="5"/>
        <v>3.9073942296650235</v>
      </c>
      <c r="J68" s="2">
        <f t="shared" si="5"/>
        <v>5.0330510092115706</v>
      </c>
      <c r="K68" s="2">
        <f t="shared" si="5"/>
        <v>4.7288374444279082</v>
      </c>
      <c r="L68" s="2">
        <f t="shared" si="5"/>
        <v>6.0230926974407231</v>
      </c>
      <c r="M68" s="2">
        <f t="shared" si="5"/>
        <v>6.0120459111277542</v>
      </c>
      <c r="N68" s="2">
        <f t="shared" si="5"/>
        <v>5.1580706954883082</v>
      </c>
      <c r="O68" s="2">
        <f t="shared" si="5"/>
        <v>5.6613808641798453</v>
      </c>
      <c r="P68" s="2">
        <f t="shared" si="5"/>
        <v>3.5111208531745177</v>
      </c>
      <c r="Q68" s="2">
        <f t="shared" si="5"/>
        <v>3.8789255330951424</v>
      </c>
      <c r="R68" s="2">
        <f t="shared" si="5"/>
        <v>3.3720626658409381</v>
      </c>
      <c r="S68" s="2">
        <f t="shared" si="5"/>
        <v>2.6380620383362072</v>
      </c>
      <c r="T68" s="2">
        <f t="shared" si="5"/>
        <v>1.2202397155915159</v>
      </c>
      <c r="U68" s="2">
        <f t="shared" si="5"/>
        <v>0.94071800649624115</v>
      </c>
      <c r="V68" s="2">
        <f t="shared" si="5"/>
        <v>1.4119088711888304</v>
      </c>
      <c r="W68" s="2">
        <f t="shared" si="5"/>
        <v>0.5395064451298619</v>
      </c>
      <c r="X68" s="2">
        <f t="shared" si="5"/>
        <v>0.66741743090321448</v>
      </c>
      <c r="Y68" s="2">
        <f t="shared" si="5"/>
        <v>0.39073431850648221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2006.9520544120846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381.48569577890811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260.72033807627656</v>
      </c>
      <c r="N73" s="2">
        <f>N7/'Output-Calculation-sheet'!N6*'Output-Calculation-sheet'!N60</f>
        <v>0</v>
      </c>
      <c r="O73" s="2">
        <f>O7/'Output-Calculation-sheet'!O6*'Output-Calculation-sheet'!O60</f>
        <v>402.47772484538257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34.743043105827439</v>
      </c>
      <c r="Y73" s="2">
        <f>Y7/'Output-Calculation-sheet'!Y6*'Output-Calculation-sheet'!Y60</f>
        <v>0</v>
      </c>
      <c r="AA73" s="2">
        <f t="shared" si="6"/>
        <v>3.0863788562184791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4652.7198734014828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1123.0322252090525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752.54404087269643</v>
      </c>
      <c r="N74" s="2">
        <f>N8/'Output-Calculation-sheet'!N7*'Output-Calculation-sheet'!N61</f>
        <v>31.54045128396703</v>
      </c>
      <c r="O74" s="2">
        <f>O8/'Output-Calculation-sheet'!O7*'Output-Calculation-sheet'!O61</f>
        <v>930.02531630263911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93.514405729913733</v>
      </c>
      <c r="Y74" s="2">
        <f>Y8/'Output-Calculation-sheet'!Y7*'Output-Calculation-sheet'!Y61</f>
        <v>0</v>
      </c>
      <c r="AA74" s="2">
        <f t="shared" si="6"/>
        <v>7.5833763127997518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7161.9145885124199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1774.8578451959031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1205.9213732849846</v>
      </c>
      <c r="N75" s="2">
        <f>N9/'Output-Calculation-sheet'!N8*'Output-Calculation-sheet'!N62</f>
        <v>464.38314498814026</v>
      </c>
      <c r="O75" s="2">
        <f>O9/'Output-Calculation-sheet'!O8*'Output-Calculation-sheet'!O62</f>
        <v>1415.6797789597572</v>
      </c>
      <c r="P75" s="2">
        <f>P9/'Output-Calculation-sheet'!P8*'Output-Calculation-sheet'!P62</f>
        <v>31.205294708677982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156.18205194084553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145.69088722900753</v>
      </c>
      <c r="Y75" s="2">
        <f>Y9/'Output-Calculation-sheet'!Y8*'Output-Calculation-sheet'!Y62</f>
        <v>0</v>
      </c>
      <c r="AA75" s="2">
        <f t="shared" si="6"/>
        <v>12.355834964819735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9050.5690959816384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2436.6422205370818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1658.9889022344364</v>
      </c>
      <c r="N76" s="2">
        <f>N10/'Output-Calculation-sheet'!N9*'Output-Calculation-sheet'!N63</f>
        <v>947.79405643291932</v>
      </c>
      <c r="O76" s="2">
        <f>O10/'Output-Calculation-sheet'!O9*'Output-Calculation-sheet'!O63</f>
        <v>1632.835009673948</v>
      </c>
      <c r="P76" s="2">
        <f>P10/'Output-Calculation-sheet'!P9*'Output-Calculation-sheet'!P63</f>
        <v>329.11747070854528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249.84225953445696</v>
      </c>
      <c r="S76" s="2">
        <f>S10/'Output-Calculation-sheet'!S9*'Output-Calculation-sheet'!S63</f>
        <v>421.00290006574988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88.642259681161363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195.37665186355832</v>
      </c>
      <c r="Y76" s="2">
        <f>Y10/'Output-Calculation-sheet'!Y9*'Output-Calculation-sheet'!Y63</f>
        <v>3.7065455842437656</v>
      </c>
      <c r="AA76" s="2">
        <f t="shared" si="6"/>
        <v>20.979413906632558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9123.6350472622289</v>
      </c>
      <c r="D77" s="2">
        <f>D11/'Output-Calculation-sheet'!D10*'Output-Calculation-sheet'!D64</f>
        <v>1129.3466358267267</v>
      </c>
      <c r="E77" s="2">
        <f>E11/'Output-Calculation-sheet'!E10*'Output-Calculation-sheet'!E64</f>
        <v>1373.8218682122749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588.95028727157307</v>
      </c>
      <c r="H77" s="2">
        <f>H11/'Output-Calculation-sheet'!H10*'Output-Calculation-sheet'!H64</f>
        <v>3129.1961419283552</v>
      </c>
      <c r="I77" s="2">
        <f>I11/'Output-Calculation-sheet'!I10*'Output-Calculation-sheet'!I64</f>
        <v>348.98203358277289</v>
      </c>
      <c r="J77" s="2">
        <f>J11/'Output-Calculation-sheet'!J10*'Output-Calculation-sheet'!J64</f>
        <v>250.85241009265027</v>
      </c>
      <c r="K77" s="2">
        <f>K11/'Output-Calculation-sheet'!K10*'Output-Calculation-sheet'!K64</f>
        <v>525.12732018327972</v>
      </c>
      <c r="L77" s="2">
        <f>L11/'Output-Calculation-sheet'!L10*'Output-Calculation-sheet'!L64</f>
        <v>229.57812363207398</v>
      </c>
      <c r="M77" s="2">
        <f>M11/'Output-Calculation-sheet'!M10*'Output-Calculation-sheet'!M64</f>
        <v>2097.1784915658327</v>
      </c>
      <c r="N77" s="2">
        <f>N11/'Output-Calculation-sheet'!N10*'Output-Calculation-sheet'!N64</f>
        <v>1476.5305880373576</v>
      </c>
      <c r="O77" s="2">
        <f>O11/'Output-Calculation-sheet'!O10*'Output-Calculation-sheet'!O64</f>
        <v>1710.2726963505595</v>
      </c>
      <c r="P77" s="2">
        <f>P11/'Output-Calculation-sheet'!P10*'Output-Calculation-sheet'!P64</f>
        <v>651.71118913384669</v>
      </c>
      <c r="Q77" s="2">
        <f>Q11/'Output-Calculation-sheet'!Q10*'Output-Calculation-sheet'!Q64</f>
        <v>586.28625134720596</v>
      </c>
      <c r="R77" s="2">
        <f>R11/'Output-Calculation-sheet'!R10*'Output-Calculation-sheet'!R64</f>
        <v>557.69451129818674</v>
      </c>
      <c r="S77" s="2">
        <f>S11/'Output-Calculation-sheet'!S10*'Output-Calculation-sheet'!S64</f>
        <v>742.50312819332908</v>
      </c>
      <c r="T77" s="2">
        <f>T11/'Output-Calculation-sheet'!T10*'Output-Calculation-sheet'!T64</f>
        <v>154.57377192642909</v>
      </c>
      <c r="U77" s="2">
        <f>U11/'Output-Calculation-sheet'!U10*'Output-Calculation-sheet'!U64</f>
        <v>211.50940607453794</v>
      </c>
      <c r="V77" s="2">
        <f>V11/'Output-Calculation-sheet'!V10*'Output-Calculation-sheet'!V64</f>
        <v>81.282102741549053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216.27874695767048</v>
      </c>
      <c r="Y77" s="2">
        <f>Y11/'Output-Calculation-sheet'!Y10*'Output-Calculation-sheet'!Y64</f>
        <v>51.053824202852134</v>
      </c>
      <c r="AA77" s="2">
        <f t="shared" si="6"/>
        <v>34.389153079407748</v>
      </c>
    </row>
    <row r="78" spans="1:27" x14ac:dyDescent="0.25">
      <c r="A78" s="2">
        <v>2035</v>
      </c>
      <c r="B78" s="2">
        <f>B12/'Output-Calculation-sheet'!B11*'Output-Calculation-sheet'!B65</f>
        <v>13313.828059231895</v>
      </c>
      <c r="C78" s="2">
        <f>C12/'Output-Calculation-sheet'!C11*'Output-Calculation-sheet'!C65</f>
        <v>9382.0065761018868</v>
      </c>
      <c r="D78" s="2">
        <f>D12/'Output-Calculation-sheet'!D11*'Output-Calculation-sheet'!D65</f>
        <v>3058.0765503907555</v>
      </c>
      <c r="E78" s="2">
        <f>E12/'Output-Calculation-sheet'!E11*'Output-Calculation-sheet'!E65</f>
        <v>3058.9203858321171</v>
      </c>
      <c r="F78" s="2">
        <f>F12/'Output-Calculation-sheet'!F11*'Output-Calculation-sheet'!F65</f>
        <v>710.11978812021619</v>
      </c>
      <c r="G78" s="2">
        <f>G12/'Output-Calculation-sheet'!G11*'Output-Calculation-sheet'!G65</f>
        <v>1058.5119902523074</v>
      </c>
      <c r="H78" s="2">
        <f>H12/'Output-Calculation-sheet'!H11*'Output-Calculation-sheet'!H65</f>
        <v>3392.362219225774</v>
      </c>
      <c r="I78" s="2">
        <f>I12/'Output-Calculation-sheet'!I11*'Output-Calculation-sheet'!I65</f>
        <v>939.68310039593928</v>
      </c>
      <c r="J78" s="2">
        <f>J12/'Output-Calculation-sheet'!J11*'Output-Calculation-sheet'!J65</f>
        <v>835.97250232747683</v>
      </c>
      <c r="K78" s="2">
        <f>K12/'Output-Calculation-sheet'!K11*'Output-Calculation-sheet'!K65</f>
        <v>1114.3571228323622</v>
      </c>
      <c r="L78" s="2">
        <f>L12/'Output-Calculation-sheet'!L11*'Output-Calculation-sheet'!L65</f>
        <v>734.03257258735221</v>
      </c>
      <c r="M78" s="2">
        <f>M12/'Output-Calculation-sheet'!M11*'Output-Calculation-sheet'!M65</f>
        <v>2369.0661606734543</v>
      </c>
      <c r="N78" s="2">
        <f>N12/'Output-Calculation-sheet'!N11*'Output-Calculation-sheet'!N65</f>
        <v>1691.6863413180361</v>
      </c>
      <c r="O78" s="2">
        <f>O12/'Output-Calculation-sheet'!O11*'Output-Calculation-sheet'!O65</f>
        <v>1714.2611869510333</v>
      </c>
      <c r="P78" s="2">
        <f>P12/'Output-Calculation-sheet'!P11*'Output-Calculation-sheet'!P65</f>
        <v>936.87183802391758</v>
      </c>
      <c r="Q78" s="2">
        <f>Q12/'Output-Calculation-sheet'!Q11*'Output-Calculation-sheet'!Q65</f>
        <v>908.28271683105288</v>
      </c>
      <c r="R78" s="2">
        <f>R12/'Output-Calculation-sheet'!R11*'Output-Calculation-sheet'!R65</f>
        <v>823.96866410807274</v>
      </c>
      <c r="S78" s="2">
        <f>S12/'Output-Calculation-sheet'!S11*'Output-Calculation-sheet'!S65</f>
        <v>921.74989071915809</v>
      </c>
      <c r="T78" s="2">
        <f>T12/'Output-Calculation-sheet'!T11*'Output-Calculation-sheet'!T65</f>
        <v>287.14501892126634</v>
      </c>
      <c r="U78" s="2">
        <f>U12/'Output-Calculation-sheet'!U11*'Output-Calculation-sheet'!U65</f>
        <v>262.55435212956411</v>
      </c>
      <c r="V78" s="2">
        <f>V12/'Output-Calculation-sheet'!V11*'Output-Calculation-sheet'!V65</f>
        <v>150.2771350617995</v>
      </c>
      <c r="W78" s="2">
        <f>W12/'Output-Calculation-sheet'!W11*'Output-Calculation-sheet'!W65</f>
        <v>100.02259944706286</v>
      </c>
      <c r="X78" s="2">
        <f>X12/'Output-Calculation-sheet'!X11*'Output-Calculation-sheet'!X65</f>
        <v>227.55192630840929</v>
      </c>
      <c r="Y78" s="2">
        <f>Y12/'Output-Calculation-sheet'!Y11*'Output-Calculation-sheet'!Y65</f>
        <v>105.22623446490628</v>
      </c>
      <c r="AA78" s="2">
        <f t="shared" si="6"/>
        <v>48.096534932255807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26.793482432725614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2.6793482432725616E-2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344.51172259965824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80.315231461201705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0.42482695406085996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757.81905478011765</v>
      </c>
      <c r="D89" s="2">
        <f>D12/'Output-Calculation-sheet'!D11*'Output-Calculation-sheet'!D74</f>
        <v>61.027271011589612</v>
      </c>
      <c r="E89" s="2">
        <f>E12/'Output-Calculation-sheet'!E11*'Output-Calculation-sheet'!E74</f>
        <v>48.500402502491156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63.621901812163657</v>
      </c>
      <c r="I89" s="2">
        <f>I12/'Output-Calculation-sheet'!I11*'Output-Calculation-sheet'!I74</f>
        <v>19.690361050142265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19.35252549116672</v>
      </c>
      <c r="L89" s="2">
        <f>L12/'Output-Calculation-sheet'!L11*'Output-Calculation-sheet'!L74</f>
        <v>15.38820093053295</v>
      </c>
      <c r="M89" s="2">
        <f>M12/'Output-Calculation-sheet'!M11*'Output-Calculation-sheet'!M74</f>
        <v>43.778094206326998</v>
      </c>
      <c r="N89" s="2">
        <f>N12/'Output-Calculation-sheet'!N11*'Output-Calculation-sheet'!N74</f>
        <v>28.684561238447088</v>
      </c>
      <c r="O89" s="2">
        <f>O12/'Output-Calculation-sheet'!O11*'Output-Calculation-sheet'!O74</f>
        <v>173.99182897311456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25.131990891964772</v>
      </c>
      <c r="R89" s="2">
        <f>R12/'Output-Calculation-sheet'!R11*'Output-Calculation-sheet'!R74</f>
        <v>12.461527564738477</v>
      </c>
      <c r="S89" s="2">
        <f>S12/'Output-Calculation-sheet'!S11*'Output-Calculation-sheet'!S74</f>
        <v>16.442936105234057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8.0186406905159604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6.4034198083185867</v>
      </c>
      <c r="Y89" s="2">
        <f>Y12/'Output-Calculation-sheet'!Y11*'Output-Calculation-sheet'!Y74</f>
        <v>3.0897094419621891</v>
      </c>
      <c r="AA89" s="2">
        <f t="shared" si="7"/>
        <v>1.7243598413319579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2130470636.118742</v>
      </c>
      <c r="C93" s="2">
        <f>C5/'Output-Calculation-sheet'!C4*'Output-Calculation-sheet'!C76</f>
        <v>822925645.81962764</v>
      </c>
      <c r="D93" s="2">
        <f>D5/'Output-Calculation-sheet'!D4*'Output-Calculation-sheet'!D76</f>
        <v>696380669.01453817</v>
      </c>
      <c r="E93" s="2">
        <f>E5/'Output-Calculation-sheet'!E4*'Output-Calculation-sheet'!E76</f>
        <v>929868919.7437005</v>
      </c>
      <c r="F93" s="2">
        <f>F5/'Output-Calculation-sheet'!F4*'Output-Calculation-sheet'!F76</f>
        <v>517161466.45310897</v>
      </c>
      <c r="G93" s="2">
        <f>G5/'Output-Calculation-sheet'!G4*'Output-Calculation-sheet'!G76</f>
        <v>292663897.60013849</v>
      </c>
      <c r="H93" s="2">
        <f>H5/'Output-Calculation-sheet'!H4*'Output-Calculation-sheet'!H76</f>
        <v>325821404.2704674</v>
      </c>
      <c r="I93" s="2">
        <f>I5/'Output-Calculation-sheet'!I4*'Output-Calculation-sheet'!I76</f>
        <v>305126361.38136387</v>
      </c>
      <c r="J93" s="2">
        <f>J5/'Output-Calculation-sheet'!J4*'Output-Calculation-sheet'!J76</f>
        <v>169299131.61638978</v>
      </c>
      <c r="K93" s="2">
        <f>K5/'Output-Calculation-sheet'!K4*'Output-Calculation-sheet'!K76</f>
        <v>294758799.78982115</v>
      </c>
      <c r="L93" s="2">
        <f>L5/'Output-Calculation-sheet'!L4*'Output-Calculation-sheet'!L76</f>
        <v>205372491.43656275</v>
      </c>
      <c r="M93" s="2">
        <f>M5/'Output-Calculation-sheet'!M4*'Output-Calculation-sheet'!M76</f>
        <v>218910969.88214454</v>
      </c>
      <c r="N93" s="2">
        <f>N5/'Output-Calculation-sheet'!N4*'Output-Calculation-sheet'!N76</f>
        <v>154132668.02454501</v>
      </c>
      <c r="O93" s="2">
        <f>O5/'Output-Calculation-sheet'!O4*'Output-Calculation-sheet'!O76</f>
        <v>105754662.85932773</v>
      </c>
      <c r="P93" s="2">
        <f>P5/'Output-Calculation-sheet'!P4*'Output-Calculation-sheet'!P76</f>
        <v>279631680.20506889</v>
      </c>
      <c r="Q93" s="2">
        <f>Q5/'Output-Calculation-sheet'!Q4*'Output-Calculation-sheet'!Q76</f>
        <v>136407823.89845619</v>
      </c>
      <c r="R93" s="2">
        <f>R5/'Output-Calculation-sheet'!R4*'Output-Calculation-sheet'!R76</f>
        <v>186808469.3974469</v>
      </c>
      <c r="S93" s="2">
        <f>S5/'Output-Calculation-sheet'!S4*'Output-Calculation-sheet'!S76</f>
        <v>115633297.56901239</v>
      </c>
      <c r="T93" s="2">
        <f>T5/'Output-Calculation-sheet'!T4*'Output-Calculation-sheet'!T76</f>
        <v>78054334.261779696</v>
      </c>
      <c r="U93" s="2">
        <f>U5/'Output-Calculation-sheet'!U4*'Output-Calculation-sheet'!U76</f>
        <v>70350032.813940793</v>
      </c>
      <c r="V93" s="2">
        <f>V5/'Output-Calculation-sheet'!V4*'Output-Calculation-sheet'!V76</f>
        <v>42038113.175816312</v>
      </c>
      <c r="W93" s="2">
        <f>W5/'Output-Calculation-sheet'!W4*'Output-Calculation-sheet'!W76</f>
        <v>60006202.935636222</v>
      </c>
      <c r="X93" s="2">
        <f>X5/'Output-Calculation-sheet'!X4*'Output-Calculation-sheet'!X76</f>
        <v>25075912.438250728</v>
      </c>
      <c r="Y93" s="2">
        <f>Y5/'Output-Calculation-sheet'!Y4*'Output-Calculation-sheet'!Y76</f>
        <v>31022894.524098102</v>
      </c>
      <c r="AA93" s="2">
        <f>SUM(B93:Y93)/10^9</f>
        <v>8.1936764852299859</v>
      </c>
    </row>
    <row r="94" spans="1:27" x14ac:dyDescent="0.25">
      <c r="A94" s="2">
        <v>2029</v>
      </c>
      <c r="B94" s="2">
        <f>B6/'Output-Calculation-sheet'!B5*'Output-Calculation-sheet'!B77</f>
        <v>5601749588.0999527</v>
      </c>
      <c r="C94" s="2">
        <f>C6/'Output-Calculation-sheet'!C5*'Output-Calculation-sheet'!C77</f>
        <v>2244273400.8599648</v>
      </c>
      <c r="D94" s="2">
        <f>D6/'Output-Calculation-sheet'!D5*'Output-Calculation-sheet'!D77</f>
        <v>1839894748.6116123</v>
      </c>
      <c r="E94" s="2">
        <f>E6/'Output-Calculation-sheet'!E5*'Output-Calculation-sheet'!E77</f>
        <v>2339843521.1251922</v>
      </c>
      <c r="F94" s="2">
        <f>F6/'Output-Calculation-sheet'!F5*'Output-Calculation-sheet'!F77</f>
        <v>1341579517.0389187</v>
      </c>
      <c r="G94" s="2">
        <f>G6/'Output-Calculation-sheet'!G5*'Output-Calculation-sheet'!G77</f>
        <v>723161881.15367401</v>
      </c>
      <c r="H94" s="2">
        <f>H6/'Output-Calculation-sheet'!H5*'Output-Calculation-sheet'!H77</f>
        <v>846689703.05155432</v>
      </c>
      <c r="I94" s="2">
        <f>I6/'Output-Calculation-sheet'!I5*'Output-Calculation-sheet'!I77</f>
        <v>804192043.76782298</v>
      </c>
      <c r="J94" s="2">
        <f>J6/'Output-Calculation-sheet'!J5*'Output-Calculation-sheet'!J77</f>
        <v>445025401.87964249</v>
      </c>
      <c r="K94" s="2">
        <f>K6/'Output-Calculation-sheet'!K5*'Output-Calculation-sheet'!K77</f>
        <v>774533540.48174322</v>
      </c>
      <c r="L94" s="2">
        <f>L6/'Output-Calculation-sheet'!L5*'Output-Calculation-sheet'!L77</f>
        <v>547171979.52366316</v>
      </c>
      <c r="M94" s="2">
        <f>M6/'Output-Calculation-sheet'!M5*'Output-Calculation-sheet'!M77</f>
        <v>567084275.67685068</v>
      </c>
      <c r="N94" s="2">
        <f>N6/'Output-Calculation-sheet'!N5*'Output-Calculation-sheet'!N77</f>
        <v>399497550.20262873</v>
      </c>
      <c r="O94" s="2">
        <f>O6/'Output-Calculation-sheet'!O5*'Output-Calculation-sheet'!O77</f>
        <v>294181868.80805165</v>
      </c>
      <c r="P94" s="2">
        <f>P6/'Output-Calculation-sheet'!P5*'Output-Calculation-sheet'!P77</f>
        <v>702555346.35116053</v>
      </c>
      <c r="Q94" s="2">
        <f>Q6/'Output-Calculation-sheet'!Q5*'Output-Calculation-sheet'!Q77</f>
        <v>358377180.35220891</v>
      </c>
      <c r="R94" s="2">
        <f>R6/'Output-Calculation-sheet'!R5*'Output-Calculation-sheet'!R77</f>
        <v>487267730.4476645</v>
      </c>
      <c r="S94" s="2">
        <f>S6/'Output-Calculation-sheet'!S5*'Output-Calculation-sheet'!S77</f>
        <v>303897900.45596921</v>
      </c>
      <c r="T94" s="2">
        <f>T6/'Output-Calculation-sheet'!T5*'Output-Calculation-sheet'!T77</f>
        <v>200902288.02537128</v>
      </c>
      <c r="U94" s="2">
        <f>U6/'Output-Calculation-sheet'!U5*'Output-Calculation-sheet'!U77</f>
        <v>183897850.61607113</v>
      </c>
      <c r="V94" s="2">
        <f>V6/'Output-Calculation-sheet'!V5*'Output-Calculation-sheet'!V77</f>
        <v>113925999.61840293</v>
      </c>
      <c r="W94" s="2">
        <f>W6/'Output-Calculation-sheet'!W5*'Output-Calculation-sheet'!W77</f>
        <v>149526713.97500378</v>
      </c>
      <c r="X94" s="2">
        <f>X6/'Output-Calculation-sheet'!X5*'Output-Calculation-sheet'!X77</f>
        <v>64900685.809628427</v>
      </c>
      <c r="Y94" s="2">
        <f>Y6/'Output-Calculation-sheet'!Y5*'Output-Calculation-sheet'!Y77</f>
        <v>76710286.898098946</v>
      </c>
      <c r="AA94" s="2">
        <f t="shared" ref="AA94:AA100" si="8">SUM(B94:Y94)/10^9</f>
        <v>21.41084100283085</v>
      </c>
    </row>
    <row r="95" spans="1:27" x14ac:dyDescent="0.25">
      <c r="A95" s="2">
        <v>2030</v>
      </c>
      <c r="B95" s="2">
        <f>B7/'Output-Calculation-sheet'!B6*'Output-Calculation-sheet'!B78</f>
        <v>10124451624.641224</v>
      </c>
      <c r="C95" s="2">
        <f>C7/'Output-Calculation-sheet'!C6*'Output-Calculation-sheet'!C78</f>
        <v>4187948098.9388089</v>
      </c>
      <c r="D95" s="2">
        <f>D7/'Output-Calculation-sheet'!D6*'Output-Calculation-sheet'!D78</f>
        <v>3371006752.8955979</v>
      </c>
      <c r="E95" s="2">
        <f>E7/'Output-Calculation-sheet'!E6*'Output-Calculation-sheet'!E78</f>
        <v>4077360121.9938359</v>
      </c>
      <c r="F95" s="2">
        <f>F7/'Output-Calculation-sheet'!F6*'Output-Calculation-sheet'!F78</f>
        <v>2396321544.2380867</v>
      </c>
      <c r="G95" s="2">
        <f>G7/'Output-Calculation-sheet'!G6*'Output-Calculation-sheet'!G78</f>
        <v>1239624025.1278183</v>
      </c>
      <c r="H95" s="2">
        <f>H7/'Output-Calculation-sheet'!H6*'Output-Calculation-sheet'!H78</f>
        <v>1517133755.7520623</v>
      </c>
      <c r="I95" s="2">
        <f>I7/'Output-Calculation-sheet'!I6*'Output-Calculation-sheet'!I78</f>
        <v>1456315473.3582904</v>
      </c>
      <c r="J95" s="2">
        <f>J7/'Output-Calculation-sheet'!J6*'Output-Calculation-sheet'!J78</f>
        <v>813384489.78779423</v>
      </c>
      <c r="K95" s="2">
        <f>K7/'Output-Calculation-sheet'!K6*'Output-Calculation-sheet'!K78</f>
        <v>1400240935.1237807</v>
      </c>
      <c r="L95" s="2">
        <f>L7/'Output-Calculation-sheet'!L6*'Output-Calculation-sheet'!L78</f>
        <v>1001261773.4465945</v>
      </c>
      <c r="M95" s="2">
        <f>M7/'Output-Calculation-sheet'!M6*'Output-Calculation-sheet'!M78</f>
        <v>1015148867.982648</v>
      </c>
      <c r="N95" s="2">
        <f>N7/'Output-Calculation-sheet'!N6*'Output-Calculation-sheet'!N78</f>
        <v>719976563.07956409</v>
      </c>
      <c r="O95" s="2">
        <f>O7/'Output-Calculation-sheet'!O6*'Output-Calculation-sheet'!O78</f>
        <v>563326687.61815894</v>
      </c>
      <c r="P95" s="2">
        <f>P7/'Output-Calculation-sheet'!P6*'Output-Calculation-sheet'!P78</f>
        <v>1217676851.1587579</v>
      </c>
      <c r="Q95" s="2">
        <f>Q7/'Output-Calculation-sheet'!Q6*'Output-Calculation-sheet'!Q78</f>
        <v>652713700.81165361</v>
      </c>
      <c r="R95" s="2">
        <f>R7/'Output-Calculation-sheet'!R6*'Output-Calculation-sheet'!R78</f>
        <v>875695495.7915554</v>
      </c>
      <c r="S95" s="2">
        <f>S7/'Output-Calculation-sheet'!S6*'Output-Calculation-sheet'!S78</f>
        <v>549923224.01467347</v>
      </c>
      <c r="T95" s="2">
        <f>T7/'Output-Calculation-sheet'!T6*'Output-Calculation-sheet'!T78</f>
        <v>356940808.71029419</v>
      </c>
      <c r="U95" s="2">
        <f>U7/'Output-Calculation-sheet'!U6*'Output-Calculation-sheet'!U78</f>
        <v>328752549.0605948</v>
      </c>
      <c r="V95" s="2">
        <f>V7/'Output-Calculation-sheet'!V6*'Output-Calculation-sheet'!V78</f>
        <v>210405666.55702877</v>
      </c>
      <c r="W95" s="2">
        <f>W7/'Output-Calculation-sheet'!W6*'Output-Calculation-sheet'!W78</f>
        <v>257691475.94455832</v>
      </c>
      <c r="X95" s="2">
        <f>X7/'Output-Calculation-sheet'!X6*'Output-Calculation-sheet'!X78</f>
        <v>115909982.07189366</v>
      </c>
      <c r="Y95" s="2">
        <f>Y7/'Output-Calculation-sheet'!Y6*'Output-Calculation-sheet'!Y78</f>
        <v>131495452.74145326</v>
      </c>
      <c r="AA95" s="2">
        <f t="shared" si="8"/>
        <v>38.580705920846732</v>
      </c>
    </row>
    <row r="96" spans="1:27" x14ac:dyDescent="0.25">
      <c r="A96" s="2">
        <v>2031</v>
      </c>
      <c r="B96" s="2">
        <f>B8/'Output-Calculation-sheet'!B7*'Output-Calculation-sheet'!B79</f>
        <v>14655877555.145845</v>
      </c>
      <c r="C96" s="2">
        <f>C8/'Output-Calculation-sheet'!C7*'Output-Calculation-sheet'!C79</f>
        <v>6067341829.8637285</v>
      </c>
      <c r="D96" s="2">
        <f>D8/'Output-Calculation-sheet'!D7*'Output-Calculation-sheet'!D79</f>
        <v>4836623185.3778791</v>
      </c>
      <c r="E96" s="2">
        <f>E8/'Output-Calculation-sheet'!E7*'Output-Calculation-sheet'!E79</f>
        <v>5844326922.655221</v>
      </c>
      <c r="F96" s="2">
        <f>F8/'Output-Calculation-sheet'!F7*'Output-Calculation-sheet'!F79</f>
        <v>3449872631.069098</v>
      </c>
      <c r="G96" s="2">
        <f>G8/'Output-Calculation-sheet'!G7*'Output-Calculation-sheet'!G79</f>
        <v>1754784286.9537165</v>
      </c>
      <c r="H96" s="2">
        <f>H8/'Output-Calculation-sheet'!H7*'Output-Calculation-sheet'!H79</f>
        <v>2191142931.865428</v>
      </c>
      <c r="I96" s="2">
        <f>I8/'Output-Calculation-sheet'!I7*'Output-Calculation-sheet'!I79</f>
        <v>2097230164.0999527</v>
      </c>
      <c r="J96" s="2">
        <f>J8/'Output-Calculation-sheet'!J7*'Output-Calculation-sheet'!J79</f>
        <v>1183752007.8780715</v>
      </c>
      <c r="K96" s="2">
        <f>K8/'Output-Calculation-sheet'!K7*'Output-Calculation-sheet'!K79</f>
        <v>2016335130.5458596</v>
      </c>
      <c r="L96" s="2">
        <f>L8/'Output-Calculation-sheet'!L7*'Output-Calculation-sheet'!L79</f>
        <v>1450187858.8078458</v>
      </c>
      <c r="M96" s="2">
        <f>M8/'Output-Calculation-sheet'!M7*'Output-Calculation-sheet'!M79</f>
        <v>1466011013.4993281</v>
      </c>
      <c r="N96" s="2">
        <f>N8/'Output-Calculation-sheet'!N7*'Output-Calculation-sheet'!N79</f>
        <v>1043401301.169566</v>
      </c>
      <c r="O96" s="2">
        <f>O8/'Output-Calculation-sheet'!O7*'Output-Calculation-sheet'!O79</f>
        <v>820023762.55989122</v>
      </c>
      <c r="P96" s="2">
        <f>P8/'Output-Calculation-sheet'!P7*'Output-Calculation-sheet'!P79</f>
        <v>1743164193.5263596</v>
      </c>
      <c r="Q96" s="2">
        <f>Q8/'Output-Calculation-sheet'!Q7*'Output-Calculation-sheet'!Q79</f>
        <v>949437419.33749962</v>
      </c>
      <c r="R96" s="2">
        <f>R8/'Output-Calculation-sheet'!R7*'Output-Calculation-sheet'!R79</f>
        <v>1266639807.9754448</v>
      </c>
      <c r="S96" s="2">
        <f>S8/'Output-Calculation-sheet'!S7*'Output-Calculation-sheet'!S79</f>
        <v>797281478.16052651</v>
      </c>
      <c r="T96" s="2">
        <f>T8/'Output-Calculation-sheet'!T7*'Output-Calculation-sheet'!T79</f>
        <v>511966957.95212162</v>
      </c>
      <c r="U96" s="2">
        <f>U8/'Output-Calculation-sheet'!U7*'Output-Calculation-sheet'!U79</f>
        <v>474739886.250866</v>
      </c>
      <c r="V96" s="2">
        <f>V8/'Output-Calculation-sheet'!V7*'Output-Calculation-sheet'!V79</f>
        <v>305653712.35138279</v>
      </c>
      <c r="W96" s="2">
        <f>W8/'Output-Calculation-sheet'!W7*'Output-Calculation-sheet'!W79</f>
        <v>365631126.52779168</v>
      </c>
      <c r="X96" s="2">
        <f>X8/'Output-Calculation-sheet'!X7*'Output-Calculation-sheet'!X79</f>
        <v>167351435.02575669</v>
      </c>
      <c r="Y96" s="2">
        <f>Y8/'Output-Calculation-sheet'!Y7*'Output-Calculation-sheet'!Y79</f>
        <v>187311824.55716324</v>
      </c>
      <c r="AA96" s="2">
        <f t="shared" si="8"/>
        <v>55.646088423156343</v>
      </c>
    </row>
    <row r="97" spans="1:27" x14ac:dyDescent="0.25">
      <c r="A97" s="2">
        <v>2032</v>
      </c>
      <c r="B97" s="2">
        <f>B9/'Output-Calculation-sheet'!B8*'Output-Calculation-sheet'!B80</f>
        <v>18556630559.936039</v>
      </c>
      <c r="C97" s="2">
        <f>C9/'Output-Calculation-sheet'!C8*'Output-Calculation-sheet'!C80</f>
        <v>7688901754.2427244</v>
      </c>
      <c r="D97" s="2">
        <f>D9/'Output-Calculation-sheet'!D8*'Output-Calculation-sheet'!D80</f>
        <v>6077455040.6590509</v>
      </c>
      <c r="E97" s="2">
        <f>E9/'Output-Calculation-sheet'!E8*'Output-Calculation-sheet'!E80</f>
        <v>7333382243.4132891</v>
      </c>
      <c r="F97" s="2">
        <f>F9/'Output-Calculation-sheet'!F8*'Output-Calculation-sheet'!F80</f>
        <v>4345236051.0543461</v>
      </c>
      <c r="G97" s="2">
        <f>G9/'Output-Calculation-sheet'!G8*'Output-Calculation-sheet'!G80</f>
        <v>2175150162.2538295</v>
      </c>
      <c r="H97" s="2">
        <f>H9/'Output-Calculation-sheet'!H8*'Output-Calculation-sheet'!H80</f>
        <v>2768613167.111022</v>
      </c>
      <c r="I97" s="2">
        <f>I9/'Output-Calculation-sheet'!I8*'Output-Calculation-sheet'!I80</f>
        <v>2642752978.7960162</v>
      </c>
      <c r="J97" s="2">
        <f>J9/'Output-Calculation-sheet'!J8*'Output-Calculation-sheet'!J80</f>
        <v>1507993975.4620664</v>
      </c>
      <c r="K97" s="2">
        <f>K9/'Output-Calculation-sheet'!K8*'Output-Calculation-sheet'!K80</f>
        <v>2540242891.1433735</v>
      </c>
      <c r="L97" s="2">
        <f>L9/'Output-Calculation-sheet'!L8*'Output-Calculation-sheet'!L80</f>
        <v>1837952314.9522948</v>
      </c>
      <c r="M97" s="2">
        <f>M9/'Output-Calculation-sheet'!M8*'Output-Calculation-sheet'!M80</f>
        <v>1852344527.7160249</v>
      </c>
      <c r="N97" s="2">
        <f>N9/'Output-Calculation-sheet'!N8*'Output-Calculation-sheet'!N80</f>
        <v>1324009574.912503</v>
      </c>
      <c r="O97" s="2">
        <f>O9/'Output-Calculation-sheet'!O8*'Output-Calculation-sheet'!O80</f>
        <v>1044562705.2886486</v>
      </c>
      <c r="P97" s="2">
        <f>P9/'Output-Calculation-sheet'!P8*'Output-Calculation-sheet'!P80</f>
        <v>2182891434.8455014</v>
      </c>
      <c r="Q97" s="2">
        <f>Q9/'Output-Calculation-sheet'!Q8*'Output-Calculation-sheet'!Q80</f>
        <v>1208690034.7509568</v>
      </c>
      <c r="R97" s="2">
        <f>R9/'Output-Calculation-sheet'!R8*'Output-Calculation-sheet'!R80</f>
        <v>1602543251.598846</v>
      </c>
      <c r="S97" s="2">
        <f>S9/'Output-Calculation-sheet'!S8*'Output-Calculation-sheet'!S80</f>
        <v>1010971807.2323611</v>
      </c>
      <c r="T97" s="2">
        <f>T9/'Output-Calculation-sheet'!T8*'Output-Calculation-sheet'!T80</f>
        <v>642601745.05874026</v>
      </c>
      <c r="U97" s="2">
        <f>U9/'Output-Calculation-sheet'!U8*'Output-Calculation-sheet'!U80</f>
        <v>599251098.93838954</v>
      </c>
      <c r="V97" s="2">
        <f>V9/'Output-Calculation-sheet'!V8*'Output-Calculation-sheet'!V80</f>
        <v>388080717.24421215</v>
      </c>
      <c r="W97" s="2">
        <f>W9/'Output-Calculation-sheet'!W8*'Output-Calculation-sheet'!W80</f>
        <v>453969950.09137708</v>
      </c>
      <c r="X97" s="2">
        <f>X9/'Output-Calculation-sheet'!X8*'Output-Calculation-sheet'!X80</f>
        <v>211386749.38417375</v>
      </c>
      <c r="Y97" s="2">
        <f>Y9/'Output-Calculation-sheet'!Y8*'Output-Calculation-sheet'!Y80</f>
        <v>233592098.51476708</v>
      </c>
      <c r="AA97" s="2">
        <f t="shared" si="8"/>
        <v>70.229206834600561</v>
      </c>
    </row>
    <row r="98" spans="1:27" x14ac:dyDescent="0.25">
      <c r="A98" s="2">
        <v>2033</v>
      </c>
      <c r="B98" s="2">
        <f>B10/'Output-Calculation-sheet'!B9*'Output-Calculation-sheet'!B81</f>
        <v>22428597047.451672</v>
      </c>
      <c r="C98" s="2">
        <f>C10/'Output-Calculation-sheet'!C9*'Output-Calculation-sheet'!C81</f>
        <v>9302873698.8173409</v>
      </c>
      <c r="D98" s="2">
        <f>D10/'Output-Calculation-sheet'!D9*'Output-Calculation-sheet'!D81</f>
        <v>7297478957.9507198</v>
      </c>
      <c r="E98" s="2">
        <f>E10/'Output-Calculation-sheet'!E9*'Output-Calculation-sheet'!E81</f>
        <v>8788987128.2823811</v>
      </c>
      <c r="F98" s="2">
        <f>F10/'Output-Calculation-sheet'!F9*'Output-Calculation-sheet'!F81</f>
        <v>5226137388.8136721</v>
      </c>
      <c r="G98" s="2">
        <f>G10/'Output-Calculation-sheet'!G9*'Output-Calculation-sheet'!G81</f>
        <v>2576104343.200129</v>
      </c>
      <c r="H98" s="2">
        <f>H10/'Output-Calculation-sheet'!H9*'Output-Calculation-sheet'!H81</f>
        <v>3339968306.0157967</v>
      </c>
      <c r="I98" s="2">
        <f>I10/'Output-Calculation-sheet'!I9*'Output-Calculation-sheet'!I81</f>
        <v>3180418162.1184053</v>
      </c>
      <c r="J98" s="2">
        <f>J10/'Output-Calculation-sheet'!J9*'Output-Calculation-sheet'!J81</f>
        <v>1835170755.3801312</v>
      </c>
      <c r="K98" s="2">
        <f>K10/'Output-Calculation-sheet'!K9*'Output-Calculation-sheet'!K81</f>
        <v>3056045211.0321207</v>
      </c>
      <c r="L98" s="2">
        <f>L10/'Output-Calculation-sheet'!L9*'Output-Calculation-sheet'!L81</f>
        <v>2223914971.6392317</v>
      </c>
      <c r="M98" s="2">
        <f>M10/'Output-Calculation-sheet'!M9*'Output-Calculation-sheet'!M81</f>
        <v>2235014949.0790472</v>
      </c>
      <c r="N98" s="2">
        <f>N10/'Output-Calculation-sheet'!N9*'Output-Calculation-sheet'!N81</f>
        <v>1604946199.0792096</v>
      </c>
      <c r="O98" s="2">
        <f>O10/'Output-Calculation-sheet'!O9*'Output-Calculation-sheet'!O81</f>
        <v>1270694970.9502895</v>
      </c>
      <c r="P98" s="2">
        <f>P10/'Output-Calculation-sheet'!P9*'Output-Calculation-sheet'!P81</f>
        <v>2610005253.9784732</v>
      </c>
      <c r="Q98" s="2">
        <f>Q10/'Output-Calculation-sheet'!Q9*'Output-Calculation-sheet'!Q81</f>
        <v>1469452826.0552752</v>
      </c>
      <c r="R98" s="2">
        <f>R10/'Output-Calculation-sheet'!R9*'Output-Calculation-sheet'!R81</f>
        <v>1935682530.0750272</v>
      </c>
      <c r="S98" s="2">
        <f>S10/'Output-Calculation-sheet'!S9*'Output-Calculation-sheet'!S81</f>
        <v>1223703904.339355</v>
      </c>
      <c r="T98" s="2">
        <f>T10/'Output-Calculation-sheet'!T9*'Output-Calculation-sheet'!T81</f>
        <v>770340881.79874253</v>
      </c>
      <c r="U98" s="2">
        <f>U10/'Output-Calculation-sheet'!U9*'Output-Calculation-sheet'!U81</f>
        <v>721770241.55642557</v>
      </c>
      <c r="V98" s="2">
        <f>V10/'Output-Calculation-sheet'!V9*'Output-Calculation-sheet'!V81</f>
        <v>470095986.10237682</v>
      </c>
      <c r="W98" s="2">
        <f>W10/'Output-Calculation-sheet'!W9*'Output-Calculation-sheet'!W81</f>
        <v>538329614.3204546</v>
      </c>
      <c r="X98" s="2">
        <f>X10/'Output-Calculation-sheet'!X9*'Output-Calculation-sheet'!X81</f>
        <v>254957645.48207659</v>
      </c>
      <c r="Y98" s="2">
        <f>Y10/'Output-Calculation-sheet'!Y9*'Output-Calculation-sheet'!Y81</f>
        <v>278308070.46589547</v>
      </c>
      <c r="AA98" s="2">
        <f t="shared" si="8"/>
        <v>84.638999043984228</v>
      </c>
    </row>
    <row r="99" spans="1:27" x14ac:dyDescent="0.25">
      <c r="A99" s="2">
        <v>2034</v>
      </c>
      <c r="B99" s="2">
        <f>B11/'Output-Calculation-sheet'!B10*'Output-Calculation-sheet'!B82</f>
        <v>26375582623.913696</v>
      </c>
      <c r="C99" s="2">
        <f>C11/'Output-Calculation-sheet'!C10*'Output-Calculation-sheet'!C82</f>
        <v>10952964733.328606</v>
      </c>
      <c r="D99" s="2">
        <f>D11/'Output-Calculation-sheet'!D10*'Output-Calculation-sheet'!D82</f>
        <v>8533979906.4649353</v>
      </c>
      <c r="E99" s="2">
        <f>E11/'Output-Calculation-sheet'!E10*'Output-Calculation-sheet'!E82</f>
        <v>10254201185.555199</v>
      </c>
      <c r="F99" s="2">
        <f>F11/'Output-Calculation-sheet'!F10*'Output-Calculation-sheet'!F82</f>
        <v>6117585676.3617287</v>
      </c>
      <c r="G99" s="2">
        <f>G11/'Output-Calculation-sheet'!G10*'Output-Calculation-sheet'!G82</f>
        <v>2971145710.1712365</v>
      </c>
      <c r="H99" s="2">
        <f>H11/'Output-Calculation-sheet'!H10*'Output-Calculation-sheet'!H82</f>
        <v>3920910424.0511861</v>
      </c>
      <c r="I99" s="2">
        <f>I11/'Output-Calculation-sheet'!I10*'Output-Calculation-sheet'!I82</f>
        <v>3725568816.2872252</v>
      </c>
      <c r="J99" s="2">
        <f>J11/'Output-Calculation-sheet'!J10*'Output-Calculation-sheet'!J82</f>
        <v>2174401787.7866263</v>
      </c>
      <c r="K99" s="2">
        <f>K11/'Output-Calculation-sheet'!K10*'Output-Calculation-sheet'!K82</f>
        <v>3578433680.463716</v>
      </c>
      <c r="L99" s="2">
        <f>L11/'Output-Calculation-sheet'!L10*'Output-Calculation-sheet'!L82</f>
        <v>2618475705.1570196</v>
      </c>
      <c r="M99" s="2">
        <f>M11/'Output-Calculation-sheet'!M10*'Output-Calculation-sheet'!M82</f>
        <v>2624679581.7739296</v>
      </c>
      <c r="N99" s="2">
        <f>N11/'Output-Calculation-sheet'!N10*'Output-Calculation-sheet'!N82</f>
        <v>1894134778.6088133</v>
      </c>
      <c r="O99" s="2">
        <f>O11/'Output-Calculation-sheet'!O10*'Output-Calculation-sheet'!O82</f>
        <v>1504545230.9626913</v>
      </c>
      <c r="P99" s="2">
        <f>P11/'Output-Calculation-sheet'!P10*'Output-Calculation-sheet'!P82</f>
        <v>3037109307.1654572</v>
      </c>
      <c r="Q99" s="2">
        <f>Q11/'Output-Calculation-sheet'!Q10*'Output-Calculation-sheet'!Q82</f>
        <v>1738783005.7478981</v>
      </c>
      <c r="R99" s="2">
        <f>R11/'Output-Calculation-sheet'!R10*'Output-Calculation-sheet'!R82</f>
        <v>2275117419.751811</v>
      </c>
      <c r="S99" s="2">
        <f>S11/'Output-Calculation-sheet'!S10*'Output-Calculation-sheet'!S82</f>
        <v>1441138546.6534202</v>
      </c>
      <c r="T99" s="2">
        <f>T11/'Output-Calculation-sheet'!T10*'Output-Calculation-sheet'!T82</f>
        <v>898959245.18739259</v>
      </c>
      <c r="U99" s="2">
        <f>U11/'Output-Calculation-sheet'!U10*'Output-Calculation-sheet'!U82</f>
        <v>845572076.64529467</v>
      </c>
      <c r="V99" s="2">
        <f>V11/'Output-Calculation-sheet'!V10*'Output-Calculation-sheet'!V82</f>
        <v>553786270.27548134</v>
      </c>
      <c r="W99" s="2">
        <f>W11/'Output-Calculation-sheet'!W10*'Output-Calculation-sheet'!W82</f>
        <v>621413827.82805598</v>
      </c>
      <c r="X99" s="2">
        <f>X11/'Output-Calculation-sheet'!X10*'Output-Calculation-sheet'!X82</f>
        <v>299272992.26460469</v>
      </c>
      <c r="Y99" s="2">
        <f>Y11/'Output-Calculation-sheet'!Y10*'Output-Calculation-sheet'!Y82</f>
        <v>322877004.40943128</v>
      </c>
      <c r="AA99" s="2">
        <f t="shared" si="8"/>
        <v>99.280639536815428</v>
      </c>
    </row>
    <row r="100" spans="1:27" x14ac:dyDescent="0.25">
      <c r="A100" s="2">
        <v>2035</v>
      </c>
      <c r="B100" s="2">
        <f>B12/'Output-Calculation-sheet'!B11*'Output-Calculation-sheet'!B83</f>
        <v>30389734626.820236</v>
      </c>
      <c r="C100" s="2">
        <f>C12/'Output-Calculation-sheet'!C11*'Output-Calculation-sheet'!C83</f>
        <v>12636598292.137789</v>
      </c>
      <c r="D100" s="2">
        <f>D12/'Output-Calculation-sheet'!D11*'Output-Calculation-sheet'!D83</f>
        <v>9787248588.4836845</v>
      </c>
      <c r="E100" s="2">
        <f>E12/'Output-Calculation-sheet'!E11*'Output-Calculation-sheet'!E83</f>
        <v>11727484625.826866</v>
      </c>
      <c r="F100" s="2">
        <f>F12/'Output-Calculation-sheet'!F11*'Output-Calculation-sheet'!F83</f>
        <v>7018310918.1326141</v>
      </c>
      <c r="G100" s="2">
        <f>G12/'Output-Calculation-sheet'!G11*'Output-Calculation-sheet'!G83</f>
        <v>3360445002.9720559</v>
      </c>
      <c r="H100" s="2">
        <f>H12/'Output-Calculation-sheet'!H11*'Output-Calculation-sheet'!H83</f>
        <v>4510434435.1021948</v>
      </c>
      <c r="I100" s="2">
        <f>I12/'Output-Calculation-sheet'!I11*'Output-Calculation-sheet'!I83</f>
        <v>4277530096.4606957</v>
      </c>
      <c r="J100" s="2">
        <f>J12/'Output-Calculation-sheet'!J11*'Output-Calculation-sheet'!J83</f>
        <v>2525728618.3632855</v>
      </c>
      <c r="K100" s="2">
        <f>K12/'Output-Calculation-sheet'!K11*'Output-Calculation-sheet'!K83</f>
        <v>4106741376.904016</v>
      </c>
      <c r="L100" s="2">
        <f>L12/'Output-Calculation-sheet'!L11*'Output-Calculation-sheet'!L83</f>
        <v>3020965442.0794373</v>
      </c>
      <c r="M100" s="2">
        <f>M12/'Output-Calculation-sheet'!M11*'Output-Calculation-sheet'!M83</f>
        <v>3020792108.3928514</v>
      </c>
      <c r="N100" s="2">
        <f>N12/'Output-Calculation-sheet'!N11*'Output-Calculation-sheet'!N83</f>
        <v>2191499044.3892956</v>
      </c>
      <c r="O100" s="2">
        <f>O12/'Output-Calculation-sheet'!O11*'Output-Calculation-sheet'!O83</f>
        <v>1745953129.3991439</v>
      </c>
      <c r="P100" s="2">
        <f>P12/'Output-Calculation-sheet'!P11*'Output-Calculation-sheet'!P83</f>
        <v>3463604943.1694336</v>
      </c>
      <c r="Q100" s="2">
        <f>Q12/'Output-Calculation-sheet'!Q11*'Output-Calculation-sheet'!Q83</f>
        <v>2016455236.4204366</v>
      </c>
      <c r="R100" s="2">
        <f>R12/'Output-Calculation-sheet'!R11*'Output-Calculation-sheet'!R83</f>
        <v>2620255493.3714042</v>
      </c>
      <c r="S100" s="2">
        <f>S12/'Output-Calculation-sheet'!S11*'Output-Calculation-sheet'!S83</f>
        <v>1662862618.2670465</v>
      </c>
      <c r="T100" s="2">
        <f>T12/'Output-Calculation-sheet'!T11*'Output-Calculation-sheet'!T83</f>
        <v>1028336283.6953874</v>
      </c>
      <c r="U100" s="2">
        <f>U12/'Output-Calculation-sheet'!U11*'Output-Calculation-sheet'!U83</f>
        <v>970348940.71647573</v>
      </c>
      <c r="V100" s="2">
        <f>V12/'Output-Calculation-sheet'!V11*'Output-Calculation-sheet'!V83</f>
        <v>638925611.71400356</v>
      </c>
      <c r="W100" s="2">
        <f>W12/'Output-Calculation-sheet'!W11*'Output-Calculation-sheet'!W83</f>
        <v>703149798.91513956</v>
      </c>
      <c r="X100" s="2">
        <f>X12/'Output-Calculation-sheet'!X11*'Output-Calculation-sheet'!X83</f>
        <v>344263377.18824238</v>
      </c>
      <c r="Y100" s="2">
        <f>Y12/'Output-Calculation-sheet'!Y11*'Output-Calculation-sheet'!Y83</f>
        <v>367289673.36967152</v>
      </c>
      <c r="AA100" s="2">
        <f t="shared" si="8"/>
        <v>114.13495828229141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2797010058.1401238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872645693.78498471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602049457.48055053</v>
      </c>
      <c r="N104" s="2">
        <f>N5/'Output-Calculation-sheet'!N4*'Output-Calculation-sheet'!N85</f>
        <v>0</v>
      </c>
      <c r="O104" s="2">
        <f>O5/'Output-Calculation-sheet'!O4*'Output-Calculation-sheet'!O85</f>
        <v>543461504.65322769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65203907.250725277</v>
      </c>
      <c r="Y104" s="2">
        <f>Y5/'Output-Calculation-sheet'!Y4*'Output-Calculation-sheet'!Y85</f>
        <v>0</v>
      </c>
      <c r="AA104" s="2">
        <f>SUM(B104:Y104)/10^6</f>
        <v>4880.370621309612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7030533234.5751534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2193472121.8629766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1513304552.318917</v>
      </c>
      <c r="N105" s="2">
        <f>N6/'Output-Calculation-sheet'!N5*'Output-Calculation-sheet'!N86</f>
        <v>0</v>
      </c>
      <c r="O105" s="2">
        <f>O6/'Output-Calculation-sheet'!O5*'Output-Calculation-sheet'!O86</f>
        <v>1366038981.483865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163895735.64546469</v>
      </c>
      <c r="Y105" s="2">
        <f>Y6/'Output-Calculation-sheet'!Y5*'Output-Calculation-sheet'!Y86</f>
        <v>0</v>
      </c>
      <c r="AA105" s="2">
        <f t="shared" ref="AA105:AA111" si="9">SUM(B105:Y105)/10^6</f>
        <v>12267.244625886375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12226596076.157734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3814825377.8473778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2631899628.2367411</v>
      </c>
      <c r="N106" s="2">
        <f>N7/'Output-Calculation-sheet'!N6*'Output-Calculation-sheet'!N87</f>
        <v>846867381.34648454</v>
      </c>
      <c r="O106" s="2">
        <f>O7/'Output-Calculation-sheet'!O6*'Output-Calculation-sheet'!O87</f>
        <v>2375626296.8050203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179400908.83652538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285037325.04791087</v>
      </c>
      <c r="Y106" s="2">
        <f>Y7/'Output-Calculation-sheet'!Y6*'Output-Calculation-sheet'!Y87</f>
        <v>0</v>
      </c>
      <c r="AA106" s="2">
        <f t="shared" si="9"/>
        <v>22360.252994277795</v>
      </c>
    </row>
    <row r="107" spans="1:27" x14ac:dyDescent="0.25">
      <c r="A107" s="2">
        <v>2031</v>
      </c>
      <c r="B107" s="2">
        <f>B8/'Output-Calculation-sheet'!B7*'Output-Calculation-sheet'!B88</f>
        <v>1063562978.1180419</v>
      </c>
      <c r="C107" s="2">
        <f>C8/'Output-Calculation-sheet'!C7*'Output-Calculation-sheet'!C88</f>
        <v>17515734839.995003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5465000740.0178204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3770394936.4808235</v>
      </c>
      <c r="N107" s="2">
        <f>N8/'Output-Calculation-sheet'!N7*'Output-Calculation-sheet'!N88</f>
        <v>1262020374.9869282</v>
      </c>
      <c r="O107" s="2">
        <f>O8/'Output-Calculation-sheet'!O7*'Output-Calculation-sheet'!O88</f>
        <v>3403323270.8022585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378393576.06312138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408334978.3733539</v>
      </c>
      <c r="Y107" s="2">
        <f>Y8/'Output-Calculation-sheet'!Y7*'Output-Calculation-sheet'!Y88</f>
        <v>0</v>
      </c>
      <c r="AA107" s="2">
        <f t="shared" si="9"/>
        <v>33266.765694837348</v>
      </c>
    </row>
    <row r="108" spans="1:27" x14ac:dyDescent="0.25">
      <c r="A108" s="2">
        <v>2032</v>
      </c>
      <c r="B108" s="2">
        <f>B9/'Output-Calculation-sheet'!B8*'Output-Calculation-sheet'!B89</f>
        <v>4380942432.0036545</v>
      </c>
      <c r="C108" s="2">
        <f>C9/'Output-Calculation-sheet'!C8*'Output-Calculation-sheet'!C89</f>
        <v>21961325133.731892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6851781744.7299814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4727133620.2158146</v>
      </c>
      <c r="N108" s="2">
        <f>N9/'Output-Calculation-sheet'!N8*'Output-Calculation-sheet'!N89</f>
        <v>2217917205.9371772</v>
      </c>
      <c r="O108" s="2">
        <f>O9/'Output-Calculation-sheet'!O8*'Output-Calculation-sheet'!O89</f>
        <v>4267104153.0765295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670184779.98191369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511962700.93817419</v>
      </c>
      <c r="Y108" s="2">
        <f>Y9/'Output-Calculation-sheet'!Y8*'Output-Calculation-sheet'!Y89</f>
        <v>0</v>
      </c>
      <c r="AA108" s="2">
        <f t="shared" si="9"/>
        <v>45588.351770615132</v>
      </c>
    </row>
    <row r="109" spans="1:27" x14ac:dyDescent="0.25">
      <c r="A109" s="2">
        <v>2033</v>
      </c>
      <c r="B109" s="2">
        <f>B10/'Output-Calculation-sheet'!B9*'Output-Calculation-sheet'!B90</f>
        <v>11127795238.378124</v>
      </c>
      <c r="C109" s="2">
        <f>C10/'Output-Calculation-sheet'!C9*'Output-Calculation-sheet'!C90</f>
        <v>26299162118.551018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8205154451.9246988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5660843537.6560078</v>
      </c>
      <c r="N109" s="2">
        <f>N10/'Output-Calculation-sheet'!N9*'Output-Calculation-sheet'!N90</f>
        <v>3335038941.0394468</v>
      </c>
      <c r="O109" s="2">
        <f>O10/'Output-Calculation-sheet'!O9*'Output-Calculation-sheet'!O90</f>
        <v>4872200527.6435156</v>
      </c>
      <c r="P109" s="2">
        <f>P10/'Output-Calculation-sheet'!P9*'Output-Calculation-sheet'!P90</f>
        <v>0</v>
      </c>
      <c r="Q109" s="2">
        <f>Q10/'Output-Calculation-sheet'!Q9*'Output-Calculation-sheet'!Q90</f>
        <v>108553812.16294014</v>
      </c>
      <c r="R109" s="2">
        <f>R10/'Output-Calculation-sheet'!R9*'Output-Calculation-sheet'!R90</f>
        <v>0</v>
      </c>
      <c r="S109" s="2">
        <f>S10/'Output-Calculation-sheet'!S9*'Output-Calculation-sheet'!S90</f>
        <v>1344506777.1829443</v>
      </c>
      <c r="T109" s="2">
        <f>T10/'Output-Calculation-sheet'!T9*'Output-Calculation-sheet'!T90</f>
        <v>-2.2345170350430485E-7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613086482.24938834</v>
      </c>
      <c r="Y109" s="2">
        <f>Y10/'Output-Calculation-sheet'!Y9*'Output-Calculation-sheet'!Y90</f>
        <v>0</v>
      </c>
      <c r="AA109" s="2">
        <f t="shared" si="9"/>
        <v>61566.341886788075</v>
      </c>
    </row>
    <row r="110" spans="1:27" x14ac:dyDescent="0.25">
      <c r="A110" s="2">
        <v>2034</v>
      </c>
      <c r="B110" s="2">
        <f>B11/'Output-Calculation-sheet'!B10*'Output-Calculation-sheet'!B91</f>
        <v>25626620590.341999</v>
      </c>
      <c r="C110" s="2">
        <f>C11/'Output-Calculation-sheet'!C10*'Output-Calculation-sheet'!C91</f>
        <v>28387338747.675816</v>
      </c>
      <c r="D110" s="2">
        <f>D11/'Output-Calculation-sheet'!D10*'Output-Calculation-sheet'!D91</f>
        <v>0</v>
      </c>
      <c r="E110" s="2">
        <f>E11/'Output-Calculation-sheet'!E10*'Output-Calculation-sheet'!E91</f>
        <v>536313436.58030748</v>
      </c>
      <c r="F110" s="2">
        <f>F11/'Output-Calculation-sheet'!F10*'Output-Calculation-sheet'!F91</f>
        <v>0</v>
      </c>
      <c r="G110" s="2">
        <f>G11/'Output-Calculation-sheet'!G10*'Output-Calculation-sheet'!G91</f>
        <v>-1.2089737834987138E-6</v>
      </c>
      <c r="H110" s="2">
        <f>H11/'Output-Calculation-sheet'!H10*'Output-Calculation-sheet'!H91</f>
        <v>9565118532.5276031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435456003.5351156</v>
      </c>
      <c r="M110" s="2">
        <f>M11/'Output-Calculation-sheet'!M10*'Output-Calculation-sheet'!M91</f>
        <v>6599099469.4353571</v>
      </c>
      <c r="N110" s="2">
        <f>N11/'Output-Calculation-sheet'!N10*'Output-Calculation-sheet'!N91</f>
        <v>4564859953.7293177</v>
      </c>
      <c r="O110" s="2">
        <f>O11/'Output-Calculation-sheet'!O10*'Output-Calculation-sheet'!O91</f>
        <v>5233379301.0404425</v>
      </c>
      <c r="P110" s="2">
        <f>P11/'Output-Calculation-sheet'!P10*'Output-Calculation-sheet'!P91</f>
        <v>4.871986390828267E-7</v>
      </c>
      <c r="Q110" s="2">
        <f>Q11/'Output-Calculation-sheet'!Q10*'Output-Calculation-sheet'!Q91</f>
        <v>1161724761.7514789</v>
      </c>
      <c r="R110" s="2">
        <f>R11/'Output-Calculation-sheet'!R10*'Output-Calculation-sheet'!R91</f>
        <v>0</v>
      </c>
      <c r="S110" s="2">
        <f>S11/'Output-Calculation-sheet'!S10*'Output-Calculation-sheet'!S91</f>
        <v>2244378924.0905237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651425027.81108546</v>
      </c>
      <c r="Y110" s="2">
        <f>Y11/'Output-Calculation-sheet'!Y10*'Output-Calculation-sheet'!Y91</f>
        <v>28617504.78413415</v>
      </c>
      <c r="AA110" s="2">
        <f t="shared" si="9"/>
        <v>85034.33225330319</v>
      </c>
    </row>
    <row r="111" spans="1:27" x14ac:dyDescent="0.25">
      <c r="A111" s="2">
        <v>2035</v>
      </c>
      <c r="B111" s="2">
        <f>B12/'Output-Calculation-sheet'!B11*'Output-Calculation-sheet'!B92</f>
        <v>36549530176.477425</v>
      </c>
      <c r="C111" s="2">
        <f>C12/'Output-Calculation-sheet'!C11*'Output-Calculation-sheet'!C92</f>
        <v>30709273788.458065</v>
      </c>
      <c r="D111" s="2">
        <f>D12/'Output-Calculation-sheet'!D11*'Output-Calculation-sheet'!D92</f>
        <v>0</v>
      </c>
      <c r="E111" s="2">
        <f>E12/'Output-Calculation-sheet'!E11*'Output-Calculation-sheet'!E92</f>
        <v>4153870807.7726326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10423965085.469242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1337188342.3785124</v>
      </c>
      <c r="M111" s="2">
        <f>M12/'Output-Calculation-sheet'!M11*'Output-Calculation-sheet'!M92</f>
        <v>7216354782.114419</v>
      </c>
      <c r="N111" s="2">
        <f>N12/'Output-Calculation-sheet'!N11*'Output-Calculation-sheet'!N92</f>
        <v>5174136932.6997671</v>
      </c>
      <c r="O111" s="2">
        <f>O12/'Output-Calculation-sheet'!O11*'Output-Calculation-sheet'!O92</f>
        <v>5514745969.6291933</v>
      </c>
      <c r="P111" s="2">
        <f>P12/'Output-Calculation-sheet'!P11*'Output-Calculation-sheet'!P92</f>
        <v>283800260.89139289</v>
      </c>
      <c r="Q111" s="2">
        <f>Q12/'Output-Calculation-sheet'!Q11*'Output-Calculation-sheet'!Q92</f>
        <v>2222918311.3965611</v>
      </c>
      <c r="R111" s="2">
        <f>R12/'Output-Calculation-sheet'!R11*'Output-Calculation-sheet'!R92</f>
        <v>0</v>
      </c>
      <c r="S111" s="2">
        <f>S12/'Output-Calculation-sheet'!S11*'Output-Calculation-sheet'!S92</f>
        <v>2782948026.4343433</v>
      </c>
      <c r="T111" s="2">
        <f>T12/'Output-Calculation-sheet'!T11*'Output-Calculation-sheet'!T92</f>
        <v>0</v>
      </c>
      <c r="U111" s="2">
        <f>U12/'Output-Calculation-sheet'!U11*'Output-Calculation-sheet'!U92</f>
        <v>98846826.215280011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709045552.63927042</v>
      </c>
      <c r="Y111" s="2">
        <f>Y12/'Output-Calculation-sheet'!Y11*'Output-Calculation-sheet'!Y92</f>
        <v>167753920.32567188</v>
      </c>
      <c r="AA111" s="2">
        <f t="shared" si="9"/>
        <v>107344.37878290177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5935296056.8590832</v>
      </c>
      <c r="C115" s="2">
        <f>C5/'Output-Calculation-sheet'!C4*'Output-Calculation-sheet'!C94</f>
        <v>0</v>
      </c>
      <c r="D115" s="2">
        <f>D5/'Output-Calculation-sheet'!D4*'Output-Calculation-sheet'!D94</f>
        <v>2492892690.6380644</v>
      </c>
      <c r="E115" s="2">
        <f>E5/'Output-Calculation-sheet'!E4*'Output-Calculation-sheet'!E94</f>
        <v>1977857224.6425955</v>
      </c>
      <c r="F115" s="2">
        <f>F5/'Output-Calculation-sheet'!F4*'Output-Calculation-sheet'!F94</f>
        <v>1273217670.2218609</v>
      </c>
      <c r="G115" s="2">
        <f>G5/'Output-Calculation-sheet'!G4*'Output-Calculation-sheet'!G94</f>
        <v>894597817.42178309</v>
      </c>
      <c r="H115" s="2">
        <f>H5/'Output-Calculation-sheet'!H4*'Output-Calculation-sheet'!H94</f>
        <v>0</v>
      </c>
      <c r="I115" s="2">
        <f>I5/'Output-Calculation-sheet'!I4*'Output-Calculation-sheet'!I94</f>
        <v>815048967.40594184</v>
      </c>
      <c r="J115" s="2">
        <f>J5/'Output-Calculation-sheet'!J4*'Output-Calculation-sheet'!J94</f>
        <v>793312342.07245028</v>
      </c>
      <c r="K115" s="2">
        <f>K5/'Output-Calculation-sheet'!K4*'Output-Calculation-sheet'!K94</f>
        <v>785707113.07042503</v>
      </c>
      <c r="L115" s="2">
        <f>L5/'Output-Calculation-sheet'!L4*'Output-Calculation-sheet'!L94</f>
        <v>630304510.73948228</v>
      </c>
      <c r="M115" s="2">
        <f>M5/'Output-Calculation-sheet'!M4*'Output-Calculation-sheet'!M94</f>
        <v>0</v>
      </c>
      <c r="N115" s="2">
        <f>N5/'Output-Calculation-sheet'!N4*'Output-Calculation-sheet'!N94</f>
        <v>590909872.44200194</v>
      </c>
      <c r="O115" s="2">
        <f>O5/'Output-Calculation-sheet'!O4*'Output-Calculation-sheet'!O94</f>
        <v>0</v>
      </c>
      <c r="P115" s="2">
        <f>P5/'Output-Calculation-sheet'!P4*'Output-Calculation-sheet'!P94</f>
        <v>537932319.29912806</v>
      </c>
      <c r="Q115" s="2">
        <f>Q5/'Output-Calculation-sheet'!Q4*'Output-Calculation-sheet'!Q94</f>
        <v>529238442.07170475</v>
      </c>
      <c r="R115" s="2">
        <f>R5/'Output-Calculation-sheet'!R4*'Output-Calculation-sheet'!R94</f>
        <v>509151684.87084115</v>
      </c>
      <c r="S115" s="2">
        <f>S5/'Output-Calculation-sheet'!S4*'Output-Calculation-sheet'!S94</f>
        <v>338408318.28768837</v>
      </c>
      <c r="T115" s="2">
        <f>T5/'Output-Calculation-sheet'!T4*'Output-Calculation-sheet'!T94</f>
        <v>187159773.89921784</v>
      </c>
      <c r="U115" s="2">
        <f>U5/'Output-Calculation-sheet'!U4*'Output-Calculation-sheet'!U94</f>
        <v>163009774.5050815</v>
      </c>
      <c r="V115" s="2">
        <f>V5/'Output-Calculation-sheet'!V4*'Output-Calculation-sheet'!V94</f>
        <v>125520786.55754919</v>
      </c>
      <c r="W115" s="2">
        <f>W5/'Output-Calculation-sheet'!W4*'Output-Calculation-sheet'!W94</f>
        <v>108673182.99673106</v>
      </c>
      <c r="X115" s="2">
        <f>X5/'Output-Calculation-sheet'!X4*'Output-Calculation-sheet'!X94</f>
        <v>0</v>
      </c>
      <c r="Y115" s="2">
        <f>Y5/'Output-Calculation-sheet'!Y4*'Output-Calculation-sheet'!Y94</f>
        <v>63410160.132878624</v>
      </c>
      <c r="AA115" s="2">
        <f>SUM(B115:Y115)/10^6</f>
        <v>18751.648708134511</v>
      </c>
    </row>
    <row r="116" spans="1:27" x14ac:dyDescent="0.25">
      <c r="A116" s="2">
        <v>2029</v>
      </c>
      <c r="B116" s="2">
        <f>B6/'Output-Calculation-sheet'!B5*'Output-Calculation-sheet'!B95</f>
        <v>14918896174.133192</v>
      </c>
      <c r="C116" s="2">
        <f>C6/'Output-Calculation-sheet'!C5*'Output-Calculation-sheet'!C95</f>
        <v>0</v>
      </c>
      <c r="D116" s="2">
        <f>D6/'Output-Calculation-sheet'!D5*'Output-Calculation-sheet'!D95</f>
        <v>6266108190.7833252</v>
      </c>
      <c r="E116" s="2">
        <f>E6/'Output-Calculation-sheet'!E5*'Output-Calculation-sheet'!E95</f>
        <v>4971519041.6647654</v>
      </c>
      <c r="F116" s="2">
        <f>F6/'Output-Calculation-sheet'!F5*'Output-Calculation-sheet'!F95</f>
        <v>3200345208.3533731</v>
      </c>
      <c r="G116" s="2">
        <f>G6/'Output-Calculation-sheet'!G5*'Output-Calculation-sheet'!G95</f>
        <v>2248650374.4926581</v>
      </c>
      <c r="H116" s="2">
        <f>H6/'Output-Calculation-sheet'!H5*'Output-Calculation-sheet'!H95</f>
        <v>0</v>
      </c>
      <c r="I116" s="2">
        <f>I6/'Output-Calculation-sheet'!I5*'Output-Calculation-sheet'!I95</f>
        <v>2048698288.8299224</v>
      </c>
      <c r="J116" s="2">
        <f>J6/'Output-Calculation-sheet'!J5*'Output-Calculation-sheet'!J95</f>
        <v>1994061039.4768646</v>
      </c>
      <c r="K116" s="2">
        <f>K6/'Output-Calculation-sheet'!K5*'Output-Calculation-sheet'!K95</f>
        <v>1974944000.3534336</v>
      </c>
      <c r="L116" s="2">
        <f>L6/'Output-Calculation-sheet'!L5*'Output-Calculation-sheet'!L95</f>
        <v>1584326374.3802431</v>
      </c>
      <c r="M116" s="2">
        <f>M6/'Output-Calculation-sheet'!M5*'Output-Calculation-sheet'!M95</f>
        <v>0</v>
      </c>
      <c r="N116" s="2">
        <f>N6/'Output-Calculation-sheet'!N5*'Output-Calculation-sheet'!N95</f>
        <v>1485303759.757915</v>
      </c>
      <c r="O116" s="2">
        <f>O6/'Output-Calculation-sheet'!O5*'Output-Calculation-sheet'!O95</f>
        <v>0</v>
      </c>
      <c r="P116" s="2">
        <f>P6/'Output-Calculation-sheet'!P5*'Output-Calculation-sheet'!P95</f>
        <v>1352140880.8229403</v>
      </c>
      <c r="Q116" s="2">
        <f>Q6/'Output-Calculation-sheet'!Q5*'Output-Calculation-sheet'!Q95</f>
        <v>1330287827.9208977</v>
      </c>
      <c r="R116" s="2">
        <f>R6/'Output-Calculation-sheet'!R5*'Output-Calculation-sheet'!R95</f>
        <v>1279797585.6110342</v>
      </c>
      <c r="S116" s="2">
        <f>S6/'Output-Calculation-sheet'!S5*'Output-Calculation-sheet'!S95</f>
        <v>850619366.39961922</v>
      </c>
      <c r="T116" s="2">
        <f>T6/'Output-Calculation-sheet'!T5*'Output-Calculation-sheet'!T95</f>
        <v>470442494.75007647</v>
      </c>
      <c r="U116" s="2">
        <f>U6/'Output-Calculation-sheet'!U5*'Output-Calculation-sheet'!U95</f>
        <v>409739419.27536851</v>
      </c>
      <c r="V116" s="2">
        <f>V6/'Output-Calculation-sheet'!V5*'Output-Calculation-sheet'!V95</f>
        <v>315507547.54428208</v>
      </c>
      <c r="W116" s="2">
        <f>W6/'Output-Calculation-sheet'!W5*'Output-Calculation-sheet'!W95</f>
        <v>273159612.76658654</v>
      </c>
      <c r="X116" s="2">
        <f>X6/'Output-Calculation-sheet'!X5*'Output-Calculation-sheet'!X95</f>
        <v>0</v>
      </c>
      <c r="Y116" s="2">
        <f>Y6/'Output-Calculation-sheet'!Y5*'Output-Calculation-sheet'!Y95</f>
        <v>159386995.43650803</v>
      </c>
      <c r="AA116" s="2">
        <f t="shared" ref="AA116:AA122" si="10">SUM(B116:Y116)/10^6</f>
        <v>47133.934182752993</v>
      </c>
    </row>
    <row r="117" spans="1:27" x14ac:dyDescent="0.25">
      <c r="A117" s="2">
        <v>2030</v>
      </c>
      <c r="B117" s="2">
        <f>B7/'Output-Calculation-sheet'!B6*'Output-Calculation-sheet'!B96</f>
        <v>25948882991.380848</v>
      </c>
      <c r="C117" s="2">
        <f>C7/'Output-Calculation-sheet'!C6*'Output-Calculation-sheet'!C96</f>
        <v>0</v>
      </c>
      <c r="D117" s="2">
        <f>D7/'Output-Calculation-sheet'!D6*'Output-Calculation-sheet'!D96</f>
        <v>10898826826.431534</v>
      </c>
      <c r="E117" s="2">
        <f>E7/'Output-Calculation-sheet'!E6*'Output-Calculation-sheet'!E96</f>
        <v>8647111978.3514366</v>
      </c>
      <c r="F117" s="2">
        <f>F7/'Output-Calculation-sheet'!F6*'Output-Calculation-sheet'!F96</f>
        <v>5566459151.4165039</v>
      </c>
      <c r="G117" s="2">
        <f>G7/'Output-Calculation-sheet'!G6*'Output-Calculation-sheet'!G96</f>
        <v>3911146988.5042009</v>
      </c>
      <c r="H117" s="2">
        <f>H7/'Output-Calculation-sheet'!H6*'Output-Calculation-sheet'!H96</f>
        <v>0</v>
      </c>
      <c r="I117" s="2">
        <f>I7/'Output-Calculation-sheet'!I6*'Output-Calculation-sheet'!I96</f>
        <v>3563362311.07374</v>
      </c>
      <c r="J117" s="2">
        <f>J7/'Output-Calculation-sheet'!J6*'Output-Calculation-sheet'!J96</f>
        <v>3468330091.4140968</v>
      </c>
      <c r="K117" s="2">
        <f>K7/'Output-Calculation-sheet'!K6*'Output-Calculation-sheet'!K96</f>
        <v>3435080150.8052058</v>
      </c>
      <c r="L117" s="2">
        <f>L7/'Output-Calculation-sheet'!L6*'Output-Calculation-sheet'!L96</f>
        <v>2755666320.5800033</v>
      </c>
      <c r="M117" s="2">
        <f>M7/'Output-Calculation-sheet'!M6*'Output-Calculation-sheet'!M96</f>
        <v>0</v>
      </c>
      <c r="N117" s="2">
        <f>N7/'Output-Calculation-sheet'!N6*'Output-Calculation-sheet'!N96</f>
        <v>1736566610.7807281</v>
      </c>
      <c r="O117" s="2">
        <f>O7/'Output-Calculation-sheet'!O6*'Output-Calculation-sheet'!O96</f>
        <v>0</v>
      </c>
      <c r="P117" s="2">
        <f>P7/'Output-Calculation-sheet'!P6*'Output-Calculation-sheet'!P96</f>
        <v>2351818514.65095</v>
      </c>
      <c r="Q117" s="2">
        <f>Q7/'Output-Calculation-sheet'!Q6*'Output-Calculation-sheet'!Q96</f>
        <v>2313810068.4024806</v>
      </c>
      <c r="R117" s="2">
        <f>R7/'Output-Calculation-sheet'!R6*'Output-Calculation-sheet'!R96</f>
        <v>2225991434.617229</v>
      </c>
      <c r="S117" s="2">
        <f>S7/'Output-Calculation-sheet'!S6*'Output-Calculation-sheet'!S96</f>
        <v>1300107066.4048803</v>
      </c>
      <c r="T117" s="2">
        <f>T7/'Output-Calculation-sheet'!T6*'Output-Calculation-sheet'!T96</f>
        <v>818255364.67360687</v>
      </c>
      <c r="U117" s="2">
        <f>U7/'Output-Calculation-sheet'!U6*'Output-Calculation-sheet'!U96</f>
        <v>712672230.65736961</v>
      </c>
      <c r="V117" s="2">
        <f>V7/'Output-Calculation-sheet'!V6*'Output-Calculation-sheet'!V96</f>
        <v>548771870.90096664</v>
      </c>
      <c r="W117" s="2">
        <f>W7/'Output-Calculation-sheet'!W6*'Output-Calculation-sheet'!W96</f>
        <v>475114944.8681528</v>
      </c>
      <c r="X117" s="2">
        <f>X7/'Output-Calculation-sheet'!X6*'Output-Calculation-sheet'!X96</f>
        <v>0</v>
      </c>
      <c r="Y117" s="2">
        <f>Y7/'Output-Calculation-sheet'!Y6*'Output-Calculation-sheet'!Y96</f>
        <v>277226719.44094336</v>
      </c>
      <c r="AA117" s="2">
        <f t="shared" si="10"/>
        <v>80955.201635354882</v>
      </c>
    </row>
    <row r="118" spans="1:27" x14ac:dyDescent="0.25">
      <c r="A118" s="2">
        <v>2031</v>
      </c>
      <c r="B118" s="2">
        <f>B8/'Output-Calculation-sheet'!B7*'Output-Calculation-sheet'!B97</f>
        <v>36113566070.823059</v>
      </c>
      <c r="C118" s="2">
        <f>C8/'Output-Calculation-sheet'!C7*'Output-Calculation-sheet'!C97</f>
        <v>0</v>
      </c>
      <c r="D118" s="2">
        <f>D8/'Output-Calculation-sheet'!D7*'Output-Calculation-sheet'!D97</f>
        <v>15614822589.745697</v>
      </c>
      <c r="E118" s="2">
        <f>E8/'Output-Calculation-sheet'!E7*'Output-Calculation-sheet'!E97</f>
        <v>12388777182.758169</v>
      </c>
      <c r="F118" s="2">
        <f>F8/'Output-Calculation-sheet'!F7*'Output-Calculation-sheet'!F97</f>
        <v>7975100439.5069237</v>
      </c>
      <c r="G118" s="2">
        <f>G8/'Output-Calculation-sheet'!G7*'Output-Calculation-sheet'!G97</f>
        <v>5603524439.5215473</v>
      </c>
      <c r="H118" s="2">
        <f>H8/'Output-Calculation-sheet'!H7*'Output-Calculation-sheet'!H97</f>
        <v>0</v>
      </c>
      <c r="I118" s="2">
        <f>I8/'Output-Calculation-sheet'!I7*'Output-Calculation-sheet'!I97</f>
        <v>5105251858.1646633</v>
      </c>
      <c r="J118" s="2">
        <f>J8/'Output-Calculation-sheet'!J7*'Output-Calculation-sheet'!J97</f>
        <v>4969100530.4136629</v>
      </c>
      <c r="K118" s="2">
        <f>K8/'Output-Calculation-sheet'!K7*'Output-Calculation-sheet'!K97</f>
        <v>4921461823.5899744</v>
      </c>
      <c r="L118" s="2">
        <f>L8/'Output-Calculation-sheet'!L7*'Output-Calculation-sheet'!L97</f>
        <v>3948060667.5273018</v>
      </c>
      <c r="M118" s="2">
        <f>M8/'Output-Calculation-sheet'!M7*'Output-Calculation-sheet'!M97</f>
        <v>0</v>
      </c>
      <c r="N118" s="2">
        <f>N8/'Output-Calculation-sheet'!N7*'Output-Calculation-sheet'!N97</f>
        <v>2439254451.8042731</v>
      </c>
      <c r="O118" s="2">
        <f>O8/'Output-Calculation-sheet'!O7*'Output-Calculation-sheet'!O97</f>
        <v>0</v>
      </c>
      <c r="P118" s="2">
        <f>P8/'Output-Calculation-sheet'!P7*'Output-Calculation-sheet'!P97</f>
        <v>3369466226.3886809</v>
      </c>
      <c r="Q118" s="2">
        <f>Q8/'Output-Calculation-sheet'!Q7*'Output-Calculation-sheet'!Q97</f>
        <v>3315009578.2331014</v>
      </c>
      <c r="R118" s="2">
        <f>R8/'Output-Calculation-sheet'!R7*'Output-Calculation-sheet'!R97</f>
        <v>3189191672.4626927</v>
      </c>
      <c r="S118" s="2">
        <f>S8/'Output-Calculation-sheet'!S7*'Output-Calculation-sheet'!S97</f>
        <v>1741307159.8854637</v>
      </c>
      <c r="T118" s="2">
        <f>T8/'Output-Calculation-sheet'!T7*'Output-Calculation-sheet'!T97</f>
        <v>1172319664.8906024</v>
      </c>
      <c r="U118" s="2">
        <f>U8/'Output-Calculation-sheet'!U7*'Output-Calculation-sheet'!U97</f>
        <v>1021050171.1556271</v>
      </c>
      <c r="V118" s="2">
        <f>V8/'Output-Calculation-sheet'!V7*'Output-Calculation-sheet'!V97</f>
        <v>786229361.75097883</v>
      </c>
      <c r="W118" s="2">
        <f>W8/'Output-Calculation-sheet'!W7*'Output-Calculation-sheet'!W97</f>
        <v>680700113.89527714</v>
      </c>
      <c r="X118" s="2">
        <f>X8/'Output-Calculation-sheet'!X7*'Output-Calculation-sheet'!X97</f>
        <v>0</v>
      </c>
      <c r="Y118" s="2">
        <f>Y8/'Output-Calculation-sheet'!Y7*'Output-Calculation-sheet'!Y97</f>
        <v>397184587.61081046</v>
      </c>
      <c r="AA118" s="2">
        <f t="shared" si="10"/>
        <v>114751.37859012853</v>
      </c>
    </row>
    <row r="119" spans="1:27" x14ac:dyDescent="0.25">
      <c r="A119" s="2">
        <v>2032</v>
      </c>
      <c r="B119" s="2">
        <f>B9/'Output-Calculation-sheet'!B8*'Output-Calculation-sheet'!B98</f>
        <v>42229809796.287659</v>
      </c>
      <c r="C119" s="2">
        <f>C9/'Output-Calculation-sheet'!C8*'Output-Calculation-sheet'!C98</f>
        <v>0</v>
      </c>
      <c r="D119" s="2">
        <f>D9/'Output-Calculation-sheet'!D8*'Output-Calculation-sheet'!D98</f>
        <v>19577054507.571472</v>
      </c>
      <c r="E119" s="2">
        <f>E9/'Output-Calculation-sheet'!E8*'Output-Calculation-sheet'!E98</f>
        <v>15532402488.343229</v>
      </c>
      <c r="F119" s="2">
        <f>F9/'Output-Calculation-sheet'!F8*'Output-Calculation-sheet'!F98</f>
        <v>9998767952.2860889</v>
      </c>
      <c r="G119" s="2">
        <f>G9/'Output-Calculation-sheet'!G8*'Output-Calculation-sheet'!G98</f>
        <v>7025408795.0885954</v>
      </c>
      <c r="H119" s="2">
        <f>H9/'Output-Calculation-sheet'!H8*'Output-Calculation-sheet'!H98</f>
        <v>0</v>
      </c>
      <c r="I119" s="2">
        <f>I9/'Output-Calculation-sheet'!I8*'Output-Calculation-sheet'!I98</f>
        <v>6400700913.8277111</v>
      </c>
      <c r="J119" s="2">
        <f>J9/'Output-Calculation-sheet'!J8*'Output-Calculation-sheet'!J98</f>
        <v>6229998996.9910851</v>
      </c>
      <c r="K119" s="2">
        <f>K9/'Output-Calculation-sheet'!K8*'Output-Calculation-sheet'!K98</f>
        <v>6170273039.7399607</v>
      </c>
      <c r="L119" s="2">
        <f>L9/'Output-Calculation-sheet'!L8*'Output-Calculation-sheet'!L98</f>
        <v>4949874420.7704668</v>
      </c>
      <c r="M119" s="2">
        <f>M9/'Output-Calculation-sheet'!M8*'Output-Calculation-sheet'!M98</f>
        <v>0</v>
      </c>
      <c r="N119" s="2">
        <f>N9/'Output-Calculation-sheet'!N8*'Output-Calculation-sheet'!N98</f>
        <v>2422162350.3812485</v>
      </c>
      <c r="O119" s="2">
        <f>O9/'Output-Calculation-sheet'!O8*'Output-Calculation-sheet'!O98</f>
        <v>4.3467069415427688E-7</v>
      </c>
      <c r="P119" s="2">
        <f>P9/'Output-Calculation-sheet'!P8*'Output-Calculation-sheet'!P98</f>
        <v>4224434048.3947439</v>
      </c>
      <c r="Q119" s="2">
        <f>Q9/'Output-Calculation-sheet'!Q8*'Output-Calculation-sheet'!Q98</f>
        <v>4156187025.5310903</v>
      </c>
      <c r="R119" s="2">
        <f>R9/'Output-Calculation-sheet'!R8*'Output-Calculation-sheet'!R98</f>
        <v>3998443384.5754709</v>
      </c>
      <c r="S119" s="2">
        <f>S9/'Output-Calculation-sheet'!S8*'Output-Calculation-sheet'!S98</f>
        <v>1987243638.8505561</v>
      </c>
      <c r="T119" s="2">
        <f>T9/'Output-Calculation-sheet'!T8*'Output-Calculation-sheet'!T98</f>
        <v>1469793348.5102875</v>
      </c>
      <c r="U119" s="2">
        <f>U9/'Output-Calculation-sheet'!U8*'Output-Calculation-sheet'!U98</f>
        <v>1280140037.3166616</v>
      </c>
      <c r="V119" s="2">
        <f>V9/'Output-Calculation-sheet'!V8*'Output-Calculation-sheet'!V98</f>
        <v>985733431.69604695</v>
      </c>
      <c r="W119" s="2">
        <f>W9/'Output-Calculation-sheet'!W8*'Output-Calculation-sheet'!W98</f>
        <v>853426557.43988431</v>
      </c>
      <c r="X119" s="2">
        <f>X9/'Output-Calculation-sheet'!X8*'Output-Calculation-sheet'!X98</f>
        <v>0</v>
      </c>
      <c r="Y119" s="2">
        <f>Y9/'Output-Calculation-sheet'!Y8*'Output-Calculation-sheet'!Y98</f>
        <v>497969275.92232853</v>
      </c>
      <c r="AA119" s="2">
        <f t="shared" si="10"/>
        <v>139989.82400952457</v>
      </c>
    </row>
    <row r="120" spans="1:27" x14ac:dyDescent="0.25">
      <c r="A120" s="2">
        <v>2033</v>
      </c>
      <c r="B120" s="2">
        <f>B10/'Output-Calculation-sheet'!B9*'Output-Calculation-sheet'!B99</f>
        <v>44684515881.601326</v>
      </c>
      <c r="C120" s="2">
        <f>C10/'Output-Calculation-sheet'!C9*'Output-Calculation-sheet'!C99</f>
        <v>0</v>
      </c>
      <c r="D120" s="2">
        <f>D10/'Output-Calculation-sheet'!D9*'Output-Calculation-sheet'!D99</f>
        <v>23443237053.798988</v>
      </c>
      <c r="E120" s="2">
        <f>E10/'Output-Calculation-sheet'!E9*'Output-Calculation-sheet'!E99</f>
        <v>18599827234.293175</v>
      </c>
      <c r="F120" s="2">
        <f>F10/'Output-Calculation-sheet'!F9*'Output-Calculation-sheet'!F99</f>
        <v>11973376239.053461</v>
      </c>
      <c r="G120" s="2">
        <f>G10/'Output-Calculation-sheet'!G9*'Output-Calculation-sheet'!G99</f>
        <v>8412822746.0005274</v>
      </c>
      <c r="H120" s="2">
        <f>H10/'Output-Calculation-sheet'!H9*'Output-Calculation-sheet'!H99</f>
        <v>0</v>
      </c>
      <c r="I120" s="2">
        <f>I10/'Output-Calculation-sheet'!I9*'Output-Calculation-sheet'!I99</f>
        <v>7664744740.923192</v>
      </c>
      <c r="J120" s="2">
        <f>J10/'Output-Calculation-sheet'!J9*'Output-Calculation-sheet'!J99</f>
        <v>7460331705.6304026</v>
      </c>
      <c r="K120" s="2">
        <f>K10/'Output-Calculation-sheet'!K9*'Output-Calculation-sheet'!K99</f>
        <v>7388811527.447567</v>
      </c>
      <c r="L120" s="2">
        <f>L10/'Output-Calculation-sheet'!L9*'Output-Calculation-sheet'!L99</f>
        <v>5927401452.4894772</v>
      </c>
      <c r="M120" s="2">
        <f>M10/'Output-Calculation-sheet'!M9*'Output-Calculation-sheet'!M99</f>
        <v>0</v>
      </c>
      <c r="N120" s="2">
        <f>N10/'Output-Calculation-sheet'!N9*'Output-Calculation-sheet'!N99</f>
        <v>2221060428.1870933</v>
      </c>
      <c r="O120" s="2">
        <f>O10/'Output-Calculation-sheet'!O9*'Output-Calculation-sheet'!O99</f>
        <v>0</v>
      </c>
      <c r="P120" s="2">
        <f>P10/'Output-Calculation-sheet'!P9*'Output-Calculation-sheet'!P99</f>
        <v>5058431813.530632</v>
      </c>
      <c r="Q120" s="2">
        <f>Q10/'Output-Calculation-sheet'!Q9*'Output-Calculation-sheet'!Q99</f>
        <v>4868370070.614131</v>
      </c>
      <c r="R120" s="2">
        <f>R10/'Output-Calculation-sheet'!R9*'Output-Calculation-sheet'!R99</f>
        <v>4787849583.5409765</v>
      </c>
      <c r="S120" s="2">
        <f>S10/'Output-Calculation-sheet'!S9*'Output-Calculation-sheet'!S99</f>
        <v>1837511961.7758601</v>
      </c>
      <c r="T120" s="2">
        <f>T10/'Output-Calculation-sheet'!T9*'Output-Calculation-sheet'!T99</f>
        <v>1760040671.2190113</v>
      </c>
      <c r="U120" s="2">
        <f>U10/'Output-Calculation-sheet'!U9*'Output-Calculation-sheet'!U99</f>
        <v>1533281942.1297002</v>
      </c>
      <c r="V120" s="2">
        <f>V10/'Output-Calculation-sheet'!V9*'Output-Calculation-sheet'!V99</f>
        <v>1180401274.6793258</v>
      </c>
      <c r="W120" s="2">
        <f>W10/'Output-Calculation-sheet'!W9*'Output-Calculation-sheet'!W99</f>
        <v>1021965901.0522736</v>
      </c>
      <c r="X120" s="2">
        <f>X10/'Output-Calculation-sheet'!X9*'Output-Calculation-sheet'!X99</f>
        <v>0</v>
      </c>
      <c r="Y120" s="2">
        <f>Y10/'Output-Calculation-sheet'!Y9*'Output-Calculation-sheet'!Y99</f>
        <v>596311744.20194662</v>
      </c>
      <c r="AA120" s="2">
        <f t="shared" si="10"/>
        <v>160420.29397216908</v>
      </c>
    </row>
    <row r="121" spans="1:27" x14ac:dyDescent="0.25">
      <c r="A121" s="2">
        <v>2034</v>
      </c>
      <c r="B121" s="2">
        <f>B11/'Output-Calculation-sheet'!B10*'Output-Calculation-sheet'!B100</f>
        <v>39430627743.027229</v>
      </c>
      <c r="C121" s="2">
        <f>C11/'Output-Calculation-sheet'!C10*'Output-Calculation-sheet'!C100</f>
        <v>0</v>
      </c>
      <c r="D121" s="2">
        <f>D11/'Output-Calculation-sheet'!D10*'Output-Calculation-sheet'!D100</f>
        <v>27328247646.455563</v>
      </c>
      <c r="E121" s="2">
        <f>E11/'Output-Calculation-sheet'!E10*'Output-Calculation-sheet'!E100</f>
        <v>21144957946.082607</v>
      </c>
      <c r="F121" s="2">
        <f>F11/'Output-Calculation-sheet'!F10*'Output-Calculation-sheet'!F100</f>
        <v>13957527598.049236</v>
      </c>
      <c r="G121" s="2">
        <f>G11/'Output-Calculation-sheet'!G10*'Output-Calculation-sheet'!G100</f>
        <v>9806461275.3487186</v>
      </c>
      <c r="H121" s="2">
        <f>H11/'Output-Calculation-sheet'!H10*'Output-Calculation-sheet'!H100</f>
        <v>1.1805875118046627E-7</v>
      </c>
      <c r="I121" s="2">
        <f>I11/'Output-Calculation-sheet'!I10*'Output-Calculation-sheet'!I100</f>
        <v>8934629319.4207745</v>
      </c>
      <c r="J121" s="2">
        <f>J11/'Output-Calculation-sheet'!J10*'Output-Calculation-sheet'!J100</f>
        <v>8696431919.9812031</v>
      </c>
      <c r="K121" s="2">
        <f>K11/'Output-Calculation-sheet'!K10*'Output-Calculation-sheet'!K100</f>
        <v>8613288076.5799026</v>
      </c>
      <c r="L121" s="2">
        <f>L11/'Output-Calculation-sheet'!L10*'Output-Calculation-sheet'!L100</f>
        <v>6474026134.583086</v>
      </c>
      <c r="M121" s="2">
        <f>M11/'Output-Calculation-sheet'!M10*'Output-Calculation-sheet'!M100</f>
        <v>-7.6669742223289057E-8</v>
      </c>
      <c r="N121" s="2">
        <f>N11/'Output-Calculation-sheet'!N10*'Output-Calculation-sheet'!N100</f>
        <v>1912135441.5021739</v>
      </c>
      <c r="O121" s="2">
        <f>O11/'Output-Calculation-sheet'!O10*'Output-Calculation-sheet'!O100</f>
        <v>0</v>
      </c>
      <c r="P121" s="2">
        <f>P11/'Output-Calculation-sheet'!P10*'Output-Calculation-sheet'!P100</f>
        <v>5896471609.5889664</v>
      </c>
      <c r="Q121" s="2">
        <f>Q11/'Output-Calculation-sheet'!Q10*'Output-Calculation-sheet'!Q100</f>
        <v>4639499900.8619032</v>
      </c>
      <c r="R121" s="2">
        <f>R11/'Output-Calculation-sheet'!R10*'Output-Calculation-sheet'!R100</f>
        <v>5581050518.3056126</v>
      </c>
      <c r="S121" s="2">
        <f>S11/'Output-Calculation-sheet'!S10*'Output-Calculation-sheet'!S100</f>
        <v>1464933181.7848248</v>
      </c>
      <c r="T121" s="2">
        <f>T11/'Output-Calculation-sheet'!T10*'Output-Calculation-sheet'!T100</f>
        <v>2051591834.6431887</v>
      </c>
      <c r="U121" s="2">
        <f>U11/'Output-Calculation-sheet'!U10*'Output-Calculation-sheet'!U100</f>
        <v>1787951599.8436201</v>
      </c>
      <c r="V121" s="2">
        <f>V11/'Output-Calculation-sheet'!V10*'Output-Calculation-sheet'!V100</f>
        <v>1376017444.9628689</v>
      </c>
      <c r="W121" s="2">
        <f>W11/'Output-Calculation-sheet'!W10*'Output-Calculation-sheet'!W100</f>
        <v>1191361359.8339539</v>
      </c>
      <c r="X121" s="2">
        <f>X11/'Output-Calculation-sheet'!X10*'Output-Calculation-sheet'!X100</f>
        <v>63277660.367692523</v>
      </c>
      <c r="Y121" s="2">
        <f>Y11/'Output-Calculation-sheet'!Y10*'Output-Calculation-sheet'!Y100</f>
        <v>666502321.29269481</v>
      </c>
      <c r="AA121" s="2">
        <f t="shared" si="10"/>
        <v>171016.99053251583</v>
      </c>
    </row>
    <row r="122" spans="1:27" x14ac:dyDescent="0.25">
      <c r="A122" s="2">
        <v>2035</v>
      </c>
      <c r="B122" s="2">
        <f>B12/'Output-Calculation-sheet'!B11*'Output-Calculation-sheet'!B101</f>
        <v>35783560128.958626</v>
      </c>
      <c r="C122" s="2">
        <f>C12/'Output-Calculation-sheet'!C11*'Output-Calculation-sheet'!C101</f>
        <v>0</v>
      </c>
      <c r="D122" s="2">
        <f>D12/'Output-Calculation-sheet'!D11*'Output-Calculation-sheet'!D101</f>
        <v>29992090345.002659</v>
      </c>
      <c r="E122" s="2">
        <f>E12/'Output-Calculation-sheet'!E11*'Output-Calculation-sheet'!E101</f>
        <v>20195329950.065056</v>
      </c>
      <c r="F122" s="2">
        <f>F12/'Output-Calculation-sheet'!F11*'Output-Calculation-sheet'!F101</f>
        <v>15633442702.945915</v>
      </c>
      <c r="G122" s="2">
        <f>G12/'Output-Calculation-sheet'!G11*'Output-Calculation-sheet'!G101</f>
        <v>10653538324.16304</v>
      </c>
      <c r="H122" s="2">
        <f>H12/'Output-Calculation-sheet'!H11*'Output-Calculation-sheet'!H101</f>
        <v>0</v>
      </c>
      <c r="I122" s="2">
        <f>I12/'Output-Calculation-sheet'!I11*'Output-Calculation-sheet'!I101</f>
        <v>9975802442.2055664</v>
      </c>
      <c r="J122" s="2">
        <f>J12/'Output-Calculation-sheet'!J11*'Output-Calculation-sheet'!J101</f>
        <v>9534543201.7770004</v>
      </c>
      <c r="K122" s="2">
        <f>K12/'Output-Calculation-sheet'!K11*'Output-Calculation-sheet'!K101</f>
        <v>9627415035.991106</v>
      </c>
      <c r="L122" s="2">
        <f>L12/'Output-Calculation-sheet'!L11*'Output-Calculation-sheet'!L101</f>
        <v>6407385268.0581017</v>
      </c>
      <c r="M122" s="2">
        <f>M12/'Output-Calculation-sheet'!M11*'Output-Calculation-sheet'!M101</f>
        <v>0</v>
      </c>
      <c r="N122" s="2">
        <f>N12/'Output-Calculation-sheet'!N11*'Output-Calculation-sheet'!N101</f>
        <v>1887692250.944531</v>
      </c>
      <c r="O122" s="2">
        <f>O12/'Output-Calculation-sheet'!O11*'Output-Calculation-sheet'!O101</f>
        <v>0</v>
      </c>
      <c r="P122" s="2">
        <f>P12/'Output-Calculation-sheet'!P11*'Output-Calculation-sheet'!P101</f>
        <v>6318121957.0235119</v>
      </c>
      <c r="Q122" s="2">
        <f>Q12/'Output-Calculation-sheet'!Q11*'Output-Calculation-sheet'!Q101</f>
        <v>4115220256.2111473</v>
      </c>
      <c r="R122" s="2">
        <f>R12/'Output-Calculation-sheet'!R11*'Output-Calculation-sheet'!R101</f>
        <v>6233193780.2443619</v>
      </c>
      <c r="S122" s="2">
        <f>S12/'Output-Calculation-sheet'!S11*'Output-Calculation-sheet'!S101</f>
        <v>1310668081.2418172</v>
      </c>
      <c r="T122" s="2">
        <f>T12/'Output-Calculation-sheet'!T11*'Output-Calculation-sheet'!T101</f>
        <v>2309400109.4764209</v>
      </c>
      <c r="U122" s="2">
        <f>U12/'Output-Calculation-sheet'!U11*'Output-Calculation-sheet'!U101</f>
        <v>1892131781.2947381</v>
      </c>
      <c r="V122" s="2">
        <f>V12/'Output-Calculation-sheet'!V11*'Output-Calculation-sheet'!V101</f>
        <v>1557671397.7726564</v>
      </c>
      <c r="W122" s="2">
        <f>W12/'Output-Calculation-sheet'!W11*'Output-Calculation-sheet'!W101</f>
        <v>1343413028.6679807</v>
      </c>
      <c r="X122" s="2">
        <f>X12/'Output-Calculation-sheet'!X11*'Output-Calculation-sheet'!X101</f>
        <v>64929876.428874433</v>
      </c>
      <c r="Y122" s="2">
        <f>Y12/'Output-Calculation-sheet'!Y11*'Output-Calculation-sheet'!Y101</f>
        <v>606417117.68844676</v>
      </c>
      <c r="AA122" s="2">
        <f t="shared" si="10"/>
        <v>175441.96703616151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41547071471.022324</v>
      </c>
      <c r="C126" s="2">
        <f>C5/'Output-Calculation-sheet'!C4*'Output-Calculation-sheet'!C103</f>
        <v>19579071286.922321</v>
      </c>
      <c r="D126" s="2">
        <f>D5/'Output-Calculation-sheet'!D4*'Output-Calculation-sheet'!D103</f>
        <v>17450246496.026913</v>
      </c>
      <c r="E126" s="2">
        <f>E5/'Output-Calculation-sheet'!E4*'Output-Calculation-sheet'!E103</f>
        <v>13844999023.801756</v>
      </c>
      <c r="F126" s="2">
        <f>F5/'Output-Calculation-sheet'!F4*'Output-Calculation-sheet'!F103</f>
        <v>8912524665.57687</v>
      </c>
      <c r="G126" s="2">
        <f>G5/'Output-Calculation-sheet'!G4*'Output-Calculation-sheet'!G103</f>
        <v>6262184442.3363132</v>
      </c>
      <c r="H126" s="2">
        <f>H5/'Output-Calculation-sheet'!H4*'Output-Calculation-sheet'!H103</f>
        <v>6108519856.4948931</v>
      </c>
      <c r="I126" s="2">
        <f>I5/'Output-Calculation-sheet'!I4*'Output-Calculation-sheet'!I103</f>
        <v>5705342646.0925684</v>
      </c>
      <c r="J126" s="2">
        <f>J5/'Output-Calculation-sheet'!J4*'Output-Calculation-sheet'!J103</f>
        <v>5553186643.407649</v>
      </c>
      <c r="K126" s="2">
        <f>K5/'Output-Calculation-sheet'!K4*'Output-Calculation-sheet'!K103</f>
        <v>5499950162.2674665</v>
      </c>
      <c r="L126" s="2">
        <f>L5/'Output-Calculation-sheet'!L4*'Output-Calculation-sheet'!L103</f>
        <v>4412131771.7244492</v>
      </c>
      <c r="M126" s="2">
        <f>M5/'Output-Calculation-sheet'!M4*'Output-Calculation-sheet'!M103</f>
        <v>4214346668.3323402</v>
      </c>
      <c r="N126" s="2">
        <f>N5/'Output-Calculation-sheet'!N4*'Output-Calculation-sheet'!N103</f>
        <v>4136368740.7162123</v>
      </c>
      <c r="O126" s="2">
        <f>O5/'Output-Calculation-sheet'!O4*'Output-Calculation-sheet'!O103</f>
        <v>3804230447.0981178</v>
      </c>
      <c r="P126" s="2">
        <f>P5/'Output-Calculation-sheet'!P4*'Output-Calculation-sheet'!P103</f>
        <v>3765525727.3932872</v>
      </c>
      <c r="Q126" s="2">
        <f>Q5/'Output-Calculation-sheet'!Q4*'Output-Calculation-sheet'!Q103</f>
        <v>3704668853.7503796</v>
      </c>
      <c r="R126" s="2">
        <f>R5/'Output-Calculation-sheet'!R4*'Output-Calculation-sheet'!R103</f>
        <v>3564061634.929184</v>
      </c>
      <c r="S126" s="2">
        <f>S5/'Output-Calculation-sheet'!S4*'Output-Calculation-sheet'!S103</f>
        <v>2368858333.0237355</v>
      </c>
      <c r="T126" s="2">
        <f>T5/'Output-Calculation-sheet'!T4*'Output-Calculation-sheet'!T103</f>
        <v>1310118299.5223486</v>
      </c>
      <c r="U126" s="2">
        <f>U5/'Output-Calculation-sheet'!U4*'Output-Calculation-sheet'!U103</f>
        <v>1141068498.3500261</v>
      </c>
      <c r="V126" s="2">
        <f>V5/'Output-Calculation-sheet'!V4*'Output-Calculation-sheet'!V103</f>
        <v>878645565.13375652</v>
      </c>
      <c r="W126" s="2">
        <f>W5/'Output-Calculation-sheet'!W4*'Output-Calculation-sheet'!W103</f>
        <v>760712246.78410697</v>
      </c>
      <c r="X126" s="2">
        <f>X5/'Output-Calculation-sheet'!X4*'Output-Calculation-sheet'!X103</f>
        <v>456427360.97865528</v>
      </c>
      <c r="Y126" s="2">
        <f>Y5/'Output-Calculation-sheet'!Y4*'Output-Calculation-sheet'!Y103</f>
        <v>443871130.79609311</v>
      </c>
      <c r="AA126" s="2">
        <f>SUM(B126:Y126)/10^6</f>
        <v>165424.13197248182</v>
      </c>
    </row>
    <row r="127" spans="1:27" x14ac:dyDescent="0.25">
      <c r="A127" s="2">
        <v>2029</v>
      </c>
      <c r="B127" s="2">
        <f>B6/'Output-Calculation-sheet'!B5*'Output-Calculation-sheet'!B104</f>
        <v>44756676872.027061</v>
      </c>
      <c r="C127" s="2">
        <f>C6/'Output-Calculation-sheet'!C5*'Output-Calculation-sheet'!C104</f>
        <v>21091599703.72546</v>
      </c>
      <c r="D127" s="2">
        <f>D6/'Output-Calculation-sheet'!D5*'Output-Calculation-sheet'!D104</f>
        <v>18798319674.121162</v>
      </c>
      <c r="E127" s="2">
        <f>E6/'Output-Calculation-sheet'!E5*'Output-Calculation-sheet'!E104</f>
        <v>14914557124.994295</v>
      </c>
      <c r="F127" s="2">
        <f>F6/'Output-Calculation-sheet'!F5*'Output-Calculation-sheet'!F104</f>
        <v>9601035625.0601196</v>
      </c>
      <c r="G127" s="2">
        <f>G6/'Output-Calculation-sheet'!G5*'Output-Calculation-sheet'!G104</f>
        <v>6745951123.4779739</v>
      </c>
      <c r="H127" s="2">
        <f>H6/'Output-Calculation-sheet'!H5*'Output-Calculation-sheet'!H104</f>
        <v>6580416365.5889292</v>
      </c>
      <c r="I127" s="2">
        <f>I6/'Output-Calculation-sheet'!I5*'Output-Calculation-sheet'!I104</f>
        <v>6146093286.0832987</v>
      </c>
      <c r="J127" s="2">
        <f>J6/'Output-Calculation-sheet'!J5*'Output-Calculation-sheet'!J104</f>
        <v>5982181554.347065</v>
      </c>
      <c r="K127" s="2">
        <f>K6/'Output-Calculation-sheet'!K5*'Output-Calculation-sheet'!K104</f>
        <v>5924832001.0603008</v>
      </c>
      <c r="L127" s="2">
        <f>L6/'Output-Calculation-sheet'!L5*'Output-Calculation-sheet'!L104</f>
        <v>4752977888.0383244</v>
      </c>
      <c r="M127" s="2">
        <f>M6/'Output-Calculation-sheet'!M5*'Output-Calculation-sheet'!M104</f>
        <v>4539913656.9567509</v>
      </c>
      <c r="N127" s="2">
        <f>N6/'Output-Calculation-sheet'!N5*'Output-Calculation-sheet'!N104</f>
        <v>4455912430.4274998</v>
      </c>
      <c r="O127" s="2">
        <f>O6/'Output-Calculation-sheet'!O5*'Output-Calculation-sheet'!O104</f>
        <v>4098115870.2133255</v>
      </c>
      <c r="P127" s="2">
        <f>P6/'Output-Calculation-sheet'!P5*'Output-Calculation-sheet'!P104</f>
        <v>4056421579.0101714</v>
      </c>
      <c r="Q127" s="2">
        <f>Q6/'Output-Calculation-sheet'!Q5*'Output-Calculation-sheet'!Q104</f>
        <v>3990862475.1788263</v>
      </c>
      <c r="R127" s="2">
        <f>R6/'Output-Calculation-sheet'!R5*'Output-Calculation-sheet'!R104</f>
        <v>3839392756.8331027</v>
      </c>
      <c r="S127" s="2">
        <f>S6/'Output-Calculation-sheet'!S5*'Output-Calculation-sheet'!S104</f>
        <v>2551857439.3195772</v>
      </c>
      <c r="T127" s="2">
        <f>T6/'Output-Calculation-sheet'!T5*'Output-Calculation-sheet'!T104</f>
        <v>1411327854.2887046</v>
      </c>
      <c r="U127" s="2">
        <f>U6/'Output-Calculation-sheet'!U5*'Output-Calculation-sheet'!U104</f>
        <v>1229218579.6259847</v>
      </c>
      <c r="V127" s="2">
        <f>V6/'Output-Calculation-sheet'!V5*'Output-Calculation-sheet'!V104</f>
        <v>946522890.76973867</v>
      </c>
      <c r="W127" s="2">
        <f>W6/'Output-Calculation-sheet'!W5*'Output-Calculation-sheet'!W104</f>
        <v>819479053.16764808</v>
      </c>
      <c r="X127" s="2">
        <f>X6/'Output-Calculation-sheet'!X5*'Output-Calculation-sheet'!X104</f>
        <v>491687335.42573529</v>
      </c>
      <c r="Y127" s="2">
        <f>Y6/'Output-Calculation-sheet'!Y5*'Output-Calculation-sheet'!Y104</f>
        <v>478161110.30412161</v>
      </c>
      <c r="AA127" s="2">
        <f t="shared" ref="AA127:AA133" si="11">SUM(B127:Y127)/10^6</f>
        <v>178203.51425004512</v>
      </c>
    </row>
    <row r="128" spans="1:27" x14ac:dyDescent="0.25">
      <c r="A128" s="2">
        <v>2030</v>
      </c>
      <c r="B128" s="2">
        <f>B7/'Output-Calculation-sheet'!B6*'Output-Calculation-sheet'!B105</f>
        <v>43248142822.045227</v>
      </c>
      <c r="C128" s="2">
        <f>C7/'Output-Calculation-sheet'!C6*'Output-Calculation-sheet'!C105</f>
        <v>20380697174.595039</v>
      </c>
      <c r="D128" s="2">
        <f>D7/'Output-Calculation-sheet'!D6*'Output-Calculation-sheet'!D105</f>
        <v>18164715163.891808</v>
      </c>
      <c r="E128" s="2">
        <f>E7/'Output-Calculation-sheet'!E6*'Output-Calculation-sheet'!E105</f>
        <v>14411854801.883505</v>
      </c>
      <c r="F128" s="2">
        <f>F7/'Output-Calculation-sheet'!F6*'Output-Calculation-sheet'!F105</f>
        <v>9277430972.7177162</v>
      </c>
      <c r="G128" s="2">
        <f>G7/'Output-Calculation-sheet'!G6*'Output-Calculation-sheet'!G105</f>
        <v>6518577635.0231543</v>
      </c>
      <c r="H128" s="2">
        <f>H7/'Output-Calculation-sheet'!H6*'Output-Calculation-sheet'!H105</f>
        <v>6358621262.0101948</v>
      </c>
      <c r="I128" s="2">
        <f>I7/'Output-Calculation-sheet'!I6*'Output-Calculation-sheet'!I105</f>
        <v>5938937795.9782391</v>
      </c>
      <c r="J128" s="2">
        <f>J7/'Output-Calculation-sheet'!J6*'Output-Calculation-sheet'!J105</f>
        <v>5780550756.903059</v>
      </c>
      <c r="K128" s="2">
        <f>K7/'Output-Calculation-sheet'!K6*'Output-Calculation-sheet'!K105</f>
        <v>5725133584.6753435</v>
      </c>
      <c r="L128" s="2">
        <f>L7/'Output-Calculation-sheet'!L6*'Output-Calculation-sheet'!L105</f>
        <v>4592777678.3558207</v>
      </c>
      <c r="M128" s="2">
        <f>M7/'Output-Calculation-sheet'!M6*'Output-Calculation-sheet'!M105</f>
        <v>4386895049.1196795</v>
      </c>
      <c r="N128" s="2">
        <f>N7/'Output-Calculation-sheet'!N6*'Output-Calculation-sheet'!N105</f>
        <v>4305724655.0365067</v>
      </c>
      <c r="O128" s="2">
        <f>O7/'Output-Calculation-sheet'!O6*'Output-Calculation-sheet'!O105</f>
        <v>3959987938.6138864</v>
      </c>
      <c r="P128" s="2">
        <f>P7/'Output-Calculation-sheet'!P6*'Output-Calculation-sheet'!P105</f>
        <v>3919698346.5097899</v>
      </c>
      <c r="Q128" s="2">
        <f>Q7/'Output-Calculation-sheet'!Q6*'Output-Calculation-sheet'!Q105</f>
        <v>3856348944.4970765</v>
      </c>
      <c r="R128" s="2">
        <f>R7/'Output-Calculation-sheet'!R6*'Output-Calculation-sheet'!R105</f>
        <v>3709985337.7672763</v>
      </c>
      <c r="S128" s="2">
        <f>S7/'Output-Calculation-sheet'!S6*'Output-Calculation-sheet'!S105</f>
        <v>2465846497.8747764</v>
      </c>
      <c r="T128" s="2">
        <f>T7/'Output-Calculation-sheet'!T6*'Output-Calculation-sheet'!T105</f>
        <v>1363758655.0697131</v>
      </c>
      <c r="U128" s="2">
        <f>U7/'Output-Calculation-sheet'!U6*'Output-Calculation-sheet'!U105</f>
        <v>1187787424.2398257</v>
      </c>
      <c r="V128" s="2">
        <f>V7/'Output-Calculation-sheet'!V6*'Output-Calculation-sheet'!V105</f>
        <v>914620072.56297243</v>
      </c>
      <c r="W128" s="2">
        <f>W7/'Output-Calculation-sheet'!W6*'Output-Calculation-sheet'!W105</f>
        <v>791858158.39664316</v>
      </c>
      <c r="X128" s="2">
        <f>X7/'Output-Calculation-sheet'!X6*'Output-Calculation-sheet'!X105</f>
        <v>475114950.97186852</v>
      </c>
      <c r="Y128" s="2">
        <f>Y7/'Output-Calculation-sheet'!Y6*'Output-Calculation-sheet'!Y105</f>
        <v>462044484.47544479</v>
      </c>
      <c r="AA128" s="2">
        <f t="shared" si="11"/>
        <v>172197.11016321453</v>
      </c>
    </row>
    <row r="129" spans="1:27" x14ac:dyDescent="0.25">
      <c r="A129" s="2">
        <v>2031</v>
      </c>
      <c r="B129" s="2">
        <f>B8/'Output-Calculation-sheet'!B7*'Output-Calculation-sheet'!B106</f>
        <v>37177129725.970757</v>
      </c>
      <c r="C129" s="2">
        <f>C8/'Output-Calculation-sheet'!C7*'Output-Calculation-sheet'!C106</f>
        <v>17519737727.879925</v>
      </c>
      <c r="D129" s="2">
        <f>D8/'Output-Calculation-sheet'!D7*'Output-Calculation-sheet'!D106</f>
        <v>15614822589.745697</v>
      </c>
      <c r="E129" s="2">
        <f>E8/'Output-Calculation-sheet'!E7*'Output-Calculation-sheet'!E106</f>
        <v>12388777182.758169</v>
      </c>
      <c r="F129" s="2">
        <f>F8/'Output-Calculation-sheet'!F7*'Output-Calculation-sheet'!F106</f>
        <v>7975100439.5069237</v>
      </c>
      <c r="G129" s="2">
        <f>G8/'Output-Calculation-sheet'!G7*'Output-Calculation-sheet'!G106</f>
        <v>5603524439.5215473</v>
      </c>
      <c r="H129" s="2">
        <f>H8/'Output-Calculation-sheet'!H7*'Output-Calculation-sheet'!H106</f>
        <v>5466022989.4749718</v>
      </c>
      <c r="I129" s="2">
        <f>I8/'Output-Calculation-sheet'!I7*'Output-Calculation-sheet'!I106</f>
        <v>5105251858.1646633</v>
      </c>
      <c r="J129" s="2">
        <f>J8/'Output-Calculation-sheet'!J7*'Output-Calculation-sheet'!J106</f>
        <v>4969100530.4136629</v>
      </c>
      <c r="K129" s="2">
        <f>K8/'Output-Calculation-sheet'!K7*'Output-Calculation-sheet'!K106</f>
        <v>4921461823.5899744</v>
      </c>
      <c r="L129" s="2">
        <f>L8/'Output-Calculation-sheet'!L7*'Output-Calculation-sheet'!L106</f>
        <v>3948060667.5273018</v>
      </c>
      <c r="M129" s="2">
        <f>M8/'Output-Calculation-sheet'!M7*'Output-Calculation-sheet'!M106</f>
        <v>3771079372.5643058</v>
      </c>
      <c r="N129" s="2">
        <f>N8/'Output-Calculation-sheet'!N7*'Output-Calculation-sheet'!N106</f>
        <v>3701304230.1223211</v>
      </c>
      <c r="O129" s="2">
        <f>O8/'Output-Calculation-sheet'!O7*'Output-Calculation-sheet'!O106</f>
        <v>3404099585.7574358</v>
      </c>
      <c r="P129" s="2">
        <f>P8/'Output-Calculation-sheet'!P7*'Output-Calculation-sheet'!P106</f>
        <v>3369466226.3886809</v>
      </c>
      <c r="Q129" s="2">
        <f>Q8/'Output-Calculation-sheet'!Q7*'Output-Calculation-sheet'!Q106</f>
        <v>3315009578.2331014</v>
      </c>
      <c r="R129" s="2">
        <f>R8/'Output-Calculation-sheet'!R7*'Output-Calculation-sheet'!R106</f>
        <v>3189191672.4626927</v>
      </c>
      <c r="S129" s="2">
        <f>S8/'Output-Calculation-sheet'!S7*'Output-Calculation-sheet'!S106</f>
        <v>2119700160.4134099</v>
      </c>
      <c r="T129" s="2">
        <f>T8/'Output-Calculation-sheet'!T7*'Output-Calculation-sheet'!T106</f>
        <v>1172319664.8906024</v>
      </c>
      <c r="U129" s="2">
        <f>U8/'Output-Calculation-sheet'!U7*'Output-Calculation-sheet'!U106</f>
        <v>1021050171.1556271</v>
      </c>
      <c r="V129" s="2">
        <f>V8/'Output-Calculation-sheet'!V7*'Output-Calculation-sheet'!V106</f>
        <v>786229361.75097883</v>
      </c>
      <c r="W129" s="2">
        <f>W8/'Output-Calculation-sheet'!W7*'Output-Calculation-sheet'!W106</f>
        <v>680700113.89527714</v>
      </c>
      <c r="X129" s="2">
        <f>X8/'Output-Calculation-sheet'!X7*'Output-Calculation-sheet'!X106</f>
        <v>408420148.65317369</v>
      </c>
      <c r="Y129" s="2">
        <f>Y8/'Output-Calculation-sheet'!Y7*'Output-Calculation-sheet'!Y106</f>
        <v>397184587.61081046</v>
      </c>
      <c r="AA129" s="2">
        <f t="shared" si="11"/>
        <v>148024.74484845198</v>
      </c>
    </row>
    <row r="130" spans="1:27" x14ac:dyDescent="0.25">
      <c r="A130" s="2">
        <v>2032</v>
      </c>
      <c r="B130" s="2">
        <f>B9/'Output-Calculation-sheet'!B8*'Output-Calculation-sheet'!B107</f>
        <v>27966455413.66238</v>
      </c>
      <c r="C130" s="2">
        <f>C9/'Output-Calculation-sheet'!C8*'Output-Calculation-sheet'!C107</f>
        <v>13179198486.124725</v>
      </c>
      <c r="D130" s="2">
        <f>D9/'Output-Calculation-sheet'!D8*'Output-Calculation-sheet'!D107</f>
        <v>11746230255.994738</v>
      </c>
      <c r="E130" s="2">
        <f>E9/'Output-Calculation-sheet'!E8*'Output-Calculation-sheet'!E107</f>
        <v>9319440520.0346031</v>
      </c>
      <c r="F130" s="2">
        <f>F9/'Output-Calculation-sheet'!F8*'Output-Calculation-sheet'!F107</f>
        <v>5999261383.3039017</v>
      </c>
      <c r="G130" s="2">
        <f>G9/'Output-Calculation-sheet'!G8*'Output-Calculation-sheet'!G107</f>
        <v>4215245716.2265711</v>
      </c>
      <c r="H130" s="2">
        <f>H9/'Output-Calculation-sheet'!H8*'Output-Calculation-sheet'!H107</f>
        <v>4111809315.4631963</v>
      </c>
      <c r="I130" s="2">
        <f>I9/'Output-Calculation-sheet'!I8*'Output-Calculation-sheet'!I107</f>
        <v>3840420153.2863612</v>
      </c>
      <c r="J130" s="2">
        <f>J9/'Output-Calculation-sheet'!J8*'Output-Calculation-sheet'!J107</f>
        <v>3737999007.2641773</v>
      </c>
      <c r="K130" s="2">
        <f>K9/'Output-Calculation-sheet'!K8*'Output-Calculation-sheet'!K107</f>
        <v>3702163823.8439765</v>
      </c>
      <c r="L130" s="2">
        <f>L9/'Output-Calculation-sheet'!L8*'Output-Calculation-sheet'!L107</f>
        <v>2969924343.7580709</v>
      </c>
      <c r="M130" s="2">
        <f>M9/'Output-Calculation-sheet'!M8*'Output-Calculation-sheet'!M107</f>
        <v>2836790720.3652563</v>
      </c>
      <c r="N130" s="2">
        <f>N9/'Output-Calculation-sheet'!N8*'Output-Calculation-sheet'!N107</f>
        <v>2784300641.3402772</v>
      </c>
      <c r="O130" s="2">
        <f>O9/'Output-Calculation-sheet'!O8*'Output-Calculation-sheet'!O107</f>
        <v>2560730214.4448156</v>
      </c>
      <c r="P130" s="2">
        <f>P9/'Output-Calculation-sheet'!P8*'Output-Calculation-sheet'!P107</f>
        <v>2534676643.0315418</v>
      </c>
      <c r="Q130" s="2">
        <f>Q9/'Output-Calculation-sheet'!Q8*'Output-Calculation-sheet'!Q107</f>
        <v>2493712971.5816579</v>
      </c>
      <c r="R130" s="2">
        <f>R9/'Output-Calculation-sheet'!R8*'Output-Calculation-sheet'!R107</f>
        <v>2399066280.7372098</v>
      </c>
      <c r="S130" s="2">
        <f>S9/'Output-Calculation-sheet'!S8*'Output-Calculation-sheet'!S107</f>
        <v>1594542139.5518672</v>
      </c>
      <c r="T130" s="2">
        <f>T9/'Output-Calculation-sheet'!T8*'Output-Calculation-sheet'!T107</f>
        <v>881876194.08263171</v>
      </c>
      <c r="U130" s="2">
        <f>U9/'Output-Calculation-sheet'!U8*'Output-Calculation-sheet'!U107</f>
        <v>768083781.09589028</v>
      </c>
      <c r="V130" s="2">
        <f>V9/'Output-Calculation-sheet'!V8*'Output-Calculation-sheet'!V107</f>
        <v>591439872.95798767</v>
      </c>
      <c r="W130" s="2">
        <f>W9/'Output-Calculation-sheet'!W8*'Output-Calculation-sheet'!W107</f>
        <v>512055988.16848272</v>
      </c>
      <c r="X130" s="2">
        <f>X9/'Output-Calculation-sheet'!X8*'Output-Calculation-sheet'!X107</f>
        <v>307233532.61824739</v>
      </c>
      <c r="Y130" s="2">
        <f>Y9/'Output-Calculation-sheet'!Y8*'Output-Calculation-sheet'!Y107</f>
        <v>298781596.54487926</v>
      </c>
      <c r="AA130" s="2">
        <f t="shared" si="11"/>
        <v>111351.43899548343</v>
      </c>
    </row>
    <row r="131" spans="1:27" x14ac:dyDescent="0.25">
      <c r="A131" s="2">
        <v>2033</v>
      </c>
      <c r="B131" s="2">
        <f>B10/'Output-Calculation-sheet'!B9*'Output-Calculation-sheet'!B108</f>
        <v>18605238428.448532</v>
      </c>
      <c r="C131" s="2">
        <f>C10/'Output-Calculation-sheet'!C9*'Output-Calculation-sheet'!C108</f>
        <v>8767722865.1269283</v>
      </c>
      <c r="D131" s="2">
        <f>D10/'Output-Calculation-sheet'!D9*'Output-Calculation-sheet'!D108</f>
        <v>7814414387.4472437</v>
      </c>
      <c r="E131" s="2">
        <f>E10/'Output-Calculation-sheet'!E9*'Output-Calculation-sheet'!E108</f>
        <v>6199942411.4310579</v>
      </c>
      <c r="F131" s="2">
        <f>F10/'Output-Calculation-sheet'!F9*'Output-Calculation-sheet'!F108</f>
        <v>3991125413.0178204</v>
      </c>
      <c r="G131" s="2">
        <f>G10/'Output-Calculation-sheet'!G9*'Output-Calculation-sheet'!G108</f>
        <v>2804274248.6668425</v>
      </c>
      <c r="H131" s="2">
        <f>H10/'Output-Calculation-sheet'!H9*'Output-Calculation-sheet'!H108</f>
        <v>2735461882.5066471</v>
      </c>
      <c r="I131" s="2">
        <f>I10/'Output-Calculation-sheet'!I9*'Output-Calculation-sheet'!I108</f>
        <v>2554915570.6119018</v>
      </c>
      <c r="J131" s="2">
        <f>J10/'Output-Calculation-sheet'!J9*'Output-Calculation-sheet'!J108</f>
        <v>2486777885.3955688</v>
      </c>
      <c r="K131" s="2">
        <f>K10/'Output-Calculation-sheet'!K9*'Output-Calculation-sheet'!K108</f>
        <v>2462937175.8158555</v>
      </c>
      <c r="L131" s="2">
        <f>L10/'Output-Calculation-sheet'!L9*'Output-Calculation-sheet'!L108</f>
        <v>1975800997.592</v>
      </c>
      <c r="M131" s="2">
        <f>M10/'Output-Calculation-sheet'!M9*'Output-Calculation-sheet'!M108</f>
        <v>1887230240.2349741</v>
      </c>
      <c r="N131" s="2">
        <f>N10/'Output-Calculation-sheet'!N9*'Output-Calculation-sheet'!N108</f>
        <v>1852310671.407474</v>
      </c>
      <c r="O131" s="2">
        <f>O10/'Output-Calculation-sheet'!O9*'Output-Calculation-sheet'!O108</f>
        <v>2047261859.5280099</v>
      </c>
      <c r="P131" s="2">
        <f>P10/'Output-Calculation-sheet'!P9*'Output-Calculation-sheet'!P108</f>
        <v>1686244289.3181984</v>
      </c>
      <c r="Q131" s="2">
        <f>Q10/'Output-Calculation-sheet'!Q9*'Output-Calculation-sheet'!Q108</f>
        <v>1658991518.4103248</v>
      </c>
      <c r="R131" s="2">
        <f>R10/'Output-Calculation-sheet'!R9*'Output-Calculation-sheet'!R108</f>
        <v>1596025533.1577516</v>
      </c>
      <c r="S131" s="2">
        <f>S10/'Output-Calculation-sheet'!S9*'Output-Calculation-sheet'!S108</f>
        <v>1060800741.4891908</v>
      </c>
      <c r="T131" s="2">
        <f>T10/'Output-Calculation-sheet'!T9*'Output-Calculation-sheet'!T108</f>
        <v>586685146.10853004</v>
      </c>
      <c r="U131" s="2">
        <f>U10/'Output-Calculation-sheet'!U9*'Output-Calculation-sheet'!U108</f>
        <v>510982816.7026034</v>
      </c>
      <c r="V131" s="2">
        <f>V10/'Output-Calculation-sheet'!V9*'Output-Calculation-sheet'!V108</f>
        <v>393466988.40991771</v>
      </c>
      <c r="W131" s="2">
        <f>W10/'Output-Calculation-sheet'!W9*'Output-Calculation-sheet'!W108</f>
        <v>340655211.03073829</v>
      </c>
      <c r="X131" s="2">
        <f>X10/'Output-Calculation-sheet'!X9*'Output-Calculation-sheet'!X108</f>
        <v>204393086.69342697</v>
      </c>
      <c r="Y131" s="2">
        <f>Y10/'Output-Calculation-sheet'!Y9*'Output-Calculation-sheet'!Y108</f>
        <v>198770272.13526848</v>
      </c>
      <c r="AA131" s="2">
        <f t="shared" si="11"/>
        <v>74422.429640686794</v>
      </c>
    </row>
    <row r="132" spans="1:27" x14ac:dyDescent="0.25">
      <c r="A132" s="2">
        <v>2034</v>
      </c>
      <c r="B132" s="2">
        <f>B11/'Output-Calculation-sheet'!B10*'Output-Calculation-sheet'!B109</f>
        <v>9295068727.7573071</v>
      </c>
      <c r="C132" s="2">
        <f>C11/'Output-Calculation-sheet'!C10*'Output-Calculation-sheet'!C109</f>
        <v>8456391633.1656628</v>
      </c>
      <c r="D132" s="2">
        <f>D11/'Output-Calculation-sheet'!D10*'Output-Calculation-sheet'!D109</f>
        <v>3904035901.2296495</v>
      </c>
      <c r="E132" s="2">
        <f>E11/'Output-Calculation-sheet'!E10*'Output-Calculation-sheet'!E109</f>
        <v>3097456076.432538</v>
      </c>
      <c r="F132" s="2">
        <f>F11/'Output-Calculation-sheet'!F10*'Output-Calculation-sheet'!F109</f>
        <v>1993943627.5349081</v>
      </c>
      <c r="G132" s="2">
        <f>G11/'Output-Calculation-sheet'!G10*'Output-Calculation-sheet'!G109</f>
        <v>1400999733.9606311</v>
      </c>
      <c r="H132" s="2">
        <f>H11/'Output-Calculation-sheet'!H10*'Output-Calculation-sheet'!H109</f>
        <v>1366621247.0293074</v>
      </c>
      <c r="I132" s="2">
        <f>I11/'Output-Calculation-sheet'!I10*'Output-Calculation-sheet'!I109</f>
        <v>1276420939.4021344</v>
      </c>
      <c r="J132" s="2">
        <f>J11/'Output-Calculation-sheet'!J10*'Output-Calculation-sheet'!J109</f>
        <v>1242379937.1591501</v>
      </c>
      <c r="K132" s="2">
        <f>K11/'Output-Calculation-sheet'!K10*'Output-Calculation-sheet'!K109</f>
        <v>1230469642.2746239</v>
      </c>
      <c r="L132" s="2">
        <f>L11/'Output-Calculation-sheet'!L10*'Output-Calculation-sheet'!L109</f>
        <v>987098822.13345361</v>
      </c>
      <c r="M132" s="2">
        <f>M11/'Output-Calculation-sheet'!M10*'Output-Calculation-sheet'!M109</f>
        <v>942849527.83840227</v>
      </c>
      <c r="N132" s="2">
        <f>N11/'Output-Calculation-sheet'!N10*'Output-Calculation-sheet'!N109</f>
        <v>925404196.12451971</v>
      </c>
      <c r="O132" s="2">
        <f>O11/'Output-Calculation-sheet'!O10*'Output-Calculation-sheet'!O109</f>
        <v>1904386579.2691379</v>
      </c>
      <c r="P132" s="2">
        <f>P11/'Output-Calculation-sheet'!P10*'Output-Calculation-sheet'!P109</f>
        <v>842437821.27581191</v>
      </c>
      <c r="Q132" s="2">
        <f>Q11/'Output-Calculation-sheet'!Q10*'Output-Calculation-sheet'!Q109</f>
        <v>828822630.80082381</v>
      </c>
      <c r="R132" s="2">
        <f>R11/'Output-Calculation-sheet'!R10*'Output-Calculation-sheet'!R109</f>
        <v>797365431.88249278</v>
      </c>
      <c r="S132" s="2">
        <f>S11/'Output-Calculation-sheet'!S10*'Output-Calculation-sheet'!S109</f>
        <v>529969953.71338308</v>
      </c>
      <c r="T132" s="2">
        <f>T11/'Output-Calculation-sheet'!T10*'Output-Calculation-sheet'!T109</f>
        <v>293104664.83880258</v>
      </c>
      <c r="U132" s="2">
        <f>U11/'Output-Calculation-sheet'!U10*'Output-Calculation-sheet'!U109</f>
        <v>255284158.16258028</v>
      </c>
      <c r="V132" s="2">
        <f>V11/'Output-Calculation-sheet'!V10*'Output-Calculation-sheet'!V109</f>
        <v>196573907.45761681</v>
      </c>
      <c r="W132" s="2">
        <f>W11/'Output-Calculation-sheet'!W10*'Output-Calculation-sheet'!W109</f>
        <v>170189438.76462883</v>
      </c>
      <c r="X132" s="2">
        <f>X11/'Output-Calculation-sheet'!X10*'Output-Calculation-sheet'!X109</f>
        <v>102113659.26951504</v>
      </c>
      <c r="Y132" s="2">
        <f>Y11/'Output-Calculation-sheet'!Y10*'Output-Calculation-sheet'!Y109</f>
        <v>99304531.876226306</v>
      </c>
      <c r="AA132" s="2">
        <f t="shared" si="11"/>
        <v>42138.692789353314</v>
      </c>
    </row>
    <row r="133" spans="1:27" x14ac:dyDescent="0.25">
      <c r="A133" s="2">
        <v>2035</v>
      </c>
      <c r="B133" s="2">
        <f>B12/'Output-Calculation-sheet'!B11*'Output-Calculation-sheet'!B110</f>
        <v>4072752882.395844</v>
      </c>
      <c r="C133" s="2">
        <f>C12/'Output-Calculation-sheet'!C11*'Output-Calculation-sheet'!C110</f>
        <v>7821657142.3096247</v>
      </c>
      <c r="D133" s="2">
        <f>D12/'Output-Calculation-sheet'!D11*'Output-Calculation-sheet'!D110</f>
        <v>2021688853.9816663</v>
      </c>
      <c r="E133" s="2">
        <f>E12/'Output-Calculation-sheet'!E11*'Output-Calculation-sheet'!E110</f>
        <v>1027269565.2603643</v>
      </c>
      <c r="F133" s="2">
        <f>F12/'Output-Calculation-sheet'!F11*'Output-Calculation-sheet'!F110</f>
        <v>695394258.57919228</v>
      </c>
      <c r="G133" s="2">
        <f>G12/'Output-Calculation-sheet'!G11*'Output-Calculation-sheet'!G110</f>
        <v>878750813.23463953</v>
      </c>
      <c r="H133" s="2">
        <f>H12/'Output-Calculation-sheet'!H11*'Output-Calculation-sheet'!H110</f>
        <v>1036624093.3955066</v>
      </c>
      <c r="I133" s="2">
        <f>I12/'Output-Calculation-sheet'!I11*'Output-Calculation-sheet'!I110</f>
        <v>485617270.56773311</v>
      </c>
      <c r="J133" s="2">
        <f>J12/'Output-Calculation-sheet'!J11*'Output-Calculation-sheet'!J110</f>
        <v>587554072.47723639</v>
      </c>
      <c r="K133" s="2">
        <f>K12/'Output-Calculation-sheet'!K11*'Output-Calculation-sheet'!K110</f>
        <v>445521456.24132586</v>
      </c>
      <c r="L133" s="2">
        <f>L12/'Output-Calculation-sheet'!L11*'Output-Calculation-sheet'!L110</f>
        <v>286304710.76700288</v>
      </c>
      <c r="M133" s="2">
        <f>M12/'Output-Calculation-sheet'!M11*'Output-Calculation-sheet'!M110</f>
        <v>644769754.47699225</v>
      </c>
      <c r="N133" s="2">
        <f>N12/'Output-Calculation-sheet'!N11*'Output-Calculation-sheet'!N110</f>
        <v>536472002.6024133</v>
      </c>
      <c r="O133" s="2">
        <f>O12/'Output-Calculation-sheet'!O11*'Output-Calculation-sheet'!O110</f>
        <v>1894639854.4461458</v>
      </c>
      <c r="P133" s="2">
        <f>P12/'Output-Calculation-sheet'!P11*'Output-Calculation-sheet'!P110</f>
        <v>374811008.71985161</v>
      </c>
      <c r="Q133" s="2">
        <f>Q12/'Output-Calculation-sheet'!Q11*'Output-Calculation-sheet'!Q110</f>
        <v>466850731.86954749</v>
      </c>
      <c r="R133" s="2">
        <f>R12/'Output-Calculation-sheet'!R11*'Output-Calculation-sheet'!R110</f>
        <v>293781509.26091474</v>
      </c>
      <c r="S133" s="2">
        <f>S12/'Output-Calculation-sheet'!S11*'Output-Calculation-sheet'!S110</f>
        <v>282466211.10397112</v>
      </c>
      <c r="T133" s="2">
        <f>T12/'Output-Calculation-sheet'!T11*'Output-Calculation-sheet'!T110</f>
        <v>76418665.557699651</v>
      </c>
      <c r="U133" s="2">
        <f>U12/'Output-Calculation-sheet'!U11*'Output-Calculation-sheet'!U110</f>
        <v>124223498.59496278</v>
      </c>
      <c r="V133" s="2">
        <f>V12/'Output-Calculation-sheet'!V11*'Output-Calculation-sheet'!V110</f>
        <v>31347725.665432021</v>
      </c>
      <c r="W133" s="2">
        <f>W12/'Output-Calculation-sheet'!W11*'Output-Calculation-sheet'!W110</f>
        <v>51107605.023575887</v>
      </c>
      <c r="X133" s="2">
        <f>X12/'Output-Calculation-sheet'!X11*'Output-Calculation-sheet'!X110</f>
        <v>89503112.003143653</v>
      </c>
      <c r="Y133" s="2">
        <f>Y12/'Output-Calculation-sheet'!Y11*'Output-Calculation-sheet'!Y110</f>
        <v>47030259.447582819</v>
      </c>
      <c r="AA133" s="2">
        <f t="shared" si="11"/>
        <v>24272.557057982372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1047.4197671319919</v>
      </c>
      <c r="C19" s="2">
        <f>C8/'Output-Calculation-sheet'!C7*'Output-Calculation-sheet'!C25</f>
        <v>15790.014767479091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4700.2638688807074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3265.3417426885926</v>
      </c>
      <c r="N19" s="2">
        <f>N8/'Output-Calculation-sheet'!N7*'Output-Calculation-sheet'!N25</f>
        <v>1117.9328241161672</v>
      </c>
      <c r="O19" s="2">
        <f>O8/'Output-Calculation-sheet'!O7*'Output-Calculation-sheet'!O25</f>
        <v>3053.719974391207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398.89607952916936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364.83674756599066</v>
      </c>
      <c r="Y19" s="2">
        <f>Y8/'Output-Calculation-sheet'!Y7*'Output-Calculation-sheet'!Y25</f>
        <v>0</v>
      </c>
      <c r="AA19" s="2">
        <f t="shared" si="0"/>
        <v>29.738425771782918</v>
      </c>
    </row>
    <row r="20" spans="1:27" x14ac:dyDescent="0.25">
      <c r="A20" s="2">
        <v>2032</v>
      </c>
      <c r="B20" s="2">
        <f>B9/'Output-Calculation-sheet'!B8*'Output-Calculation-sheet'!B26</f>
        <v>5708.0489700975231</v>
      </c>
      <c r="C20" s="2">
        <f>C9/'Output-Calculation-sheet'!C8*'Output-Calculation-sheet'!C26</f>
        <v>20903.68480446158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6210.1842960841905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4315.3657697685594</v>
      </c>
      <c r="N20" s="2">
        <f>N9/'Output-Calculation-sheet'!N8*'Output-Calculation-sheet'!N26</f>
        <v>1942.9721808844479</v>
      </c>
      <c r="O20" s="2">
        <f>O9/'Output-Calculation-sheet'!O8*'Output-Calculation-sheet'!O26</f>
        <v>4072.9918864616138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707.71038688543058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482.71865411989376</v>
      </c>
      <c r="Y20" s="2">
        <f>Y9/'Output-Calculation-sheet'!Y8*'Output-Calculation-sheet'!Y26</f>
        <v>0</v>
      </c>
      <c r="AA20" s="2">
        <f t="shared" si="0"/>
        <v>44.343676948763239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29380.943517131764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7522.1572260713319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5224.7628298354466</v>
      </c>
      <c r="N21" s="2">
        <f>N10/'Output-Calculation-sheet'!N9*'Output-Calculation-sheet'!N27</f>
        <v>2858.7759048010912</v>
      </c>
      <c r="O21" s="2">
        <f>O10/'Output-Calculation-sheet'!O9*'Output-Calculation-sheet'!O27</f>
        <v>4991.4618083023724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1244.1004602816083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614.35963571965522</v>
      </c>
      <c r="Y21" s="2">
        <f>Y10/'Output-Calculation-sheet'!Y9*'Output-Calculation-sheet'!Y27</f>
        <v>0</v>
      </c>
      <c r="AA21" s="2">
        <f t="shared" si="0"/>
        <v>65.042451241916666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28987.353289703646</v>
      </c>
      <c r="D22" s="2">
        <f>D11/'Output-Calculation-sheet'!D10*'Output-Calculation-sheet'!D28</f>
        <v>0</v>
      </c>
      <c r="E22" s="2">
        <f>E11/'Output-Calculation-sheet'!E10*'Output-Calculation-sheet'!E28</f>
        <v>1229.7451246696392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9559.00782365347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725.29341878607443</v>
      </c>
      <c r="M22" s="2">
        <f>M11/'Output-Calculation-sheet'!M10*'Output-Calculation-sheet'!M28</f>
        <v>6588.5257814483357</v>
      </c>
      <c r="N22" s="2">
        <f>N11/'Output-Calculation-sheet'!N10*'Output-Calculation-sheet'!N28</f>
        <v>3791.7332874439126</v>
      </c>
      <c r="O22" s="2">
        <f>O11/'Output-Calculation-sheet'!O10*'Output-Calculation-sheet'!O28</f>
        <v>5104.6983255167997</v>
      </c>
      <c r="P22" s="2">
        <f>P11/'Output-Calculation-sheet'!P10*'Output-Calculation-sheet'!P28</f>
        <v>0</v>
      </c>
      <c r="Q22" s="2">
        <f>Q11/'Output-Calculation-sheet'!Q10*'Output-Calculation-sheet'!Q28</f>
        <v>1422.0988282056653</v>
      </c>
      <c r="R22" s="2">
        <f>R11/'Output-Calculation-sheet'!R10*'Output-Calculation-sheet'!R28</f>
        <v>0</v>
      </c>
      <c r="S22" s="2">
        <f>S11/'Output-Calculation-sheet'!S10*'Output-Calculation-sheet'!S28</f>
        <v>1922.9475112910736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674.86863146774772</v>
      </c>
      <c r="Y22" s="2">
        <f>Y11/'Output-Calculation-sheet'!Y10*'Output-Calculation-sheet'!Y28</f>
        <v>66.215061881612939</v>
      </c>
      <c r="AA22" s="2">
        <f t="shared" si="0"/>
        <v>83.875657923347518</v>
      </c>
    </row>
    <row r="23" spans="1:27" x14ac:dyDescent="0.25">
      <c r="A23" s="2">
        <v>2035</v>
      </c>
      <c r="B23" s="2">
        <f>B12/'Output-Calculation-sheet'!B11*'Output-Calculation-sheet'!B29</f>
        <v>30385.903979556573</v>
      </c>
      <c r="C23" s="2">
        <f>C12/'Output-Calculation-sheet'!C11*'Output-Calculation-sheet'!C29</f>
        <v>28333.212578566701</v>
      </c>
      <c r="D23" s="2">
        <f>D12/'Output-Calculation-sheet'!D11*'Output-Calculation-sheet'!D29</f>
        <v>0</v>
      </c>
      <c r="E23" s="2">
        <f>E12/'Output-Calculation-sheet'!E11*'Output-Calculation-sheet'!E29</f>
        <v>5581.5272446137806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9751.3182516760007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1618.3392827787115</v>
      </c>
      <c r="M23" s="2">
        <f>M12/'Output-Calculation-sheet'!M11*'Output-Calculation-sheet'!M29</f>
        <v>6930.9776356587354</v>
      </c>
      <c r="N23" s="2">
        <f>N12/'Output-Calculation-sheet'!N11*'Output-Calculation-sheet'!N29</f>
        <v>4025.4346860108612</v>
      </c>
      <c r="O23" s="2">
        <f>O12/'Output-Calculation-sheet'!O11*'Output-Calculation-sheet'!O29</f>
        <v>4684.1545381599226</v>
      </c>
      <c r="P23" s="2">
        <f>P12/'Output-Calculation-sheet'!P11*'Output-Calculation-sheet'!P29</f>
        <v>647.48408910932494</v>
      </c>
      <c r="Q23" s="2">
        <f>Q12/'Output-Calculation-sheet'!Q11*'Output-Calculation-sheet'!Q29</f>
        <v>2061.1770205667167</v>
      </c>
      <c r="R23" s="2">
        <f>R12/'Output-Calculation-sheet'!R11*'Output-Calculation-sheet'!R29</f>
        <v>0</v>
      </c>
      <c r="S23" s="2">
        <f>S12/'Output-Calculation-sheet'!S11*'Output-Calculation-sheet'!S29</f>
        <v>2226.2237937911509</v>
      </c>
      <c r="T23" s="2">
        <f>T12/'Output-Calculation-sheet'!T11*'Output-Calculation-sheet'!T29</f>
        <v>0</v>
      </c>
      <c r="U23" s="2">
        <f>U12/'Output-Calculation-sheet'!U11*'Output-Calculation-sheet'!U29</f>
        <v>240.23204972596255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662.20414351081581</v>
      </c>
      <c r="Y23" s="2">
        <f>Y12/'Output-Calculation-sheet'!Y11*'Output-Calculation-sheet'!Y29</f>
        <v>204.32458223222105</v>
      </c>
      <c r="AA23" s="2">
        <f t="shared" si="0"/>
        <v>97.352513875957484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18256.186290615587</v>
      </c>
      <c r="C30" s="2">
        <f>C8/'Output-Calculation-sheet'!C7*'Output-Calculation-sheet'!C16</f>
        <v>0</v>
      </c>
      <c r="D30" s="2">
        <f>D8/'Output-Calculation-sheet'!D7*'Output-Calculation-sheet'!D16</f>
        <v>3074.1004308541637</v>
      </c>
      <c r="E30" s="2">
        <f>E8/'Output-Calculation-sheet'!E7*'Output-Calculation-sheet'!E16</f>
        <v>3307.558383509504</v>
      </c>
      <c r="F30" s="2">
        <f>F8/'Output-Calculation-sheet'!F7*'Output-Calculation-sheet'!F16</f>
        <v>1668.6808048989658</v>
      </c>
      <c r="G30" s="2">
        <f>G8/'Output-Calculation-sheet'!G7*'Output-Calculation-sheet'!G16</f>
        <v>1092.787735293927</v>
      </c>
      <c r="H30" s="2">
        <f>H8/'Output-Calculation-sheet'!H7*'Output-Calculation-sheet'!H16</f>
        <v>0</v>
      </c>
      <c r="I30" s="2">
        <f>I8/'Output-Calculation-sheet'!I7*'Output-Calculation-sheet'!I16</f>
        <v>1065.3044173739431</v>
      </c>
      <c r="J30" s="2">
        <f>J8/'Output-Calculation-sheet'!J7*'Output-Calculation-sheet'!J16</f>
        <v>948.3257722548492</v>
      </c>
      <c r="K30" s="2">
        <f>K8/'Output-Calculation-sheet'!K7*'Output-Calculation-sheet'!K16</f>
        <v>1266.196168766563</v>
      </c>
      <c r="L30" s="2">
        <f>L8/'Output-Calculation-sheet'!L7*'Output-Calculation-sheet'!L16</f>
        <v>1069.524105716238</v>
      </c>
      <c r="M30" s="2">
        <f>M8/'Output-Calculation-sheet'!M7*'Output-Calculation-sheet'!M16</f>
        <v>0</v>
      </c>
      <c r="N30" s="2">
        <f>N8/'Output-Calculation-sheet'!N7*'Output-Calculation-sheet'!N16</f>
        <v>1519.1688860772651</v>
      </c>
      <c r="O30" s="2">
        <f>O8/'Output-Calculation-sheet'!O7*'Output-Calculation-sheet'!O16</f>
        <v>0</v>
      </c>
      <c r="P30" s="2">
        <f>P8/'Output-Calculation-sheet'!P7*'Output-Calculation-sheet'!P16</f>
        <v>1365.3791468943498</v>
      </c>
      <c r="Q30" s="2">
        <f>Q8/'Output-Calculation-sheet'!Q7*'Output-Calculation-sheet'!Q16</f>
        <v>1501.4661316921756</v>
      </c>
      <c r="R30" s="2">
        <f>R8/'Output-Calculation-sheet'!R7*'Output-Calculation-sheet'!R16</f>
        <v>952.68678650726611</v>
      </c>
      <c r="S30" s="2">
        <f>S8/'Output-Calculation-sheet'!S7*'Output-Calculation-sheet'!S16</f>
        <v>958.12354838335284</v>
      </c>
      <c r="T30" s="2">
        <f>T8/'Output-Calculation-sheet'!T7*'Output-Calculation-sheet'!T16</f>
        <v>285.98287916030586</v>
      </c>
      <c r="U30" s="2">
        <f>U8/'Output-Calculation-sheet'!U7*'Output-Calculation-sheet'!U16</f>
        <v>285.47169201567652</v>
      </c>
      <c r="V30" s="2">
        <f>V8/'Output-Calculation-sheet'!V7*'Output-Calculation-sheet'!V16</f>
        <v>222.17719151513506</v>
      </c>
      <c r="W30" s="2">
        <f>W8/'Output-Calculation-sheet'!W7*'Output-Calculation-sheet'!W16</f>
        <v>134.76166716957329</v>
      </c>
      <c r="X30" s="2">
        <f>X8/'Output-Calculation-sheet'!X7*'Output-Calculation-sheet'!X16</f>
        <v>0</v>
      </c>
      <c r="Y30" s="2">
        <f>Y8/'Output-Calculation-sheet'!Y7*'Output-Calculation-sheet'!Y16</f>
        <v>114.06043056261743</v>
      </c>
      <c r="AA30" s="2">
        <f t="shared" si="1"/>
        <v>39.087942469261463</v>
      </c>
    </row>
    <row r="31" spans="1:27" x14ac:dyDescent="0.25">
      <c r="A31" s="2">
        <v>2032</v>
      </c>
      <c r="B31" s="2">
        <f>B9/'Output-Calculation-sheet'!B8*'Output-Calculation-sheet'!B17</f>
        <v>24169.765207373512</v>
      </c>
      <c r="C31" s="2">
        <f>C9/'Output-Calculation-sheet'!C8*'Output-Calculation-sheet'!C17</f>
        <v>0</v>
      </c>
      <c r="D31" s="2">
        <f>D9/'Output-Calculation-sheet'!D8*'Output-Calculation-sheet'!D17</f>
        <v>4053.5869655808833</v>
      </c>
      <c r="E31" s="2">
        <f>E9/'Output-Calculation-sheet'!E8*'Output-Calculation-sheet'!E17</f>
        <v>4764.4376436967987</v>
      </c>
      <c r="F31" s="2">
        <f>F9/'Output-Calculation-sheet'!F8*'Output-Calculation-sheet'!F17</f>
        <v>2200.4185195589703</v>
      </c>
      <c r="G31" s="2">
        <f>G9/'Output-Calculation-sheet'!G8*'Output-Calculation-sheet'!G17</f>
        <v>1440.9994324264208</v>
      </c>
      <c r="H31" s="2">
        <f>H9/'Output-Calculation-sheet'!H8*'Output-Calculation-sheet'!H17</f>
        <v>0</v>
      </c>
      <c r="I31" s="2">
        <f>I9/'Output-Calculation-sheet'!I8*'Output-Calculation-sheet'!I17</f>
        <v>1404.7652637051012</v>
      </c>
      <c r="J31" s="2">
        <f>J9/'Output-Calculation-sheet'!J8*'Output-Calculation-sheet'!J17</f>
        <v>1250.5118528709593</v>
      </c>
      <c r="K31" s="2">
        <f>K9/'Output-Calculation-sheet'!K8*'Output-Calculation-sheet'!K17</f>
        <v>1780.3968495239208</v>
      </c>
      <c r="L31" s="2">
        <f>L9/'Output-Calculation-sheet'!L8*'Output-Calculation-sheet'!L17</f>
        <v>1518.3655267910847</v>
      </c>
      <c r="M31" s="2">
        <f>M9/'Output-Calculation-sheet'!M8*'Output-Calculation-sheet'!M17</f>
        <v>0</v>
      </c>
      <c r="N31" s="2">
        <f>N9/'Output-Calculation-sheet'!N8*'Output-Calculation-sheet'!N17</f>
        <v>1656.6573983809774</v>
      </c>
      <c r="O31" s="2">
        <f>O9/'Output-Calculation-sheet'!O8*'Output-Calculation-sheet'!O17</f>
        <v>0</v>
      </c>
      <c r="P31" s="2">
        <f>P9/'Output-Calculation-sheet'!P8*'Output-Calculation-sheet'!P17</f>
        <v>2048.6739015822859</v>
      </c>
      <c r="Q31" s="2">
        <f>Q9/'Output-Calculation-sheet'!Q8*'Output-Calculation-sheet'!Q17</f>
        <v>2184.0746049954319</v>
      </c>
      <c r="R31" s="2">
        <f>R9/'Output-Calculation-sheet'!R8*'Output-Calculation-sheet'!R17</f>
        <v>1428.9370335926426</v>
      </c>
      <c r="S31" s="2">
        <f>S9/'Output-Calculation-sheet'!S8*'Output-Calculation-sheet'!S17</f>
        <v>1229.5369042962175</v>
      </c>
      <c r="T31" s="2">
        <f>T9/'Output-Calculation-sheet'!T8*'Output-Calculation-sheet'!T17</f>
        <v>387.75250398370633</v>
      </c>
      <c r="U31" s="2">
        <f>U9/'Output-Calculation-sheet'!U8*'Output-Calculation-sheet'!U17</f>
        <v>445.65124318110054</v>
      </c>
      <c r="V31" s="2">
        <f>V9/'Output-Calculation-sheet'!V8*'Output-Calculation-sheet'!V17</f>
        <v>319.19883982252941</v>
      </c>
      <c r="W31" s="2">
        <f>W9/'Output-Calculation-sheet'!W8*'Output-Calculation-sheet'!W17</f>
        <v>177.70552539517101</v>
      </c>
      <c r="X31" s="2">
        <f>X9/'Output-Calculation-sheet'!X8*'Output-Calculation-sheet'!X17</f>
        <v>0</v>
      </c>
      <c r="Y31" s="2">
        <f>Y9/'Output-Calculation-sheet'!Y8*'Output-Calculation-sheet'!Y17</f>
        <v>171.7020378878974</v>
      </c>
      <c r="AA31" s="2">
        <f t="shared" si="1"/>
        <v>52.633137254645604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1607.5427130602855</v>
      </c>
      <c r="O32" s="2">
        <f>O10/'Output-Calculation-sheet'!O9*'Output-Calculation-sheet'!O18</f>
        <v>0</v>
      </c>
      <c r="P32" s="2">
        <f>P10/'Output-Calculation-sheet'!P9*'Output-Calculation-sheet'!P18</f>
        <v>2588.3201697467157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1858.58581890815</v>
      </c>
      <c r="S32" s="2">
        <f>S10/'Output-Calculation-sheet'!S9*'Output-Calculation-sheet'!S18</f>
        <v>1216.3952651361544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600.02408363491418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63.395736180987356</v>
      </c>
    </row>
    <row r="33" spans="1:27" x14ac:dyDescent="0.25">
      <c r="A33" s="2">
        <v>2034</v>
      </c>
      <c r="B33" s="2">
        <f>B11/'Output-Calculation-sheet'!B10*'Output-Calculation-sheet'!B19</f>
        <v>24008.900217137925</v>
      </c>
      <c r="C33" s="2">
        <f>C11/'Output-Calculation-sheet'!C10*'Output-Calculation-sheet'!C19</f>
        <v>0</v>
      </c>
      <c r="D33" s="2">
        <f>D11/'Output-Calculation-sheet'!D10*'Output-Calculation-sheet'!D19</f>
        <v>7161.2293697703162</v>
      </c>
      <c r="E33" s="2">
        <f>E11/'Output-Calculation-sheet'!E10*'Output-Calculation-sheet'!E19</f>
        <v>8872.885097538523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2437.8044121837879</v>
      </c>
      <c r="H33" s="2">
        <f>H11/'Output-Calculation-sheet'!H10*'Output-Calculation-sheet'!H19</f>
        <v>0</v>
      </c>
      <c r="I33" s="2">
        <f>I11/'Output-Calculation-sheet'!I10*'Output-Calculation-sheet'!I19</f>
        <v>2659.9810410111049</v>
      </c>
      <c r="J33" s="2">
        <f>J11/'Output-Calculation-sheet'!J10*'Output-Calculation-sheet'!J19</f>
        <v>2248.8863737276215</v>
      </c>
      <c r="K33" s="2">
        <f>K11/'Output-Calculation-sheet'!K10*'Output-Calculation-sheet'!K19</f>
        <v>3121.0393816040255</v>
      </c>
      <c r="L33" s="2">
        <f>L11/'Output-Calculation-sheet'!L10*'Output-Calculation-sheet'!L19</f>
        <v>2539.3834390035204</v>
      </c>
      <c r="M33" s="2">
        <f>M11/'Output-Calculation-sheet'!M10*'Output-Calculation-sheet'!M19</f>
        <v>0</v>
      </c>
      <c r="N33" s="2">
        <f>N11/'Output-Calculation-sheet'!N10*'Output-Calculation-sheet'!N19</f>
        <v>1435.196575041806</v>
      </c>
      <c r="O33" s="2">
        <f>O11/'Output-Calculation-sheet'!O10*'Output-Calculation-sheet'!O19</f>
        <v>0</v>
      </c>
      <c r="P33" s="2">
        <f>P11/'Output-Calculation-sheet'!P10*'Output-Calculation-sheet'!P19</f>
        <v>3157.9412983444868</v>
      </c>
      <c r="Q33" s="2">
        <f>Q11/'Output-Calculation-sheet'!Q10*'Output-Calculation-sheet'!Q19</f>
        <v>2528.5262959660113</v>
      </c>
      <c r="R33" s="2">
        <f>R11/'Output-Calculation-sheet'!R10*'Output-Calculation-sheet'!R19</f>
        <v>2254.6869273505399</v>
      </c>
      <c r="S33" s="2">
        <f>S11/'Output-Calculation-sheet'!S10*'Output-Calculation-sheet'!S19</f>
        <v>1053.8268692239874</v>
      </c>
      <c r="T33" s="2">
        <f>T11/'Output-Calculation-sheet'!T10*'Output-Calculation-sheet'!T19</f>
        <v>661.56416615270393</v>
      </c>
      <c r="U33" s="2">
        <f>U11/'Output-Calculation-sheet'!U10*'Output-Calculation-sheet'!U19</f>
        <v>760.81145095732802</v>
      </c>
      <c r="V33" s="2">
        <f>V11/'Output-Calculation-sheet'!V10*'Output-Calculation-sheet'!V19</f>
        <v>518.83950804699805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127.59748554518178</v>
      </c>
      <c r="Y33" s="2">
        <f>Y11/'Output-Calculation-sheet'!Y10*'Output-Calculation-sheet'!Y19</f>
        <v>291.16510767782637</v>
      </c>
      <c r="AA33" s="2">
        <f t="shared" si="1"/>
        <v>70.234114822852973</v>
      </c>
    </row>
    <row r="34" spans="1:27" x14ac:dyDescent="0.25">
      <c r="A34" s="2">
        <v>2035</v>
      </c>
      <c r="B34" s="2">
        <f>B12/'Output-Calculation-sheet'!B11*'Output-Calculation-sheet'!B20</f>
        <v>21089.047749694506</v>
      </c>
      <c r="C34" s="2">
        <f>C12/'Output-Calculation-sheet'!C11*'Output-Calculation-sheet'!C20</f>
        <v>0</v>
      </c>
      <c r="D34" s="2">
        <f>D12/'Output-Calculation-sheet'!D11*'Output-Calculation-sheet'!D20</f>
        <v>7815.069060918725</v>
      </c>
      <c r="E34" s="2">
        <f>E12/'Output-Calculation-sheet'!E11*'Output-Calculation-sheet'!E20</f>
        <v>7047.3144084884134</v>
      </c>
      <c r="F34" s="2">
        <f>F12/'Output-Calculation-sheet'!F11*'Output-Calculation-sheet'!F20</f>
        <v>4996.3750375221216</v>
      </c>
      <c r="G34" s="2">
        <f>G12/'Output-Calculation-sheet'!G11*'Output-Calculation-sheet'!G20</f>
        <v>2486.1348225237211</v>
      </c>
      <c r="H34" s="2">
        <f>H12/'Output-Calculation-sheet'!H11*'Output-Calculation-sheet'!H20</f>
        <v>0</v>
      </c>
      <c r="I34" s="2">
        <f>I12/'Output-Calculation-sheet'!I11*'Output-Calculation-sheet'!I20</f>
        <v>3054.6345750056316</v>
      </c>
      <c r="J34" s="2">
        <f>J12/'Output-Calculation-sheet'!J11*'Output-Calculation-sheet'!J20</f>
        <v>2544.7367805590807</v>
      </c>
      <c r="K34" s="2">
        <f>K12/'Output-Calculation-sheet'!K11*'Output-Calculation-sheet'!K20</f>
        <v>3581.3692561385983</v>
      </c>
      <c r="L34" s="2">
        <f>L12/'Output-Calculation-sheet'!L11*'Output-Calculation-sheet'!L20</f>
        <v>2436.7504318312585</v>
      </c>
      <c r="M34" s="2">
        <f>M12/'Output-Calculation-sheet'!M11*'Output-Calculation-sheet'!M20</f>
        <v>0</v>
      </c>
      <c r="N34" s="2">
        <f>N12/'Output-Calculation-sheet'!N11*'Output-Calculation-sheet'!N20</f>
        <v>1394.7206566196699</v>
      </c>
      <c r="O34" s="2">
        <f>O12/'Output-Calculation-sheet'!O11*'Output-Calculation-sheet'!O20</f>
        <v>0</v>
      </c>
      <c r="P34" s="2">
        <f>P12/'Output-Calculation-sheet'!P11*'Output-Calculation-sheet'!P20</f>
        <v>2962.5594868126136</v>
      </c>
      <c r="Q34" s="2">
        <f>Q12/'Output-Calculation-sheet'!Q11*'Output-Calculation-sheet'!Q20</f>
        <v>2112.1277982623287</v>
      </c>
      <c r="R34" s="2">
        <f>R12/'Output-Calculation-sheet'!R11*'Output-Calculation-sheet'!R20</f>
        <v>2570.3183366498552</v>
      </c>
      <c r="S34" s="2">
        <f>S12/'Output-Calculation-sheet'!S11*'Output-Calculation-sheet'!S20</f>
        <v>920.37532394690265</v>
      </c>
      <c r="T34" s="2">
        <f>T12/'Output-Calculation-sheet'!T11*'Output-Calculation-sheet'!T20</f>
        <v>743.9961153297221</v>
      </c>
      <c r="U34" s="2">
        <f>U12/'Output-Calculation-sheet'!U11*'Output-Calculation-sheet'!U20</f>
        <v>681.20204579497795</v>
      </c>
      <c r="V34" s="2">
        <f>V12/'Output-Calculation-sheet'!V11*'Output-Calculation-sheet'!V20</f>
        <v>672.45698572811443</v>
      </c>
      <c r="W34" s="2">
        <f>W12/'Output-Calculation-sheet'!W11*'Output-Calculation-sheet'!W20</f>
        <v>397.20919354731728</v>
      </c>
      <c r="X34" s="2">
        <f>X12/'Output-Calculation-sheet'!X11*'Output-Calculation-sheet'!X20</f>
        <v>114.85676437853505</v>
      </c>
      <c r="Y34" s="2">
        <f>Y12/'Output-Calculation-sheet'!Y11*'Output-Calculation-sheet'!Y20</f>
        <v>214.18973912174792</v>
      </c>
      <c r="AA34" s="2">
        <f t="shared" si="1"/>
        <v>67.835444568873854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0.20533730979094483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0.20533730979094483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1.016565081174948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0.19749124735594276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1.2140563285308907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1.8606072252678472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0.36146592929684646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8.908665242007709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30552.251784913686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6664.0679603152066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4548.5507853986064</v>
      </c>
      <c r="N52" s="2">
        <f>N8/'Output-Calculation-sheet'!N7*'Output-Calculation-sheet'!N43</f>
        <v>145.38196909682426</v>
      </c>
      <c r="O52" s="2">
        <f>O8/'Output-Calculation-sheet'!O7*'Output-Calculation-sheet'!O43</f>
        <v>6189.8583364957549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588.23698346604817</v>
      </c>
      <c r="Y52" s="2">
        <f>Y8/'Output-Calculation-sheet'!Y7*'Output-Calculation-sheet'!Y43</f>
        <v>0</v>
      </c>
      <c r="AA52" s="2">
        <f t="shared" si="3"/>
        <v>48.688347819686122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53133.567687396288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12415.946474246046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8504.3752485732257</v>
      </c>
      <c r="N53" s="2">
        <f>N9/'Output-Calculation-sheet'!N8*'Output-Calculation-sheet'!N44</f>
        <v>3009.8038736554977</v>
      </c>
      <c r="O53" s="2">
        <f>O9/'Output-Calculation-sheet'!O8*'Output-Calculation-sheet'!O44</f>
        <v>10537.100557936192</v>
      </c>
      <c r="P53" s="2">
        <f>P9/'Output-Calculation-sheet'!P8*'Output-Calculation-sheet'!P44</f>
        <v>141.68236739073703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945.07908807681724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1063.4784681019507</v>
      </c>
      <c r="Y53" s="2">
        <f>Y9/'Output-Calculation-sheet'!Y8*'Output-Calculation-sheet'!Y44</f>
        <v>0</v>
      </c>
      <c r="AA53" s="2">
        <f t="shared" si="3"/>
        <v>89.751033765376761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65271.412411242723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11923.973603649603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447.84359323133953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148.77718388055817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64025.765638913392</v>
      </c>
      <c r="D55" s="2">
        <f>D11/'Output-Calculation-sheet'!D10*'Output-Calculation-sheet'!D46</f>
        <v>6319.3358510183907</v>
      </c>
      <c r="E55" s="2">
        <f>E11/'Output-Calculation-sheet'!E10*'Output-Calculation-sheet'!E46</f>
        <v>7721.6116358346844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21054.17637255002</v>
      </c>
      <c r="I55" s="2">
        <f>I11/'Output-Calculation-sheet'!I10*'Output-Calculation-sheet'!I46</f>
        <v>1529.1934545135127</v>
      </c>
      <c r="J55" s="2">
        <f>J11/'Output-Calculation-sheet'!J10*'Output-Calculation-sheet'!J46</f>
        <v>1109.8262704159461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14430.668684048933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11832.151047728852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4326.4932954686092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5405.9320963130558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1245.4878635091488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1506.4124456608122</v>
      </c>
      <c r="Y55" s="2">
        <f>Y11/'Output-Calculation-sheet'!Y10*'Output-Calculation-sheet'!Y46</f>
        <v>381.9253735395323</v>
      </c>
      <c r="AA55" s="2">
        <f t="shared" si="3"/>
        <v>236.00136106410898</v>
      </c>
    </row>
    <row r="56" spans="1:27" x14ac:dyDescent="0.25">
      <c r="A56" s="2">
        <v>2035</v>
      </c>
      <c r="B56" s="2">
        <f>B12/'Output-Calculation-sheet'!B11*'Output-Calculation-sheet'!B47</f>
        <v>94737.803677646021</v>
      </c>
      <c r="C56" s="2">
        <f>C12/'Output-Calculation-sheet'!C11*'Output-Calculation-sheet'!C47</f>
        <v>59490.467860537748</v>
      </c>
      <c r="D56" s="2">
        <f>D12/'Output-Calculation-sheet'!D11*'Output-Calculation-sheet'!D47</f>
        <v>16481.844674259028</v>
      </c>
      <c r="E56" s="2">
        <f>E12/'Output-Calculation-sheet'!E11*'Output-Calculation-sheet'!E47</f>
        <v>24416.380992659662</v>
      </c>
      <c r="F56" s="2">
        <f>F12/'Output-Calculation-sheet'!F11*'Output-Calculation-sheet'!F47</f>
        <v>3540.9658206332651</v>
      </c>
      <c r="G56" s="2">
        <f>G12/'Output-Calculation-sheet'!G11*'Output-Calculation-sheet'!G47</f>
        <v>5704.9394611122898</v>
      </c>
      <c r="H56" s="2">
        <f>H12/'Output-Calculation-sheet'!H11*'Output-Calculation-sheet'!H47</f>
        <v>20096.59125798165</v>
      </c>
      <c r="I56" s="2">
        <f>I12/'Output-Calculation-sheet'!I11*'Output-Calculation-sheet'!I47</f>
        <v>5597.7299299157921</v>
      </c>
      <c r="J56" s="2">
        <f>J12/'Output-Calculation-sheet'!J11*'Output-Calculation-sheet'!J47</f>
        <v>4478.0977969436753</v>
      </c>
      <c r="K56" s="2">
        <f>K12/'Output-Calculation-sheet'!K11*'Output-Calculation-sheet'!K47</f>
        <v>6006.0087378116414</v>
      </c>
      <c r="L56" s="2">
        <f>L12/'Output-Calculation-sheet'!L11*'Output-Calculation-sheet'!L47</f>
        <v>5030.8799113232599</v>
      </c>
      <c r="M56" s="2">
        <f>M12/'Output-Calculation-sheet'!M11*'Output-Calculation-sheet'!M47</f>
        <v>13914.848982979478</v>
      </c>
      <c r="N56" s="2">
        <f>N12/'Output-Calculation-sheet'!N11*'Output-Calculation-sheet'!N47</f>
        <v>11654.384750062043</v>
      </c>
      <c r="O56" s="2">
        <f>O12/'Output-Calculation-sheet'!O11*'Output-Calculation-sheet'!O47</f>
        <v>10891.539185391821</v>
      </c>
      <c r="P56" s="2">
        <f>P12/'Output-Calculation-sheet'!P11*'Output-Calculation-sheet'!P47</f>
        <v>6230.7885923258264</v>
      </c>
      <c r="Q56" s="2">
        <f>Q12/'Output-Calculation-sheet'!Q11*'Output-Calculation-sheet'!Q47</f>
        <v>6296.2836591422365</v>
      </c>
      <c r="R56" s="2">
        <f>R12/'Output-Calculation-sheet'!R11*'Output-Calculation-sheet'!R47</f>
        <v>4915.4415493453198</v>
      </c>
      <c r="S56" s="2">
        <f>S12/'Output-Calculation-sheet'!S11*'Output-Calculation-sheet'!S47</f>
        <v>6154.7932951119747</v>
      </c>
      <c r="T56" s="2">
        <f>T12/'Output-Calculation-sheet'!T11*'Output-Calculation-sheet'!T47</f>
        <v>1856.7682493034554</v>
      </c>
      <c r="U56" s="2">
        <f>U12/'Output-Calculation-sheet'!U11*'Output-Calculation-sheet'!U47</f>
        <v>1937.6616378339538</v>
      </c>
      <c r="V56" s="2">
        <f>V12/'Output-Calculation-sheet'!V11*'Output-Calculation-sheet'!V47</f>
        <v>1007.0613632663221</v>
      </c>
      <c r="W56" s="2">
        <f>W12/'Output-Calculation-sheet'!W11*'Output-Calculation-sheet'!W47</f>
        <v>539.07890646764713</v>
      </c>
      <c r="X56" s="2">
        <f>X12/'Output-Calculation-sheet'!X11*'Output-Calculation-sheet'!X47</f>
        <v>1399.4434887132056</v>
      </c>
      <c r="Y56" s="2">
        <f>Y12/'Output-Calculation-sheet'!Y11*'Output-Calculation-sheet'!Y47</f>
        <v>781.38044738044539</v>
      </c>
      <c r="AA56" s="2">
        <f t="shared" si="3"/>
        <v>313.16118422814759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7.1099462046324762</v>
      </c>
      <c r="C63" s="2">
        <f>C8*'Output-Calculation-sheet'!C52/10^9</f>
        <v>4.483817316391149</v>
      </c>
      <c r="D63" s="2">
        <f>D8*'Output-Calculation-sheet'!D52/10^9</f>
        <v>2.4381364183042984</v>
      </c>
      <c r="E63" s="2">
        <f>E8*'Output-Calculation-sheet'!E52/10^9</f>
        <v>2.4241737853955319</v>
      </c>
      <c r="F63" s="2">
        <f>F8*'Output-Calculation-sheet'!F52/10^9</f>
        <v>1.0266382151163116</v>
      </c>
      <c r="G63" s="2">
        <f>G8*'Output-Calculation-sheet'!G52/10^9</f>
        <v>0.73810560149727478</v>
      </c>
      <c r="H63" s="2">
        <f>H8*'Output-Calculation-sheet'!H52/10^9</f>
        <v>1.2892843522410791</v>
      </c>
      <c r="I63" s="2">
        <f>I8*'Output-Calculation-sheet'!I52/10^9</f>
        <v>0.68660966347240082</v>
      </c>
      <c r="J63" s="2">
        <f>J8*'Output-Calculation-sheet'!J52/10^9</f>
        <v>0.94482235946456827</v>
      </c>
      <c r="K63" s="2">
        <f>K8*'Output-Calculation-sheet'!K52/10^9</f>
        <v>0.83010832807159574</v>
      </c>
      <c r="L63" s="2">
        <f>L8*'Output-Calculation-sheet'!L52/10^9</f>
        <v>1.116534068292566</v>
      </c>
      <c r="M63" s="2">
        <f>M8*'Output-Calculation-sheet'!M52/10^9</f>
        <v>1.0464961320528683</v>
      </c>
      <c r="N63" s="2">
        <f>N8*'Output-Calculation-sheet'!N52/10^9</f>
        <v>0.87340399054130979</v>
      </c>
      <c r="O63" s="2">
        <f>O8*'Output-Calculation-sheet'!O52/10^9</f>
        <v>0.93136050498230061</v>
      </c>
      <c r="P63" s="2">
        <f>P8*'Output-Calculation-sheet'!P52/10^9</f>
        <v>0.57358351640911187</v>
      </c>
      <c r="Q63" s="2">
        <f>Q8*'Output-Calculation-sheet'!Q52/10^9</f>
        <v>0.64912491406209782</v>
      </c>
      <c r="R63" s="2">
        <f>R8*'Output-Calculation-sheet'!R52/10^9</f>
        <v>0.58278597351914652</v>
      </c>
      <c r="S63" s="2">
        <f>S8*'Output-Calculation-sheet'!S52/10^9</f>
        <v>0.43186762639601578</v>
      </c>
      <c r="T63" s="2">
        <f>T8*'Output-Calculation-sheet'!T52/10^9</f>
        <v>0.22156780643107388</v>
      </c>
      <c r="U63" s="2">
        <f>U8*'Output-Calculation-sheet'!U52/10^9</f>
        <v>0.15217030585410796</v>
      </c>
      <c r="V63" s="2">
        <f>V8*'Output-Calculation-sheet'!V52/10^9</f>
        <v>0.27006653892485194</v>
      </c>
      <c r="W63" s="2">
        <f>W8*'Output-Calculation-sheet'!W52/10^9</f>
        <v>9.7751623222475437E-2</v>
      </c>
      <c r="X63" s="2">
        <f>X8*'Output-Calculation-sheet'!X52/10^9</f>
        <v>0.11250986316705709</v>
      </c>
      <c r="Y63" s="2">
        <f>Y8*'Output-Calculation-sheet'!Y52/10^9</f>
        <v>6.3780153334028672E-2</v>
      </c>
      <c r="AA63" s="2">
        <f t="shared" si="4"/>
        <v>29.094645261775696</v>
      </c>
    </row>
    <row r="64" spans="1:27" x14ac:dyDescent="0.25">
      <c r="A64" s="2">
        <v>2032</v>
      </c>
      <c r="B64" s="2">
        <f>B9*'Output-Calculation-sheet'!B53/10^9</f>
        <v>7.1568221904690139</v>
      </c>
      <c r="C64" s="2">
        <f>C9*'Output-Calculation-sheet'!C53/10^9</f>
        <v>4.8318188793866907</v>
      </c>
      <c r="D64" s="2">
        <f>D9*'Output-Calculation-sheet'!D53/10^9</f>
        <v>2.1179883458019511</v>
      </c>
      <c r="E64" s="2">
        <f>E9*'Output-Calculation-sheet'!E53/10^9</f>
        <v>2.1689233285043366</v>
      </c>
      <c r="F64" s="2">
        <f>F9*'Output-Calculation-sheet'!F53/10^9</f>
        <v>0.91483902773979175</v>
      </c>
      <c r="G64" s="2">
        <f>G9*'Output-Calculation-sheet'!G53/10^9</f>
        <v>0.65115374230448086</v>
      </c>
      <c r="H64" s="2">
        <f>H9*'Output-Calculation-sheet'!H53/10^9</f>
        <v>1.3380264322151405</v>
      </c>
      <c r="I64" s="2">
        <f>I9*'Output-Calculation-sheet'!I53/10^9</f>
        <v>0.60872242808491273</v>
      </c>
      <c r="J64" s="2">
        <f>J9*'Output-Calculation-sheet'!J53/10^9</f>
        <v>0.80582559853882219</v>
      </c>
      <c r="K64" s="2">
        <f>K9*'Output-Calculation-sheet'!K53/10^9</f>
        <v>0.74769459960867357</v>
      </c>
      <c r="L64" s="2">
        <f>L9*'Output-Calculation-sheet'!L53/10^9</f>
        <v>0.96190290871113671</v>
      </c>
      <c r="M64" s="2">
        <f>M9*'Output-Calculation-sheet'!M53/10^9</f>
        <v>1.0486335695675655</v>
      </c>
      <c r="N64" s="2">
        <f>N9*'Output-Calculation-sheet'!N53/10^9</f>
        <v>0.88275819505374753</v>
      </c>
      <c r="O64" s="2">
        <f>O9*'Output-Calculation-sheet'!O53/10^9</f>
        <v>0.99934284894453296</v>
      </c>
      <c r="P64" s="2">
        <f>P9*'Output-Calculation-sheet'!P53/10^9</f>
        <v>0.57005673785080468</v>
      </c>
      <c r="Q64" s="2">
        <f>Q9*'Output-Calculation-sheet'!Q53/10^9</f>
        <v>0.63000836010303995</v>
      </c>
      <c r="R64" s="2">
        <f>R9*'Output-Calculation-sheet'!R53/10^9</f>
        <v>0.54006520626509624</v>
      </c>
      <c r="S64" s="2">
        <f>S9*'Output-Calculation-sheet'!S53/10^9</f>
        <v>0.44621384719972179</v>
      </c>
      <c r="T64" s="2">
        <f>T9*'Output-Calculation-sheet'!T53/10^9</f>
        <v>0.19413938449780097</v>
      </c>
      <c r="U64" s="2">
        <f>U9*'Output-Calculation-sheet'!U53/10^9</f>
        <v>0.14612459682968426</v>
      </c>
      <c r="V64" s="2">
        <f>V9*'Output-Calculation-sheet'!V53/10^9</f>
        <v>0.23043040132652551</v>
      </c>
      <c r="W64" s="2">
        <f>W9*'Output-Calculation-sheet'!W53/10^9</f>
        <v>8.5623783796063779E-2</v>
      </c>
      <c r="X64" s="2">
        <f>X9*'Output-Calculation-sheet'!X53/10^9</f>
        <v>0.1162203304414156</v>
      </c>
      <c r="Y64" s="2">
        <f>Y9*'Output-Calculation-sheet'!Y53/10^9</f>
        <v>5.9990807347773067E-2</v>
      </c>
      <c r="AA64" s="2">
        <f t="shared" si="4"/>
        <v>28.253325550588723</v>
      </c>
    </row>
    <row r="65" spans="1:27" x14ac:dyDescent="0.25">
      <c r="A65" s="2">
        <v>2033</v>
      </c>
      <c r="B65" s="2">
        <f>B10*'Output-Calculation-sheet'!B54/10^9</f>
        <v>7.1681067048961467</v>
      </c>
      <c r="C65" s="2">
        <f>C10*'Output-Calculation-sheet'!C54/10^9</f>
        <v>5.0927013229387539</v>
      </c>
      <c r="D65" s="2">
        <f>D10*'Output-Calculation-sheet'!D54/10^9</f>
        <v>1.6934633981167255</v>
      </c>
      <c r="E65" s="2">
        <f>E10*'Output-Calculation-sheet'!E54/10^9</f>
        <v>1.906820420656852</v>
      </c>
      <c r="F65" s="2">
        <f>F10*'Output-Calculation-sheet'!F54/10^9</f>
        <v>0.77413645933573549</v>
      </c>
      <c r="G65" s="2">
        <f>G10*'Output-Calculation-sheet'!G54/10^9</f>
        <v>0.53151470362235687</v>
      </c>
      <c r="H65" s="2">
        <f>H10*'Output-Calculation-sheet'!H54/10^9</f>
        <v>1.3135265070393682</v>
      </c>
      <c r="I65" s="2">
        <f>I10*'Output-Calculation-sheet'!I54/10^9</f>
        <v>0.51755016277339994</v>
      </c>
      <c r="J65" s="2">
        <f>J10*'Output-Calculation-sheet'!J54/10^9</f>
        <v>0.61858787764087542</v>
      </c>
      <c r="K65" s="2">
        <f>K10*'Output-Calculation-sheet'!K54/10^9</f>
        <v>0.6599513238104191</v>
      </c>
      <c r="L65" s="2">
        <f>L10*'Output-Calculation-sheet'!L54/10^9</f>
        <v>0.77954130934573163</v>
      </c>
      <c r="M65" s="2">
        <f>M10*'Output-Calculation-sheet'!M54/10^9</f>
        <v>0.99180792281178343</v>
      </c>
      <c r="N65" s="2">
        <f>N10*'Output-Calculation-sheet'!N54/10^9</f>
        <v>0.85645224105849638</v>
      </c>
      <c r="O65" s="2">
        <f>O10*'Output-Calculation-sheet'!O54/10^9</f>
        <v>1.0502651401004248</v>
      </c>
      <c r="P65" s="2">
        <f>P10*'Output-Calculation-sheet'!P54/10^9</f>
        <v>0.55840513814693471</v>
      </c>
      <c r="Q65" s="2">
        <f>Q10*'Output-Calculation-sheet'!Q54/10^9</f>
        <v>0.60932780961113153</v>
      </c>
      <c r="R65" s="2">
        <f>R10*'Output-Calculation-sheet'!R54/10^9</f>
        <v>0.49160434286207799</v>
      </c>
      <c r="S65" s="2">
        <f>S10*'Output-Calculation-sheet'!S54/10^9</f>
        <v>0.4465443601093852</v>
      </c>
      <c r="T65" s="2">
        <f>T10*'Output-Calculation-sheet'!T54/10^9</f>
        <v>0.16436527754023358</v>
      </c>
      <c r="U65" s="2">
        <f>U10*'Output-Calculation-sheet'!U54/10^9</f>
        <v>0.14193039068312879</v>
      </c>
      <c r="V65" s="2">
        <f>V10*'Output-Calculation-sheet'!V54/10^9</f>
        <v>0.18189498976565063</v>
      </c>
      <c r="W65" s="2">
        <f>W10*'Output-Calculation-sheet'!W54/10^9</f>
        <v>6.925426398033184E-2</v>
      </c>
      <c r="X65" s="2">
        <f>X10*'Output-Calculation-sheet'!X54/10^9</f>
        <v>0.11406694668214862</v>
      </c>
      <c r="Y65" s="2">
        <f>Y10*'Output-Calculation-sheet'!Y54/10^9</f>
        <v>5.6999971347424197E-2</v>
      </c>
      <c r="AA65" s="2">
        <f t="shared" si="4"/>
        <v>26.788818984875515</v>
      </c>
    </row>
    <row r="66" spans="1:27" x14ac:dyDescent="0.25">
      <c r="A66" s="2">
        <v>2034</v>
      </c>
      <c r="B66" s="2">
        <f>B11*'Output-Calculation-sheet'!B55/10^9</f>
        <v>7.0721191541777504</v>
      </c>
      <c r="C66" s="2">
        <f>C11*'Output-Calculation-sheet'!C55/10^9</f>
        <v>5.3636479825865839</v>
      </c>
      <c r="D66" s="2">
        <f>D11*'Output-Calculation-sheet'!D55/10^9</f>
        <v>1.4793867143560506</v>
      </c>
      <c r="E66" s="2">
        <f>E11*'Output-Calculation-sheet'!E55/10^9</f>
        <v>1.7912780133582631</v>
      </c>
      <c r="F66" s="2">
        <f>F11*'Output-Calculation-sheet'!F55/10^9</f>
        <v>0.68841814158972314</v>
      </c>
      <c r="G66" s="2">
        <f>G11*'Output-Calculation-sheet'!G55/10^9</f>
        <v>0.49208300182210646</v>
      </c>
      <c r="H66" s="2">
        <f>H11*'Output-Calculation-sheet'!H55/10^9</f>
        <v>1.2636451146613523</v>
      </c>
      <c r="I66" s="2">
        <f>I11*'Output-Calculation-sheet'!I55/10^9</f>
        <v>0.48122665721454994</v>
      </c>
      <c r="J66" s="2">
        <f>J11*'Output-Calculation-sheet'!J55/10^9</f>
        <v>0.49485131689527995</v>
      </c>
      <c r="K66" s="2">
        <f>K11*'Output-Calculation-sheet'!K55/10^9</f>
        <v>0.59183535792073783</v>
      </c>
      <c r="L66" s="2">
        <f>L11*'Output-Calculation-sheet'!L55/10^9</f>
        <v>0.62678103183340095</v>
      </c>
      <c r="M66" s="2">
        <f>M11*'Output-Calculation-sheet'!M55/10^9</f>
        <v>0.91139386384391075</v>
      </c>
      <c r="N66" s="2">
        <f>N11*'Output-Calculation-sheet'!N55/10^9</f>
        <v>0.79631594752959367</v>
      </c>
      <c r="O66" s="2">
        <f>O11*'Output-Calculation-sheet'!O55/10^9</f>
        <v>1.0679566454473639</v>
      </c>
      <c r="P66" s="2">
        <f>P11*'Output-Calculation-sheet'!P55/10^9</f>
        <v>0.54738787460094884</v>
      </c>
      <c r="Q66" s="2">
        <f>Q11*'Output-Calculation-sheet'!Q55/10^9</f>
        <v>0.59758313728372325</v>
      </c>
      <c r="R66" s="2">
        <f>R11*'Output-Calculation-sheet'!R55/10^9</f>
        <v>0.44335623578559125</v>
      </c>
      <c r="S66" s="2">
        <f>S11*'Output-Calculation-sheet'!S55/10^9</f>
        <v>0.43623927133915935</v>
      </c>
      <c r="T66" s="2">
        <f>T11*'Output-Calculation-sheet'!T55/10^9</f>
        <v>0.13897408020963289</v>
      </c>
      <c r="U66" s="2">
        <f>U11*'Output-Calculation-sheet'!U55/10^9</f>
        <v>0.1418933330044822</v>
      </c>
      <c r="V66" s="2">
        <f>V11*'Output-Calculation-sheet'!V55/10^9</f>
        <v>0.13184076501934527</v>
      </c>
      <c r="W66" s="2">
        <f>W11*'Output-Calculation-sheet'!W55/10^9</f>
        <v>5.9692514320970586E-2</v>
      </c>
      <c r="X66" s="2">
        <f>X11*'Output-Calculation-sheet'!X55/10^9</f>
        <v>0.11328487336505501</v>
      </c>
      <c r="Y66" s="2">
        <f>Y11*'Output-Calculation-sheet'!Y55/10^9</f>
        <v>5.8576290882434635E-2</v>
      </c>
      <c r="AA66" s="2">
        <f t="shared" si="4"/>
        <v>25.789767319047996</v>
      </c>
    </row>
    <row r="67" spans="1:27" x14ac:dyDescent="0.25">
      <c r="A67" s="2">
        <v>2035</v>
      </c>
      <c r="B67" s="2">
        <f>B12*'Output-Calculation-sheet'!B56/10^9</f>
        <v>7.3738619234635223</v>
      </c>
      <c r="C67" s="2">
        <f>C12*'Output-Calculation-sheet'!C56/10^9</f>
        <v>5.3445917647922254</v>
      </c>
      <c r="D67" s="2">
        <f>D12*'Output-Calculation-sheet'!D56/10^9</f>
        <v>1.6725665637033844</v>
      </c>
      <c r="E67" s="2">
        <f>E12*'Output-Calculation-sheet'!E56/10^9</f>
        <v>1.9909092638925145</v>
      </c>
      <c r="F67" s="2">
        <f>F12*'Output-Calculation-sheet'!F56/10^9</f>
        <v>0.81482057200744029</v>
      </c>
      <c r="G67" s="2">
        <f>G12*'Output-Calculation-sheet'!G56/10^9</f>
        <v>0.57273586853511083</v>
      </c>
      <c r="H67" s="2">
        <f>H12*'Output-Calculation-sheet'!H56/10^9</f>
        <v>1.3076835205085704</v>
      </c>
      <c r="I67" s="2">
        <f>I12*'Output-Calculation-sheet'!I56/10^9</f>
        <v>0.57354948130202388</v>
      </c>
      <c r="J67" s="2">
        <f>J12*'Output-Calculation-sheet'!J56/10^9</f>
        <v>0.51889044354745251</v>
      </c>
      <c r="K67" s="2">
        <f>K12*'Output-Calculation-sheet'!K56/10^9</f>
        <v>0.64398759389675198</v>
      </c>
      <c r="L67" s="2">
        <f>L12*'Output-Calculation-sheet'!L56/10^9</f>
        <v>0.60012683670752553</v>
      </c>
      <c r="M67" s="2">
        <f>M12*'Output-Calculation-sheet'!M56/10^9</f>
        <v>0.92234136362552988</v>
      </c>
      <c r="N67" s="2">
        <f>N12*'Output-Calculation-sheet'!N56/10^9</f>
        <v>0.78419176441711502</v>
      </c>
      <c r="O67" s="2">
        <f>O12*'Output-Calculation-sheet'!O56/10^9</f>
        <v>1.0324091983992758</v>
      </c>
      <c r="P67" s="2">
        <f>P12*'Output-Calculation-sheet'!P56/10^9</f>
        <v>0.60545025210227454</v>
      </c>
      <c r="Q67" s="2">
        <f>Q12*'Output-Calculation-sheet'!Q56/10^9</f>
        <v>0.61154301226693442</v>
      </c>
      <c r="R67" s="2">
        <f>R12*'Output-Calculation-sheet'!R56/10^9</f>
        <v>0.46696585110716826</v>
      </c>
      <c r="S67" s="2">
        <f>S12*'Output-Calculation-sheet'!S56/10^9</f>
        <v>0.4465548336456906</v>
      </c>
      <c r="T67" s="2">
        <f>T12*'Output-Calculation-sheet'!T56/10^9</f>
        <v>0.14203172410437412</v>
      </c>
      <c r="U67" s="2">
        <f>U12*'Output-Calculation-sheet'!U56/10^9</f>
        <v>0.16154757276958043</v>
      </c>
      <c r="V67" s="2">
        <f>V12*'Output-Calculation-sheet'!V56/10^9</f>
        <v>0.10889164142457197</v>
      </c>
      <c r="W67" s="2">
        <f>W12*'Output-Calculation-sheet'!W56/10^9</f>
        <v>7.0523217885059913E-2</v>
      </c>
      <c r="X67" s="2">
        <f>X12*'Output-Calculation-sheet'!X56/10^9</f>
        <v>0.11550646801466546</v>
      </c>
      <c r="Y67" s="2">
        <f>Y12*'Output-Calculation-sheet'!Y56/10^9</f>
        <v>6.6272901758859276E-2</v>
      </c>
      <c r="AA67" s="2">
        <f t="shared" si="4"/>
        <v>26.947953633877628</v>
      </c>
    </row>
    <row r="68" spans="1:27" x14ac:dyDescent="0.25">
      <c r="B68" s="2">
        <f>SUM(B60:B67)</f>
        <v>53.514913376868641</v>
      </c>
      <c r="C68" s="2">
        <f t="shared" ref="C68:Y68" si="5">SUM(C60:C67)</f>
        <v>34.431994989612456</v>
      </c>
      <c r="D68" s="2">
        <f t="shared" si="5"/>
        <v>16.328602820802111</v>
      </c>
      <c r="E68" s="2">
        <f t="shared" si="5"/>
        <v>17.110955778889291</v>
      </c>
      <c r="F68" s="2">
        <f t="shared" si="5"/>
        <v>7.048393617463641</v>
      </c>
      <c r="G68" s="2">
        <f t="shared" si="5"/>
        <v>5.0448369010723031</v>
      </c>
      <c r="H68" s="2">
        <f t="shared" si="5"/>
        <v>9.4168921054754655</v>
      </c>
      <c r="I68" s="2">
        <f t="shared" si="5"/>
        <v>4.7718613382756567</v>
      </c>
      <c r="J68" s="2">
        <f t="shared" si="5"/>
        <v>6.1239858773319371</v>
      </c>
      <c r="K68" s="2">
        <f t="shared" si="5"/>
        <v>5.7808256884854936</v>
      </c>
      <c r="L68" s="2">
        <f t="shared" si="5"/>
        <v>7.335971536959784</v>
      </c>
      <c r="M68" s="2">
        <f t="shared" si="5"/>
        <v>7.4123746483339872</v>
      </c>
      <c r="N68" s="2">
        <f t="shared" si="5"/>
        <v>6.3560890621639441</v>
      </c>
      <c r="O68" s="2">
        <f t="shared" si="5"/>
        <v>7.0281942866584224</v>
      </c>
      <c r="P68" s="2">
        <f t="shared" si="5"/>
        <v>4.31909550965291</v>
      </c>
      <c r="Q68" s="2">
        <f t="shared" si="5"/>
        <v>4.7690587927145263</v>
      </c>
      <c r="R68" s="2">
        <f t="shared" si="5"/>
        <v>4.1284513982894593</v>
      </c>
      <c r="S68" s="2">
        <f t="shared" si="5"/>
        <v>3.2551968513806098</v>
      </c>
      <c r="T68" s="2">
        <f t="shared" si="5"/>
        <v>1.489036689684855</v>
      </c>
      <c r="U68" s="2">
        <f t="shared" si="5"/>
        <v>1.1541743559290625</v>
      </c>
      <c r="V68" s="2">
        <f t="shared" si="5"/>
        <v>1.7180093909038194</v>
      </c>
      <c r="W68" s="2">
        <f t="shared" si="5"/>
        <v>0.65788561102081822</v>
      </c>
      <c r="X68" s="2">
        <f t="shared" si="5"/>
        <v>0.82516385427909877</v>
      </c>
      <c r="Y68" s="2">
        <f t="shared" si="5"/>
        <v>0.47896597833447963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5895.0133358251169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1422.8859944943986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953.47609085630052</v>
      </c>
      <c r="N74" s="2">
        <f>N8/'Output-Calculation-sheet'!N7*'Output-Calculation-sheet'!N61</f>
        <v>39.961868755489569</v>
      </c>
      <c r="O74" s="2">
        <f>O8/'Output-Calculation-sheet'!O7*'Output-Calculation-sheet'!O61</f>
        <v>1178.3455250769068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118.48309889040966</v>
      </c>
      <c r="Y74" s="2">
        <f>Y8/'Output-Calculation-sheet'!Y7*'Output-Calculation-sheet'!Y61</f>
        <v>0</v>
      </c>
      <c r="AA74" s="2">
        <f t="shared" si="6"/>
        <v>9.6081659138986257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9543.8753703456478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2365.1527626145962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1606.9953293674366</v>
      </c>
      <c r="N75" s="2">
        <f>N9/'Output-Calculation-sheet'!N8*'Output-Calculation-sheet'!N62</f>
        <v>618.83101300381827</v>
      </c>
      <c r="O75" s="2">
        <f>O9/'Output-Calculation-sheet'!O8*'Output-Calculation-sheet'!O62</f>
        <v>1886.5166859685692</v>
      </c>
      <c r="P75" s="2">
        <f>P9/'Output-Calculation-sheet'!P8*'Output-Calculation-sheet'!P62</f>
        <v>41.583774829181316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208.12619591961442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194.14580460635432</v>
      </c>
      <c r="Y75" s="2">
        <f>Y9/'Output-Calculation-sheet'!Y8*'Output-Calculation-sheet'!Y62</f>
        <v>0</v>
      </c>
      <c r="AA75" s="2">
        <f t="shared" si="6"/>
        <v>16.465226936655217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12168.575376048828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3276.0884106429276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2230.5262012563726</v>
      </c>
      <c r="N76" s="2">
        <f>N10/'Output-Calculation-sheet'!N9*'Output-Calculation-sheet'!N63</f>
        <v>1274.3180339671383</v>
      </c>
      <c r="O76" s="2">
        <f>O10/'Output-Calculation-sheet'!O9*'Output-Calculation-sheet'!O63</f>
        <v>2195.362046425415</v>
      </c>
      <c r="P76" s="2">
        <f>P10/'Output-Calculation-sheet'!P9*'Output-Calculation-sheet'!P63</f>
        <v>442.50153856839876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335.9152706338902</v>
      </c>
      <c r="S76" s="2">
        <f>S10/'Output-Calculation-sheet'!S9*'Output-Calculation-sheet'!S63</f>
        <v>566.04236359675929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119.18035285896178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262.68574823403401</v>
      </c>
      <c r="Y76" s="2">
        <f>Y10/'Output-Calculation-sheet'!Y9*'Output-Calculation-sheet'!Y63</f>
        <v>4.9834854414466232</v>
      </c>
      <c r="AA76" s="2">
        <f t="shared" si="6"/>
        <v>28.207019554331836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11807.670934973645</v>
      </c>
      <c r="D77" s="2">
        <f>D11/'Output-Calculation-sheet'!D10*'Output-Calculation-sheet'!D64</f>
        <v>1461.5833906424161</v>
      </c>
      <c r="E77" s="2">
        <f>E11/'Output-Calculation-sheet'!E10*'Output-Calculation-sheet'!E64</f>
        <v>1777.9795508139018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762.21058307759574</v>
      </c>
      <c r="H77" s="2">
        <f>H11/'Output-Calculation-sheet'!H10*'Output-Calculation-sheet'!H64</f>
        <v>4049.7584727445242</v>
      </c>
      <c r="I77" s="2">
        <f>I11/'Output-Calculation-sheet'!I10*'Output-Calculation-sheet'!I64</f>
        <v>451.647286790566</v>
      </c>
      <c r="J77" s="2">
        <f>J11/'Output-Calculation-sheet'!J10*'Output-Calculation-sheet'!J64</f>
        <v>324.64940742099185</v>
      </c>
      <c r="K77" s="2">
        <f>K11/'Output-Calculation-sheet'!K10*'Output-Calculation-sheet'!K64</f>
        <v>679.61186123389848</v>
      </c>
      <c r="L77" s="2">
        <f>L11/'Output-Calculation-sheet'!L10*'Output-Calculation-sheet'!L64</f>
        <v>297.11654660383016</v>
      </c>
      <c r="M77" s="2">
        <f>M11/'Output-Calculation-sheet'!M10*'Output-Calculation-sheet'!M64</f>
        <v>2714.1367878085434</v>
      </c>
      <c r="N77" s="2">
        <f>N11/'Output-Calculation-sheet'!N10*'Output-Calculation-sheet'!N64</f>
        <v>1910.9036276280985</v>
      </c>
      <c r="O77" s="2">
        <f>O11/'Output-Calculation-sheet'!O10*'Output-Calculation-sheet'!O64</f>
        <v>2213.4091404321698</v>
      </c>
      <c r="P77" s="2">
        <f>P11/'Output-Calculation-sheet'!P10*'Output-Calculation-sheet'!P64</f>
        <v>843.43479611692305</v>
      </c>
      <c r="Q77" s="2">
        <f>Q11/'Output-Calculation-sheet'!Q10*'Output-Calculation-sheet'!Q64</f>
        <v>758.76282794590463</v>
      </c>
      <c r="R77" s="2">
        <f>R11/'Output-Calculation-sheet'!R10*'Output-Calculation-sheet'!R64</f>
        <v>721.75982900871782</v>
      </c>
      <c r="S77" s="2">
        <f>S11/'Output-Calculation-sheet'!S10*'Output-Calculation-sheet'!S64</f>
        <v>960.93635491549003</v>
      </c>
      <c r="T77" s="2">
        <f>T11/'Output-Calculation-sheet'!T10*'Output-Calculation-sheet'!T64</f>
        <v>200.04704535311555</v>
      </c>
      <c r="U77" s="2">
        <f>U11/'Output-Calculation-sheet'!U10*'Output-Calculation-sheet'!U64</f>
        <v>273.73228473548778</v>
      </c>
      <c r="V77" s="2">
        <f>V11/'Output-Calculation-sheet'!V10*'Output-Calculation-sheet'!V64</f>
        <v>105.19407200126089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279.90469380632669</v>
      </c>
      <c r="Y77" s="2">
        <f>Y11/'Output-Calculation-sheet'!Y10*'Output-Calculation-sheet'!Y64</f>
        <v>66.073089622339083</v>
      </c>
      <c r="AA77" s="2">
        <f t="shared" si="6"/>
        <v>44.505923482321805</v>
      </c>
    </row>
    <row r="78" spans="1:27" x14ac:dyDescent="0.25">
      <c r="A78" s="2">
        <v>2035</v>
      </c>
      <c r="B78" s="2">
        <f>B12/'Output-Calculation-sheet'!B11*'Output-Calculation-sheet'!B65</f>
        <v>15770.663460480446</v>
      </c>
      <c r="C78" s="2">
        <f>C12/'Output-Calculation-sheet'!C11*'Output-Calculation-sheet'!C65</f>
        <v>11113.292708712774</v>
      </c>
      <c r="D78" s="2">
        <f>D12/'Output-Calculation-sheet'!D11*'Output-Calculation-sheet'!D65</f>
        <v>3622.3913887154386</v>
      </c>
      <c r="E78" s="2">
        <f>E12/'Output-Calculation-sheet'!E11*'Output-Calculation-sheet'!E65</f>
        <v>3623.3909393106937</v>
      </c>
      <c r="F78" s="2">
        <f>F12/'Output-Calculation-sheet'!F11*'Output-Calculation-sheet'!F65</f>
        <v>841.1600439218613</v>
      </c>
      <c r="G78" s="2">
        <f>G12/'Output-Calculation-sheet'!G11*'Output-Calculation-sheet'!G65</f>
        <v>1253.841967380461</v>
      </c>
      <c r="H78" s="2">
        <f>H12/'Output-Calculation-sheet'!H11*'Output-Calculation-sheet'!H65</f>
        <v>4018.3636635115754</v>
      </c>
      <c r="I78" s="2">
        <f>I12/'Output-Calculation-sheet'!I11*'Output-Calculation-sheet'!I65</f>
        <v>1113.0852726890471</v>
      </c>
      <c r="J78" s="2">
        <f>J12/'Output-Calculation-sheet'!J11*'Output-Calculation-sheet'!J65</f>
        <v>990.23668758292138</v>
      </c>
      <c r="K78" s="2">
        <f>K12/'Output-Calculation-sheet'!K11*'Output-Calculation-sheet'!K65</f>
        <v>1319.9923478651524</v>
      </c>
      <c r="L78" s="2">
        <f>L12/'Output-Calculation-sheet'!L11*'Output-Calculation-sheet'!L65</f>
        <v>869.48551684793779</v>
      </c>
      <c r="M78" s="2">
        <f>M12/'Output-Calculation-sheet'!M11*'Output-Calculation-sheet'!M65</f>
        <v>2806.2361155165049</v>
      </c>
      <c r="N78" s="2">
        <f>N12/'Output-Calculation-sheet'!N11*'Output-Calculation-sheet'!N65</f>
        <v>2003.8576321495161</v>
      </c>
      <c r="O78" s="2">
        <f>O12/'Output-Calculation-sheet'!O11*'Output-Calculation-sheet'!O65</f>
        <v>2030.5982729003501</v>
      </c>
      <c r="P78" s="2">
        <f>P12/'Output-Calculation-sheet'!P11*'Output-Calculation-sheet'!P65</f>
        <v>1109.755240742486</v>
      </c>
      <c r="Q78" s="2">
        <f>Q12/'Output-Calculation-sheet'!Q11*'Output-Calculation-sheet'!Q65</f>
        <v>1075.8904944833571</v>
      </c>
      <c r="R78" s="2">
        <f>R12/'Output-Calculation-sheet'!R11*'Output-Calculation-sheet'!R65</f>
        <v>976.01774980258813</v>
      </c>
      <c r="S78" s="2">
        <f>S12/'Output-Calculation-sheet'!S11*'Output-Calculation-sheet'!S65</f>
        <v>1091.8428010782895</v>
      </c>
      <c r="T78" s="2">
        <f>T12/'Output-Calculation-sheet'!T11*'Output-Calculation-sheet'!T65</f>
        <v>340.13263785696211</v>
      </c>
      <c r="U78" s="2">
        <f>U12/'Output-Calculation-sheet'!U11*'Output-Calculation-sheet'!U65</f>
        <v>311.00419121371152</v>
      </c>
      <c r="V78" s="2">
        <f>V12/'Output-Calculation-sheet'!V11*'Output-Calculation-sheet'!V65</f>
        <v>178.0081665709551</v>
      </c>
      <c r="W78" s="2">
        <f>W12/'Output-Calculation-sheet'!W11*'Output-Calculation-sheet'!W65</f>
        <v>118.48003048441588</v>
      </c>
      <c r="X78" s="2">
        <f>X12/'Output-Calculation-sheet'!X11*'Output-Calculation-sheet'!X65</f>
        <v>269.54267650359066</v>
      </c>
      <c r="Y78" s="2">
        <f>Y12/'Output-Calculation-sheet'!Y11*'Output-Calculation-sheet'!Y65</f>
        <v>124.64390583810693</v>
      </c>
      <c r="AA78" s="2">
        <f t="shared" si="6"/>
        <v>56.971913912159145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36.024089437007866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3.602408943700787E-2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445.86187770831054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103.94276176628566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0.54980463947459624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897.66138061168067</v>
      </c>
      <c r="D89" s="2">
        <f>D12/'Output-Calculation-sheet'!D11*'Output-Calculation-sheet'!D74</f>
        <v>72.288792430960655</v>
      </c>
      <c r="E89" s="2">
        <f>E12/'Output-Calculation-sheet'!E11*'Output-Calculation-sheet'!E74</f>
        <v>57.450308218022734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75.36221721743118</v>
      </c>
      <c r="I89" s="2">
        <f>I12/'Output-Calculation-sheet'!I11*'Output-Calculation-sheet'!I74</f>
        <v>23.323874707982466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22.923697472563518</v>
      </c>
      <c r="L89" s="2">
        <f>L12/'Output-Calculation-sheet'!L11*'Output-Calculation-sheet'!L74</f>
        <v>18.227825765663987</v>
      </c>
      <c r="M89" s="2">
        <f>M12/'Output-Calculation-sheet'!M11*'Output-Calculation-sheet'!M74</f>
        <v>51.856580060793085</v>
      </c>
      <c r="N89" s="2">
        <f>N12/'Output-Calculation-sheet'!N11*'Output-Calculation-sheet'!N74</f>
        <v>33.977798105137154</v>
      </c>
      <c r="O89" s="2">
        <f>O12/'Output-Calculation-sheet'!O11*'Output-Calculation-sheet'!O74</f>
        <v>206.09899477451771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29.769662690979843</v>
      </c>
      <c r="R89" s="2">
        <f>R12/'Output-Calculation-sheet'!R11*'Output-Calculation-sheet'!R74</f>
        <v>14.761085733769729</v>
      </c>
      <c r="S89" s="2">
        <f>S12/'Output-Calculation-sheet'!S11*'Output-Calculation-sheet'!S74</f>
        <v>19.477193971873337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9.4983413619311463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7.5850595594211683</v>
      </c>
      <c r="Y89" s="2">
        <f>Y12/'Output-Calculation-sheet'!Y11*'Output-Calculation-sheet'!Y74</f>
        <v>3.6598615802362779</v>
      </c>
      <c r="AA89" s="2">
        <f t="shared" si="7"/>
        <v>2.042560458301629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18569051218.775066</v>
      </c>
      <c r="C96" s="2">
        <f>C8/'Output-Calculation-sheet'!C7*'Output-Calculation-sheet'!C79</f>
        <v>7687344601.2789669</v>
      </c>
      <c r="D96" s="2">
        <f>D8/'Output-Calculation-sheet'!D7*'Output-Calculation-sheet'!D79</f>
        <v>6128019514.1684294</v>
      </c>
      <c r="E96" s="2">
        <f>E8/'Output-Calculation-sheet'!E7*'Output-Calculation-sheet'!E79</f>
        <v>7404783886.7176514</v>
      </c>
      <c r="F96" s="2">
        <f>F8/'Output-Calculation-sheet'!F7*'Output-Calculation-sheet'!F79</f>
        <v>4371001418.613781</v>
      </c>
      <c r="G96" s="2">
        <f>G8/'Output-Calculation-sheet'!G7*'Output-Calculation-sheet'!G79</f>
        <v>2223318199.7965307</v>
      </c>
      <c r="H96" s="2">
        <f>H8/'Output-Calculation-sheet'!H7*'Output-Calculation-sheet'!H79</f>
        <v>2776186221.2870541</v>
      </c>
      <c r="I96" s="2">
        <f>I8/'Output-Calculation-sheet'!I7*'Output-Calculation-sheet'!I79</f>
        <v>2657198396.2201252</v>
      </c>
      <c r="J96" s="2">
        <f>J8/'Output-Calculation-sheet'!J7*'Output-Calculation-sheet'!J79</f>
        <v>1499818184.3364205</v>
      </c>
      <c r="K96" s="2">
        <f>K8/'Output-Calculation-sheet'!K7*'Output-Calculation-sheet'!K79</f>
        <v>2554704088.6797981</v>
      </c>
      <c r="L96" s="2">
        <f>L8/'Output-Calculation-sheet'!L7*'Output-Calculation-sheet'!L79</f>
        <v>1837393395.6342103</v>
      </c>
      <c r="M96" s="2">
        <f>M8/'Output-Calculation-sheet'!M7*'Output-Calculation-sheet'!M79</f>
        <v>1857441391.3139756</v>
      </c>
      <c r="N96" s="2">
        <f>N8/'Output-Calculation-sheet'!N7*'Output-Calculation-sheet'!N79</f>
        <v>1321993318.3974676</v>
      </c>
      <c r="O96" s="2">
        <f>O8/'Output-Calculation-sheet'!O7*'Output-Calculation-sheet'!O79</f>
        <v>1038973148.5059294</v>
      </c>
      <c r="P96" s="2">
        <f>P8/'Output-Calculation-sheet'!P7*'Output-Calculation-sheet'!P79</f>
        <v>2208595498.3269224</v>
      </c>
      <c r="Q96" s="2">
        <f>Q8/'Output-Calculation-sheet'!Q7*'Output-Calculation-sheet'!Q79</f>
        <v>1202940731.6185923</v>
      </c>
      <c r="R96" s="2">
        <f>R8/'Output-Calculation-sheet'!R7*'Output-Calculation-sheet'!R79</f>
        <v>1604837334.477948</v>
      </c>
      <c r="S96" s="2">
        <f>S8/'Output-Calculation-sheet'!S7*'Output-Calculation-sheet'!S79</f>
        <v>1010158589.8242846</v>
      </c>
      <c r="T96" s="2">
        <f>T8/'Output-Calculation-sheet'!T7*'Output-Calculation-sheet'!T79</f>
        <v>648664034.53237641</v>
      </c>
      <c r="U96" s="2">
        <f>U8/'Output-Calculation-sheet'!U7*'Output-Calculation-sheet'!U79</f>
        <v>601497196.617378</v>
      </c>
      <c r="V96" s="2">
        <f>V8/'Output-Calculation-sheet'!V7*'Output-Calculation-sheet'!V79</f>
        <v>387264387.17200971</v>
      </c>
      <c r="W96" s="2">
        <f>W8/'Output-Calculation-sheet'!W7*'Output-Calculation-sheet'!W79</f>
        <v>463255993.38056326</v>
      </c>
      <c r="X96" s="2">
        <f>X8/'Output-Calculation-sheet'!X7*'Output-Calculation-sheet'!X79</f>
        <v>212034888.85847607</v>
      </c>
      <c r="Y96" s="2">
        <f>Y8/'Output-Calculation-sheet'!Y7*'Output-Calculation-sheet'!Y79</f>
        <v>237324776.42479596</v>
      </c>
      <c r="AA96" s="2">
        <f t="shared" si="8"/>
        <v>70.503800414958761</v>
      </c>
    </row>
    <row r="97" spans="1:27" x14ac:dyDescent="0.25">
      <c r="A97" s="2">
        <v>2032</v>
      </c>
      <c r="B97" s="2">
        <f>B9/'Output-Calculation-sheet'!B8*'Output-Calculation-sheet'!B80</f>
        <v>24728327484.056511</v>
      </c>
      <c r="C97" s="2">
        <f>C9/'Output-Calculation-sheet'!C8*'Output-Calculation-sheet'!C80</f>
        <v>10246131697.106224</v>
      </c>
      <c r="D97" s="2">
        <f>D9/'Output-Calculation-sheet'!D8*'Output-Calculation-sheet'!D80</f>
        <v>8098738509.1081438</v>
      </c>
      <c r="E97" s="2">
        <f>E9/'Output-Calculation-sheet'!E8*'Output-Calculation-sheet'!E80</f>
        <v>9772370964.3931103</v>
      </c>
      <c r="F97" s="2">
        <f>F9/'Output-Calculation-sheet'!F8*'Output-Calculation-sheet'!F80</f>
        <v>5790405737.6659184</v>
      </c>
      <c r="G97" s="2">
        <f>G9/'Output-Calculation-sheet'!G8*'Output-Calculation-sheet'!G80</f>
        <v>2898577161.7041202</v>
      </c>
      <c r="H97" s="2">
        <f>H9/'Output-Calculation-sheet'!H8*'Output-Calculation-sheet'!H80</f>
        <v>3689418337.6590438</v>
      </c>
      <c r="I97" s="2">
        <f>I9/'Output-Calculation-sheet'!I8*'Output-Calculation-sheet'!I80</f>
        <v>3521698667.6572065</v>
      </c>
      <c r="J97" s="2">
        <f>J9/'Output-Calculation-sheet'!J8*'Output-Calculation-sheet'!J80</f>
        <v>2009533398.2517345</v>
      </c>
      <c r="K97" s="2">
        <f>K9/'Output-Calculation-sheet'!K8*'Output-Calculation-sheet'!K80</f>
        <v>3385095041.815413</v>
      </c>
      <c r="L97" s="2">
        <f>L9/'Output-Calculation-sheet'!L8*'Output-Calculation-sheet'!L80</f>
        <v>2449231642.4268336</v>
      </c>
      <c r="M97" s="2">
        <f>M9/'Output-Calculation-sheet'!M8*'Output-Calculation-sheet'!M80</f>
        <v>2468410520.2566333</v>
      </c>
      <c r="N97" s="2">
        <f>N9/'Output-Calculation-sheet'!N8*'Output-Calculation-sheet'!N80</f>
        <v>1764358149.7575324</v>
      </c>
      <c r="O97" s="2">
        <f>O9/'Output-Calculation-sheet'!O8*'Output-Calculation-sheet'!O80</f>
        <v>1391970841.3971219</v>
      </c>
      <c r="P97" s="2">
        <f>P9/'Output-Calculation-sheet'!P8*'Output-Calculation-sheet'!P80</f>
        <v>2908893082.1063685</v>
      </c>
      <c r="Q97" s="2">
        <f>Q9/'Output-Calculation-sheet'!Q8*'Output-Calculation-sheet'!Q80</f>
        <v>1610684812.0675375</v>
      </c>
      <c r="R97" s="2">
        <f>R9/'Output-Calculation-sheet'!R8*'Output-Calculation-sheet'!R80</f>
        <v>2135528548.9413557</v>
      </c>
      <c r="S97" s="2">
        <f>S9/'Output-Calculation-sheet'!S8*'Output-Calculation-sheet'!S80</f>
        <v>1347208042.1951585</v>
      </c>
      <c r="T97" s="2">
        <f>T9/'Output-Calculation-sheet'!T8*'Output-Calculation-sheet'!T80</f>
        <v>856322829.85395026</v>
      </c>
      <c r="U97" s="2">
        <f>U9/'Output-Calculation-sheet'!U8*'Output-Calculation-sheet'!U80</f>
        <v>798554315.76692045</v>
      </c>
      <c r="V97" s="2">
        <f>V9/'Output-Calculation-sheet'!V8*'Output-Calculation-sheet'!V80</f>
        <v>517151378.06221914</v>
      </c>
      <c r="W97" s="2">
        <f>W9/'Output-Calculation-sheet'!W8*'Output-Calculation-sheet'!W80</f>
        <v>604954523.26443565</v>
      </c>
      <c r="X97" s="2">
        <f>X9/'Output-Calculation-sheet'!X8*'Output-Calculation-sheet'!X80</f>
        <v>281691266.5086785</v>
      </c>
      <c r="Y97" s="2">
        <f>Y9/'Output-Calculation-sheet'!Y8*'Output-Calculation-sheet'!Y80</f>
        <v>311281829.48429948</v>
      </c>
      <c r="AA97" s="2">
        <f t="shared" si="8"/>
        <v>93.586538781506505</v>
      </c>
    </row>
    <row r="98" spans="1:27" x14ac:dyDescent="0.25">
      <c r="A98" s="2">
        <v>2033</v>
      </c>
      <c r="B98" s="2">
        <f>B10/'Output-Calculation-sheet'!B9*'Output-Calculation-sheet'!B81</f>
        <v>30155459933.687206</v>
      </c>
      <c r="C98" s="2">
        <f>C10/'Output-Calculation-sheet'!C9*'Output-Calculation-sheet'!C81</f>
        <v>12507801290.438393</v>
      </c>
      <c r="D98" s="2">
        <f>D10/'Output-Calculation-sheet'!D9*'Output-Calculation-sheet'!D81</f>
        <v>9811529177.1409035</v>
      </c>
      <c r="E98" s="2">
        <f>E10/'Output-Calculation-sheet'!E9*'Output-Calculation-sheet'!E81</f>
        <v>11816875957.238049</v>
      </c>
      <c r="F98" s="2">
        <f>F10/'Output-Calculation-sheet'!F9*'Output-Calculation-sheet'!F81</f>
        <v>7026590932.2322702</v>
      </c>
      <c r="G98" s="2">
        <f>G10/'Output-Calculation-sheet'!G9*'Output-Calculation-sheet'!G81</f>
        <v>3463596547.8364806</v>
      </c>
      <c r="H98" s="2">
        <f>H10/'Output-Calculation-sheet'!H9*'Output-Calculation-sheet'!H81</f>
        <v>4490618838.9205589</v>
      </c>
      <c r="I98" s="2">
        <f>I10/'Output-Calculation-sheet'!I9*'Output-Calculation-sheet'!I81</f>
        <v>4276102168.0145445</v>
      </c>
      <c r="J98" s="2">
        <f>J10/'Output-Calculation-sheet'!J9*'Output-Calculation-sheet'!J81</f>
        <v>2467404361.8625627</v>
      </c>
      <c r="K98" s="2">
        <f>K10/'Output-Calculation-sheet'!K9*'Output-Calculation-sheet'!K81</f>
        <v>4108881564.0961618</v>
      </c>
      <c r="L98" s="2">
        <f>L10/'Output-Calculation-sheet'!L9*'Output-Calculation-sheet'!L81</f>
        <v>2990074621.3109069</v>
      </c>
      <c r="M98" s="2">
        <f>M10/'Output-Calculation-sheet'!M9*'Output-Calculation-sheet'!M81</f>
        <v>3004998645.5039058</v>
      </c>
      <c r="N98" s="2">
        <f>N10/'Output-Calculation-sheet'!N9*'Output-Calculation-sheet'!N81</f>
        <v>2157865277.9602032</v>
      </c>
      <c r="O98" s="2">
        <f>O10/'Output-Calculation-sheet'!O9*'Output-Calculation-sheet'!O81</f>
        <v>1708461354.1970525</v>
      </c>
      <c r="P98" s="2">
        <f>P10/'Output-Calculation-sheet'!P9*'Output-Calculation-sheet'!P81</f>
        <v>3509176641.6126995</v>
      </c>
      <c r="Q98" s="2">
        <f>Q10/'Output-Calculation-sheet'!Q9*'Output-Calculation-sheet'!Q81</f>
        <v>1975693162.0289652</v>
      </c>
      <c r="R98" s="2">
        <f>R10/'Output-Calculation-sheet'!R9*'Output-Calculation-sheet'!R81</f>
        <v>2602543389.429162</v>
      </c>
      <c r="S98" s="2">
        <f>S10/'Output-Calculation-sheet'!S9*'Output-Calculation-sheet'!S81</f>
        <v>1645281422.6378345</v>
      </c>
      <c r="T98" s="2">
        <f>T10/'Output-Calculation-sheet'!T9*'Output-Calculation-sheet'!T81</f>
        <v>1035730569.6480304</v>
      </c>
      <c r="U98" s="2">
        <f>U10/'Output-Calculation-sheet'!U9*'Output-Calculation-sheet'!U81</f>
        <v>970426886.4670471</v>
      </c>
      <c r="V98" s="2">
        <f>V10/'Output-Calculation-sheet'!V9*'Output-Calculation-sheet'!V81</f>
        <v>632048480.06790829</v>
      </c>
      <c r="W98" s="2">
        <f>W10/'Output-Calculation-sheet'!W9*'Output-Calculation-sheet'!W81</f>
        <v>723789235.74277723</v>
      </c>
      <c r="X98" s="2">
        <f>X10/'Output-Calculation-sheet'!X9*'Output-Calculation-sheet'!X81</f>
        <v>342792955.2105239</v>
      </c>
      <c r="Y98" s="2">
        <f>Y10/'Output-Calculation-sheet'!Y9*'Output-Calculation-sheet'!Y81</f>
        <v>374187821.48523468</v>
      </c>
      <c r="AA98" s="2">
        <f t="shared" si="8"/>
        <v>113.79793123476938</v>
      </c>
    </row>
    <row r="99" spans="1:27" x14ac:dyDescent="0.25">
      <c r="A99" s="2">
        <v>2034</v>
      </c>
      <c r="B99" s="2">
        <f>B11/'Output-Calculation-sheet'!B10*'Output-Calculation-sheet'!B82</f>
        <v>34134881407.256107</v>
      </c>
      <c r="C99" s="2">
        <f>C11/'Output-Calculation-sheet'!C10*'Output-Calculation-sheet'!C82</f>
        <v>14175161836.654558</v>
      </c>
      <c r="D99" s="2">
        <f>D11/'Output-Calculation-sheet'!D10*'Output-Calculation-sheet'!D82</f>
        <v>11044548141.089067</v>
      </c>
      <c r="E99" s="2">
        <f>E11/'Output-Calculation-sheet'!E10*'Output-Calculation-sheet'!E82</f>
        <v>13270832587.323284</v>
      </c>
      <c r="F99" s="2">
        <f>F11/'Output-Calculation-sheet'!F10*'Output-Calculation-sheet'!F82</f>
        <v>7917287156.7964754</v>
      </c>
      <c r="G99" s="2">
        <f>G11/'Output-Calculation-sheet'!G10*'Output-Calculation-sheet'!G82</f>
        <v>3845211986.6508522</v>
      </c>
      <c r="H99" s="2">
        <f>H11/'Output-Calculation-sheet'!H10*'Output-Calculation-sheet'!H82</f>
        <v>5074383161.1937256</v>
      </c>
      <c r="I99" s="2">
        <f>I11/'Output-Calculation-sheet'!I10*'Output-Calculation-sheet'!I82</f>
        <v>4821574997.2944384</v>
      </c>
      <c r="J99" s="2">
        <f>J11/'Output-Calculation-sheet'!J10*'Output-Calculation-sheet'!J82</f>
        <v>2814078013.5991054</v>
      </c>
      <c r="K99" s="2">
        <f>K11/'Output-Calculation-sheet'!K10*'Output-Calculation-sheet'!K82</f>
        <v>4631154922.6447001</v>
      </c>
      <c r="L99" s="2">
        <f>L11/'Output-Calculation-sheet'!L10*'Output-Calculation-sheet'!L82</f>
        <v>3388791782.8316574</v>
      </c>
      <c r="M99" s="2">
        <f>M11/'Output-Calculation-sheet'!M10*'Output-Calculation-sheet'!M82</f>
        <v>3396820746.4228334</v>
      </c>
      <c r="N99" s="2">
        <f>N11/'Output-Calculation-sheet'!N10*'Output-Calculation-sheet'!N82</f>
        <v>2451360675.4813466</v>
      </c>
      <c r="O99" s="2">
        <f>O11/'Output-Calculation-sheet'!O10*'Output-Calculation-sheet'!O82</f>
        <v>1947159756.1678293</v>
      </c>
      <c r="P99" s="2">
        <f>P11/'Output-Calculation-sheet'!P10*'Output-Calculation-sheet'!P82</f>
        <v>3930581079.447773</v>
      </c>
      <c r="Q99" s="2">
        <f>Q11/'Output-Calculation-sheet'!Q10*'Output-Calculation-sheet'!Q82</f>
        <v>2250306753.0475574</v>
      </c>
      <c r="R99" s="2">
        <f>R11/'Output-Calculation-sheet'!R10*'Output-Calculation-sheet'!R82</f>
        <v>2944422666.151782</v>
      </c>
      <c r="S99" s="2">
        <f>S11/'Output-Calculation-sheet'!S10*'Output-Calculation-sheet'!S82</f>
        <v>1865099781.2210782</v>
      </c>
      <c r="T99" s="2">
        <f>T11/'Output-Calculation-sheet'!T10*'Output-Calculation-sheet'!T82</f>
        <v>1163419502.8778794</v>
      </c>
      <c r="U99" s="2">
        <f>U11/'Output-Calculation-sheet'!U10*'Output-Calculation-sheet'!U82</f>
        <v>1094326634.1879785</v>
      </c>
      <c r="V99" s="2">
        <f>V11/'Output-Calculation-sheet'!V10*'Output-Calculation-sheet'!V82</f>
        <v>716701842.39574826</v>
      </c>
      <c r="W99" s="2">
        <f>W11/'Output-Calculation-sheet'!W10*'Output-Calculation-sheet'!W82</f>
        <v>804224407.86228466</v>
      </c>
      <c r="X99" s="2">
        <f>X11/'Output-Calculation-sheet'!X10*'Output-Calculation-sheet'!X82</f>
        <v>387314594.90433508</v>
      </c>
      <c r="Y99" s="2">
        <f>Y11/'Output-Calculation-sheet'!Y10*'Output-Calculation-sheet'!Y82</f>
        <v>417862551.58031672</v>
      </c>
      <c r="AA99" s="2">
        <f t="shared" si="8"/>
        <v>128.48750698508275</v>
      </c>
    </row>
    <row r="100" spans="1:27" x14ac:dyDescent="0.25">
      <c r="A100" s="2">
        <v>2035</v>
      </c>
      <c r="B100" s="2">
        <f>B12/'Output-Calculation-sheet'!B11*'Output-Calculation-sheet'!B83</f>
        <v>35997631584.295914</v>
      </c>
      <c r="C100" s="2">
        <f>C12/'Output-Calculation-sheet'!C11*'Output-Calculation-sheet'!C83</f>
        <v>14968462718.909748</v>
      </c>
      <c r="D100" s="2">
        <f>D12/'Output-Calculation-sheet'!D11*'Output-Calculation-sheet'!D83</f>
        <v>11593315086.115314</v>
      </c>
      <c r="E100" s="2">
        <f>E12/'Output-Calculation-sheet'!E11*'Output-Calculation-sheet'!E83</f>
        <v>13891587937.672689</v>
      </c>
      <c r="F100" s="2">
        <f>F12/'Output-Calculation-sheet'!F11*'Output-Calculation-sheet'!F83</f>
        <v>8313418128.7654829</v>
      </c>
      <c r="G100" s="2">
        <f>G12/'Output-Calculation-sheet'!G11*'Output-Calculation-sheet'!G83</f>
        <v>3980556680.1335878</v>
      </c>
      <c r="H100" s="2">
        <f>H12/'Output-Calculation-sheet'!H11*'Output-Calculation-sheet'!H83</f>
        <v>5342756660.2255459</v>
      </c>
      <c r="I100" s="2">
        <f>I12/'Output-Calculation-sheet'!I11*'Output-Calculation-sheet'!I83</f>
        <v>5066873876.7871695</v>
      </c>
      <c r="J100" s="2">
        <f>J12/'Output-Calculation-sheet'!J11*'Output-Calculation-sheet'!J83</f>
        <v>2991807904.9467359</v>
      </c>
      <c r="K100" s="2">
        <f>K12/'Output-Calculation-sheet'!K11*'Output-Calculation-sheet'!K83</f>
        <v>4864569069.5602865</v>
      </c>
      <c r="L100" s="2">
        <f>L12/'Output-Calculation-sheet'!L11*'Output-Calculation-sheet'!L83</f>
        <v>3578432070.8378568</v>
      </c>
      <c r="M100" s="2">
        <f>M12/'Output-Calculation-sheet'!M11*'Output-Calculation-sheet'!M83</f>
        <v>3578226751.4342003</v>
      </c>
      <c r="N100" s="2">
        <f>N12/'Output-Calculation-sheet'!N11*'Output-Calculation-sheet'!N83</f>
        <v>2595902076.3425732</v>
      </c>
      <c r="O100" s="2">
        <f>O12/'Output-Calculation-sheet'!O11*'Output-Calculation-sheet'!O83</f>
        <v>2068138412.1100869</v>
      </c>
      <c r="P100" s="2">
        <f>P12/'Output-Calculation-sheet'!P11*'Output-Calculation-sheet'!P83</f>
        <v>4102752993.036099</v>
      </c>
      <c r="Q100" s="2">
        <f>Q12/'Output-Calculation-sheet'!Q11*'Output-Calculation-sheet'!Q83</f>
        <v>2388556978.1456914</v>
      </c>
      <c r="R100" s="2">
        <f>R12/'Output-Calculation-sheet'!R11*'Output-Calculation-sheet'!R83</f>
        <v>3103778070.6339998</v>
      </c>
      <c r="S100" s="2">
        <f>S12/'Output-Calculation-sheet'!S11*'Output-Calculation-sheet'!S83</f>
        <v>1969714992.3397703</v>
      </c>
      <c r="T100" s="2">
        <f>T12/'Output-Calculation-sheet'!T11*'Output-Calculation-sheet'!T83</f>
        <v>1218097859.0237803</v>
      </c>
      <c r="U100" s="2">
        <f>U12/'Output-Calculation-sheet'!U11*'Output-Calculation-sheet'!U83</f>
        <v>1149409960.4705353</v>
      </c>
      <c r="V100" s="2">
        <f>V12/'Output-Calculation-sheet'!V11*'Output-Calculation-sheet'!V83</f>
        <v>756828220.53843474</v>
      </c>
      <c r="W100" s="2">
        <f>W12/'Output-Calculation-sheet'!W11*'Output-Calculation-sheet'!W83</f>
        <v>832903864.4378382</v>
      </c>
      <c r="X100" s="2">
        <f>X12/'Output-Calculation-sheet'!X11*'Output-Calculation-sheet'!X83</f>
        <v>407791195.68391359</v>
      </c>
      <c r="Y100" s="2">
        <f>Y12/'Output-Calculation-sheet'!Y11*'Output-Calculation-sheet'!Y83</f>
        <v>435066594.32982457</v>
      </c>
      <c r="AA100" s="2">
        <f t="shared" si="8"/>
        <v>135.19657968677706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1347538237.8677583</v>
      </c>
      <c r="C107" s="2">
        <f>C8/'Output-Calculation-sheet'!C7*'Output-Calculation-sheet'!C88</f>
        <v>22192501005.451626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6924176206.4533482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4777104368.3385801</v>
      </c>
      <c r="N107" s="2">
        <f>N8/'Output-Calculation-sheet'!N7*'Output-Calculation-sheet'!N88</f>
        <v>1598984495.7487285</v>
      </c>
      <c r="O107" s="2">
        <f>O8/'Output-Calculation-sheet'!O7*'Output-Calculation-sheet'!O88</f>
        <v>4312023206.5112476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479426064.27579677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517361932.050937</v>
      </c>
      <c r="Y107" s="2">
        <f>Y8/'Output-Calculation-sheet'!Y7*'Output-Calculation-sheet'!Y88</f>
        <v>0</v>
      </c>
      <c r="AA107" s="2">
        <f t="shared" si="9"/>
        <v>42149.11551669801</v>
      </c>
    </row>
    <row r="108" spans="1:27" x14ac:dyDescent="0.25">
      <c r="A108" s="2">
        <v>2032</v>
      </c>
      <c r="B108" s="2">
        <f>B9/'Output-Calculation-sheet'!B8*'Output-Calculation-sheet'!B89</f>
        <v>5837987602.193162</v>
      </c>
      <c r="C108" s="2">
        <f>C9/'Output-Calculation-sheet'!C8*'Output-Calculation-sheet'!C89</f>
        <v>29265379732.420303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9130596327.0493145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6299317532.0290041</v>
      </c>
      <c r="N108" s="2">
        <f>N9/'Output-Calculation-sheet'!N8*'Output-Calculation-sheet'!N89</f>
        <v>2955567974.6812377</v>
      </c>
      <c r="O108" s="2">
        <f>O9/'Output-Calculation-sheet'!O8*'Output-Calculation-sheet'!O89</f>
        <v>5686288174.1941481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893079627.82874131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682234918.00037742</v>
      </c>
      <c r="Y108" s="2">
        <f>Y9/'Output-Calculation-sheet'!Y8*'Output-Calculation-sheet'!Y89</f>
        <v>0</v>
      </c>
      <c r="AA108" s="2">
        <f t="shared" si="9"/>
        <v>60750.451888396288</v>
      </c>
    </row>
    <row r="109" spans="1:27" x14ac:dyDescent="0.25">
      <c r="A109" s="2">
        <v>2033</v>
      </c>
      <c r="B109" s="2">
        <f>B10/'Output-Calculation-sheet'!B9*'Output-Calculation-sheet'!B90</f>
        <v>14961425485.118046</v>
      </c>
      <c r="C109" s="2">
        <f>C10/'Output-Calculation-sheet'!C9*'Output-Calculation-sheet'!C90</f>
        <v>35359471119.733589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11031907426.097496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7611057442.8485432</v>
      </c>
      <c r="N109" s="2">
        <f>N10/'Output-Calculation-sheet'!N9*'Output-Calculation-sheet'!N90</f>
        <v>4483991261.291502</v>
      </c>
      <c r="O109" s="2">
        <f>O10/'Output-Calculation-sheet'!O9*'Output-Calculation-sheet'!O90</f>
        <v>6550719489.4714622</v>
      </c>
      <c r="P109" s="2">
        <f>P10/'Output-Calculation-sheet'!P9*'Output-Calculation-sheet'!P90</f>
        <v>0</v>
      </c>
      <c r="Q109" s="2">
        <f>Q10/'Output-Calculation-sheet'!Q9*'Output-Calculation-sheet'!Q90</f>
        <v>145951622.67184618</v>
      </c>
      <c r="R109" s="2">
        <f>R10/'Output-Calculation-sheet'!R9*'Output-Calculation-sheet'!R90</f>
        <v>0</v>
      </c>
      <c r="S109" s="2">
        <f>S10/'Output-Calculation-sheet'!S9*'Output-Calculation-sheet'!S90</f>
        <v>1807702022.7405534</v>
      </c>
      <c r="T109" s="2">
        <f>T10/'Output-Calculation-sheet'!T9*'Output-Calculation-sheet'!T90</f>
        <v>-3.0043291953937973E-7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824300548.63628912</v>
      </c>
      <c r="Y109" s="2">
        <f>Y10/'Output-Calculation-sheet'!Y9*'Output-Calculation-sheet'!Y90</f>
        <v>0</v>
      </c>
      <c r="AA109" s="2">
        <f t="shared" si="9"/>
        <v>82776.526418609341</v>
      </c>
    </row>
    <row r="110" spans="1:27" x14ac:dyDescent="0.25">
      <c r="A110" s="2">
        <v>2034</v>
      </c>
      <c r="B110" s="2">
        <f>B11/'Output-Calculation-sheet'!B10*'Output-Calculation-sheet'!B91</f>
        <v>33165586034.371044</v>
      </c>
      <c r="C110" s="2">
        <f>C11/'Output-Calculation-sheet'!C10*'Output-Calculation-sheet'!C91</f>
        <v>36738465854.436432</v>
      </c>
      <c r="D110" s="2">
        <f>D11/'Output-Calculation-sheet'!D10*'Output-Calculation-sheet'!D91</f>
        <v>0</v>
      </c>
      <c r="E110" s="2">
        <f>E11/'Output-Calculation-sheet'!E10*'Output-Calculation-sheet'!E91</f>
        <v>694088764.43883884</v>
      </c>
      <c r="F110" s="2">
        <f>F11/'Output-Calculation-sheet'!F10*'Output-Calculation-sheet'!F91</f>
        <v>0</v>
      </c>
      <c r="G110" s="2">
        <f>G11/'Output-Calculation-sheet'!G10*'Output-Calculation-sheet'!G91</f>
        <v>-1.5646356447418945E-6</v>
      </c>
      <c r="H110" s="2">
        <f>H11/'Output-Calculation-sheet'!H10*'Output-Calculation-sheet'!H91</f>
        <v>12379032206.027891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563560595.06613708</v>
      </c>
      <c r="M110" s="2">
        <f>M11/'Output-Calculation-sheet'!M10*'Output-Calculation-sheet'!M91</f>
        <v>8540455048.739995</v>
      </c>
      <c r="N110" s="2">
        <f>N11/'Output-Calculation-sheet'!N10*'Output-Calculation-sheet'!N91</f>
        <v>5907772934.6538172</v>
      </c>
      <c r="O110" s="2">
        <f>O11/'Output-Calculation-sheet'!O10*'Output-Calculation-sheet'!O91</f>
        <v>6772960595.6926947</v>
      </c>
      <c r="P110" s="2">
        <f>P11/'Output-Calculation-sheet'!P10*'Output-Calculation-sheet'!P91</f>
        <v>6.3052513394682968E-7</v>
      </c>
      <c r="Q110" s="2">
        <f>Q11/'Output-Calculation-sheet'!Q10*'Output-Calculation-sheet'!Q91</f>
        <v>1503486673.0983853</v>
      </c>
      <c r="R110" s="2">
        <f>R11/'Output-Calculation-sheet'!R10*'Output-Calculation-sheet'!R91</f>
        <v>0</v>
      </c>
      <c r="S110" s="2">
        <f>S11/'Output-Calculation-sheet'!S10*'Output-Calculation-sheet'!S91</f>
        <v>2904641368.4645724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843064450.4470253</v>
      </c>
      <c r="Y110" s="2">
        <f>Y11/'Output-Calculation-sheet'!Y10*'Output-Calculation-sheet'!Y91</f>
        <v>37036343.268956929</v>
      </c>
      <c r="AA110" s="2">
        <f t="shared" si="9"/>
        <v>110050.15086870578</v>
      </c>
    </row>
    <row r="111" spans="1:27" x14ac:dyDescent="0.25">
      <c r="A111" s="2">
        <v>2035</v>
      </c>
      <c r="B111" s="2">
        <f>B12/'Output-Calculation-sheet'!B11*'Output-Calculation-sheet'!B92</f>
        <v>43294110265.470436</v>
      </c>
      <c r="C111" s="2">
        <f>C12/'Output-Calculation-sheet'!C11*'Output-Calculation-sheet'!C92</f>
        <v>36376136140.477272</v>
      </c>
      <c r="D111" s="2">
        <f>D12/'Output-Calculation-sheet'!D11*'Output-Calculation-sheet'!D92</f>
        <v>0</v>
      </c>
      <c r="E111" s="2">
        <f>E12/'Output-Calculation-sheet'!E11*'Output-Calculation-sheet'!E92</f>
        <v>4920395417.1746788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12347526538.225246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1583943193.2806458</v>
      </c>
      <c r="M111" s="2">
        <f>M12/'Output-Calculation-sheet'!M11*'Output-Calculation-sheet'!M92</f>
        <v>8548007543.2730961</v>
      </c>
      <c r="N111" s="2">
        <f>N12/'Output-Calculation-sheet'!N11*'Output-Calculation-sheet'!N92</f>
        <v>6128933909.993598</v>
      </c>
      <c r="O111" s="2">
        <f>O12/'Output-Calculation-sheet'!O11*'Output-Calculation-sheet'!O92</f>
        <v>6532396420.4837799</v>
      </c>
      <c r="P111" s="2">
        <f>P12/'Output-Calculation-sheet'!P11*'Output-Calculation-sheet'!P92</f>
        <v>336170662.9079693</v>
      </c>
      <c r="Q111" s="2">
        <f>Q12/'Output-Calculation-sheet'!Q11*'Output-Calculation-sheet'!Q92</f>
        <v>2633119222.6014943</v>
      </c>
      <c r="R111" s="2">
        <f>R12/'Output-Calculation-sheet'!R11*'Output-Calculation-sheet'!R92</f>
        <v>0</v>
      </c>
      <c r="S111" s="2">
        <f>S12/'Output-Calculation-sheet'!S11*'Output-Calculation-sheet'!S92</f>
        <v>3296492680.9664946</v>
      </c>
      <c r="T111" s="2">
        <f>T12/'Output-Calculation-sheet'!T11*'Output-Calculation-sheet'!T92</f>
        <v>0</v>
      </c>
      <c r="U111" s="2">
        <f>U12/'Output-Calculation-sheet'!U11*'Output-Calculation-sheet'!U92</f>
        <v>117087288.75290228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839887576.96705842</v>
      </c>
      <c r="Y111" s="2">
        <f>Y12/'Output-Calculation-sheet'!Y11*'Output-Calculation-sheet'!Y92</f>
        <v>198709988.58198056</v>
      </c>
      <c r="AA111" s="2">
        <f t="shared" si="9"/>
        <v>127152.91684915667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45756022151.418518</v>
      </c>
      <c r="C118" s="2">
        <f>C8/'Output-Calculation-sheet'!C7*'Output-Calculation-sheet'!C97</f>
        <v>0</v>
      </c>
      <c r="D118" s="2">
        <f>D8/'Output-Calculation-sheet'!D7*'Output-Calculation-sheet'!D97</f>
        <v>19784038134.193344</v>
      </c>
      <c r="E118" s="2">
        <f>E8/'Output-Calculation-sheet'!E7*'Output-Calculation-sheet'!E97</f>
        <v>15696626638.631807</v>
      </c>
      <c r="F118" s="2">
        <f>F8/'Output-Calculation-sheet'!F7*'Output-Calculation-sheet'!F97</f>
        <v>10104481835.281401</v>
      </c>
      <c r="G118" s="2">
        <f>G8/'Output-Calculation-sheet'!G7*'Output-Calculation-sheet'!G97</f>
        <v>7099686247.4877567</v>
      </c>
      <c r="H118" s="2">
        <f>H8/'Output-Calculation-sheet'!H7*'Output-Calculation-sheet'!H97</f>
        <v>0</v>
      </c>
      <c r="I118" s="2">
        <f>I8/'Output-Calculation-sheet'!I7*'Output-Calculation-sheet'!I97</f>
        <v>6468373038.8918934</v>
      </c>
      <c r="J118" s="2">
        <f>J8/'Output-Calculation-sheet'!J7*'Output-Calculation-sheet'!J97</f>
        <v>6295868801.6669521</v>
      </c>
      <c r="K118" s="2">
        <f>K8/'Output-Calculation-sheet'!K7*'Output-Calculation-sheet'!K97</f>
        <v>6235510383.4366703</v>
      </c>
      <c r="L118" s="2">
        <f>L8/'Output-Calculation-sheet'!L7*'Output-Calculation-sheet'!L97</f>
        <v>5002207508.5094547</v>
      </c>
      <c r="M118" s="2">
        <f>M8/'Output-Calculation-sheet'!M7*'Output-Calculation-sheet'!M97</f>
        <v>0</v>
      </c>
      <c r="N118" s="2">
        <f>N8/'Output-Calculation-sheet'!N7*'Output-Calculation-sheet'!N97</f>
        <v>3090544437.2571998</v>
      </c>
      <c r="O118" s="2">
        <f>O8/'Output-Calculation-sheet'!O7*'Output-Calculation-sheet'!O97</f>
        <v>0</v>
      </c>
      <c r="P118" s="2">
        <f>P8/'Output-Calculation-sheet'!P7*'Output-Calculation-sheet'!P97</f>
        <v>4269126205.6686525</v>
      </c>
      <c r="Q118" s="2">
        <f>Q8/'Output-Calculation-sheet'!Q7*'Output-Calculation-sheet'!Q97</f>
        <v>4200129430.4841647</v>
      </c>
      <c r="R118" s="2">
        <f>R8/'Output-Calculation-sheet'!R7*'Output-Calculation-sheet'!R97</f>
        <v>4040717677.2337141</v>
      </c>
      <c r="S118" s="2">
        <f>S8/'Output-Calculation-sheet'!S7*'Output-Calculation-sheet'!S97</f>
        <v>2206242629.8164544</v>
      </c>
      <c r="T118" s="2">
        <f>T8/'Output-Calculation-sheet'!T7*'Output-Calculation-sheet'!T97</f>
        <v>1485333363.3704872</v>
      </c>
      <c r="U118" s="2">
        <f>U8/'Output-Calculation-sheet'!U7*'Output-Calculation-sheet'!U97</f>
        <v>1293674353.7728887</v>
      </c>
      <c r="V118" s="2">
        <f>V8/'Output-Calculation-sheet'!V7*'Output-Calculation-sheet'!V97</f>
        <v>996155517.34278035</v>
      </c>
      <c r="W118" s="2">
        <f>W8/'Output-Calculation-sheet'!W7*'Output-Calculation-sheet'!W97</f>
        <v>862449568.91778803</v>
      </c>
      <c r="X118" s="2">
        <f>X8/'Output-Calculation-sheet'!X7*'Output-Calculation-sheet'!X97</f>
        <v>0</v>
      </c>
      <c r="Y118" s="2">
        <f>Y8/'Output-Calculation-sheet'!Y7*'Output-Calculation-sheet'!Y97</f>
        <v>503234345.59970278</v>
      </c>
      <c r="AA118" s="2">
        <f t="shared" si="10"/>
        <v>145390.42226898164</v>
      </c>
    </row>
    <row r="119" spans="1:27" x14ac:dyDescent="0.25">
      <c r="A119" s="2">
        <v>2032</v>
      </c>
      <c r="B119" s="2">
        <f>B9/'Output-Calculation-sheet'!B8*'Output-Calculation-sheet'!B98</f>
        <v>56274902001.153954</v>
      </c>
      <c r="C119" s="2">
        <f>C9/'Output-Calculation-sheet'!C8*'Output-Calculation-sheet'!C98</f>
        <v>0</v>
      </c>
      <c r="D119" s="2">
        <f>D9/'Output-Calculation-sheet'!D8*'Output-Calculation-sheet'!D98</f>
        <v>26088131327.119591</v>
      </c>
      <c r="E119" s="2">
        <f>E9/'Output-Calculation-sheet'!E8*'Output-Calculation-sheet'!E98</f>
        <v>20698280008.61216</v>
      </c>
      <c r="F119" s="2">
        <f>F9/'Output-Calculation-sheet'!F8*'Output-Calculation-sheet'!F98</f>
        <v>13324229717.384197</v>
      </c>
      <c r="G119" s="2">
        <f>G9/'Output-Calculation-sheet'!G8*'Output-Calculation-sheet'!G98</f>
        <v>9361969503.7416553</v>
      </c>
      <c r="H119" s="2">
        <f>H9/'Output-Calculation-sheet'!H8*'Output-Calculation-sheet'!H98</f>
        <v>0</v>
      </c>
      <c r="I119" s="2">
        <f>I9/'Output-Calculation-sheet'!I8*'Output-Calculation-sheet'!I98</f>
        <v>8529491806.8992891</v>
      </c>
      <c r="J119" s="2">
        <f>J9/'Output-Calculation-sheet'!J8*'Output-Calculation-sheet'!J98</f>
        <v>8302016625.5586739</v>
      </c>
      <c r="K119" s="2">
        <f>K9/'Output-Calculation-sheet'!K8*'Output-Calculation-sheet'!K98</f>
        <v>8222426582.235116</v>
      </c>
      <c r="L119" s="2">
        <f>L9/'Output-Calculation-sheet'!L8*'Output-Calculation-sheet'!L98</f>
        <v>6596139061.2600803</v>
      </c>
      <c r="M119" s="2">
        <f>M9/'Output-Calculation-sheet'!M8*'Output-Calculation-sheet'!M98</f>
        <v>0</v>
      </c>
      <c r="N119" s="2">
        <f>N9/'Output-Calculation-sheet'!N8*'Output-Calculation-sheet'!N98</f>
        <v>3227742430.1961203</v>
      </c>
      <c r="O119" s="2">
        <f>O9/'Output-Calculation-sheet'!O8*'Output-Calculation-sheet'!O98</f>
        <v>5.7923658274340168E-7</v>
      </c>
      <c r="P119" s="2">
        <f>P9/'Output-Calculation-sheet'!P8*'Output-Calculation-sheet'!P98</f>
        <v>5629426540.8851223</v>
      </c>
      <c r="Q119" s="2">
        <f>Q9/'Output-Calculation-sheet'!Q8*'Output-Calculation-sheet'!Q98</f>
        <v>5538481434.9978514</v>
      </c>
      <c r="R119" s="2">
        <f>R9/'Output-Calculation-sheet'!R8*'Output-Calculation-sheet'!R98</f>
        <v>5328274285.6191425</v>
      </c>
      <c r="S119" s="2">
        <f>S9/'Output-Calculation-sheet'!S8*'Output-Calculation-sheet'!S98</f>
        <v>2648175342.6832285</v>
      </c>
      <c r="T119" s="2">
        <f>T9/'Output-Calculation-sheet'!T8*'Output-Calculation-sheet'!T98</f>
        <v>1958627733.5455921</v>
      </c>
      <c r="U119" s="2">
        <f>U9/'Output-Calculation-sheet'!U8*'Output-Calculation-sheet'!U98</f>
        <v>1705898167.5565486</v>
      </c>
      <c r="V119" s="2">
        <f>V9/'Output-Calculation-sheet'!V8*'Output-Calculation-sheet'!V98</f>
        <v>1313575707.1970673</v>
      </c>
      <c r="W119" s="2">
        <f>W9/'Output-Calculation-sheet'!W8*'Output-Calculation-sheet'!W98</f>
        <v>1137265266.3316894</v>
      </c>
      <c r="X119" s="2">
        <f>X9/'Output-Calculation-sheet'!X8*'Output-Calculation-sheet'!X98</f>
        <v>0</v>
      </c>
      <c r="Y119" s="2">
        <f>Y9/'Output-Calculation-sheet'!Y8*'Output-Calculation-sheet'!Y98</f>
        <v>663587459.60011601</v>
      </c>
      <c r="AA119" s="2">
        <f t="shared" si="10"/>
        <v>186548.64100257721</v>
      </c>
    </row>
    <row r="120" spans="1:27" x14ac:dyDescent="0.25">
      <c r="A120" s="2">
        <v>2033</v>
      </c>
      <c r="B120" s="2">
        <f>B10/'Output-Calculation-sheet'!B9*'Output-Calculation-sheet'!B99</f>
        <v>60078752383.530777</v>
      </c>
      <c r="C120" s="2">
        <f>C10/'Output-Calculation-sheet'!C9*'Output-Calculation-sheet'!C99</f>
        <v>0</v>
      </c>
      <c r="D120" s="2">
        <f>D10/'Output-Calculation-sheet'!D9*'Output-Calculation-sheet'!D99</f>
        <v>31519652976.782566</v>
      </c>
      <c r="E120" s="2">
        <f>E10/'Output-Calculation-sheet'!E9*'Output-Calculation-sheet'!E99</f>
        <v>25007642865.515732</v>
      </c>
      <c r="F120" s="2">
        <f>F10/'Output-Calculation-sheet'!F9*'Output-Calculation-sheet'!F99</f>
        <v>16098317103.109348</v>
      </c>
      <c r="G120" s="2">
        <f>G10/'Output-Calculation-sheet'!G9*'Output-Calculation-sheet'!G99</f>
        <v>11311119403.032646</v>
      </c>
      <c r="H120" s="2">
        <f>H10/'Output-Calculation-sheet'!H9*'Output-Calculation-sheet'!H99</f>
        <v>0</v>
      </c>
      <c r="I120" s="2">
        <f>I10/'Output-Calculation-sheet'!I9*'Output-Calculation-sheet'!I99</f>
        <v>10305321480.779398</v>
      </c>
      <c r="J120" s="2">
        <f>J10/'Output-Calculation-sheet'!J9*'Output-Calculation-sheet'!J99</f>
        <v>10030486229.931845</v>
      </c>
      <c r="K120" s="2">
        <f>K10/'Output-Calculation-sheet'!K9*'Output-Calculation-sheet'!K99</f>
        <v>9934326676.8808975</v>
      </c>
      <c r="L120" s="2">
        <f>L10/'Output-Calculation-sheet'!L9*'Output-Calculation-sheet'!L99</f>
        <v>7969447069.4382811</v>
      </c>
      <c r="M120" s="2">
        <f>M10/'Output-Calculation-sheet'!M9*'Output-Calculation-sheet'!M99</f>
        <v>0</v>
      </c>
      <c r="N120" s="2">
        <f>N10/'Output-Calculation-sheet'!N9*'Output-Calculation-sheet'!N99</f>
        <v>2986236660.7591257</v>
      </c>
      <c r="O120" s="2">
        <f>O10/'Output-Calculation-sheet'!O9*'Output-Calculation-sheet'!O99</f>
        <v>0</v>
      </c>
      <c r="P120" s="2">
        <f>P10/'Output-Calculation-sheet'!P9*'Output-Calculation-sheet'!P99</f>
        <v>6801109207.0309925</v>
      </c>
      <c r="Q120" s="2">
        <f>Q10/'Output-Calculation-sheet'!Q9*'Output-Calculation-sheet'!Q99</f>
        <v>6545569403.9251862</v>
      </c>
      <c r="R120" s="2">
        <f>R10/'Output-Calculation-sheet'!R9*'Output-Calculation-sheet'!R99</f>
        <v>6437308850.8179922</v>
      </c>
      <c r="S120" s="2">
        <f>S10/'Output-Calculation-sheet'!S9*'Output-Calculation-sheet'!S99</f>
        <v>2470552135.9080596</v>
      </c>
      <c r="T120" s="2">
        <f>T10/'Output-Calculation-sheet'!T9*'Output-Calculation-sheet'!T99</f>
        <v>2366391256.2304101</v>
      </c>
      <c r="U120" s="2">
        <f>U10/'Output-Calculation-sheet'!U9*'Output-Calculation-sheet'!U99</f>
        <v>2061512009.6507194</v>
      </c>
      <c r="V120" s="2">
        <f>V10/'Output-Calculation-sheet'!V9*'Output-Calculation-sheet'!V99</f>
        <v>1587060629.292017</v>
      </c>
      <c r="W120" s="2">
        <f>W10/'Output-Calculation-sheet'!W9*'Output-Calculation-sheet'!W99</f>
        <v>1374042777.5119307</v>
      </c>
      <c r="X120" s="2">
        <f>X10/'Output-Calculation-sheet'!X9*'Output-Calculation-sheet'!X99</f>
        <v>0</v>
      </c>
      <c r="Y120" s="2">
        <f>Y10/'Output-Calculation-sheet'!Y9*'Output-Calculation-sheet'!Y99</f>
        <v>801746755.36881399</v>
      </c>
      <c r="AA120" s="2">
        <f t="shared" si="10"/>
        <v>215686.59587549674</v>
      </c>
    </row>
    <row r="121" spans="1:27" x14ac:dyDescent="0.25">
      <c r="A121" s="2">
        <v>2034</v>
      </c>
      <c r="B121" s="2">
        <f>B11/'Output-Calculation-sheet'!B10*'Output-Calculation-sheet'!B100</f>
        <v>51030523989.319138</v>
      </c>
      <c r="C121" s="2">
        <f>C11/'Output-Calculation-sheet'!C10*'Output-Calculation-sheet'!C100</f>
        <v>0</v>
      </c>
      <c r="D121" s="2">
        <f>D11/'Output-Calculation-sheet'!D10*'Output-Calculation-sheet'!D100</f>
        <v>35367806117.545685</v>
      </c>
      <c r="E121" s="2">
        <f>E11/'Output-Calculation-sheet'!E10*'Output-Calculation-sheet'!E100</f>
        <v>27365485803.393681</v>
      </c>
      <c r="F121" s="2">
        <f>F11/'Output-Calculation-sheet'!F10*'Output-Calculation-sheet'!F100</f>
        <v>18063621800.943531</v>
      </c>
      <c r="G121" s="2">
        <f>G11/'Output-Calculation-sheet'!G10*'Output-Calculation-sheet'!G100</f>
        <v>12691374345.428879</v>
      </c>
      <c r="H121" s="2">
        <f>H11/'Output-Calculation-sheet'!H10*'Output-Calculation-sheet'!H100</f>
        <v>1.5278985598521728E-7</v>
      </c>
      <c r="I121" s="2">
        <f>I11/'Output-Calculation-sheet'!I10*'Output-Calculation-sheet'!I100</f>
        <v>11563062571.353622</v>
      </c>
      <c r="J121" s="2">
        <f>J11/'Output-Calculation-sheet'!J10*'Output-Calculation-sheet'!J100</f>
        <v>11254791087.939465</v>
      </c>
      <c r="K121" s="2">
        <f>K11/'Output-Calculation-sheet'!K10*'Output-Calculation-sheet'!K100</f>
        <v>11147187579.242992</v>
      </c>
      <c r="L121" s="2">
        <f>L11/'Output-Calculation-sheet'!L10*'Output-Calculation-sheet'!L100</f>
        <v>8378587024.3149567</v>
      </c>
      <c r="M121" s="2">
        <f>M11/'Output-Calculation-sheet'!M10*'Output-Calculation-sheet'!M100</f>
        <v>-9.9224824552085368E-8</v>
      </c>
      <c r="N121" s="2">
        <f>N11/'Output-Calculation-sheet'!N10*'Output-Calculation-sheet'!N100</f>
        <v>2474656862.0292697</v>
      </c>
      <c r="O121" s="2">
        <f>O11/'Output-Calculation-sheet'!O10*'Output-Calculation-sheet'!O100</f>
        <v>0</v>
      </c>
      <c r="P121" s="2">
        <f>P11/'Output-Calculation-sheet'!P10*'Output-Calculation-sheet'!P100</f>
        <v>7631124664.9802322</v>
      </c>
      <c r="Q121" s="2">
        <f>Q11/'Output-Calculation-sheet'!Q10*'Output-Calculation-sheet'!Q100</f>
        <v>6004370828.9996529</v>
      </c>
      <c r="R121" s="2">
        <f>R11/'Output-Calculation-sheet'!R10*'Output-Calculation-sheet'!R100</f>
        <v>7222911443.7662058</v>
      </c>
      <c r="S121" s="2">
        <f>S11/'Output-Calculation-sheet'!S10*'Output-Calculation-sheet'!S100</f>
        <v>1895894439.292556</v>
      </c>
      <c r="T121" s="2">
        <f>T11/'Output-Calculation-sheet'!T10*'Output-Calculation-sheet'!T100</f>
        <v>2655139223.660069</v>
      </c>
      <c r="U121" s="2">
        <f>U11/'Output-Calculation-sheet'!U10*'Output-Calculation-sheet'!U100</f>
        <v>2313940006.2860012</v>
      </c>
      <c r="V121" s="2">
        <f>V11/'Output-Calculation-sheet'!V10*'Output-Calculation-sheet'!V100</f>
        <v>1780821033.1451435</v>
      </c>
      <c r="W121" s="2">
        <f>W11/'Output-Calculation-sheet'!W10*'Output-Calculation-sheet'!W100</f>
        <v>1541841911.5507326</v>
      </c>
      <c r="X121" s="2">
        <f>X11/'Output-Calculation-sheet'!X10*'Output-Calculation-sheet'!X100</f>
        <v>81892994.106657177</v>
      </c>
      <c r="Y121" s="2">
        <f>Y11/'Output-Calculation-sheet'!Y10*'Output-Calculation-sheet'!Y100</f>
        <v>862577256.37346244</v>
      </c>
      <c r="AA121" s="2">
        <f t="shared" si="10"/>
        <v>221327.61098367191</v>
      </c>
    </row>
    <row r="122" spans="1:27" x14ac:dyDescent="0.25">
      <c r="A122" s="2">
        <v>2035</v>
      </c>
      <c r="B122" s="2">
        <f>B12/'Output-Calculation-sheet'!B11*'Output-Calculation-sheet'!B101</f>
        <v>42386793768.180168</v>
      </c>
      <c r="C122" s="2">
        <f>C12/'Output-Calculation-sheet'!C11*'Output-Calculation-sheet'!C101</f>
        <v>0</v>
      </c>
      <c r="D122" s="2">
        <f>D12/'Output-Calculation-sheet'!D11*'Output-Calculation-sheet'!D101</f>
        <v>35526608966.486092</v>
      </c>
      <c r="E122" s="2">
        <f>E12/'Output-Calculation-sheet'!E11*'Output-Calculation-sheet'!E101</f>
        <v>23922026835.4744</v>
      </c>
      <c r="F122" s="2">
        <f>F12/'Output-Calculation-sheet'!F11*'Output-Calculation-sheet'!F101</f>
        <v>18518322641.691666</v>
      </c>
      <c r="G122" s="2">
        <f>G12/'Output-Calculation-sheet'!G11*'Output-Calculation-sheet'!G101</f>
        <v>12619463525.158312</v>
      </c>
      <c r="H122" s="2">
        <f>H12/'Output-Calculation-sheet'!H11*'Output-Calculation-sheet'!H101</f>
        <v>0</v>
      </c>
      <c r="I122" s="2">
        <f>I12/'Output-Calculation-sheet'!I11*'Output-Calculation-sheet'!I101</f>
        <v>11816663274.029047</v>
      </c>
      <c r="J122" s="2">
        <f>J12/'Output-Calculation-sheet'!J11*'Output-Calculation-sheet'!J101</f>
        <v>11293977315.590464</v>
      </c>
      <c r="K122" s="2">
        <f>K12/'Output-Calculation-sheet'!K11*'Output-Calculation-sheet'!K101</f>
        <v>11403987031.491261</v>
      </c>
      <c r="L122" s="2">
        <f>L12/'Output-Calculation-sheet'!L11*'Output-Calculation-sheet'!L101</f>
        <v>7589756775.7844677</v>
      </c>
      <c r="M122" s="2">
        <f>M12/'Output-Calculation-sheet'!M11*'Output-Calculation-sheet'!M101</f>
        <v>0</v>
      </c>
      <c r="N122" s="2">
        <f>N12/'Output-Calculation-sheet'!N11*'Output-Calculation-sheet'!N101</f>
        <v>2236033023.2716341</v>
      </c>
      <c r="O122" s="2">
        <f>O12/'Output-Calculation-sheet'!O11*'Output-Calculation-sheet'!O101</f>
        <v>0</v>
      </c>
      <c r="P122" s="2">
        <f>P12/'Output-Calculation-sheet'!P11*'Output-Calculation-sheet'!P101</f>
        <v>7484021473.2530079</v>
      </c>
      <c r="Q122" s="2">
        <f>Q12/'Output-Calculation-sheet'!Q11*'Output-Calculation-sheet'!Q101</f>
        <v>4874612578.570611</v>
      </c>
      <c r="R122" s="2">
        <f>R12/'Output-Calculation-sheet'!R11*'Output-Calculation-sheet'!R101</f>
        <v>7383421278.6029491</v>
      </c>
      <c r="S122" s="2">
        <f>S12/'Output-Calculation-sheet'!S11*'Output-Calculation-sheet'!S101</f>
        <v>1552529079.2174208</v>
      </c>
      <c r="T122" s="2">
        <f>T12/'Output-Calculation-sheet'!T11*'Output-Calculation-sheet'!T101</f>
        <v>2735559732.3412137</v>
      </c>
      <c r="U122" s="2">
        <f>U12/'Output-Calculation-sheet'!U11*'Output-Calculation-sheet'!U101</f>
        <v>2241291791.7313299</v>
      </c>
      <c r="V122" s="2">
        <f>V12/'Output-Calculation-sheet'!V11*'Output-Calculation-sheet'!V101</f>
        <v>1845112561.6914408</v>
      </c>
      <c r="W122" s="2">
        <f>W12/'Output-Calculation-sheet'!W11*'Output-Calculation-sheet'!W101</f>
        <v>1591316537.1590204</v>
      </c>
      <c r="X122" s="2">
        <f>X12/'Output-Calculation-sheet'!X11*'Output-Calculation-sheet'!X101</f>
        <v>76911555.800085723</v>
      </c>
      <c r="Y122" s="2">
        <f>Y12/'Output-Calculation-sheet'!Y11*'Output-Calculation-sheet'!Y101</f>
        <v>718320849.35989523</v>
      </c>
      <c r="AA122" s="2">
        <f t="shared" si="10"/>
        <v>207816.73059488446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47103561247.085358</v>
      </c>
      <c r="C129" s="2">
        <f>C8/'Output-Calculation-sheet'!C7*'Output-Calculation-sheet'!C106</f>
        <v>22197572679.247921</v>
      </c>
      <c r="D129" s="2">
        <f>D8/'Output-Calculation-sheet'!D7*'Output-Calculation-sheet'!D106</f>
        <v>19784038134.193344</v>
      </c>
      <c r="E129" s="2">
        <f>E8/'Output-Calculation-sheet'!E7*'Output-Calculation-sheet'!E106</f>
        <v>15696626638.631807</v>
      </c>
      <c r="F129" s="2">
        <f>F8/'Output-Calculation-sheet'!F7*'Output-Calculation-sheet'!F106</f>
        <v>10104481835.281401</v>
      </c>
      <c r="G129" s="2">
        <f>G8/'Output-Calculation-sheet'!G7*'Output-Calculation-sheet'!G106</f>
        <v>7099686247.4877567</v>
      </c>
      <c r="H129" s="2">
        <f>H8/'Output-Calculation-sheet'!H7*'Output-Calculation-sheet'!H106</f>
        <v>6925471400.3069258</v>
      </c>
      <c r="I129" s="2">
        <f>I8/'Output-Calculation-sheet'!I7*'Output-Calculation-sheet'!I106</f>
        <v>6468373038.8918934</v>
      </c>
      <c r="J129" s="2">
        <f>J8/'Output-Calculation-sheet'!J7*'Output-Calculation-sheet'!J106</f>
        <v>6295868801.6669521</v>
      </c>
      <c r="K129" s="2">
        <f>K8/'Output-Calculation-sheet'!K7*'Output-Calculation-sheet'!K106</f>
        <v>6235510383.4366703</v>
      </c>
      <c r="L129" s="2">
        <f>L8/'Output-Calculation-sheet'!L7*'Output-Calculation-sheet'!L106</f>
        <v>5002207508.5094547</v>
      </c>
      <c r="M129" s="2">
        <f>M8/'Output-Calculation-sheet'!M7*'Output-Calculation-sheet'!M106</f>
        <v>4777971551.3948212</v>
      </c>
      <c r="N129" s="2">
        <f>N8/'Output-Calculation-sheet'!N7*'Output-Calculation-sheet'!N106</f>
        <v>4689566187.1355095</v>
      </c>
      <c r="O129" s="2">
        <f>O8/'Output-Calculation-sheet'!O7*'Output-Calculation-sheet'!O106</f>
        <v>4313006800.4386902</v>
      </c>
      <c r="P129" s="2">
        <f>P8/'Output-Calculation-sheet'!P7*'Output-Calculation-sheet'!P106</f>
        <v>4269126205.6686525</v>
      </c>
      <c r="Q129" s="2">
        <f>Q8/'Output-Calculation-sheet'!Q7*'Output-Calculation-sheet'!Q106</f>
        <v>4200129430.4841647</v>
      </c>
      <c r="R129" s="2">
        <f>R8/'Output-Calculation-sheet'!R7*'Output-Calculation-sheet'!R106</f>
        <v>4040717677.2337141</v>
      </c>
      <c r="S129" s="2">
        <f>S8/'Output-Calculation-sheet'!S7*'Output-Calculation-sheet'!S106</f>
        <v>2685667964.8870497</v>
      </c>
      <c r="T129" s="2">
        <f>T8/'Output-Calculation-sheet'!T7*'Output-Calculation-sheet'!T106</f>
        <v>1485333363.3704872</v>
      </c>
      <c r="U129" s="2">
        <f>U8/'Output-Calculation-sheet'!U7*'Output-Calculation-sheet'!U106</f>
        <v>1293674353.7728887</v>
      </c>
      <c r="V129" s="2">
        <f>V8/'Output-Calculation-sheet'!V7*'Output-Calculation-sheet'!V106</f>
        <v>996155517.34278035</v>
      </c>
      <c r="W129" s="2">
        <f>W8/'Output-Calculation-sheet'!W7*'Output-Calculation-sheet'!W106</f>
        <v>862449568.91778803</v>
      </c>
      <c r="X129" s="2">
        <f>X8/'Output-Calculation-sheet'!X7*'Output-Calculation-sheet'!X106</f>
        <v>517469843.11135215</v>
      </c>
      <c r="Y129" s="2">
        <f>Y8/'Output-Calculation-sheet'!Y7*'Output-Calculation-sheet'!Y106</f>
        <v>503234345.59970278</v>
      </c>
      <c r="AA129" s="2">
        <f t="shared" si="11"/>
        <v>187547.90072409707</v>
      </c>
    </row>
    <row r="130" spans="1:27" x14ac:dyDescent="0.25">
      <c r="A130" s="2">
        <v>2032</v>
      </c>
      <c r="B130" s="2">
        <f>B9/'Output-Calculation-sheet'!B8*'Output-Calculation-sheet'!B107</f>
        <v>37267739194.549774</v>
      </c>
      <c r="C130" s="2">
        <f>C9/'Output-Calculation-sheet'!C8*'Output-Calculation-sheet'!C107</f>
        <v>17562430587.258366</v>
      </c>
      <c r="D130" s="2">
        <f>D9/'Output-Calculation-sheet'!D8*'Output-Calculation-sheet'!D107</f>
        <v>15652875533.367952</v>
      </c>
      <c r="E130" s="2">
        <f>E9/'Output-Calculation-sheet'!E8*'Output-Calculation-sheet'!E107</f>
        <v>12418966708.598196</v>
      </c>
      <c r="F130" s="2">
        <f>F9/'Output-Calculation-sheet'!F8*'Output-Calculation-sheet'!F107</f>
        <v>7994538645.8835716</v>
      </c>
      <c r="G130" s="2">
        <f>G9/'Output-Calculation-sheet'!G8*'Output-Calculation-sheet'!G107</f>
        <v>5617182287.481842</v>
      </c>
      <c r="H130" s="2">
        <f>H9/'Output-Calculation-sheet'!H8*'Output-Calculation-sheet'!H107</f>
        <v>5479344268.6891861</v>
      </c>
      <c r="I130" s="2">
        <f>I9/'Output-Calculation-sheet'!I8*'Output-Calculation-sheet'!I107</f>
        <v>5117694557.7539692</v>
      </c>
      <c r="J130" s="2">
        <f>J9/'Output-Calculation-sheet'!J8*'Output-Calculation-sheet'!J107</f>
        <v>4981209454.3862772</v>
      </c>
      <c r="K130" s="2">
        <f>K9/'Output-Calculation-sheet'!K8*'Output-Calculation-sheet'!K107</f>
        <v>4933455949.3410692</v>
      </c>
      <c r="L130" s="2">
        <f>L9/'Output-Calculation-sheet'!L8*'Output-Calculation-sheet'!L107</f>
        <v>3957683025.3807855</v>
      </c>
      <c r="M130" s="2">
        <f>M9/'Output-Calculation-sheet'!M8*'Output-Calculation-sheet'!M107</f>
        <v>3780270869.2372885</v>
      </c>
      <c r="N130" s="2">
        <f>N9/'Output-Calculation-sheet'!N8*'Output-Calculation-sheet'!N107</f>
        <v>3710323264.2773633</v>
      </c>
      <c r="O130" s="2">
        <f>O9/'Output-Calculation-sheet'!O8*'Output-Calculation-sheet'!O107</f>
        <v>3412396185.6428699</v>
      </c>
      <c r="P130" s="2">
        <f>P9/'Output-Calculation-sheet'!P8*'Output-Calculation-sheet'!P107</f>
        <v>3377677531.0921001</v>
      </c>
      <c r="Q130" s="2">
        <f>Q9/'Output-Calculation-sheet'!Q8*'Output-Calculation-sheet'!Q107</f>
        <v>3323089868.7850738</v>
      </c>
      <c r="R130" s="2">
        <f>R9/'Output-Calculation-sheet'!R8*'Output-Calculation-sheet'!R107</f>
        <v>3196964904.5075159</v>
      </c>
      <c r="S130" s="2">
        <f>S9/'Output-Calculation-sheet'!S8*'Output-Calculation-sheet'!S107</f>
        <v>2124866369.8191676</v>
      </c>
      <c r="T130" s="2">
        <f>T9/'Output-Calculation-sheet'!T8*'Output-Calculation-sheet'!T107</f>
        <v>1175176886.6246083</v>
      </c>
      <c r="U130" s="2">
        <f>U9/'Output-Calculation-sheet'!U8*'Output-Calculation-sheet'!U107</f>
        <v>1023538578.9885025</v>
      </c>
      <c r="V130" s="2">
        <f>V9/'Output-Calculation-sheet'!V8*'Output-Calculation-sheet'!V107</f>
        <v>788145176.37755382</v>
      </c>
      <c r="W130" s="2">
        <f>W9/'Output-Calculation-sheet'!W8*'Output-Calculation-sheet'!W107</f>
        <v>682359231.3650099</v>
      </c>
      <c r="X130" s="2">
        <f>X9/'Output-Calculation-sheet'!X8*'Output-Calculation-sheet'!X107</f>
        <v>409415458.48686486</v>
      </c>
      <c r="Y130" s="2">
        <f>Y9/'Output-Calculation-sheet'!Y8*'Output-Calculation-sheet'!Y107</f>
        <v>398152517.05892062</v>
      </c>
      <c r="AA130" s="2">
        <f t="shared" si="11"/>
        <v>148385.49705495383</v>
      </c>
    </row>
    <row r="131" spans="1:27" x14ac:dyDescent="0.25">
      <c r="A131" s="2">
        <v>2033</v>
      </c>
      <c r="B131" s="2">
        <f>B10/'Output-Calculation-sheet'!B9*'Output-Calculation-sheet'!B108</f>
        <v>25014918267.013206</v>
      </c>
      <c r="C131" s="2">
        <f>C10/'Output-Calculation-sheet'!C9*'Output-Calculation-sheet'!C108</f>
        <v>11788285955.186335</v>
      </c>
      <c r="D131" s="2">
        <f>D10/'Output-Calculation-sheet'!D9*'Output-Calculation-sheet'!D108</f>
        <v>10506553729.925268</v>
      </c>
      <c r="E131" s="2">
        <f>E10/'Output-Calculation-sheet'!E9*'Output-Calculation-sheet'!E108</f>
        <v>8335880955.1719112</v>
      </c>
      <c r="F131" s="2">
        <f>F10/'Output-Calculation-sheet'!F9*'Output-Calculation-sheet'!F108</f>
        <v>5366105701.0364494</v>
      </c>
      <c r="G131" s="2">
        <f>G10/'Output-Calculation-sheet'!G9*'Output-Calculation-sheet'!G108</f>
        <v>3770373134.3442154</v>
      </c>
      <c r="H131" s="2">
        <f>H10/'Output-Calculation-sheet'!H9*'Output-Calculation-sheet'!H108</f>
        <v>3677854260.0563669</v>
      </c>
      <c r="I131" s="2">
        <f>I10/'Output-Calculation-sheet'!I9*'Output-Calculation-sheet'!I108</f>
        <v>3435108043.5632772</v>
      </c>
      <c r="J131" s="2">
        <f>J10/'Output-Calculation-sheet'!J9*'Output-Calculation-sheet'!J108</f>
        <v>3343496284.1577206</v>
      </c>
      <c r="K131" s="2">
        <f>K10/'Output-Calculation-sheet'!K9*'Output-Calculation-sheet'!K108</f>
        <v>3311442225.626966</v>
      </c>
      <c r="L131" s="2">
        <f>L10/'Output-Calculation-sheet'!L9*'Output-Calculation-sheet'!L108</f>
        <v>2656483046.7893386</v>
      </c>
      <c r="M131" s="2">
        <f>M10/'Output-Calculation-sheet'!M9*'Output-Calculation-sheet'!M108</f>
        <v>2537398829.4784927</v>
      </c>
      <c r="N131" s="2">
        <f>N10/'Output-Calculation-sheet'!N9*'Output-Calculation-sheet'!N108</f>
        <v>2490449140.3627863</v>
      </c>
      <c r="O131" s="2">
        <f>O10/'Output-Calculation-sheet'!O9*'Output-Calculation-sheet'!O108</f>
        <v>2752562848.587862</v>
      </c>
      <c r="P131" s="2">
        <f>P10/'Output-Calculation-sheet'!P9*'Output-Calculation-sheet'!P108</f>
        <v>2267171325.8463173</v>
      </c>
      <c r="Q131" s="2">
        <f>Q10/'Output-Calculation-sheet'!Q9*'Output-Calculation-sheet'!Q108</f>
        <v>2230529718.7294912</v>
      </c>
      <c r="R131" s="2">
        <f>R10/'Output-Calculation-sheet'!R9*'Output-Calculation-sheet'!R108</f>
        <v>2145871358.6255603</v>
      </c>
      <c r="S131" s="2">
        <f>S10/'Output-Calculation-sheet'!S9*'Output-Calculation-sheet'!S108</f>
        <v>1426256586.1754398</v>
      </c>
      <c r="T131" s="2">
        <f>T10/'Output-Calculation-sheet'!T9*'Output-Calculation-sheet'!T108</f>
        <v>788803703.58142102</v>
      </c>
      <c r="U131" s="2">
        <f>U10/'Output-Calculation-sheet'!U9*'Output-Calculation-sheet'!U108</f>
        <v>687021208.82896459</v>
      </c>
      <c r="V131" s="2">
        <f>V10/'Output-Calculation-sheet'!V9*'Output-Calculation-sheet'!V108</f>
        <v>529020071.07805085</v>
      </c>
      <c r="W131" s="2">
        <f>W10/'Output-Calculation-sheet'!W9*'Output-Calculation-sheet'!W108</f>
        <v>458014139.07903618</v>
      </c>
      <c r="X131" s="2">
        <f>X10/'Output-Calculation-sheet'!X9*'Output-Calculation-sheet'!X108</f>
        <v>274808429.76786178</v>
      </c>
      <c r="Y131" s="2">
        <f>Y10/'Output-Calculation-sheet'!Y9*'Output-Calculation-sheet'!Y108</f>
        <v>267248502.6460551</v>
      </c>
      <c r="AA131" s="2">
        <f t="shared" si="11"/>
        <v>100061.65746565841</v>
      </c>
    </row>
    <row r="132" spans="1:27" x14ac:dyDescent="0.25">
      <c r="A132" s="2">
        <v>2034</v>
      </c>
      <c r="B132" s="2">
        <f>B11/'Output-Calculation-sheet'!B10*'Output-Calculation-sheet'!B109</f>
        <v>12029537819.825062</v>
      </c>
      <c r="C132" s="2">
        <f>C11/'Output-Calculation-sheet'!C10*'Output-Calculation-sheet'!C109</f>
        <v>10944134567.465744</v>
      </c>
      <c r="D132" s="2">
        <f>D11/'Output-Calculation-sheet'!D10*'Output-Calculation-sheet'!D109</f>
        <v>5052544408.1496534</v>
      </c>
      <c r="E132" s="2">
        <f>E11/'Output-Calculation-sheet'!E10*'Output-Calculation-sheet'!E109</f>
        <v>4008680958.4766135</v>
      </c>
      <c r="F132" s="2">
        <f>F11/'Output-Calculation-sheet'!F10*'Output-Calculation-sheet'!F109</f>
        <v>2580531783.0950232</v>
      </c>
      <c r="G132" s="2">
        <f>G11/'Output-Calculation-sheet'!G10*'Output-Calculation-sheet'!G109</f>
        <v>1813152734.9460068</v>
      </c>
      <c r="H132" s="2">
        <f>H11/'Output-Calculation-sheet'!H10*'Output-Calculation-sheet'!H109</f>
        <v>1768660615.4317379</v>
      </c>
      <c r="I132" s="2">
        <f>I11/'Output-Calculation-sheet'!I10*'Output-Calculation-sheet'!I109</f>
        <v>1651924737.1137371</v>
      </c>
      <c r="J132" s="2">
        <f>J11/'Output-Calculation-sheet'!J10*'Output-Calculation-sheet'!J109</f>
        <v>1607869385.1953733</v>
      </c>
      <c r="K132" s="2">
        <f>K11/'Output-Calculation-sheet'!K10*'Output-Calculation-sheet'!K109</f>
        <v>1592455261.109252</v>
      </c>
      <c r="L132" s="2">
        <f>L11/'Output-Calculation-sheet'!L10*'Output-Calculation-sheet'!L109</f>
        <v>1277488414.614893</v>
      </c>
      <c r="M132" s="2">
        <f>M11/'Output-Calculation-sheet'!M10*'Output-Calculation-sheet'!M109</f>
        <v>1220221645.0176637</v>
      </c>
      <c r="N132" s="2">
        <f>N11/'Output-Calculation-sheet'!N10*'Output-Calculation-sheet'!N109</f>
        <v>1197644159.7103357</v>
      </c>
      <c r="O132" s="2">
        <f>O11/'Output-Calculation-sheet'!O10*'Output-Calculation-sheet'!O109</f>
        <v>2464628401.3451056</v>
      </c>
      <c r="P132" s="2">
        <f>P11/'Output-Calculation-sheet'!P10*'Output-Calculation-sheet'!P109</f>
        <v>1090270328.1392031</v>
      </c>
      <c r="Q132" s="2">
        <f>Q11/'Output-Calculation-sheet'!Q10*'Output-Calculation-sheet'!Q109</f>
        <v>1072649753.8820283</v>
      </c>
      <c r="R132" s="2">
        <f>R11/'Output-Calculation-sheet'!R10*'Output-Calculation-sheet'!R109</f>
        <v>1031938321.2743509</v>
      </c>
      <c r="S132" s="2">
        <f>S11/'Output-Calculation-sheet'!S10*'Output-Calculation-sheet'!S109</f>
        <v>685879124.54352498</v>
      </c>
      <c r="T132" s="2">
        <f>T11/'Output-Calculation-sheet'!T10*'Output-Calculation-sheet'!T109</f>
        <v>379331638.54036921</v>
      </c>
      <c r="U132" s="2">
        <f>U11/'Output-Calculation-sheet'!U10*'Output-Calculation-sheet'!U109</f>
        <v>330384908.96235847</v>
      </c>
      <c r="V132" s="2">
        <f>V11/'Output-Calculation-sheet'!V10*'Output-Calculation-sheet'!V109</f>
        <v>254402987.58530438</v>
      </c>
      <c r="W132" s="2">
        <f>W11/'Output-Calculation-sheet'!W10*'Output-Calculation-sheet'!W109</f>
        <v>220256605.96141413</v>
      </c>
      <c r="X132" s="2">
        <f>X11/'Output-Calculation-sheet'!X10*'Output-Calculation-sheet'!X109</f>
        <v>132153958.41400537</v>
      </c>
      <c r="Y132" s="2">
        <f>Y11/'Output-Calculation-sheet'!Y10*'Output-Calculation-sheet'!Y109</f>
        <v>128518428.09055972</v>
      </c>
      <c r="AA132" s="2">
        <f t="shared" si="11"/>
        <v>54535.260946889321</v>
      </c>
    </row>
    <row r="133" spans="1:27" x14ac:dyDescent="0.25">
      <c r="A133" s="2">
        <v>2035</v>
      </c>
      <c r="B133" s="2">
        <f>B12/'Output-Calculation-sheet'!B11*'Output-Calculation-sheet'!B110</f>
        <v>4824308589.5516758</v>
      </c>
      <c r="C133" s="2">
        <f>C12/'Output-Calculation-sheet'!C11*'Output-Calculation-sheet'!C110</f>
        <v>9265007926.0333233</v>
      </c>
      <c r="D133" s="2">
        <f>D12/'Output-Calculation-sheet'!D11*'Output-Calculation-sheet'!D110</f>
        <v>2394756368.799665</v>
      </c>
      <c r="E133" s="2">
        <f>E12/'Output-Calculation-sheet'!E11*'Output-Calculation-sheet'!E110</f>
        <v>1216834296.254981</v>
      </c>
      <c r="F133" s="2">
        <f>F12/'Output-Calculation-sheet'!F11*'Output-Calculation-sheet'!F110</f>
        <v>823717174.02481329</v>
      </c>
      <c r="G133" s="2">
        <f>G12/'Output-Calculation-sheet'!G11*'Output-Calculation-sheet'!G110</f>
        <v>1040908991.7258956</v>
      </c>
      <c r="H133" s="2">
        <f>H12/'Output-Calculation-sheet'!H11*'Output-Calculation-sheet'!H110</f>
        <v>1227915039.854387</v>
      </c>
      <c r="I133" s="2">
        <f>I12/'Output-Calculation-sheet'!I11*'Output-Calculation-sheet'!I110</f>
        <v>575229491.52181208</v>
      </c>
      <c r="J133" s="2">
        <f>J12/'Output-Calculation-sheet'!J11*'Output-Calculation-sheet'!J110</f>
        <v>695976957.23943555</v>
      </c>
      <c r="K133" s="2">
        <f>K12/'Output-Calculation-sheet'!K11*'Output-Calculation-sheet'!K110</f>
        <v>527734692.0469749</v>
      </c>
      <c r="L133" s="2">
        <f>L12/'Output-Calculation-sheet'!L11*'Output-Calculation-sheet'!L110</f>
        <v>339137265.44828832</v>
      </c>
      <c r="M133" s="2">
        <f>M12/'Output-Calculation-sheet'!M11*'Output-Calculation-sheet'!M110</f>
        <v>763750798.20130217</v>
      </c>
      <c r="N133" s="2">
        <f>N12/'Output-Calculation-sheet'!N11*'Output-Calculation-sheet'!N110</f>
        <v>635468579.83839393</v>
      </c>
      <c r="O133" s="2">
        <f>O12/'Output-Calculation-sheet'!O11*'Output-Calculation-sheet'!O110</f>
        <v>2244262686.1599755</v>
      </c>
      <c r="P133" s="2">
        <f>P12/'Output-Calculation-sheet'!P11*'Output-Calculation-sheet'!P110</f>
        <v>443975861.30048031</v>
      </c>
      <c r="Q133" s="2">
        <f>Q12/'Output-Calculation-sheet'!Q11*'Output-Calculation-sheet'!Q110</f>
        <v>552999914.51282048</v>
      </c>
      <c r="R133" s="2">
        <f>R12/'Output-Calculation-sheet'!R11*'Output-Calculation-sheet'!R110</f>
        <v>347993777.06048006</v>
      </c>
      <c r="S133" s="2">
        <f>S12/'Output-Calculation-sheet'!S11*'Output-Calculation-sheet'!S110</f>
        <v>334590437.43537402</v>
      </c>
      <c r="T133" s="2">
        <f>T12/'Output-Calculation-sheet'!T11*'Output-Calculation-sheet'!T110</f>
        <v>90520401.138409987</v>
      </c>
      <c r="U133" s="2">
        <f>U12/'Output-Calculation-sheet'!U11*'Output-Calculation-sheet'!U110</f>
        <v>147146784.6444194</v>
      </c>
      <c r="V133" s="2">
        <f>V12/'Output-Calculation-sheet'!V11*'Output-Calculation-sheet'!V110</f>
        <v>37132403.206769042</v>
      </c>
      <c r="W133" s="2">
        <f>W12/'Output-Calculation-sheet'!W11*'Output-Calculation-sheet'!W110</f>
        <v>60538624.617364593</v>
      </c>
      <c r="X133" s="2">
        <f>X12/'Output-Calculation-sheet'!X11*'Output-Calculation-sheet'!X110</f>
        <v>106019354.59790674</v>
      </c>
      <c r="Y133" s="2">
        <f>Y12/'Output-Calculation-sheet'!Y11*'Output-Calculation-sheet'!Y110</f>
        <v>55708875.832492925</v>
      </c>
      <c r="AA133" s="2">
        <f t="shared" si="11"/>
        <v>28751.635291047438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1064.2096895669563</v>
      </c>
      <c r="C19" s="2">
        <f>C8/'Output-Calculation-sheet'!C7*'Output-Calculation-sheet'!C25</f>
        <v>16043.125441453518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4775.608127466222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3317.6844960944331</v>
      </c>
      <c r="N19" s="2">
        <f>N8/'Output-Calculation-sheet'!N7*'Output-Calculation-sheet'!N25</f>
        <v>1135.8530562842179</v>
      </c>
      <c r="O19" s="2">
        <f>O8/'Output-Calculation-sheet'!O7*'Output-Calculation-sheet'!O25</f>
        <v>3102.6704745794168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405.29030125867206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370.6850052419274</v>
      </c>
      <c r="Y19" s="2">
        <f>Y8/'Output-Calculation-sheet'!Y7*'Output-Calculation-sheet'!Y25</f>
        <v>0</v>
      </c>
      <c r="AA19" s="2">
        <f t="shared" si="0"/>
        <v>30.21512659194536</v>
      </c>
    </row>
    <row r="20" spans="1:27" x14ac:dyDescent="0.25">
      <c r="A20" s="2">
        <v>2032</v>
      </c>
      <c r="B20" s="2">
        <f>B9/'Output-Calculation-sheet'!B8*'Output-Calculation-sheet'!B26</f>
        <v>6033.7681656120976</v>
      </c>
      <c r="C20" s="2">
        <f>C9/'Output-Calculation-sheet'!C8*'Output-Calculation-sheet'!C26</f>
        <v>22096.514689675965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6564.5569098291699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4561.6140893333686</v>
      </c>
      <c r="N20" s="2">
        <f>N9/'Output-Calculation-sheet'!N8*'Output-Calculation-sheet'!N26</f>
        <v>2053.8442737799769</v>
      </c>
      <c r="O20" s="2">
        <f>O9/'Output-Calculation-sheet'!O8*'Output-Calculation-sheet'!O26</f>
        <v>4305.4095912755593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748.09456352463235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510.26409609200846</v>
      </c>
      <c r="Y20" s="2">
        <f>Y9/'Output-Calculation-sheet'!Y8*'Output-Calculation-sheet'!Y26</f>
        <v>0</v>
      </c>
      <c r="AA20" s="2">
        <f t="shared" si="0"/>
        <v>46.874066379122787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33135.029493510709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8483.2844593763493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5892.3455049103395</v>
      </c>
      <c r="N21" s="2">
        <f>N10/'Output-Calculation-sheet'!N9*'Output-Calculation-sheet'!N27</f>
        <v>3224.0497608828746</v>
      </c>
      <c r="O21" s="2">
        <f>O10/'Output-Calculation-sheet'!O9*'Output-Calculation-sheet'!O27</f>
        <v>5629.2349541937829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1403.0626831396476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692.85809822013994</v>
      </c>
      <c r="Y21" s="2">
        <f>Y10/'Output-Calculation-sheet'!Y9*'Output-Calculation-sheet'!Y27</f>
        <v>0</v>
      </c>
      <c r="AA21" s="2">
        <f t="shared" si="0"/>
        <v>73.353108588036747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36032.127144887134</v>
      </c>
      <c r="D22" s="2">
        <f>D11/'Output-Calculation-sheet'!D10*'Output-Calculation-sheet'!D28</f>
        <v>0</v>
      </c>
      <c r="E22" s="2">
        <f>E11/'Output-Calculation-sheet'!E10*'Output-Calculation-sheet'!E28</f>
        <v>1528.6091229184635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11882.12603746736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901.56091250774841</v>
      </c>
      <c r="M22" s="2">
        <f>M11/'Output-Calculation-sheet'!M10*'Output-Calculation-sheet'!M28</f>
        <v>8189.7300620004426</v>
      </c>
      <c r="N22" s="2">
        <f>N11/'Output-Calculation-sheet'!N10*'Output-Calculation-sheet'!N28</f>
        <v>4713.2352701275795</v>
      </c>
      <c r="O22" s="2">
        <f>O11/'Output-Calculation-sheet'!O10*'Output-Calculation-sheet'!O28</f>
        <v>6345.289177078721</v>
      </c>
      <c r="P22" s="2">
        <f>P11/'Output-Calculation-sheet'!P10*'Output-Calculation-sheet'!P28</f>
        <v>0</v>
      </c>
      <c r="Q22" s="2">
        <f>Q11/'Output-Calculation-sheet'!Q10*'Output-Calculation-sheet'!Q28</f>
        <v>1767.7103969579214</v>
      </c>
      <c r="R22" s="2">
        <f>R11/'Output-Calculation-sheet'!R10*'Output-Calculation-sheet'!R28</f>
        <v>0</v>
      </c>
      <c r="S22" s="2">
        <f>S11/'Output-Calculation-sheet'!S10*'Output-Calculation-sheet'!S28</f>
        <v>2390.2799447507837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838.88142846692006</v>
      </c>
      <c r="Y22" s="2">
        <f>Y11/'Output-Calculation-sheet'!Y10*'Output-Calculation-sheet'!Y28</f>
        <v>82.307256712268114</v>
      </c>
      <c r="AA22" s="2">
        <f t="shared" si="0"/>
        <v>104.25989363191069</v>
      </c>
    </row>
    <row r="23" spans="1:27" x14ac:dyDescent="0.25">
      <c r="A23" s="2">
        <v>2035</v>
      </c>
      <c r="B23" s="2">
        <f>B12/'Output-Calculation-sheet'!B11*'Output-Calculation-sheet'!B29</f>
        <v>43315.613746626594</v>
      </c>
      <c r="C23" s="2">
        <f>C12/'Output-Calculation-sheet'!C11*'Output-Calculation-sheet'!C29</f>
        <v>40389.467862465324</v>
      </c>
      <c r="D23" s="2">
        <f>D12/'Output-Calculation-sheet'!D11*'Output-Calculation-sheet'!D29</f>
        <v>0</v>
      </c>
      <c r="E23" s="2">
        <f>E12/'Output-Calculation-sheet'!E11*'Output-Calculation-sheet'!E29</f>
        <v>7956.5603316137285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13900.667072278156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2306.9696834097062</v>
      </c>
      <c r="M23" s="2">
        <f>M12/'Output-Calculation-sheet'!M11*'Output-Calculation-sheet'!M29</f>
        <v>9880.2244078269541</v>
      </c>
      <c r="N23" s="2">
        <f>N12/'Output-Calculation-sheet'!N11*'Output-Calculation-sheet'!N29</f>
        <v>5738.3243934039474</v>
      </c>
      <c r="O23" s="2">
        <f>O12/'Output-Calculation-sheet'!O11*'Output-Calculation-sheet'!O29</f>
        <v>6677.3405471481456</v>
      </c>
      <c r="P23" s="2">
        <f>P12/'Output-Calculation-sheet'!P11*'Output-Calculation-sheet'!P29</f>
        <v>922.99938582755817</v>
      </c>
      <c r="Q23" s="2">
        <f>Q12/'Output-Calculation-sheet'!Q11*'Output-Calculation-sheet'!Q29</f>
        <v>2938.2422766279483</v>
      </c>
      <c r="R23" s="2">
        <f>R12/'Output-Calculation-sheet'!R11*'Output-Calculation-sheet'!R29</f>
        <v>0</v>
      </c>
      <c r="S23" s="2">
        <f>S12/'Output-Calculation-sheet'!S11*'Output-Calculation-sheet'!S29</f>
        <v>3173.5192091136987</v>
      </c>
      <c r="T23" s="2">
        <f>T12/'Output-Calculation-sheet'!T11*'Output-Calculation-sheet'!T29</f>
        <v>0</v>
      </c>
      <c r="U23" s="2">
        <f>U12/'Output-Calculation-sheet'!U11*'Output-Calculation-sheet'!U29</f>
        <v>342.45480017613227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943.9830692885896</v>
      </c>
      <c r="Y23" s="2">
        <f>Y12/'Output-Calculation-sheet'!Y11*'Output-Calculation-sheet'!Y29</f>
        <v>291.26810539736601</v>
      </c>
      <c r="AA23" s="2">
        <f t="shared" si="0"/>
        <v>138.77763489120392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18548.829184511887</v>
      </c>
      <c r="C30" s="2">
        <f>C8/'Output-Calculation-sheet'!C7*'Output-Calculation-sheet'!C16</f>
        <v>0</v>
      </c>
      <c r="D30" s="2">
        <f>D8/'Output-Calculation-sheet'!D7*'Output-Calculation-sheet'!D16</f>
        <v>3123.3776255481876</v>
      </c>
      <c r="E30" s="2">
        <f>E8/'Output-Calculation-sheet'!E7*'Output-Calculation-sheet'!E16</f>
        <v>3360.577860944325</v>
      </c>
      <c r="F30" s="2">
        <f>F8/'Output-Calculation-sheet'!F7*'Output-Calculation-sheet'!F16</f>
        <v>1695.4294133959036</v>
      </c>
      <c r="G30" s="2">
        <f>G8/'Output-Calculation-sheet'!G7*'Output-Calculation-sheet'!G16</f>
        <v>1110.3048968839785</v>
      </c>
      <c r="H30" s="2">
        <f>H8/'Output-Calculation-sheet'!H7*'Output-Calculation-sheet'!H16</f>
        <v>0</v>
      </c>
      <c r="I30" s="2">
        <f>I8/'Output-Calculation-sheet'!I7*'Output-Calculation-sheet'!I16</f>
        <v>1082.3810270567153</v>
      </c>
      <c r="J30" s="2">
        <f>J8/'Output-Calculation-sheet'!J7*'Output-Calculation-sheet'!J16</f>
        <v>963.52723842808598</v>
      </c>
      <c r="K30" s="2">
        <f>K8/'Output-Calculation-sheet'!K7*'Output-Calculation-sheet'!K16</f>
        <v>1286.4930317131648</v>
      </c>
      <c r="L30" s="2">
        <f>L8/'Output-Calculation-sheet'!L7*'Output-Calculation-sheet'!L16</f>
        <v>1086.6683561312077</v>
      </c>
      <c r="M30" s="2">
        <f>M8/'Output-Calculation-sheet'!M7*'Output-Calculation-sheet'!M16</f>
        <v>0</v>
      </c>
      <c r="N30" s="2">
        <f>N8/'Output-Calculation-sheet'!N7*'Output-Calculation-sheet'!N16</f>
        <v>1543.5208494096833</v>
      </c>
      <c r="O30" s="2">
        <f>O8/'Output-Calculation-sheet'!O7*'Output-Calculation-sheet'!O16</f>
        <v>0</v>
      </c>
      <c r="P30" s="2">
        <f>P8/'Output-Calculation-sheet'!P7*'Output-Calculation-sheet'!P16</f>
        <v>1387.2658924857997</v>
      </c>
      <c r="Q30" s="2">
        <f>Q8/'Output-Calculation-sheet'!Q7*'Output-Calculation-sheet'!Q16</f>
        <v>1525.5343235297855</v>
      </c>
      <c r="R30" s="2">
        <f>R8/'Output-Calculation-sheet'!R7*'Output-Calculation-sheet'!R16</f>
        <v>967.95815883783678</v>
      </c>
      <c r="S30" s="2">
        <f>S8/'Output-Calculation-sheet'!S7*'Output-Calculation-sheet'!S16</f>
        <v>973.48207088337927</v>
      </c>
      <c r="T30" s="2">
        <f>T8/'Output-Calculation-sheet'!T7*'Output-Calculation-sheet'!T16</f>
        <v>290.56712561956158</v>
      </c>
      <c r="U30" s="2">
        <f>U8/'Output-Calculation-sheet'!U7*'Output-Calculation-sheet'!U16</f>
        <v>290.04774425063232</v>
      </c>
      <c r="V30" s="2">
        <f>V8/'Output-Calculation-sheet'!V7*'Output-Calculation-sheet'!V16</f>
        <v>225.73864598584035</v>
      </c>
      <c r="W30" s="2">
        <f>W8/'Output-Calculation-sheet'!W7*'Output-Calculation-sheet'!W16</f>
        <v>136.92186884800742</v>
      </c>
      <c r="X30" s="2">
        <f>X8/'Output-Calculation-sheet'!X7*'Output-Calculation-sheet'!X16</f>
        <v>0</v>
      </c>
      <c r="Y30" s="2">
        <f>Y8/'Output-Calculation-sheet'!Y7*'Output-Calculation-sheet'!Y16</f>
        <v>115.88879569581397</v>
      </c>
      <c r="AA30" s="2">
        <f t="shared" si="1"/>
        <v>39.714514110159797</v>
      </c>
    </row>
    <row r="31" spans="1:27" x14ac:dyDescent="0.25">
      <c r="A31" s="2">
        <v>2032</v>
      </c>
      <c r="B31" s="2">
        <f>B9/'Output-Calculation-sheet'!B8*'Output-Calculation-sheet'!B17</f>
        <v>25548.967894730162</v>
      </c>
      <c r="C31" s="2">
        <f>C9/'Output-Calculation-sheet'!C8*'Output-Calculation-sheet'!C17</f>
        <v>0</v>
      </c>
      <c r="D31" s="2">
        <f>D9/'Output-Calculation-sheet'!D8*'Output-Calculation-sheet'!D17</f>
        <v>4284.897364684698</v>
      </c>
      <c r="E31" s="2">
        <f>E9/'Output-Calculation-sheet'!E8*'Output-Calculation-sheet'!E17</f>
        <v>5036.311414316845</v>
      </c>
      <c r="F31" s="2">
        <f>F9/'Output-Calculation-sheet'!F8*'Output-Calculation-sheet'!F17</f>
        <v>2325.9813088308842</v>
      </c>
      <c r="G31" s="2">
        <f>G9/'Output-Calculation-sheet'!G8*'Output-Calculation-sheet'!G17</f>
        <v>1523.2273842757681</v>
      </c>
      <c r="H31" s="2">
        <f>H9/'Output-Calculation-sheet'!H8*'Output-Calculation-sheet'!H17</f>
        <v>0</v>
      </c>
      <c r="I31" s="2">
        <f>I9/'Output-Calculation-sheet'!I8*'Output-Calculation-sheet'!I17</f>
        <v>1484.9255801245711</v>
      </c>
      <c r="J31" s="2">
        <f>J9/'Output-Calculation-sheet'!J8*'Output-Calculation-sheet'!J17</f>
        <v>1321.8699853663802</v>
      </c>
      <c r="K31" s="2">
        <f>K9/'Output-Calculation-sheet'!K8*'Output-Calculation-sheet'!K17</f>
        <v>1881.9918835822411</v>
      </c>
      <c r="L31" s="2">
        <f>L9/'Output-Calculation-sheet'!L8*'Output-Calculation-sheet'!L17</f>
        <v>1605.0082308874034</v>
      </c>
      <c r="M31" s="2">
        <f>M9/'Output-Calculation-sheet'!M8*'Output-Calculation-sheet'!M17</f>
        <v>0</v>
      </c>
      <c r="N31" s="2">
        <f>N9/'Output-Calculation-sheet'!N8*'Output-Calculation-sheet'!N17</f>
        <v>1751.1914708584079</v>
      </c>
      <c r="O31" s="2">
        <f>O9/'Output-Calculation-sheet'!O8*'Output-Calculation-sheet'!O17</f>
        <v>0</v>
      </c>
      <c r="P31" s="2">
        <f>P9/'Output-Calculation-sheet'!P8*'Output-Calculation-sheet'!P17</f>
        <v>2165.5776665273311</v>
      </c>
      <c r="Q31" s="2">
        <f>Q9/'Output-Calculation-sheet'!Q8*'Output-Calculation-sheet'!Q17</f>
        <v>2308.7047591881656</v>
      </c>
      <c r="R31" s="2">
        <f>R9/'Output-Calculation-sheet'!R8*'Output-Calculation-sheet'!R17</f>
        <v>1510.4766670928138</v>
      </c>
      <c r="S31" s="2">
        <f>S9/'Output-Calculation-sheet'!S8*'Output-Calculation-sheet'!S17</f>
        <v>1299.6981403719485</v>
      </c>
      <c r="T31" s="2">
        <f>T9/'Output-Calculation-sheet'!T8*'Output-Calculation-sheet'!T17</f>
        <v>409.87887926849606</v>
      </c>
      <c r="U31" s="2">
        <f>U9/'Output-Calculation-sheet'!U8*'Output-Calculation-sheet'!U17</f>
        <v>471.08150230631941</v>
      </c>
      <c r="V31" s="2">
        <f>V9/'Output-Calculation-sheet'!V8*'Output-Calculation-sheet'!V17</f>
        <v>337.41332779571241</v>
      </c>
      <c r="W31" s="2">
        <f>W9/'Output-Calculation-sheet'!W8*'Output-Calculation-sheet'!W17</f>
        <v>187.84596060752366</v>
      </c>
      <c r="X31" s="2">
        <f>X9/'Output-Calculation-sheet'!X8*'Output-Calculation-sheet'!X17</f>
        <v>0</v>
      </c>
      <c r="Y31" s="2">
        <f>Y9/'Output-Calculation-sheet'!Y8*'Output-Calculation-sheet'!Y17</f>
        <v>181.49989525423035</v>
      </c>
      <c r="AA31" s="2">
        <f t="shared" si="1"/>
        <v>55.636549316069903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1812.9429770787265</v>
      </c>
      <c r="O32" s="2">
        <f>O10/'Output-Calculation-sheet'!O9*'Output-Calculation-sheet'!O18</f>
        <v>0</v>
      </c>
      <c r="P32" s="2">
        <f>P10/'Output-Calculation-sheet'!P9*'Output-Calculation-sheet'!P18</f>
        <v>2919.0371341613923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2096.0625682368918</v>
      </c>
      <c r="S32" s="2">
        <f>S10/'Output-Calculation-sheet'!S9*'Output-Calculation-sheet'!S18</f>
        <v>1371.8175171111025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676.69085223443221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71.495988101777158</v>
      </c>
    </row>
    <row r="33" spans="1:27" x14ac:dyDescent="0.25">
      <c r="A33" s="2">
        <v>2034</v>
      </c>
      <c r="B33" s="2">
        <f>B11/'Output-Calculation-sheet'!B10*'Output-Calculation-sheet'!B19</f>
        <v>29843.764506092524</v>
      </c>
      <c r="C33" s="2">
        <f>C11/'Output-Calculation-sheet'!C10*'Output-Calculation-sheet'!C19</f>
        <v>0</v>
      </c>
      <c r="D33" s="2">
        <f>D11/'Output-Calculation-sheet'!D10*'Output-Calculation-sheet'!D19</f>
        <v>8901.6173565910976</v>
      </c>
      <c r="E33" s="2">
        <f>E11/'Output-Calculation-sheet'!E10*'Output-Calculation-sheet'!E19</f>
        <v>11029.25544051114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3030.2621165959899</v>
      </c>
      <c r="H33" s="2">
        <f>H11/'Output-Calculation-sheet'!H10*'Output-Calculation-sheet'!H19</f>
        <v>0</v>
      </c>
      <c r="I33" s="2">
        <f>I11/'Output-Calculation-sheet'!I10*'Output-Calculation-sheet'!I19</f>
        <v>3306.4341581935873</v>
      </c>
      <c r="J33" s="2">
        <f>J11/'Output-Calculation-sheet'!J10*'Output-Calculation-sheet'!J19</f>
        <v>2795.4314746403766</v>
      </c>
      <c r="K33" s="2">
        <f>K11/'Output-Calculation-sheet'!K10*'Output-Calculation-sheet'!K19</f>
        <v>3879.5431476008998</v>
      </c>
      <c r="L33" s="2">
        <f>L11/'Output-Calculation-sheet'!L10*'Output-Calculation-sheet'!L19</f>
        <v>3156.5278150556887</v>
      </c>
      <c r="M33" s="2">
        <f>M11/'Output-Calculation-sheet'!M10*'Output-Calculation-sheet'!M19</f>
        <v>0</v>
      </c>
      <c r="N33" s="2">
        <f>N11/'Output-Calculation-sheet'!N10*'Output-Calculation-sheet'!N19</f>
        <v>1783.9912789892935</v>
      </c>
      <c r="O33" s="2">
        <f>O11/'Output-Calculation-sheet'!O10*'Output-Calculation-sheet'!O19</f>
        <v>0</v>
      </c>
      <c r="P33" s="2">
        <f>P11/'Output-Calculation-sheet'!P10*'Output-Calculation-sheet'!P19</f>
        <v>3925.4133083773468</v>
      </c>
      <c r="Q33" s="2">
        <f>Q11/'Output-Calculation-sheet'!Q10*'Output-Calculation-sheet'!Q19</f>
        <v>3143.0320690160984</v>
      </c>
      <c r="R33" s="2">
        <f>R11/'Output-Calculation-sheet'!R10*'Output-Calculation-sheet'!R19</f>
        <v>2802.6417322849043</v>
      </c>
      <c r="S33" s="2">
        <f>S11/'Output-Calculation-sheet'!S10*'Output-Calculation-sheet'!S19</f>
        <v>1309.9375910964818</v>
      </c>
      <c r="T33" s="2">
        <f>T11/'Output-Calculation-sheet'!T10*'Output-Calculation-sheet'!T19</f>
        <v>822.34358932599105</v>
      </c>
      <c r="U33" s="2">
        <f>U11/'Output-Calculation-sheet'!U10*'Output-Calculation-sheet'!U19</f>
        <v>945.71086432778554</v>
      </c>
      <c r="V33" s="2">
        <f>V11/'Output-Calculation-sheet'!V10*'Output-Calculation-sheet'!V19</f>
        <v>644.93266890911991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158.60740291059849</v>
      </c>
      <c r="Y33" s="2">
        <f>Y11/'Output-Calculation-sheet'!Y10*'Output-Calculation-sheet'!Y19</f>
        <v>361.92673664099993</v>
      </c>
      <c r="AA33" s="2">
        <f t="shared" si="1"/>
        <v>87.303056954307905</v>
      </c>
    </row>
    <row r="34" spans="1:27" x14ac:dyDescent="0.25">
      <c r="A34" s="2">
        <v>2035</v>
      </c>
      <c r="B34" s="2">
        <f>B12/'Output-Calculation-sheet'!B11*'Output-Calculation-sheet'!B20</f>
        <v>30062.789878639731</v>
      </c>
      <c r="C34" s="2">
        <f>C12/'Output-Calculation-sheet'!C11*'Output-Calculation-sheet'!C20</f>
        <v>0</v>
      </c>
      <c r="D34" s="2">
        <f>D12/'Output-Calculation-sheet'!D11*'Output-Calculation-sheet'!D20</f>
        <v>11140.511504074966</v>
      </c>
      <c r="E34" s="2">
        <f>E12/'Output-Calculation-sheet'!E11*'Output-Calculation-sheet'!E20</f>
        <v>10046.064421005753</v>
      </c>
      <c r="F34" s="2">
        <f>F12/'Output-Calculation-sheet'!F11*'Output-Calculation-sheet'!F20</f>
        <v>7122.4160849123255</v>
      </c>
      <c r="G34" s="2">
        <f>G12/'Output-Calculation-sheet'!G11*'Output-Calculation-sheet'!G20</f>
        <v>3544.0267226187379</v>
      </c>
      <c r="H34" s="2">
        <f>H12/'Output-Calculation-sheet'!H11*'Output-Calculation-sheet'!H20</f>
        <v>0</v>
      </c>
      <c r="I34" s="2">
        <f>I12/'Output-Calculation-sheet'!I11*'Output-Calculation-sheet'!I20</f>
        <v>4354.4326170797603</v>
      </c>
      <c r="J34" s="2">
        <f>J12/'Output-Calculation-sheet'!J11*'Output-Calculation-sheet'!J20</f>
        <v>3627.5647927963932</v>
      </c>
      <c r="K34" s="2">
        <f>K12/'Output-Calculation-sheet'!K11*'Output-Calculation-sheet'!K20</f>
        <v>5105.3017046099012</v>
      </c>
      <c r="L34" s="2">
        <f>L12/'Output-Calculation-sheet'!L11*'Output-Calculation-sheet'!L20</f>
        <v>3473.6284486761101</v>
      </c>
      <c r="M34" s="2">
        <f>M12/'Output-Calculation-sheet'!M11*'Output-Calculation-sheet'!M20</f>
        <v>0</v>
      </c>
      <c r="N34" s="2">
        <f>N12/'Output-Calculation-sheet'!N11*'Output-Calculation-sheet'!N20</f>
        <v>1988.197596070356</v>
      </c>
      <c r="O34" s="2">
        <f>O12/'Output-Calculation-sheet'!O11*'Output-Calculation-sheet'!O20</f>
        <v>0</v>
      </c>
      <c r="P34" s="2">
        <f>P12/'Output-Calculation-sheet'!P11*'Output-Calculation-sheet'!P20</f>
        <v>4223.1780406637135</v>
      </c>
      <c r="Q34" s="2">
        <f>Q12/'Output-Calculation-sheet'!Q11*'Output-Calculation-sheet'!Q20</f>
        <v>3010.8734614114651</v>
      </c>
      <c r="R34" s="2">
        <f>R12/'Output-Calculation-sheet'!R11*'Output-Calculation-sheet'!R20</f>
        <v>3664.0317283666213</v>
      </c>
      <c r="S34" s="2">
        <f>S12/'Output-Calculation-sheet'!S11*'Output-Calculation-sheet'!S20</f>
        <v>1312.0103999812659</v>
      </c>
      <c r="T34" s="2">
        <f>T12/'Output-Calculation-sheet'!T11*'Output-Calculation-sheet'!T20</f>
        <v>1060.578891524661</v>
      </c>
      <c r="U34" s="2">
        <f>U12/'Output-Calculation-sheet'!U11*'Output-Calculation-sheet'!U20</f>
        <v>971.06489637165316</v>
      </c>
      <c r="V34" s="2">
        <f>V12/'Output-Calculation-sheet'!V11*'Output-Calculation-sheet'!V20</f>
        <v>958.59866715227008</v>
      </c>
      <c r="W34" s="2">
        <f>W12/'Output-Calculation-sheet'!W11*'Output-Calculation-sheet'!W20</f>
        <v>566.22834113740009</v>
      </c>
      <c r="X34" s="2">
        <f>X12/'Output-Calculation-sheet'!X11*'Output-Calculation-sheet'!X20</f>
        <v>163.73023640682638</v>
      </c>
      <c r="Y34" s="2">
        <f>Y12/'Output-Calculation-sheet'!Y11*'Output-Calculation-sheet'!Y20</f>
        <v>305.33105134967718</v>
      </c>
      <c r="AA34" s="2">
        <f t="shared" si="1"/>
        <v>96.700559484849592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0.23157383669703566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0.23157383669703566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1.2636200997680918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0.24548739112581591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1.5091074908939077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2.6523266827311565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0.51527572082507866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12.699451129721986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31041.998067902787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6770.8915926984246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4621.4631146049296</v>
      </c>
      <c r="N52" s="2">
        <f>N8/'Output-Calculation-sheet'!N7*'Output-Calculation-sheet'!N43</f>
        <v>147.71241202064053</v>
      </c>
      <c r="O52" s="2">
        <f>O8/'Output-Calculation-sheet'!O7*'Output-Calculation-sheet'!O43</f>
        <v>6289.0804865968075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597.66630076145839</v>
      </c>
      <c r="Y52" s="2">
        <f>Y8/'Output-Calculation-sheet'!Y7*'Output-Calculation-sheet'!Y43</f>
        <v>0</v>
      </c>
      <c r="AA52" s="2">
        <f t="shared" si="3"/>
        <v>49.468811974585051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56165.535880490177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13124.43936180345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8989.6616010258076</v>
      </c>
      <c r="N53" s="2">
        <f>N9/'Output-Calculation-sheet'!N8*'Output-Calculation-sheet'!N44</f>
        <v>3181.5527324195755</v>
      </c>
      <c r="O53" s="2">
        <f>O9/'Output-Calculation-sheet'!O8*'Output-Calculation-sheet'!O44</f>
        <v>11138.380598588774</v>
      </c>
      <c r="P53" s="2">
        <f>P9/'Output-Calculation-sheet'!P8*'Output-Calculation-sheet'!P44</f>
        <v>149.76720810721793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999.00826806084433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1124.1638884429265</v>
      </c>
      <c r="Y53" s="2">
        <f>Y9/'Output-Calculation-sheet'!Y8*'Output-Calculation-sheet'!Y44</f>
        <v>0</v>
      </c>
      <c r="AA53" s="2">
        <f t="shared" si="3"/>
        <v>94.872509538938772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73611.324771396015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13447.533323985754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505.06583158391675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167.78686405932726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79585.897511709627</v>
      </c>
      <c r="D55" s="2">
        <f>D11/'Output-Calculation-sheet'!D10*'Output-Calculation-sheet'!D46</f>
        <v>7855.1191127896909</v>
      </c>
      <c r="E55" s="2">
        <f>E11/'Output-Calculation-sheet'!E10*'Output-Calculation-sheet'!E46</f>
        <v>9598.1888875884943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26170.956430715829</v>
      </c>
      <c r="I55" s="2">
        <f>I11/'Output-Calculation-sheet'!I10*'Output-Calculation-sheet'!I46</f>
        <v>1900.8321467462752</v>
      </c>
      <c r="J55" s="2">
        <f>J11/'Output-Calculation-sheet'!J10*'Output-Calculation-sheet'!J46</f>
        <v>1379.5464830715528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17937.742836083133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14707.709485871252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5377.9575857034197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6719.7315561806417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1548.1778072962625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1872.5146870849658</v>
      </c>
      <c r="Y55" s="2">
        <f>Y11/'Output-Calculation-sheet'!Y10*'Output-Calculation-sheet'!Y46</f>
        <v>474.74439910742313</v>
      </c>
      <c r="AA55" s="2">
        <f t="shared" si="3"/>
        <v>293.35658772437472</v>
      </c>
    </row>
    <row r="56" spans="1:27" x14ac:dyDescent="0.25">
      <c r="A56" s="2">
        <v>2035</v>
      </c>
      <c r="B56" s="2">
        <f>B12/'Output-Calculation-sheet'!B11*'Output-Calculation-sheet'!B47</f>
        <v>135050.32182243277</v>
      </c>
      <c r="C56" s="2">
        <f>C12/'Output-Calculation-sheet'!C11*'Output-Calculation-sheet'!C47</f>
        <v>84804.655776798812</v>
      </c>
      <c r="D56" s="2">
        <f>D12/'Output-Calculation-sheet'!D11*'Output-Calculation-sheet'!D47</f>
        <v>23495.144927148456</v>
      </c>
      <c r="E56" s="2">
        <f>E12/'Output-Calculation-sheet'!E11*'Output-Calculation-sheet'!E47</f>
        <v>34805.959002571537</v>
      </c>
      <c r="F56" s="2">
        <f>F12/'Output-Calculation-sheet'!F11*'Output-Calculation-sheet'!F47</f>
        <v>5047.7059323214344</v>
      </c>
      <c r="G56" s="2">
        <f>G12/'Output-Calculation-sheet'!G11*'Output-Calculation-sheet'!G47</f>
        <v>8132.4865079440751</v>
      </c>
      <c r="H56" s="2">
        <f>H12/'Output-Calculation-sheet'!H11*'Output-Calculation-sheet'!H47</f>
        <v>28648.026569827569</v>
      </c>
      <c r="I56" s="2">
        <f>I12/'Output-Calculation-sheet'!I11*'Output-Calculation-sheet'!I47</f>
        <v>7979.6575301921293</v>
      </c>
      <c r="J56" s="2">
        <f>J12/'Output-Calculation-sheet'!J11*'Output-Calculation-sheet'!J47</f>
        <v>6383.6032201817834</v>
      </c>
      <c r="K56" s="2">
        <f>K12/'Output-Calculation-sheet'!K11*'Output-Calculation-sheet'!K47</f>
        <v>8561.6657915111955</v>
      </c>
      <c r="L56" s="2">
        <f>L12/'Output-Calculation-sheet'!L11*'Output-Calculation-sheet'!L47</f>
        <v>7171.6033589506997</v>
      </c>
      <c r="M56" s="2">
        <f>M12/'Output-Calculation-sheet'!M11*'Output-Calculation-sheet'!M47</f>
        <v>19835.849685264977</v>
      </c>
      <c r="N56" s="2">
        <f>N12/'Output-Calculation-sheet'!N11*'Output-Calculation-sheet'!N47</f>
        <v>16613.520158159521</v>
      </c>
      <c r="O56" s="2">
        <f>O12/'Output-Calculation-sheet'!O11*'Output-Calculation-sheet'!O47</f>
        <v>15526.071061703027</v>
      </c>
      <c r="P56" s="2">
        <f>P12/'Output-Calculation-sheet'!P11*'Output-Calculation-sheet'!P47</f>
        <v>8882.0932292701618</v>
      </c>
      <c r="Q56" s="2">
        <f>Q12/'Output-Calculation-sheet'!Q11*'Output-Calculation-sheet'!Q47</f>
        <v>8975.4575411707683</v>
      </c>
      <c r="R56" s="2">
        <f>R12/'Output-Calculation-sheet'!R11*'Output-Calculation-sheet'!R47</f>
        <v>7007.044045449813</v>
      </c>
      <c r="S56" s="2">
        <f>S12/'Output-Calculation-sheet'!S11*'Output-Calculation-sheet'!S47</f>
        <v>8773.7606635222419</v>
      </c>
      <c r="T56" s="2">
        <f>T12/'Output-Calculation-sheet'!T11*'Output-Calculation-sheet'!T47</f>
        <v>2646.8541583603801</v>
      </c>
      <c r="U56" s="2">
        <f>U12/'Output-Calculation-sheet'!U11*'Output-Calculation-sheet'!U47</f>
        <v>2762.169035107187</v>
      </c>
      <c r="V56" s="2">
        <f>V12/'Output-Calculation-sheet'!V11*'Output-Calculation-sheet'!V47</f>
        <v>1435.5827971991041</v>
      </c>
      <c r="W56" s="2">
        <f>W12/'Output-Calculation-sheet'!W11*'Output-Calculation-sheet'!W47</f>
        <v>768.46598696607896</v>
      </c>
      <c r="X56" s="2">
        <f>X12/'Output-Calculation-sheet'!X11*'Output-Calculation-sheet'!X47</f>
        <v>1994.9300721188356</v>
      </c>
      <c r="Y56" s="2">
        <f>Y12/'Output-Calculation-sheet'!Y11*'Output-Calculation-sheet'!Y47</f>
        <v>1113.8708814017509</v>
      </c>
      <c r="AA56" s="2">
        <f t="shared" si="3"/>
        <v>446.41649975557425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7.2239171731386547</v>
      </c>
      <c r="C63" s="2">
        <f>C8*'Output-Calculation-sheet'!C52/10^9</f>
        <v>4.5556919814653947</v>
      </c>
      <c r="D63" s="2">
        <f>D8*'Output-Calculation-sheet'!D52/10^9</f>
        <v>2.4772192412887084</v>
      </c>
      <c r="E63" s="2">
        <f>E8*'Output-Calculation-sheet'!E52/10^9</f>
        <v>2.4630327902595628</v>
      </c>
      <c r="F63" s="2">
        <f>F8*'Output-Calculation-sheet'!F52/10^9</f>
        <v>1.0430950135666324</v>
      </c>
      <c r="G63" s="2">
        <f>G8*'Output-Calculation-sheet'!G52/10^9</f>
        <v>0.74993728177182717</v>
      </c>
      <c r="H63" s="2">
        <f>H8*'Output-Calculation-sheet'!H52/10^9</f>
        <v>1.3099513139979819</v>
      </c>
      <c r="I63" s="2">
        <f>I8*'Output-Calculation-sheet'!I52/10^9</f>
        <v>0.69761587450120766</v>
      </c>
      <c r="J63" s="2">
        <f>J8*'Output-Calculation-sheet'!J52/10^9</f>
        <v>0.95996766665469979</v>
      </c>
      <c r="K63" s="2">
        <f>K8*'Output-Calculation-sheet'!K52/10^9</f>
        <v>0.84341479304227607</v>
      </c>
      <c r="L63" s="2">
        <f>L8*'Output-Calculation-sheet'!L52/10^9</f>
        <v>1.1344318786937946</v>
      </c>
      <c r="M63" s="2">
        <f>M8*'Output-Calculation-sheet'!M52/10^9</f>
        <v>1.0632712488083684</v>
      </c>
      <c r="N63" s="2">
        <f>N8*'Output-Calculation-sheet'!N52/10^9</f>
        <v>0.88740447603503914</v>
      </c>
      <c r="O63" s="2">
        <f>O8*'Output-Calculation-sheet'!O52/10^9</f>
        <v>0.94629002142675345</v>
      </c>
      <c r="P63" s="2">
        <f>P8*'Output-Calculation-sheet'!P52/10^9</f>
        <v>0.58277794165549868</v>
      </c>
      <c r="Q63" s="2">
        <f>Q8*'Output-Calculation-sheet'!Q52/10^9</f>
        <v>0.65953025230346785</v>
      </c>
      <c r="R63" s="2">
        <f>R8*'Output-Calculation-sheet'!R52/10^9</f>
        <v>0.59212791225146999</v>
      </c>
      <c r="S63" s="2">
        <f>S8*'Output-Calculation-sheet'!S52/10^9</f>
        <v>0.43879037520876324</v>
      </c>
      <c r="T63" s="2">
        <f>T8*'Output-Calculation-sheet'!T52/10^9</f>
        <v>0.2251194925848011</v>
      </c>
      <c r="U63" s="2">
        <f>U8*'Output-Calculation-sheet'!U52/10^9</f>
        <v>0.1546095644134447</v>
      </c>
      <c r="V63" s="2">
        <f>V8*'Output-Calculation-sheet'!V52/10^9</f>
        <v>0.27439564973898473</v>
      </c>
      <c r="W63" s="2">
        <f>W8*'Output-Calculation-sheet'!W52/10^9</f>
        <v>9.9318561543957767E-2</v>
      </c>
      <c r="X63" s="2">
        <f>X8*'Output-Calculation-sheet'!X52/10^9</f>
        <v>0.11431337302530219</v>
      </c>
      <c r="Y63" s="2">
        <f>Y8*'Output-Calculation-sheet'!Y52/10^9</f>
        <v>6.4802536012847745E-2</v>
      </c>
      <c r="AA63" s="2">
        <f t="shared" si="4"/>
        <v>29.561026413389445</v>
      </c>
    </row>
    <row r="64" spans="1:27" x14ac:dyDescent="0.25">
      <c r="A64" s="2">
        <v>2032</v>
      </c>
      <c r="B64" s="2">
        <f>B9*'Output-Calculation-sheet'!B53/10^9</f>
        <v>7.5652129345800621</v>
      </c>
      <c r="C64" s="2">
        <f>C9*'Output-Calculation-sheet'!C53/10^9</f>
        <v>5.1075376348687564</v>
      </c>
      <c r="D64" s="2">
        <f>D9*'Output-Calculation-sheet'!D53/10^9</f>
        <v>2.2388474105573244</v>
      </c>
      <c r="E64" s="2">
        <f>E9*'Output-Calculation-sheet'!E53/10^9</f>
        <v>2.2926889032907702</v>
      </c>
      <c r="F64" s="2">
        <f>F9*'Output-Calculation-sheet'!F53/10^9</f>
        <v>0.96704261493775701</v>
      </c>
      <c r="G64" s="2">
        <f>G9*'Output-Calculation-sheet'!G53/10^9</f>
        <v>0.6883106192357763</v>
      </c>
      <c r="H64" s="2">
        <f>H9*'Output-Calculation-sheet'!H53/10^9</f>
        <v>1.4143784213731643</v>
      </c>
      <c r="I64" s="2">
        <f>I9*'Output-Calculation-sheet'!I53/10^9</f>
        <v>0.64345804100732784</v>
      </c>
      <c r="J64" s="2">
        <f>J9*'Output-Calculation-sheet'!J53/10^9</f>
        <v>0.85180853720247429</v>
      </c>
      <c r="K64" s="2">
        <f>K9*'Output-Calculation-sheet'!K53/10^9</f>
        <v>0.79036040096233107</v>
      </c>
      <c r="L64" s="2">
        <f>L9*'Output-Calculation-sheet'!L53/10^9</f>
        <v>1.0167921087214811</v>
      </c>
      <c r="M64" s="2">
        <f>M9*'Output-Calculation-sheet'!M53/10^9</f>
        <v>1.1084718933903708</v>
      </c>
      <c r="N64" s="2">
        <f>N9*'Output-Calculation-sheet'!N53/10^9</f>
        <v>0.93313114921603335</v>
      </c>
      <c r="O64" s="2">
        <f>O9*'Output-Calculation-sheet'!O53/10^9</f>
        <v>1.056368489492935</v>
      </c>
      <c r="P64" s="2">
        <f>P9*'Output-Calculation-sheet'!P53/10^9</f>
        <v>0.60258596509169415</v>
      </c>
      <c r="Q64" s="2">
        <f>Q9*'Output-Calculation-sheet'!Q53/10^9</f>
        <v>0.6659586151368041</v>
      </c>
      <c r="R64" s="2">
        <f>R9*'Output-Calculation-sheet'!R53/10^9</f>
        <v>0.5708830225507675</v>
      </c>
      <c r="S64" s="2">
        <f>S9*'Output-Calculation-sheet'!S53/10^9</f>
        <v>0.47167621027662338</v>
      </c>
      <c r="T64" s="2">
        <f>T9*'Output-Calculation-sheet'!T53/10^9</f>
        <v>0.20521758730712944</v>
      </c>
      <c r="U64" s="2">
        <f>U9*'Output-Calculation-sheet'!U53/10^9</f>
        <v>0.15446292510500098</v>
      </c>
      <c r="V64" s="2">
        <f>V9*'Output-Calculation-sheet'!V53/10^9</f>
        <v>0.24357948349722294</v>
      </c>
      <c r="W64" s="2">
        <f>W9*'Output-Calculation-sheet'!W53/10^9</f>
        <v>9.0509745728252919E-2</v>
      </c>
      <c r="X64" s="2">
        <f>X9*'Output-Calculation-sheet'!X53/10^9</f>
        <v>0.12285222738766224</v>
      </c>
      <c r="Y64" s="2">
        <f>Y9*'Output-Calculation-sheet'!Y53/10^9</f>
        <v>6.3414071165226377E-2</v>
      </c>
      <c r="AA64" s="2">
        <f t="shared" si="4"/>
        <v>29.865549012082948</v>
      </c>
    </row>
    <row r="65" spans="1:27" x14ac:dyDescent="0.25">
      <c r="A65" s="2">
        <v>2033</v>
      </c>
      <c r="B65" s="2">
        <f>B10*'Output-Calculation-sheet'!B54/10^9</f>
        <v>8.0839959050624941</v>
      </c>
      <c r="C65" s="2">
        <f>C10*'Output-Calculation-sheet'!C54/10^9</f>
        <v>5.7434101270036431</v>
      </c>
      <c r="D65" s="2">
        <f>D10*'Output-Calculation-sheet'!D54/10^9</f>
        <v>1.9098419902703123</v>
      </c>
      <c r="E65" s="2">
        <f>E10*'Output-Calculation-sheet'!E54/10^9</f>
        <v>2.1504602410216025</v>
      </c>
      <c r="F65" s="2">
        <f>F10*'Output-Calculation-sheet'!F54/10^9</f>
        <v>0.87305005699135074</v>
      </c>
      <c r="G65" s="2">
        <f>G10*'Output-Calculation-sheet'!G54/10^9</f>
        <v>0.59942783561365665</v>
      </c>
      <c r="H65" s="2">
        <f>H10*'Output-Calculation-sheet'!H54/10^9</f>
        <v>1.481359491599691</v>
      </c>
      <c r="I65" s="2">
        <f>I10*'Output-Calculation-sheet'!I54/10^9</f>
        <v>0.58367900601518874</v>
      </c>
      <c r="J65" s="2">
        <f>J10*'Output-Calculation-sheet'!J54/10^9</f>
        <v>0.69762659453080611</v>
      </c>
      <c r="K65" s="2">
        <f>K10*'Output-Calculation-sheet'!K54/10^9</f>
        <v>0.74427516481861522</v>
      </c>
      <c r="L65" s="2">
        <f>L10*'Output-Calculation-sheet'!L54/10^9</f>
        <v>0.87914549992308633</v>
      </c>
      <c r="M65" s="2">
        <f>M10*'Output-Calculation-sheet'!M54/10^9</f>
        <v>1.1185340169591071</v>
      </c>
      <c r="N65" s="2">
        <f>N10*'Output-Calculation-sheet'!N54/10^9</f>
        <v>0.9658835581882973</v>
      </c>
      <c r="O65" s="2">
        <f>O10*'Output-Calculation-sheet'!O54/10^9</f>
        <v>1.1844604776882615</v>
      </c>
      <c r="P65" s="2">
        <f>P10*'Output-Calculation-sheet'!P54/10^9</f>
        <v>0.62975413676003289</v>
      </c>
      <c r="Q65" s="2">
        <f>Q10*'Output-Calculation-sheet'!Q54/10^9</f>
        <v>0.68718334150530092</v>
      </c>
      <c r="R65" s="2">
        <f>R10*'Output-Calculation-sheet'!R54/10^9</f>
        <v>0.5544180155540186</v>
      </c>
      <c r="S65" s="2">
        <f>S10*'Output-Calculation-sheet'!S54/10^9</f>
        <v>0.50360059178350669</v>
      </c>
      <c r="T65" s="2">
        <f>T10*'Output-Calculation-sheet'!T54/10^9</f>
        <v>0.18536669238784156</v>
      </c>
      <c r="U65" s="2">
        <f>U10*'Output-Calculation-sheet'!U54/10^9</f>
        <v>0.1600652367943449</v>
      </c>
      <c r="V65" s="2">
        <f>V10*'Output-Calculation-sheet'!V54/10^9</f>
        <v>0.20513622535955373</v>
      </c>
      <c r="W65" s="2">
        <f>W10*'Output-Calculation-sheet'!W54/10^9</f>
        <v>7.8103076512897815E-2</v>
      </c>
      <c r="X65" s="2">
        <f>X10*'Output-Calculation-sheet'!X54/10^9</f>
        <v>0.12864160200790858</v>
      </c>
      <c r="Y65" s="2">
        <f>Y10*'Output-Calculation-sheet'!Y54/10^9</f>
        <v>6.4283018366135328E-2</v>
      </c>
      <c r="AA65" s="2">
        <f t="shared" si="4"/>
        <v>30.211701902717653</v>
      </c>
    </row>
    <row r="66" spans="1:27" x14ac:dyDescent="0.25">
      <c r="A66" s="2">
        <v>2034</v>
      </c>
      <c r="B66" s="2">
        <f>B11*'Output-Calculation-sheet'!B55/10^9</f>
        <v>8.7908507548234169</v>
      </c>
      <c r="C66" s="2">
        <f>C11*'Output-Calculation-sheet'!C55/10^9</f>
        <v>6.6671711672836569</v>
      </c>
      <c r="D66" s="2">
        <f>D11*'Output-Calculation-sheet'!D55/10^9</f>
        <v>1.8389209133856397</v>
      </c>
      <c r="E66" s="2">
        <f>E11*'Output-Calculation-sheet'!E55/10^9</f>
        <v>2.2266109114588173</v>
      </c>
      <c r="F66" s="2">
        <f>F11*'Output-Calculation-sheet'!F55/10^9</f>
        <v>0.85572386546303492</v>
      </c>
      <c r="G66" s="2">
        <f>G11*'Output-Calculation-sheet'!G55/10^9</f>
        <v>0.61167354985078537</v>
      </c>
      <c r="H66" s="2">
        <f>H11*'Output-Calculation-sheet'!H55/10^9</f>
        <v>1.5707478010304006</v>
      </c>
      <c r="I66" s="2">
        <f>I11*'Output-Calculation-sheet'!I55/10^9</f>
        <v>0.59817879628295512</v>
      </c>
      <c r="J66" s="2">
        <f>J11*'Output-Calculation-sheet'!J55/10^9</f>
        <v>0.61511464637645985</v>
      </c>
      <c r="K66" s="2">
        <f>K11*'Output-Calculation-sheet'!K55/10^9</f>
        <v>0.73566864322913272</v>
      </c>
      <c r="L66" s="2">
        <f>L11*'Output-Calculation-sheet'!L55/10^9</f>
        <v>0.77910713700952527</v>
      </c>
      <c r="M66" s="2">
        <f>M11*'Output-Calculation-sheet'!M55/10^9</f>
        <v>1.1328892035396132</v>
      </c>
      <c r="N66" s="2">
        <f>N11*'Output-Calculation-sheet'!N55/10^9</f>
        <v>0.98984399100277232</v>
      </c>
      <c r="O66" s="2">
        <f>O11*'Output-Calculation-sheet'!O55/10^9</f>
        <v>1.32750131581192</v>
      </c>
      <c r="P66" s="2">
        <f>P11*'Output-Calculation-sheet'!P55/10^9</f>
        <v>0.68041912271434457</v>
      </c>
      <c r="Q66" s="2">
        <f>Q11*'Output-Calculation-sheet'!Q55/10^9</f>
        <v>0.74281330092650877</v>
      </c>
      <c r="R66" s="2">
        <f>R11*'Output-Calculation-sheet'!R55/10^9</f>
        <v>0.55110475587915619</v>
      </c>
      <c r="S66" s="2">
        <f>S11*'Output-Calculation-sheet'!S55/10^9</f>
        <v>0.54225816111568892</v>
      </c>
      <c r="T66" s="2">
        <f>T11*'Output-Calculation-sheet'!T55/10^9</f>
        <v>0.17274884250077152</v>
      </c>
      <c r="U66" s="2">
        <f>U11*'Output-Calculation-sheet'!U55/10^9</f>
        <v>0.17637755902486482</v>
      </c>
      <c r="V66" s="2">
        <f>V11*'Output-Calculation-sheet'!V55/10^9</f>
        <v>0.16388192328492526</v>
      </c>
      <c r="W66" s="2">
        <f>W11*'Output-Calculation-sheet'!W55/10^9</f>
        <v>7.4199539506602463E-2</v>
      </c>
      <c r="X66" s="2">
        <f>X11*'Output-Calculation-sheet'!X55/10^9</f>
        <v>0.14081640775848261</v>
      </c>
      <c r="Y66" s="2">
        <f>Y11*'Output-Calculation-sheet'!Y55/10^9</f>
        <v>7.2812041156633547E-2</v>
      </c>
      <c r="AA66" s="2">
        <f t="shared" si="4"/>
        <v>32.057434350416102</v>
      </c>
    </row>
    <row r="67" spans="1:27" x14ac:dyDescent="0.25">
      <c r="A67" s="2">
        <v>2035</v>
      </c>
      <c r="B67" s="2">
        <f>B12*'Output-Calculation-sheet'!B56/10^9</f>
        <v>10.511563358871777</v>
      </c>
      <c r="C67" s="2">
        <f>C12*'Output-Calculation-sheet'!C56/10^9</f>
        <v>7.6188048469084855</v>
      </c>
      <c r="D67" s="2">
        <f>D12*'Output-Calculation-sheet'!D56/10^9</f>
        <v>2.3842715782831738</v>
      </c>
      <c r="E67" s="2">
        <f>E12*'Output-Calculation-sheet'!E56/10^9</f>
        <v>2.8380744156029984</v>
      </c>
      <c r="F67" s="2">
        <f>F12*'Output-Calculation-sheet'!F56/10^9</f>
        <v>1.1615403377047953</v>
      </c>
      <c r="G67" s="2">
        <f>G12*'Output-Calculation-sheet'!G56/10^9</f>
        <v>0.81644454866297522</v>
      </c>
      <c r="H67" s="2">
        <f>H12*'Output-Calculation-sheet'!H56/10^9</f>
        <v>1.8641247045105918</v>
      </c>
      <c r="I67" s="2">
        <f>I12*'Output-Calculation-sheet'!I56/10^9</f>
        <v>0.81760436725434038</v>
      </c>
      <c r="J67" s="2">
        <f>J12*'Output-Calculation-sheet'!J56/10^9</f>
        <v>0.73968699580696828</v>
      </c>
      <c r="K67" s="2">
        <f>K12*'Output-Calculation-sheet'!K56/10^9</f>
        <v>0.91801507348994815</v>
      </c>
      <c r="L67" s="2">
        <f>L12*'Output-Calculation-sheet'!L56/10^9</f>
        <v>0.85549083138343307</v>
      </c>
      <c r="M67" s="2">
        <f>M12*'Output-Calculation-sheet'!M56/10^9</f>
        <v>1.3148130223876047</v>
      </c>
      <c r="N67" s="2">
        <f>N12*'Output-Calculation-sheet'!N56/10^9</f>
        <v>1.1178784608030952</v>
      </c>
      <c r="O67" s="2">
        <f>O12*'Output-Calculation-sheet'!O56/10^9</f>
        <v>1.4717165596394415</v>
      </c>
      <c r="P67" s="2">
        <f>P12*'Output-Calculation-sheet'!P56/10^9</f>
        <v>0.86307944896107469</v>
      </c>
      <c r="Q67" s="2">
        <f>Q12*'Output-Calculation-sheet'!Q56/10^9</f>
        <v>0.87176478036081873</v>
      </c>
      <c r="R67" s="2">
        <f>R12*'Output-Calculation-sheet'!R56/10^9</f>
        <v>0.66566762183647299</v>
      </c>
      <c r="S67" s="2">
        <f>S12*'Output-Calculation-sheet'!S56/10^9</f>
        <v>0.63657137546079023</v>
      </c>
      <c r="T67" s="2">
        <f>T12*'Output-Calculation-sheet'!T56/10^9</f>
        <v>0.20246859547807611</v>
      </c>
      <c r="U67" s="2">
        <f>U12*'Output-Calculation-sheet'!U56/10^9</f>
        <v>0.23028876378007673</v>
      </c>
      <c r="V67" s="2">
        <f>V12*'Output-Calculation-sheet'!V56/10^9</f>
        <v>0.155226853983225</v>
      </c>
      <c r="W67" s="2">
        <f>W12*'Output-Calculation-sheet'!W56/10^9</f>
        <v>0.10053202524873582</v>
      </c>
      <c r="X67" s="2">
        <f>X12*'Output-Calculation-sheet'!X56/10^9</f>
        <v>0.16465639979401203</v>
      </c>
      <c r="Y67" s="2">
        <f>Y12*'Output-Calculation-sheet'!Y56/10^9</f>
        <v>9.4473128605495241E-2</v>
      </c>
      <c r="AA67" s="2">
        <f t="shared" si="4"/>
        <v>38.414758094818396</v>
      </c>
    </row>
    <row r="68" spans="1:27" x14ac:dyDescent="0.25">
      <c r="B68" s="2">
        <f>SUM(B60:B67)</f>
        <v>59.809597325706136</v>
      </c>
      <c r="C68" s="2">
        <f t="shared" ref="C68:Y68" si="5">SUM(C60:C67)</f>
        <v>39.008033481046979</v>
      </c>
      <c r="D68" s="2">
        <f t="shared" si="5"/>
        <v>17.776162514304858</v>
      </c>
      <c r="E68" s="2">
        <f t="shared" si="5"/>
        <v>18.799718228715545</v>
      </c>
      <c r="F68" s="2">
        <f t="shared" si="5"/>
        <v>7.7299930903382084</v>
      </c>
      <c r="G68" s="2">
        <f t="shared" si="5"/>
        <v>5.5250378184259938</v>
      </c>
      <c r="H68" s="2">
        <f t="shared" si="5"/>
        <v>10.545287911321786</v>
      </c>
      <c r="I68" s="2">
        <f t="shared" si="5"/>
        <v>5.2447390304893888</v>
      </c>
      <c r="J68" s="2">
        <f t="shared" si="5"/>
        <v>6.6052127218163479</v>
      </c>
      <c r="K68" s="2">
        <f t="shared" si="5"/>
        <v>6.3389825607196171</v>
      </c>
      <c r="L68" s="2">
        <f t="shared" si="5"/>
        <v>7.916052837800744</v>
      </c>
      <c r="M68" s="2">
        <f t="shared" si="5"/>
        <v>8.229681181517396</v>
      </c>
      <c r="N68" s="2">
        <f t="shared" si="5"/>
        <v>7.0571085588089195</v>
      </c>
      <c r="O68" s="2">
        <f t="shared" si="5"/>
        <v>7.9331968128438355</v>
      </c>
      <c r="P68" s="2">
        <f t="shared" si="5"/>
        <v>4.8228286057254799</v>
      </c>
      <c r="Q68" s="2">
        <f t="shared" si="5"/>
        <v>5.2987218496204989</v>
      </c>
      <c r="R68" s="2">
        <f t="shared" si="5"/>
        <v>4.5378751168222644</v>
      </c>
      <c r="S68" s="2">
        <f t="shared" si="5"/>
        <v>3.6406736265360102</v>
      </c>
      <c r="T68" s="2">
        <f t="shared" si="5"/>
        <v>1.6188796271603596</v>
      </c>
      <c r="U68" s="2">
        <f t="shared" si="5"/>
        <v>1.2863122059058112</v>
      </c>
      <c r="V68" s="2">
        <f t="shared" si="5"/>
        <v>1.8371051903067861</v>
      </c>
      <c r="W68" s="2">
        <f t="shared" si="5"/>
        <v>0.71770315635636361</v>
      </c>
      <c r="X68" s="2">
        <f t="shared" si="5"/>
        <v>0.92485538258212463</v>
      </c>
      <c r="Y68" s="2">
        <f t="shared" si="5"/>
        <v>0.53313064897029805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5989.5091814903171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1445.6945629700281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968.76011557248955</v>
      </c>
      <c r="N74" s="2">
        <f>N8/'Output-Calculation-sheet'!N7*'Output-Calculation-sheet'!N61</f>
        <v>40.602449254173564</v>
      </c>
      <c r="O74" s="2">
        <f>O8/'Output-Calculation-sheet'!O7*'Output-Calculation-sheet'!O61</f>
        <v>1197.2341603580617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120.38235848302864</v>
      </c>
      <c r="Y74" s="2">
        <f>Y8/'Output-Calculation-sheet'!Y7*'Output-Calculation-sheet'!Y61</f>
        <v>0</v>
      </c>
      <c r="AA74" s="2">
        <f t="shared" si="6"/>
        <v>9.7621828281280969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10088.478863414008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2500.1158050032714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1698.6955282653973</v>
      </c>
      <c r="N75" s="2">
        <f>N9/'Output-Calculation-sheet'!N8*'Output-Calculation-sheet'!N62</f>
        <v>654.14345351913312</v>
      </c>
      <c r="O75" s="2">
        <f>O9/'Output-Calculation-sheet'!O8*'Output-Calculation-sheet'!O62</f>
        <v>1994.167251073656</v>
      </c>
      <c r="P75" s="2">
        <f>P9/'Output-Calculation-sheet'!P8*'Output-Calculation-sheet'!P62</f>
        <v>43.95667557946846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220.00253010237594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205.22437376723369</v>
      </c>
      <c r="Y75" s="2">
        <f>Y9/'Output-Calculation-sheet'!Y8*'Output-Calculation-sheet'!Y62</f>
        <v>0</v>
      </c>
      <c r="AA75" s="2">
        <f t="shared" si="6"/>
        <v>17.40478448072454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13723.388554362802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3694.6834619761462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2515.5268217163575</v>
      </c>
      <c r="N76" s="2">
        <f>N10/'Output-Calculation-sheet'!N9*'Output-Calculation-sheet'!N63</f>
        <v>1437.1412413965854</v>
      </c>
      <c r="O76" s="2">
        <f>O10/'Output-Calculation-sheet'!O9*'Output-Calculation-sheet'!O63</f>
        <v>2475.8696436969117</v>
      </c>
      <c r="P76" s="2">
        <f>P10/'Output-Calculation-sheet'!P9*'Output-Calculation-sheet'!P63</f>
        <v>499.04120753774629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378.8361116886681</v>
      </c>
      <c r="S76" s="2">
        <f>S10/'Output-Calculation-sheet'!S9*'Output-Calculation-sheet'!S63</f>
        <v>638.36719203448206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134.40836250633197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296.24984678195784</v>
      </c>
      <c r="Y76" s="2">
        <f>Y10/'Output-Calculation-sheet'!Y9*'Output-Calculation-sheet'!Y63</f>
        <v>5.6202394244599558</v>
      </c>
      <c r="AA76" s="2">
        <f t="shared" si="6"/>
        <v>31.811109956759484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14677.279990411585</v>
      </c>
      <c r="D77" s="2">
        <f>D11/'Output-Calculation-sheet'!D10*'Output-Calculation-sheet'!D64</f>
        <v>1816.7908617993457</v>
      </c>
      <c r="E77" s="2">
        <f>E11/'Output-Calculation-sheet'!E10*'Output-Calculation-sheet'!E64</f>
        <v>2210.0805339372469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947.45002643569296</v>
      </c>
      <c r="H77" s="2">
        <f>H11/'Output-Calculation-sheet'!H10*'Output-Calculation-sheet'!H64</f>
        <v>5033.968114910519</v>
      </c>
      <c r="I77" s="2">
        <f>I11/'Output-Calculation-sheet'!I10*'Output-Calculation-sheet'!I64</f>
        <v>561.41077454151241</v>
      </c>
      <c r="J77" s="2">
        <f>J11/'Output-Calculation-sheet'!J10*'Output-Calculation-sheet'!J64</f>
        <v>403.54869962758988</v>
      </c>
      <c r="K77" s="2">
        <f>K11/'Output-Calculation-sheet'!K10*'Output-Calculation-sheet'!K64</f>
        <v>844.7774016626538</v>
      </c>
      <c r="L77" s="2">
        <f>L11/'Output-Calculation-sheet'!L10*'Output-Calculation-sheet'!L64</f>
        <v>369.32454912610757</v>
      </c>
      <c r="M77" s="2">
        <f>M11/'Output-Calculation-sheet'!M10*'Output-Calculation-sheet'!M64</f>
        <v>3373.7513338849863</v>
      </c>
      <c r="N77" s="2">
        <f>N11/'Output-Calculation-sheet'!N10*'Output-Calculation-sheet'!N64</f>
        <v>2375.3090454373678</v>
      </c>
      <c r="O77" s="2">
        <f>O11/'Output-Calculation-sheet'!O10*'Output-Calculation-sheet'!O64</f>
        <v>2751.3322370150981</v>
      </c>
      <c r="P77" s="2">
        <f>P11/'Output-Calculation-sheet'!P10*'Output-Calculation-sheet'!P64</f>
        <v>1048.4140966019752</v>
      </c>
      <c r="Q77" s="2">
        <f>Q11/'Output-Calculation-sheet'!Q10*'Output-Calculation-sheet'!Q64</f>
        <v>943.16436606415232</v>
      </c>
      <c r="R77" s="2">
        <f>R11/'Output-Calculation-sheet'!R10*'Output-Calculation-sheet'!R64</f>
        <v>897.16855716357111</v>
      </c>
      <c r="S77" s="2">
        <f>S11/'Output-Calculation-sheet'!S10*'Output-Calculation-sheet'!S64</f>
        <v>1194.4719675651809</v>
      </c>
      <c r="T77" s="2">
        <f>T11/'Output-Calculation-sheet'!T10*'Output-Calculation-sheet'!T64</f>
        <v>248.6643227163068</v>
      </c>
      <c r="U77" s="2">
        <f>U11/'Output-Calculation-sheet'!U10*'Output-Calculation-sheet'!U64</f>
        <v>340.25722833939983</v>
      </c>
      <c r="V77" s="2">
        <f>V11/'Output-Calculation-sheet'!V10*'Output-Calculation-sheet'!V64</f>
        <v>130.75930525137628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347.92971317124955</v>
      </c>
      <c r="Y77" s="2">
        <f>Y11/'Output-Calculation-sheet'!Y10*'Output-Calculation-sheet'!Y64</f>
        <v>82.1307810455842</v>
      </c>
      <c r="AA77" s="2">
        <f t="shared" si="6"/>
        <v>55.322163344428347</v>
      </c>
    </row>
    <row r="78" spans="1:27" x14ac:dyDescent="0.25">
      <c r="A78" s="2">
        <v>2035</v>
      </c>
      <c r="B78" s="2">
        <f>B12/'Output-Calculation-sheet'!B11*'Output-Calculation-sheet'!B65</f>
        <v>22481.344225987297</v>
      </c>
      <c r="C78" s="2">
        <f>C12/'Output-Calculation-sheet'!C11*'Output-Calculation-sheet'!C65</f>
        <v>15842.184413788467</v>
      </c>
      <c r="D78" s="2">
        <f>D12/'Output-Calculation-sheet'!D11*'Output-Calculation-sheet'!D65</f>
        <v>5163.7794399096892</v>
      </c>
      <c r="E78" s="2">
        <f>E12/'Output-Calculation-sheet'!E11*'Output-Calculation-sheet'!E65</f>
        <v>5165.2043159816158</v>
      </c>
      <c r="F78" s="2">
        <f>F12/'Output-Calculation-sheet'!F11*'Output-Calculation-sheet'!F65</f>
        <v>1199.0876949432959</v>
      </c>
      <c r="G78" s="2">
        <f>G12/'Output-Calculation-sheet'!G11*'Output-Calculation-sheet'!G65</f>
        <v>1787.3726710550541</v>
      </c>
      <c r="H78" s="2">
        <f>H12/'Output-Calculation-sheet'!H11*'Output-Calculation-sheet'!H65</f>
        <v>5728.2445327034466</v>
      </c>
      <c r="I78" s="2">
        <f>I12/'Output-Calculation-sheet'!I11*'Output-Calculation-sheet'!I65</f>
        <v>1586.7216513056626</v>
      </c>
      <c r="J78" s="2">
        <f>J12/'Output-Calculation-sheet'!J11*'Output-Calculation-sheet'!J65</f>
        <v>1411.5989409411254</v>
      </c>
      <c r="K78" s="2">
        <f>K12/'Output-Calculation-sheet'!K11*'Output-Calculation-sheet'!K65</f>
        <v>1881.6711435373957</v>
      </c>
      <c r="L78" s="2">
        <f>L12/'Output-Calculation-sheet'!L11*'Output-Calculation-sheet'!L65</f>
        <v>1239.4661298018382</v>
      </c>
      <c r="M78" s="2">
        <f>M12/'Output-Calculation-sheet'!M11*'Output-Calculation-sheet'!M65</f>
        <v>4000.3364633590409</v>
      </c>
      <c r="N78" s="2">
        <f>N12/'Output-Calculation-sheet'!N11*'Output-Calculation-sheet'!N65</f>
        <v>2856.5325308674542</v>
      </c>
      <c r="O78" s="2">
        <f>O12/'Output-Calculation-sheet'!O11*'Output-Calculation-sheet'!O65</f>
        <v>2894.6517609841467</v>
      </c>
      <c r="P78" s="2">
        <f>P12/'Output-Calculation-sheet'!P11*'Output-Calculation-sheet'!P65</f>
        <v>1581.9746351346698</v>
      </c>
      <c r="Q78" s="2">
        <f>Q12/'Output-Calculation-sheet'!Q11*'Output-Calculation-sheet'!Q65</f>
        <v>1533.6998736013343</v>
      </c>
      <c r="R78" s="2">
        <f>R12/'Output-Calculation-sheet'!R11*'Output-Calculation-sheet'!R65</f>
        <v>1391.3296075951562</v>
      </c>
      <c r="S78" s="2">
        <f>S12/'Output-Calculation-sheet'!S11*'Output-Calculation-sheet'!S65</f>
        <v>1556.4401531499939</v>
      </c>
      <c r="T78" s="2">
        <f>T12/'Output-Calculation-sheet'!T11*'Output-Calculation-sheet'!T65</f>
        <v>484.86475748576345</v>
      </c>
      <c r="U78" s="2">
        <f>U12/'Output-Calculation-sheet'!U11*'Output-Calculation-sheet'!U65</f>
        <v>443.3416701789933</v>
      </c>
      <c r="V78" s="2">
        <f>V12/'Output-Calculation-sheet'!V11*'Output-Calculation-sheet'!V65</f>
        <v>253.75361523291366</v>
      </c>
      <c r="W78" s="2">
        <f>W12/'Output-Calculation-sheet'!W11*'Output-Calculation-sheet'!W65</f>
        <v>168.89526277066827</v>
      </c>
      <c r="X78" s="2">
        <f>X12/'Output-Calculation-sheet'!X11*'Output-Calculation-sheet'!X65</f>
        <v>384.23758830794009</v>
      </c>
      <c r="Y78" s="2">
        <f>Y12/'Output-Calculation-sheet'!Y11*'Output-Calculation-sheet'!Y65</f>
        <v>177.68197006041891</v>
      </c>
      <c r="AA78" s="2">
        <f t="shared" si="6"/>
        <v>81.214415048683378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40.62698889421678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4.062698889421678E-2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554.21934200354895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129.20389006621889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0.68342323206976785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1279.6312943001194</v>
      </c>
      <c r="D89" s="2">
        <f>D12/'Output-Calculation-sheet'!D11*'Output-Calculation-sheet'!D74</f>
        <v>103.04888125942306</v>
      </c>
      <c r="E89" s="2">
        <f>E12/'Output-Calculation-sheet'!E11*'Output-Calculation-sheet'!E74</f>
        <v>81.896374123697726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107.43009963685338</v>
      </c>
      <c r="I89" s="2">
        <f>I12/'Output-Calculation-sheet'!I11*'Output-Calculation-sheet'!I74</f>
        <v>33.248573042467207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32.678113708058</v>
      </c>
      <c r="L89" s="2">
        <f>L12/'Output-Calculation-sheet'!L11*'Output-Calculation-sheet'!L74</f>
        <v>25.984070141125724</v>
      </c>
      <c r="M89" s="2">
        <f>M12/'Output-Calculation-sheet'!M11*'Output-Calculation-sheet'!M74</f>
        <v>73.922421187322897</v>
      </c>
      <c r="N89" s="2">
        <f>N12/'Output-Calculation-sheet'!N11*'Output-Calculation-sheet'!N74</f>
        <v>48.435918828453417</v>
      </c>
      <c r="O89" s="2">
        <f>O12/'Output-Calculation-sheet'!O11*'Output-Calculation-sheet'!O74</f>
        <v>293.79756011956238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42.43715149489725</v>
      </c>
      <c r="R89" s="2">
        <f>R12/'Output-Calculation-sheet'!R11*'Output-Calculation-sheet'!R74</f>
        <v>21.042174310660098</v>
      </c>
      <c r="S89" s="2">
        <f>S12/'Output-Calculation-sheet'!S11*'Output-Calculation-sheet'!S74</f>
        <v>27.76506539089317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13.540044289741113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10.812629117175261</v>
      </c>
      <c r="Y89" s="2">
        <f>Y12/'Output-Calculation-sheet'!Y11*'Output-Calculation-sheet'!Y74</f>
        <v>5.2171938238957889</v>
      </c>
      <c r="AA89" s="2">
        <f t="shared" si="7"/>
        <v>2.9117040561127014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18866709272.821342</v>
      </c>
      <c r="C96" s="2">
        <f>C8/'Output-Calculation-sheet'!C7*'Output-Calculation-sheet'!C79</f>
        <v>7810571146.7734547</v>
      </c>
      <c r="D96" s="2">
        <f>D8/'Output-Calculation-sheet'!D7*'Output-Calculation-sheet'!D79</f>
        <v>6226250400.7255583</v>
      </c>
      <c r="E96" s="2">
        <f>E8/'Output-Calculation-sheet'!E7*'Output-Calculation-sheet'!E79</f>
        <v>7523481042.3442707</v>
      </c>
      <c r="F96" s="2">
        <f>F8/'Output-Calculation-sheet'!F7*'Output-Calculation-sheet'!F79</f>
        <v>4441067668.1582165</v>
      </c>
      <c r="G96" s="2">
        <f>G8/'Output-Calculation-sheet'!G7*'Output-Calculation-sheet'!G79</f>
        <v>2258957531.1269312</v>
      </c>
      <c r="H96" s="2">
        <f>H8/'Output-Calculation-sheet'!H7*'Output-Calculation-sheet'!H79</f>
        <v>2820687912.7608151</v>
      </c>
      <c r="I96" s="2">
        <f>I8/'Output-Calculation-sheet'!I7*'Output-Calculation-sheet'!I79</f>
        <v>2699792737.4449501</v>
      </c>
      <c r="J96" s="2">
        <f>J8/'Output-Calculation-sheet'!J7*'Output-Calculation-sheet'!J79</f>
        <v>1523859959.9184389</v>
      </c>
      <c r="K96" s="2">
        <f>K8/'Output-Calculation-sheet'!K7*'Output-Calculation-sheet'!K79</f>
        <v>2595655467.3335242</v>
      </c>
      <c r="L96" s="2">
        <f>L8/'Output-Calculation-sheet'!L7*'Output-Calculation-sheet'!L79</f>
        <v>1866846432.098937</v>
      </c>
      <c r="M96" s="2">
        <f>M8/'Output-Calculation-sheet'!M7*'Output-Calculation-sheet'!M79</f>
        <v>1887215793.0068586</v>
      </c>
      <c r="N96" s="2">
        <f>N8/'Output-Calculation-sheet'!N7*'Output-Calculation-sheet'!N79</f>
        <v>1343184598.1230843</v>
      </c>
      <c r="O96" s="2">
        <f>O8/'Output-Calculation-sheet'!O7*'Output-Calculation-sheet'!O79</f>
        <v>1055627673.3896734</v>
      </c>
      <c r="P96" s="2">
        <f>P8/'Output-Calculation-sheet'!P7*'Output-Calculation-sheet'!P79</f>
        <v>2243998827.79497</v>
      </c>
      <c r="Q96" s="2">
        <f>Q8/'Output-Calculation-sheet'!Q7*'Output-Calculation-sheet'!Q79</f>
        <v>1222223622.9784133</v>
      </c>
      <c r="R96" s="2">
        <f>R8/'Output-Calculation-sheet'!R7*'Output-Calculation-sheet'!R79</f>
        <v>1630562545.3362455</v>
      </c>
      <c r="S96" s="2">
        <f>S8/'Output-Calculation-sheet'!S7*'Output-Calculation-sheet'!S79</f>
        <v>1026351223.286419</v>
      </c>
      <c r="T96" s="2">
        <f>T8/'Output-Calculation-sheet'!T7*'Output-Calculation-sheet'!T79</f>
        <v>659061984.97011828</v>
      </c>
      <c r="U96" s="2">
        <f>U8/'Output-Calculation-sheet'!U7*'Output-Calculation-sheet'!U79</f>
        <v>611139072.38959789</v>
      </c>
      <c r="V96" s="2">
        <f>V8/'Output-Calculation-sheet'!V7*'Output-Calculation-sheet'!V79</f>
        <v>393472155.27652615</v>
      </c>
      <c r="W96" s="2">
        <f>W8/'Output-Calculation-sheet'!W7*'Output-Calculation-sheet'!W79</f>
        <v>470681891.23018044</v>
      </c>
      <c r="X96" s="2">
        <f>X8/'Output-Calculation-sheet'!X7*'Output-Calculation-sheet'!X79</f>
        <v>215433764.31333604</v>
      </c>
      <c r="Y96" s="2">
        <f>Y8/'Output-Calculation-sheet'!Y7*'Output-Calculation-sheet'!Y79</f>
        <v>241129043.55160248</v>
      </c>
      <c r="AA96" s="2">
        <f t="shared" si="8"/>
        <v>71.633961767153494</v>
      </c>
    </row>
    <row r="97" spans="1:27" x14ac:dyDescent="0.25">
      <c r="A97" s="2">
        <v>2032</v>
      </c>
      <c r="B97" s="2">
        <f>B9/'Output-Calculation-sheet'!B8*'Output-Calculation-sheet'!B80</f>
        <v>26139403488.611217</v>
      </c>
      <c r="C97" s="2">
        <f>C9/'Output-Calculation-sheet'!C8*'Output-Calculation-sheet'!C80</f>
        <v>10830808141.019218</v>
      </c>
      <c r="D97" s="2">
        <f>D9/'Output-Calculation-sheet'!D8*'Output-Calculation-sheet'!D80</f>
        <v>8560877955.6491127</v>
      </c>
      <c r="E97" s="2">
        <f>E9/'Output-Calculation-sheet'!E8*'Output-Calculation-sheet'!E80</f>
        <v>10330013133.454205</v>
      </c>
      <c r="F97" s="2">
        <f>F9/'Output-Calculation-sheet'!F8*'Output-Calculation-sheet'!F80</f>
        <v>6120824468.9094419</v>
      </c>
      <c r="G97" s="2">
        <f>G9/'Output-Calculation-sheet'!G8*'Output-Calculation-sheet'!G80</f>
        <v>3063979075.0712123</v>
      </c>
      <c r="H97" s="2">
        <f>H9/'Output-Calculation-sheet'!H8*'Output-Calculation-sheet'!H80</f>
        <v>3899948131.4912953</v>
      </c>
      <c r="I97" s="2">
        <f>I9/'Output-Calculation-sheet'!I8*'Output-Calculation-sheet'!I80</f>
        <v>3722657850.5379486</v>
      </c>
      <c r="J97" s="2">
        <f>J9/'Output-Calculation-sheet'!J8*'Output-Calculation-sheet'!J80</f>
        <v>2124203683.189224</v>
      </c>
      <c r="K97" s="2">
        <f>K9/'Output-Calculation-sheet'!K8*'Output-Calculation-sheet'!K80</f>
        <v>3578259192.917932</v>
      </c>
      <c r="L97" s="2">
        <f>L9/'Output-Calculation-sheet'!L8*'Output-Calculation-sheet'!L80</f>
        <v>2588992489.6759214</v>
      </c>
      <c r="M97" s="2">
        <f>M9/'Output-Calculation-sheet'!M8*'Output-Calculation-sheet'!M80</f>
        <v>2609265774.4896693</v>
      </c>
      <c r="N97" s="2">
        <f>N9/'Output-Calculation-sheet'!N8*'Output-Calculation-sheet'!N80</f>
        <v>1865037965.2512648</v>
      </c>
      <c r="O97" s="2">
        <f>O9/'Output-Calculation-sheet'!O8*'Output-Calculation-sheet'!O80</f>
        <v>1471401067.9096797</v>
      </c>
      <c r="P97" s="2">
        <f>P9/'Output-Calculation-sheet'!P8*'Output-Calculation-sheet'!P80</f>
        <v>3074883654.2800007</v>
      </c>
      <c r="Q97" s="2">
        <f>Q9/'Output-Calculation-sheet'!Q8*'Output-Calculation-sheet'!Q80</f>
        <v>1702595544.4320536</v>
      </c>
      <c r="R97" s="2">
        <f>R9/'Output-Calculation-sheet'!R8*'Output-Calculation-sheet'!R80</f>
        <v>2257388512.7579775</v>
      </c>
      <c r="S97" s="2">
        <f>S9/'Output-Calculation-sheet'!S8*'Output-Calculation-sheet'!S80</f>
        <v>1424083962.8456914</v>
      </c>
      <c r="T97" s="2">
        <f>T9/'Output-Calculation-sheet'!T8*'Output-Calculation-sheet'!T80</f>
        <v>905187299.08011889</v>
      </c>
      <c r="U97" s="2">
        <f>U9/'Output-Calculation-sheet'!U8*'Output-Calculation-sheet'!U80</f>
        <v>844122332.20631862</v>
      </c>
      <c r="V97" s="2">
        <f>V9/'Output-Calculation-sheet'!V8*'Output-Calculation-sheet'!V80</f>
        <v>546661659.36921418</v>
      </c>
      <c r="W97" s="2">
        <f>W9/'Output-Calculation-sheet'!W8*'Output-Calculation-sheet'!W80</f>
        <v>639475127.7078886</v>
      </c>
      <c r="X97" s="2">
        <f>X9/'Output-Calculation-sheet'!X8*'Output-Calculation-sheet'!X80</f>
        <v>297765454.58788854</v>
      </c>
      <c r="Y97" s="2">
        <f>Y9/'Output-Calculation-sheet'!Y8*'Output-Calculation-sheet'!Y80</f>
        <v>329044547.99093467</v>
      </c>
      <c r="AA97" s="2">
        <f t="shared" si="8"/>
        <v>98.926880513435435</v>
      </c>
    </row>
    <row r="98" spans="1:27" x14ac:dyDescent="0.25">
      <c r="A98" s="2">
        <v>2033</v>
      </c>
      <c r="B98" s="2">
        <f>B10/'Output-Calculation-sheet'!B9*'Output-Calculation-sheet'!B81</f>
        <v>34008508055.926796</v>
      </c>
      <c r="C98" s="2">
        <f>C10/'Output-Calculation-sheet'!C9*'Output-Calculation-sheet'!C81</f>
        <v>14105958320.092323</v>
      </c>
      <c r="D98" s="2">
        <f>D10/'Output-Calculation-sheet'!D9*'Output-Calculation-sheet'!D81</f>
        <v>11065175918.242334</v>
      </c>
      <c r="E98" s="2">
        <f>E10/'Output-Calculation-sheet'!E9*'Output-Calculation-sheet'!E81</f>
        <v>13326751509.390072</v>
      </c>
      <c r="F98" s="2">
        <f>F10/'Output-Calculation-sheet'!F9*'Output-Calculation-sheet'!F81</f>
        <v>7924398263.2005062</v>
      </c>
      <c r="G98" s="2">
        <f>G10/'Output-Calculation-sheet'!G9*'Output-Calculation-sheet'!G81</f>
        <v>3906150042.4336061</v>
      </c>
      <c r="H98" s="2">
        <f>H10/'Output-Calculation-sheet'!H9*'Output-Calculation-sheet'!H81</f>
        <v>5064397866.7664433</v>
      </c>
      <c r="I98" s="2">
        <f>I10/'Output-Calculation-sheet'!I9*'Output-Calculation-sheet'!I81</f>
        <v>4822471796.1085739</v>
      </c>
      <c r="J98" s="2">
        <f>J10/'Output-Calculation-sheet'!J9*'Output-Calculation-sheet'!J81</f>
        <v>2782671572.6491518</v>
      </c>
      <c r="K98" s="2">
        <f>K10/'Output-Calculation-sheet'!K9*'Output-Calculation-sheet'!K81</f>
        <v>4633884944.2422457</v>
      </c>
      <c r="L98" s="2">
        <f>L10/'Output-Calculation-sheet'!L9*'Output-Calculation-sheet'!L81</f>
        <v>3372124884.5247011</v>
      </c>
      <c r="M98" s="2">
        <f>M10/'Output-Calculation-sheet'!M9*'Output-Calculation-sheet'!M81</f>
        <v>3388955793.3588085</v>
      </c>
      <c r="N98" s="2">
        <f>N10/'Output-Calculation-sheet'!N9*'Output-Calculation-sheet'!N81</f>
        <v>2433581807.4236603</v>
      </c>
      <c r="O98" s="2">
        <f>O10/'Output-Calculation-sheet'!O9*'Output-Calculation-sheet'!O81</f>
        <v>1926756277.4774003</v>
      </c>
      <c r="P98" s="2">
        <f>P10/'Output-Calculation-sheet'!P9*'Output-Calculation-sheet'!P81</f>
        <v>3957554033.2792826</v>
      </c>
      <c r="Q98" s="2">
        <f>Q10/'Output-Calculation-sheet'!Q9*'Output-Calculation-sheet'!Q81</f>
        <v>2228133046.7071395</v>
      </c>
      <c r="R98" s="2">
        <f>R10/'Output-Calculation-sheet'!R9*'Output-Calculation-sheet'!R81</f>
        <v>2935077694.7171049</v>
      </c>
      <c r="S98" s="2">
        <f>S10/'Output-Calculation-sheet'!S9*'Output-Calculation-sheet'!S81</f>
        <v>1855503667.9622571</v>
      </c>
      <c r="T98" s="2">
        <f>T10/'Output-Calculation-sheet'!T9*'Output-Calculation-sheet'!T81</f>
        <v>1168068784.1970439</v>
      </c>
      <c r="U98" s="2">
        <f>U10/'Output-Calculation-sheet'!U9*'Output-Calculation-sheet'!U81</f>
        <v>1094421065.3286881</v>
      </c>
      <c r="V98" s="2">
        <f>V10/'Output-Calculation-sheet'!V9*'Output-Calculation-sheet'!V81</f>
        <v>712807096.07460713</v>
      </c>
      <c r="W98" s="2">
        <f>W10/'Output-Calculation-sheet'!W9*'Output-Calculation-sheet'!W81</f>
        <v>816269826.71398389</v>
      </c>
      <c r="X98" s="2">
        <f>X10/'Output-Calculation-sheet'!X9*'Output-Calculation-sheet'!X81</f>
        <v>386592577.41145682</v>
      </c>
      <c r="Y98" s="2">
        <f>Y10/'Output-Calculation-sheet'!Y9*'Output-Calculation-sheet'!Y81</f>
        <v>421998854.25041527</v>
      </c>
      <c r="AA98" s="2">
        <f t="shared" si="8"/>
        <v>128.33821369847857</v>
      </c>
    </row>
    <row r="99" spans="1:27" x14ac:dyDescent="0.25">
      <c r="A99" s="2">
        <v>2034</v>
      </c>
      <c r="B99" s="2">
        <f>B11/'Output-Calculation-sheet'!B10*'Output-Calculation-sheet'!B82</f>
        <v>42430655004.945793</v>
      </c>
      <c r="C99" s="2">
        <f>C11/'Output-Calculation-sheet'!C10*'Output-Calculation-sheet'!C82</f>
        <v>17620140358.903072</v>
      </c>
      <c r="D99" s="2">
        <f>D11/'Output-Calculation-sheet'!D10*'Output-Calculation-sheet'!D82</f>
        <v>13728696059.288164</v>
      </c>
      <c r="E99" s="2">
        <f>E11/'Output-Calculation-sheet'!E10*'Output-Calculation-sheet'!E82</f>
        <v>16496032677.629562</v>
      </c>
      <c r="F99" s="2">
        <f>F11/'Output-Calculation-sheet'!F10*'Output-Calculation-sheet'!F82</f>
        <v>9841419277.7511501</v>
      </c>
      <c r="G99" s="2">
        <f>G11/'Output-Calculation-sheet'!G10*'Output-Calculation-sheet'!G82</f>
        <v>4779710855.8807669</v>
      </c>
      <c r="H99" s="2">
        <f>H11/'Output-Calculation-sheet'!H10*'Output-Calculation-sheet'!H82</f>
        <v>6307606542.0209312</v>
      </c>
      <c r="I99" s="2">
        <f>I11/'Output-Calculation-sheet'!I10*'Output-Calculation-sheet'!I82</f>
        <v>5993358607.2803631</v>
      </c>
      <c r="J99" s="2">
        <f>J11/'Output-Calculation-sheet'!J10*'Output-Calculation-sheet'!J82</f>
        <v>3497981197.809145</v>
      </c>
      <c r="K99" s="2">
        <f>K11/'Output-Calculation-sheet'!K10*'Output-Calculation-sheet'!K82</f>
        <v>5756660890.4468842</v>
      </c>
      <c r="L99" s="2">
        <f>L11/'Output-Calculation-sheet'!L10*'Output-Calculation-sheet'!L82</f>
        <v>4212367206.0088024</v>
      </c>
      <c r="M99" s="2">
        <f>M11/'Output-Calculation-sheet'!M10*'Output-Calculation-sheet'!M82</f>
        <v>4222347442.3576565</v>
      </c>
      <c r="N99" s="2">
        <f>N11/'Output-Calculation-sheet'!N10*'Output-Calculation-sheet'!N82</f>
        <v>3047112947.986681</v>
      </c>
      <c r="O99" s="2">
        <f>O11/'Output-Calculation-sheet'!O10*'Output-Calculation-sheet'!O82</f>
        <v>2420376472.6104784</v>
      </c>
      <c r="P99" s="2">
        <f>P11/'Output-Calculation-sheet'!P10*'Output-Calculation-sheet'!P82</f>
        <v>4885827132.6984568</v>
      </c>
      <c r="Q99" s="2">
        <f>Q11/'Output-Calculation-sheet'!Q10*'Output-Calculation-sheet'!Q82</f>
        <v>2797197047.6383119</v>
      </c>
      <c r="R99" s="2">
        <f>R11/'Output-Calculation-sheet'!R10*'Output-Calculation-sheet'!R82</f>
        <v>3660003409.5818353</v>
      </c>
      <c r="S99" s="2">
        <f>S11/'Output-Calculation-sheet'!S10*'Output-Calculation-sheet'!S82</f>
        <v>2318373525.9724412</v>
      </c>
      <c r="T99" s="2">
        <f>T11/'Output-Calculation-sheet'!T10*'Output-Calculation-sheet'!T82</f>
        <v>1446164437.0073402</v>
      </c>
      <c r="U99" s="2">
        <f>U11/'Output-Calculation-sheet'!U10*'Output-Calculation-sheet'!U82</f>
        <v>1360279982.3433197</v>
      </c>
      <c r="V99" s="2">
        <f>V11/'Output-Calculation-sheet'!V10*'Output-Calculation-sheet'!V82</f>
        <v>890881332.01009774</v>
      </c>
      <c r="W99" s="2">
        <f>W11/'Output-Calculation-sheet'!W10*'Output-Calculation-sheet'!W82</f>
        <v>999674438.28024185</v>
      </c>
      <c r="X99" s="2">
        <f>X11/'Output-Calculation-sheet'!X10*'Output-Calculation-sheet'!X82</f>
        <v>481443358.73605162</v>
      </c>
      <c r="Y99" s="2">
        <f>Y11/'Output-Calculation-sheet'!Y10*'Output-Calculation-sheet'!Y82</f>
        <v>519415361.49066144</v>
      </c>
      <c r="AA99" s="2">
        <f t="shared" si="8"/>
        <v>159.71372556667822</v>
      </c>
    </row>
    <row r="100" spans="1:27" x14ac:dyDescent="0.25">
      <c r="A100" s="2">
        <v>2035</v>
      </c>
      <c r="B100" s="2">
        <f>B12/'Output-Calculation-sheet'!B11*'Output-Calculation-sheet'!B83</f>
        <v>51315225196.123405</v>
      </c>
      <c r="C100" s="2">
        <f>C12/'Output-Calculation-sheet'!C11*'Output-Calculation-sheet'!C83</f>
        <v>21337793667.39566</v>
      </c>
      <c r="D100" s="2">
        <f>D12/'Output-Calculation-sheet'!D11*'Output-Calculation-sheet'!D83</f>
        <v>16526464331.979973</v>
      </c>
      <c r="E100" s="2">
        <f>E12/'Output-Calculation-sheet'!E11*'Output-Calculation-sheet'!E83</f>
        <v>19802690676.583534</v>
      </c>
      <c r="F100" s="2">
        <f>F12/'Output-Calculation-sheet'!F11*'Output-Calculation-sheet'!F83</f>
        <v>11850916425.658499</v>
      </c>
      <c r="G100" s="2">
        <f>G12/'Output-Calculation-sheet'!G11*'Output-Calculation-sheet'!G83</f>
        <v>5674350046.2985697</v>
      </c>
      <c r="H100" s="2">
        <f>H12/'Output-Calculation-sheet'!H11*'Output-Calculation-sheet'!H83</f>
        <v>7616188874.691617</v>
      </c>
      <c r="I100" s="2">
        <f>I12/'Output-Calculation-sheet'!I11*'Output-Calculation-sheet'!I83</f>
        <v>7222913358.0309677</v>
      </c>
      <c r="J100" s="2">
        <f>J12/'Output-Calculation-sheet'!J11*'Output-Calculation-sheet'!J83</f>
        <v>4264872149.3349543</v>
      </c>
      <c r="K100" s="2">
        <f>K12/'Output-Calculation-sheet'!K11*'Output-Calculation-sheet'!K83</f>
        <v>6934524475.6458635</v>
      </c>
      <c r="L100" s="2">
        <f>L12/'Output-Calculation-sheet'!L11*'Output-Calculation-sheet'!L83</f>
        <v>5101114697.8953791</v>
      </c>
      <c r="M100" s="2">
        <f>M12/'Output-Calculation-sheet'!M11*'Output-Calculation-sheet'!M83</f>
        <v>5100822011.6554232</v>
      </c>
      <c r="N100" s="2">
        <f>N12/'Output-Calculation-sheet'!N11*'Output-Calculation-sheet'!N83</f>
        <v>3700501776.6978998</v>
      </c>
      <c r="O100" s="2">
        <f>O12/'Output-Calculation-sheet'!O11*'Output-Calculation-sheet'!O83</f>
        <v>2948165856.5693092</v>
      </c>
      <c r="P100" s="2">
        <f>P12/'Output-Calculation-sheet'!P11*'Output-Calculation-sheet'!P83</f>
        <v>5848542931.7400627</v>
      </c>
      <c r="Q100" s="2">
        <f>Q12/'Output-Calculation-sheet'!Q11*'Output-Calculation-sheet'!Q83</f>
        <v>3404927875.3324828</v>
      </c>
      <c r="R100" s="2">
        <f>R12/'Output-Calculation-sheet'!R11*'Output-Calculation-sheet'!R83</f>
        <v>4424487491.0841532</v>
      </c>
      <c r="S100" s="2">
        <f>S12/'Output-Calculation-sheet'!S11*'Output-Calculation-sheet'!S83</f>
        <v>2807861627.4352527</v>
      </c>
      <c r="T100" s="2">
        <f>T12/'Output-Calculation-sheet'!T11*'Output-Calculation-sheet'!T83</f>
        <v>1736418847.455229</v>
      </c>
      <c r="U100" s="2">
        <f>U12/'Output-Calculation-sheet'!U11*'Output-Calculation-sheet'!U83</f>
        <v>1638503100.57465</v>
      </c>
      <c r="V100" s="2">
        <f>V12/'Output-Calculation-sheet'!V11*'Output-Calculation-sheet'!V83</f>
        <v>1078871271.8715031</v>
      </c>
      <c r="W100" s="2">
        <f>W12/'Output-Calculation-sheet'!W11*'Output-Calculation-sheet'!W83</f>
        <v>1187318373.1619401</v>
      </c>
      <c r="X100" s="2">
        <f>X12/'Output-Calculation-sheet'!X11*'Output-Calculation-sheet'!X83</f>
        <v>581313161.96495116</v>
      </c>
      <c r="Y100" s="2">
        <f>Y12/'Output-Calculation-sheet'!Y11*'Output-Calculation-sheet'!Y83</f>
        <v>620194698.39468551</v>
      </c>
      <c r="AA100" s="2">
        <f t="shared" si="8"/>
        <v>192.72498292357599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1369138997.3740442</v>
      </c>
      <c r="C107" s="2">
        <f>C8/'Output-Calculation-sheet'!C7*'Output-Calculation-sheet'!C88</f>
        <v>22548242210.8517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7035169320.2750463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4853680364.2525721</v>
      </c>
      <c r="N107" s="2">
        <f>N8/'Output-Calculation-sheet'!N7*'Output-Calculation-sheet'!N88</f>
        <v>1624615886.81159</v>
      </c>
      <c r="O107" s="2">
        <f>O8/'Output-Calculation-sheet'!O7*'Output-Calculation-sheet'!O88</f>
        <v>4381144047.5025616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487111165.02058387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525655136.91733307</v>
      </c>
      <c r="Y107" s="2">
        <f>Y8/'Output-Calculation-sheet'!Y7*'Output-Calculation-sheet'!Y88</f>
        <v>0</v>
      </c>
      <c r="AA107" s="2">
        <f t="shared" si="9"/>
        <v>42824.75712900544</v>
      </c>
    </row>
    <row r="108" spans="1:27" x14ac:dyDescent="0.25">
      <c r="A108" s="2">
        <v>2032</v>
      </c>
      <c r="B108" s="2">
        <f>B9/'Output-Calculation-sheet'!B8*'Output-Calculation-sheet'!B89</f>
        <v>6171121504.0170507</v>
      </c>
      <c r="C108" s="2">
        <f>C9/'Output-Calculation-sheet'!C8*'Output-Calculation-sheet'!C89</f>
        <v>30935354183.026615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9651616820.3552856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6658776368.0642347</v>
      </c>
      <c r="N108" s="2">
        <f>N9/'Output-Calculation-sheet'!N8*'Output-Calculation-sheet'!N89</f>
        <v>3124221962.7680583</v>
      </c>
      <c r="O108" s="2">
        <f>O9/'Output-Calculation-sheet'!O8*'Output-Calculation-sheet'!O89</f>
        <v>6010765630.3731766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944041555.35086358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721165384.40092039</v>
      </c>
      <c r="Y108" s="2">
        <f>Y9/'Output-Calculation-sheet'!Y8*'Output-Calculation-sheet'!Y89</f>
        <v>0</v>
      </c>
      <c r="AA108" s="2">
        <f t="shared" si="9"/>
        <v>64217.063408356196</v>
      </c>
    </row>
    <row r="109" spans="1:27" x14ac:dyDescent="0.25">
      <c r="A109" s="2">
        <v>2033</v>
      </c>
      <c r="B109" s="2">
        <f>B10/'Output-Calculation-sheet'!B9*'Output-Calculation-sheet'!B90</f>
        <v>16873088994.752102</v>
      </c>
      <c r="C109" s="2">
        <f>C10/'Output-Calculation-sheet'!C9*'Output-Calculation-sheet'!C90</f>
        <v>39877450421.023453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12441485336.244415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8583543707.4557991</v>
      </c>
      <c r="N109" s="2">
        <f>N10/'Output-Calculation-sheet'!N9*'Output-Calculation-sheet'!N90</f>
        <v>5056923464.8609619</v>
      </c>
      <c r="O109" s="2">
        <f>O10/'Output-Calculation-sheet'!O9*'Output-Calculation-sheet'!O90</f>
        <v>7387723384.7438383</v>
      </c>
      <c r="P109" s="2">
        <f>P10/'Output-Calculation-sheet'!P9*'Output-Calculation-sheet'!P90</f>
        <v>0</v>
      </c>
      <c r="Q109" s="2">
        <f>Q10/'Output-Calculation-sheet'!Q9*'Output-Calculation-sheet'!Q90</f>
        <v>164600272.92988309</v>
      </c>
      <c r="R109" s="2">
        <f>R10/'Output-Calculation-sheet'!R9*'Output-Calculation-sheet'!R90</f>
        <v>0</v>
      </c>
      <c r="S109" s="2">
        <f>S10/'Output-Calculation-sheet'!S9*'Output-Calculation-sheet'!S90</f>
        <v>2038677205.9944584</v>
      </c>
      <c r="T109" s="2">
        <f>T10/'Output-Calculation-sheet'!T9*'Output-Calculation-sheet'!T90</f>
        <v>-3.3882008057209895E-7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929623753.3915273</v>
      </c>
      <c r="Y109" s="2">
        <f>Y10/'Output-Calculation-sheet'!Y9*'Output-Calculation-sheet'!Y90</f>
        <v>0</v>
      </c>
      <c r="AA109" s="2">
        <f t="shared" si="9"/>
        <v>93353.116541396434</v>
      </c>
    </row>
    <row r="110" spans="1:27" x14ac:dyDescent="0.25">
      <c r="A110" s="2">
        <v>2034</v>
      </c>
      <c r="B110" s="2">
        <f>B11/'Output-Calculation-sheet'!B10*'Output-Calculation-sheet'!B91</f>
        <v>41225792533.79528</v>
      </c>
      <c r="C110" s="2">
        <f>C11/'Output-Calculation-sheet'!C10*'Output-Calculation-sheet'!C91</f>
        <v>45666986549.108353</v>
      </c>
      <c r="D110" s="2">
        <f>D11/'Output-Calculation-sheet'!D10*'Output-Calculation-sheet'!D91</f>
        <v>0</v>
      </c>
      <c r="E110" s="2">
        <f>E11/'Output-Calculation-sheet'!E10*'Output-Calculation-sheet'!E91</f>
        <v>862772615.3591702</v>
      </c>
      <c r="F110" s="2">
        <f>F11/'Output-Calculation-sheet'!F10*'Output-Calculation-sheet'!F91</f>
        <v>0</v>
      </c>
      <c r="G110" s="2">
        <f>G11/'Output-Calculation-sheet'!G10*'Output-Calculation-sheet'!G91</f>
        <v>-1.9448878248152329E-6</v>
      </c>
      <c r="H110" s="2">
        <f>H11/'Output-Calculation-sheet'!H10*'Output-Calculation-sheet'!H91</f>
        <v>15387498745.416159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700522286.81685567</v>
      </c>
      <c r="M110" s="2">
        <f>M11/'Output-Calculation-sheet'!M10*'Output-Calculation-sheet'!M91</f>
        <v>10616035176.302187</v>
      </c>
      <c r="N110" s="2">
        <f>N11/'Output-Calculation-sheet'!N10*'Output-Calculation-sheet'!N91</f>
        <v>7343534381.9465227</v>
      </c>
      <c r="O110" s="2">
        <f>O11/'Output-Calculation-sheet'!O10*'Output-Calculation-sheet'!O91</f>
        <v>8418987925.2616882</v>
      </c>
      <c r="P110" s="2">
        <f>P11/'Output-Calculation-sheet'!P10*'Output-Calculation-sheet'!P91</f>
        <v>7.8376116533857714E-7</v>
      </c>
      <c r="Q110" s="2">
        <f>Q11/'Output-Calculation-sheet'!Q10*'Output-Calculation-sheet'!Q91</f>
        <v>1868877866.2992668</v>
      </c>
      <c r="R110" s="2">
        <f>R11/'Output-Calculation-sheet'!R10*'Output-Calculation-sheet'!R91</f>
        <v>0</v>
      </c>
      <c r="S110" s="2">
        <f>S11/'Output-Calculation-sheet'!S10*'Output-Calculation-sheet'!S91</f>
        <v>3610554094.1535354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1047953746.1128514</v>
      </c>
      <c r="Y110" s="2">
        <f>Y11/'Output-Calculation-sheet'!Y10*'Output-Calculation-sheet'!Y91</f>
        <v>46037256.879287325</v>
      </c>
      <c r="AA110" s="2">
        <f t="shared" si="9"/>
        <v>136795.55317745113</v>
      </c>
    </row>
    <row r="111" spans="1:27" x14ac:dyDescent="0.25">
      <c r="A111" s="2">
        <v>2035</v>
      </c>
      <c r="B111" s="2">
        <f>B12/'Output-Calculation-sheet'!B11*'Output-Calculation-sheet'!B92</f>
        <v>61716477450.355774</v>
      </c>
      <c r="C111" s="2">
        <f>C12/'Output-Calculation-sheet'!C11*'Output-Calculation-sheet'!C92</f>
        <v>51854789764.217896</v>
      </c>
      <c r="D111" s="2">
        <f>D12/'Output-Calculation-sheet'!D11*'Output-Calculation-sheet'!D92</f>
        <v>0</v>
      </c>
      <c r="E111" s="2">
        <f>E12/'Output-Calculation-sheet'!E11*'Output-Calculation-sheet'!E92</f>
        <v>7014105866.7993689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17601605356.741184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2257937483.2127004</v>
      </c>
      <c r="M111" s="2">
        <f>M12/'Output-Calculation-sheet'!M11*'Output-Calculation-sheet'!M92</f>
        <v>12185327555.065592</v>
      </c>
      <c r="N111" s="2">
        <f>N12/'Output-Calculation-sheet'!N11*'Output-Calculation-sheet'!N92</f>
        <v>8736897678.0317822</v>
      </c>
      <c r="O111" s="2">
        <f>O12/'Output-Calculation-sheet'!O11*'Output-Calculation-sheet'!O92</f>
        <v>9312040226.9385033</v>
      </c>
      <c r="P111" s="2">
        <f>P12/'Output-Calculation-sheet'!P11*'Output-Calculation-sheet'!P92</f>
        <v>479216896.00763053</v>
      </c>
      <c r="Q111" s="2">
        <f>Q12/'Output-Calculation-sheet'!Q11*'Output-Calculation-sheet'!Q92</f>
        <v>3753555440.4357882</v>
      </c>
      <c r="R111" s="2">
        <f>R12/'Output-Calculation-sheet'!R11*'Output-Calculation-sheet'!R92</f>
        <v>0</v>
      </c>
      <c r="S111" s="2">
        <f>S12/'Output-Calculation-sheet'!S11*'Output-Calculation-sheet'!S92</f>
        <v>4699205387.5834694</v>
      </c>
      <c r="T111" s="2">
        <f>T12/'Output-Calculation-sheet'!T11*'Output-Calculation-sheet'!T92</f>
        <v>0</v>
      </c>
      <c r="U111" s="2">
        <f>U12/'Output-Calculation-sheet'!U11*'Output-Calculation-sheet'!U92</f>
        <v>166909886.16539636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1197273772.041523</v>
      </c>
      <c r="Y111" s="2">
        <f>Y12/'Output-Calculation-sheet'!Y11*'Output-Calculation-sheet'!Y92</f>
        <v>283264408.35212749</v>
      </c>
      <c r="AA111" s="2">
        <f t="shared" si="9"/>
        <v>181258.60717194877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46489481731.77224</v>
      </c>
      <c r="C118" s="2">
        <f>C8/'Output-Calculation-sheet'!C7*'Output-Calculation-sheet'!C97</f>
        <v>0</v>
      </c>
      <c r="D118" s="2">
        <f>D8/'Output-Calculation-sheet'!D7*'Output-Calculation-sheet'!D97</f>
        <v>20101172177.436607</v>
      </c>
      <c r="E118" s="2">
        <f>E8/'Output-Calculation-sheet'!E7*'Output-Calculation-sheet'!E97</f>
        <v>15948240320.197941</v>
      </c>
      <c r="F118" s="2">
        <f>F8/'Output-Calculation-sheet'!F7*'Output-Calculation-sheet'!F97</f>
        <v>10266454591.175076</v>
      </c>
      <c r="G118" s="2">
        <f>G8/'Output-Calculation-sheet'!G7*'Output-Calculation-sheet'!G97</f>
        <v>7213492751.0009565</v>
      </c>
      <c r="H118" s="2">
        <f>H8/'Output-Calculation-sheet'!H7*'Output-Calculation-sheet'!H97</f>
        <v>0</v>
      </c>
      <c r="I118" s="2">
        <f>I8/'Output-Calculation-sheet'!I7*'Output-Calculation-sheet'!I97</f>
        <v>6572059722.1218491</v>
      </c>
      <c r="J118" s="2">
        <f>J8/'Output-Calculation-sheet'!J7*'Output-Calculation-sheet'!J97</f>
        <v>6396790277.6193714</v>
      </c>
      <c r="K118" s="2">
        <f>K8/'Output-Calculation-sheet'!K7*'Output-Calculation-sheet'!K97</f>
        <v>6335464326.4169378</v>
      </c>
      <c r="L118" s="2">
        <f>L8/'Output-Calculation-sheet'!L7*'Output-Calculation-sheet'!L97</f>
        <v>5082391861.2465048</v>
      </c>
      <c r="M118" s="2">
        <f>M8/'Output-Calculation-sheet'!M7*'Output-Calculation-sheet'!M97</f>
        <v>0</v>
      </c>
      <c r="N118" s="2">
        <f>N8/'Output-Calculation-sheet'!N7*'Output-Calculation-sheet'!N97</f>
        <v>3140085225.9759784</v>
      </c>
      <c r="O118" s="2">
        <f>O8/'Output-Calculation-sheet'!O7*'Output-Calculation-sheet'!O97</f>
        <v>0</v>
      </c>
      <c r="P118" s="2">
        <f>P8/'Output-Calculation-sheet'!P7*'Output-Calculation-sheet'!P97</f>
        <v>4337559416.6004229</v>
      </c>
      <c r="Q118" s="2">
        <f>Q8/'Output-Calculation-sheet'!Q7*'Output-Calculation-sheet'!Q97</f>
        <v>4267456637.3667836</v>
      </c>
      <c r="R118" s="2">
        <f>R8/'Output-Calculation-sheet'!R7*'Output-Calculation-sheet'!R97</f>
        <v>4105489546.6515589</v>
      </c>
      <c r="S118" s="2">
        <f>S8/'Output-Calculation-sheet'!S7*'Output-Calculation-sheet'!S97</f>
        <v>2241608243.2884612</v>
      </c>
      <c r="T118" s="2">
        <f>T8/'Output-Calculation-sheet'!T7*'Output-Calculation-sheet'!T97</f>
        <v>1509142950.2654731</v>
      </c>
      <c r="U118" s="2">
        <f>U8/'Output-Calculation-sheet'!U7*'Output-Calculation-sheet'!U97</f>
        <v>1314411686.3472242</v>
      </c>
      <c r="V118" s="2">
        <f>V8/'Output-Calculation-sheet'!V7*'Output-Calculation-sheet'!V97</f>
        <v>1012123684.4465423</v>
      </c>
      <c r="W118" s="2">
        <f>W8/'Output-Calculation-sheet'!W7*'Output-Calculation-sheet'!W97</f>
        <v>876274457.29644442</v>
      </c>
      <c r="X118" s="2">
        <f>X8/'Output-Calculation-sheet'!X7*'Output-Calculation-sheet'!X97</f>
        <v>0</v>
      </c>
      <c r="Y118" s="2">
        <f>Y8/'Output-Calculation-sheet'!Y7*'Output-Calculation-sheet'!Y97</f>
        <v>511301088.17452019</v>
      </c>
      <c r="AA118" s="2">
        <f t="shared" si="10"/>
        <v>147721.0006954009</v>
      </c>
    </row>
    <row r="119" spans="1:27" x14ac:dyDescent="0.25">
      <c r="A119" s="2">
        <v>2032</v>
      </c>
      <c r="B119" s="2">
        <f>B9/'Output-Calculation-sheet'!B8*'Output-Calculation-sheet'!B98</f>
        <v>59486124592.883789</v>
      </c>
      <c r="C119" s="2">
        <f>C9/'Output-Calculation-sheet'!C8*'Output-Calculation-sheet'!C98</f>
        <v>0</v>
      </c>
      <c r="D119" s="2">
        <f>D9/'Output-Calculation-sheet'!D8*'Output-Calculation-sheet'!D98</f>
        <v>27576802008.268772</v>
      </c>
      <c r="E119" s="2">
        <f>E9/'Output-Calculation-sheet'!E8*'Output-Calculation-sheet'!E98</f>
        <v>21879388851.276031</v>
      </c>
      <c r="F119" s="2">
        <f>F9/'Output-Calculation-sheet'!F8*'Output-Calculation-sheet'!F98</f>
        <v>14084552098.487322</v>
      </c>
      <c r="G119" s="2">
        <f>G9/'Output-Calculation-sheet'!G8*'Output-Calculation-sheet'!G98</f>
        <v>9896192876.9406815</v>
      </c>
      <c r="H119" s="2">
        <f>H9/'Output-Calculation-sheet'!H8*'Output-Calculation-sheet'!H98</f>
        <v>0</v>
      </c>
      <c r="I119" s="2">
        <f>I9/'Output-Calculation-sheet'!I8*'Output-Calculation-sheet'!I98</f>
        <v>9016211389.0271797</v>
      </c>
      <c r="J119" s="2">
        <f>J9/'Output-Calculation-sheet'!J8*'Output-Calculation-sheet'!J98</f>
        <v>8775755759.6466217</v>
      </c>
      <c r="K119" s="2">
        <f>K9/'Output-Calculation-sheet'!K8*'Output-Calculation-sheet'!K98</f>
        <v>8691624058.5660763</v>
      </c>
      <c r="L119" s="2">
        <f>L9/'Output-Calculation-sheet'!L8*'Output-Calculation-sheet'!L98</f>
        <v>6972535465.6692038</v>
      </c>
      <c r="M119" s="2">
        <f>M9/'Output-Calculation-sheet'!M8*'Output-Calculation-sheet'!M98</f>
        <v>0</v>
      </c>
      <c r="N119" s="2">
        <f>N9/'Output-Calculation-sheet'!N8*'Output-Calculation-sheet'!N98</f>
        <v>3411927547.2473812</v>
      </c>
      <c r="O119" s="2">
        <f>O9/'Output-Calculation-sheet'!O8*'Output-Calculation-sheet'!O98</f>
        <v>6.1228964075537059E-7</v>
      </c>
      <c r="P119" s="2">
        <f>P9/'Output-Calculation-sheet'!P8*'Output-Calculation-sheet'!P98</f>
        <v>5950659293.7418604</v>
      </c>
      <c r="Q119" s="2">
        <f>Q9/'Output-Calculation-sheet'!Q8*'Output-Calculation-sheet'!Q98</f>
        <v>5854524574.5767851</v>
      </c>
      <c r="R119" s="2">
        <f>R9/'Output-Calculation-sheet'!R8*'Output-Calculation-sheet'!R98</f>
        <v>5632322345.2774706</v>
      </c>
      <c r="S119" s="2">
        <f>S9/'Output-Calculation-sheet'!S8*'Output-Calculation-sheet'!S98</f>
        <v>2799288542.0827036</v>
      </c>
      <c r="T119" s="2">
        <f>T9/'Output-Calculation-sheet'!T8*'Output-Calculation-sheet'!T98</f>
        <v>2070393181.4289355</v>
      </c>
      <c r="U119" s="2">
        <f>U9/'Output-Calculation-sheet'!U8*'Output-Calculation-sheet'!U98</f>
        <v>1803242072.9219604</v>
      </c>
      <c r="V119" s="2">
        <f>V9/'Output-Calculation-sheet'!V8*'Output-Calculation-sheet'!V98</f>
        <v>1388532461.2188203</v>
      </c>
      <c r="W119" s="2">
        <f>W9/'Output-Calculation-sheet'!W8*'Output-Calculation-sheet'!W98</f>
        <v>1202161193.0444379</v>
      </c>
      <c r="X119" s="2">
        <f>X9/'Output-Calculation-sheet'!X8*'Output-Calculation-sheet'!X98</f>
        <v>0</v>
      </c>
      <c r="Y119" s="2">
        <f>Y9/'Output-Calculation-sheet'!Y8*'Output-Calculation-sheet'!Y98</f>
        <v>701453843.47783148</v>
      </c>
      <c r="AA119" s="2">
        <f t="shared" si="10"/>
        <v>197193.69215578382</v>
      </c>
    </row>
    <row r="120" spans="1:27" x14ac:dyDescent="0.25">
      <c r="A120" s="2">
        <v>2033</v>
      </c>
      <c r="B120" s="2">
        <f>B10/'Output-Calculation-sheet'!B9*'Output-Calculation-sheet'!B99</f>
        <v>67755183934.132431</v>
      </c>
      <c r="C120" s="2">
        <f>C10/'Output-Calculation-sheet'!C9*'Output-Calculation-sheet'!C99</f>
        <v>0</v>
      </c>
      <c r="D120" s="2">
        <f>D10/'Output-Calculation-sheet'!D9*'Output-Calculation-sheet'!D99</f>
        <v>35547007889.720413</v>
      </c>
      <c r="E120" s="2">
        <f>E10/'Output-Calculation-sheet'!E9*'Output-Calculation-sheet'!E99</f>
        <v>28202939889.553925</v>
      </c>
      <c r="F120" s="2">
        <f>F10/'Output-Calculation-sheet'!F9*'Output-Calculation-sheet'!F99</f>
        <v>18155244459.606434</v>
      </c>
      <c r="G120" s="2">
        <f>G10/'Output-Calculation-sheet'!G9*'Output-Calculation-sheet'!G99</f>
        <v>12756373014.55512</v>
      </c>
      <c r="H120" s="2">
        <f>H10/'Output-Calculation-sheet'!H9*'Output-Calculation-sheet'!H99</f>
        <v>0</v>
      </c>
      <c r="I120" s="2">
        <f>I10/'Output-Calculation-sheet'!I9*'Output-Calculation-sheet'!I99</f>
        <v>11622061456.488907</v>
      </c>
      <c r="J120" s="2">
        <f>J10/'Output-Calculation-sheet'!J9*'Output-Calculation-sheet'!J99</f>
        <v>11312109730.895748</v>
      </c>
      <c r="K120" s="2">
        <f>K10/'Output-Calculation-sheet'!K9*'Output-Calculation-sheet'!K99</f>
        <v>11203663600.683218</v>
      </c>
      <c r="L120" s="2">
        <f>L10/'Output-Calculation-sheet'!L9*'Output-Calculation-sheet'!L99</f>
        <v>8987725786.9147129</v>
      </c>
      <c r="M120" s="2">
        <f>M10/'Output-Calculation-sheet'!M9*'Output-Calculation-sheet'!M99</f>
        <v>0</v>
      </c>
      <c r="N120" s="2">
        <f>N10/'Output-Calculation-sheet'!N9*'Output-Calculation-sheet'!N99</f>
        <v>3367796536.9342289</v>
      </c>
      <c r="O120" s="2">
        <f>O10/'Output-Calculation-sheet'!O9*'Output-Calculation-sheet'!O99</f>
        <v>0</v>
      </c>
      <c r="P120" s="2">
        <f>P10/'Output-Calculation-sheet'!P9*'Output-Calculation-sheet'!P99</f>
        <v>7670106102.3502064</v>
      </c>
      <c r="Q120" s="2">
        <f>Q10/'Output-Calculation-sheet'!Q9*'Output-Calculation-sheet'!Q99</f>
        <v>7381915258.2495203</v>
      </c>
      <c r="R120" s="2">
        <f>R10/'Output-Calculation-sheet'!R9*'Output-Calculation-sheet'!R99</f>
        <v>7259821949.091527</v>
      </c>
      <c r="S120" s="2">
        <f>S10/'Output-Calculation-sheet'!S9*'Output-Calculation-sheet'!S99</f>
        <v>2786221546.6578369</v>
      </c>
      <c r="T120" s="2">
        <f>T10/'Output-Calculation-sheet'!T9*'Output-Calculation-sheet'!T99</f>
        <v>2668751737.7602267</v>
      </c>
      <c r="U120" s="2">
        <f>U10/'Output-Calculation-sheet'!U9*'Output-Calculation-sheet'!U99</f>
        <v>2324917210.4079356</v>
      </c>
      <c r="V120" s="2">
        <f>V10/'Output-Calculation-sheet'!V9*'Output-Calculation-sheet'!V99</f>
        <v>1789843839.7295663</v>
      </c>
      <c r="W120" s="2">
        <f>W10/'Output-Calculation-sheet'!W9*'Output-Calculation-sheet'!W99</f>
        <v>1549608096.5424294</v>
      </c>
      <c r="X120" s="2">
        <f>X10/'Output-Calculation-sheet'!X9*'Output-Calculation-sheet'!X99</f>
        <v>0</v>
      </c>
      <c r="Y120" s="2">
        <f>Y10/'Output-Calculation-sheet'!Y9*'Output-Calculation-sheet'!Y99</f>
        <v>904188198.38041711</v>
      </c>
      <c r="AA120" s="2">
        <f t="shared" si="10"/>
        <v>243245.48023865483</v>
      </c>
    </row>
    <row r="121" spans="1:27" x14ac:dyDescent="0.25">
      <c r="A121" s="2">
        <v>2034</v>
      </c>
      <c r="B121" s="2">
        <f>B11/'Output-Calculation-sheet'!B10*'Output-Calculation-sheet'!B100</f>
        <v>63432432422.399979</v>
      </c>
      <c r="C121" s="2">
        <f>C11/'Output-Calculation-sheet'!C10*'Output-Calculation-sheet'!C100</f>
        <v>0</v>
      </c>
      <c r="D121" s="2">
        <f>D11/'Output-Calculation-sheet'!D10*'Output-Calculation-sheet'!D100</f>
        <v>43963216445.696831</v>
      </c>
      <c r="E121" s="2">
        <f>E11/'Output-Calculation-sheet'!E10*'Output-Calculation-sheet'!E100</f>
        <v>34016098468.69762</v>
      </c>
      <c r="F121" s="2">
        <f>F11/'Output-Calculation-sheet'!F10*'Output-Calculation-sheet'!F100</f>
        <v>22453609714.686954</v>
      </c>
      <c r="G121" s="2">
        <f>G11/'Output-Calculation-sheet'!G10*'Output-Calculation-sheet'!G100</f>
        <v>15775749151.278494</v>
      </c>
      <c r="H121" s="2">
        <f>H11/'Output-Calculation-sheet'!H10*'Output-Calculation-sheet'!H100</f>
        <v>1.8992225548456168E-7</v>
      </c>
      <c r="I121" s="2">
        <f>I11/'Output-Calculation-sheet'!I10*'Output-Calculation-sheet'!I100</f>
        <v>14373224647.014986</v>
      </c>
      <c r="J121" s="2">
        <f>J11/'Output-Calculation-sheet'!J10*'Output-Calculation-sheet'!J100</f>
        <v>13990034185.488188</v>
      </c>
      <c r="K121" s="2">
        <f>K11/'Output-Calculation-sheet'!K10*'Output-Calculation-sheet'!K100</f>
        <v>13856279880.021313</v>
      </c>
      <c r="L121" s="2">
        <f>L11/'Output-Calculation-sheet'!L10*'Output-Calculation-sheet'!L100</f>
        <v>10414828492.184307</v>
      </c>
      <c r="M121" s="2">
        <f>M11/'Output-Calculation-sheet'!M10*'Output-Calculation-sheet'!M100</f>
        <v>-1.2333935625160387E-7</v>
      </c>
      <c r="N121" s="2">
        <f>N11/'Output-Calculation-sheet'!N10*'Output-Calculation-sheet'!N100</f>
        <v>3076070788.5765615</v>
      </c>
      <c r="O121" s="2">
        <f>O11/'Output-Calculation-sheet'!O10*'Output-Calculation-sheet'!O100</f>
        <v>0</v>
      </c>
      <c r="P121" s="2">
        <f>P11/'Output-Calculation-sheet'!P10*'Output-Calculation-sheet'!P100</f>
        <v>9485710938.8017273</v>
      </c>
      <c r="Q121" s="2">
        <f>Q11/'Output-Calculation-sheet'!Q10*'Output-Calculation-sheet'!Q100</f>
        <v>7463608387.1932812</v>
      </c>
      <c r="R121" s="2">
        <f>R11/'Output-Calculation-sheet'!R10*'Output-Calculation-sheet'!R100</f>
        <v>8978289976.9082355</v>
      </c>
      <c r="S121" s="2">
        <f>S11/'Output-Calculation-sheet'!S10*'Output-Calculation-sheet'!S100</f>
        <v>2356652185.7702274</v>
      </c>
      <c r="T121" s="2">
        <f>T11/'Output-Calculation-sheet'!T10*'Output-Calculation-sheet'!T100</f>
        <v>3300415637.7491283</v>
      </c>
      <c r="U121" s="2">
        <f>U11/'Output-Calculation-sheet'!U10*'Output-Calculation-sheet'!U100</f>
        <v>2876295040.7670884</v>
      </c>
      <c r="V121" s="2">
        <f>V11/'Output-Calculation-sheet'!V10*'Output-Calculation-sheet'!V100</f>
        <v>2213612579.5026355</v>
      </c>
      <c r="W121" s="2">
        <f>W11/'Output-Calculation-sheet'!W10*'Output-Calculation-sheet'!W100</f>
        <v>1916554548.4294128</v>
      </c>
      <c r="X121" s="2">
        <f>X11/'Output-Calculation-sheet'!X10*'Output-Calculation-sheet'!X100</f>
        <v>101795384.5746478</v>
      </c>
      <c r="Y121" s="2">
        <f>Y11/'Output-Calculation-sheet'!Y10*'Output-Calculation-sheet'!Y100</f>
        <v>1072208734.0404531</v>
      </c>
      <c r="AA121" s="2">
        <f t="shared" si="10"/>
        <v>275116.68760978203</v>
      </c>
    </row>
    <row r="122" spans="1:27" x14ac:dyDescent="0.25">
      <c r="A122" s="2">
        <v>2035</v>
      </c>
      <c r="B122" s="2">
        <f>B12/'Output-Calculation-sheet'!B11*'Output-Calculation-sheet'!B101</f>
        <v>60423082625.932945</v>
      </c>
      <c r="C122" s="2">
        <f>C12/'Output-Calculation-sheet'!C11*'Output-Calculation-sheet'!C101</f>
        <v>0</v>
      </c>
      <c r="D122" s="2">
        <f>D12/'Output-Calculation-sheet'!D11*'Output-Calculation-sheet'!D101</f>
        <v>50643774585.580376</v>
      </c>
      <c r="E122" s="2">
        <f>E12/'Output-Calculation-sheet'!E11*'Output-Calculation-sheet'!E101</f>
        <v>34101248892.874527</v>
      </c>
      <c r="F122" s="2">
        <f>F12/'Output-Calculation-sheet'!F11*'Output-Calculation-sheet'!F101</f>
        <v>26398178290.913952</v>
      </c>
      <c r="G122" s="2">
        <f>G12/'Output-Calculation-sheet'!G11*'Output-Calculation-sheet'!G101</f>
        <v>17989256074.565437</v>
      </c>
      <c r="H122" s="2">
        <f>H12/'Output-Calculation-sheet'!H11*'Output-Calculation-sheet'!H101</f>
        <v>0</v>
      </c>
      <c r="I122" s="2">
        <f>I12/'Output-Calculation-sheet'!I11*'Output-Calculation-sheet'!I101</f>
        <v>16844850905.082722</v>
      </c>
      <c r="J122" s="2">
        <f>J12/'Output-Calculation-sheet'!J11*'Output-Calculation-sheet'!J101</f>
        <v>16099753339.39097</v>
      </c>
      <c r="K122" s="2">
        <f>K12/'Output-Calculation-sheet'!K11*'Output-Calculation-sheet'!K101</f>
        <v>16256574027.218491</v>
      </c>
      <c r="L122" s="2">
        <f>L12/'Output-Calculation-sheet'!L11*'Output-Calculation-sheet'!L101</f>
        <v>10819325077.572351</v>
      </c>
      <c r="M122" s="2">
        <f>M12/'Output-Calculation-sheet'!M11*'Output-Calculation-sheet'!M101</f>
        <v>0</v>
      </c>
      <c r="N122" s="2">
        <f>N12/'Output-Calculation-sheet'!N11*'Output-Calculation-sheet'!N101</f>
        <v>3187502429.6101007</v>
      </c>
      <c r="O122" s="2">
        <f>O12/'Output-Calculation-sheet'!O11*'Output-Calculation-sheet'!O101</f>
        <v>0</v>
      </c>
      <c r="P122" s="2">
        <f>P12/'Output-Calculation-sheet'!P11*'Output-Calculation-sheet'!P101</f>
        <v>10668597637.410732</v>
      </c>
      <c r="Q122" s="2">
        <f>Q12/'Output-Calculation-sheet'!Q11*'Output-Calculation-sheet'!Q101</f>
        <v>6948841665.5259037</v>
      </c>
      <c r="R122" s="2">
        <f>R12/'Output-Calculation-sheet'!R11*'Output-Calculation-sheet'!R101</f>
        <v>10525190379.320627</v>
      </c>
      <c r="S122" s="2">
        <f>S12/'Output-Calculation-sheet'!S11*'Output-Calculation-sheet'!S101</f>
        <v>2213156138.8146338</v>
      </c>
      <c r="T122" s="2">
        <f>T12/'Output-Calculation-sheet'!T11*'Output-Calculation-sheet'!T101</f>
        <v>3899586098.430316</v>
      </c>
      <c r="U122" s="2">
        <f>U12/'Output-Calculation-sheet'!U11*'Output-Calculation-sheet'!U101</f>
        <v>3194998891.9018397</v>
      </c>
      <c r="V122" s="2">
        <f>V12/'Output-Calculation-sheet'!V11*'Output-Calculation-sheet'!V101</f>
        <v>2630238780.9507418</v>
      </c>
      <c r="W122" s="2">
        <f>W12/'Output-Calculation-sheet'!W11*'Output-Calculation-sheet'!W101</f>
        <v>2268448308.0896444</v>
      </c>
      <c r="X122" s="2">
        <f>X12/'Output-Calculation-sheet'!X11*'Output-Calculation-sheet'!X101</f>
        <v>109638707.6695175</v>
      </c>
      <c r="Y122" s="2">
        <f>Y12/'Output-Calculation-sheet'!Y11*'Output-Calculation-sheet'!Y101</f>
        <v>1023978370.9563353</v>
      </c>
      <c r="AA122" s="2">
        <f t="shared" si="10"/>
        <v>296246.22122781217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47858621600.695717</v>
      </c>
      <c r="C129" s="2">
        <f>C8/'Output-Calculation-sheet'!C7*'Output-Calculation-sheet'!C106</f>
        <v>22553395182.530972</v>
      </c>
      <c r="D129" s="2">
        <f>D8/'Output-Calculation-sheet'!D7*'Output-Calculation-sheet'!D106</f>
        <v>20101172177.436607</v>
      </c>
      <c r="E129" s="2">
        <f>E8/'Output-Calculation-sheet'!E7*'Output-Calculation-sheet'!E106</f>
        <v>15948240320.197941</v>
      </c>
      <c r="F129" s="2">
        <f>F8/'Output-Calculation-sheet'!F7*'Output-Calculation-sheet'!F106</f>
        <v>10266454591.175076</v>
      </c>
      <c r="G129" s="2">
        <f>G8/'Output-Calculation-sheet'!G7*'Output-Calculation-sheet'!G106</f>
        <v>7213492751.0009565</v>
      </c>
      <c r="H129" s="2">
        <f>H8/'Output-Calculation-sheet'!H7*'Output-Calculation-sheet'!H106</f>
        <v>7036485275.8184662</v>
      </c>
      <c r="I129" s="2">
        <f>I8/'Output-Calculation-sheet'!I7*'Output-Calculation-sheet'!I106</f>
        <v>6572059722.1218491</v>
      </c>
      <c r="J129" s="2">
        <f>J8/'Output-Calculation-sheet'!J7*'Output-Calculation-sheet'!J106</f>
        <v>6396790277.6193714</v>
      </c>
      <c r="K129" s="2">
        <f>K8/'Output-Calculation-sheet'!K7*'Output-Calculation-sheet'!K106</f>
        <v>6335464326.4169378</v>
      </c>
      <c r="L129" s="2">
        <f>L8/'Output-Calculation-sheet'!L7*'Output-Calculation-sheet'!L106</f>
        <v>5082391861.2465048</v>
      </c>
      <c r="M129" s="2">
        <f>M8/'Output-Calculation-sheet'!M7*'Output-Calculation-sheet'!M106</f>
        <v>4854561448.0740156</v>
      </c>
      <c r="N129" s="2">
        <f>N8/'Output-Calculation-sheet'!N7*'Output-Calculation-sheet'!N106</f>
        <v>4764738964.0931482</v>
      </c>
      <c r="O129" s="2">
        <f>O8/'Output-Calculation-sheet'!O7*'Output-Calculation-sheet'!O106</f>
        <v>4382143408.2374182</v>
      </c>
      <c r="P129" s="2">
        <f>P8/'Output-Calculation-sheet'!P7*'Output-Calculation-sheet'!P106</f>
        <v>4337559416.6004229</v>
      </c>
      <c r="Q129" s="2">
        <f>Q8/'Output-Calculation-sheet'!Q7*'Output-Calculation-sheet'!Q106</f>
        <v>4267456637.3667836</v>
      </c>
      <c r="R129" s="2">
        <f>R8/'Output-Calculation-sheet'!R7*'Output-Calculation-sheet'!R106</f>
        <v>4105489546.6515589</v>
      </c>
      <c r="S129" s="2">
        <f>S8/'Output-Calculation-sheet'!S7*'Output-Calculation-sheet'!S106</f>
        <v>2728718667.4148355</v>
      </c>
      <c r="T129" s="2">
        <f>T8/'Output-Calculation-sheet'!T7*'Output-Calculation-sheet'!T106</f>
        <v>1509142950.2654731</v>
      </c>
      <c r="U129" s="2">
        <f>U8/'Output-Calculation-sheet'!U7*'Output-Calculation-sheet'!U106</f>
        <v>1314411686.3472242</v>
      </c>
      <c r="V129" s="2">
        <f>V8/'Output-Calculation-sheet'!V7*'Output-Calculation-sheet'!V106</f>
        <v>1012123684.4465423</v>
      </c>
      <c r="W129" s="2">
        <f>W8/'Output-Calculation-sheet'!W7*'Output-Calculation-sheet'!W106</f>
        <v>876274457.29644442</v>
      </c>
      <c r="X129" s="2">
        <f>X8/'Output-Calculation-sheet'!X7*'Output-Calculation-sheet'!X106</f>
        <v>525764777.76974863</v>
      </c>
      <c r="Y129" s="2">
        <f>Y8/'Output-Calculation-sheet'!Y7*'Output-Calculation-sheet'!Y106</f>
        <v>511301088.17452019</v>
      </c>
      <c r="AA129" s="2">
        <f t="shared" si="11"/>
        <v>190554.25481899854</v>
      </c>
    </row>
    <row r="130" spans="1:27" x14ac:dyDescent="0.25">
      <c r="A130" s="2">
        <v>2032</v>
      </c>
      <c r="B130" s="2">
        <f>B9/'Output-Calculation-sheet'!B8*'Output-Calculation-sheet'!B107</f>
        <v>39394353400.679886</v>
      </c>
      <c r="C130" s="2">
        <f>C9/'Output-Calculation-sheet'!C8*'Output-Calculation-sheet'!C107</f>
        <v>18564598016.467484</v>
      </c>
      <c r="D130" s="2">
        <f>D9/'Output-Calculation-sheet'!D8*'Output-Calculation-sheet'!D107</f>
        <v>16546077755.865927</v>
      </c>
      <c r="E130" s="2">
        <f>E9/'Output-Calculation-sheet'!E8*'Output-Calculation-sheet'!E107</f>
        <v>13127631940.210215</v>
      </c>
      <c r="F130" s="2">
        <f>F9/'Output-Calculation-sheet'!F8*'Output-Calculation-sheet'!F107</f>
        <v>8450732121.0777578</v>
      </c>
      <c r="G130" s="2">
        <f>G9/'Output-Calculation-sheet'!G8*'Output-Calculation-sheet'!G107</f>
        <v>5937716344.79671</v>
      </c>
      <c r="H130" s="2">
        <f>H9/'Output-Calculation-sheet'!H8*'Output-Calculation-sheet'!H107</f>
        <v>5792012855.8884926</v>
      </c>
      <c r="I130" s="2">
        <f>I9/'Output-Calculation-sheet'!I8*'Output-Calculation-sheet'!I107</f>
        <v>5409726276.9934883</v>
      </c>
      <c r="J130" s="2">
        <f>J9/'Output-Calculation-sheet'!J8*'Output-Calculation-sheet'!J107</f>
        <v>5265452905.1120644</v>
      </c>
      <c r="K130" s="2">
        <f>K9/'Output-Calculation-sheet'!K8*'Output-Calculation-sheet'!K107</f>
        <v>5214974435.1396456</v>
      </c>
      <c r="L130" s="2">
        <f>L9/'Output-Calculation-sheet'!L8*'Output-Calculation-sheet'!L107</f>
        <v>4183520844.5518951</v>
      </c>
      <c r="M130" s="2">
        <f>M9/'Output-Calculation-sheet'!M8*'Output-Calculation-sheet'!M107</f>
        <v>3995984993.766623</v>
      </c>
      <c r="N130" s="2">
        <f>N9/'Output-Calculation-sheet'!N8*'Output-Calculation-sheet'!N107</f>
        <v>3922045958.8566265</v>
      </c>
      <c r="O130" s="2">
        <f>O9/'Output-Calculation-sheet'!O8*'Output-Calculation-sheet'!O107</f>
        <v>3607118225.7282434</v>
      </c>
      <c r="P130" s="2">
        <f>P9/'Output-Calculation-sheet'!P8*'Output-Calculation-sheet'!P107</f>
        <v>3570418415.7443523</v>
      </c>
      <c r="Q130" s="2">
        <f>Q9/'Output-Calculation-sheet'!Q8*'Output-Calculation-sheet'!Q107</f>
        <v>3512715810.0398879</v>
      </c>
      <c r="R130" s="2">
        <f>R9/'Output-Calculation-sheet'!R8*'Output-Calculation-sheet'!R107</f>
        <v>3379393759.3123012</v>
      </c>
      <c r="S130" s="2">
        <f>S9/'Output-Calculation-sheet'!S8*'Output-Calculation-sheet'!S107</f>
        <v>2246117916.2195573</v>
      </c>
      <c r="T130" s="2">
        <f>T9/'Output-Calculation-sheet'!T8*'Output-Calculation-sheet'!T107</f>
        <v>1242236169.4205215</v>
      </c>
      <c r="U130" s="2">
        <f>U9/'Output-Calculation-sheet'!U8*'Output-Calculation-sheet'!U107</f>
        <v>1081944903.8593578</v>
      </c>
      <c r="V130" s="2">
        <f>V9/'Output-Calculation-sheet'!V8*'Output-Calculation-sheet'!V107</f>
        <v>833119214.64233172</v>
      </c>
      <c r="W130" s="2">
        <f>W9/'Output-Calculation-sheet'!W8*'Output-Calculation-sheet'!W107</f>
        <v>721296791.47643936</v>
      </c>
      <c r="X130" s="2">
        <f>X9/'Output-Calculation-sheet'!X8*'Output-Calculation-sheet'!X107</f>
        <v>432777989.9697184</v>
      </c>
      <c r="Y130" s="2">
        <f>Y9/'Output-Calculation-sheet'!Y8*'Output-Calculation-sheet'!Y107</f>
        <v>420872349.74219197</v>
      </c>
      <c r="AA130" s="2">
        <f t="shared" si="11"/>
        <v>156852.83939556166</v>
      </c>
    </row>
    <row r="131" spans="1:27" x14ac:dyDescent="0.25">
      <c r="A131" s="2">
        <v>2033</v>
      </c>
      <c r="B131" s="2">
        <f>B10/'Output-Calculation-sheet'!B9*'Output-Calculation-sheet'!B108</f>
        <v>28211144889.609669</v>
      </c>
      <c r="C131" s="2">
        <f>C10/'Output-Calculation-sheet'!C9*'Output-Calculation-sheet'!C108</f>
        <v>13294508482.182638</v>
      </c>
      <c r="D131" s="2">
        <f>D10/'Output-Calculation-sheet'!D9*'Output-Calculation-sheet'!D108</f>
        <v>11849005717.370317</v>
      </c>
      <c r="E131" s="2">
        <f>E10/'Output-Calculation-sheet'!E9*'Output-Calculation-sheet'!E108</f>
        <v>9400979963.1846409</v>
      </c>
      <c r="F131" s="2">
        <f>F10/'Output-Calculation-sheet'!F9*'Output-Calculation-sheet'!F108</f>
        <v>6051748153.2021446</v>
      </c>
      <c r="G131" s="2">
        <f>G10/'Output-Calculation-sheet'!G9*'Output-Calculation-sheet'!G108</f>
        <v>4252124338.1850405</v>
      </c>
      <c r="H131" s="2">
        <f>H10/'Output-Calculation-sheet'!H9*'Output-Calculation-sheet'!H108</f>
        <v>4147784066.5240321</v>
      </c>
      <c r="I131" s="2">
        <f>I10/'Output-Calculation-sheet'!I9*'Output-Calculation-sheet'!I108</f>
        <v>3874021481.6619554</v>
      </c>
      <c r="J131" s="2">
        <f>J10/'Output-Calculation-sheet'!J9*'Output-Calculation-sheet'!J108</f>
        <v>3770704229.5088544</v>
      </c>
      <c r="K131" s="2">
        <f>K10/'Output-Calculation-sheet'!K9*'Output-Calculation-sheet'!K108</f>
        <v>3734554533.5610728</v>
      </c>
      <c r="L131" s="2">
        <f>L10/'Output-Calculation-sheet'!L9*'Output-Calculation-sheet'!L108</f>
        <v>2995909374.1509929</v>
      </c>
      <c r="M131" s="2">
        <f>M10/'Output-Calculation-sheet'!M9*'Output-Calculation-sheet'!M108</f>
        <v>2861609430.7027602</v>
      </c>
      <c r="N131" s="2">
        <f>N10/'Output-Calculation-sheet'!N9*'Output-Calculation-sheet'!N108</f>
        <v>2808660847.460259</v>
      </c>
      <c r="O131" s="2">
        <f>O10/'Output-Calculation-sheet'!O9*'Output-Calculation-sheet'!O108</f>
        <v>3104265563.0687652</v>
      </c>
      <c r="P131" s="2">
        <f>P10/'Output-Calculation-sheet'!P9*'Output-Calculation-sheet'!P108</f>
        <v>2556854197.1756639</v>
      </c>
      <c r="Q131" s="2">
        <f>Q10/'Output-Calculation-sheet'!Q9*'Output-Calculation-sheet'!Q108</f>
        <v>2515530788.6269317</v>
      </c>
      <c r="R131" s="2">
        <f>R10/'Output-Calculation-sheet'!R9*'Output-Calculation-sheet'!R108</f>
        <v>2420055391.2054586</v>
      </c>
      <c r="S131" s="2">
        <f>S10/'Output-Calculation-sheet'!S9*'Output-Calculation-sheet'!S108</f>
        <v>1608493410.7266078</v>
      </c>
      <c r="T131" s="2">
        <f>T10/'Output-Calculation-sheet'!T9*'Output-Calculation-sheet'!T108</f>
        <v>889591376.38042784</v>
      </c>
      <c r="U131" s="2">
        <f>U10/'Output-Calculation-sheet'!U9*'Output-Calculation-sheet'!U108</f>
        <v>774803845.35443377</v>
      </c>
      <c r="V131" s="2">
        <f>V10/'Output-Calculation-sheet'!V9*'Output-Calculation-sheet'!V108</f>
        <v>596614456.8369385</v>
      </c>
      <c r="W131" s="2">
        <f>W10/'Output-Calculation-sheet'!W9*'Output-Calculation-sheet'!W108</f>
        <v>516535896.7447592</v>
      </c>
      <c r="X131" s="2">
        <f>X10/'Output-Calculation-sheet'!X9*'Output-Calculation-sheet'!X108</f>
        <v>309921477.50850689</v>
      </c>
      <c r="Y131" s="2">
        <f>Y10/'Output-Calculation-sheet'!Y9*'Output-Calculation-sheet'!Y108</f>
        <v>301395597.18734604</v>
      </c>
      <c r="AA131" s="2">
        <f t="shared" si="11"/>
        <v>112846.81750812024</v>
      </c>
    </row>
    <row r="132" spans="1:27" x14ac:dyDescent="0.25">
      <c r="A132" s="2">
        <v>2034</v>
      </c>
      <c r="B132" s="2">
        <f>B11/'Output-Calculation-sheet'!B10*'Output-Calculation-sheet'!B109</f>
        <v>14953067011.196468</v>
      </c>
      <c r="C132" s="2">
        <f>C11/'Output-Calculation-sheet'!C10*'Output-Calculation-sheet'!C109</f>
        <v>13603879053.205954</v>
      </c>
      <c r="D132" s="2">
        <f>D11/'Output-Calculation-sheet'!D10*'Output-Calculation-sheet'!D109</f>
        <v>6280460333.8623095</v>
      </c>
      <c r="E132" s="2">
        <f>E11/'Output-Calculation-sheet'!E10*'Output-Calculation-sheet'!E109</f>
        <v>4982907564.3971672</v>
      </c>
      <c r="F132" s="2">
        <f>F11/'Output-Calculation-sheet'!F10*'Output-Calculation-sheet'!F109</f>
        <v>3207676409.1094022</v>
      </c>
      <c r="G132" s="2">
        <f>G11/'Output-Calculation-sheet'!G10*'Output-Calculation-sheet'!G109</f>
        <v>2253801829.5682178</v>
      </c>
      <c r="H132" s="2">
        <f>H11/'Output-Calculation-sheet'!H10*'Output-Calculation-sheet'!H109</f>
        <v>2198496824.9594293</v>
      </c>
      <c r="I132" s="2">
        <f>I11/'Output-Calculation-sheet'!I10*'Output-Calculation-sheet'!I109</f>
        <v>2053390717.2066269</v>
      </c>
      <c r="J132" s="2">
        <f>J11/'Output-Calculation-sheet'!J10*'Output-Calculation-sheet'!J109</f>
        <v>1998628627.4818265</v>
      </c>
      <c r="K132" s="2">
        <f>K11/'Output-Calculation-sheet'!K10*'Output-Calculation-sheet'!K109</f>
        <v>1979468420.8445594</v>
      </c>
      <c r="L132" s="2">
        <f>L11/'Output-Calculation-sheet'!L10*'Output-Calculation-sheet'!L109</f>
        <v>1587955427.3716416</v>
      </c>
      <c r="M132" s="2">
        <f>M11/'Output-Calculation-sheet'!M10*'Output-Calculation-sheet'!M109</f>
        <v>1516771159.4365194</v>
      </c>
      <c r="N132" s="2">
        <f>N11/'Output-Calculation-sheet'!N10*'Output-Calculation-sheet'!N109</f>
        <v>1488706685.4890332</v>
      </c>
      <c r="O132" s="2">
        <f>O11/'Output-Calculation-sheet'!O10*'Output-Calculation-sheet'!O109</f>
        <v>3063605118.9161429</v>
      </c>
      <c r="P132" s="2">
        <f>P11/'Output-Calculation-sheet'!P10*'Output-Calculation-sheet'!P109</f>
        <v>1355237875.4000838</v>
      </c>
      <c r="Q132" s="2">
        <f>Q11/'Output-Calculation-sheet'!Q10*'Output-Calculation-sheet'!Q109</f>
        <v>1333334986.7280788</v>
      </c>
      <c r="R132" s="2">
        <f>R11/'Output-Calculation-sheet'!R10*'Output-Calculation-sheet'!R109</f>
        <v>1282729486.4152443</v>
      </c>
      <c r="S132" s="2">
        <f>S11/'Output-Calculation-sheet'!S10*'Output-Calculation-sheet'!S109</f>
        <v>852567793.08494222</v>
      </c>
      <c r="T132" s="2">
        <f>T11/'Output-Calculation-sheet'!T10*'Output-Calculation-sheet'!T109</f>
        <v>471520310.71494532</v>
      </c>
      <c r="U132" s="2">
        <f>U11/'Output-Calculation-sheet'!U10*'Output-Calculation-sheet'!U109</f>
        <v>410678095.63393807</v>
      </c>
      <c r="V132" s="2">
        <f>V11/'Output-Calculation-sheet'!V10*'Output-Calculation-sheet'!V109</f>
        <v>316230347.1827783</v>
      </c>
      <c r="W132" s="2">
        <f>W11/'Output-Calculation-sheet'!W10*'Output-Calculation-sheet'!W109</f>
        <v>273785397.07252169</v>
      </c>
      <c r="X132" s="2">
        <f>X11/'Output-Calculation-sheet'!X10*'Output-Calculation-sheet'!X109</f>
        <v>164271231.82594818</v>
      </c>
      <c r="Y132" s="2">
        <f>Y11/'Output-Calculation-sheet'!Y10*'Output-Calculation-sheet'!Y109</f>
        <v>159752161.40429583</v>
      </c>
      <c r="AA132" s="2">
        <f t="shared" si="11"/>
        <v>67788.922868508089</v>
      </c>
    </row>
    <row r="133" spans="1:27" x14ac:dyDescent="0.25">
      <c r="A133" s="2">
        <v>2035</v>
      </c>
      <c r="B133" s="2">
        <f>B12/'Output-Calculation-sheet'!B11*'Output-Calculation-sheet'!B110</f>
        <v>6877132488.8061752</v>
      </c>
      <c r="C133" s="2">
        <f>C12/'Output-Calculation-sheet'!C11*'Output-Calculation-sheet'!C110</f>
        <v>13207423578.824522</v>
      </c>
      <c r="D133" s="2">
        <f>D12/'Output-Calculation-sheet'!D11*'Output-Calculation-sheet'!D110</f>
        <v>3413765210.2761011</v>
      </c>
      <c r="E133" s="2">
        <f>E12/'Output-Calculation-sheet'!E11*'Output-Calculation-sheet'!E110</f>
        <v>1734617617.6193571</v>
      </c>
      <c r="F133" s="2">
        <f>F12/'Output-Calculation-sheet'!F11*'Output-Calculation-sheet'!F110</f>
        <v>1174222592.5062735</v>
      </c>
      <c r="G133" s="2">
        <f>G12/'Output-Calculation-sheet'!G11*'Output-Calculation-sheet'!G110</f>
        <v>1483833157.023206</v>
      </c>
      <c r="H133" s="2">
        <f>H12/'Output-Calculation-sheet'!H11*'Output-Calculation-sheet'!H110</f>
        <v>1750413402.734067</v>
      </c>
      <c r="I133" s="2">
        <f>I12/'Output-Calculation-sheet'!I11*'Output-Calculation-sheet'!I110</f>
        <v>819999249.88872552</v>
      </c>
      <c r="J133" s="2">
        <f>J12/'Output-Calculation-sheet'!J11*'Output-Calculation-sheet'!J110</f>
        <v>992126779.46386993</v>
      </c>
      <c r="K133" s="2">
        <f>K12/'Output-Calculation-sheet'!K11*'Output-Calculation-sheet'!K110</f>
        <v>752294619.79413807</v>
      </c>
      <c r="L133" s="2">
        <f>L12/'Output-Calculation-sheet'!L11*'Output-Calculation-sheet'!L110</f>
        <v>483445837.48861039</v>
      </c>
      <c r="M133" s="2">
        <f>M12/'Output-Calculation-sheet'!M11*'Output-Calculation-sheet'!M110</f>
        <v>1088739521.977787</v>
      </c>
      <c r="N133" s="2">
        <f>N12/'Output-Calculation-sheet'!N11*'Output-Calculation-sheet'!N110</f>
        <v>905871076.63199103</v>
      </c>
      <c r="O133" s="2">
        <f>O12/'Output-Calculation-sheet'!O11*'Output-Calculation-sheet'!O110</f>
        <v>3199233951.5413284</v>
      </c>
      <c r="P133" s="2">
        <f>P12/'Output-Calculation-sheet'!P11*'Output-Calculation-sheet'!P110</f>
        <v>632895007.29864776</v>
      </c>
      <c r="Q133" s="2">
        <f>Q12/'Output-Calculation-sheet'!Q11*'Output-Calculation-sheet'!Q110</f>
        <v>788310616.49739408</v>
      </c>
      <c r="R133" s="2">
        <f>R12/'Output-Calculation-sheet'!R11*'Output-Calculation-sheet'!R110</f>
        <v>496070942.74775666</v>
      </c>
      <c r="S133" s="2">
        <f>S12/'Output-Calculation-sheet'!S11*'Output-Calculation-sheet'!S110</f>
        <v>476964258.19736266</v>
      </c>
      <c r="T133" s="2">
        <f>T12/'Output-Calculation-sheet'!T11*'Output-Calculation-sheet'!T110</f>
        <v>129038344.04726122</v>
      </c>
      <c r="U133" s="2">
        <f>U12/'Output-Calculation-sheet'!U11*'Output-Calculation-sheet'!U110</f>
        <v>209760199.72958297</v>
      </c>
      <c r="V133" s="2">
        <f>V12/'Output-Calculation-sheet'!V11*'Output-Calculation-sheet'!V110</f>
        <v>52932861.101336174</v>
      </c>
      <c r="W133" s="2">
        <f>W12/'Output-Calculation-sheet'!W11*'Output-Calculation-sheet'!W110</f>
        <v>86298820.744053841</v>
      </c>
      <c r="X133" s="2">
        <f>X12/'Output-Calculation-sheet'!X11*'Output-Calculation-sheet'!X110</f>
        <v>151132361.12768713</v>
      </c>
      <c r="Y133" s="2">
        <f>Y12/'Output-Calculation-sheet'!Y11*'Output-Calculation-sheet'!Y110</f>
        <v>79413933.165935665</v>
      </c>
      <c r="AA133" s="2">
        <f t="shared" si="11"/>
        <v>40985.936429233174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1066.1365058506681</v>
      </c>
      <c r="C19" s="2">
        <f>C8/'Output-Calculation-sheet'!C7*'Output-Calculation-sheet'!C25</f>
        <v>16072.17249453457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4784.2546560543733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3323.6913653928082</v>
      </c>
      <c r="N19" s="2">
        <f>N8/'Output-Calculation-sheet'!N7*'Output-Calculation-sheet'!N25</f>
        <v>1137.9095872350333</v>
      </c>
      <c r="O19" s="2">
        <f>O8/'Output-Calculation-sheet'!O7*'Output-Calculation-sheet'!O25</f>
        <v>3108.2880479317555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406.02410396668296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371.35615295955307</v>
      </c>
      <c r="Y19" s="2">
        <f>Y8/'Output-Calculation-sheet'!Y7*'Output-Calculation-sheet'!Y25</f>
        <v>0</v>
      </c>
      <c r="AA19" s="2">
        <f t="shared" si="0"/>
        <v>30.269832913925445</v>
      </c>
    </row>
    <row r="20" spans="1:27" x14ac:dyDescent="0.25">
      <c r="A20" s="2">
        <v>2032</v>
      </c>
      <c r="B20" s="2">
        <f>B9/'Output-Calculation-sheet'!B8*'Output-Calculation-sheet'!B26</f>
        <v>6056.6425089982822</v>
      </c>
      <c r="C20" s="2">
        <f>C9/'Output-Calculation-sheet'!C8*'Output-Calculation-sheet'!C26</f>
        <v>22180.283779037098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6589.4435022225225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4578.9074165230586</v>
      </c>
      <c r="N20" s="2">
        <f>N9/'Output-Calculation-sheet'!N8*'Output-Calculation-sheet'!N26</f>
        <v>2061.6305091623617</v>
      </c>
      <c r="O20" s="2">
        <f>O9/'Output-Calculation-sheet'!O8*'Output-Calculation-sheet'!O26</f>
        <v>4321.7316332741721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750.93063071543463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512.19853504148136</v>
      </c>
      <c r="Y20" s="2">
        <f>Y9/'Output-Calculation-sheet'!Y8*'Output-Calculation-sheet'!Y26</f>
        <v>0</v>
      </c>
      <c r="AA20" s="2">
        <f t="shared" si="0"/>
        <v>47.051768514974412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33313.887337112268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8529.0759371041695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5924.1514886946625</v>
      </c>
      <c r="N21" s="2">
        <f>N10/'Output-Calculation-sheet'!N9*'Output-Calculation-sheet'!N27</f>
        <v>3241.4526905530765</v>
      </c>
      <c r="O21" s="2">
        <f>O10/'Output-Calculation-sheet'!O9*'Output-Calculation-sheet'!O27</f>
        <v>5659.6207072902407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1410.6362018532295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696.59804073003886</v>
      </c>
      <c r="Y21" s="2">
        <f>Y10/'Output-Calculation-sheet'!Y9*'Output-Calculation-sheet'!Y27</f>
        <v>0</v>
      </c>
      <c r="AA21" s="2">
        <f t="shared" si="0"/>
        <v>73.749057498421649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36312.35701019234</v>
      </c>
      <c r="D22" s="2">
        <f>D11/'Output-Calculation-sheet'!D10*'Output-Calculation-sheet'!D28</f>
        <v>0</v>
      </c>
      <c r="E22" s="2">
        <f>E11/'Output-Calculation-sheet'!E10*'Output-Calculation-sheet'!E28</f>
        <v>1540.4974559857087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11974.535973900749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908.57255220530465</v>
      </c>
      <c r="M22" s="2">
        <f>M11/'Output-Calculation-sheet'!M10*'Output-Calculation-sheet'!M28</f>
        <v>8253.4234138509164</v>
      </c>
      <c r="N22" s="2">
        <f>N11/'Output-Calculation-sheet'!N10*'Output-Calculation-sheet'!N28</f>
        <v>4749.8911489101065</v>
      </c>
      <c r="O22" s="2">
        <f>O11/'Output-Calculation-sheet'!O10*'Output-Calculation-sheet'!O28</f>
        <v>6394.6379020170334</v>
      </c>
      <c r="P22" s="2">
        <f>P11/'Output-Calculation-sheet'!P10*'Output-Calculation-sheet'!P28</f>
        <v>0</v>
      </c>
      <c r="Q22" s="2">
        <f>Q11/'Output-Calculation-sheet'!Q10*'Output-Calculation-sheet'!Q28</f>
        <v>1781.4582738025558</v>
      </c>
      <c r="R22" s="2">
        <f>R11/'Output-Calculation-sheet'!R10*'Output-Calculation-sheet'!R28</f>
        <v>0</v>
      </c>
      <c r="S22" s="2">
        <f>S11/'Output-Calculation-sheet'!S10*'Output-Calculation-sheet'!S28</f>
        <v>2408.8696834100037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845.40559587899247</v>
      </c>
      <c r="Y22" s="2">
        <f>Y11/'Output-Calculation-sheet'!Y10*'Output-Calculation-sheet'!Y28</f>
        <v>82.947378550464734</v>
      </c>
      <c r="AA22" s="2">
        <f t="shared" si="0"/>
        <v>105.07074600906076</v>
      </c>
    </row>
    <row r="23" spans="1:27" x14ac:dyDescent="0.25">
      <c r="A23" s="2">
        <v>2035</v>
      </c>
      <c r="B23" s="2">
        <f>B12/'Output-Calculation-sheet'!B11*'Output-Calculation-sheet'!B29</f>
        <v>43840.625001508313</v>
      </c>
      <c r="C23" s="2">
        <f>C12/'Output-Calculation-sheet'!C11*'Output-Calculation-sheet'!C29</f>
        <v>40879.012471725968</v>
      </c>
      <c r="D23" s="2">
        <f>D12/'Output-Calculation-sheet'!D11*'Output-Calculation-sheet'!D29</f>
        <v>0</v>
      </c>
      <c r="E23" s="2">
        <f>E12/'Output-Calculation-sheet'!E11*'Output-Calculation-sheet'!E29</f>
        <v>8052.9986217110936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14069.151506228442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2334.9315415873557</v>
      </c>
      <c r="M23" s="2">
        <f>M12/'Output-Calculation-sheet'!M11*'Output-Calculation-sheet'!M29</f>
        <v>9999.9786619212991</v>
      </c>
      <c r="N23" s="2">
        <f>N12/'Output-Calculation-sheet'!N11*'Output-Calculation-sheet'!N29</f>
        <v>5807.876331610848</v>
      </c>
      <c r="O23" s="2">
        <f>O12/'Output-Calculation-sheet'!O11*'Output-Calculation-sheet'!O29</f>
        <v>6758.2739251313633</v>
      </c>
      <c r="P23" s="2">
        <f>P12/'Output-Calculation-sheet'!P11*'Output-Calculation-sheet'!P29</f>
        <v>934.18669275671652</v>
      </c>
      <c r="Q23" s="2">
        <f>Q12/'Output-Calculation-sheet'!Q11*'Output-Calculation-sheet'!Q29</f>
        <v>2973.8555377910566</v>
      </c>
      <c r="R23" s="2">
        <f>R12/'Output-Calculation-sheet'!R11*'Output-Calculation-sheet'!R29</f>
        <v>0</v>
      </c>
      <c r="S23" s="2">
        <f>S12/'Output-Calculation-sheet'!S11*'Output-Calculation-sheet'!S29</f>
        <v>3211.9841680108293</v>
      </c>
      <c r="T23" s="2">
        <f>T12/'Output-Calculation-sheet'!T11*'Output-Calculation-sheet'!T29</f>
        <v>0</v>
      </c>
      <c r="U23" s="2">
        <f>U12/'Output-Calculation-sheet'!U11*'Output-Calculation-sheet'!U29</f>
        <v>346.60555803985386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955.42471106453911</v>
      </c>
      <c r="Y23" s="2">
        <f>Y12/'Output-Calculation-sheet'!Y11*'Output-Calculation-sheet'!Y29</f>
        <v>294.79844977655887</v>
      </c>
      <c r="AA23" s="2">
        <f t="shared" si="0"/>
        <v>140.45970317886429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18582.412966417738</v>
      </c>
      <c r="C30" s="2">
        <f>C8/'Output-Calculation-sheet'!C7*'Output-Calculation-sheet'!C16</f>
        <v>0</v>
      </c>
      <c r="D30" s="2">
        <f>D8/'Output-Calculation-sheet'!D7*'Output-Calculation-sheet'!D16</f>
        <v>3129.0326904551193</v>
      </c>
      <c r="E30" s="2">
        <f>E8/'Output-Calculation-sheet'!E7*'Output-Calculation-sheet'!E16</f>
        <v>3366.6623912851305</v>
      </c>
      <c r="F30" s="2">
        <f>F8/'Output-Calculation-sheet'!F7*'Output-Calculation-sheet'!F16</f>
        <v>1698.499091330282</v>
      </c>
      <c r="G30" s="2">
        <f>G8/'Output-Calculation-sheet'!G7*'Output-Calculation-sheet'!G16</f>
        <v>1112.3151713403893</v>
      </c>
      <c r="H30" s="2">
        <f>H8/'Output-Calculation-sheet'!H7*'Output-Calculation-sheet'!H16</f>
        <v>0</v>
      </c>
      <c r="I30" s="2">
        <f>I8/'Output-Calculation-sheet'!I7*'Output-Calculation-sheet'!I16</f>
        <v>1084.3407436506907</v>
      </c>
      <c r="J30" s="2">
        <f>J8/'Output-Calculation-sheet'!J7*'Output-Calculation-sheet'!J16</f>
        <v>965.27176301849681</v>
      </c>
      <c r="K30" s="2">
        <f>K8/'Output-Calculation-sheet'!K7*'Output-Calculation-sheet'!K16</f>
        <v>1288.822305489459</v>
      </c>
      <c r="L30" s="2">
        <f>L8/'Output-Calculation-sheet'!L7*'Output-Calculation-sheet'!L16</f>
        <v>1088.6358351948872</v>
      </c>
      <c r="M30" s="2">
        <f>M8/'Output-Calculation-sheet'!M7*'Output-Calculation-sheet'!M16</f>
        <v>0</v>
      </c>
      <c r="N30" s="2">
        <f>N8/'Output-Calculation-sheet'!N7*'Output-Calculation-sheet'!N16</f>
        <v>1546.3154876619446</v>
      </c>
      <c r="O30" s="2">
        <f>O8/'Output-Calculation-sheet'!O7*'Output-Calculation-sheet'!O16</f>
        <v>0</v>
      </c>
      <c r="P30" s="2">
        <f>P8/'Output-Calculation-sheet'!P7*'Output-Calculation-sheet'!P16</f>
        <v>1389.7776216475288</v>
      </c>
      <c r="Q30" s="2">
        <f>Q8/'Output-Calculation-sheet'!Q7*'Output-Calculation-sheet'!Q16</f>
        <v>1528.2963960844288</v>
      </c>
      <c r="R30" s="2">
        <f>R8/'Output-Calculation-sheet'!R7*'Output-Calculation-sheet'!R16</f>
        <v>969.71070587878648</v>
      </c>
      <c r="S30" s="2">
        <f>S8/'Output-Calculation-sheet'!S7*'Output-Calculation-sheet'!S16</f>
        <v>975.24461930261305</v>
      </c>
      <c r="T30" s="2">
        <f>T8/'Output-Calculation-sheet'!T7*'Output-Calculation-sheet'!T16</f>
        <v>291.09321504972166</v>
      </c>
      <c r="U30" s="2">
        <f>U8/'Output-Calculation-sheet'!U7*'Output-Calculation-sheet'!U16</f>
        <v>290.57289330927642</v>
      </c>
      <c r="V30" s="2">
        <f>V8/'Output-Calculation-sheet'!V7*'Output-Calculation-sheet'!V16</f>
        <v>226.14735951590188</v>
      </c>
      <c r="W30" s="2">
        <f>W8/'Output-Calculation-sheet'!W7*'Output-Calculation-sheet'!W16</f>
        <v>137.16977420827521</v>
      </c>
      <c r="X30" s="2">
        <f>X8/'Output-Calculation-sheet'!X7*'Output-Calculation-sheet'!X16</f>
        <v>0</v>
      </c>
      <c r="Y30" s="2">
        <f>Y8/'Output-Calculation-sheet'!Y7*'Output-Calculation-sheet'!Y16</f>
        <v>116.09861939957794</v>
      </c>
      <c r="AA30" s="2">
        <f t="shared" si="1"/>
        <v>39.786419650240255</v>
      </c>
    </row>
    <row r="31" spans="1:27" x14ac:dyDescent="0.25">
      <c r="A31" s="2">
        <v>2032</v>
      </c>
      <c r="B31" s="2">
        <f>B9/'Output-Calculation-sheet'!B8*'Output-Calculation-sheet'!B17</f>
        <v>25645.825422024202</v>
      </c>
      <c r="C31" s="2">
        <f>C9/'Output-Calculation-sheet'!C8*'Output-Calculation-sheet'!C17</f>
        <v>0</v>
      </c>
      <c r="D31" s="2">
        <f>D9/'Output-Calculation-sheet'!D8*'Output-Calculation-sheet'!D17</f>
        <v>4301.1416437163252</v>
      </c>
      <c r="E31" s="2">
        <f>E9/'Output-Calculation-sheet'!E8*'Output-Calculation-sheet'!E17</f>
        <v>5055.4043448917073</v>
      </c>
      <c r="F31" s="2">
        <f>F9/'Output-Calculation-sheet'!F8*'Output-Calculation-sheet'!F17</f>
        <v>2334.7992305189059</v>
      </c>
      <c r="G31" s="2">
        <f>G9/'Output-Calculation-sheet'!G8*'Output-Calculation-sheet'!G17</f>
        <v>1529.0020221615491</v>
      </c>
      <c r="H31" s="2">
        <f>H9/'Output-Calculation-sheet'!H8*'Output-Calculation-sheet'!H17</f>
        <v>0</v>
      </c>
      <c r="I31" s="2">
        <f>I9/'Output-Calculation-sheet'!I8*'Output-Calculation-sheet'!I17</f>
        <v>1490.5550137869852</v>
      </c>
      <c r="J31" s="2">
        <f>J9/'Output-Calculation-sheet'!J8*'Output-Calculation-sheet'!J17</f>
        <v>1326.88126639794</v>
      </c>
      <c r="K31" s="2">
        <f>K9/'Output-Calculation-sheet'!K8*'Output-Calculation-sheet'!K17</f>
        <v>1889.1266172036653</v>
      </c>
      <c r="L31" s="2">
        <f>L9/'Output-Calculation-sheet'!L8*'Output-Calculation-sheet'!L17</f>
        <v>1611.0929044120194</v>
      </c>
      <c r="M31" s="2">
        <f>M9/'Output-Calculation-sheet'!M8*'Output-Calculation-sheet'!M17</f>
        <v>0</v>
      </c>
      <c r="N31" s="2">
        <f>N9/'Output-Calculation-sheet'!N8*'Output-Calculation-sheet'!N17</f>
        <v>1757.8303329989308</v>
      </c>
      <c r="O31" s="2">
        <f>O9/'Output-Calculation-sheet'!O8*'Output-Calculation-sheet'!O17</f>
        <v>0</v>
      </c>
      <c r="P31" s="2">
        <f>P9/'Output-Calculation-sheet'!P8*'Output-Calculation-sheet'!P17</f>
        <v>2173.7874892805353</v>
      </c>
      <c r="Q31" s="2">
        <f>Q9/'Output-Calculation-sheet'!Q8*'Output-Calculation-sheet'!Q17</f>
        <v>2317.4571845365513</v>
      </c>
      <c r="R31" s="2">
        <f>R9/'Output-Calculation-sheet'!R8*'Output-Calculation-sheet'!R17</f>
        <v>1516.2029663160447</v>
      </c>
      <c r="S31" s="2">
        <f>S9/'Output-Calculation-sheet'!S8*'Output-Calculation-sheet'!S17</f>
        <v>1304.6253667328633</v>
      </c>
      <c r="T31" s="2">
        <f>T9/'Output-Calculation-sheet'!T8*'Output-Calculation-sheet'!T17</f>
        <v>411.43275239948019</v>
      </c>
      <c r="U31" s="2">
        <f>U9/'Output-Calculation-sheet'!U8*'Output-Calculation-sheet'!U17</f>
        <v>472.86739791100109</v>
      </c>
      <c r="V31" s="2">
        <f>V9/'Output-Calculation-sheet'!V8*'Output-Calculation-sheet'!V17</f>
        <v>338.69248007853656</v>
      </c>
      <c r="W31" s="2">
        <f>W9/'Output-Calculation-sheet'!W8*'Output-Calculation-sheet'!W17</f>
        <v>188.55809486404564</v>
      </c>
      <c r="X31" s="2">
        <f>X9/'Output-Calculation-sheet'!X8*'Output-Calculation-sheet'!X17</f>
        <v>0</v>
      </c>
      <c r="Y31" s="2">
        <f>Y9/'Output-Calculation-sheet'!Y8*'Output-Calculation-sheet'!Y17</f>
        <v>182.18797123173701</v>
      </c>
      <c r="AA31" s="2">
        <f t="shared" si="1"/>
        <v>55.847470501463015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1822.7289672048676</v>
      </c>
      <c r="O32" s="2">
        <f>O10/'Output-Calculation-sheet'!O9*'Output-Calculation-sheet'!O18</f>
        <v>0</v>
      </c>
      <c r="P32" s="2">
        <f>P10/'Output-Calculation-sheet'!P9*'Output-Calculation-sheet'!P18</f>
        <v>2934.7936521180541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2107.3767948043451</v>
      </c>
      <c r="S32" s="2">
        <f>S10/'Output-Calculation-sheet'!S9*'Output-Calculation-sheet'!S18</f>
        <v>1379.2223791762897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680.34352641235205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71.881912558568473</v>
      </c>
    </row>
    <row r="33" spans="1:27" x14ac:dyDescent="0.25">
      <c r="A33" s="2">
        <v>2034</v>
      </c>
      <c r="B33" s="2">
        <f>B11/'Output-Calculation-sheet'!B10*'Output-Calculation-sheet'!B19</f>
        <v>30075.86609904356</v>
      </c>
      <c r="C33" s="2">
        <f>C11/'Output-Calculation-sheet'!C10*'Output-Calculation-sheet'!C19</f>
        <v>0</v>
      </c>
      <c r="D33" s="2">
        <f>D11/'Output-Calculation-sheet'!D10*'Output-Calculation-sheet'!D19</f>
        <v>8970.8472142346782</v>
      </c>
      <c r="E33" s="2">
        <f>E11/'Output-Calculation-sheet'!E10*'Output-Calculation-sheet'!E19</f>
        <v>11115.032412658333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3053.8291389191127</v>
      </c>
      <c r="H33" s="2">
        <f>H11/'Output-Calculation-sheet'!H10*'Output-Calculation-sheet'!H19</f>
        <v>0</v>
      </c>
      <c r="I33" s="2">
        <f>I11/'Output-Calculation-sheet'!I10*'Output-Calculation-sheet'!I19</f>
        <v>3332.1490318968617</v>
      </c>
      <c r="J33" s="2">
        <f>J11/'Output-Calculation-sheet'!J10*'Output-Calculation-sheet'!J19</f>
        <v>2817.1721668414907</v>
      </c>
      <c r="K33" s="2">
        <f>K11/'Output-Calculation-sheet'!K10*'Output-Calculation-sheet'!K19</f>
        <v>3909.7152173576023</v>
      </c>
      <c r="L33" s="2">
        <f>L11/'Output-Calculation-sheet'!L10*'Output-Calculation-sheet'!L19</f>
        <v>3181.0768337935601</v>
      </c>
      <c r="M33" s="2">
        <f>M11/'Output-Calculation-sheet'!M10*'Output-Calculation-sheet'!M19</f>
        <v>0</v>
      </c>
      <c r="N33" s="2">
        <f>N11/'Output-Calculation-sheet'!N10*'Output-Calculation-sheet'!N19</f>
        <v>1797.8657758738816</v>
      </c>
      <c r="O33" s="2">
        <f>O11/'Output-Calculation-sheet'!O10*'Output-Calculation-sheet'!O19</f>
        <v>0</v>
      </c>
      <c r="P33" s="2">
        <f>P11/'Output-Calculation-sheet'!P10*'Output-Calculation-sheet'!P19</f>
        <v>3955.9421205746003</v>
      </c>
      <c r="Q33" s="2">
        <f>Q11/'Output-Calculation-sheet'!Q10*'Output-Calculation-sheet'!Q19</f>
        <v>3167.4761283359567</v>
      </c>
      <c r="R33" s="2">
        <f>R11/'Output-Calculation-sheet'!R10*'Output-Calculation-sheet'!R19</f>
        <v>2824.438500263072</v>
      </c>
      <c r="S33" s="2">
        <f>S11/'Output-Calculation-sheet'!S10*'Output-Calculation-sheet'!S19</f>
        <v>1320.1252670345445</v>
      </c>
      <c r="T33" s="2">
        <f>T11/'Output-Calculation-sheet'!T10*'Output-Calculation-sheet'!T19</f>
        <v>828.73913828552884</v>
      </c>
      <c r="U33" s="2">
        <f>U11/'Output-Calculation-sheet'!U10*'Output-Calculation-sheet'!U19</f>
        <v>953.06586801831418</v>
      </c>
      <c r="V33" s="2">
        <f>V11/'Output-Calculation-sheet'!V10*'Output-Calculation-sheet'!V19</f>
        <v>649.94845368953554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159.84092795271783</v>
      </c>
      <c r="Y33" s="2">
        <f>Y11/'Output-Calculation-sheet'!Y10*'Output-Calculation-sheet'!Y19</f>
        <v>364.74152135386004</v>
      </c>
      <c r="AA33" s="2">
        <f t="shared" si="1"/>
        <v>87.982032241907845</v>
      </c>
    </row>
    <row r="34" spans="1:27" x14ac:dyDescent="0.25">
      <c r="A34" s="2">
        <v>2035</v>
      </c>
      <c r="B34" s="2">
        <f>B12/'Output-Calculation-sheet'!B11*'Output-Calculation-sheet'!B20</f>
        <v>30427.168948315484</v>
      </c>
      <c r="C34" s="2">
        <f>C12/'Output-Calculation-sheet'!C11*'Output-Calculation-sheet'!C20</f>
        <v>0</v>
      </c>
      <c r="D34" s="2">
        <f>D12/'Output-Calculation-sheet'!D11*'Output-Calculation-sheet'!D20</f>
        <v>11275.541194730893</v>
      </c>
      <c r="E34" s="2">
        <f>E12/'Output-Calculation-sheet'!E11*'Output-Calculation-sheet'!E20</f>
        <v>10167.828755666844</v>
      </c>
      <c r="F34" s="2">
        <f>F12/'Output-Calculation-sheet'!F11*'Output-Calculation-sheet'!F20</f>
        <v>7208.7440457350149</v>
      </c>
      <c r="G34" s="2">
        <f>G12/'Output-Calculation-sheet'!G11*'Output-Calculation-sheet'!G20</f>
        <v>3586.9824551141896</v>
      </c>
      <c r="H34" s="2">
        <f>H12/'Output-Calculation-sheet'!H11*'Output-Calculation-sheet'!H20</f>
        <v>0</v>
      </c>
      <c r="I34" s="2">
        <f>I12/'Output-Calculation-sheet'!I11*'Output-Calculation-sheet'!I20</f>
        <v>4407.2109557629774</v>
      </c>
      <c r="J34" s="2">
        <f>J12/'Output-Calculation-sheet'!J11*'Output-Calculation-sheet'!J20</f>
        <v>3671.5330568771274</v>
      </c>
      <c r="K34" s="2">
        <f>K12/'Output-Calculation-sheet'!K11*'Output-Calculation-sheet'!K20</f>
        <v>5167.1810276218175</v>
      </c>
      <c r="L34" s="2">
        <f>L12/'Output-Calculation-sheet'!L11*'Output-Calculation-sheet'!L20</f>
        <v>3515.7309118086864</v>
      </c>
      <c r="M34" s="2">
        <f>M12/'Output-Calculation-sheet'!M11*'Output-Calculation-sheet'!M20</f>
        <v>0</v>
      </c>
      <c r="N34" s="2">
        <f>N12/'Output-Calculation-sheet'!N11*'Output-Calculation-sheet'!N20</f>
        <v>2012.2957450882027</v>
      </c>
      <c r="O34" s="2">
        <f>O12/'Output-Calculation-sheet'!O11*'Output-Calculation-sheet'!O20</f>
        <v>0</v>
      </c>
      <c r="P34" s="2">
        <f>P12/'Output-Calculation-sheet'!P11*'Output-Calculation-sheet'!P20</f>
        <v>4274.3654950464988</v>
      </c>
      <c r="Q34" s="2">
        <f>Q12/'Output-Calculation-sheet'!Q11*'Output-Calculation-sheet'!Q20</f>
        <v>3047.3670561579729</v>
      </c>
      <c r="R34" s="2">
        <f>R12/'Output-Calculation-sheet'!R11*'Output-Calculation-sheet'!R20</f>
        <v>3708.4419936092781</v>
      </c>
      <c r="S34" s="2">
        <f>S12/'Output-Calculation-sheet'!S11*'Output-Calculation-sheet'!S20</f>
        <v>1327.9127540501991</v>
      </c>
      <c r="T34" s="2">
        <f>T12/'Output-Calculation-sheet'!T11*'Output-Calculation-sheet'!T20</f>
        <v>1073.4337446960253</v>
      </c>
      <c r="U34" s="2">
        <f>U12/'Output-Calculation-sheet'!U11*'Output-Calculation-sheet'!U20</f>
        <v>982.83478615776687</v>
      </c>
      <c r="V34" s="2">
        <f>V12/'Output-Calculation-sheet'!V11*'Output-Calculation-sheet'!V20</f>
        <v>970.21745875276429</v>
      </c>
      <c r="W34" s="2">
        <f>W12/'Output-Calculation-sheet'!W11*'Output-Calculation-sheet'!W20</f>
        <v>573.0913687206878</v>
      </c>
      <c r="X34" s="2">
        <f>X12/'Output-Calculation-sheet'!X11*'Output-Calculation-sheet'!X20</f>
        <v>165.7147452119157</v>
      </c>
      <c r="Y34" s="2">
        <f>Y12/'Output-Calculation-sheet'!Y11*'Output-Calculation-sheet'!Y20</f>
        <v>309.03184708031438</v>
      </c>
      <c r="AA34" s="2">
        <f t="shared" si="1"/>
        <v>97.872628346204664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0.23282383700484538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0.23282383700484538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1.2734475542764279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0.24739660115587309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1.5208441554323009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2.6844744751692904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0.52152117204696102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12.853376104972822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31098.201490914769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6783.1507031951242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4629.8305542844328</v>
      </c>
      <c r="N52" s="2">
        <f>N8/'Output-Calculation-sheet'!N7*'Output-Calculation-sheet'!N43</f>
        <v>147.9798543147466</v>
      </c>
      <c r="O52" s="2">
        <f>O8/'Output-Calculation-sheet'!O7*'Output-Calculation-sheet'!O43</f>
        <v>6300.4672488204078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598.74841190160566</v>
      </c>
      <c r="Y52" s="2">
        <f>Y8/'Output-Calculation-sheet'!Y7*'Output-Calculation-sheet'!Y43</f>
        <v>0</v>
      </c>
      <c r="AA52" s="2">
        <f t="shared" si="3"/>
        <v>49.558378263431095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56378.462482728806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13174.194825466111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9023.7418972425894</v>
      </c>
      <c r="N53" s="2">
        <f>N9/'Output-Calculation-sheet'!N8*'Output-Calculation-sheet'!N44</f>
        <v>3193.6141719222383</v>
      </c>
      <c r="O53" s="2">
        <f>O9/'Output-Calculation-sheet'!O8*'Output-Calculation-sheet'!O44</f>
        <v>11180.606805427513</v>
      </c>
      <c r="P53" s="2">
        <f>P9/'Output-Calculation-sheet'!P8*'Output-Calculation-sheet'!P44</f>
        <v>150.33498374131662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1002.7955627566363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1128.4256549047445</v>
      </c>
      <c r="Y53" s="2">
        <f>Y9/'Output-Calculation-sheet'!Y8*'Output-Calculation-sheet'!Y44</f>
        <v>0</v>
      </c>
      <c r="AA53" s="2">
        <f t="shared" si="3"/>
        <v>95.232176384189955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74008.667493419081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13520.121061158565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507.79210003439829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168.69255200193791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80204.854734252207</v>
      </c>
      <c r="D55" s="2">
        <f>D11/'Output-Calculation-sheet'!D10*'Output-Calculation-sheet'!D46</f>
        <v>7916.2101208803879</v>
      </c>
      <c r="E55" s="2">
        <f>E11/'Output-Calculation-sheet'!E10*'Output-Calculation-sheet'!E46</f>
        <v>9672.8361369259364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26374.493778538719</v>
      </c>
      <c r="I55" s="2">
        <f>I11/'Output-Calculation-sheet'!I10*'Output-Calculation-sheet'!I46</f>
        <v>1915.6153410414277</v>
      </c>
      <c r="J55" s="2">
        <f>J11/'Output-Calculation-sheet'!J10*'Output-Calculation-sheet'!J46</f>
        <v>1390.2755228415031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18077.248650952799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14822.094613110641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5419.7831577491315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6771.9924027663483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1560.2183303734212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1887.0776501993514</v>
      </c>
      <c r="Y55" s="2">
        <f>Y11/'Output-Calculation-sheet'!Y10*'Output-Calculation-sheet'!Y46</f>
        <v>478.43659186865875</v>
      </c>
      <c r="AA55" s="2">
        <f t="shared" si="3"/>
        <v>295.63808714109911</v>
      </c>
    </row>
    <row r="56" spans="1:27" x14ac:dyDescent="0.25">
      <c r="A56" s="2">
        <v>2035</v>
      </c>
      <c r="B56" s="2">
        <f>B12/'Output-Calculation-sheet'!B11*'Output-Calculation-sheet'!B47</f>
        <v>136687.21283699671</v>
      </c>
      <c r="C56" s="2">
        <f>C12/'Output-Calculation-sheet'!C11*'Output-Calculation-sheet'!C47</f>
        <v>85832.539140281253</v>
      </c>
      <c r="D56" s="2">
        <f>D12/'Output-Calculation-sheet'!D11*'Output-Calculation-sheet'!D47</f>
        <v>23779.920195345843</v>
      </c>
      <c r="E56" s="2">
        <f>E12/'Output-Calculation-sheet'!E11*'Output-Calculation-sheet'!E47</f>
        <v>35227.828130876907</v>
      </c>
      <c r="F56" s="2">
        <f>F12/'Output-Calculation-sheet'!F11*'Output-Calculation-sheet'!F47</f>
        <v>5108.8871599799786</v>
      </c>
      <c r="G56" s="2">
        <f>G12/'Output-Calculation-sheet'!G11*'Output-Calculation-sheet'!G47</f>
        <v>8231.0571289635427</v>
      </c>
      <c r="H56" s="2">
        <f>H12/'Output-Calculation-sheet'!H11*'Output-Calculation-sheet'!H47</f>
        <v>28995.257858463781</v>
      </c>
      <c r="I56" s="2">
        <f>I12/'Output-Calculation-sheet'!I11*'Output-Calculation-sheet'!I47</f>
        <v>8076.3757722089285</v>
      </c>
      <c r="J56" s="2">
        <f>J12/'Output-Calculation-sheet'!J11*'Output-Calculation-sheet'!J47</f>
        <v>6460.9763253373249</v>
      </c>
      <c r="K56" s="2">
        <f>K12/'Output-Calculation-sheet'!K11*'Output-Calculation-sheet'!K47</f>
        <v>8665.4383232216369</v>
      </c>
      <c r="L56" s="2">
        <f>L12/'Output-Calculation-sheet'!L11*'Output-Calculation-sheet'!L47</f>
        <v>7258.5274990776497</v>
      </c>
      <c r="M56" s="2">
        <f>M12/'Output-Calculation-sheet'!M11*'Output-Calculation-sheet'!M47</f>
        <v>20076.272097280707</v>
      </c>
      <c r="N56" s="2">
        <f>N12/'Output-Calculation-sheet'!N11*'Output-Calculation-sheet'!N47</f>
        <v>16814.886000907558</v>
      </c>
      <c r="O56" s="2">
        <f>O12/'Output-Calculation-sheet'!O11*'Output-Calculation-sheet'!O47</f>
        <v>15714.256368257114</v>
      </c>
      <c r="P56" s="2">
        <f>P12/'Output-Calculation-sheet'!P11*'Output-Calculation-sheet'!P47</f>
        <v>8989.7495339817342</v>
      </c>
      <c r="Q56" s="2">
        <f>Q12/'Output-Calculation-sheet'!Q11*'Output-Calculation-sheet'!Q47</f>
        <v>9084.2454774191501</v>
      </c>
      <c r="R56" s="2">
        <f>R12/'Output-Calculation-sheet'!R11*'Output-Calculation-sheet'!R47</f>
        <v>7091.9736278593318</v>
      </c>
      <c r="S56" s="2">
        <f>S12/'Output-Calculation-sheet'!S11*'Output-Calculation-sheet'!S47</f>
        <v>8880.1039124701183</v>
      </c>
      <c r="T56" s="2">
        <f>T12/'Output-Calculation-sheet'!T11*'Output-Calculation-sheet'!T47</f>
        <v>2678.9356205162267</v>
      </c>
      <c r="U56" s="2">
        <f>U12/'Output-Calculation-sheet'!U11*'Output-Calculation-sheet'!U47</f>
        <v>2795.6481828297556</v>
      </c>
      <c r="V56" s="2">
        <f>V12/'Output-Calculation-sheet'!V11*'Output-Calculation-sheet'!V47</f>
        <v>1452.98292294251</v>
      </c>
      <c r="W56" s="2">
        <f>W12/'Output-Calculation-sheet'!W11*'Output-Calculation-sheet'!W47</f>
        <v>777.78025628501234</v>
      </c>
      <c r="X56" s="2">
        <f>X12/'Output-Calculation-sheet'!X11*'Output-Calculation-sheet'!X47</f>
        <v>2019.1098227900575</v>
      </c>
      <c r="Y56" s="2">
        <f>Y12/'Output-Calculation-sheet'!Y11*'Output-Calculation-sheet'!Y47</f>
        <v>1127.3716654987206</v>
      </c>
      <c r="AA56" s="2">
        <f t="shared" si="3"/>
        <v>451.82733585979162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7.236996513965793</v>
      </c>
      <c r="C63" s="2">
        <f>C8*'Output-Calculation-sheet'!C52/10^9</f>
        <v>4.5639403385133699</v>
      </c>
      <c r="D63" s="2">
        <f>D8*'Output-Calculation-sheet'!D52/10^9</f>
        <v>2.4817043971928805</v>
      </c>
      <c r="E63" s="2">
        <f>E8*'Output-Calculation-sheet'!E52/10^9</f>
        <v>2.4674922607324539</v>
      </c>
      <c r="F63" s="2">
        <f>F8*'Output-Calculation-sheet'!F52/10^9</f>
        <v>1.0449836004469275</v>
      </c>
      <c r="G63" s="2">
        <f>G8*'Output-Calculation-sheet'!G52/10^9</f>
        <v>0.75129508877212681</v>
      </c>
      <c r="H63" s="2">
        <f>H8*'Output-Calculation-sheet'!H52/10^9</f>
        <v>1.3123230604192238</v>
      </c>
      <c r="I63" s="2">
        <f>I8*'Output-Calculation-sheet'!I52/10^9</f>
        <v>0.69887895041560932</v>
      </c>
      <c r="J63" s="2">
        <f>J8*'Output-Calculation-sheet'!J52/10^9</f>
        <v>0.96170574642420437</v>
      </c>
      <c r="K63" s="2">
        <f>K8*'Output-Calculation-sheet'!K52/10^9</f>
        <v>0.84494184675461204</v>
      </c>
      <c r="L63" s="2">
        <f>L8*'Output-Calculation-sheet'!L52/10^9</f>
        <v>1.1364858365162591</v>
      </c>
      <c r="M63" s="2">
        <f>M8*'Output-Calculation-sheet'!M52/10^9</f>
        <v>1.0651963659880852</v>
      </c>
      <c r="N63" s="2">
        <f>N8*'Output-Calculation-sheet'!N52/10^9</f>
        <v>0.88901117574039412</v>
      </c>
      <c r="O63" s="2">
        <f>O8*'Output-Calculation-sheet'!O52/10^9</f>
        <v>0.94800333698878436</v>
      </c>
      <c r="P63" s="2">
        <f>P8*'Output-Calculation-sheet'!P52/10^9</f>
        <v>0.58383309651715654</v>
      </c>
      <c r="Q63" s="2">
        <f>Q8*'Output-Calculation-sheet'!Q52/10^9</f>
        <v>0.66072437188553634</v>
      </c>
      <c r="R63" s="2">
        <f>R8*'Output-Calculation-sheet'!R52/10^9</f>
        <v>0.59319999580281479</v>
      </c>
      <c r="S63" s="2">
        <f>S8*'Output-Calculation-sheet'!S52/10^9</f>
        <v>0.43958483183547586</v>
      </c>
      <c r="T63" s="2">
        <f>T8*'Output-Calculation-sheet'!T52/10^9</f>
        <v>0.22552708510002226</v>
      </c>
      <c r="U63" s="2">
        <f>U8*'Output-Calculation-sheet'!U52/10^9</f>
        <v>0.15488949442089528</v>
      </c>
      <c r="V63" s="2">
        <f>V8*'Output-Calculation-sheet'!V52/10^9</f>
        <v>0.27489245972979764</v>
      </c>
      <c r="W63" s="2">
        <f>W8*'Output-Calculation-sheet'!W52/10^9</f>
        <v>9.9498383832303583E-2</v>
      </c>
      <c r="X63" s="2">
        <f>X8*'Output-Calculation-sheet'!X52/10^9</f>
        <v>0.11452034433062905</v>
      </c>
      <c r="Y63" s="2">
        <f>Y8*'Output-Calculation-sheet'!Y52/10^9</f>
        <v>6.4919864940444896E-2</v>
      </c>
      <c r="AA63" s="2">
        <f t="shared" si="4"/>
        <v>29.6145484472658</v>
      </c>
    </row>
    <row r="64" spans="1:27" x14ac:dyDescent="0.25">
      <c r="A64" s="2">
        <v>2032</v>
      </c>
      <c r="B64" s="2">
        <f>B9*'Output-Calculation-sheet'!B53/10^9</f>
        <v>7.5938930684044674</v>
      </c>
      <c r="C64" s="2">
        <f>C9*'Output-Calculation-sheet'!C53/10^9</f>
        <v>5.1269005879208311</v>
      </c>
      <c r="D64" s="2">
        <f>D9*'Output-Calculation-sheet'!D53/10^9</f>
        <v>2.247335002896425</v>
      </c>
      <c r="E64" s="2">
        <f>E9*'Output-Calculation-sheet'!E53/10^9</f>
        <v>2.3013806116580979</v>
      </c>
      <c r="F64" s="2">
        <f>F9*'Output-Calculation-sheet'!F53/10^9</f>
        <v>0.97070872610345105</v>
      </c>
      <c r="G64" s="2">
        <f>G9*'Output-Calculation-sheet'!G53/10^9</f>
        <v>0.69092004224120251</v>
      </c>
      <c r="H64" s="2">
        <f>H9*'Output-Calculation-sheet'!H53/10^9</f>
        <v>1.4197404069185959</v>
      </c>
      <c r="I64" s="2">
        <f>I9*'Output-Calculation-sheet'!I53/10^9</f>
        <v>0.64589742544846174</v>
      </c>
      <c r="J64" s="2">
        <f>J9*'Output-Calculation-sheet'!J53/10^9</f>
        <v>0.85503778971010291</v>
      </c>
      <c r="K64" s="2">
        <f>K9*'Output-Calculation-sheet'!K53/10^9</f>
        <v>0.79335670024235483</v>
      </c>
      <c r="L64" s="2">
        <f>L9*'Output-Calculation-sheet'!L53/10^9</f>
        <v>1.0206468229247567</v>
      </c>
      <c r="M64" s="2">
        <f>M9*'Output-Calculation-sheet'!M53/10^9</f>
        <v>1.1126741706452135</v>
      </c>
      <c r="N64" s="2">
        <f>N9*'Output-Calculation-sheet'!N53/10^9</f>
        <v>0.9366687001702052</v>
      </c>
      <c r="O64" s="2">
        <f>O9*'Output-Calculation-sheet'!O53/10^9</f>
        <v>1.0603732399088892</v>
      </c>
      <c r="P64" s="2">
        <f>P9*'Output-Calculation-sheet'!P53/10^9</f>
        <v>0.60487040126936509</v>
      </c>
      <c r="Q64" s="2">
        <f>Q9*'Output-Calculation-sheet'!Q53/10^9</f>
        <v>0.66848330047861837</v>
      </c>
      <c r="R64" s="2">
        <f>R9*'Output-Calculation-sheet'!R53/10^9</f>
        <v>0.57304727114845033</v>
      </c>
      <c r="S64" s="2">
        <f>S9*'Output-Calculation-sheet'!S53/10^9</f>
        <v>0.47346436045157581</v>
      </c>
      <c r="T64" s="2">
        <f>T9*'Output-Calculation-sheet'!T53/10^9</f>
        <v>0.20599557834558216</v>
      </c>
      <c r="U64" s="2">
        <f>U9*'Output-Calculation-sheet'!U53/10^9</f>
        <v>0.15504850245771118</v>
      </c>
      <c r="V64" s="2">
        <f>V9*'Output-Calculation-sheet'!V53/10^9</f>
        <v>0.24450290657123158</v>
      </c>
      <c r="W64" s="2">
        <f>W9*'Output-Calculation-sheet'!W53/10^9</f>
        <v>9.0852873098539316E-2</v>
      </c>
      <c r="X64" s="2">
        <f>X9*'Output-Calculation-sheet'!X53/10^9</f>
        <v>0.12331796686552929</v>
      </c>
      <c r="Y64" s="2">
        <f>Y9*'Output-Calculation-sheet'!Y53/10^9</f>
        <v>6.3654477359089856E-2</v>
      </c>
      <c r="AA64" s="2">
        <f t="shared" si="4"/>
        <v>29.978770933238746</v>
      </c>
    </row>
    <row r="65" spans="1:27" x14ac:dyDescent="0.25">
      <c r="A65" s="2">
        <v>2033</v>
      </c>
      <c r="B65" s="2">
        <f>B10*'Output-Calculation-sheet'!B54/10^9</f>
        <v>8.1276320839754046</v>
      </c>
      <c r="C65" s="2">
        <f>C10*'Output-Calculation-sheet'!C54/10^9</f>
        <v>5.7744121802970145</v>
      </c>
      <c r="D65" s="2">
        <f>D10*'Output-Calculation-sheet'!D54/10^9</f>
        <v>1.9201510265144588</v>
      </c>
      <c r="E65" s="2">
        <f>E10*'Output-Calculation-sheet'!E54/10^9</f>
        <v>2.1620680979433948</v>
      </c>
      <c r="F65" s="2">
        <f>F10*'Output-Calculation-sheet'!F54/10^9</f>
        <v>0.87776264825614114</v>
      </c>
      <c r="G65" s="2">
        <f>G10*'Output-Calculation-sheet'!G54/10^9</f>
        <v>0.60266345579300828</v>
      </c>
      <c r="H65" s="2">
        <f>H10*'Output-Calculation-sheet'!H54/10^9</f>
        <v>1.4893556445627698</v>
      </c>
      <c r="I65" s="2">
        <f>I10*'Output-Calculation-sheet'!I54/10^9</f>
        <v>0.58682961641050557</v>
      </c>
      <c r="J65" s="2">
        <f>J10*'Output-Calculation-sheet'!J54/10^9</f>
        <v>0.70139227665767179</v>
      </c>
      <c r="K65" s="2">
        <f>K10*'Output-Calculation-sheet'!K54/10^9</f>
        <v>0.74829264882452884</v>
      </c>
      <c r="L65" s="2">
        <f>L10*'Output-Calculation-sheet'!L54/10^9</f>
        <v>0.8838909934606447</v>
      </c>
      <c r="M65" s="2">
        <f>M10*'Output-Calculation-sheet'!M54/10^9</f>
        <v>1.1245716932589722</v>
      </c>
      <c r="N65" s="2">
        <f>N10*'Output-Calculation-sheet'!N54/10^9</f>
        <v>0.9710972505564176</v>
      </c>
      <c r="O65" s="2">
        <f>O10*'Output-Calculation-sheet'!O54/10^9</f>
        <v>1.1908540149842548</v>
      </c>
      <c r="P65" s="2">
        <f>P10*'Output-Calculation-sheet'!P54/10^9</f>
        <v>0.63315345369506471</v>
      </c>
      <c r="Q65" s="2">
        <f>Q10*'Output-Calculation-sheet'!Q54/10^9</f>
        <v>0.69089265254257104</v>
      </c>
      <c r="R65" s="2">
        <f>R10*'Output-Calculation-sheet'!R54/10^9</f>
        <v>0.55741067957851487</v>
      </c>
      <c r="S65" s="2">
        <f>S10*'Output-Calculation-sheet'!S54/10^9</f>
        <v>0.50631895109266356</v>
      </c>
      <c r="T65" s="2">
        <f>T10*'Output-Calculation-sheet'!T54/10^9</f>
        <v>0.18636727356681823</v>
      </c>
      <c r="U65" s="2">
        <f>U10*'Output-Calculation-sheet'!U54/10^9</f>
        <v>0.16092924456878244</v>
      </c>
      <c r="V65" s="2">
        <f>V10*'Output-Calculation-sheet'!V54/10^9</f>
        <v>0.20624351946712527</v>
      </c>
      <c r="W65" s="2">
        <f>W10*'Output-Calculation-sheet'!W54/10^9</f>
        <v>7.8524665026844381E-2</v>
      </c>
      <c r="X65" s="2">
        <f>X10*'Output-Calculation-sheet'!X54/10^9</f>
        <v>0.12933598978677238</v>
      </c>
      <c r="Y65" s="2">
        <f>Y10*'Output-Calculation-sheet'!Y54/10^9</f>
        <v>6.4630008310641585E-2</v>
      </c>
      <c r="AA65" s="2">
        <f t="shared" si="4"/>
        <v>30.374780069130985</v>
      </c>
    </row>
    <row r="66" spans="1:27" x14ac:dyDescent="0.25">
      <c r="A66" s="2">
        <v>2034</v>
      </c>
      <c r="B66" s="2">
        <f>B11*'Output-Calculation-sheet'!B55/10^9</f>
        <v>8.8592191559737756</v>
      </c>
      <c r="C66" s="2">
        <f>C11*'Output-Calculation-sheet'!C55/10^9</f>
        <v>6.7190232400370062</v>
      </c>
      <c r="D66" s="2">
        <f>D11*'Output-Calculation-sheet'!D55/10^9</f>
        <v>1.8532226102516847</v>
      </c>
      <c r="E66" s="2">
        <f>E11*'Output-Calculation-sheet'!E55/10^9</f>
        <v>2.2439277596508824</v>
      </c>
      <c r="F66" s="2">
        <f>F11*'Output-Calculation-sheet'!F55/10^9</f>
        <v>0.86237902025289515</v>
      </c>
      <c r="G66" s="2">
        <f>G11*'Output-Calculation-sheet'!G55/10^9</f>
        <v>0.61643067106642135</v>
      </c>
      <c r="H66" s="2">
        <f>H11*'Output-Calculation-sheet'!H55/10^9</f>
        <v>1.582963855967741</v>
      </c>
      <c r="I66" s="2">
        <f>I11*'Output-Calculation-sheet'!I55/10^9</f>
        <v>0.60283096579925266</v>
      </c>
      <c r="J66" s="2">
        <f>J11*'Output-Calculation-sheet'!J55/10^9</f>
        <v>0.61989852976497617</v>
      </c>
      <c r="K66" s="2">
        <f>K11*'Output-Calculation-sheet'!K55/10^9</f>
        <v>0.74139010185888254</v>
      </c>
      <c r="L66" s="2">
        <f>L11*'Output-Calculation-sheet'!L55/10^9</f>
        <v>0.78516642646486579</v>
      </c>
      <c r="M66" s="2">
        <f>M11*'Output-Calculation-sheet'!M55/10^9</f>
        <v>1.1416999347972225</v>
      </c>
      <c r="N66" s="2">
        <f>N11*'Output-Calculation-sheet'!N55/10^9</f>
        <v>0.99754222783337876</v>
      </c>
      <c r="O66" s="2">
        <f>O11*'Output-Calculation-sheet'!O55/10^9</f>
        <v>1.3378255887427573</v>
      </c>
      <c r="P66" s="2">
        <f>P11*'Output-Calculation-sheet'!P55/10^9</f>
        <v>0.68571089353716097</v>
      </c>
      <c r="Q66" s="2">
        <f>Q11*'Output-Calculation-sheet'!Q55/10^9</f>
        <v>0.74859032514793578</v>
      </c>
      <c r="R66" s="2">
        <f>R11*'Output-Calculation-sheet'!R55/10^9</f>
        <v>0.55539082011533292</v>
      </c>
      <c r="S66" s="2">
        <f>S11*'Output-Calculation-sheet'!S55/10^9</f>
        <v>0.54647542341716404</v>
      </c>
      <c r="T66" s="2">
        <f>T11*'Output-Calculation-sheet'!T55/10^9</f>
        <v>0.17409234866322937</v>
      </c>
      <c r="U66" s="2">
        <f>U11*'Output-Calculation-sheet'!U55/10^9</f>
        <v>0.17774928652265179</v>
      </c>
      <c r="V66" s="2">
        <f>V11*'Output-Calculation-sheet'!V55/10^9</f>
        <v>0.16515646944489595</v>
      </c>
      <c r="W66" s="2">
        <f>W11*'Output-Calculation-sheet'!W55/10^9</f>
        <v>7.4776605825169609E-2</v>
      </c>
      <c r="X66" s="2">
        <f>X11*'Output-Calculation-sheet'!X55/10^9</f>
        <v>0.14191156827510287</v>
      </c>
      <c r="Y66" s="2">
        <f>Y11*'Output-Calculation-sheet'!Y55/10^9</f>
        <v>7.3378316591993606E-2</v>
      </c>
      <c r="AA66" s="2">
        <f t="shared" si="4"/>
        <v>32.306752146002381</v>
      </c>
    </row>
    <row r="67" spans="1:27" x14ac:dyDescent="0.25">
      <c r="A67" s="2">
        <v>2035</v>
      </c>
      <c r="B67" s="2">
        <f>B12*'Output-Calculation-sheet'!B56/10^9</f>
        <v>10.638969820248299</v>
      </c>
      <c r="C67" s="2">
        <f>C12*'Output-Calculation-sheet'!C56/10^9</f>
        <v>7.711149337668143</v>
      </c>
      <c r="D67" s="2">
        <f>D12*'Output-Calculation-sheet'!D56/10^9</f>
        <v>2.4131703818558403</v>
      </c>
      <c r="E67" s="2">
        <f>E12*'Output-Calculation-sheet'!E56/10^9</f>
        <v>2.8724735821275509</v>
      </c>
      <c r="F67" s="2">
        <f>F12*'Output-Calculation-sheet'!F56/10^9</f>
        <v>1.1756189042434402</v>
      </c>
      <c r="G67" s="2">
        <f>G12*'Output-Calculation-sheet'!G56/10^9</f>
        <v>0.82634034696661274</v>
      </c>
      <c r="H67" s="2">
        <f>H12*'Output-Calculation-sheet'!H56/10^9</f>
        <v>1.8867190155619342</v>
      </c>
      <c r="I67" s="2">
        <f>I12*'Output-Calculation-sheet'!I56/10^9</f>
        <v>0.82751422325591661</v>
      </c>
      <c r="J67" s="2">
        <f>J12*'Output-Calculation-sheet'!J56/10^9</f>
        <v>0.74865244646778351</v>
      </c>
      <c r="K67" s="2">
        <f>K12*'Output-Calculation-sheet'!K56/10^9</f>
        <v>0.9291419675598912</v>
      </c>
      <c r="L67" s="2">
        <f>L12*'Output-Calculation-sheet'!L56/10^9</f>
        <v>0.86585989408566477</v>
      </c>
      <c r="M67" s="2">
        <f>M12*'Output-Calculation-sheet'!M56/10^9</f>
        <v>1.330749345923417</v>
      </c>
      <c r="N67" s="2">
        <f>N12*'Output-Calculation-sheet'!N56/10^9</f>
        <v>1.1314278191694458</v>
      </c>
      <c r="O67" s="2">
        <f>O12*'Output-Calculation-sheet'!O56/10^9</f>
        <v>1.4895546482863251</v>
      </c>
      <c r="P67" s="2">
        <f>P12*'Output-Calculation-sheet'!P56/10^9</f>
        <v>0.87354049026623148</v>
      </c>
      <c r="Q67" s="2">
        <f>Q12*'Output-Calculation-sheet'!Q56/10^9</f>
        <v>0.88233109309913371</v>
      </c>
      <c r="R67" s="2">
        <f>R12*'Output-Calculation-sheet'!R56/10^9</f>
        <v>0.67373591322716597</v>
      </c>
      <c r="S67" s="2">
        <f>S12*'Output-Calculation-sheet'!S56/10^9</f>
        <v>0.64428700286958973</v>
      </c>
      <c r="T67" s="2">
        <f>T12*'Output-Calculation-sheet'!T56/10^9</f>
        <v>0.2049226364621857</v>
      </c>
      <c r="U67" s="2">
        <f>U12*'Output-Calculation-sheet'!U56/10^9</f>
        <v>0.23308000191338732</v>
      </c>
      <c r="V67" s="2">
        <f>V12*'Output-Calculation-sheet'!V56/10^9</f>
        <v>0.15710829668602913</v>
      </c>
      <c r="W67" s="2">
        <f>W12*'Output-Calculation-sheet'!W56/10^9</f>
        <v>0.10175053377640846</v>
      </c>
      <c r="X67" s="2">
        <f>X12*'Output-Calculation-sheet'!X56/10^9</f>
        <v>0.1666521342556273</v>
      </c>
      <c r="Y67" s="2">
        <f>Y12*'Output-Calculation-sheet'!Y56/10^9</f>
        <v>9.5618199666750503E-2</v>
      </c>
      <c r="AA67" s="2">
        <f t="shared" si="4"/>
        <v>38.880368035642768</v>
      </c>
    </row>
    <row r="68" spans="1:27" x14ac:dyDescent="0.25">
      <c r="B68" s="2">
        <f>SUM(B60:B67)</f>
        <v>60.090767841797472</v>
      </c>
      <c r="C68" s="2">
        <f t="shared" ref="C68:Y68" si="5">SUM(C60:C67)</f>
        <v>39.210843407953412</v>
      </c>
      <c r="D68" s="2">
        <f t="shared" si="5"/>
        <v>17.842644799230989</v>
      </c>
      <c r="E68" s="2">
        <f t="shared" si="5"/>
        <v>18.876193279194172</v>
      </c>
      <c r="F68" s="2">
        <f t="shared" si="5"/>
        <v>7.7609941009774932</v>
      </c>
      <c r="G68" s="2">
        <f t="shared" si="5"/>
        <v>5.5468935881303452</v>
      </c>
      <c r="H68" s="2">
        <f t="shared" si="5"/>
        <v>10.59582816224022</v>
      </c>
      <c r="I68" s="2">
        <f t="shared" si="5"/>
        <v>5.2661541267581153</v>
      </c>
      <c r="J68" s="2">
        <f t="shared" si="5"/>
        <v>6.6276950702696782</v>
      </c>
      <c r="K68" s="2">
        <f t="shared" si="5"/>
        <v>6.3643717504175843</v>
      </c>
      <c r="L68" s="2">
        <f t="shared" si="5"/>
        <v>7.9431353555216138</v>
      </c>
      <c r="M68" s="2">
        <f t="shared" si="5"/>
        <v>8.2665933070452411</v>
      </c>
      <c r="N68" s="2">
        <f t="shared" si="5"/>
        <v>7.0887140970335238</v>
      </c>
      <c r="O68" s="2">
        <f t="shared" si="5"/>
        <v>7.9734707776955345</v>
      </c>
      <c r="P68" s="2">
        <f t="shared" si="5"/>
        <v>4.8453203258278137</v>
      </c>
      <c r="Q68" s="2">
        <f t="shared" si="5"/>
        <v>5.3224933025413934</v>
      </c>
      <c r="R68" s="2">
        <f t="shared" si="5"/>
        <v>4.5564584686226581</v>
      </c>
      <c r="S68" s="2">
        <f t="shared" si="5"/>
        <v>3.6579074823571061</v>
      </c>
      <c r="T68" s="2">
        <f t="shared" si="5"/>
        <v>1.6248633390395775</v>
      </c>
      <c r="U68" s="2">
        <f t="shared" si="5"/>
        <v>1.2922046866715071</v>
      </c>
      <c r="V68" s="2">
        <f t="shared" si="5"/>
        <v>1.8427887063419539</v>
      </c>
      <c r="W68" s="2">
        <f t="shared" si="5"/>
        <v>0.7204432693751821</v>
      </c>
      <c r="X68" s="2">
        <f t="shared" si="5"/>
        <v>0.92931337612241793</v>
      </c>
      <c r="Y68" s="2">
        <f t="shared" si="5"/>
        <v>0.53554672053288033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6000.3535516698748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1448.3120807886621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970.51411460481847</v>
      </c>
      <c r="N74" s="2">
        <f>N8/'Output-Calculation-sheet'!N7*'Output-Calculation-sheet'!N61</f>
        <v>40.675962454765973</v>
      </c>
      <c r="O74" s="2">
        <f>O8/'Output-Calculation-sheet'!O7*'Output-Calculation-sheet'!O61</f>
        <v>1199.4018255261292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120.60031805516064</v>
      </c>
      <c r="Y74" s="2">
        <f>Y8/'Output-Calculation-sheet'!Y7*'Output-Calculation-sheet'!Y61</f>
        <v>0</v>
      </c>
      <c r="AA74" s="2">
        <f t="shared" si="6"/>
        <v>9.7798578530994131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10126.72483565424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2509.5938800401609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1705.13537543148</v>
      </c>
      <c r="N75" s="2">
        <f>N9/'Output-Calculation-sheet'!N8*'Output-Calculation-sheet'!N62</f>
        <v>656.623346940445</v>
      </c>
      <c r="O75" s="2">
        <f>O9/'Output-Calculation-sheet'!O8*'Output-Calculation-sheet'!O62</f>
        <v>2001.7272476162007</v>
      </c>
      <c r="P75" s="2">
        <f>P9/'Output-Calculation-sheet'!P8*'Output-Calculation-sheet'!P62</f>
        <v>44.123317728076422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220.83657166334808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206.00239053352587</v>
      </c>
      <c r="Y75" s="2">
        <f>Y9/'Output-Calculation-sheet'!Y8*'Output-Calculation-sheet'!Y62</f>
        <v>0</v>
      </c>
      <c r="AA75" s="2">
        <f t="shared" si="6"/>
        <v>17.470766965607478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13797.465316063601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3714.626800699561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2529.1052524505812</v>
      </c>
      <c r="N76" s="2">
        <f>N10/'Output-Calculation-sheet'!N9*'Output-Calculation-sheet'!N63</f>
        <v>1444.8987109783584</v>
      </c>
      <c r="O76" s="2">
        <f>O10/'Output-Calculation-sheet'!O9*'Output-Calculation-sheet'!O63</f>
        <v>2489.2340110229447</v>
      </c>
      <c r="P76" s="2">
        <f>P10/'Output-Calculation-sheet'!P9*'Output-Calculation-sheet'!P63</f>
        <v>501.73495598502041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380.88101133266292</v>
      </c>
      <c r="S76" s="2">
        <f>S10/'Output-Calculation-sheet'!S9*'Output-Calculation-sheet'!S63</f>
        <v>641.81300093034065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135.13387838023843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297.84895834372941</v>
      </c>
      <c r="Y76" s="2">
        <f>Y10/'Output-Calculation-sheet'!Y9*'Output-Calculation-sheet'!Y63</f>
        <v>5.6505766210566959</v>
      </c>
      <c r="AA76" s="2">
        <f t="shared" si="6"/>
        <v>31.982821484300231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14791.428460698149</v>
      </c>
      <c r="D77" s="2">
        <f>D11/'Output-Calculation-sheet'!D10*'Output-Calculation-sheet'!D64</f>
        <v>1830.9204483331227</v>
      </c>
      <c r="E77" s="2">
        <f>E11/'Output-Calculation-sheet'!E10*'Output-Calculation-sheet'!E64</f>
        <v>2227.2688217074501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954.81855597667402</v>
      </c>
      <c r="H77" s="2">
        <f>H11/'Output-Calculation-sheet'!H10*'Output-Calculation-sheet'!H64</f>
        <v>5073.1184043485982</v>
      </c>
      <c r="I77" s="2">
        <f>I11/'Output-Calculation-sheet'!I10*'Output-Calculation-sheet'!I64</f>
        <v>565.77699097658569</v>
      </c>
      <c r="J77" s="2">
        <f>J11/'Output-Calculation-sheet'!J10*'Output-Calculation-sheet'!J64</f>
        <v>406.68718760211334</v>
      </c>
      <c r="K77" s="2">
        <f>K11/'Output-Calculation-sheet'!K10*'Output-Calculation-sheet'!K64</f>
        <v>851.34742336936267</v>
      </c>
      <c r="L77" s="2">
        <f>L11/'Output-Calculation-sheet'!L10*'Output-Calculation-sheet'!L64</f>
        <v>372.19686827172319</v>
      </c>
      <c r="M77" s="2">
        <f>M11/'Output-Calculation-sheet'!M10*'Output-Calculation-sheet'!M64</f>
        <v>3399.9897482329989</v>
      </c>
      <c r="N77" s="2">
        <f>N11/'Output-Calculation-sheet'!N10*'Output-Calculation-sheet'!N64</f>
        <v>2393.7823520835341</v>
      </c>
      <c r="O77" s="2">
        <f>O11/'Output-Calculation-sheet'!O10*'Output-Calculation-sheet'!O64</f>
        <v>2772.7299596388098</v>
      </c>
      <c r="P77" s="2">
        <f>P11/'Output-Calculation-sheet'!P10*'Output-Calculation-sheet'!P64</f>
        <v>1056.5678461681186</v>
      </c>
      <c r="Q77" s="2">
        <f>Q11/'Output-Calculation-sheet'!Q10*'Output-Calculation-sheet'!Q64</f>
        <v>950.49956507141724</v>
      </c>
      <c r="R77" s="2">
        <f>R11/'Output-Calculation-sheet'!R10*'Output-Calculation-sheet'!R64</f>
        <v>904.14603653688323</v>
      </c>
      <c r="S77" s="2">
        <f>S11/'Output-Calculation-sheet'!S10*'Output-Calculation-sheet'!S64</f>
        <v>1203.7616416728372</v>
      </c>
      <c r="T77" s="2">
        <f>T11/'Output-Calculation-sheet'!T10*'Output-Calculation-sheet'!T64</f>
        <v>250.59824044980053</v>
      </c>
      <c r="U77" s="2">
        <f>U11/'Output-Calculation-sheet'!U10*'Output-Calculation-sheet'!U64</f>
        <v>342.90348446752853</v>
      </c>
      <c r="V77" s="2">
        <f>V11/'Output-Calculation-sheet'!V10*'Output-Calculation-sheet'!V64</f>
        <v>131.77624944539104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350.63563992005362</v>
      </c>
      <c r="Y77" s="2">
        <f>Y11/'Output-Calculation-sheet'!Y10*'Output-Calculation-sheet'!Y64</f>
        <v>82.769530393277961</v>
      </c>
      <c r="AA77" s="2">
        <f t="shared" si="6"/>
        <v>55.752416110801626</v>
      </c>
    </row>
    <row r="78" spans="1:27" x14ac:dyDescent="0.25">
      <c r="A78" s="2">
        <v>2035</v>
      </c>
      <c r="B78" s="2">
        <f>B12/'Output-Calculation-sheet'!B11*'Output-Calculation-sheet'!B65</f>
        <v>22753.831620776498</v>
      </c>
      <c r="C78" s="2">
        <f>C12/'Output-Calculation-sheet'!C11*'Output-Calculation-sheet'!C65</f>
        <v>16034.201204034187</v>
      </c>
      <c r="D78" s="2">
        <f>D12/'Output-Calculation-sheet'!D11*'Output-Calculation-sheet'!D65</f>
        <v>5226.3675481964037</v>
      </c>
      <c r="E78" s="2">
        <f>E12/'Output-Calculation-sheet'!E11*'Output-Calculation-sheet'!E65</f>
        <v>5227.8096946221331</v>
      </c>
      <c r="F78" s="2">
        <f>F12/'Output-Calculation-sheet'!F11*'Output-Calculation-sheet'!F65</f>
        <v>1213.6213580034073</v>
      </c>
      <c r="G78" s="2">
        <f>G12/'Output-Calculation-sheet'!G11*'Output-Calculation-sheet'!G65</f>
        <v>1809.0367013620235</v>
      </c>
      <c r="H78" s="2">
        <f>H12/'Output-Calculation-sheet'!H11*'Output-Calculation-sheet'!H65</f>
        <v>5797.6742969444786</v>
      </c>
      <c r="I78" s="2">
        <f>I12/'Output-Calculation-sheet'!I11*'Output-Calculation-sheet'!I65</f>
        <v>1605.953670738028</v>
      </c>
      <c r="J78" s="2">
        <f>J12/'Output-Calculation-sheet'!J11*'Output-Calculation-sheet'!J65</f>
        <v>1428.7083679414739</v>
      </c>
      <c r="K78" s="2">
        <f>K12/'Output-Calculation-sheet'!K11*'Output-Calculation-sheet'!K65</f>
        <v>1904.4781279685049</v>
      </c>
      <c r="L78" s="2">
        <f>L12/'Output-Calculation-sheet'!L11*'Output-Calculation-sheet'!L65</f>
        <v>1254.4892037445761</v>
      </c>
      <c r="M78" s="2">
        <f>M12/'Output-Calculation-sheet'!M11*'Output-Calculation-sheet'!M65</f>
        <v>4048.8229439815332</v>
      </c>
      <c r="N78" s="2">
        <f>N12/'Output-Calculation-sheet'!N11*'Output-Calculation-sheet'!N65</f>
        <v>2891.1554208353459</v>
      </c>
      <c r="O78" s="2">
        <f>O12/'Output-Calculation-sheet'!O11*'Output-Calculation-sheet'!O65</f>
        <v>2929.7366789162679</v>
      </c>
      <c r="P78" s="2">
        <f>P12/'Output-Calculation-sheet'!P11*'Output-Calculation-sheet'!P65</f>
        <v>1601.1491178798851</v>
      </c>
      <c r="Q78" s="2">
        <f>Q12/'Output-Calculation-sheet'!Q11*'Output-Calculation-sheet'!Q65</f>
        <v>1552.2892372419235</v>
      </c>
      <c r="R78" s="2">
        <f>R12/'Output-Calculation-sheet'!R11*'Output-Calculation-sheet'!R65</f>
        <v>1408.1933581011617</v>
      </c>
      <c r="S78" s="2">
        <f>S12/'Output-Calculation-sheet'!S11*'Output-Calculation-sheet'!S65</f>
        <v>1575.305142637005</v>
      </c>
      <c r="T78" s="2">
        <f>T12/'Output-Calculation-sheet'!T11*'Output-Calculation-sheet'!T65</f>
        <v>490.74160956650633</v>
      </c>
      <c r="U78" s="2">
        <f>U12/'Output-Calculation-sheet'!U11*'Output-Calculation-sheet'!U65</f>
        <v>448.71523750193478</v>
      </c>
      <c r="V78" s="2">
        <f>V12/'Output-Calculation-sheet'!V11*'Output-Calculation-sheet'!V65</f>
        <v>256.8292614593181</v>
      </c>
      <c r="W78" s="2">
        <f>W12/'Output-Calculation-sheet'!W11*'Output-Calculation-sheet'!W65</f>
        <v>170.94237479751126</v>
      </c>
      <c r="X78" s="2">
        <f>X12/'Output-Calculation-sheet'!X11*'Output-Calculation-sheet'!X65</f>
        <v>388.89477865944434</v>
      </c>
      <c r="Y78" s="2">
        <f>Y12/'Output-Calculation-sheet'!Y11*'Output-Calculation-sheet'!Y65</f>
        <v>179.83558225709569</v>
      </c>
      <c r="AA78" s="2">
        <f t="shared" si="6"/>
        <v>82.198782538166668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40.846287193832524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4.0846287193832521E-2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558.52962906860864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130.20873745045952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0.68873836651906817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1295.1411941606225</v>
      </c>
      <c r="D89" s="2">
        <f>D12/'Output-Calculation-sheet'!D11*'Output-Calculation-sheet'!D74</f>
        <v>104.29789559362212</v>
      </c>
      <c r="E89" s="2">
        <f>E12/'Output-Calculation-sheet'!E11*'Output-Calculation-sheet'!E74</f>
        <v>82.889007366769192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108.73221696923918</v>
      </c>
      <c r="I89" s="2">
        <f>I12/'Output-Calculation-sheet'!I11*'Output-Calculation-sheet'!I74</f>
        <v>33.651565717537203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33.074192073365026</v>
      </c>
      <c r="L89" s="2">
        <f>L12/'Output-Calculation-sheet'!L11*'Output-Calculation-sheet'!L74</f>
        <v>26.299012677817572</v>
      </c>
      <c r="M89" s="2">
        <f>M12/'Output-Calculation-sheet'!M11*'Output-Calculation-sheet'!M74</f>
        <v>74.818405331480903</v>
      </c>
      <c r="N89" s="2">
        <f>N12/'Output-Calculation-sheet'!N11*'Output-Calculation-sheet'!N74</f>
        <v>49.022991256290261</v>
      </c>
      <c r="O89" s="2">
        <f>O12/'Output-Calculation-sheet'!O11*'Output-Calculation-sheet'!O74</f>
        <v>297.35856300923217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42.951515259665015</v>
      </c>
      <c r="R89" s="2">
        <f>R12/'Output-Calculation-sheet'!R11*'Output-Calculation-sheet'!R74</f>
        <v>21.297218101679675</v>
      </c>
      <c r="S89" s="2">
        <f>S12/'Output-Calculation-sheet'!S11*'Output-Calculation-sheet'!S74</f>
        <v>28.101594659715563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13.704157758969391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10.943684676368875</v>
      </c>
      <c r="Y89" s="2">
        <f>Y12/'Output-Calculation-sheet'!Y11*'Output-Calculation-sheet'!Y74</f>
        <v>5.2804293465982228</v>
      </c>
      <c r="AA89" s="2">
        <f t="shared" si="7"/>
        <v>2.9469956581037491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18900868595.93531</v>
      </c>
      <c r="C96" s="2">
        <f>C8/'Output-Calculation-sheet'!C7*'Output-Calculation-sheet'!C79</f>
        <v>7824712660.2535801</v>
      </c>
      <c r="D96" s="2">
        <f>D8/'Output-Calculation-sheet'!D7*'Output-Calculation-sheet'!D79</f>
        <v>6237523405.2623482</v>
      </c>
      <c r="E96" s="2">
        <f>E8/'Output-Calculation-sheet'!E7*'Output-Calculation-sheet'!E79</f>
        <v>7537102761.7522984</v>
      </c>
      <c r="F96" s="2">
        <f>F8/'Output-Calculation-sheet'!F7*'Output-Calculation-sheet'!F79</f>
        <v>4449108490.9245977</v>
      </c>
      <c r="G96" s="2">
        <f>G8/'Output-Calculation-sheet'!G7*'Output-Calculation-sheet'!G79</f>
        <v>2263047510.9475064</v>
      </c>
      <c r="H96" s="2">
        <f>H8/'Output-Calculation-sheet'!H7*'Output-Calculation-sheet'!H79</f>
        <v>2825794939.5571866</v>
      </c>
      <c r="I96" s="2">
        <f>I8/'Output-Calculation-sheet'!I7*'Output-Calculation-sheet'!I79</f>
        <v>2704680876.1831656</v>
      </c>
      <c r="J96" s="2">
        <f>J8/'Output-Calculation-sheet'!J7*'Output-Calculation-sheet'!J79</f>
        <v>1526619000.9360621</v>
      </c>
      <c r="K96" s="2">
        <f>K8/'Output-Calculation-sheet'!K7*'Output-Calculation-sheet'!K79</f>
        <v>2600355059.2188406</v>
      </c>
      <c r="L96" s="2">
        <f>L8/'Output-Calculation-sheet'!L7*'Output-Calculation-sheet'!L79</f>
        <v>1870226470.9576519</v>
      </c>
      <c r="M96" s="2">
        <f>M8/'Output-Calculation-sheet'!M7*'Output-Calculation-sheet'!M79</f>
        <v>1890632711.830745</v>
      </c>
      <c r="N96" s="2">
        <f>N8/'Output-Calculation-sheet'!N7*'Output-Calculation-sheet'!N79</f>
        <v>1345616515.4238443</v>
      </c>
      <c r="O96" s="2">
        <f>O8/'Output-Calculation-sheet'!O7*'Output-Calculation-sheet'!O79</f>
        <v>1057538951.4118195</v>
      </c>
      <c r="P96" s="2">
        <f>P8/'Output-Calculation-sheet'!P7*'Output-Calculation-sheet'!P79</f>
        <v>2248061723.9745622</v>
      </c>
      <c r="Q96" s="2">
        <f>Q8/'Output-Calculation-sheet'!Q7*'Output-Calculation-sheet'!Q79</f>
        <v>1224436533.0864298</v>
      </c>
      <c r="R96" s="2">
        <f>R8/'Output-Calculation-sheet'!R7*'Output-Calculation-sheet'!R79</f>
        <v>1633514777.8659487</v>
      </c>
      <c r="S96" s="2">
        <f>S8/'Output-Calculation-sheet'!S7*'Output-Calculation-sheet'!S79</f>
        <v>1028209494.5173833</v>
      </c>
      <c r="T96" s="2">
        <f>T8/'Output-Calculation-sheet'!T7*'Output-Calculation-sheet'!T79</f>
        <v>660255256.72573674</v>
      </c>
      <c r="U96" s="2">
        <f>U8/'Output-Calculation-sheet'!U7*'Output-Calculation-sheet'!U79</f>
        <v>612245576.80112243</v>
      </c>
      <c r="V96" s="2">
        <f>V8/'Output-Calculation-sheet'!V7*'Output-Calculation-sheet'!V79</f>
        <v>394184560.51339495</v>
      </c>
      <c r="W96" s="2">
        <f>W8/'Output-Calculation-sheet'!W7*'Output-Calculation-sheet'!W79</f>
        <v>471534089.38376009</v>
      </c>
      <c r="X96" s="2">
        <f>X8/'Output-Calculation-sheet'!X7*'Output-Calculation-sheet'!X79</f>
        <v>215823820.22920465</v>
      </c>
      <c r="Y96" s="2">
        <f>Y8/'Output-Calculation-sheet'!Y7*'Output-Calculation-sheet'!Y79</f>
        <v>241565622.33127901</v>
      </c>
      <c r="AA96" s="2">
        <f t="shared" si="8"/>
        <v>71.763659406023791</v>
      </c>
    </row>
    <row r="97" spans="1:27" x14ac:dyDescent="0.25">
      <c r="A97" s="2">
        <v>2032</v>
      </c>
      <c r="B97" s="2">
        <f>B9/'Output-Calculation-sheet'!B8*'Output-Calculation-sheet'!B80</f>
        <v>26238499389.36462</v>
      </c>
      <c r="C97" s="2">
        <f>C9/'Output-Calculation-sheet'!C8*'Output-Calculation-sheet'!C80</f>
        <v>10871868323.937668</v>
      </c>
      <c r="D97" s="2">
        <f>D9/'Output-Calculation-sheet'!D8*'Output-Calculation-sheet'!D80</f>
        <v>8593332709.7380714</v>
      </c>
      <c r="E97" s="2">
        <f>E9/'Output-Calculation-sheet'!E8*'Output-Calculation-sheet'!E80</f>
        <v>10369174775.25296</v>
      </c>
      <c r="F97" s="2">
        <f>F9/'Output-Calculation-sheet'!F8*'Output-Calculation-sheet'!F80</f>
        <v>6144028847.4777718</v>
      </c>
      <c r="G97" s="2">
        <f>G9/'Output-Calculation-sheet'!G8*'Output-Calculation-sheet'!G80</f>
        <v>3075594786.4422097</v>
      </c>
      <c r="H97" s="2">
        <f>H9/'Output-Calculation-sheet'!H8*'Output-Calculation-sheet'!H80</f>
        <v>3914733047.0365195</v>
      </c>
      <c r="I97" s="2">
        <f>I9/'Output-Calculation-sheet'!I8*'Output-Calculation-sheet'!I80</f>
        <v>3736770648.9825077</v>
      </c>
      <c r="J97" s="2">
        <f>J9/'Output-Calculation-sheet'!J8*'Output-Calculation-sheet'!J80</f>
        <v>2132256654.9206195</v>
      </c>
      <c r="K97" s="2">
        <f>K9/'Output-Calculation-sheet'!K8*'Output-Calculation-sheet'!K80</f>
        <v>3591824568.1953683</v>
      </c>
      <c r="L97" s="2">
        <f>L9/'Output-Calculation-sheet'!L8*'Output-Calculation-sheet'!L80</f>
        <v>2598807501.0597887</v>
      </c>
      <c r="M97" s="2">
        <f>M9/'Output-Calculation-sheet'!M8*'Output-Calculation-sheet'!M80</f>
        <v>2619157642.9992437</v>
      </c>
      <c r="N97" s="2">
        <f>N9/'Output-Calculation-sheet'!N8*'Output-Calculation-sheet'!N80</f>
        <v>1872108425.6459098</v>
      </c>
      <c r="O97" s="2">
        <f>O9/'Output-Calculation-sheet'!O8*'Output-Calculation-sheet'!O80</f>
        <v>1476979229.4104788</v>
      </c>
      <c r="P97" s="2">
        <f>P9/'Output-Calculation-sheet'!P8*'Output-Calculation-sheet'!P80</f>
        <v>3086540705.5040488</v>
      </c>
      <c r="Q97" s="2">
        <f>Q9/'Output-Calculation-sheet'!Q8*'Output-Calculation-sheet'!Q80</f>
        <v>1709050176.7716064</v>
      </c>
      <c r="R97" s="2">
        <f>R9/'Output-Calculation-sheet'!R8*'Output-Calculation-sheet'!R80</f>
        <v>2265946395.4242592</v>
      </c>
      <c r="S97" s="2">
        <f>S9/'Output-Calculation-sheet'!S8*'Output-Calculation-sheet'!S80</f>
        <v>1429482742.6268809</v>
      </c>
      <c r="T97" s="2">
        <f>T9/'Output-Calculation-sheet'!T8*'Output-Calculation-sheet'!T80</f>
        <v>908618913.37812543</v>
      </c>
      <c r="U97" s="2">
        <f>U9/'Output-Calculation-sheet'!U8*'Output-Calculation-sheet'!U80</f>
        <v>847322445.89263487</v>
      </c>
      <c r="V97" s="2">
        <f>V9/'Output-Calculation-sheet'!V8*'Output-Calculation-sheet'!V80</f>
        <v>548734083.46129966</v>
      </c>
      <c r="W97" s="2">
        <f>W9/'Output-Calculation-sheet'!W8*'Output-Calculation-sheet'!W80</f>
        <v>641899412.70801187</v>
      </c>
      <c r="X97" s="2">
        <f>X9/'Output-Calculation-sheet'!X8*'Output-Calculation-sheet'!X80</f>
        <v>298894299.62631828</v>
      </c>
      <c r="Y97" s="2">
        <f>Y9/'Output-Calculation-sheet'!Y8*'Output-Calculation-sheet'!Y80</f>
        <v>330291973.77421111</v>
      </c>
      <c r="AA97" s="2">
        <f t="shared" si="8"/>
        <v>99.301917699631119</v>
      </c>
    </row>
    <row r="98" spans="1:27" x14ac:dyDescent="0.25">
      <c r="A98" s="2">
        <v>2033</v>
      </c>
      <c r="B98" s="2">
        <f>B10/'Output-Calculation-sheet'!B9*'Output-Calculation-sheet'!B81</f>
        <v>34192080803.80019</v>
      </c>
      <c r="C98" s="2">
        <f>C10/'Output-Calculation-sheet'!C9*'Output-Calculation-sheet'!C81</f>
        <v>14182100135.133091</v>
      </c>
      <c r="D98" s="2">
        <f>D10/'Output-Calculation-sheet'!D9*'Output-Calculation-sheet'!D81</f>
        <v>11124904052.910101</v>
      </c>
      <c r="E98" s="2">
        <f>E10/'Output-Calculation-sheet'!E9*'Output-Calculation-sheet'!E81</f>
        <v>13398687284.719631</v>
      </c>
      <c r="F98" s="2">
        <f>F10/'Output-Calculation-sheet'!F9*'Output-Calculation-sheet'!F81</f>
        <v>7967172958.3452187</v>
      </c>
      <c r="G98" s="2">
        <f>G10/'Output-Calculation-sheet'!G9*'Output-Calculation-sheet'!G81</f>
        <v>3927234845.5574627</v>
      </c>
      <c r="H98" s="2">
        <f>H10/'Output-Calculation-sheet'!H9*'Output-Calculation-sheet'!H81</f>
        <v>5091734715.2749872</v>
      </c>
      <c r="I98" s="2">
        <f>I10/'Output-Calculation-sheet'!I9*'Output-Calculation-sheet'!I81</f>
        <v>4848502764.526763</v>
      </c>
      <c r="J98" s="2">
        <f>J10/'Output-Calculation-sheet'!J9*'Output-Calculation-sheet'!J81</f>
        <v>2797692010.0697036</v>
      </c>
      <c r="K98" s="2">
        <f>K10/'Output-Calculation-sheet'!K9*'Output-Calculation-sheet'!K81</f>
        <v>4658897949.5509405</v>
      </c>
      <c r="L98" s="2">
        <f>L10/'Output-Calculation-sheet'!L9*'Output-Calculation-sheet'!L81</f>
        <v>3390327101.1643271</v>
      </c>
      <c r="M98" s="2">
        <f>M10/'Output-Calculation-sheet'!M9*'Output-Calculation-sheet'!M81</f>
        <v>3407248860.6814103</v>
      </c>
      <c r="N98" s="2">
        <f>N10/'Output-Calculation-sheet'!N9*'Output-Calculation-sheet'!N81</f>
        <v>2446717911.4488287</v>
      </c>
      <c r="O98" s="2">
        <f>O10/'Output-Calculation-sheet'!O9*'Output-Calculation-sheet'!O81</f>
        <v>1937156614.4682841</v>
      </c>
      <c r="P98" s="2">
        <f>P10/'Output-Calculation-sheet'!P9*'Output-Calculation-sheet'!P81</f>
        <v>3978916307.3182316</v>
      </c>
      <c r="Q98" s="2">
        <f>Q10/'Output-Calculation-sheet'!Q9*'Output-Calculation-sheet'!Q81</f>
        <v>2240160169.6064706</v>
      </c>
      <c r="R98" s="2">
        <f>R10/'Output-Calculation-sheet'!R9*'Output-Calculation-sheet'!R81</f>
        <v>2950920797.1770859</v>
      </c>
      <c r="S98" s="2">
        <f>S10/'Output-Calculation-sheet'!S9*'Output-Calculation-sheet'!S81</f>
        <v>1865519394.2169003</v>
      </c>
      <c r="T98" s="2">
        <f>T10/'Output-Calculation-sheet'!T9*'Output-Calculation-sheet'!T81</f>
        <v>1174373841.6276011</v>
      </c>
      <c r="U98" s="2">
        <f>U10/'Output-Calculation-sheet'!U9*'Output-Calculation-sheet'!U81</f>
        <v>1100328583.5874288</v>
      </c>
      <c r="V98" s="2">
        <f>V10/'Output-Calculation-sheet'!V9*'Output-Calculation-sheet'!V81</f>
        <v>716654720.23721027</v>
      </c>
      <c r="W98" s="2">
        <f>W10/'Output-Calculation-sheet'!W9*'Output-Calculation-sheet'!W81</f>
        <v>820675926.94189155</v>
      </c>
      <c r="X98" s="2">
        <f>X10/'Output-Calculation-sheet'!X9*'Output-Calculation-sheet'!X81</f>
        <v>388679345.27631491</v>
      </c>
      <c r="Y98" s="2">
        <f>Y10/'Output-Calculation-sheet'!Y9*'Output-Calculation-sheet'!Y81</f>
        <v>424276739.80619371</v>
      </c>
      <c r="AA98" s="2">
        <f t="shared" si="8"/>
        <v>129.03096383344626</v>
      </c>
    </row>
    <row r="99" spans="1:27" x14ac:dyDescent="0.25">
      <c r="A99" s="2">
        <v>2034</v>
      </c>
      <c r="B99" s="2">
        <f>B11/'Output-Calculation-sheet'!B10*'Output-Calculation-sheet'!B82</f>
        <v>42760647644.265587</v>
      </c>
      <c r="C99" s="2">
        <f>C11/'Output-Calculation-sheet'!C10*'Output-Calculation-sheet'!C82</f>
        <v>17757176108.682137</v>
      </c>
      <c r="D99" s="2">
        <f>D11/'Output-Calculation-sheet'!D10*'Output-Calculation-sheet'!D82</f>
        <v>13835467181.404839</v>
      </c>
      <c r="E99" s="2">
        <f>E11/'Output-Calculation-sheet'!E10*'Output-Calculation-sheet'!E82</f>
        <v>16624325992.002434</v>
      </c>
      <c r="F99" s="2">
        <f>F11/'Output-Calculation-sheet'!F10*'Output-Calculation-sheet'!F82</f>
        <v>9917958183.9202671</v>
      </c>
      <c r="G99" s="2">
        <f>G11/'Output-Calculation-sheet'!G10*'Output-Calculation-sheet'!G82</f>
        <v>4816883730.0759373</v>
      </c>
      <c r="H99" s="2">
        <f>H11/'Output-Calculation-sheet'!H10*'Output-Calculation-sheet'!H82</f>
        <v>6356662200.7268724</v>
      </c>
      <c r="I99" s="2">
        <f>I11/'Output-Calculation-sheet'!I10*'Output-Calculation-sheet'!I82</f>
        <v>6039970289.9182072</v>
      </c>
      <c r="J99" s="2">
        <f>J11/'Output-Calculation-sheet'!J10*'Output-Calculation-sheet'!J82</f>
        <v>3525185775.4340129</v>
      </c>
      <c r="K99" s="2">
        <f>K11/'Output-Calculation-sheet'!K10*'Output-Calculation-sheet'!K82</f>
        <v>5801431722.3062115</v>
      </c>
      <c r="L99" s="2">
        <f>L11/'Output-Calculation-sheet'!L10*'Output-Calculation-sheet'!L82</f>
        <v>4245127722.4781556</v>
      </c>
      <c r="M99" s="2">
        <f>M11/'Output-Calculation-sheet'!M10*'Output-Calculation-sheet'!M82</f>
        <v>4255185577.344409</v>
      </c>
      <c r="N99" s="2">
        <f>N11/'Output-Calculation-sheet'!N10*'Output-Calculation-sheet'!N82</f>
        <v>3070811022.9726648</v>
      </c>
      <c r="O99" s="2">
        <f>O11/'Output-Calculation-sheet'!O10*'Output-Calculation-sheet'!O82</f>
        <v>2439200278.6594582</v>
      </c>
      <c r="P99" s="2">
        <f>P11/'Output-Calculation-sheet'!P10*'Output-Calculation-sheet'!P82</f>
        <v>4923825296.7756186</v>
      </c>
      <c r="Q99" s="2">
        <f>Q11/'Output-Calculation-sheet'!Q10*'Output-Calculation-sheet'!Q82</f>
        <v>2818951471.0932426</v>
      </c>
      <c r="R99" s="2">
        <f>R11/'Output-Calculation-sheet'!R10*'Output-Calculation-sheet'!R82</f>
        <v>3688468069.9766974</v>
      </c>
      <c r="S99" s="2">
        <f>S11/'Output-Calculation-sheet'!S10*'Output-Calculation-sheet'!S82</f>
        <v>2336404032.4229212</v>
      </c>
      <c r="T99" s="2">
        <f>T11/'Output-Calculation-sheet'!T10*'Output-Calculation-sheet'!T82</f>
        <v>1457411579.4189489</v>
      </c>
      <c r="U99" s="2">
        <f>U11/'Output-Calculation-sheet'!U10*'Output-Calculation-sheet'!U82</f>
        <v>1370859182.2527959</v>
      </c>
      <c r="V99" s="2">
        <f>V11/'Output-Calculation-sheet'!V10*'Output-Calculation-sheet'!V82</f>
        <v>897809914.2352947</v>
      </c>
      <c r="W99" s="2">
        <f>W11/'Output-Calculation-sheet'!W10*'Output-Calculation-sheet'!W82</f>
        <v>1007449128.6853316</v>
      </c>
      <c r="X99" s="2">
        <f>X11/'Output-Calculation-sheet'!X10*'Output-Calculation-sheet'!X82</f>
        <v>485187650.79597336</v>
      </c>
      <c r="Y99" s="2">
        <f>Y11/'Output-Calculation-sheet'!Y10*'Output-Calculation-sheet'!Y82</f>
        <v>523454970.2598772</v>
      </c>
      <c r="AA99" s="2">
        <f t="shared" si="8"/>
        <v>160.95585472610784</v>
      </c>
    </row>
    <row r="100" spans="1:27" x14ac:dyDescent="0.25">
      <c r="A100" s="2">
        <v>2035</v>
      </c>
      <c r="B100" s="2">
        <f>B12/'Output-Calculation-sheet'!B11*'Output-Calculation-sheet'!B83</f>
        <v>51937196546.508644</v>
      </c>
      <c r="C100" s="2">
        <f>C12/'Output-Calculation-sheet'!C11*'Output-Calculation-sheet'!C83</f>
        <v>21596420542.5741</v>
      </c>
      <c r="D100" s="2">
        <f>D12/'Output-Calculation-sheet'!D11*'Output-Calculation-sheet'!D83</f>
        <v>16726775005.827147</v>
      </c>
      <c r="E100" s="2">
        <f>E12/'Output-Calculation-sheet'!E11*'Output-Calculation-sheet'!E83</f>
        <v>20042711181.498051</v>
      </c>
      <c r="F100" s="2">
        <f>F12/'Output-Calculation-sheet'!F11*'Output-Calculation-sheet'!F83</f>
        <v>11994556650.648218</v>
      </c>
      <c r="G100" s="2">
        <f>G12/'Output-Calculation-sheet'!G11*'Output-Calculation-sheet'!G83</f>
        <v>5743126576.9942102</v>
      </c>
      <c r="H100" s="2">
        <f>H12/'Output-Calculation-sheet'!H11*'Output-Calculation-sheet'!H83</f>
        <v>7708501658.2967978</v>
      </c>
      <c r="I100" s="2">
        <f>I12/'Output-Calculation-sheet'!I11*'Output-Calculation-sheet'!I83</f>
        <v>7310459406.1646385</v>
      </c>
      <c r="J100" s="2">
        <f>J12/'Output-Calculation-sheet'!J11*'Output-Calculation-sheet'!J83</f>
        <v>4316564961.3571959</v>
      </c>
      <c r="K100" s="2">
        <f>K12/'Output-Calculation-sheet'!K11*'Output-Calculation-sheet'!K83</f>
        <v>7018575077.3125725</v>
      </c>
      <c r="L100" s="2">
        <f>L12/'Output-Calculation-sheet'!L11*'Output-Calculation-sheet'!L83</f>
        <v>5162943271.8711119</v>
      </c>
      <c r="M100" s="2">
        <f>M12/'Output-Calculation-sheet'!M11*'Output-Calculation-sheet'!M83</f>
        <v>5162647038.0981331</v>
      </c>
      <c r="N100" s="2">
        <f>N12/'Output-Calculation-sheet'!N11*'Output-Calculation-sheet'!N83</f>
        <v>3745354080.8310132</v>
      </c>
      <c r="O100" s="2">
        <f>O12/'Output-Calculation-sheet'!O11*'Output-Calculation-sheet'!O83</f>
        <v>2983899397.4816184</v>
      </c>
      <c r="P100" s="2">
        <f>P12/'Output-Calculation-sheet'!P11*'Output-Calculation-sheet'!P83</f>
        <v>5919430784.8311806</v>
      </c>
      <c r="Q100" s="2">
        <f>Q12/'Output-Calculation-sheet'!Q11*'Output-Calculation-sheet'!Q83</f>
        <v>3446197646.2531185</v>
      </c>
      <c r="R100" s="2">
        <f>R12/'Output-Calculation-sheet'!R11*'Output-Calculation-sheet'!R83</f>
        <v>4478114936.9167414</v>
      </c>
      <c r="S100" s="2">
        <f>S12/'Output-Calculation-sheet'!S11*'Output-Calculation-sheet'!S83</f>
        <v>2841894596.8207731</v>
      </c>
      <c r="T100" s="2">
        <f>T12/'Output-Calculation-sheet'!T11*'Output-Calculation-sheet'!T83</f>
        <v>1757465286.8162255</v>
      </c>
      <c r="U100" s="2">
        <f>U12/'Output-Calculation-sheet'!U11*'Output-Calculation-sheet'!U83</f>
        <v>1658362742.2731884</v>
      </c>
      <c r="V100" s="2">
        <f>V12/'Output-Calculation-sheet'!V11*'Output-Calculation-sheet'!V83</f>
        <v>1091947839.6794612</v>
      </c>
      <c r="W100" s="2">
        <f>W12/'Output-Calculation-sheet'!W11*'Output-Calculation-sheet'!W83</f>
        <v>1201709384.9731584</v>
      </c>
      <c r="X100" s="2">
        <f>X12/'Output-Calculation-sheet'!X11*'Output-Calculation-sheet'!X83</f>
        <v>588359026.63693094</v>
      </c>
      <c r="Y100" s="2">
        <f>Y12/'Output-Calculation-sheet'!Y11*'Output-Calculation-sheet'!Y83</f>
        <v>627711830.64126575</v>
      </c>
      <c r="AA100" s="2">
        <f t="shared" si="8"/>
        <v>195.06092547130555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1371617906.6911347</v>
      </c>
      <c r="C107" s="2">
        <f>C8/'Output-Calculation-sheet'!C7*'Output-Calculation-sheet'!C88</f>
        <v>22589067172.96854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7047906921.6499147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4862468247.3675804</v>
      </c>
      <c r="N107" s="2">
        <f>N8/'Output-Calculation-sheet'!N7*'Output-Calculation-sheet'!N88</f>
        <v>1627557352.5548301</v>
      </c>
      <c r="O107" s="2">
        <f>O8/'Output-Calculation-sheet'!O7*'Output-Calculation-sheet'!O88</f>
        <v>4389076374.913949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487993109.37228525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526606867.47133815</v>
      </c>
      <c r="Y107" s="2">
        <f>Y8/'Output-Calculation-sheet'!Y7*'Output-Calculation-sheet'!Y88</f>
        <v>0</v>
      </c>
      <c r="AA107" s="2">
        <f t="shared" si="9"/>
        <v>42902.293952989574</v>
      </c>
    </row>
    <row r="108" spans="1:27" x14ac:dyDescent="0.25">
      <c r="A108" s="2">
        <v>2032</v>
      </c>
      <c r="B108" s="2">
        <f>B9/'Output-Calculation-sheet'!B8*'Output-Calculation-sheet'!B89</f>
        <v>6194516561.3819103</v>
      </c>
      <c r="C108" s="2">
        <f>C9/'Output-Calculation-sheet'!C8*'Output-Calculation-sheet'!C89</f>
        <v>31052631793.788776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9688206624.8225689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6684020151.5498161</v>
      </c>
      <c r="N108" s="2">
        <f>N9/'Output-Calculation-sheet'!N8*'Output-Calculation-sheet'!N89</f>
        <v>3136066058.2038612</v>
      </c>
      <c r="O108" s="2">
        <f>O9/'Output-Calculation-sheet'!O8*'Output-Calculation-sheet'!O89</f>
        <v>6033552769.8968058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947620468.24827886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723899361.60856843</v>
      </c>
      <c r="Y108" s="2">
        <f>Y9/'Output-Calculation-sheet'!Y8*'Output-Calculation-sheet'!Y89</f>
        <v>0</v>
      </c>
      <c r="AA108" s="2">
        <f t="shared" si="9"/>
        <v>64460.513789500583</v>
      </c>
    </row>
    <row r="109" spans="1:27" x14ac:dyDescent="0.25">
      <c r="A109" s="2">
        <v>2033</v>
      </c>
      <c r="B109" s="2">
        <f>B10/'Output-Calculation-sheet'!B9*'Output-Calculation-sheet'!B90</f>
        <v>16964167359.812551</v>
      </c>
      <c r="C109" s="2">
        <f>C10/'Output-Calculation-sheet'!C9*'Output-Calculation-sheet'!C90</f>
        <v>40092702826.096146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12508642579.574377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8629876369.3378716</v>
      </c>
      <c r="N109" s="2">
        <f>N10/'Output-Calculation-sheet'!N9*'Output-Calculation-sheet'!N90</f>
        <v>5084219967.6861753</v>
      </c>
      <c r="O109" s="2">
        <f>O10/'Output-Calculation-sheet'!O9*'Output-Calculation-sheet'!O90</f>
        <v>7427601190.6162891</v>
      </c>
      <c r="P109" s="2">
        <f>P10/'Output-Calculation-sheet'!P9*'Output-Calculation-sheet'!P90</f>
        <v>0</v>
      </c>
      <c r="Q109" s="2">
        <f>Q10/'Output-Calculation-sheet'!Q9*'Output-Calculation-sheet'!Q90</f>
        <v>165488760.13881204</v>
      </c>
      <c r="R109" s="2">
        <f>R10/'Output-Calculation-sheet'!R9*'Output-Calculation-sheet'!R90</f>
        <v>0</v>
      </c>
      <c r="S109" s="2">
        <f>S10/'Output-Calculation-sheet'!S9*'Output-Calculation-sheet'!S90</f>
        <v>2049681675.1148272</v>
      </c>
      <c r="T109" s="2">
        <f>T10/'Output-Calculation-sheet'!T9*'Output-Calculation-sheet'!T90</f>
        <v>-3.4064897977352878E-7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934641720.85478127</v>
      </c>
      <c r="Y109" s="2">
        <f>Y10/'Output-Calculation-sheet'!Y9*'Output-Calculation-sheet'!Y90</f>
        <v>0</v>
      </c>
      <c r="AA109" s="2">
        <f t="shared" si="9"/>
        <v>93857.022449231823</v>
      </c>
    </row>
    <row r="110" spans="1:27" x14ac:dyDescent="0.25">
      <c r="A110" s="2">
        <v>2034</v>
      </c>
      <c r="B110" s="2">
        <f>B11/'Output-Calculation-sheet'!B10*'Output-Calculation-sheet'!B91</f>
        <v>41546414689.750488</v>
      </c>
      <c r="C110" s="2">
        <f>C11/'Output-Calculation-sheet'!C10*'Output-Calculation-sheet'!C91</f>
        <v>46022148858.513306</v>
      </c>
      <c r="D110" s="2">
        <f>D11/'Output-Calculation-sheet'!D10*'Output-Calculation-sheet'!D91</f>
        <v>0</v>
      </c>
      <c r="E110" s="2">
        <f>E11/'Output-Calculation-sheet'!E10*'Output-Calculation-sheet'!E91</f>
        <v>869482589.84441018</v>
      </c>
      <c r="F110" s="2">
        <f>F11/'Output-Calculation-sheet'!F10*'Output-Calculation-sheet'!F91</f>
        <v>0</v>
      </c>
      <c r="G110" s="2">
        <f>G11/'Output-Calculation-sheet'!G10*'Output-Calculation-sheet'!G91</f>
        <v>-1.9600136499154319E-6</v>
      </c>
      <c r="H110" s="2">
        <f>H11/'Output-Calculation-sheet'!H10*'Output-Calculation-sheet'!H91</f>
        <v>15507170744.892427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705970404.41725767</v>
      </c>
      <c r="M110" s="2">
        <f>M11/'Output-Calculation-sheet'!M10*'Output-Calculation-sheet'!M91</f>
        <v>10698598442.566431</v>
      </c>
      <c r="N110" s="2">
        <f>N11/'Output-Calculation-sheet'!N10*'Output-Calculation-sheet'!N91</f>
        <v>7400646681.8238564</v>
      </c>
      <c r="O110" s="2">
        <f>O11/'Output-Calculation-sheet'!O10*'Output-Calculation-sheet'!O91</f>
        <v>8484464266.4950428</v>
      </c>
      <c r="P110" s="2">
        <f>P11/'Output-Calculation-sheet'!P10*'Output-Calculation-sheet'!P91</f>
        <v>7.8985665020715337E-7</v>
      </c>
      <c r="Q110" s="2">
        <f>Q11/'Output-Calculation-sheet'!Q10*'Output-Calculation-sheet'!Q91</f>
        <v>1883412545.0496781</v>
      </c>
      <c r="R110" s="2">
        <f>R11/'Output-Calculation-sheet'!R10*'Output-Calculation-sheet'!R91</f>
        <v>0</v>
      </c>
      <c r="S110" s="2">
        <f>S11/'Output-Calculation-sheet'!S10*'Output-Calculation-sheet'!S91</f>
        <v>3638634176.2262187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1056103915.4308724</v>
      </c>
      <c r="Y110" s="2">
        <f>Y11/'Output-Calculation-sheet'!Y10*'Output-Calculation-sheet'!Y91</f>
        <v>46395298.863387458</v>
      </c>
      <c r="AA110" s="2">
        <f t="shared" si="9"/>
        <v>137859.44261387334</v>
      </c>
    </row>
    <row r="111" spans="1:27" x14ac:dyDescent="0.25">
      <c r="A111" s="2">
        <v>2035</v>
      </c>
      <c r="B111" s="2">
        <f>B12/'Output-Calculation-sheet'!B11*'Output-Calculation-sheet'!B92</f>
        <v>62464518225.274124</v>
      </c>
      <c r="C111" s="2">
        <f>C12/'Output-Calculation-sheet'!C11*'Output-Calculation-sheet'!C92</f>
        <v>52483300961.24231</v>
      </c>
      <c r="D111" s="2">
        <f>D12/'Output-Calculation-sheet'!D11*'Output-Calculation-sheet'!D92</f>
        <v>0</v>
      </c>
      <c r="E111" s="2">
        <f>E12/'Output-Calculation-sheet'!E11*'Output-Calculation-sheet'!E92</f>
        <v>7099121042.7251244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17814947385.560875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2285305041.6741867</v>
      </c>
      <c r="M111" s="2">
        <f>M12/'Output-Calculation-sheet'!M11*'Output-Calculation-sheet'!M92</f>
        <v>12333021043.798113</v>
      </c>
      <c r="N111" s="2">
        <f>N12/'Output-Calculation-sheet'!N11*'Output-Calculation-sheet'!N92</f>
        <v>8842794125.4548283</v>
      </c>
      <c r="O111" s="2">
        <f>O12/'Output-Calculation-sheet'!O11*'Output-Calculation-sheet'!O92</f>
        <v>9424907747.4970627</v>
      </c>
      <c r="P111" s="2">
        <f>P12/'Output-Calculation-sheet'!P11*'Output-Calculation-sheet'!P92</f>
        <v>485025292.61503363</v>
      </c>
      <c r="Q111" s="2">
        <f>Q12/'Output-Calculation-sheet'!Q11*'Output-Calculation-sheet'!Q92</f>
        <v>3799050786.8385558</v>
      </c>
      <c r="R111" s="2">
        <f>R12/'Output-Calculation-sheet'!R11*'Output-Calculation-sheet'!R92</f>
        <v>0</v>
      </c>
      <c r="S111" s="2">
        <f>S12/'Output-Calculation-sheet'!S11*'Output-Calculation-sheet'!S92</f>
        <v>4756162579.323</v>
      </c>
      <c r="T111" s="2">
        <f>T12/'Output-Calculation-sheet'!T11*'Output-Calculation-sheet'!T92</f>
        <v>0</v>
      </c>
      <c r="U111" s="2">
        <f>U12/'Output-Calculation-sheet'!U11*'Output-Calculation-sheet'!U92</f>
        <v>168932934.23532435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1211785449.2665844</v>
      </c>
      <c r="Y111" s="2">
        <f>Y12/'Output-Calculation-sheet'!Y11*'Output-Calculation-sheet'!Y92</f>
        <v>286697743.11594254</v>
      </c>
      <c r="AA111" s="2">
        <f t="shared" si="9"/>
        <v>183455.57035862107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46573653762.247322</v>
      </c>
      <c r="C118" s="2">
        <f>C8/'Output-Calculation-sheet'!C7*'Output-Calculation-sheet'!C97</f>
        <v>0</v>
      </c>
      <c r="D118" s="2">
        <f>D8/'Output-Calculation-sheet'!D7*'Output-Calculation-sheet'!D97</f>
        <v>20137566570.62141</v>
      </c>
      <c r="E118" s="2">
        <f>E8/'Output-Calculation-sheet'!E7*'Output-Calculation-sheet'!E97</f>
        <v>15977115578.003582</v>
      </c>
      <c r="F118" s="2">
        <f>F8/'Output-Calculation-sheet'!F7*'Output-Calculation-sheet'!F97</f>
        <v>10285042630.803164</v>
      </c>
      <c r="G118" s="2">
        <f>G8/'Output-Calculation-sheet'!G7*'Output-Calculation-sheet'!G97</f>
        <v>7226553217.7786293</v>
      </c>
      <c r="H118" s="2">
        <f>H8/'Output-Calculation-sheet'!H7*'Output-Calculation-sheet'!H97</f>
        <v>0</v>
      </c>
      <c r="I118" s="2">
        <f>I8/'Output-Calculation-sheet'!I7*'Output-Calculation-sheet'!I97</f>
        <v>6583958835.4396992</v>
      </c>
      <c r="J118" s="2">
        <f>J8/'Output-Calculation-sheet'!J7*'Output-Calculation-sheet'!J97</f>
        <v>6408372054.9619751</v>
      </c>
      <c r="K118" s="2">
        <f>K8/'Output-Calculation-sheet'!K7*'Output-Calculation-sheet'!K97</f>
        <v>6346935069.3999138</v>
      </c>
      <c r="L118" s="2">
        <f>L8/'Output-Calculation-sheet'!L7*'Output-Calculation-sheet'!L97</f>
        <v>5091593840.4188967</v>
      </c>
      <c r="M118" s="2">
        <f>M8/'Output-Calculation-sheet'!M7*'Output-Calculation-sheet'!M97</f>
        <v>0</v>
      </c>
      <c r="N118" s="2">
        <f>N8/'Output-Calculation-sheet'!N7*'Output-Calculation-sheet'!N97</f>
        <v>3145770541.0083146</v>
      </c>
      <c r="O118" s="2">
        <f>O8/'Output-Calculation-sheet'!O7*'Output-Calculation-sheet'!O97</f>
        <v>0</v>
      </c>
      <c r="P118" s="2">
        <f>P8/'Output-Calculation-sheet'!P7*'Output-Calculation-sheet'!P97</f>
        <v>4345412831.3902044</v>
      </c>
      <c r="Q118" s="2">
        <f>Q8/'Output-Calculation-sheet'!Q7*'Output-Calculation-sheet'!Q97</f>
        <v>4275183126.8166757</v>
      </c>
      <c r="R118" s="2">
        <f>R8/'Output-Calculation-sheet'!R7*'Output-Calculation-sheet'!R97</f>
        <v>4112922784.8457313</v>
      </c>
      <c r="S118" s="2">
        <f>S8/'Output-Calculation-sheet'!S7*'Output-Calculation-sheet'!S97</f>
        <v>2245666811.1695981</v>
      </c>
      <c r="T118" s="2">
        <f>T8/'Output-Calculation-sheet'!T7*'Output-Calculation-sheet'!T97</f>
        <v>1511875345.2431993</v>
      </c>
      <c r="U118" s="2">
        <f>U8/'Output-Calculation-sheet'!U7*'Output-Calculation-sheet'!U97</f>
        <v>1316791508.54353</v>
      </c>
      <c r="V118" s="2">
        <f>V8/'Output-Calculation-sheet'!V7*'Output-Calculation-sheet'!V97</f>
        <v>1013956195.8542476</v>
      </c>
      <c r="W118" s="2">
        <f>W8/'Output-Calculation-sheet'!W7*'Output-Calculation-sheet'!W97</f>
        <v>877861005.42682874</v>
      </c>
      <c r="X118" s="2">
        <f>X8/'Output-Calculation-sheet'!X7*'Output-Calculation-sheet'!X97</f>
        <v>0</v>
      </c>
      <c r="Y118" s="2">
        <f>Y8/'Output-Calculation-sheet'!Y7*'Output-Calculation-sheet'!Y97</f>
        <v>512226829.85140264</v>
      </c>
      <c r="AA118" s="2">
        <f t="shared" si="10"/>
        <v>147988.45853982429</v>
      </c>
    </row>
    <row r="119" spans="1:27" x14ac:dyDescent="0.25">
      <c r="A119" s="2">
        <v>2032</v>
      </c>
      <c r="B119" s="2">
        <f>B9/'Output-Calculation-sheet'!B8*'Output-Calculation-sheet'!B98</f>
        <v>59711639727.589493</v>
      </c>
      <c r="C119" s="2">
        <f>C9/'Output-Calculation-sheet'!C8*'Output-Calculation-sheet'!C98</f>
        <v>0</v>
      </c>
      <c r="D119" s="2">
        <f>D9/'Output-Calculation-sheet'!D8*'Output-Calculation-sheet'!D98</f>
        <v>27681347165.012623</v>
      </c>
      <c r="E119" s="2">
        <f>E9/'Output-Calculation-sheet'!E8*'Output-Calculation-sheet'!E98</f>
        <v>21962334804.770947</v>
      </c>
      <c r="F119" s="2">
        <f>F9/'Output-Calculation-sheet'!F8*'Output-Calculation-sheet'!F98</f>
        <v>14137947401.770195</v>
      </c>
      <c r="G119" s="2">
        <f>G9/'Output-Calculation-sheet'!G8*'Output-Calculation-sheet'!G98</f>
        <v>9933709882.5447731</v>
      </c>
      <c r="H119" s="2">
        <f>H9/'Output-Calculation-sheet'!H8*'Output-Calculation-sheet'!H98</f>
        <v>0</v>
      </c>
      <c r="I119" s="2">
        <f>I9/'Output-Calculation-sheet'!I8*'Output-Calculation-sheet'!I98</f>
        <v>9050392336.9347324</v>
      </c>
      <c r="J119" s="2">
        <f>J9/'Output-Calculation-sheet'!J8*'Output-Calculation-sheet'!J98</f>
        <v>8809025127.181076</v>
      </c>
      <c r="K119" s="2">
        <f>K9/'Output-Calculation-sheet'!K8*'Output-Calculation-sheet'!K98</f>
        <v>8724574478.2445049</v>
      </c>
      <c r="L119" s="2">
        <f>L9/'Output-Calculation-sheet'!L8*'Output-Calculation-sheet'!L98</f>
        <v>6998968726.964036</v>
      </c>
      <c r="M119" s="2">
        <f>M9/'Output-Calculation-sheet'!M8*'Output-Calculation-sheet'!M98</f>
        <v>0</v>
      </c>
      <c r="N119" s="2">
        <f>N9/'Output-Calculation-sheet'!N8*'Output-Calculation-sheet'!N98</f>
        <v>3424862350.2067199</v>
      </c>
      <c r="O119" s="2">
        <f>O9/'Output-Calculation-sheet'!O8*'Output-Calculation-sheet'!O98</f>
        <v>6.1461086409541607E-7</v>
      </c>
      <c r="P119" s="2">
        <f>P9/'Output-Calculation-sheet'!P8*'Output-Calculation-sheet'!P98</f>
        <v>5973218566.8732042</v>
      </c>
      <c r="Q119" s="2">
        <f>Q9/'Output-Calculation-sheet'!Q8*'Output-Calculation-sheet'!Q98</f>
        <v>5876719395.7575111</v>
      </c>
      <c r="R119" s="2">
        <f>R9/'Output-Calculation-sheet'!R8*'Output-Calculation-sheet'!R98</f>
        <v>5653674785.7178936</v>
      </c>
      <c r="S119" s="2">
        <f>S9/'Output-Calculation-sheet'!S8*'Output-Calculation-sheet'!S98</f>
        <v>2809900797.2425132</v>
      </c>
      <c r="T119" s="2">
        <f>T9/'Output-Calculation-sheet'!T8*'Output-Calculation-sheet'!T98</f>
        <v>2078242154.6205688</v>
      </c>
      <c r="U119" s="2">
        <f>U9/'Output-Calculation-sheet'!U8*'Output-Calculation-sheet'!U98</f>
        <v>1810078261.7267466</v>
      </c>
      <c r="V119" s="2">
        <f>V9/'Output-Calculation-sheet'!V8*'Output-Calculation-sheet'!V98</f>
        <v>1393796463.323144</v>
      </c>
      <c r="W119" s="2">
        <f>W9/'Output-Calculation-sheet'!W8*'Output-Calculation-sheet'!W98</f>
        <v>1206718651.5314848</v>
      </c>
      <c r="X119" s="2">
        <f>X9/'Output-Calculation-sheet'!X8*'Output-Calculation-sheet'!X98</f>
        <v>0</v>
      </c>
      <c r="Y119" s="2">
        <f>Y9/'Output-Calculation-sheet'!Y8*'Output-Calculation-sheet'!Y98</f>
        <v>704113093.16142344</v>
      </c>
      <c r="AA119" s="2">
        <f t="shared" si="10"/>
        <v>197941.26417117365</v>
      </c>
    </row>
    <row r="120" spans="1:27" x14ac:dyDescent="0.25">
      <c r="A120" s="2">
        <v>2033</v>
      </c>
      <c r="B120" s="2">
        <f>B10/'Output-Calculation-sheet'!B9*'Output-Calculation-sheet'!B99</f>
        <v>68120916099.654121</v>
      </c>
      <c r="C120" s="2">
        <f>C10/'Output-Calculation-sheet'!C9*'Output-Calculation-sheet'!C99</f>
        <v>0</v>
      </c>
      <c r="D120" s="2">
        <f>D10/'Output-Calculation-sheet'!D9*'Output-Calculation-sheet'!D99</f>
        <v>35738885225.423058</v>
      </c>
      <c r="E120" s="2">
        <f>E10/'Output-Calculation-sheet'!E9*'Output-Calculation-sheet'!E99</f>
        <v>28355175064.502483</v>
      </c>
      <c r="F120" s="2">
        <f>F10/'Output-Calculation-sheet'!F9*'Output-Calculation-sheet'!F99</f>
        <v>18253243704.627186</v>
      </c>
      <c r="G120" s="2">
        <f>G10/'Output-Calculation-sheet'!G9*'Output-Calculation-sheet'!G99</f>
        <v>12825229973.62339</v>
      </c>
      <c r="H120" s="2">
        <f>H10/'Output-Calculation-sheet'!H9*'Output-Calculation-sheet'!H99</f>
        <v>0</v>
      </c>
      <c r="I120" s="2">
        <f>I10/'Output-Calculation-sheet'!I9*'Output-Calculation-sheet'!I99</f>
        <v>11684795574.492926</v>
      </c>
      <c r="J120" s="2">
        <f>J10/'Output-Calculation-sheet'!J9*'Output-Calculation-sheet'!J99</f>
        <v>11373170776.682611</v>
      </c>
      <c r="K120" s="2">
        <f>K10/'Output-Calculation-sheet'!K9*'Output-Calculation-sheet'!K99</f>
        <v>11264139270.772722</v>
      </c>
      <c r="L120" s="2">
        <f>L10/'Output-Calculation-sheet'!L9*'Output-Calculation-sheet'!L99</f>
        <v>9036240162.1152725</v>
      </c>
      <c r="M120" s="2">
        <f>M10/'Output-Calculation-sheet'!M9*'Output-Calculation-sheet'!M99</f>
        <v>0</v>
      </c>
      <c r="N120" s="2">
        <f>N10/'Output-Calculation-sheet'!N9*'Output-Calculation-sheet'!N99</f>
        <v>3385975389.8126554</v>
      </c>
      <c r="O120" s="2">
        <f>O10/'Output-Calculation-sheet'!O9*'Output-Calculation-sheet'!O99</f>
        <v>0</v>
      </c>
      <c r="P120" s="2">
        <f>P10/'Output-Calculation-sheet'!P9*'Output-Calculation-sheet'!P99</f>
        <v>7711508167.1327438</v>
      </c>
      <c r="Q120" s="2">
        <f>Q10/'Output-Calculation-sheet'!Q9*'Output-Calculation-sheet'!Q99</f>
        <v>7421761712.7395802</v>
      </c>
      <c r="R120" s="2">
        <f>R10/'Output-Calculation-sheet'!R9*'Output-Calculation-sheet'!R99</f>
        <v>7299009362.4903946</v>
      </c>
      <c r="S120" s="2">
        <f>S10/'Output-Calculation-sheet'!S9*'Output-Calculation-sheet'!S99</f>
        <v>2801261146.2975187</v>
      </c>
      <c r="T120" s="2">
        <f>T10/'Output-Calculation-sheet'!T9*'Output-Calculation-sheet'!T99</f>
        <v>2683157253.2590804</v>
      </c>
      <c r="U120" s="2">
        <f>U10/'Output-Calculation-sheet'!U9*'Output-Calculation-sheet'!U99</f>
        <v>2337466759.4852095</v>
      </c>
      <c r="V120" s="2">
        <f>V10/'Output-Calculation-sheet'!V9*'Output-Calculation-sheet'!V99</f>
        <v>1799505144.2296958</v>
      </c>
      <c r="W120" s="2">
        <f>W10/'Output-Calculation-sheet'!W9*'Output-Calculation-sheet'!W99</f>
        <v>1557972645.0824988</v>
      </c>
      <c r="X120" s="2">
        <f>X10/'Output-Calculation-sheet'!X9*'Output-Calculation-sheet'!X99</f>
        <v>0</v>
      </c>
      <c r="Y120" s="2">
        <f>Y10/'Output-Calculation-sheet'!Y9*'Output-Calculation-sheet'!Y99</f>
        <v>909068868.59089565</v>
      </c>
      <c r="AA120" s="2">
        <f t="shared" si="10"/>
        <v>244558.48230101404</v>
      </c>
    </row>
    <row r="121" spans="1:27" x14ac:dyDescent="0.25">
      <c r="A121" s="2">
        <v>2034</v>
      </c>
      <c r="B121" s="2">
        <f>B11/'Output-Calculation-sheet'!B10*'Output-Calculation-sheet'!B100</f>
        <v>63925760554.881134</v>
      </c>
      <c r="C121" s="2">
        <f>C11/'Output-Calculation-sheet'!C10*'Output-Calculation-sheet'!C100</f>
        <v>0</v>
      </c>
      <c r="D121" s="2">
        <f>D11/'Output-Calculation-sheet'!D10*'Output-Calculation-sheet'!D100</f>
        <v>44305128156.138519</v>
      </c>
      <c r="E121" s="2">
        <f>E11/'Output-Calculation-sheet'!E10*'Output-Calculation-sheet'!E100</f>
        <v>34280649230.681824</v>
      </c>
      <c r="F121" s="2">
        <f>F11/'Output-Calculation-sheet'!F10*'Output-Calculation-sheet'!F100</f>
        <v>22628236430.469261</v>
      </c>
      <c r="G121" s="2">
        <f>G11/'Output-Calculation-sheet'!G10*'Output-Calculation-sheet'!G100</f>
        <v>15898440660.496782</v>
      </c>
      <c r="H121" s="2">
        <f>H11/'Output-Calculation-sheet'!H10*'Output-Calculation-sheet'!H100</f>
        <v>1.913993230986631E-7</v>
      </c>
      <c r="I121" s="2">
        <f>I11/'Output-Calculation-sheet'!I10*'Output-Calculation-sheet'!I100</f>
        <v>14485008411.282867</v>
      </c>
      <c r="J121" s="2">
        <f>J11/'Output-Calculation-sheet'!J10*'Output-Calculation-sheet'!J100</f>
        <v>14098837792.326338</v>
      </c>
      <c r="K121" s="2">
        <f>K11/'Output-Calculation-sheet'!K10*'Output-Calculation-sheet'!K100</f>
        <v>13964043249.882769</v>
      </c>
      <c r="L121" s="2">
        <f>L11/'Output-Calculation-sheet'!L10*'Output-Calculation-sheet'!L100</f>
        <v>10495826929.323641</v>
      </c>
      <c r="M121" s="2">
        <f>M11/'Output-Calculation-sheet'!M10*'Output-Calculation-sheet'!M100</f>
        <v>-1.2429859385226608E-7</v>
      </c>
      <c r="N121" s="2">
        <f>N11/'Output-Calculation-sheet'!N10*'Output-Calculation-sheet'!N100</f>
        <v>3099994075.1281962</v>
      </c>
      <c r="O121" s="2">
        <f>O11/'Output-Calculation-sheet'!O10*'Output-Calculation-sheet'!O100</f>
        <v>0</v>
      </c>
      <c r="P121" s="2">
        <f>P11/'Output-Calculation-sheet'!P10*'Output-Calculation-sheet'!P100</f>
        <v>9559483422.1196213</v>
      </c>
      <c r="Q121" s="2">
        <f>Q11/'Output-Calculation-sheet'!Q10*'Output-Calculation-sheet'!Q100</f>
        <v>7521654529.3103924</v>
      </c>
      <c r="R121" s="2">
        <f>R11/'Output-Calculation-sheet'!R10*'Output-Calculation-sheet'!R100</f>
        <v>9048116134.5697899</v>
      </c>
      <c r="S121" s="2">
        <f>S11/'Output-Calculation-sheet'!S10*'Output-Calculation-sheet'!S100</f>
        <v>2374980393.8700185</v>
      </c>
      <c r="T121" s="2">
        <f>T11/'Output-Calculation-sheet'!T10*'Output-Calculation-sheet'!T100</f>
        <v>3326083704.0805616</v>
      </c>
      <c r="U121" s="2">
        <f>U11/'Output-Calculation-sheet'!U10*'Output-Calculation-sheet'!U100</f>
        <v>2898664626.9036803</v>
      </c>
      <c r="V121" s="2">
        <f>V11/'Output-Calculation-sheet'!V10*'Output-Calculation-sheet'!V100</f>
        <v>2230828336.7766252</v>
      </c>
      <c r="W121" s="2">
        <f>W11/'Output-Calculation-sheet'!W10*'Output-Calculation-sheet'!W100</f>
        <v>1931460019.3386612</v>
      </c>
      <c r="X121" s="2">
        <f>X11/'Output-Calculation-sheet'!X10*'Output-Calculation-sheet'!X100</f>
        <v>102587069.91682425</v>
      </c>
      <c r="Y121" s="2">
        <f>Y11/'Output-Calculation-sheet'!Y10*'Output-Calculation-sheet'!Y100</f>
        <v>1080547539.7931924</v>
      </c>
      <c r="AA121" s="2">
        <f t="shared" si="10"/>
        <v>277256.33126729075</v>
      </c>
    </row>
    <row r="122" spans="1:27" x14ac:dyDescent="0.25">
      <c r="A122" s="2">
        <v>2035</v>
      </c>
      <c r="B122" s="2">
        <f>B12/'Output-Calculation-sheet'!B11*'Output-Calculation-sheet'!B101</f>
        <v>61155446678.739037</v>
      </c>
      <c r="C122" s="2">
        <f>C12/'Output-Calculation-sheet'!C11*'Output-Calculation-sheet'!C101</f>
        <v>0</v>
      </c>
      <c r="D122" s="2">
        <f>D12/'Output-Calculation-sheet'!D11*'Output-Calculation-sheet'!D101</f>
        <v>51257607551.278404</v>
      </c>
      <c r="E122" s="2">
        <f>E12/'Output-Calculation-sheet'!E11*'Output-Calculation-sheet'!E101</f>
        <v>34514576511.386597</v>
      </c>
      <c r="F122" s="2">
        <f>F12/'Output-Calculation-sheet'!F11*'Output-Calculation-sheet'!F101</f>
        <v>26718140067.103333</v>
      </c>
      <c r="G122" s="2">
        <f>G12/'Output-Calculation-sheet'!G11*'Output-Calculation-sheet'!G101</f>
        <v>18207296662.91637</v>
      </c>
      <c r="H122" s="2">
        <f>H12/'Output-Calculation-sheet'!H11*'Output-Calculation-sheet'!H101</f>
        <v>0</v>
      </c>
      <c r="I122" s="2">
        <f>I12/'Output-Calculation-sheet'!I11*'Output-Calculation-sheet'!I101</f>
        <v>17049020615.4256</v>
      </c>
      <c r="J122" s="2">
        <f>J12/'Output-Calculation-sheet'!J11*'Output-Calculation-sheet'!J101</f>
        <v>16294892019.71633</v>
      </c>
      <c r="K122" s="2">
        <f>K12/'Output-Calculation-sheet'!K11*'Output-Calculation-sheet'!K101</f>
        <v>16453613468.470133</v>
      </c>
      <c r="L122" s="2">
        <f>L12/'Output-Calculation-sheet'!L11*'Output-Calculation-sheet'!L101</f>
        <v>10950461795.827715</v>
      </c>
      <c r="M122" s="2">
        <f>M12/'Output-Calculation-sheet'!M11*'Output-Calculation-sheet'!M101</f>
        <v>0</v>
      </c>
      <c r="N122" s="2">
        <f>N12/'Output-Calculation-sheet'!N11*'Output-Calculation-sheet'!N101</f>
        <v>3226136873.5382662</v>
      </c>
      <c r="O122" s="2">
        <f>O12/'Output-Calculation-sheet'!O11*'Output-Calculation-sheet'!O101</f>
        <v>0</v>
      </c>
      <c r="P122" s="2">
        <f>P12/'Output-Calculation-sheet'!P11*'Output-Calculation-sheet'!P101</f>
        <v>10797907448.561251</v>
      </c>
      <c r="Q122" s="2">
        <f>Q12/'Output-Calculation-sheet'!Q11*'Output-Calculation-sheet'!Q101</f>
        <v>7033065800.1331663</v>
      </c>
      <c r="R122" s="2">
        <f>R12/'Output-Calculation-sheet'!R11*'Output-Calculation-sheet'!R101</f>
        <v>10652762008.369665</v>
      </c>
      <c r="S122" s="2">
        <f>S12/'Output-Calculation-sheet'!S11*'Output-Calculation-sheet'!S101</f>
        <v>2239980920.4853935</v>
      </c>
      <c r="T122" s="2">
        <f>T12/'Output-Calculation-sheet'!T11*'Output-Calculation-sheet'!T101</f>
        <v>3946851424.1170754</v>
      </c>
      <c r="U122" s="2">
        <f>U12/'Output-Calculation-sheet'!U11*'Output-Calculation-sheet'!U101</f>
        <v>3233724197.4555144</v>
      </c>
      <c r="V122" s="2">
        <f>V12/'Output-Calculation-sheet'!V11*'Output-Calculation-sheet'!V101</f>
        <v>2662118854.7528367</v>
      </c>
      <c r="W122" s="2">
        <f>W12/'Output-Calculation-sheet'!W11*'Output-Calculation-sheet'!W101</f>
        <v>2295943264.0616622</v>
      </c>
      <c r="X122" s="2">
        <f>X12/'Output-Calculation-sheet'!X11*'Output-Calculation-sheet'!X101</f>
        <v>110967594.65779585</v>
      </c>
      <c r="Y122" s="2">
        <f>Y12/'Output-Calculation-sheet'!Y11*'Output-Calculation-sheet'!Y101</f>
        <v>1036389603.8353659</v>
      </c>
      <c r="AA122" s="2">
        <f t="shared" si="10"/>
        <v>299836.90336083155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47945272542.06588</v>
      </c>
      <c r="C129" s="2">
        <f>C8/'Output-Calculation-sheet'!C7*'Output-Calculation-sheet'!C106</f>
        <v>22594229474.416031</v>
      </c>
      <c r="D129" s="2">
        <f>D8/'Output-Calculation-sheet'!D7*'Output-Calculation-sheet'!D106</f>
        <v>20137566570.62141</v>
      </c>
      <c r="E129" s="2">
        <f>E8/'Output-Calculation-sheet'!E7*'Output-Calculation-sheet'!E106</f>
        <v>15977115578.003582</v>
      </c>
      <c r="F129" s="2">
        <f>F8/'Output-Calculation-sheet'!F7*'Output-Calculation-sheet'!F106</f>
        <v>10285042630.803164</v>
      </c>
      <c r="G129" s="2">
        <f>G8/'Output-Calculation-sheet'!G7*'Output-Calculation-sheet'!G106</f>
        <v>7226553217.7786293</v>
      </c>
      <c r="H129" s="2">
        <f>H8/'Output-Calculation-sheet'!H7*'Output-Calculation-sheet'!H106</f>
        <v>7049225259.8107777</v>
      </c>
      <c r="I129" s="2">
        <f>I8/'Output-Calculation-sheet'!I7*'Output-Calculation-sheet'!I106</f>
        <v>6583958835.4396992</v>
      </c>
      <c r="J129" s="2">
        <f>J8/'Output-Calculation-sheet'!J7*'Output-Calculation-sheet'!J106</f>
        <v>6408372054.9619751</v>
      </c>
      <c r="K129" s="2">
        <f>K8/'Output-Calculation-sheet'!K7*'Output-Calculation-sheet'!K106</f>
        <v>6346935069.3999138</v>
      </c>
      <c r="L129" s="2">
        <f>L8/'Output-Calculation-sheet'!L7*'Output-Calculation-sheet'!L106</f>
        <v>5091593840.4188967</v>
      </c>
      <c r="M129" s="2">
        <f>M8/'Output-Calculation-sheet'!M7*'Output-Calculation-sheet'!M106</f>
        <v>4863350926.4448004</v>
      </c>
      <c r="N129" s="2">
        <f>N8/'Output-Calculation-sheet'!N7*'Output-Calculation-sheet'!N106</f>
        <v>4773365813.4008131</v>
      </c>
      <c r="O129" s="2">
        <f>O8/'Output-Calculation-sheet'!O7*'Output-Calculation-sheet'!O106</f>
        <v>4390077545.0521173</v>
      </c>
      <c r="P129" s="2">
        <f>P8/'Output-Calculation-sheet'!P7*'Output-Calculation-sheet'!P106</f>
        <v>4345412831.3902044</v>
      </c>
      <c r="Q129" s="2">
        <f>Q8/'Output-Calculation-sheet'!Q7*'Output-Calculation-sheet'!Q106</f>
        <v>4275183126.8166757</v>
      </c>
      <c r="R129" s="2">
        <f>R8/'Output-Calculation-sheet'!R7*'Output-Calculation-sheet'!R106</f>
        <v>4112922784.8457313</v>
      </c>
      <c r="S129" s="2">
        <f>S8/'Output-Calculation-sheet'!S7*'Output-Calculation-sheet'!S106</f>
        <v>2733659178.3062391</v>
      </c>
      <c r="T129" s="2">
        <f>T8/'Output-Calculation-sheet'!T7*'Output-Calculation-sheet'!T106</f>
        <v>1511875345.2431993</v>
      </c>
      <c r="U129" s="2">
        <f>U8/'Output-Calculation-sheet'!U7*'Output-Calculation-sheet'!U106</f>
        <v>1316791508.54353</v>
      </c>
      <c r="V129" s="2">
        <f>V8/'Output-Calculation-sheet'!V7*'Output-Calculation-sheet'!V106</f>
        <v>1013956195.8542476</v>
      </c>
      <c r="W129" s="2">
        <f>W8/'Output-Calculation-sheet'!W7*'Output-Calculation-sheet'!W106</f>
        <v>877861005.42682874</v>
      </c>
      <c r="X129" s="2">
        <f>X8/'Output-Calculation-sheet'!X7*'Output-Calculation-sheet'!X106</f>
        <v>526716706.83517665</v>
      </c>
      <c r="Y129" s="2">
        <f>Y8/'Output-Calculation-sheet'!Y7*'Output-Calculation-sheet'!Y106</f>
        <v>512226829.85140264</v>
      </c>
      <c r="AA129" s="2">
        <f t="shared" si="11"/>
        <v>190899.26487173091</v>
      </c>
    </row>
    <row r="130" spans="1:27" x14ac:dyDescent="0.25">
      <c r="A130" s="2">
        <v>2032</v>
      </c>
      <c r="B130" s="2">
        <f>B9/'Output-Calculation-sheet'!B8*'Output-Calculation-sheet'!B107</f>
        <v>39543699537.692505</v>
      </c>
      <c r="C130" s="2">
        <f>C9/'Output-Calculation-sheet'!C8*'Output-Calculation-sheet'!C107</f>
        <v>18634977417.564686</v>
      </c>
      <c r="D130" s="2">
        <f>D9/'Output-Calculation-sheet'!D8*'Output-Calculation-sheet'!D107</f>
        <v>16608804836.836527</v>
      </c>
      <c r="E130" s="2">
        <f>E9/'Output-Calculation-sheet'!E8*'Output-Calculation-sheet'!E107</f>
        <v>13177399507.111315</v>
      </c>
      <c r="F130" s="2">
        <f>F9/'Output-Calculation-sheet'!F8*'Output-Calculation-sheet'!F107</f>
        <v>8482769306.3153162</v>
      </c>
      <c r="G130" s="2">
        <f>G9/'Output-Calculation-sheet'!G8*'Output-Calculation-sheet'!G107</f>
        <v>5960226550.5044336</v>
      </c>
      <c r="H130" s="2">
        <f>H9/'Output-Calculation-sheet'!H8*'Output-Calculation-sheet'!H107</f>
        <v>5813970691.7426882</v>
      </c>
      <c r="I130" s="2">
        <f>I9/'Output-Calculation-sheet'!I8*'Output-Calculation-sheet'!I107</f>
        <v>5430234843.6285906</v>
      </c>
      <c r="J130" s="2">
        <f>J9/'Output-Calculation-sheet'!J8*'Output-Calculation-sheet'!J107</f>
        <v>5285414523.5450945</v>
      </c>
      <c r="K130" s="2">
        <f>K9/'Output-Calculation-sheet'!K8*'Output-Calculation-sheet'!K107</f>
        <v>5234744686.946702</v>
      </c>
      <c r="L130" s="2">
        <f>L9/'Output-Calculation-sheet'!L8*'Output-Calculation-sheet'!L107</f>
        <v>4199380799.6802559</v>
      </c>
      <c r="M130" s="2">
        <f>M9/'Output-Calculation-sheet'!M8*'Output-Calculation-sheet'!M107</f>
        <v>4011133990.2816691</v>
      </c>
      <c r="N130" s="2">
        <f>N9/'Output-Calculation-sheet'!N8*'Output-Calculation-sheet'!N107</f>
        <v>3936914648.467638</v>
      </c>
      <c r="O130" s="2">
        <f>O9/'Output-Calculation-sheet'!O8*'Output-Calculation-sheet'!O107</f>
        <v>3620793007.1691546</v>
      </c>
      <c r="P130" s="2">
        <f>P9/'Output-Calculation-sheet'!P8*'Output-Calculation-sheet'!P107</f>
        <v>3583954066.2089434</v>
      </c>
      <c r="Q130" s="2">
        <f>Q9/'Output-Calculation-sheet'!Q8*'Output-Calculation-sheet'!Q107</f>
        <v>3526032706.7869101</v>
      </c>
      <c r="R130" s="2">
        <f>R9/'Output-Calculation-sheet'!R8*'Output-Calculation-sheet'!R107</f>
        <v>3392205224.9115591</v>
      </c>
      <c r="S130" s="2">
        <f>S9/'Output-Calculation-sheet'!S8*'Output-Calculation-sheet'!S107</f>
        <v>2254633071.4411788</v>
      </c>
      <c r="T130" s="2">
        <f>T9/'Output-Calculation-sheet'!T8*'Output-Calculation-sheet'!T107</f>
        <v>1246945554.3233106</v>
      </c>
      <c r="U130" s="2">
        <f>U9/'Output-Calculation-sheet'!U8*'Output-Calculation-sheet'!U107</f>
        <v>1086046615.8536737</v>
      </c>
      <c r="V130" s="2">
        <f>V9/'Output-Calculation-sheet'!V8*'Output-Calculation-sheet'!V107</f>
        <v>836277614.91133237</v>
      </c>
      <c r="W130" s="2">
        <f>W9/'Output-Calculation-sheet'!W8*'Output-Calculation-sheet'!W107</f>
        <v>724031266.85546005</v>
      </c>
      <c r="X130" s="2">
        <f>X9/'Output-Calculation-sheet'!X8*'Output-Calculation-sheet'!X107</f>
        <v>434418674.87520903</v>
      </c>
      <c r="Y130" s="2">
        <f>Y9/'Output-Calculation-sheet'!Y8*'Output-Calculation-sheet'!Y107</f>
        <v>422467899.71784753</v>
      </c>
      <c r="AA130" s="2">
        <f t="shared" si="11"/>
        <v>157447.477043372</v>
      </c>
    </row>
    <row r="131" spans="1:27" x14ac:dyDescent="0.25">
      <c r="A131" s="2">
        <v>2033</v>
      </c>
      <c r="B131" s="2">
        <f>B10/'Output-Calculation-sheet'!B9*'Output-Calculation-sheet'!B108</f>
        <v>28363424353.89912</v>
      </c>
      <c r="C131" s="2">
        <f>C10/'Output-Calculation-sheet'!C9*'Output-Calculation-sheet'!C108</f>
        <v>13366270214.561104</v>
      </c>
      <c r="D131" s="2">
        <f>D10/'Output-Calculation-sheet'!D9*'Output-Calculation-sheet'!D108</f>
        <v>11912964845.936855</v>
      </c>
      <c r="E131" s="2">
        <f>E10/'Output-Calculation-sheet'!E9*'Output-Calculation-sheet'!E108</f>
        <v>9451725021.5008278</v>
      </c>
      <c r="F131" s="2">
        <f>F10/'Output-Calculation-sheet'!F9*'Output-Calculation-sheet'!F108</f>
        <v>6084414568.2090616</v>
      </c>
      <c r="G131" s="2">
        <f>G10/'Output-Calculation-sheet'!G9*'Output-Calculation-sheet'!G108</f>
        <v>4275076657.8744636</v>
      </c>
      <c r="H131" s="2">
        <f>H10/'Output-Calculation-sheet'!H9*'Output-Calculation-sheet'!H108</f>
        <v>4170173173.3153424</v>
      </c>
      <c r="I131" s="2">
        <f>I10/'Output-Calculation-sheet'!I9*'Output-Calculation-sheet'!I108</f>
        <v>3894932859.7071118</v>
      </c>
      <c r="J131" s="2">
        <f>J10/'Output-Calculation-sheet'!J9*'Output-Calculation-sheet'!J108</f>
        <v>3791057916.7594223</v>
      </c>
      <c r="K131" s="2">
        <f>K10/'Output-Calculation-sheet'!K9*'Output-Calculation-sheet'!K108</f>
        <v>3754713090.2575741</v>
      </c>
      <c r="L131" s="2">
        <f>L10/'Output-Calculation-sheet'!L9*'Output-Calculation-sheet'!L108</f>
        <v>3012080836.7534723</v>
      </c>
      <c r="M131" s="2">
        <f>M10/'Output-Calculation-sheet'!M9*'Output-Calculation-sheet'!M108</f>
        <v>2877055962.6608992</v>
      </c>
      <c r="N131" s="2">
        <f>N10/'Output-Calculation-sheet'!N9*'Output-Calculation-sheet'!N108</f>
        <v>2823821571.028749</v>
      </c>
      <c r="O131" s="2">
        <f>O10/'Output-Calculation-sheet'!O9*'Output-Calculation-sheet'!O108</f>
        <v>3121021915.8791895</v>
      </c>
      <c r="P131" s="2">
        <f>P10/'Output-Calculation-sheet'!P9*'Output-Calculation-sheet'!P108</f>
        <v>2570655706.7895312</v>
      </c>
      <c r="Q131" s="2">
        <f>Q10/'Output-Calculation-sheet'!Q9*'Output-Calculation-sheet'!Q108</f>
        <v>2529109240.7739344</v>
      </c>
      <c r="R131" s="2">
        <f>R10/'Output-Calculation-sheet'!R9*'Output-Calculation-sheet'!R108</f>
        <v>2433118481.6956043</v>
      </c>
      <c r="S131" s="2">
        <f>S10/'Output-Calculation-sheet'!S9*'Output-Calculation-sheet'!S108</f>
        <v>1617175813.2259398</v>
      </c>
      <c r="T131" s="2">
        <f>T10/'Output-Calculation-sheet'!T9*'Output-Calculation-sheet'!T108</f>
        <v>894393255.1684674</v>
      </c>
      <c r="U131" s="2">
        <f>U10/'Output-Calculation-sheet'!U9*'Output-Calculation-sheet'!U108</f>
        <v>778986118.52915478</v>
      </c>
      <c r="V131" s="2">
        <f>V10/'Output-Calculation-sheet'!V9*'Output-Calculation-sheet'!V108</f>
        <v>599834890.82605791</v>
      </c>
      <c r="W131" s="2">
        <f>W10/'Output-Calculation-sheet'!W9*'Output-Calculation-sheet'!W108</f>
        <v>519324078.86038584</v>
      </c>
      <c r="X131" s="2">
        <f>X10/'Output-Calculation-sheet'!X9*'Output-Calculation-sheet'!X108</f>
        <v>311594386.45110607</v>
      </c>
      <c r="Y131" s="2">
        <f>Y10/'Output-Calculation-sheet'!Y9*'Output-Calculation-sheet'!Y108</f>
        <v>303022484.72624171</v>
      </c>
      <c r="AA131" s="2">
        <f t="shared" si="11"/>
        <v>113455.94744538965</v>
      </c>
    </row>
    <row r="132" spans="1:27" x14ac:dyDescent="0.25">
      <c r="A132" s="2">
        <v>2034</v>
      </c>
      <c r="B132" s="2">
        <f>B11/'Output-Calculation-sheet'!B10*'Output-Calculation-sheet'!B109</f>
        <v>15069360338.470707</v>
      </c>
      <c r="C132" s="2">
        <f>C11/'Output-Calculation-sheet'!C10*'Output-Calculation-sheet'!C109</f>
        <v>13709679445.710649</v>
      </c>
      <c r="D132" s="2">
        <f>D11/'Output-Calculation-sheet'!D10*'Output-Calculation-sheet'!D109</f>
        <v>6329304870.4708729</v>
      </c>
      <c r="E132" s="2">
        <f>E11/'Output-Calculation-sheet'!E10*'Output-Calculation-sheet'!E109</f>
        <v>5021660744.5795202</v>
      </c>
      <c r="F132" s="2">
        <f>F11/'Output-Calculation-sheet'!F10*'Output-Calculation-sheet'!F109</f>
        <v>3232623221.8371916</v>
      </c>
      <c r="G132" s="2">
        <f>G11/'Output-Calculation-sheet'!G10*'Output-Calculation-sheet'!G109</f>
        <v>2271330147.5768909</v>
      </c>
      <c r="H132" s="2">
        <f>H11/'Output-Calculation-sheet'!H10*'Output-Calculation-sheet'!H109</f>
        <v>2215595023.6490312</v>
      </c>
      <c r="I132" s="2">
        <f>I11/'Output-Calculation-sheet'!I10*'Output-Calculation-sheet'!I109</f>
        <v>2069360393.428848</v>
      </c>
      <c r="J132" s="2">
        <f>J11/'Output-Calculation-sheet'!J10*'Output-Calculation-sheet'!J109</f>
        <v>2014172406.7547586</v>
      </c>
      <c r="K132" s="2">
        <f>K11/'Output-Calculation-sheet'!K10*'Output-Calculation-sheet'!K109</f>
        <v>1994863186.9297993</v>
      </c>
      <c r="L132" s="2">
        <f>L11/'Output-Calculation-sheet'!L10*'Output-Calculation-sheet'!L109</f>
        <v>1600305309.8455153</v>
      </c>
      <c r="M132" s="2">
        <f>M11/'Output-Calculation-sheet'!M10*'Output-Calculation-sheet'!M109</f>
        <v>1528567426.0293458</v>
      </c>
      <c r="N132" s="2">
        <f>N11/'Output-Calculation-sheet'!N10*'Output-Calculation-sheet'!N109</f>
        <v>1500284688.4272456</v>
      </c>
      <c r="O132" s="2">
        <f>O11/'Output-Calculation-sheet'!O10*'Output-Calculation-sheet'!O109</f>
        <v>3087431457.1828256</v>
      </c>
      <c r="P132" s="2">
        <f>P11/'Output-Calculation-sheet'!P10*'Output-Calculation-sheet'!P109</f>
        <v>1365777861.7226443</v>
      </c>
      <c r="Q132" s="2">
        <f>Q11/'Output-Calculation-sheet'!Q10*'Output-Calculation-sheet'!Q109</f>
        <v>1343704629.4148703</v>
      </c>
      <c r="R132" s="2">
        <f>R11/'Output-Calculation-sheet'!R10*'Output-Calculation-sheet'!R109</f>
        <v>1292705558.8729084</v>
      </c>
      <c r="S132" s="2">
        <f>S11/'Output-Calculation-sheet'!S10*'Output-Calculation-sheet'!S109</f>
        <v>859198402.3980993</v>
      </c>
      <c r="T132" s="2">
        <f>T11/'Output-Calculation-sheet'!T10*'Output-Calculation-sheet'!T109</f>
        <v>475187429.02380884</v>
      </c>
      <c r="U132" s="2">
        <f>U11/'Output-Calculation-sheet'!U10*'Output-Calculation-sheet'!U109</f>
        <v>413872030.50657368</v>
      </c>
      <c r="V132" s="2">
        <f>V11/'Output-Calculation-sheet'!V10*'Output-Calculation-sheet'!V109</f>
        <v>318689740.91327083</v>
      </c>
      <c r="W132" s="2">
        <f>W11/'Output-Calculation-sheet'!W10*'Output-Calculation-sheet'!W109</f>
        <v>275914686.98748171</v>
      </c>
      <c r="X132" s="2">
        <f>X11/'Output-Calculation-sheet'!X10*'Output-Calculation-sheet'!X109</f>
        <v>165548805.72501338</v>
      </c>
      <c r="Y132" s="2">
        <f>Y11/'Output-Calculation-sheet'!Y10*'Output-Calculation-sheet'!Y109</f>
        <v>160994589.4877817</v>
      </c>
      <c r="AA132" s="2">
        <f t="shared" si="11"/>
        <v>68316.132395945649</v>
      </c>
    </row>
    <row r="133" spans="1:27" x14ac:dyDescent="0.25">
      <c r="A133" s="2">
        <v>2035</v>
      </c>
      <c r="B133" s="2">
        <f>B12/'Output-Calculation-sheet'!B11*'Output-Calculation-sheet'!B110</f>
        <v>6960487465.1215496</v>
      </c>
      <c r="C133" s="2">
        <f>C12/'Output-Calculation-sheet'!C11*'Output-Calculation-sheet'!C110</f>
        <v>13367505485.257465</v>
      </c>
      <c r="D133" s="2">
        <f>D12/'Output-Calculation-sheet'!D11*'Output-Calculation-sheet'!D110</f>
        <v>3455142095.0041437</v>
      </c>
      <c r="E133" s="2">
        <f>E12/'Output-Calculation-sheet'!E11*'Output-Calculation-sheet'!E110</f>
        <v>1755642224.9928863</v>
      </c>
      <c r="F133" s="2">
        <f>F12/'Output-Calculation-sheet'!F11*'Output-Calculation-sheet'!F110</f>
        <v>1188454875.5903425</v>
      </c>
      <c r="G133" s="2">
        <f>G12/'Output-Calculation-sheet'!G11*'Output-Calculation-sheet'!G110</f>
        <v>1501818106.1078656</v>
      </c>
      <c r="H133" s="2">
        <f>H12/'Output-Calculation-sheet'!H11*'Output-Calculation-sheet'!H110</f>
        <v>1771629464.5104682</v>
      </c>
      <c r="I133" s="2">
        <f>I12/'Output-Calculation-sheet'!I11*'Output-Calculation-sheet'!I110</f>
        <v>829938133.30624759</v>
      </c>
      <c r="J133" s="2">
        <f>J12/'Output-Calculation-sheet'!J11*'Output-Calculation-sheet'!J110</f>
        <v>1004151951.923273</v>
      </c>
      <c r="K133" s="2">
        <f>K12/'Output-Calculation-sheet'!K11*'Output-Calculation-sheet'!K110</f>
        <v>761412882.43008268</v>
      </c>
      <c r="L133" s="2">
        <f>L12/'Output-Calculation-sheet'!L11*'Output-Calculation-sheet'!L110</f>
        <v>489305491.40675449</v>
      </c>
      <c r="M133" s="2">
        <f>M12/'Output-Calculation-sheet'!M11*'Output-Calculation-sheet'!M110</f>
        <v>1101935698.9041128</v>
      </c>
      <c r="N133" s="2">
        <f>N12/'Output-Calculation-sheet'!N11*'Output-Calculation-sheet'!N110</f>
        <v>916850778.16607463</v>
      </c>
      <c r="O133" s="2">
        <f>O12/'Output-Calculation-sheet'!O11*'Output-Calculation-sheet'!O110</f>
        <v>3238010588.5615005</v>
      </c>
      <c r="P133" s="2">
        <f>P12/'Output-Calculation-sheet'!P11*'Output-Calculation-sheet'!P110</f>
        <v>640566074.91721785</v>
      </c>
      <c r="Q133" s="2">
        <f>Q12/'Output-Calculation-sheet'!Q11*'Output-Calculation-sheet'!Q110</f>
        <v>797865414.64535069</v>
      </c>
      <c r="R133" s="2">
        <f>R12/'Output-Calculation-sheet'!R11*'Output-Calculation-sheet'!R110</f>
        <v>502083620.5245465</v>
      </c>
      <c r="S133" s="2">
        <f>S12/'Output-Calculation-sheet'!S11*'Output-Calculation-sheet'!S110</f>
        <v>482745351.48152328</v>
      </c>
      <c r="T133" s="2">
        <f>T12/'Output-Calculation-sheet'!T11*'Output-Calculation-sheet'!T110</f>
        <v>130602366.28026922</v>
      </c>
      <c r="U133" s="2">
        <f>U12/'Output-Calculation-sheet'!U11*'Output-Calculation-sheet'!U110</f>
        <v>212302619.33671236</v>
      </c>
      <c r="V133" s="2">
        <f>V12/'Output-Calculation-sheet'!V11*'Output-Calculation-sheet'!V110</f>
        <v>53574439.17047888</v>
      </c>
      <c r="W133" s="2">
        <f>W12/'Output-Calculation-sheet'!W11*'Output-Calculation-sheet'!W110</f>
        <v>87344814.284366444</v>
      </c>
      <c r="X133" s="2">
        <f>X12/'Output-Calculation-sheet'!X11*'Output-Calculation-sheet'!X110</f>
        <v>152964176.11784324</v>
      </c>
      <c r="Y133" s="2">
        <f>Y12/'Output-Calculation-sheet'!Y11*'Output-Calculation-sheet'!Y110</f>
        <v>80376477.73359257</v>
      </c>
      <c r="AA133" s="2">
        <f t="shared" si="11"/>
        <v>41482.710595774653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1037.6250859230158</v>
      </c>
      <c r="C19" s="2">
        <f>C8/'Output-Calculation-sheet'!C7*'Output-Calculation-sheet'!C25</f>
        <v>15642.358435428037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4656.3105393385194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3234.8067247219465</v>
      </c>
      <c r="N19" s="2">
        <f>N8/'Output-Calculation-sheet'!N7*'Output-Calculation-sheet'!N25</f>
        <v>1107.4787578775185</v>
      </c>
      <c r="O19" s="2">
        <f>O8/'Output-Calculation-sheet'!O7*'Output-Calculation-sheet'!O25</f>
        <v>3025.1638839017719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395.16590366548797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361.42506893640626</v>
      </c>
      <c r="Y19" s="2">
        <f>Y8/'Output-Calculation-sheet'!Y7*'Output-Calculation-sheet'!Y25</f>
        <v>0</v>
      </c>
      <c r="AA19" s="2">
        <f t="shared" si="0"/>
        <v>29.460334399792703</v>
      </c>
    </row>
    <row r="20" spans="1:27" x14ac:dyDescent="0.25">
      <c r="A20" s="2">
        <v>2032</v>
      </c>
      <c r="B20" s="2">
        <f>B9/'Output-Calculation-sheet'!B8*'Output-Calculation-sheet'!B26</f>
        <v>5488.4563694999024</v>
      </c>
      <c r="C20" s="2">
        <f>C9/'Output-Calculation-sheet'!C8*'Output-Calculation-sheet'!C26</f>
        <v>20099.505559971632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5971.2742014245905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4149.3506572708047</v>
      </c>
      <c r="N20" s="2">
        <f>N9/'Output-Calculation-sheet'!N8*'Output-Calculation-sheet'!N26</f>
        <v>1868.2246942520833</v>
      </c>
      <c r="O20" s="2">
        <f>O9/'Output-Calculation-sheet'!O8*'Output-Calculation-sheet'!O26</f>
        <v>3916.3010652639409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680.48427772970194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464.14813288392048</v>
      </c>
      <c r="Y20" s="2">
        <f>Y9/'Output-Calculation-sheet'!Y8*'Output-Calculation-sheet'!Y26</f>
        <v>0</v>
      </c>
      <c r="AA20" s="2">
        <f t="shared" si="0"/>
        <v>42.63774495829658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26799.619521403285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6861.2824336747444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4765.730407790169</v>
      </c>
      <c r="N21" s="2">
        <f>N10/'Output-Calculation-sheet'!N9*'Output-Calculation-sheet'!N27</f>
        <v>2607.6121926088472</v>
      </c>
      <c r="O21" s="2">
        <f>O10/'Output-Calculation-sheet'!O9*'Output-Calculation-sheet'!O27</f>
        <v>4552.9265334899646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1134.7974227753684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560.38379015957457</v>
      </c>
      <c r="Y21" s="2">
        <f>Y10/'Output-Calculation-sheet'!Y9*'Output-Calculation-sheet'!Y27</f>
        <v>0</v>
      </c>
      <c r="AA21" s="2">
        <f t="shared" si="0"/>
        <v>59.328011199041228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24472.099480726331</v>
      </c>
      <c r="D22" s="2">
        <f>D11/'Output-Calculation-sheet'!D10*'Output-Calculation-sheet'!D28</f>
        <v>0</v>
      </c>
      <c r="E22" s="2">
        <f>E11/'Output-Calculation-sheet'!E10*'Output-Calculation-sheet'!E28</f>
        <v>1038.1922325258724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8070.0362002549928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612.31712049935754</v>
      </c>
      <c r="M22" s="2">
        <f>M11/'Output-Calculation-sheet'!M10*'Output-Calculation-sheet'!M28</f>
        <v>5562.2552615800505</v>
      </c>
      <c r="N22" s="2">
        <f>N11/'Output-Calculation-sheet'!N10*'Output-Calculation-sheet'!N28</f>
        <v>3201.1088866008567</v>
      </c>
      <c r="O22" s="2">
        <f>O11/'Output-Calculation-sheet'!O10*'Output-Calculation-sheet'!O28</f>
        <v>4309.5581715463823</v>
      </c>
      <c r="P22" s="2">
        <f>P11/'Output-Calculation-sheet'!P10*'Output-Calculation-sheet'!P28</f>
        <v>0</v>
      </c>
      <c r="Q22" s="2">
        <f>Q11/'Output-Calculation-sheet'!Q10*'Output-Calculation-sheet'!Q28</f>
        <v>1200.5837044679417</v>
      </c>
      <c r="R22" s="2">
        <f>R11/'Output-Calculation-sheet'!R10*'Output-Calculation-sheet'!R28</f>
        <v>0</v>
      </c>
      <c r="S22" s="2">
        <f>S11/'Output-Calculation-sheet'!S10*'Output-Calculation-sheet'!S28</f>
        <v>1623.4170233556838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569.74681753945015</v>
      </c>
      <c r="Y22" s="2">
        <f>Y11/'Output-Calculation-sheet'!Y10*'Output-Calculation-sheet'!Y28</f>
        <v>55.900984311832921</v>
      </c>
      <c r="AA22" s="2">
        <f t="shared" si="0"/>
        <v>70.810654018579328</v>
      </c>
    </row>
    <row r="23" spans="1:27" x14ac:dyDescent="0.25">
      <c r="A23" s="2">
        <v>2035</v>
      </c>
      <c r="B23" s="2">
        <f>B12/'Output-Calculation-sheet'!B11*'Output-Calculation-sheet'!B29</f>
        <v>23092.489965954006</v>
      </c>
      <c r="C23" s="2">
        <f>C12/'Output-Calculation-sheet'!C11*'Output-Calculation-sheet'!C29</f>
        <v>21532.498345745822</v>
      </c>
      <c r="D23" s="2">
        <f>D12/'Output-Calculation-sheet'!D11*'Output-Calculation-sheet'!D29</f>
        <v>0</v>
      </c>
      <c r="E23" s="2">
        <f>E12/'Output-Calculation-sheet'!E11*'Output-Calculation-sheet'!E29</f>
        <v>4241.8142957885948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7410.7460825635872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1229.8954039419023</v>
      </c>
      <c r="M23" s="2">
        <f>M12/'Output-Calculation-sheet'!M11*'Output-Calculation-sheet'!M29</f>
        <v>5267.3611952892325</v>
      </c>
      <c r="N23" s="2">
        <f>N12/'Output-Calculation-sheet'!N11*'Output-Calculation-sheet'!N29</f>
        <v>3059.2247694144644</v>
      </c>
      <c r="O23" s="2">
        <f>O12/'Output-Calculation-sheet'!O11*'Output-Calculation-sheet'!O29</f>
        <v>3559.8345780402365</v>
      </c>
      <c r="P23" s="2">
        <f>P12/'Output-Calculation-sheet'!P11*'Output-Calculation-sheet'!P29</f>
        <v>492.07092344304016</v>
      </c>
      <c r="Q23" s="2">
        <f>Q12/'Output-Calculation-sheet'!Q11*'Output-Calculation-sheet'!Q29</f>
        <v>1566.4404684986594</v>
      </c>
      <c r="R23" s="2">
        <f>R12/'Output-Calculation-sheet'!R11*'Output-Calculation-sheet'!R29</f>
        <v>0</v>
      </c>
      <c r="S23" s="2">
        <f>S12/'Output-Calculation-sheet'!S11*'Output-Calculation-sheet'!S29</f>
        <v>1691.8716867754815</v>
      </c>
      <c r="T23" s="2">
        <f>T12/'Output-Calculation-sheet'!T11*'Output-Calculation-sheet'!T29</f>
        <v>0</v>
      </c>
      <c r="U23" s="2">
        <f>U12/'Output-Calculation-sheet'!U11*'Output-Calculation-sheet'!U29</f>
        <v>182.57005621849234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503.25777866358663</v>
      </c>
      <c r="Y23" s="2">
        <f>Y12/'Output-Calculation-sheet'!Y11*'Output-Calculation-sheet'!Y29</f>
        <v>155.28132281895543</v>
      </c>
      <c r="AA23" s="2">
        <f t="shared" si="0"/>
        <v>73.985356873156064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18085.468178909639</v>
      </c>
      <c r="C30" s="2">
        <f>C8/'Output-Calculation-sheet'!C7*'Output-Calculation-sheet'!C16</f>
        <v>0</v>
      </c>
      <c r="D30" s="2">
        <f>D8/'Output-Calculation-sheet'!D7*'Output-Calculation-sheet'!D16</f>
        <v>3045.353757677432</v>
      </c>
      <c r="E30" s="2">
        <f>E8/'Output-Calculation-sheet'!E7*'Output-Calculation-sheet'!E16</f>
        <v>3276.6285872967997</v>
      </c>
      <c r="F30" s="2">
        <f>F8/'Output-Calculation-sheet'!F7*'Output-Calculation-sheet'!F16</f>
        <v>1653.0765581237924</v>
      </c>
      <c r="G30" s="2">
        <f>G8/'Output-Calculation-sheet'!G7*'Output-Calculation-sheet'!G16</f>
        <v>1082.5688069977859</v>
      </c>
      <c r="H30" s="2">
        <f>H8/'Output-Calculation-sheet'!H7*'Output-Calculation-sheet'!H16</f>
        <v>0</v>
      </c>
      <c r="I30" s="2">
        <f>I8/'Output-Calculation-sheet'!I7*'Output-Calculation-sheet'!I16</f>
        <v>1055.3424923787115</v>
      </c>
      <c r="J30" s="2">
        <f>J8/'Output-Calculation-sheet'!J7*'Output-Calculation-sheet'!J16</f>
        <v>939.45774349220176</v>
      </c>
      <c r="K30" s="2">
        <f>K8/'Output-Calculation-sheet'!K7*'Output-Calculation-sheet'!K16</f>
        <v>1254.3556553351107</v>
      </c>
      <c r="L30" s="2">
        <f>L8/'Output-Calculation-sheet'!L7*'Output-Calculation-sheet'!L16</f>
        <v>1059.5227213720323</v>
      </c>
      <c r="M30" s="2">
        <f>M8/'Output-Calculation-sheet'!M7*'Output-Calculation-sheet'!M16</f>
        <v>0</v>
      </c>
      <c r="N30" s="2">
        <f>N8/'Output-Calculation-sheet'!N7*'Output-Calculation-sheet'!N16</f>
        <v>1504.9627622206713</v>
      </c>
      <c r="O30" s="2">
        <f>O8/'Output-Calculation-sheet'!O7*'Output-Calculation-sheet'!O16</f>
        <v>0</v>
      </c>
      <c r="P30" s="2">
        <f>P8/'Output-Calculation-sheet'!P7*'Output-Calculation-sheet'!P16</f>
        <v>1352.611148912192</v>
      </c>
      <c r="Q30" s="2">
        <f>Q8/'Output-Calculation-sheet'!Q7*'Output-Calculation-sheet'!Q16</f>
        <v>1487.4255506687073</v>
      </c>
      <c r="R30" s="2">
        <f>R8/'Output-Calculation-sheet'!R7*'Output-Calculation-sheet'!R16</f>
        <v>943.77797682211678</v>
      </c>
      <c r="S30" s="2">
        <f>S8/'Output-Calculation-sheet'!S7*'Output-Calculation-sheet'!S16</f>
        <v>949.16389819370249</v>
      </c>
      <c r="T30" s="2">
        <f>T8/'Output-Calculation-sheet'!T7*'Output-Calculation-sheet'!T16</f>
        <v>283.30858255019876</v>
      </c>
      <c r="U30" s="2">
        <f>U8/'Output-Calculation-sheet'!U7*'Output-Calculation-sheet'!U16</f>
        <v>282.802175642946</v>
      </c>
      <c r="V30" s="2">
        <f>V8/'Output-Calculation-sheet'!V7*'Output-Calculation-sheet'!V16</f>
        <v>220.09955766566614</v>
      </c>
      <c r="W30" s="2">
        <f>W8/'Output-Calculation-sheet'!W7*'Output-Calculation-sheet'!W16</f>
        <v>133.50147750107934</v>
      </c>
      <c r="X30" s="2">
        <f>X8/'Output-Calculation-sheet'!X7*'Output-Calculation-sheet'!X16</f>
        <v>0</v>
      </c>
      <c r="Y30" s="2">
        <f>Y8/'Output-Calculation-sheet'!Y7*'Output-Calculation-sheet'!Y16</f>
        <v>112.99382327585751</v>
      </c>
      <c r="AA30" s="2">
        <f t="shared" si="1"/>
        <v>38.722421455036631</v>
      </c>
    </row>
    <row r="31" spans="1:27" x14ac:dyDescent="0.25">
      <c r="A31" s="2">
        <v>2032</v>
      </c>
      <c r="B31" s="2">
        <f>B9/'Output-Calculation-sheet'!B8*'Output-Calculation-sheet'!B17</f>
        <v>23239.937585794723</v>
      </c>
      <c r="C31" s="2">
        <f>C9/'Output-Calculation-sheet'!C8*'Output-Calculation-sheet'!C17</f>
        <v>0</v>
      </c>
      <c r="D31" s="2">
        <f>D9/'Output-Calculation-sheet'!D8*'Output-Calculation-sheet'!D17</f>
        <v>3897.6426651406377</v>
      </c>
      <c r="E31" s="2">
        <f>E9/'Output-Calculation-sheet'!E8*'Output-Calculation-sheet'!E17</f>
        <v>4581.1464249203937</v>
      </c>
      <c r="F31" s="2">
        <f>F9/'Output-Calculation-sheet'!F8*'Output-Calculation-sheet'!F17</f>
        <v>2115.7668938205766</v>
      </c>
      <c r="G31" s="2">
        <f>G9/'Output-Calculation-sheet'!G8*'Output-Calculation-sheet'!G17</f>
        <v>1385.5631853858133</v>
      </c>
      <c r="H31" s="2">
        <f>H9/'Output-Calculation-sheet'!H8*'Output-Calculation-sheet'!H17</f>
        <v>0</v>
      </c>
      <c r="I31" s="2">
        <f>I9/'Output-Calculation-sheet'!I8*'Output-Calculation-sheet'!I17</f>
        <v>1350.7229702520838</v>
      </c>
      <c r="J31" s="2">
        <f>J9/'Output-Calculation-sheet'!J8*'Output-Calculation-sheet'!J17</f>
        <v>1202.4037950584507</v>
      </c>
      <c r="K31" s="2">
        <f>K9/'Output-Calculation-sheet'!K8*'Output-Calculation-sheet'!K17</f>
        <v>1711.9037485833226</v>
      </c>
      <c r="L31" s="2">
        <f>L9/'Output-Calculation-sheet'!L8*'Output-Calculation-sheet'!L17</f>
        <v>1459.9529524714685</v>
      </c>
      <c r="M31" s="2">
        <f>M9/'Output-Calculation-sheet'!M8*'Output-Calculation-sheet'!M17</f>
        <v>0</v>
      </c>
      <c r="N31" s="2">
        <f>N9/'Output-Calculation-sheet'!N8*'Output-Calculation-sheet'!N17</f>
        <v>1592.9246398998334</v>
      </c>
      <c r="O31" s="2">
        <f>O9/'Output-Calculation-sheet'!O8*'Output-Calculation-sheet'!O17</f>
        <v>0</v>
      </c>
      <c r="P31" s="2">
        <f>P9/'Output-Calculation-sheet'!P8*'Output-Calculation-sheet'!P17</f>
        <v>1969.8599964841237</v>
      </c>
      <c r="Q31" s="2">
        <f>Q9/'Output-Calculation-sheet'!Q8*'Output-Calculation-sheet'!Q17</f>
        <v>2100.051740979608</v>
      </c>
      <c r="R31" s="2">
        <f>R9/'Output-Calculation-sheet'!R8*'Output-Calculation-sheet'!R17</f>
        <v>1373.9648353966109</v>
      </c>
      <c r="S31" s="2">
        <f>S9/'Output-Calculation-sheet'!S8*'Output-Calculation-sheet'!S17</f>
        <v>1182.2357672948399</v>
      </c>
      <c r="T31" s="2">
        <f>T9/'Output-Calculation-sheet'!T8*'Output-Calculation-sheet'!T17</f>
        <v>372.83539637231763</v>
      </c>
      <c r="U31" s="2">
        <f>U9/'Output-Calculation-sheet'!U8*'Output-Calculation-sheet'!U17</f>
        <v>428.50673093841237</v>
      </c>
      <c r="V31" s="2">
        <f>V9/'Output-Calculation-sheet'!V8*'Output-Calculation-sheet'!V17</f>
        <v>306.91903919160137</v>
      </c>
      <c r="W31" s="2">
        <f>W9/'Output-Calculation-sheet'!W8*'Output-Calculation-sheet'!W17</f>
        <v>170.86907065091094</v>
      </c>
      <c r="X31" s="2">
        <f>X9/'Output-Calculation-sheet'!X8*'Output-Calculation-sheet'!X17</f>
        <v>0</v>
      </c>
      <c r="Y31" s="2">
        <f>Y9/'Output-Calculation-sheet'!Y8*'Output-Calculation-sheet'!Y17</f>
        <v>165.09654146955288</v>
      </c>
      <c r="AA31" s="2">
        <f t="shared" si="1"/>
        <v>50.608303980105291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1466.3086993547215</v>
      </c>
      <c r="O32" s="2">
        <f>O10/'Output-Calculation-sheet'!O9*'Output-Calculation-sheet'!O18</f>
        <v>0</v>
      </c>
      <c r="P32" s="2">
        <f>P10/'Output-Calculation-sheet'!P9*'Output-Calculation-sheet'!P18</f>
        <v>2360.9179095402178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1695.2958901939533</v>
      </c>
      <c r="S32" s="2">
        <f>S10/'Output-Calculation-sheet'!S9*'Output-Calculation-sheet'!S18</f>
        <v>1109.5263252617212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547.30771786542573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57.825971720038901</v>
      </c>
    </row>
    <row r="33" spans="1:27" x14ac:dyDescent="0.25">
      <c r="A33" s="2">
        <v>2034</v>
      </c>
      <c r="B33" s="2">
        <f>B11/'Output-Calculation-sheet'!B10*'Output-Calculation-sheet'!B19</f>
        <v>20269.121801655805</v>
      </c>
      <c r="C33" s="2">
        <f>C11/'Output-Calculation-sheet'!C10*'Output-Calculation-sheet'!C19</f>
        <v>0</v>
      </c>
      <c r="D33" s="2">
        <f>D11/'Output-Calculation-sheet'!D10*'Output-Calculation-sheet'!D19</f>
        <v>6045.7509104002092</v>
      </c>
      <c r="E33" s="2">
        <f>E11/'Output-Calculation-sheet'!E10*'Output-Calculation-sheet'!E19</f>
        <v>7490.7882971552553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2058.0765512905905</v>
      </c>
      <c r="H33" s="2">
        <f>H11/'Output-Calculation-sheet'!H10*'Output-Calculation-sheet'!H19</f>
        <v>0</v>
      </c>
      <c r="I33" s="2">
        <f>I11/'Output-Calculation-sheet'!I10*'Output-Calculation-sheet'!I19</f>
        <v>2245.6455407259177</v>
      </c>
      <c r="J33" s="2">
        <f>J11/'Output-Calculation-sheet'!J10*'Output-Calculation-sheet'!J19</f>
        <v>1898.5855834675585</v>
      </c>
      <c r="K33" s="2">
        <f>K11/'Output-Calculation-sheet'!K10*'Output-Calculation-sheet'!K19</f>
        <v>2634.8865129748847</v>
      </c>
      <c r="L33" s="2">
        <f>L11/'Output-Calculation-sheet'!L10*'Output-Calculation-sheet'!L19</f>
        <v>2143.8329852997222</v>
      </c>
      <c r="M33" s="2">
        <f>M11/'Output-Calculation-sheet'!M10*'Output-Calculation-sheet'!M19</f>
        <v>0</v>
      </c>
      <c r="N33" s="2">
        <f>N11/'Output-Calculation-sheet'!N10*'Output-Calculation-sheet'!N19</f>
        <v>1211.6412632710512</v>
      </c>
      <c r="O33" s="2">
        <f>O11/'Output-Calculation-sheet'!O10*'Output-Calculation-sheet'!O19</f>
        <v>0</v>
      </c>
      <c r="P33" s="2">
        <f>P11/'Output-Calculation-sheet'!P10*'Output-Calculation-sheet'!P19</f>
        <v>2666.0403533575059</v>
      </c>
      <c r="Q33" s="2">
        <f>Q11/'Output-Calculation-sheet'!Q10*'Output-Calculation-sheet'!Q19</f>
        <v>2134.6670196513592</v>
      </c>
      <c r="R33" s="2">
        <f>R11/'Output-Calculation-sheet'!R10*'Output-Calculation-sheet'!R19</f>
        <v>1903.482606106523</v>
      </c>
      <c r="S33" s="2">
        <f>S11/'Output-Calculation-sheet'!S10*'Output-Calculation-sheet'!S19</f>
        <v>889.67611914649069</v>
      </c>
      <c r="T33" s="2">
        <f>T11/'Output-Calculation-sheet'!T10*'Output-Calculation-sheet'!T19</f>
        <v>558.51474003745625</v>
      </c>
      <c r="U33" s="2">
        <f>U11/'Output-Calculation-sheet'!U10*'Output-Calculation-sheet'!U19</f>
        <v>642.30263894140523</v>
      </c>
      <c r="V33" s="2">
        <f>V11/'Output-Calculation-sheet'!V10*'Output-Calculation-sheet'!V19</f>
        <v>438.02177896549364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107.72209275351034</v>
      </c>
      <c r="Y33" s="2">
        <f>Y11/'Output-Calculation-sheet'!Y10*'Output-Calculation-sheet'!Y19</f>
        <v>245.81138571692648</v>
      </c>
      <c r="AA33" s="2">
        <f t="shared" si="1"/>
        <v>59.294004102683168</v>
      </c>
    </row>
    <row r="34" spans="1:27" x14ac:dyDescent="0.25">
      <c r="A34" s="2">
        <v>2035</v>
      </c>
      <c r="B34" s="2">
        <f>B12/'Output-Calculation-sheet'!B11*'Output-Calculation-sheet'!B20</f>
        <v>16027.123098888045</v>
      </c>
      <c r="C34" s="2">
        <f>C12/'Output-Calculation-sheet'!C11*'Output-Calculation-sheet'!C20</f>
        <v>0</v>
      </c>
      <c r="D34" s="2">
        <f>D12/'Output-Calculation-sheet'!D11*'Output-Calculation-sheet'!D20</f>
        <v>5939.2474877140985</v>
      </c>
      <c r="E34" s="2">
        <f>E12/'Output-Calculation-sheet'!E11*'Output-Calculation-sheet'!E20</f>
        <v>5355.7740909874574</v>
      </c>
      <c r="F34" s="2">
        <f>F12/'Output-Calculation-sheet'!F11*'Output-Calculation-sheet'!F20</f>
        <v>3797.1139676393586</v>
      </c>
      <c r="G34" s="2">
        <f>G12/'Output-Calculation-sheet'!G11*'Output-Calculation-sheet'!G20</f>
        <v>1889.3972508359013</v>
      </c>
      <c r="H34" s="2">
        <f>H12/'Output-Calculation-sheet'!H11*'Output-Calculation-sheet'!H20</f>
        <v>0</v>
      </c>
      <c r="I34" s="2">
        <f>I12/'Output-Calculation-sheet'!I11*'Output-Calculation-sheet'!I20</f>
        <v>2321.4421502954774</v>
      </c>
      <c r="J34" s="2">
        <f>J12/'Output-Calculation-sheet'!J11*'Output-Calculation-sheet'!J20</f>
        <v>1933.9332017435083</v>
      </c>
      <c r="K34" s="2">
        <f>K12/'Output-Calculation-sheet'!K11*'Output-Calculation-sheet'!K20</f>
        <v>2721.7466910774997</v>
      </c>
      <c r="L34" s="2">
        <f>L12/'Output-Calculation-sheet'!L11*'Output-Calculation-sheet'!L20</f>
        <v>1851.8664093211084</v>
      </c>
      <c r="M34" s="2">
        <f>M12/'Output-Calculation-sheet'!M11*'Output-Calculation-sheet'!M20</f>
        <v>0</v>
      </c>
      <c r="N34" s="2">
        <f>N12/'Output-Calculation-sheet'!N11*'Output-Calculation-sheet'!N20</f>
        <v>1059.9511138443515</v>
      </c>
      <c r="O34" s="2">
        <f>O12/'Output-Calculation-sheet'!O11*'Output-Calculation-sheet'!O20</f>
        <v>0</v>
      </c>
      <c r="P34" s="2">
        <f>P12/'Output-Calculation-sheet'!P11*'Output-Calculation-sheet'!P20</f>
        <v>2251.4674985081842</v>
      </c>
      <c r="Q34" s="2">
        <f>Q12/'Output-Calculation-sheet'!Q11*'Output-Calculation-sheet'!Q20</f>
        <v>1605.1617230476459</v>
      </c>
      <c r="R34" s="2">
        <f>R12/'Output-Calculation-sheet'!R11*'Output-Calculation-sheet'!R20</f>
        <v>1953.3745133377649</v>
      </c>
      <c r="S34" s="2">
        <f>S12/'Output-Calculation-sheet'!S11*'Output-Calculation-sheet'!S20</f>
        <v>699.46110365697507</v>
      </c>
      <c r="T34" s="2">
        <f>T12/'Output-Calculation-sheet'!T11*'Output-Calculation-sheet'!T20</f>
        <v>565.41753174496421</v>
      </c>
      <c r="U34" s="2">
        <f>U12/'Output-Calculation-sheet'!U11*'Output-Calculation-sheet'!U20</f>
        <v>517.69568606191024</v>
      </c>
      <c r="V34" s="2">
        <f>V12/'Output-Calculation-sheet'!V11*'Output-Calculation-sheet'!V20</f>
        <v>511.04966980445153</v>
      </c>
      <c r="W34" s="2">
        <f>W12/'Output-Calculation-sheet'!W11*'Output-Calculation-sheet'!W20</f>
        <v>301.86856782498006</v>
      </c>
      <c r="X34" s="2">
        <f>X12/'Output-Calculation-sheet'!X11*'Output-Calculation-sheet'!X20</f>
        <v>87.288128097743353</v>
      </c>
      <c r="Y34" s="2">
        <f>Y12/'Output-Calculation-sheet'!Y11*'Output-Calculation-sheet'!Y20</f>
        <v>162.77858328016242</v>
      </c>
      <c r="AA34" s="2">
        <f t="shared" si="1"/>
        <v>51.553158467711597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0.18729697270399467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0.18729697270399467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0.85821846329042006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0.16672875938570292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1.0249472226761229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1.4140126852565107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0.27470462458308198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6.7703518990093334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30266.55012466243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6601.7506131784767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4506.0161624099592</v>
      </c>
      <c r="N52" s="2">
        <f>N8/'Output-Calculation-sheet'!N7*'Output-Calculation-sheet'!N43</f>
        <v>144.02246635922018</v>
      </c>
      <c r="O52" s="2">
        <f>O8/'Output-Calculation-sheet'!O7*'Output-Calculation-sheet'!O43</f>
        <v>6131.9754407960618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582.73623399656299</v>
      </c>
      <c r="Y52" s="2">
        <f>Y8/'Output-Calculation-sheet'!Y7*'Output-Calculation-sheet'!Y43</f>
        <v>0</v>
      </c>
      <c r="AA52" s="2">
        <f t="shared" si="3"/>
        <v>48.233051041402717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51089.482507218578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11938.296406868652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8177.2060376790305</v>
      </c>
      <c r="N53" s="2">
        <f>N9/'Output-Calculation-sheet'!N8*'Output-Calculation-sheet'!N44</f>
        <v>2894.0146322934856</v>
      </c>
      <c r="O53" s="2">
        <f>O9/'Output-Calculation-sheet'!O8*'Output-Calculation-sheet'!O44</f>
        <v>10131.730995341792</v>
      </c>
      <c r="P53" s="2">
        <f>P9/'Output-Calculation-sheet'!P8*'Output-Calculation-sheet'!P44</f>
        <v>136.23174850551959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908.72124044649627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1022.5657142497196</v>
      </c>
      <c r="Y53" s="2">
        <f>Y9/'Output-Calculation-sheet'!Y8*'Output-Calculation-sheet'!Y44</f>
        <v>0</v>
      </c>
      <c r="AA53" s="2">
        <f t="shared" si="3"/>
        <v>86.29824928260328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59536.856507890348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10876.368064038988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408.49736145129975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135.7060544750691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54052.706723028212</v>
      </c>
      <c r="D55" s="2">
        <f>D11/'Output-Calculation-sheet'!D10*'Output-Calculation-sheet'!D46</f>
        <v>5334.9960602706515</v>
      </c>
      <c r="E55" s="2">
        <f>E11/'Output-Calculation-sheet'!E10*'Output-Calculation-sheet'!E46</f>
        <v>6518.8444841840992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17774.644463895092</v>
      </c>
      <c r="I55" s="2">
        <f>I11/'Output-Calculation-sheet'!I10*'Output-Calculation-sheet'!I46</f>
        <v>1290.9965932427092</v>
      </c>
      <c r="J55" s="2">
        <f>J11/'Output-Calculation-sheet'!J10*'Output-Calculation-sheet'!J46</f>
        <v>936.95269880295393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12182.856298746208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9989.1002333714987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3652.5712875970457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4563.8698616205083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1051.4827826195374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1271.7640986667861</v>
      </c>
      <c r="Y55" s="2">
        <f>Y11/'Output-Calculation-sheet'!Y10*'Output-Calculation-sheet'!Y46</f>
        <v>322.43425752129275</v>
      </c>
      <c r="AA55" s="2">
        <f t="shared" si="3"/>
        <v>199.24029378698526</v>
      </c>
    </row>
    <row r="56" spans="1:27" x14ac:dyDescent="0.25">
      <c r="A56" s="2">
        <v>2035</v>
      </c>
      <c r="B56" s="2">
        <f>B12/'Output-Calculation-sheet'!B11*'Output-Calculation-sheet'!B47</f>
        <v>71998.245709406969</v>
      </c>
      <c r="C56" s="2">
        <f>C12/'Output-Calculation-sheet'!C11*'Output-Calculation-sheet'!C47</f>
        <v>45211.19506807001</v>
      </c>
      <c r="D56" s="2">
        <f>D12/'Output-Calculation-sheet'!D11*'Output-Calculation-sheet'!D47</f>
        <v>12525.76961398972</v>
      </c>
      <c r="E56" s="2">
        <f>E12/'Output-Calculation-sheet'!E11*'Output-Calculation-sheet'!E47</f>
        <v>18555.809083621392</v>
      </c>
      <c r="F56" s="2">
        <f>F12/'Output-Calculation-sheet'!F11*'Output-Calculation-sheet'!F47</f>
        <v>2691.0411399237573</v>
      </c>
      <c r="G56" s="2">
        <f>G12/'Output-Calculation-sheet'!G11*'Output-Calculation-sheet'!G47</f>
        <v>4335.6043430778036</v>
      </c>
      <c r="H56" s="2">
        <f>H12/'Output-Calculation-sheet'!H11*'Output-Calculation-sheet'!H47</f>
        <v>15272.882198503959</v>
      </c>
      <c r="I56" s="2">
        <f>I12/'Output-Calculation-sheet'!I11*'Output-Calculation-sheet'!I47</f>
        <v>4254.1279116023588</v>
      </c>
      <c r="J56" s="2">
        <f>J12/'Output-Calculation-sheet'!J11*'Output-Calculation-sheet'!J47</f>
        <v>3403.2368598300177</v>
      </c>
      <c r="K56" s="2">
        <f>K12/'Output-Calculation-sheet'!K11*'Output-Calculation-sheet'!K47</f>
        <v>4564.4090959630348</v>
      </c>
      <c r="L56" s="2">
        <f>L12/'Output-Calculation-sheet'!L11*'Output-Calculation-sheet'!L47</f>
        <v>3823.3367666242225</v>
      </c>
      <c r="M56" s="2">
        <f>M12/'Output-Calculation-sheet'!M11*'Output-Calculation-sheet'!M47</f>
        <v>10574.920223976436</v>
      </c>
      <c r="N56" s="2">
        <f>N12/'Output-Calculation-sheet'!N11*'Output-Calculation-sheet'!N47</f>
        <v>8857.0267016325415</v>
      </c>
      <c r="O56" s="2">
        <f>O12/'Output-Calculation-sheet'!O11*'Output-Calculation-sheet'!O47</f>
        <v>8277.2840828323388</v>
      </c>
      <c r="P56" s="2">
        <f>P12/'Output-Calculation-sheet'!P11*'Output-Calculation-sheet'!P47</f>
        <v>4735.235889150089</v>
      </c>
      <c r="Q56" s="2">
        <f>Q12/'Output-Calculation-sheet'!Q11*'Output-Calculation-sheet'!Q47</f>
        <v>4785.0104219168288</v>
      </c>
      <c r="R56" s="2">
        <f>R12/'Output-Calculation-sheet'!R11*'Output-Calculation-sheet'!R47</f>
        <v>3735.6066396069314</v>
      </c>
      <c r="S56" s="2">
        <f>S12/'Output-Calculation-sheet'!S11*'Output-Calculation-sheet'!S47</f>
        <v>4677.4814567148624</v>
      </c>
      <c r="T56" s="2">
        <f>T12/'Output-Calculation-sheet'!T11*'Output-Calculation-sheet'!T47</f>
        <v>1411.0951642244918</v>
      </c>
      <c r="U56" s="2">
        <f>U12/'Output-Calculation-sheet'!U11*'Output-Calculation-sheet'!U47</f>
        <v>1472.5720175775912</v>
      </c>
      <c r="V56" s="2">
        <f>V12/'Output-Calculation-sheet'!V11*'Output-Calculation-sheet'!V47</f>
        <v>765.3402196615142</v>
      </c>
      <c r="W56" s="2">
        <f>W12/'Output-Calculation-sheet'!W11*'Output-Calculation-sheet'!W47</f>
        <v>409.68582823262318</v>
      </c>
      <c r="X56" s="2">
        <f>X12/'Output-Calculation-sheet'!X11*'Output-Calculation-sheet'!X47</f>
        <v>1063.540342349919</v>
      </c>
      <c r="Y56" s="2">
        <f>Y12/'Output-Calculation-sheet'!Y11*'Output-Calculation-sheet'!Y47</f>
        <v>593.82864346788801</v>
      </c>
      <c r="AA56" s="2">
        <f t="shared" si="3"/>
        <v>237.99428542195727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7.0434593397931495</v>
      </c>
      <c r="C63" s="2">
        <f>C8*'Output-Calculation-sheet'!C52/10^9</f>
        <v>4.4418880320760437</v>
      </c>
      <c r="D63" s="2">
        <f>D8*'Output-Calculation-sheet'!D52/10^9</f>
        <v>2.415336801846157</v>
      </c>
      <c r="E63" s="2">
        <f>E8*'Output-Calculation-sheet'!E52/10^9</f>
        <v>2.401504736969875</v>
      </c>
      <c r="F63" s="2">
        <f>F8*'Output-Calculation-sheet'!F52/10^9</f>
        <v>1.0170378673383145</v>
      </c>
      <c r="G63" s="2">
        <f>G8*'Output-Calculation-sheet'!G52/10^9</f>
        <v>0.73120339352671038</v>
      </c>
      <c r="H63" s="2">
        <f>H8*'Output-Calculation-sheet'!H52/10^9</f>
        <v>1.2772279354975797</v>
      </c>
      <c r="I63" s="2">
        <f>I8*'Output-Calculation-sheet'!I52/10^9</f>
        <v>0.68018900675028371</v>
      </c>
      <c r="J63" s="2">
        <f>J8*'Output-Calculation-sheet'!J52/10^9</f>
        <v>0.93598709198111474</v>
      </c>
      <c r="K63" s="2">
        <f>K8*'Output-Calculation-sheet'!K52/10^9</f>
        <v>0.82234577985786461</v>
      </c>
      <c r="L63" s="2">
        <f>L8*'Output-Calculation-sheet'!L52/10^9</f>
        <v>1.1060930821654555</v>
      </c>
      <c r="M63" s="2">
        <f>M8*'Output-Calculation-sheet'!M52/10^9</f>
        <v>1.0367100879838791</v>
      </c>
      <c r="N63" s="2">
        <f>N8*'Output-Calculation-sheet'!N52/10^9</f>
        <v>0.865236573883303</v>
      </c>
      <c r="O63" s="2">
        <f>O8*'Output-Calculation-sheet'!O52/10^9</f>
        <v>0.92265112262845139</v>
      </c>
      <c r="P63" s="2">
        <f>P8*'Output-Calculation-sheet'!P52/10^9</f>
        <v>0.56821979513303378</v>
      </c>
      <c r="Q63" s="2">
        <f>Q8*'Output-Calculation-sheet'!Q52/10^9</f>
        <v>0.64305478649953385</v>
      </c>
      <c r="R63" s="2">
        <f>R8*'Output-Calculation-sheet'!R52/10^9</f>
        <v>0.57733619779139533</v>
      </c>
      <c r="S63" s="2">
        <f>S8*'Output-Calculation-sheet'!S52/10^9</f>
        <v>0.42782912544561991</v>
      </c>
      <c r="T63" s="2">
        <f>T8*'Output-Calculation-sheet'!T52/10^9</f>
        <v>0.21949587109219179</v>
      </c>
      <c r="U63" s="2">
        <f>U8*'Output-Calculation-sheet'!U52/10^9</f>
        <v>0.15074732370112218</v>
      </c>
      <c r="V63" s="2">
        <f>V8*'Output-Calculation-sheet'!V52/10^9</f>
        <v>0.26754107994747994</v>
      </c>
      <c r="W63" s="2">
        <f>W8*'Output-Calculation-sheet'!W52/10^9</f>
        <v>9.6837523625381033E-2</v>
      </c>
      <c r="X63" s="2">
        <f>X8*'Output-Calculation-sheet'!X52/10^9</f>
        <v>0.111457755619379</v>
      </c>
      <c r="Y63" s="2">
        <f>Y8*'Output-Calculation-sheet'!Y52/10^9</f>
        <v>6.3183729351047171E-2</v>
      </c>
      <c r="AA63" s="2">
        <f t="shared" si="4"/>
        <v>28.82257404050436</v>
      </c>
    </row>
    <row r="64" spans="1:27" x14ac:dyDescent="0.25">
      <c r="A64" s="2">
        <v>2032</v>
      </c>
      <c r="B64" s="2">
        <f>B9*'Output-Calculation-sheet'!B53/10^9</f>
        <v>6.8814942798198881</v>
      </c>
      <c r="C64" s="2">
        <f>C9*'Output-Calculation-sheet'!C53/10^9</f>
        <v>4.6459354577658232</v>
      </c>
      <c r="D64" s="2">
        <f>D9*'Output-Calculation-sheet'!D53/10^9</f>
        <v>2.0365078659871187</v>
      </c>
      <c r="E64" s="2">
        <f>E9*'Output-Calculation-sheet'!E53/10^9</f>
        <v>2.0854833445977206</v>
      </c>
      <c r="F64" s="2">
        <f>F9*'Output-Calculation-sheet'!F53/10^9</f>
        <v>0.87964453619250793</v>
      </c>
      <c r="G64" s="2">
        <f>G9*'Output-Calculation-sheet'!G53/10^9</f>
        <v>0.62610340646984097</v>
      </c>
      <c r="H64" s="2">
        <f>H9*'Output-Calculation-sheet'!H53/10^9</f>
        <v>1.2865516278717122</v>
      </c>
      <c r="I64" s="2">
        <f>I9*'Output-Calculation-sheet'!I53/10^9</f>
        <v>0.58530445432093159</v>
      </c>
      <c r="J64" s="2">
        <f>J9*'Output-Calculation-sheet'!J53/10^9</f>
        <v>0.77482492917906876</v>
      </c>
      <c r="K64" s="2">
        <f>K9*'Output-Calculation-sheet'!K53/10^9</f>
        <v>0.71893027007313703</v>
      </c>
      <c r="L64" s="2">
        <f>L9*'Output-Calculation-sheet'!L53/10^9</f>
        <v>0.9248978370390406</v>
      </c>
      <c r="M64" s="2">
        <f>M9*'Output-Calculation-sheet'!M53/10^9</f>
        <v>1.0082919092521718</v>
      </c>
      <c r="N64" s="2">
        <f>N9*'Output-Calculation-sheet'!N53/10^9</f>
        <v>0.84879787537775819</v>
      </c>
      <c r="O64" s="2">
        <f>O9*'Output-Calculation-sheet'!O53/10^9</f>
        <v>0.96089743681895767</v>
      </c>
      <c r="P64" s="2">
        <f>P9*'Output-Calculation-sheet'!P53/10^9</f>
        <v>0.54812625999249787</v>
      </c>
      <c r="Q64" s="2">
        <f>Q9*'Output-Calculation-sheet'!Q53/10^9</f>
        <v>0.60577150177929218</v>
      </c>
      <c r="R64" s="2">
        <f>R9*'Output-Calculation-sheet'!R53/10^9</f>
        <v>0.51928852341648779</v>
      </c>
      <c r="S64" s="2">
        <f>S9*'Output-Calculation-sheet'!S53/10^9</f>
        <v>0.42904769119045016</v>
      </c>
      <c r="T64" s="2">
        <f>T9*'Output-Calculation-sheet'!T53/10^9</f>
        <v>0.18667070780220404</v>
      </c>
      <c r="U64" s="2">
        <f>U9*'Output-Calculation-sheet'!U53/10^9</f>
        <v>0.14050308229867614</v>
      </c>
      <c r="V64" s="2">
        <f>V9*'Output-Calculation-sheet'!V53/10^9</f>
        <v>0.22156558405724056</v>
      </c>
      <c r="W64" s="2">
        <f>W9*'Output-Calculation-sheet'!W53/10^9</f>
        <v>8.2329777480545999E-2</v>
      </c>
      <c r="X64" s="2">
        <f>X9*'Output-Calculation-sheet'!X53/10^9</f>
        <v>0.11174925376746947</v>
      </c>
      <c r="Y64" s="2">
        <f>Y9*'Output-Calculation-sheet'!Y53/10^9</f>
        <v>5.7682919404544147E-2</v>
      </c>
      <c r="AA64" s="2">
        <f t="shared" si="4"/>
        <v>27.166400531955087</v>
      </c>
    </row>
    <row r="65" spans="1:27" x14ac:dyDescent="0.25">
      <c r="A65" s="2">
        <v>2033</v>
      </c>
      <c r="B65" s="2">
        <f>B10*'Output-Calculation-sheet'!B54/10^9</f>
        <v>6.538337758555075</v>
      </c>
      <c r="C65" s="2">
        <f>C10*'Output-Calculation-sheet'!C54/10^9</f>
        <v>4.6452714396773569</v>
      </c>
      <c r="D65" s="2">
        <f>D10*'Output-Calculation-sheet'!D54/10^9</f>
        <v>1.544680643645356</v>
      </c>
      <c r="E65" s="2">
        <f>E10*'Output-Calculation-sheet'!E54/10^9</f>
        <v>1.7392927405292016</v>
      </c>
      <c r="F65" s="2">
        <f>F10*'Output-Calculation-sheet'!F54/10^9</f>
        <v>0.70612308810800639</v>
      </c>
      <c r="G65" s="2">
        <f>G10*'Output-Calculation-sheet'!G54/10^9</f>
        <v>0.4848173721447992</v>
      </c>
      <c r="H65" s="2">
        <f>H10*'Output-Calculation-sheet'!H54/10^9</f>
        <v>1.1981238995748025</v>
      </c>
      <c r="I65" s="2">
        <f>I10*'Output-Calculation-sheet'!I54/10^9</f>
        <v>0.47207971512146629</v>
      </c>
      <c r="J65" s="2">
        <f>J10*'Output-Calculation-sheet'!J54/10^9</f>
        <v>0.56424055107901461</v>
      </c>
      <c r="K65" s="2">
        <f>K10*'Output-Calculation-sheet'!K54/10^9</f>
        <v>0.60196992552171913</v>
      </c>
      <c r="L65" s="2">
        <f>L10*'Output-Calculation-sheet'!L54/10^9</f>
        <v>0.71105308376160725</v>
      </c>
      <c r="M65" s="2">
        <f>M10*'Output-Calculation-sheet'!M54/10^9</f>
        <v>0.90467057173199716</v>
      </c>
      <c r="N65" s="2">
        <f>N10*'Output-Calculation-sheet'!N54/10^9</f>
        <v>0.78120684535666518</v>
      </c>
      <c r="O65" s="2">
        <f>O10*'Output-Calculation-sheet'!O54/10^9</f>
        <v>0.95799190842433657</v>
      </c>
      <c r="P65" s="2">
        <f>P10*'Output-Calculation-sheet'!P54/10^9</f>
        <v>0.50934529152913366</v>
      </c>
      <c r="Q65" s="2">
        <f>Q10*'Output-Calculation-sheet'!Q54/10^9</f>
        <v>0.55579404561554147</v>
      </c>
      <c r="R65" s="2">
        <f>R10*'Output-Calculation-sheet'!R54/10^9</f>
        <v>0.44841341926582673</v>
      </c>
      <c r="S65" s="2">
        <f>S10*'Output-Calculation-sheet'!S54/10^9</f>
        <v>0.40731227516168905</v>
      </c>
      <c r="T65" s="2">
        <f>T10*'Output-Calculation-sheet'!T54/10^9</f>
        <v>0.14992462369493473</v>
      </c>
      <c r="U65" s="2">
        <f>U10*'Output-Calculation-sheet'!U54/10^9</f>
        <v>0.12946080055645867</v>
      </c>
      <c r="V65" s="2">
        <f>V10*'Output-Calculation-sheet'!V54/10^9</f>
        <v>0.16591422653689039</v>
      </c>
      <c r="W65" s="2">
        <f>W10*'Output-Calculation-sheet'!W54/10^9</f>
        <v>6.3169786355754959E-2</v>
      </c>
      <c r="X65" s="2">
        <f>X10*'Output-Calculation-sheet'!X54/10^9</f>
        <v>0.10404535747013355</v>
      </c>
      <c r="Y65" s="2">
        <f>Y10*'Output-Calculation-sheet'!Y54/10^9</f>
        <v>5.1992120128856324E-2</v>
      </c>
      <c r="AA65" s="2">
        <f t="shared" si="4"/>
        <v>24.435231489546624</v>
      </c>
    </row>
    <row r="66" spans="1:27" x14ac:dyDescent="0.25">
      <c r="A66" s="2">
        <v>2034</v>
      </c>
      <c r="B66" s="2">
        <f>B11*'Output-Calculation-sheet'!B55/10^9</f>
        <v>5.9705210665805302</v>
      </c>
      <c r="C66" s="2">
        <f>C11*'Output-Calculation-sheet'!C55/10^9</f>
        <v>4.5281721893554057</v>
      </c>
      <c r="D66" s="2">
        <f>D11*'Output-Calculation-sheet'!D55/10^9</f>
        <v>1.2489480665020132</v>
      </c>
      <c r="E66" s="2">
        <f>E11*'Output-Calculation-sheet'!E55/10^9</f>
        <v>1.5122572006638491</v>
      </c>
      <c r="F66" s="2">
        <f>F11*'Output-Calculation-sheet'!F55/10^9</f>
        <v>0.58118577011667172</v>
      </c>
      <c r="G66" s="2">
        <f>G11*'Output-Calculation-sheet'!G55/10^9</f>
        <v>0.41543303567637102</v>
      </c>
      <c r="H66" s="2">
        <f>H11*'Output-Calculation-sheet'!H55/10^9</f>
        <v>1.0668117452899961</v>
      </c>
      <c r="I66" s="2">
        <f>I11*'Output-Calculation-sheet'!I55/10^9</f>
        <v>0.4062677440894521</v>
      </c>
      <c r="J66" s="2">
        <f>J11*'Output-Calculation-sheet'!J55/10^9</f>
        <v>0.41777014045401772</v>
      </c>
      <c r="K66" s="2">
        <f>K11*'Output-Calculation-sheet'!K55/10^9</f>
        <v>0.49964733276949846</v>
      </c>
      <c r="L66" s="2">
        <f>L11*'Output-Calculation-sheet'!L55/10^9</f>
        <v>0.52914964710171031</v>
      </c>
      <c r="M66" s="2">
        <f>M11*'Output-Calculation-sheet'!M55/10^9</f>
        <v>0.7694293811237346</v>
      </c>
      <c r="N66" s="2">
        <f>N11*'Output-Calculation-sheet'!N55/10^9</f>
        <v>0.67227673017512324</v>
      </c>
      <c r="O66" s="2">
        <f>O11*'Output-Calculation-sheet'!O55/10^9</f>
        <v>0.90160495190065937</v>
      </c>
      <c r="P66" s="2">
        <f>P11*'Output-Calculation-sheet'!P55/10^9</f>
        <v>0.46212327106579804</v>
      </c>
      <c r="Q66" s="2">
        <f>Q11*'Output-Calculation-sheet'!Q55/10^9</f>
        <v>0.50449980160162888</v>
      </c>
      <c r="R66" s="2">
        <f>R11*'Output-Calculation-sheet'!R55/10^9</f>
        <v>0.37429625944495026</v>
      </c>
      <c r="S66" s="2">
        <f>S11*'Output-Calculation-sheet'!S55/10^9</f>
        <v>0.36828787847297184</v>
      </c>
      <c r="T66" s="2">
        <f>T11*'Output-Calculation-sheet'!T55/10^9</f>
        <v>0.11732659695221687</v>
      </c>
      <c r="U66" s="2">
        <f>U11*'Output-Calculation-sheet'!U55/10^9</f>
        <v>0.11979112843568682</v>
      </c>
      <c r="V66" s="2">
        <f>V11*'Output-Calculation-sheet'!V55/10^9</f>
        <v>0.11130441213184204</v>
      </c>
      <c r="W66" s="2">
        <f>W11*'Output-Calculation-sheet'!W55/10^9</f>
        <v>5.0394430085355622E-2</v>
      </c>
      <c r="X66" s="2">
        <f>X11*'Output-Calculation-sheet'!X55/10^9</f>
        <v>9.5638903729642788E-2</v>
      </c>
      <c r="Y66" s="2">
        <f>Y11*'Output-Calculation-sheet'!Y55/10^9</f>
        <v>4.9452076681870759E-2</v>
      </c>
      <c r="AA66" s="2">
        <f t="shared" si="4"/>
        <v>21.772589760401001</v>
      </c>
    </row>
    <row r="67" spans="1:27" x14ac:dyDescent="0.25">
      <c r="A67" s="2">
        <v>2035</v>
      </c>
      <c r="B67" s="2">
        <f>B12*'Output-Calculation-sheet'!B56/10^9</f>
        <v>5.6039416366376802</v>
      </c>
      <c r="C67" s="2">
        <f>C12*'Output-Calculation-sheet'!C56/10^9</f>
        <v>4.0617495462244912</v>
      </c>
      <c r="D67" s="2">
        <f>D12*'Output-Calculation-sheet'!D56/10^9</f>
        <v>1.2711067149983868</v>
      </c>
      <c r="E67" s="2">
        <f>E12*'Output-Calculation-sheet'!E56/10^9</f>
        <v>1.5130388166333464</v>
      </c>
      <c r="F67" s="2">
        <f>F12*'Output-Calculation-sheet'!F56/10^9</f>
        <v>0.61924226101004431</v>
      </c>
      <c r="G67" s="2">
        <f>G12*'Output-Calculation-sheet'!G56/10^9</f>
        <v>0.43526423654163099</v>
      </c>
      <c r="H67" s="2">
        <f>H12*'Output-Calculation-sheet'!H56/10^9</f>
        <v>0.9938051734878236</v>
      </c>
      <c r="I67" s="2">
        <f>I12*'Output-Calculation-sheet'!I56/10^9</f>
        <v>0.43588256090245142</v>
      </c>
      <c r="J67" s="2">
        <f>J12*'Output-Calculation-sheet'!J56/10^9</f>
        <v>0.39434312598074073</v>
      </c>
      <c r="K67" s="2">
        <f>K12*'Output-Calculation-sheet'!K56/10^9</f>
        <v>0.48941367879872533</v>
      </c>
      <c r="L67" s="2">
        <f>L12*'Output-Calculation-sheet'!L56/10^9</f>
        <v>0.45608065385489593</v>
      </c>
      <c r="M67" s="2">
        <f>M12*'Output-Calculation-sheet'!M56/10^9</f>
        <v>0.70095524224116579</v>
      </c>
      <c r="N67" s="2">
        <f>N12*'Output-Calculation-sheet'!N56/10^9</f>
        <v>0.59596517067155741</v>
      </c>
      <c r="O67" s="2">
        <f>O12*'Output-Calculation-sheet'!O56/10^9</f>
        <v>0.7846039094586057</v>
      </c>
      <c r="P67" s="2">
        <f>P12*'Output-Calculation-sheet'!P56/10^9</f>
        <v>0.46012630991536901</v>
      </c>
      <c r="Q67" s="2">
        <f>Q12*'Output-Calculation-sheet'!Q56/10^9</f>
        <v>0.46475664782014342</v>
      </c>
      <c r="R67" s="2">
        <f>R12*'Output-Calculation-sheet'!R56/10^9</f>
        <v>0.35488179777012574</v>
      </c>
      <c r="S67" s="2">
        <f>S12*'Output-Calculation-sheet'!S56/10^9</f>
        <v>0.33936995990473923</v>
      </c>
      <c r="T67" s="2">
        <f>T12*'Output-Calculation-sheet'!T56/10^9</f>
        <v>0.10794038465777019</v>
      </c>
      <c r="U67" s="2">
        <f>U12*'Output-Calculation-sheet'!U56/10^9</f>
        <v>0.12277191771933586</v>
      </c>
      <c r="V67" s="2">
        <f>V12*'Output-Calculation-sheet'!V56/10^9</f>
        <v>8.2754791125022348E-2</v>
      </c>
      <c r="W67" s="2">
        <f>W12*'Output-Calculation-sheet'!W56/10^9</f>
        <v>5.3595795684512643E-2</v>
      </c>
      <c r="X67" s="2">
        <f>X12*'Output-Calculation-sheet'!X56/10^9</f>
        <v>8.7781885818701055E-2</v>
      </c>
      <c r="Y67" s="2">
        <f>Y12*'Output-Calculation-sheet'!Y56/10^9</f>
        <v>5.0365666919462385E-2</v>
      </c>
      <c r="AA67" s="2">
        <f t="shared" si="4"/>
        <v>20.479737884776728</v>
      </c>
    </row>
    <row r="68" spans="1:27" x14ac:dyDescent="0.25">
      <c r="B68" s="2">
        <f>SUM(B60:B67)</f>
        <v>49.671811280616048</v>
      </c>
      <c r="C68" s="2">
        <f t="shared" ref="C68:Y68" si="5">SUM(C60:C67)</f>
        <v>31.638434388616165</v>
      </c>
      <c r="D68" s="2">
        <f t="shared" si="5"/>
        <v>15.443641473498731</v>
      </c>
      <c r="E68" s="2">
        <f t="shared" si="5"/>
        <v>16.080427806475786</v>
      </c>
      <c r="F68" s="2">
        <f t="shared" si="5"/>
        <v>6.6327747244401829</v>
      </c>
      <c r="G68" s="2">
        <f t="shared" si="5"/>
        <v>4.7520654276503258</v>
      </c>
      <c r="H68" s="2">
        <f t="shared" si="5"/>
        <v>8.727246560531869</v>
      </c>
      <c r="I68" s="2">
        <f t="shared" si="5"/>
        <v>4.4839264266129542</v>
      </c>
      <c r="J68" s="2">
        <f t="shared" si="5"/>
        <v>5.8281741199188941</v>
      </c>
      <c r="K68" s="2">
        <f t="shared" si="5"/>
        <v>5.4395554721982595</v>
      </c>
      <c r="L68" s="2">
        <f t="shared" si="5"/>
        <v>6.9783596859921326</v>
      </c>
      <c r="M68" s="2">
        <f t="shared" si="5"/>
        <v>6.9117589887652784</v>
      </c>
      <c r="N68" s="2">
        <f t="shared" si="5"/>
        <v>5.9264501190280887</v>
      </c>
      <c r="O68" s="2">
        <f t="shared" si="5"/>
        <v>6.4746092780155351</v>
      </c>
      <c r="P68" s="2">
        <f t="shared" si="5"/>
        <v>4.0121529181786677</v>
      </c>
      <c r="Q68" s="2">
        <f t="shared" si="5"/>
        <v>4.4453483427037392</v>
      </c>
      <c r="R68" s="2">
        <f t="shared" si="5"/>
        <v>3.8778899864391652</v>
      </c>
      <c r="S68" s="2">
        <f t="shared" si="5"/>
        <v>3.0196238428661073</v>
      </c>
      <c r="T68" s="2">
        <f t="shared" si="5"/>
        <v>1.4093166011010574</v>
      </c>
      <c r="U68" s="2">
        <f t="shared" si="5"/>
        <v>1.0737824094993587</v>
      </c>
      <c r="V68" s="2">
        <f t="shared" si="5"/>
        <v>1.6439651482413498</v>
      </c>
      <c r="W68" s="2">
        <f t="shared" si="5"/>
        <v>0.62136752104746695</v>
      </c>
      <c r="X68" s="2">
        <f t="shared" si="5"/>
        <v>0.76424852901408291</v>
      </c>
      <c r="Y68" s="2">
        <f t="shared" si="5"/>
        <v>0.44602236614974056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5839.8876086248656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1409.5802357622044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944.55990019103399</v>
      </c>
      <c r="N74" s="2">
        <f>N8/'Output-Calculation-sheet'!N7*'Output-Calculation-sheet'!N61</f>
        <v>39.588175440490645</v>
      </c>
      <c r="O74" s="2">
        <f>O8/'Output-Calculation-sheet'!O7*'Output-Calculation-sheet'!O61</f>
        <v>1167.3265247349959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117.37513413864565</v>
      </c>
      <c r="Y74" s="2">
        <f>Y8/'Output-Calculation-sheet'!Y7*'Output-Calculation-sheet'!Y61</f>
        <v>0</v>
      </c>
      <c r="AA74" s="2">
        <f t="shared" si="6"/>
        <v>9.5183175788922352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9176.7158692038847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2274.1636963550068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1545.173105106106</v>
      </c>
      <c r="N75" s="2">
        <f>N9/'Output-Calculation-sheet'!N8*'Output-Calculation-sheet'!N62</f>
        <v>595.02415497091545</v>
      </c>
      <c r="O75" s="2">
        <f>O9/'Output-Calculation-sheet'!O8*'Output-Calculation-sheet'!O62</f>
        <v>1813.941081359563</v>
      </c>
      <c r="P75" s="2">
        <f>P9/'Output-Calculation-sheet'!P8*'Output-Calculation-sheet'!P62</f>
        <v>39.984018186369994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200.11943689321154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186.67688092473099</v>
      </c>
      <c r="Y75" s="2">
        <f>Y9/'Output-Calculation-sheet'!Y8*'Output-Calculation-sheet'!Y62</f>
        <v>0</v>
      </c>
      <c r="AA75" s="2">
        <f t="shared" si="6"/>
        <v>15.831798242999788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11099.479838197565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2988.2608389521283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2034.5586754671851</v>
      </c>
      <c r="N76" s="2">
        <f>N10/'Output-Calculation-sheet'!N9*'Output-Calculation-sheet'!N63</f>
        <v>1162.3601685789527</v>
      </c>
      <c r="O76" s="2">
        <f>O10/'Output-Calculation-sheet'!O9*'Output-Calculation-sheet'!O63</f>
        <v>2002.483940708858</v>
      </c>
      <c r="P76" s="2">
        <f>P10/'Output-Calculation-sheet'!P9*'Output-Calculation-sheet'!P63</f>
        <v>403.62464412873072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306.4027347919664</v>
      </c>
      <c r="S76" s="2">
        <f>S10/'Output-Calculation-sheet'!S9*'Output-Calculation-sheet'!S63</f>
        <v>516.31153262806674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108.70951469561818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239.60694462593941</v>
      </c>
      <c r="Y76" s="2">
        <f>Y10/'Output-Calculation-sheet'!Y9*'Output-Calculation-sheet'!Y63</f>
        <v>4.5456509469597863</v>
      </c>
      <c r="AA76" s="2">
        <f t="shared" si="6"/>
        <v>25.728833093739652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9968.4332980822528</v>
      </c>
      <c r="D77" s="2">
        <f>D11/'Output-Calculation-sheet'!D10*'Output-Calculation-sheet'!D64</f>
        <v>1233.9179012898483</v>
      </c>
      <c r="E77" s="2">
        <f>E11/'Output-Calculation-sheet'!E10*'Output-Calculation-sheet'!E64</f>
        <v>1501.0301909029436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643.483833377878</v>
      </c>
      <c r="H77" s="2">
        <f>H11/'Output-Calculation-sheet'!H10*'Output-Calculation-sheet'!H64</f>
        <v>3418.9424342208226</v>
      </c>
      <c r="I77" s="2">
        <f>I11/'Output-Calculation-sheet'!I10*'Output-Calculation-sheet'!I64</f>
        <v>381.29584381423416</v>
      </c>
      <c r="J77" s="2">
        <f>J11/'Output-Calculation-sheet'!J10*'Output-Calculation-sheet'!J64</f>
        <v>274.07995877938225</v>
      </c>
      <c r="K77" s="2">
        <f>K11/'Output-Calculation-sheet'!K10*'Output-Calculation-sheet'!K64</f>
        <v>573.75121178466077</v>
      </c>
      <c r="L77" s="2">
        <f>L11/'Output-Calculation-sheet'!L10*'Output-Calculation-sheet'!L64</f>
        <v>250.83579080817586</v>
      </c>
      <c r="M77" s="2">
        <f>M11/'Output-Calculation-sheet'!M10*'Output-Calculation-sheet'!M64</f>
        <v>2291.3656452775358</v>
      </c>
      <c r="N77" s="2">
        <f>N11/'Output-Calculation-sheet'!N10*'Output-Calculation-sheet'!N64</f>
        <v>1613.2491713207305</v>
      </c>
      <c r="O77" s="2">
        <f>O11/'Output-Calculation-sheet'!O10*'Output-Calculation-sheet'!O64</f>
        <v>1868.6345088099213</v>
      </c>
      <c r="P77" s="2">
        <f>P11/'Output-Calculation-sheet'!P10*'Output-Calculation-sheet'!P64</f>
        <v>712.05604836682551</v>
      </c>
      <c r="Q77" s="2">
        <f>Q11/'Output-Calculation-sheet'!Q10*'Output-Calculation-sheet'!Q64</f>
        <v>640.57312243008334</v>
      </c>
      <c r="R77" s="2">
        <f>R11/'Output-Calculation-sheet'!R10*'Output-Calculation-sheet'!R64</f>
        <v>609.33394505414492</v>
      </c>
      <c r="S77" s="2">
        <f>S11/'Output-Calculation-sheet'!S10*'Output-Calculation-sheet'!S64</f>
        <v>811.25481989041702</v>
      </c>
      <c r="T77" s="2">
        <f>T11/'Output-Calculation-sheet'!T10*'Output-Calculation-sheet'!T64</f>
        <v>168.88645009359067</v>
      </c>
      <c r="U77" s="2">
        <f>U11/'Output-Calculation-sheet'!U10*'Output-Calculation-sheet'!U64</f>
        <v>231.09400972846973</v>
      </c>
      <c r="V77" s="2">
        <f>V11/'Output-Calculation-sheet'!V10*'Output-Calculation-sheet'!V64</f>
        <v>88.808376848670335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236.30496525475303</v>
      </c>
      <c r="Y77" s="2">
        <f>Y11/'Output-Calculation-sheet'!Y10*'Output-Calculation-sheet'!Y64</f>
        <v>55.781126551183647</v>
      </c>
      <c r="AA77" s="2">
        <f t="shared" si="6"/>
        <v>37.573398856246826</v>
      </c>
    </row>
    <row r="78" spans="1:27" x14ac:dyDescent="0.25">
      <c r="A78" s="2">
        <v>2035</v>
      </c>
      <c r="B78" s="2">
        <f>B12/'Output-Calculation-sheet'!B11*'Output-Calculation-sheet'!B65</f>
        <v>11985.29054664961</v>
      </c>
      <c r="C78" s="2">
        <f>C12/'Output-Calculation-sheet'!C11*'Output-Calculation-sheet'!C65</f>
        <v>8445.8109436968152</v>
      </c>
      <c r="D78" s="2">
        <f>D12/'Output-Calculation-sheet'!D11*'Output-Calculation-sheet'!D65</f>
        <v>2752.9224357764247</v>
      </c>
      <c r="E78" s="2">
        <f>E12/'Output-Calculation-sheet'!E11*'Output-Calculation-sheet'!E65</f>
        <v>2753.6820680094147</v>
      </c>
      <c r="F78" s="2">
        <f>F12/'Output-Calculation-sheet'!F11*'Output-Calculation-sheet'!F65</f>
        <v>639.25956874923543</v>
      </c>
      <c r="G78" s="2">
        <f>G12/'Output-Calculation-sheet'!G11*'Output-Calculation-sheet'!G65</f>
        <v>952.88700543862706</v>
      </c>
      <c r="H78" s="2">
        <f>H12/'Output-Calculation-sheet'!H11*'Output-Calculation-sheet'!H65</f>
        <v>3053.8509777963627</v>
      </c>
      <c r="I78" s="2">
        <f>I12/'Output-Calculation-sheet'!I11*'Output-Calculation-sheet'!I65</f>
        <v>845.91560968916406</v>
      </c>
      <c r="J78" s="2">
        <f>J12/'Output-Calculation-sheet'!J11*'Output-Calculation-sheet'!J65</f>
        <v>752.55390747344302</v>
      </c>
      <c r="K78" s="2">
        <f>K12/'Output-Calculation-sheet'!K11*'Output-Calculation-sheet'!K65</f>
        <v>1003.1595594036011</v>
      </c>
      <c r="L78" s="2">
        <f>L12/'Output-Calculation-sheet'!L11*'Output-Calculation-sheet'!L65</f>
        <v>660.78618516210884</v>
      </c>
      <c r="M78" s="2">
        <f>M12/'Output-Calculation-sheet'!M11*'Output-Calculation-sheet'!M65</f>
        <v>2132.6658368716503</v>
      </c>
      <c r="N78" s="2">
        <f>N12/'Output-Calculation-sheet'!N11*'Output-Calculation-sheet'!N65</f>
        <v>1522.8792368575216</v>
      </c>
      <c r="O78" s="2">
        <f>O12/'Output-Calculation-sheet'!O11*'Output-Calculation-sheet'!O65</f>
        <v>1543.2014223892495</v>
      </c>
      <c r="P78" s="2">
        <f>P12/'Output-Calculation-sheet'!P11*'Output-Calculation-sheet'!P65</f>
        <v>843.38487276048784</v>
      </c>
      <c r="Q78" s="2">
        <f>Q12/'Output-Calculation-sheet'!Q11*'Output-Calculation-sheet'!Q65</f>
        <v>817.64855391624201</v>
      </c>
      <c r="R78" s="2">
        <f>R12/'Output-Calculation-sheet'!R11*'Output-Calculation-sheet'!R65</f>
        <v>741.74788774008971</v>
      </c>
      <c r="S78" s="2">
        <f>S12/'Output-Calculation-sheet'!S11*'Output-Calculation-sheet'!S65</f>
        <v>829.77188848035894</v>
      </c>
      <c r="T78" s="2">
        <f>T12/'Output-Calculation-sheet'!T11*'Output-Calculation-sheet'!T65</f>
        <v>258.49188268645298</v>
      </c>
      <c r="U78" s="2">
        <f>U12/'Output-Calculation-sheet'!U11*'Output-Calculation-sheet'!U65</f>
        <v>236.35502731148563</v>
      </c>
      <c r="V78" s="2">
        <f>V12/'Output-Calculation-sheet'!V11*'Output-Calculation-sheet'!V65</f>
        <v>135.28153722736926</v>
      </c>
      <c r="W78" s="2">
        <f>W12/'Output-Calculation-sheet'!W11*'Output-Calculation-sheet'!W65</f>
        <v>90.041715295620591</v>
      </c>
      <c r="X78" s="2">
        <f>X12/'Output-Calculation-sheet'!X11*'Output-Calculation-sheet'!X65</f>
        <v>204.84536371678439</v>
      </c>
      <c r="Y78" s="2">
        <f>Y12/'Output-Calculation-sheet'!Y11*'Output-Calculation-sheet'!Y65</f>
        <v>94.726098878622309</v>
      </c>
      <c r="AA78" s="2">
        <f t="shared" si="6"/>
        <v>43.297160131976739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32.859118018244679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3.2859118018244676E-2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376.41160670632462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87.751978624054161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0.46416358533037877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682.19910253603587</v>
      </c>
      <c r="D89" s="2">
        <f>D12/'Output-Calculation-sheet'!D11*'Output-Calculation-sheet'!D74</f>
        <v>54.937586026270701</v>
      </c>
      <c r="E89" s="2">
        <f>E12/'Output-Calculation-sheet'!E11*'Output-Calculation-sheet'!E74</f>
        <v>43.660727255579751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57.273308244389845</v>
      </c>
      <c r="I89" s="2">
        <f>I12/'Output-Calculation-sheet'!I11*'Output-Calculation-sheet'!I74</f>
        <v>17.72553296500983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17.421408763217691</v>
      </c>
      <c r="L89" s="2">
        <f>L12/'Output-Calculation-sheet'!L11*'Output-Calculation-sheet'!L74</f>
        <v>13.852669444290662</v>
      </c>
      <c r="M89" s="2">
        <f>M12/'Output-Calculation-sheet'!M11*'Output-Calculation-sheet'!M74</f>
        <v>39.40964058624759</v>
      </c>
      <c r="N89" s="2">
        <f>N12/'Output-Calculation-sheet'!N11*'Output-Calculation-sheet'!N74</f>
        <v>25.822235281727526</v>
      </c>
      <c r="O89" s="2">
        <f>O12/'Output-Calculation-sheet'!O11*'Output-Calculation-sheet'!O74</f>
        <v>156.62982980614322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22.624162751379806</v>
      </c>
      <c r="R89" s="2">
        <f>R12/'Output-Calculation-sheet'!R11*'Output-Calculation-sheet'!R74</f>
        <v>11.218037956777572</v>
      </c>
      <c r="S89" s="2">
        <f>S12/'Output-Calculation-sheet'!S11*'Output-Calculation-sheet'!S74</f>
        <v>14.802156508591338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7.2184902822430939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5.7644462999995607</v>
      </c>
      <c r="Y89" s="2">
        <f>Y12/'Output-Calculation-sheet'!Y11*'Output-Calculation-sheet'!Y74</f>
        <v>2.7813987984444402</v>
      </c>
      <c r="AA89" s="2">
        <f t="shared" si="7"/>
        <v>1.5522923695118278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18395407429.772438</v>
      </c>
      <c r="C96" s="2">
        <f>C8/'Output-Calculation-sheet'!C7*'Output-Calculation-sheet'!C79</f>
        <v>7615458341.2752628</v>
      </c>
      <c r="D96" s="2">
        <f>D8/'Output-Calculation-sheet'!D7*'Output-Calculation-sheet'!D79</f>
        <v>6070714888.5854959</v>
      </c>
      <c r="E96" s="2">
        <f>E8/'Output-Calculation-sheet'!E7*'Output-Calculation-sheet'!E79</f>
        <v>7335539921.8167868</v>
      </c>
      <c r="F96" s="2">
        <f>F8/'Output-Calculation-sheet'!F7*'Output-Calculation-sheet'!F79</f>
        <v>4330127103.6516628</v>
      </c>
      <c r="G96" s="2">
        <f>G8/'Output-Calculation-sheet'!G7*'Output-Calculation-sheet'!G79</f>
        <v>2202527401.6118174</v>
      </c>
      <c r="H96" s="2">
        <f>H8/'Output-Calculation-sheet'!H7*'Output-Calculation-sheet'!H79</f>
        <v>2750225417.5409937</v>
      </c>
      <c r="I96" s="2">
        <f>I8/'Output-Calculation-sheet'!I7*'Output-Calculation-sheet'!I79</f>
        <v>2632350277.0450945</v>
      </c>
      <c r="J96" s="2">
        <f>J8/'Output-Calculation-sheet'!J7*'Output-Calculation-sheet'!J79</f>
        <v>1485793013.6761181</v>
      </c>
      <c r="K96" s="2">
        <f>K8/'Output-Calculation-sheet'!K7*'Output-Calculation-sheet'!K79</f>
        <v>2530814419.1155109</v>
      </c>
      <c r="L96" s="2">
        <f>L8/'Output-Calculation-sheet'!L7*'Output-Calculation-sheet'!L79</f>
        <v>1820211475.7101741</v>
      </c>
      <c r="M96" s="2">
        <f>M8/'Output-Calculation-sheet'!M7*'Output-Calculation-sheet'!M79</f>
        <v>1840071997.6256244</v>
      </c>
      <c r="N96" s="2">
        <f>N8/'Output-Calculation-sheet'!N7*'Output-Calculation-sheet'!N79</f>
        <v>1309631032.0243983</v>
      </c>
      <c r="O96" s="2">
        <f>O8/'Output-Calculation-sheet'!O7*'Output-Calculation-sheet'!O79</f>
        <v>1029257453.7160876</v>
      </c>
      <c r="P96" s="2">
        <f>P8/'Output-Calculation-sheet'!P7*'Output-Calculation-sheet'!P79</f>
        <v>2187942375.7637262</v>
      </c>
      <c r="Q96" s="2">
        <f>Q8/'Output-Calculation-sheet'!Q7*'Output-Calculation-sheet'!Q79</f>
        <v>1191691735.4193335</v>
      </c>
      <c r="R96" s="2">
        <f>R8/'Output-Calculation-sheet'!R7*'Output-Calculation-sheet'!R79</f>
        <v>1589830103.7794909</v>
      </c>
      <c r="S96" s="2">
        <f>S8/'Output-Calculation-sheet'!S7*'Output-Calculation-sheet'!S79</f>
        <v>1000712347.0968541</v>
      </c>
      <c r="T96" s="2">
        <f>T8/'Output-Calculation-sheet'!T7*'Output-Calculation-sheet'!T79</f>
        <v>642598216.76824391</v>
      </c>
      <c r="U96" s="2">
        <f>U8/'Output-Calculation-sheet'!U7*'Output-Calculation-sheet'!U79</f>
        <v>595872447.61622858</v>
      </c>
      <c r="V96" s="2">
        <f>V8/'Output-Calculation-sheet'!V7*'Output-Calculation-sheet'!V79</f>
        <v>383642982.1394071</v>
      </c>
      <c r="W96" s="2">
        <f>W8/'Output-Calculation-sheet'!W7*'Output-Calculation-sheet'!W79</f>
        <v>458923972.04996115</v>
      </c>
      <c r="X96" s="2">
        <f>X8/'Output-Calculation-sheet'!X7*'Output-Calculation-sheet'!X79</f>
        <v>210052098.18875629</v>
      </c>
      <c r="Y96" s="2">
        <f>Y8/'Output-Calculation-sheet'!Y7*'Output-Calculation-sheet'!Y79</f>
        <v>235105493.76371229</v>
      </c>
      <c r="AA96" s="2">
        <f t="shared" si="8"/>
        <v>69.84450194575318</v>
      </c>
    </row>
    <row r="97" spans="1:27" x14ac:dyDescent="0.25">
      <c r="A97" s="2">
        <v>2032</v>
      </c>
      <c r="B97" s="2">
        <f>B9/'Output-Calculation-sheet'!B8*'Output-Calculation-sheet'!B80</f>
        <v>23777011584.508293</v>
      </c>
      <c r="C97" s="2">
        <f>C9/'Output-Calculation-sheet'!C8*'Output-Calculation-sheet'!C80</f>
        <v>9851955908.2823925</v>
      </c>
      <c r="D97" s="2">
        <f>D9/'Output-Calculation-sheet'!D8*'Output-Calculation-sheet'!D80</f>
        <v>7787174424.7613401</v>
      </c>
      <c r="E97" s="2">
        <f>E9/'Output-Calculation-sheet'!E8*'Output-Calculation-sheet'!E80</f>
        <v>9396421079.3592606</v>
      </c>
      <c r="F97" s="2">
        <f>F9/'Output-Calculation-sheet'!F8*'Output-Calculation-sheet'!F80</f>
        <v>5567644815.1316967</v>
      </c>
      <c r="G97" s="2">
        <f>G9/'Output-Calculation-sheet'!G8*'Output-Calculation-sheet'!G80</f>
        <v>2787066889.0512557</v>
      </c>
      <c r="H97" s="2">
        <f>H9/'Output-Calculation-sheet'!H8*'Output-Calculation-sheet'!H80</f>
        <v>3547483856.7701635</v>
      </c>
      <c r="I97" s="2">
        <f>I9/'Output-Calculation-sheet'!I8*'Output-Calculation-sheet'!I80</f>
        <v>3386216478.7335877</v>
      </c>
      <c r="J97" s="2">
        <f>J9/'Output-Calculation-sheet'!J8*'Output-Calculation-sheet'!J80</f>
        <v>1932225255.4481993</v>
      </c>
      <c r="K97" s="2">
        <f>K9/'Output-Calculation-sheet'!K8*'Output-Calculation-sheet'!K80</f>
        <v>3254868089.0691304</v>
      </c>
      <c r="L97" s="2">
        <f>L9/'Output-Calculation-sheet'!L8*'Output-Calculation-sheet'!L80</f>
        <v>2355008003.3788843</v>
      </c>
      <c r="M97" s="2">
        <f>M9/'Output-Calculation-sheet'!M8*'Output-Calculation-sheet'!M80</f>
        <v>2373449056.4841142</v>
      </c>
      <c r="N97" s="2">
        <f>N9/'Output-Calculation-sheet'!N8*'Output-Calculation-sheet'!N80</f>
        <v>1696482068.7146881</v>
      </c>
      <c r="O97" s="2">
        <f>O9/'Output-Calculation-sheet'!O8*'Output-Calculation-sheet'!O80</f>
        <v>1338420758.2391582</v>
      </c>
      <c r="P97" s="2">
        <f>P9/'Output-Calculation-sheet'!P8*'Output-Calculation-sheet'!P80</f>
        <v>2796985948.8448172</v>
      </c>
      <c r="Q97" s="2">
        <f>Q9/'Output-Calculation-sheet'!Q8*'Output-Calculation-sheet'!Q80</f>
        <v>1548720650.8492503</v>
      </c>
      <c r="R97" s="2">
        <f>R9/'Output-Calculation-sheet'!R8*'Output-Calculation-sheet'!R80</f>
        <v>2053373285.3531947</v>
      </c>
      <c r="S97" s="2">
        <f>S9/'Output-Calculation-sheet'!S8*'Output-Calculation-sheet'!S80</f>
        <v>1295380014.9512701</v>
      </c>
      <c r="T97" s="2">
        <f>T9/'Output-Calculation-sheet'!T8*'Output-Calculation-sheet'!T80</f>
        <v>823379497.00172186</v>
      </c>
      <c r="U97" s="2">
        <f>U9/'Output-Calculation-sheet'!U8*'Output-Calculation-sheet'!U80</f>
        <v>767833377.69572592</v>
      </c>
      <c r="V97" s="2">
        <f>V9/'Output-Calculation-sheet'!V8*'Output-Calculation-sheet'!V80</f>
        <v>497256206.06803346</v>
      </c>
      <c r="W97" s="2">
        <f>W9/'Output-Calculation-sheet'!W8*'Output-Calculation-sheet'!W80</f>
        <v>581681503.41074276</v>
      </c>
      <c r="X97" s="2">
        <f>X9/'Output-Calculation-sheet'!X8*'Output-Calculation-sheet'!X80</f>
        <v>270854408.22271645</v>
      </c>
      <c r="Y97" s="2">
        <f>Y9/'Output-Calculation-sheet'!Y8*'Output-Calculation-sheet'!Y80</f>
        <v>299306601.72901368</v>
      </c>
      <c r="AA97" s="2">
        <f t="shared" si="8"/>
        <v>89.986199762058661</v>
      </c>
    </row>
    <row r="98" spans="1:27" x14ac:dyDescent="0.25">
      <c r="A98" s="2">
        <v>2033</v>
      </c>
      <c r="B98" s="2">
        <f>B10/'Output-Calculation-sheet'!B9*'Output-Calculation-sheet'!B81</f>
        <v>27506089184.797974</v>
      </c>
      <c r="C98" s="2">
        <f>C10/'Output-Calculation-sheet'!C9*'Output-Calculation-sheet'!C81</f>
        <v>11408902353.241697</v>
      </c>
      <c r="D98" s="2">
        <f>D10/'Output-Calculation-sheet'!D9*'Output-Calculation-sheet'!D81</f>
        <v>8949516843.0245361</v>
      </c>
      <c r="E98" s="2">
        <f>E10/'Output-Calculation-sheet'!E9*'Output-Calculation-sheet'!E81</f>
        <v>10778679704.446526</v>
      </c>
      <c r="F98" s="2">
        <f>F10/'Output-Calculation-sheet'!F9*'Output-Calculation-sheet'!F81</f>
        <v>6409255148.8880997</v>
      </c>
      <c r="G98" s="2">
        <f>G10/'Output-Calculation-sheet'!G9*'Output-Calculation-sheet'!G81</f>
        <v>3159295058.1569743</v>
      </c>
      <c r="H98" s="2">
        <f>H10/'Output-Calculation-sheet'!H9*'Output-Calculation-sheet'!H81</f>
        <v>4096086166.4821472</v>
      </c>
      <c r="I98" s="2">
        <f>I10/'Output-Calculation-sheet'!I9*'Output-Calculation-sheet'!I81</f>
        <v>3900416304.5552459</v>
      </c>
      <c r="J98" s="2">
        <f>J10/'Output-Calculation-sheet'!J9*'Output-Calculation-sheet'!J81</f>
        <v>2250625411.8357482</v>
      </c>
      <c r="K98" s="2">
        <f>K10/'Output-Calculation-sheet'!K9*'Output-Calculation-sheet'!K81</f>
        <v>3747887215.129004</v>
      </c>
      <c r="L98" s="2">
        <f>L10/'Output-Calculation-sheet'!L9*'Output-Calculation-sheet'!L81</f>
        <v>2727375386.8731799</v>
      </c>
      <c r="M98" s="2">
        <f>M10/'Output-Calculation-sheet'!M9*'Output-Calculation-sheet'!M81</f>
        <v>2740988229.8326778</v>
      </c>
      <c r="N98" s="2">
        <f>N10/'Output-Calculation-sheet'!N9*'Output-Calculation-sheet'!N81</f>
        <v>1968281528.9461496</v>
      </c>
      <c r="O98" s="2">
        <f>O10/'Output-Calculation-sheet'!O9*'Output-Calculation-sheet'!O81</f>
        <v>1558360923.0522134</v>
      </c>
      <c r="P98" s="2">
        <f>P10/'Output-Calculation-sheet'!P9*'Output-Calculation-sheet'!P81</f>
        <v>3200870617.8472295</v>
      </c>
      <c r="Q98" s="2">
        <f>Q10/'Output-Calculation-sheet'!Q9*'Output-Calculation-sheet'!Q81</f>
        <v>1802114523.7402272</v>
      </c>
      <c r="R98" s="2">
        <f>R10/'Output-Calculation-sheet'!R9*'Output-Calculation-sheet'!R81</f>
        <v>2373891518.6292734</v>
      </c>
      <c r="S98" s="2">
        <f>S10/'Output-Calculation-sheet'!S9*'Output-Calculation-sheet'!S81</f>
        <v>1500731795.9893591</v>
      </c>
      <c r="T98" s="2">
        <f>T10/'Output-Calculation-sheet'!T9*'Output-Calculation-sheet'!T81</f>
        <v>944734302.93579674</v>
      </c>
      <c r="U98" s="2">
        <f>U10/'Output-Calculation-sheet'!U9*'Output-Calculation-sheet'!U81</f>
        <v>885168010.87386417</v>
      </c>
      <c r="V98" s="2">
        <f>V10/'Output-Calculation-sheet'!V9*'Output-Calculation-sheet'!V81</f>
        <v>576518544.24022865</v>
      </c>
      <c r="W98" s="2">
        <f>W10/'Output-Calculation-sheet'!W9*'Output-Calculation-sheet'!W81</f>
        <v>660199224.72140205</v>
      </c>
      <c r="X98" s="2">
        <f>X10/'Output-Calculation-sheet'!X9*'Output-Calculation-sheet'!X81</f>
        <v>312676166.06331182</v>
      </c>
      <c r="Y98" s="2">
        <f>Y10/'Output-Calculation-sheet'!Y9*'Output-Calculation-sheet'!Y81</f>
        <v>341312770.96325284</v>
      </c>
      <c r="AA98" s="2">
        <f t="shared" si="8"/>
        <v>103.79997693526616</v>
      </c>
    </row>
    <row r="99" spans="1:27" x14ac:dyDescent="0.25">
      <c r="A99" s="2">
        <v>2034</v>
      </c>
      <c r="B99" s="2">
        <f>B11/'Output-Calculation-sheet'!B10*'Output-Calculation-sheet'!B82</f>
        <v>28817816004.536209</v>
      </c>
      <c r="C99" s="2">
        <f>C11/'Output-Calculation-sheet'!C10*'Output-Calculation-sheet'!C82</f>
        <v>11967148816.764299</v>
      </c>
      <c r="D99" s="2">
        <f>D11/'Output-Calculation-sheet'!D10*'Output-Calculation-sheet'!D82</f>
        <v>9324179345.6323528</v>
      </c>
      <c r="E99" s="2">
        <f>E11/'Output-Calculation-sheet'!E10*'Output-Calculation-sheet'!E82</f>
        <v>11203683621.036121</v>
      </c>
      <c r="F99" s="2">
        <f>F11/'Output-Calculation-sheet'!F10*'Output-Calculation-sheet'!F82</f>
        <v>6684040346.2230387</v>
      </c>
      <c r="G99" s="2">
        <f>G11/'Output-Calculation-sheet'!G10*'Output-Calculation-sheet'!G82</f>
        <v>3246257404.7843685</v>
      </c>
      <c r="H99" s="2">
        <f>H11/'Output-Calculation-sheet'!H10*'Output-Calculation-sheet'!H82</f>
        <v>4283965089.2917032</v>
      </c>
      <c r="I99" s="2">
        <f>I11/'Output-Calculation-sheet'!I10*'Output-Calculation-sheet'!I82</f>
        <v>4070535926.7651381</v>
      </c>
      <c r="J99" s="2">
        <f>J11/'Output-Calculation-sheet'!J10*'Output-Calculation-sheet'!J82</f>
        <v>2375739392.5227218</v>
      </c>
      <c r="K99" s="2">
        <f>K11/'Output-Calculation-sheet'!K10*'Output-Calculation-sheet'!K82</f>
        <v>3909776889.4227748</v>
      </c>
      <c r="L99" s="2">
        <f>L11/'Output-Calculation-sheet'!L10*'Output-Calculation-sheet'!L82</f>
        <v>2860932103.738544</v>
      </c>
      <c r="M99" s="2">
        <f>M11/'Output-Calculation-sheet'!M10*'Output-Calculation-sheet'!M82</f>
        <v>2867710425.0901589</v>
      </c>
      <c r="N99" s="2">
        <f>N11/'Output-Calculation-sheet'!N10*'Output-Calculation-sheet'!N82</f>
        <v>2069521205.1259792</v>
      </c>
      <c r="O99" s="2">
        <f>O11/'Output-Calculation-sheet'!O10*'Output-Calculation-sheet'!O82</f>
        <v>1643857815.5644066</v>
      </c>
      <c r="P99" s="2">
        <f>P11/'Output-Calculation-sheet'!P10*'Output-Calculation-sheet'!P82</f>
        <v>3318328866.7983809</v>
      </c>
      <c r="Q99" s="2">
        <f>Q11/'Output-Calculation-sheet'!Q10*'Output-Calculation-sheet'!Q82</f>
        <v>1899784715.5052595</v>
      </c>
      <c r="R99" s="2">
        <f>R11/'Output-Calculation-sheet'!R10*'Output-Calculation-sheet'!R82</f>
        <v>2485780736.1449018</v>
      </c>
      <c r="S99" s="2">
        <f>S11/'Output-Calculation-sheet'!S10*'Output-Calculation-sheet'!S82</f>
        <v>1574580022.2380283</v>
      </c>
      <c r="T99" s="2">
        <f>T11/'Output-Calculation-sheet'!T10*'Output-Calculation-sheet'!T82</f>
        <v>982197909.815992</v>
      </c>
      <c r="U99" s="2">
        <f>U11/'Output-Calculation-sheet'!U10*'Output-Calculation-sheet'!U82</f>
        <v>923867384.11778677</v>
      </c>
      <c r="V99" s="2">
        <f>V11/'Output-Calculation-sheet'!V10*'Output-Calculation-sheet'!V82</f>
        <v>605063822.48283935</v>
      </c>
      <c r="W99" s="2">
        <f>W11/'Output-Calculation-sheet'!W10*'Output-Calculation-sheet'!W82</f>
        <v>678953318.61928928</v>
      </c>
      <c r="X99" s="2">
        <f>X11/'Output-Calculation-sheet'!X10*'Output-Calculation-sheet'!X82</f>
        <v>326984019.6208204</v>
      </c>
      <c r="Y99" s="2">
        <f>Y11/'Output-Calculation-sheet'!Y10*'Output-Calculation-sheet'!Y82</f>
        <v>352773633.01657248</v>
      </c>
      <c r="AA99" s="2">
        <f t="shared" si="8"/>
        <v>108.47347881485767</v>
      </c>
    </row>
    <row r="100" spans="1:27" x14ac:dyDescent="0.25">
      <c r="A100" s="2">
        <v>2035</v>
      </c>
      <c r="B100" s="2">
        <f>B12/'Output-Calculation-sheet'!B11*'Output-Calculation-sheet'!B83</f>
        <v>27357255743.246555</v>
      </c>
      <c r="C100" s="2">
        <f>C12/'Output-Calculation-sheet'!C11*'Output-Calculation-sheet'!C83</f>
        <v>11375639025.738281</v>
      </c>
      <c r="D100" s="2">
        <f>D12/'Output-Calculation-sheet'!D11*'Output-Calculation-sheet'!D83</f>
        <v>8810615358.9631634</v>
      </c>
      <c r="E100" s="2">
        <f>E12/'Output-Calculation-sheet'!E11*'Output-Calculation-sheet'!E83</f>
        <v>10557242439.708244</v>
      </c>
      <c r="F100" s="2">
        <f>F12/'Output-Calculation-sheet'!F11*'Output-Calculation-sheet'!F83</f>
        <v>6317979706.9871006</v>
      </c>
      <c r="G100" s="2">
        <f>G12/'Output-Calculation-sheet'!G11*'Output-Calculation-sheet'!G83</f>
        <v>3025118662.1513662</v>
      </c>
      <c r="H100" s="2">
        <f>H12/'Output-Calculation-sheet'!H11*'Output-Calculation-sheet'!H83</f>
        <v>4060354914.8907967</v>
      </c>
      <c r="I100" s="2">
        <f>I12/'Output-Calculation-sheet'!I11*'Output-Calculation-sheet'!I83</f>
        <v>3850691236.2121425</v>
      </c>
      <c r="J100" s="2">
        <f>J12/'Output-Calculation-sheet'!J11*'Output-Calculation-sheet'!J83</f>
        <v>2273695529.0692186</v>
      </c>
      <c r="K100" s="2">
        <f>K12/'Output-Calculation-sheet'!K11*'Output-Calculation-sheet'!K83</f>
        <v>3696944889.4161367</v>
      </c>
      <c r="L100" s="2">
        <f>L12/'Output-Calculation-sheet'!L11*'Output-Calculation-sheet'!L83</f>
        <v>2719514507.2948098</v>
      </c>
      <c r="M100" s="2">
        <f>M12/'Output-Calculation-sheet'!M11*'Output-Calculation-sheet'!M83</f>
        <v>2719358469.9338045</v>
      </c>
      <c r="N100" s="2">
        <f>N12/'Output-Calculation-sheet'!N11*'Output-Calculation-sheet'!N83</f>
        <v>1972817484.4122188</v>
      </c>
      <c r="O100" s="2">
        <f>O12/'Output-Calculation-sheet'!O11*'Output-Calculation-sheet'!O83</f>
        <v>1571730943.4660161</v>
      </c>
      <c r="P100" s="2">
        <f>P12/'Output-Calculation-sheet'!P11*'Output-Calculation-sheet'!P83</f>
        <v>3117984654.6022177</v>
      </c>
      <c r="Q100" s="2">
        <f>Q12/'Output-Calculation-sheet'!Q11*'Output-Calculation-sheet'!Q83</f>
        <v>1815240648.6918583</v>
      </c>
      <c r="R100" s="2">
        <f>R12/'Output-Calculation-sheet'!R11*'Output-Calculation-sheet'!R83</f>
        <v>2358789917.8805237</v>
      </c>
      <c r="S100" s="2">
        <f>S12/'Output-Calculation-sheet'!S11*'Output-Calculation-sheet'!S83</f>
        <v>1496931726.2042861</v>
      </c>
      <c r="T100" s="2">
        <f>T12/'Output-Calculation-sheet'!T11*'Output-Calculation-sheet'!T83</f>
        <v>925722420.69815123</v>
      </c>
      <c r="U100" s="2">
        <f>U12/'Output-Calculation-sheet'!U11*'Output-Calculation-sheet'!U83</f>
        <v>873521419.5632025</v>
      </c>
      <c r="V100" s="2">
        <f>V12/'Output-Calculation-sheet'!V11*'Output-Calculation-sheet'!V83</f>
        <v>575169595.10215878</v>
      </c>
      <c r="W100" s="2">
        <f>W12/'Output-Calculation-sheet'!W11*'Output-Calculation-sheet'!W83</f>
        <v>632985088.9108144</v>
      </c>
      <c r="X100" s="2">
        <f>X12/'Output-Calculation-sheet'!X11*'Output-Calculation-sheet'!X83</f>
        <v>309910611.87025386</v>
      </c>
      <c r="Y100" s="2">
        <f>Y12/'Output-Calculation-sheet'!Y11*'Output-Calculation-sheet'!Y83</f>
        <v>330639199.37490261</v>
      </c>
      <c r="AA100" s="2">
        <f t="shared" si="8"/>
        <v>102.74585419438823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1334937074.6369362</v>
      </c>
      <c r="C107" s="2">
        <f>C8/'Output-Calculation-sheet'!C7*'Output-Calculation-sheet'!C88</f>
        <v>21984973441.623547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6859426522.7972069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4732432484.2877369</v>
      </c>
      <c r="N107" s="2">
        <f>N8/'Output-Calculation-sheet'!N7*'Output-Calculation-sheet'!N88</f>
        <v>1584031996.3922977</v>
      </c>
      <c r="O107" s="2">
        <f>O8/'Output-Calculation-sheet'!O7*'Output-Calculation-sheet'!O88</f>
        <v>4271700411.3924103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474942832.61432701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512523952.71054888</v>
      </c>
      <c r="Y107" s="2">
        <f>Y8/'Output-Calculation-sheet'!Y7*'Output-Calculation-sheet'!Y88</f>
        <v>0</v>
      </c>
      <c r="AA107" s="2">
        <f t="shared" si="9"/>
        <v>41754.968716455012</v>
      </c>
    </row>
    <row r="108" spans="1:27" x14ac:dyDescent="0.25">
      <c r="A108" s="2">
        <v>2032</v>
      </c>
      <c r="B108" s="2">
        <f>B9/'Output-Calculation-sheet'!B8*'Output-Calculation-sheet'!B89</f>
        <v>5613396172.3476744</v>
      </c>
      <c r="C108" s="2">
        <f>C9/'Output-Calculation-sheet'!C8*'Output-Calculation-sheet'!C89</f>
        <v>28139520287.873661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8779335957.1808376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6056978419.9970341</v>
      </c>
      <c r="N108" s="2">
        <f>N9/'Output-Calculation-sheet'!N8*'Output-Calculation-sheet'!N89</f>
        <v>2841865225.9481258</v>
      </c>
      <c r="O108" s="2">
        <f>O9/'Output-Calculation-sheet'!O8*'Output-Calculation-sheet'!O89</f>
        <v>5467532726.4991274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858722235.47926438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655988867.79179823</v>
      </c>
      <c r="Y108" s="2">
        <f>Y9/'Output-Calculation-sheet'!Y8*'Output-Calculation-sheet'!Y89</f>
        <v>0</v>
      </c>
      <c r="AA108" s="2">
        <f t="shared" si="9"/>
        <v>58413.339893117532</v>
      </c>
    </row>
    <row r="109" spans="1:27" x14ac:dyDescent="0.25">
      <c r="A109" s="2">
        <v>2033</v>
      </c>
      <c r="B109" s="2">
        <f>B10/'Output-Calculation-sheet'!B9*'Output-Calculation-sheet'!B90</f>
        <v>13646958283.187662</v>
      </c>
      <c r="C109" s="2">
        <f>C10/'Output-Calculation-sheet'!C9*'Output-Calculation-sheet'!C90</f>
        <v>32252891127.691628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10062676218.766253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6942372136.7201996</v>
      </c>
      <c r="N109" s="2">
        <f>N10/'Output-Calculation-sheet'!N9*'Output-Calculation-sheet'!N90</f>
        <v>4090040868.4915051</v>
      </c>
      <c r="O109" s="2">
        <f>O10/'Output-Calculation-sheet'!O9*'Output-Calculation-sheet'!O90</f>
        <v>5975192383.0121622</v>
      </c>
      <c r="P109" s="2">
        <f>P10/'Output-Calculation-sheet'!P9*'Output-Calculation-sheet'!P90</f>
        <v>0</v>
      </c>
      <c r="Q109" s="2">
        <f>Q10/'Output-Calculation-sheet'!Q9*'Output-Calculation-sheet'!Q90</f>
        <v>133128738.83223538</v>
      </c>
      <c r="R109" s="2">
        <f>R10/'Output-Calculation-sheet'!R9*'Output-Calculation-sheet'!R90</f>
        <v>0</v>
      </c>
      <c r="S109" s="2">
        <f>S10/'Output-Calculation-sheet'!S9*'Output-Calculation-sheet'!S90</f>
        <v>1648882595.9339821</v>
      </c>
      <c r="T109" s="2">
        <f>T10/'Output-Calculation-sheet'!T9*'Output-Calculation-sheet'!T90</f>
        <v>-2.7403775956565152E-7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751879906.84694993</v>
      </c>
      <c r="Y109" s="2">
        <f>Y10/'Output-Calculation-sheet'!Y9*'Output-Calculation-sheet'!Y90</f>
        <v>0</v>
      </c>
      <c r="AA109" s="2">
        <f t="shared" si="9"/>
        <v>75504.022259482575</v>
      </c>
    </row>
    <row r="110" spans="1:27" x14ac:dyDescent="0.25">
      <c r="A110" s="2">
        <v>2034</v>
      </c>
      <c r="B110" s="2">
        <f>B11/'Output-Calculation-sheet'!B10*'Output-Calculation-sheet'!B91</f>
        <v>27999504220.276951</v>
      </c>
      <c r="C110" s="2">
        <f>C11/'Output-Calculation-sheet'!C10*'Output-Calculation-sheet'!C91</f>
        <v>31015849642.208832</v>
      </c>
      <c r="D110" s="2">
        <f>D11/'Output-Calculation-sheet'!D10*'Output-Calculation-sheet'!D91</f>
        <v>0</v>
      </c>
      <c r="E110" s="2">
        <f>E11/'Output-Calculation-sheet'!E10*'Output-Calculation-sheet'!E91</f>
        <v>585973100.82238793</v>
      </c>
      <c r="F110" s="2">
        <f>F11/'Output-Calculation-sheet'!F10*'Output-Calculation-sheet'!F91</f>
        <v>0</v>
      </c>
      <c r="G110" s="2">
        <f>G11/'Output-Calculation-sheet'!G10*'Output-Calculation-sheet'!G91</f>
        <v>-1.3209180833634324E-6</v>
      </c>
      <c r="H110" s="2">
        <f>H11/'Output-Calculation-sheet'!H10*'Output-Calculation-sheet'!H91</f>
        <v>10450795717.477072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475776826.12281132</v>
      </c>
      <c r="M110" s="2">
        <f>M11/'Output-Calculation-sheet'!M10*'Output-Calculation-sheet'!M91</f>
        <v>7210139658.9965582</v>
      </c>
      <c r="N110" s="2">
        <f>N11/'Output-Calculation-sheet'!N10*'Output-Calculation-sheet'!N91</f>
        <v>4987540791.3748455</v>
      </c>
      <c r="O110" s="2">
        <f>O11/'Output-Calculation-sheet'!O10*'Output-Calculation-sheet'!O91</f>
        <v>5717961340.5997038</v>
      </c>
      <c r="P110" s="2">
        <f>P11/'Output-Calculation-sheet'!P10*'Output-Calculation-sheet'!P91</f>
        <v>5.3231054414774636E-7</v>
      </c>
      <c r="Q110" s="2">
        <f>Q11/'Output-Calculation-sheet'!Q10*'Output-Calculation-sheet'!Q91</f>
        <v>1269294062.9760444</v>
      </c>
      <c r="R110" s="2">
        <f>R11/'Output-Calculation-sheet'!R10*'Output-Calculation-sheet'!R91</f>
        <v>0</v>
      </c>
      <c r="S110" s="2">
        <f>S11/'Output-Calculation-sheet'!S10*'Output-Calculation-sheet'!S91</f>
        <v>2452196025.4352288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711743390.084939</v>
      </c>
      <c r="Y110" s="2">
        <f>Y11/'Output-Calculation-sheet'!Y10*'Output-Calculation-sheet'!Y91</f>
        <v>31267327.783326205</v>
      </c>
      <c r="AA110" s="2">
        <f t="shared" si="9"/>
        <v>92908.042104158696</v>
      </c>
    </row>
    <row r="111" spans="1:27" x14ac:dyDescent="0.25">
      <c r="A111" s="2">
        <v>2035</v>
      </c>
      <c r="B111" s="2">
        <f>B12/'Output-Calculation-sheet'!B11*'Output-Calculation-sheet'!B92</f>
        <v>32902388145.599354</v>
      </c>
      <c r="C111" s="2">
        <f>C12/'Output-Calculation-sheet'!C11*'Output-Calculation-sheet'!C92</f>
        <v>27644909277.318356</v>
      </c>
      <c r="D111" s="2">
        <f>D12/'Output-Calculation-sheet'!D11*'Output-Calculation-sheet'!D92</f>
        <v>0</v>
      </c>
      <c r="E111" s="2">
        <f>E12/'Output-Calculation-sheet'!E11*'Output-Calculation-sheet'!E92</f>
        <v>3739371449.2113814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9383796278.7006187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1203755278.1738312</v>
      </c>
      <c r="M111" s="2">
        <f>M12/'Output-Calculation-sheet'!M11*'Output-Calculation-sheet'!M92</f>
        <v>6496261508.4527006</v>
      </c>
      <c r="N111" s="2">
        <f>N12/'Output-Calculation-sheet'!N11*'Output-Calculation-sheet'!N92</f>
        <v>4657829002.3474159</v>
      </c>
      <c r="O111" s="2">
        <f>O12/'Output-Calculation-sheet'!O11*'Output-Calculation-sheet'!O92</f>
        <v>4964449927.0170107</v>
      </c>
      <c r="P111" s="2">
        <f>P12/'Output-Calculation-sheet'!P11*'Output-Calculation-sheet'!P92</f>
        <v>255480885.65254766</v>
      </c>
      <c r="Q111" s="2">
        <f>Q12/'Output-Calculation-sheet'!Q11*'Output-Calculation-sheet'!Q92</f>
        <v>2001101539.318856</v>
      </c>
      <c r="R111" s="2">
        <f>R12/'Output-Calculation-sheet'!R11*'Output-Calculation-sheet'!R92</f>
        <v>0</v>
      </c>
      <c r="S111" s="2">
        <f>S12/'Output-Calculation-sheet'!S11*'Output-Calculation-sheet'!S92</f>
        <v>2505247966.5990992</v>
      </c>
      <c r="T111" s="2">
        <f>T12/'Output-Calculation-sheet'!T11*'Output-Calculation-sheet'!T92</f>
        <v>0</v>
      </c>
      <c r="U111" s="2">
        <f>U12/'Output-Calculation-sheet'!U11*'Output-Calculation-sheet'!U92</f>
        <v>88983268.112947315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638292527.24191141</v>
      </c>
      <c r="Y111" s="2">
        <f>Y12/'Output-Calculation-sheet'!Y11*'Output-Calculation-sheet'!Y92</f>
        <v>151014378.9222618</v>
      </c>
      <c r="AA111" s="2">
        <f t="shared" si="9"/>
        <v>96632.881432668291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45328146275.454155</v>
      </c>
      <c r="C118" s="2">
        <f>C8/'Output-Calculation-sheet'!C7*'Output-Calculation-sheet'!C97</f>
        <v>0</v>
      </c>
      <c r="D118" s="2">
        <f>D8/'Output-Calculation-sheet'!D7*'Output-Calculation-sheet'!D97</f>
        <v>19599032702.148422</v>
      </c>
      <c r="E118" s="2">
        <f>E8/'Output-Calculation-sheet'!E7*'Output-Calculation-sheet'!E97</f>
        <v>15549843602.063107</v>
      </c>
      <c r="F118" s="2">
        <f>F8/'Output-Calculation-sheet'!F7*'Output-Calculation-sheet'!F97</f>
        <v>10009992327.383852</v>
      </c>
      <c r="G118" s="2">
        <f>G8/'Output-Calculation-sheet'!G7*'Output-Calculation-sheet'!G97</f>
        <v>7033295326.0443878</v>
      </c>
      <c r="H118" s="2">
        <f>H8/'Output-Calculation-sheet'!H7*'Output-Calculation-sheet'!H97</f>
        <v>0</v>
      </c>
      <c r="I118" s="2">
        <f>I8/'Output-Calculation-sheet'!I7*'Output-Calculation-sheet'!I97</f>
        <v>6407885683.3494644</v>
      </c>
      <c r="J118" s="2">
        <f>J8/'Output-Calculation-sheet'!J7*'Output-Calculation-sheet'!J97</f>
        <v>6236994575.8971672</v>
      </c>
      <c r="K118" s="2">
        <f>K8/'Output-Calculation-sheet'!K7*'Output-Calculation-sheet'!K97</f>
        <v>6177200584.1589136</v>
      </c>
      <c r="L118" s="2">
        <f>L8/'Output-Calculation-sheet'!L7*'Output-Calculation-sheet'!L97</f>
        <v>4955430629.3398447</v>
      </c>
      <c r="M118" s="2">
        <f>M8/'Output-Calculation-sheet'!M7*'Output-Calculation-sheet'!M97</f>
        <v>0</v>
      </c>
      <c r="N118" s="2">
        <f>N8/'Output-Calculation-sheet'!N7*'Output-Calculation-sheet'!N97</f>
        <v>3061643992.1109385</v>
      </c>
      <c r="O118" s="2">
        <f>O8/'Output-Calculation-sheet'!O7*'Output-Calculation-sheet'!O97</f>
        <v>0</v>
      </c>
      <c r="P118" s="2">
        <f>P8/'Output-Calculation-sheet'!P7*'Output-Calculation-sheet'!P97</f>
        <v>4229204551.0106497</v>
      </c>
      <c r="Q118" s="2">
        <f>Q8/'Output-Calculation-sheet'!Q7*'Output-Calculation-sheet'!Q97</f>
        <v>4160852981.7298369</v>
      </c>
      <c r="R118" s="2">
        <f>R8/'Output-Calculation-sheet'!R7*'Output-Calculation-sheet'!R97</f>
        <v>4002931927.1973677</v>
      </c>
      <c r="S118" s="2">
        <f>S8/'Output-Calculation-sheet'!S7*'Output-Calculation-sheet'!S97</f>
        <v>2185611509.5084281</v>
      </c>
      <c r="T118" s="2">
        <f>T8/'Output-Calculation-sheet'!T7*'Output-Calculation-sheet'!T97</f>
        <v>1471443643.8522987</v>
      </c>
      <c r="U118" s="2">
        <f>U8/'Output-Calculation-sheet'!U7*'Output-Calculation-sheet'!U97</f>
        <v>1281576885.0396712</v>
      </c>
      <c r="V118" s="2">
        <f>V8/'Output-Calculation-sheet'!V7*'Output-Calculation-sheet'!V97</f>
        <v>986840220.80827701</v>
      </c>
      <c r="W118" s="2">
        <f>W8/'Output-Calculation-sheet'!W7*'Output-Calculation-sheet'!W97</f>
        <v>854384589.76477957</v>
      </c>
      <c r="X118" s="2">
        <f>X8/'Output-Calculation-sheet'!X7*'Output-Calculation-sheet'!X97</f>
        <v>0</v>
      </c>
      <c r="Y118" s="2">
        <f>Y8/'Output-Calculation-sheet'!Y7*'Output-Calculation-sheet'!Y97</f>
        <v>498528476.8131578</v>
      </c>
      <c r="AA118" s="2">
        <f t="shared" si="10"/>
        <v>144030.84048367475</v>
      </c>
    </row>
    <row r="119" spans="1:27" x14ac:dyDescent="0.25">
      <c r="A119" s="2">
        <v>2032</v>
      </c>
      <c r="B119" s="2">
        <f>B9/'Output-Calculation-sheet'!B8*'Output-Calculation-sheet'!B98</f>
        <v>54109967512.408928</v>
      </c>
      <c r="C119" s="2">
        <f>C9/'Output-Calculation-sheet'!C8*'Output-Calculation-sheet'!C98</f>
        <v>0</v>
      </c>
      <c r="D119" s="2">
        <f>D9/'Output-Calculation-sheet'!D8*'Output-Calculation-sheet'!D98</f>
        <v>25084502831.136913</v>
      </c>
      <c r="E119" s="2">
        <f>E9/'Output-Calculation-sheet'!E8*'Output-Calculation-sheet'!E98</f>
        <v>19902002829.001484</v>
      </c>
      <c r="F119" s="2">
        <f>F9/'Output-Calculation-sheet'!F8*'Output-Calculation-sheet'!F98</f>
        <v>12811637364.037498</v>
      </c>
      <c r="G119" s="2">
        <f>G9/'Output-Calculation-sheet'!G8*'Output-Calculation-sheet'!G98</f>
        <v>9001808047.3820553</v>
      </c>
      <c r="H119" s="2">
        <f>H9/'Output-Calculation-sheet'!H8*'Output-Calculation-sheet'!H98</f>
        <v>0</v>
      </c>
      <c r="I119" s="2">
        <f>I9/'Output-Calculation-sheet'!I8*'Output-Calculation-sheet'!I98</f>
        <v>8201356344.5959396</v>
      </c>
      <c r="J119" s="2">
        <f>J9/'Output-Calculation-sheet'!J8*'Output-Calculation-sheet'!J98</f>
        <v>7982632291.1632452</v>
      </c>
      <c r="K119" s="2">
        <f>K9/'Output-Calculation-sheet'!K8*'Output-Calculation-sheet'!K98</f>
        <v>7906104131.9767466</v>
      </c>
      <c r="L119" s="2">
        <f>L9/'Output-Calculation-sheet'!L8*'Output-Calculation-sheet'!L98</f>
        <v>6342381019.2471895</v>
      </c>
      <c r="M119" s="2">
        <f>M9/'Output-Calculation-sheet'!M8*'Output-Calculation-sheet'!M98</f>
        <v>0</v>
      </c>
      <c r="N119" s="2">
        <f>N9/'Output-Calculation-sheet'!N8*'Output-Calculation-sheet'!N98</f>
        <v>3103568941.4928617</v>
      </c>
      <c r="O119" s="2">
        <f>O9/'Output-Calculation-sheet'!O8*'Output-Calculation-sheet'!O98</f>
        <v>5.5695294988877158E-7</v>
      </c>
      <c r="P119" s="2">
        <f>P9/'Output-Calculation-sheet'!P8*'Output-Calculation-sheet'!P98</f>
        <v>5412858599.6389713</v>
      </c>
      <c r="Q119" s="2">
        <f>Q9/'Output-Calculation-sheet'!Q8*'Output-Calculation-sheet'!Q98</f>
        <v>5325412215.0167131</v>
      </c>
      <c r="R119" s="2">
        <f>R9/'Output-Calculation-sheet'!R8*'Output-Calculation-sheet'!R98</f>
        <v>5123291880.3864594</v>
      </c>
      <c r="S119" s="2">
        <f>S9/'Output-Calculation-sheet'!S8*'Output-Calculation-sheet'!S98</f>
        <v>2546298201.5821824</v>
      </c>
      <c r="T119" s="2">
        <f>T9/'Output-Calculation-sheet'!T8*'Output-Calculation-sheet'!T98</f>
        <v>1883277966.9502029</v>
      </c>
      <c r="U119" s="2">
        <f>U9/'Output-Calculation-sheet'!U8*'Output-Calculation-sheet'!U98</f>
        <v>1640271082.5523956</v>
      </c>
      <c r="V119" s="2">
        <f>V9/'Output-Calculation-sheet'!V8*'Output-Calculation-sheet'!V98</f>
        <v>1263041539.193892</v>
      </c>
      <c r="W119" s="2">
        <f>W9/'Output-Calculation-sheet'!W8*'Output-Calculation-sheet'!W98</f>
        <v>1093513883.2038648</v>
      </c>
      <c r="X119" s="2">
        <f>X9/'Output-Calculation-sheet'!X8*'Output-Calculation-sheet'!X98</f>
        <v>0</v>
      </c>
      <c r="Y119" s="2">
        <f>Y9/'Output-Calculation-sheet'!Y8*'Output-Calculation-sheet'!Y98</f>
        <v>638058790.04228151</v>
      </c>
      <c r="AA119" s="2">
        <f t="shared" si="10"/>
        <v>179371.98547100977</v>
      </c>
    </row>
    <row r="120" spans="1:27" x14ac:dyDescent="0.25">
      <c r="A120" s="2">
        <v>2033</v>
      </c>
      <c r="B120" s="2">
        <f>B10/'Output-Calculation-sheet'!B9*'Output-Calculation-sheet'!B99</f>
        <v>54800408443.670219</v>
      </c>
      <c r="C120" s="2">
        <f>C10/'Output-Calculation-sheet'!C9*'Output-Calculation-sheet'!C99</f>
        <v>0</v>
      </c>
      <c r="D120" s="2">
        <f>D10/'Output-Calculation-sheet'!D9*'Output-Calculation-sheet'!D99</f>
        <v>28750428206.360825</v>
      </c>
      <c r="E120" s="2">
        <f>E10/'Output-Calculation-sheet'!E9*'Output-Calculation-sheet'!E99</f>
        <v>22810544308.496155</v>
      </c>
      <c r="F120" s="2">
        <f>F10/'Output-Calculation-sheet'!F9*'Output-Calculation-sheet'!F99</f>
        <v>14683965919.83737</v>
      </c>
      <c r="G120" s="2">
        <f>G10/'Output-Calculation-sheet'!G9*'Output-Calculation-sheet'!G99</f>
        <v>10317357445.845217</v>
      </c>
      <c r="H120" s="2">
        <f>H10/'Output-Calculation-sheet'!H9*'Output-Calculation-sheet'!H99</f>
        <v>0</v>
      </c>
      <c r="I120" s="2">
        <f>I10/'Output-Calculation-sheet'!I9*'Output-Calculation-sheet'!I99</f>
        <v>9399925995.2150555</v>
      </c>
      <c r="J120" s="2">
        <f>J10/'Output-Calculation-sheet'!J9*'Output-Calculation-sheet'!J99</f>
        <v>9149236967.8361645</v>
      </c>
      <c r="K120" s="2">
        <f>K10/'Output-Calculation-sheet'!K9*'Output-Calculation-sheet'!K99</f>
        <v>9061525712.6271229</v>
      </c>
      <c r="L120" s="2">
        <f>L10/'Output-Calculation-sheet'!L9*'Output-Calculation-sheet'!L99</f>
        <v>7269274696.1094971</v>
      </c>
      <c r="M120" s="2">
        <f>M10/'Output-Calculation-sheet'!M9*'Output-Calculation-sheet'!M99</f>
        <v>0</v>
      </c>
      <c r="N120" s="2">
        <f>N10/'Output-Calculation-sheet'!N9*'Output-Calculation-sheet'!N99</f>
        <v>2723874618.3404775</v>
      </c>
      <c r="O120" s="2">
        <f>O10/'Output-Calculation-sheet'!O9*'Output-Calculation-sheet'!O99</f>
        <v>0</v>
      </c>
      <c r="P120" s="2">
        <f>P10/'Output-Calculation-sheet'!P9*'Output-Calculation-sheet'!P99</f>
        <v>6203583590.3521967</v>
      </c>
      <c r="Q120" s="2">
        <f>Q10/'Output-Calculation-sheet'!Q9*'Output-Calculation-sheet'!Q99</f>
        <v>5970494768.9596262</v>
      </c>
      <c r="R120" s="2">
        <f>R10/'Output-Calculation-sheet'!R9*'Output-Calculation-sheet'!R99</f>
        <v>5871745672.2617025</v>
      </c>
      <c r="S120" s="2">
        <f>S10/'Output-Calculation-sheet'!S9*'Output-Calculation-sheet'!S99</f>
        <v>2253496631.6353941</v>
      </c>
      <c r="T120" s="2">
        <f>T10/'Output-Calculation-sheet'!T9*'Output-Calculation-sheet'!T99</f>
        <v>2158487023.0178905</v>
      </c>
      <c r="U120" s="2">
        <f>U10/'Output-Calculation-sheet'!U9*'Output-Calculation-sheet'!U99</f>
        <v>1880393577.736136</v>
      </c>
      <c r="V120" s="2">
        <f>V10/'Output-Calculation-sheet'!V9*'Output-Calculation-sheet'!V99</f>
        <v>1447626111.7218554</v>
      </c>
      <c r="W120" s="2">
        <f>W10/'Output-Calculation-sheet'!W9*'Output-Calculation-sheet'!W99</f>
        <v>1253323387.0444047</v>
      </c>
      <c r="X120" s="2">
        <f>X10/'Output-Calculation-sheet'!X9*'Output-Calculation-sheet'!X99</f>
        <v>0</v>
      </c>
      <c r="Y120" s="2">
        <f>Y10/'Output-Calculation-sheet'!Y9*'Output-Calculation-sheet'!Y99</f>
        <v>731307624.06847894</v>
      </c>
      <c r="AA120" s="2">
        <f t="shared" si="10"/>
        <v>196737.00070113581</v>
      </c>
    </row>
    <row r="121" spans="1:27" x14ac:dyDescent="0.25">
      <c r="A121" s="2">
        <v>2034</v>
      </c>
      <c r="B121" s="2">
        <f>B11/'Output-Calculation-sheet'!B10*'Output-Calculation-sheet'!B100</f>
        <v>43081686249.147621</v>
      </c>
      <c r="C121" s="2">
        <f>C11/'Output-Calculation-sheet'!C10*'Output-Calculation-sheet'!C100</f>
        <v>0</v>
      </c>
      <c r="D121" s="2">
        <f>D11/'Output-Calculation-sheet'!D10*'Output-Calculation-sheet'!D100</f>
        <v>29858692550.280373</v>
      </c>
      <c r="E121" s="2">
        <f>E11/'Output-Calculation-sheet'!E10*'Output-Calculation-sheet'!E100</f>
        <v>23102864350.051914</v>
      </c>
      <c r="F121" s="2">
        <f>F11/'Output-Calculation-sheet'!F10*'Output-Calculation-sheet'!F100</f>
        <v>15249917620.17561</v>
      </c>
      <c r="G121" s="2">
        <f>G11/'Output-Calculation-sheet'!G10*'Output-Calculation-sheet'!G100</f>
        <v>10714485466.280693</v>
      </c>
      <c r="H121" s="2">
        <f>H11/'Output-Calculation-sheet'!H10*'Output-Calculation-sheet'!H100</f>
        <v>1.289903399578125E-7</v>
      </c>
      <c r="I121" s="2">
        <f>I11/'Output-Calculation-sheet'!I10*'Output-Calculation-sheet'!I100</f>
        <v>9761926682.9904518</v>
      </c>
      <c r="J121" s="2">
        <f>J11/'Output-Calculation-sheet'!J10*'Output-Calculation-sheet'!J100</f>
        <v>9501673519.0059357</v>
      </c>
      <c r="K121" s="2">
        <f>K11/'Output-Calculation-sheet'!K10*'Output-Calculation-sheet'!K100</f>
        <v>9410831014.587616</v>
      </c>
      <c r="L121" s="2">
        <f>L11/'Output-Calculation-sheet'!L10*'Output-Calculation-sheet'!L100</f>
        <v>7073485223.6333532</v>
      </c>
      <c r="M121" s="2">
        <f>M11/'Output-Calculation-sheet'!M10*'Output-Calculation-sheet'!M100</f>
        <v>-8.3768937202651227E-8</v>
      </c>
      <c r="N121" s="2">
        <f>N11/'Output-Calculation-sheet'!N10*'Output-Calculation-sheet'!N100</f>
        <v>2089188630.0552101</v>
      </c>
      <c r="O121" s="2">
        <f>O11/'Output-Calculation-sheet'!O10*'Output-Calculation-sheet'!O100</f>
        <v>0</v>
      </c>
      <c r="P121" s="2">
        <f>P11/'Output-Calculation-sheet'!P10*'Output-Calculation-sheet'!P100</f>
        <v>6442452337.225091</v>
      </c>
      <c r="Q121" s="2">
        <f>Q11/'Output-Calculation-sheet'!Q10*'Output-Calculation-sheet'!Q100</f>
        <v>5069091985.6641035</v>
      </c>
      <c r="R121" s="2">
        <f>R11/'Output-Calculation-sheet'!R10*'Output-Calculation-sheet'!R100</f>
        <v>6097824993.7398939</v>
      </c>
      <c r="S121" s="2">
        <f>S11/'Output-Calculation-sheet'!S10*'Output-Calculation-sheet'!S100</f>
        <v>1600577909.2568421</v>
      </c>
      <c r="T121" s="2">
        <f>T11/'Output-Calculation-sheet'!T10*'Output-Calculation-sheet'!T100</f>
        <v>2241557915.5226831</v>
      </c>
      <c r="U121" s="2">
        <f>U11/'Output-Calculation-sheet'!U10*'Output-Calculation-sheet'!U100</f>
        <v>1953506050.0462294</v>
      </c>
      <c r="V121" s="2">
        <f>V11/'Output-Calculation-sheet'!V10*'Output-Calculation-sheet'!V100</f>
        <v>1503429065.9429619</v>
      </c>
      <c r="W121" s="2">
        <f>W11/'Output-Calculation-sheet'!W10*'Output-Calculation-sheet'!W100</f>
        <v>1301674846.4726267</v>
      </c>
      <c r="X121" s="2">
        <f>X11/'Output-Calculation-sheet'!X10*'Output-Calculation-sheet'!X100</f>
        <v>69136822.479909107</v>
      </c>
      <c r="Y121" s="2">
        <f>Y11/'Output-Calculation-sheet'!Y10*'Output-Calculation-sheet'!Y100</f>
        <v>728216757.72935534</v>
      </c>
      <c r="AA121" s="2">
        <f t="shared" si="10"/>
        <v>186852.21999028852</v>
      </c>
    </row>
    <row r="122" spans="1:27" x14ac:dyDescent="0.25">
      <c r="A122" s="2">
        <v>2035</v>
      </c>
      <c r="B122" s="2">
        <f>B12/'Output-Calculation-sheet'!B11*'Output-Calculation-sheet'!B101</f>
        <v>32212851407.652817</v>
      </c>
      <c r="C122" s="2">
        <f>C12/'Output-Calculation-sheet'!C11*'Output-Calculation-sheet'!C101</f>
        <v>0</v>
      </c>
      <c r="D122" s="2">
        <f>D12/'Output-Calculation-sheet'!D11*'Output-Calculation-sheet'!D101</f>
        <v>26999290909.196239</v>
      </c>
      <c r="E122" s="2">
        <f>E12/'Output-Calculation-sheet'!E11*'Output-Calculation-sheet'!E101</f>
        <v>18180112891.659855</v>
      </c>
      <c r="F122" s="2">
        <f>F12/'Output-Calculation-sheet'!F11*'Output-Calculation-sheet'!F101</f>
        <v>14073439449.992107</v>
      </c>
      <c r="G122" s="2">
        <f>G12/'Output-Calculation-sheet'!G11*'Output-Calculation-sheet'!G101</f>
        <v>9590461255.5381851</v>
      </c>
      <c r="H122" s="2">
        <f>H12/'Output-Calculation-sheet'!H11*'Output-Calculation-sheet'!H101</f>
        <v>0</v>
      </c>
      <c r="I122" s="2">
        <f>I12/'Output-Calculation-sheet'!I11*'Output-Calculation-sheet'!I101</f>
        <v>8980354123.0881977</v>
      </c>
      <c r="J122" s="2">
        <f>J12/'Output-Calculation-sheet'!J11*'Output-Calculation-sheet'!J101</f>
        <v>8583126505.3510799</v>
      </c>
      <c r="K122" s="2">
        <f>K12/'Output-Calculation-sheet'!K11*'Output-Calculation-sheet'!K101</f>
        <v>8666731003.7496071</v>
      </c>
      <c r="L122" s="2">
        <f>L12/'Output-Calculation-sheet'!L11*'Output-Calculation-sheet'!L101</f>
        <v>5768016061.2220783</v>
      </c>
      <c r="M122" s="2">
        <f>M12/'Output-Calculation-sheet'!M11*'Output-Calculation-sheet'!M101</f>
        <v>0</v>
      </c>
      <c r="N122" s="2">
        <f>N12/'Output-Calculation-sheet'!N11*'Output-Calculation-sheet'!N101</f>
        <v>1699326443.872858</v>
      </c>
      <c r="O122" s="2">
        <f>O12/'Output-Calculation-sheet'!O11*'Output-Calculation-sheet'!O101</f>
        <v>0</v>
      </c>
      <c r="P122" s="2">
        <f>P12/'Output-Calculation-sheet'!P11*'Output-Calculation-sheet'!P101</f>
        <v>5687660004.8612881</v>
      </c>
      <c r="Q122" s="2">
        <f>Q12/'Output-Calculation-sheet'!Q11*'Output-Calculation-sheet'!Q101</f>
        <v>3704577692.8107605</v>
      </c>
      <c r="R122" s="2">
        <f>R12/'Output-Calculation-sheet'!R11*'Output-Calculation-sheet'!R101</f>
        <v>5611206495.7903576</v>
      </c>
      <c r="S122" s="2">
        <f>S12/'Output-Calculation-sheet'!S11*'Output-Calculation-sheet'!S101</f>
        <v>1179881375.5154665</v>
      </c>
      <c r="T122" s="2">
        <f>T12/'Output-Calculation-sheet'!T11*'Output-Calculation-sheet'!T101</f>
        <v>2078953639.58427</v>
      </c>
      <c r="U122" s="2">
        <f>U12/'Output-Calculation-sheet'!U11*'Output-Calculation-sheet'!U101</f>
        <v>1703322969.9584572</v>
      </c>
      <c r="V122" s="2">
        <f>V12/'Output-Calculation-sheet'!V11*'Output-Calculation-sheet'!V101</f>
        <v>1402237147.3819511</v>
      </c>
      <c r="W122" s="2">
        <f>W12/'Output-Calculation-sheet'!W11*'Output-Calculation-sheet'!W101</f>
        <v>1209358826.1097903</v>
      </c>
      <c r="X122" s="2">
        <f>X12/'Output-Calculation-sheet'!X11*'Output-Calculation-sheet'!X101</f>
        <v>58450764.926208049</v>
      </c>
      <c r="Y122" s="2">
        <f>Y12/'Output-Calculation-sheet'!Y11*'Output-Calculation-sheet'!Y101</f>
        <v>545905003.10075033</v>
      </c>
      <c r="AA122" s="2">
        <f t="shared" si="10"/>
        <v>157935.26397136232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46663084199.86869</v>
      </c>
      <c r="C129" s="2">
        <f>C8/'Output-Calculation-sheet'!C7*'Output-Calculation-sheet'!C106</f>
        <v>21989997688.944241</v>
      </c>
      <c r="D129" s="2">
        <f>D8/'Output-Calculation-sheet'!D7*'Output-Calculation-sheet'!D106</f>
        <v>19599032702.148422</v>
      </c>
      <c r="E129" s="2">
        <f>E8/'Output-Calculation-sheet'!E7*'Output-Calculation-sheet'!E106</f>
        <v>15549843602.063107</v>
      </c>
      <c r="F129" s="2">
        <f>F8/'Output-Calculation-sheet'!F7*'Output-Calculation-sheet'!F106</f>
        <v>10009992327.383852</v>
      </c>
      <c r="G129" s="2">
        <f>G8/'Output-Calculation-sheet'!G7*'Output-Calculation-sheet'!G106</f>
        <v>7033295326.0443878</v>
      </c>
      <c r="H129" s="2">
        <f>H8/'Output-Calculation-sheet'!H7*'Output-Calculation-sheet'!H106</f>
        <v>6860709604.9728327</v>
      </c>
      <c r="I129" s="2">
        <f>I8/'Output-Calculation-sheet'!I7*'Output-Calculation-sheet'!I106</f>
        <v>6407885683.3494644</v>
      </c>
      <c r="J129" s="2">
        <f>J8/'Output-Calculation-sheet'!J7*'Output-Calculation-sheet'!J106</f>
        <v>6236994575.8971672</v>
      </c>
      <c r="K129" s="2">
        <f>K8/'Output-Calculation-sheet'!K7*'Output-Calculation-sheet'!K106</f>
        <v>6177200584.1589136</v>
      </c>
      <c r="L129" s="2">
        <f>L8/'Output-Calculation-sheet'!L7*'Output-Calculation-sheet'!L106</f>
        <v>4955430629.3398447</v>
      </c>
      <c r="M129" s="2">
        <f>M8/'Output-Calculation-sheet'!M7*'Output-Calculation-sheet'!M106</f>
        <v>4733291558.1008139</v>
      </c>
      <c r="N129" s="2">
        <f>N8/'Output-Calculation-sheet'!N7*'Output-Calculation-sheet'!N106</f>
        <v>4645712894.2602406</v>
      </c>
      <c r="O129" s="2">
        <f>O8/'Output-Calculation-sheet'!O7*'Output-Calculation-sheet'!O106</f>
        <v>4272674807.489852</v>
      </c>
      <c r="P129" s="2">
        <f>P8/'Output-Calculation-sheet'!P7*'Output-Calculation-sheet'!P106</f>
        <v>4229204551.0106497</v>
      </c>
      <c r="Q129" s="2">
        <f>Q8/'Output-Calculation-sheet'!Q7*'Output-Calculation-sheet'!Q106</f>
        <v>4160852981.7298369</v>
      </c>
      <c r="R129" s="2">
        <f>R8/'Output-Calculation-sheet'!R7*'Output-Calculation-sheet'!R106</f>
        <v>4002931927.1973677</v>
      </c>
      <c r="S129" s="2">
        <f>S8/'Output-Calculation-sheet'!S7*'Output-Calculation-sheet'!S106</f>
        <v>2660553619.7365322</v>
      </c>
      <c r="T129" s="2">
        <f>T8/'Output-Calculation-sheet'!T7*'Output-Calculation-sheet'!T106</f>
        <v>1471443643.8522987</v>
      </c>
      <c r="U129" s="2">
        <f>U8/'Output-Calculation-sheet'!U7*'Output-Calculation-sheet'!U106</f>
        <v>1281576885.0396712</v>
      </c>
      <c r="V129" s="2">
        <f>V8/'Output-Calculation-sheet'!V7*'Output-Calculation-sheet'!V106</f>
        <v>986840220.80827701</v>
      </c>
      <c r="W129" s="2">
        <f>W8/'Output-Calculation-sheet'!W7*'Output-Calculation-sheet'!W106</f>
        <v>854384589.76477957</v>
      </c>
      <c r="X129" s="2">
        <f>X8/'Output-Calculation-sheet'!X7*'Output-Calculation-sheet'!X106</f>
        <v>512630854.6679579</v>
      </c>
      <c r="Y129" s="2">
        <f>Y8/'Output-Calculation-sheet'!Y7*'Output-Calculation-sheet'!Y106</f>
        <v>498528476.8131578</v>
      </c>
      <c r="AA129" s="2">
        <f t="shared" si="11"/>
        <v>185794.09393464233</v>
      </c>
    </row>
    <row r="130" spans="1:27" x14ac:dyDescent="0.25">
      <c r="A130" s="2">
        <v>2032</v>
      </c>
      <c r="B130" s="2">
        <f>B9/'Output-Calculation-sheet'!B8*'Output-Calculation-sheet'!B107</f>
        <v>35834023434.401833</v>
      </c>
      <c r="C130" s="2">
        <f>C9/'Output-Calculation-sheet'!C8*'Output-Calculation-sheet'!C107</f>
        <v>16886791708.602188</v>
      </c>
      <c r="D130" s="2">
        <f>D9/'Output-Calculation-sheet'!D8*'Output-Calculation-sheet'!D107</f>
        <v>15050698561.304518</v>
      </c>
      <c r="E130" s="2">
        <f>E9/'Output-Calculation-sheet'!E8*'Output-Calculation-sheet'!E107</f>
        <v>11941200450.711704</v>
      </c>
      <c r="F130" s="2">
        <f>F9/'Output-Calculation-sheet'!F8*'Output-Calculation-sheet'!F107</f>
        <v>7686983202.504509</v>
      </c>
      <c r="G130" s="2">
        <f>G9/'Output-Calculation-sheet'!G8*'Output-Calculation-sheet'!G107</f>
        <v>5401085391.1516151</v>
      </c>
      <c r="H130" s="2">
        <f>H9/'Output-Calculation-sheet'!H8*'Output-Calculation-sheet'!H107</f>
        <v>5268550096.4887743</v>
      </c>
      <c r="I130" s="2">
        <f>I9/'Output-Calculation-sheet'!I8*'Output-Calculation-sheet'!I107</f>
        <v>4920813300.6223783</v>
      </c>
      <c r="J130" s="2">
        <f>J9/'Output-Calculation-sheet'!J8*'Output-Calculation-sheet'!J107</f>
        <v>4789578873.7902861</v>
      </c>
      <c r="K130" s="2">
        <f>K9/'Output-Calculation-sheet'!K8*'Output-Calculation-sheet'!K107</f>
        <v>4743662479.1860476</v>
      </c>
      <c r="L130" s="2">
        <f>L9/'Output-Calculation-sheet'!L8*'Output-Calculation-sheet'!L107</f>
        <v>3805428215.9989424</v>
      </c>
      <c r="M130" s="2">
        <f>M9/'Output-Calculation-sheet'!M8*'Output-Calculation-sheet'!M107</f>
        <v>3634841228.4812346</v>
      </c>
      <c r="N130" s="2">
        <f>N9/'Output-Calculation-sheet'!N8*'Output-Calculation-sheet'!N107</f>
        <v>3567584556.3705525</v>
      </c>
      <c r="O130" s="2">
        <f>O9/'Output-Calculation-sheet'!O8*'Output-Calculation-sheet'!O107</f>
        <v>3281118938.9688783</v>
      </c>
      <c r="P130" s="2">
        <f>P9/'Output-Calculation-sheet'!P8*'Output-Calculation-sheet'!P107</f>
        <v>3247735935.1250296</v>
      </c>
      <c r="Q130" s="2">
        <f>Q9/'Output-Calculation-sheet'!Q8*'Output-Calculation-sheet'!Q107</f>
        <v>3195248298.0261507</v>
      </c>
      <c r="R130" s="2">
        <f>R9/'Output-Calculation-sheet'!R8*'Output-Calculation-sheet'!R107</f>
        <v>3073975448.5519319</v>
      </c>
      <c r="S130" s="2">
        <f>S9/'Output-Calculation-sheet'!S8*'Output-Calculation-sheet'!S107</f>
        <v>2043121287.6526694</v>
      </c>
      <c r="T130" s="2">
        <f>T9/'Output-Calculation-sheet'!T8*'Output-Calculation-sheet'!T107</f>
        <v>1129967017.1844547</v>
      </c>
      <c r="U130" s="2">
        <f>U9/'Output-Calculation-sheet'!U8*'Output-Calculation-sheet'!U107</f>
        <v>984162340.35608613</v>
      </c>
      <c r="V130" s="2">
        <f>V9/'Output-Calculation-sheet'!V8*'Output-Calculation-sheet'!V107</f>
        <v>757824685.11409879</v>
      </c>
      <c r="W130" s="2">
        <f>W9/'Output-Calculation-sheet'!W8*'Output-Calculation-sheet'!W107</f>
        <v>656108398.73512173</v>
      </c>
      <c r="X130" s="2">
        <f>X9/'Output-Calculation-sheet'!X8*'Output-Calculation-sheet'!X107</f>
        <v>393664961.99936503</v>
      </c>
      <c r="Y130" s="2">
        <f>Y9/'Output-Calculation-sheet'!Y8*'Output-Calculation-sheet'!Y107</f>
        <v>382835313.73542446</v>
      </c>
      <c r="AA130" s="2">
        <f t="shared" si="11"/>
        <v>142677.00412506374</v>
      </c>
    </row>
    <row r="131" spans="1:27" x14ac:dyDescent="0.25">
      <c r="A131" s="2">
        <v>2033</v>
      </c>
      <c r="B131" s="2">
        <f>B10/'Output-Calculation-sheet'!B9*'Output-Calculation-sheet'!B108</f>
        <v>22817180514.439781</v>
      </c>
      <c r="C131" s="2">
        <f>C10/'Output-Calculation-sheet'!C9*'Output-Calculation-sheet'!C108</f>
        <v>10752601536.5805</v>
      </c>
      <c r="D131" s="2">
        <f>D10/'Output-Calculation-sheet'!D9*'Output-Calculation-sheet'!D108</f>
        <v>9583478565.9281445</v>
      </c>
      <c r="E131" s="2">
        <f>E10/'Output-Calculation-sheet'!E9*'Output-Calculation-sheet'!E108</f>
        <v>7603514769.4987173</v>
      </c>
      <c r="F131" s="2">
        <f>F10/'Output-Calculation-sheet'!F9*'Output-Calculation-sheet'!F108</f>
        <v>4894655306.6124573</v>
      </c>
      <c r="G131" s="2">
        <f>G10/'Output-Calculation-sheet'!G9*'Output-Calculation-sheet'!G108</f>
        <v>3439119148.6150723</v>
      </c>
      <c r="H131" s="2">
        <f>H10/'Output-Calculation-sheet'!H9*'Output-Calculation-sheet'!H108</f>
        <v>3354728712.7525506</v>
      </c>
      <c r="I131" s="2">
        <f>I10/'Output-Calculation-sheet'!I9*'Output-Calculation-sheet'!I108</f>
        <v>3133309470.7706962</v>
      </c>
      <c r="J131" s="2">
        <f>J10/'Output-Calculation-sheet'!J9*'Output-Calculation-sheet'!J108</f>
        <v>3049746453.3228841</v>
      </c>
      <c r="K131" s="2">
        <f>K10/'Output-Calculation-sheet'!K9*'Output-Calculation-sheet'!K108</f>
        <v>3020508570.8757076</v>
      </c>
      <c r="L131" s="2">
        <f>L10/'Output-Calculation-sheet'!L9*'Output-Calculation-sheet'!L108</f>
        <v>2423092195.0311289</v>
      </c>
      <c r="M131" s="2">
        <f>M10/'Output-Calculation-sheet'!M9*'Output-Calculation-sheet'!M108</f>
        <v>2314470369.694788</v>
      </c>
      <c r="N131" s="2">
        <f>N10/'Output-Calculation-sheet'!N9*'Output-Calculation-sheet'!N108</f>
        <v>2271645543.3165808</v>
      </c>
      <c r="O131" s="2">
        <f>O10/'Output-Calculation-sheet'!O9*'Output-Calculation-sheet'!O108</f>
        <v>2510730705.7001567</v>
      </c>
      <c r="P131" s="2">
        <f>P10/'Output-Calculation-sheet'!P9*'Output-Calculation-sheet'!P108</f>
        <v>2067984266.3013358</v>
      </c>
      <c r="Q131" s="2">
        <f>Q10/'Output-Calculation-sheet'!Q9*'Output-Calculation-sheet'!Q108</f>
        <v>2034561883.9053752</v>
      </c>
      <c r="R131" s="2">
        <f>R10/'Output-Calculation-sheet'!R9*'Output-Calculation-sheet'!R108</f>
        <v>1957341360.3790166</v>
      </c>
      <c r="S131" s="2">
        <f>S10/'Output-Calculation-sheet'!S9*'Output-Calculation-sheet'!S108</f>
        <v>1300949842.7819295</v>
      </c>
      <c r="T131" s="2">
        <f>T10/'Output-Calculation-sheet'!T9*'Output-Calculation-sheet'!T108</f>
        <v>719501711.05735672</v>
      </c>
      <c r="U131" s="2">
        <f>U10/'Output-Calculation-sheet'!U9*'Output-Calculation-sheet'!U108</f>
        <v>626661529.40306294</v>
      </c>
      <c r="V131" s="2">
        <f>V10/'Output-Calculation-sheet'!V9*'Output-Calculation-sheet'!V108</f>
        <v>482541910.73920709</v>
      </c>
      <c r="W131" s="2">
        <f>W10/'Output-Calculation-sheet'!W9*'Output-Calculation-sheet'!W108</f>
        <v>417774352.8074258</v>
      </c>
      <c r="X131" s="2">
        <f>X10/'Output-Calculation-sheet'!X9*'Output-Calculation-sheet'!X108</f>
        <v>250664562.72102505</v>
      </c>
      <c r="Y131" s="2">
        <f>Y10/'Output-Calculation-sheet'!Y9*'Output-Calculation-sheet'!Y108</f>
        <v>243768828.74448282</v>
      </c>
      <c r="AA131" s="2">
        <f t="shared" si="11"/>
        <v>91270.532111979366</v>
      </c>
    </row>
    <row r="132" spans="1:27" x14ac:dyDescent="0.25">
      <c r="A132" s="2">
        <v>2034</v>
      </c>
      <c r="B132" s="2">
        <f>B11/'Output-Calculation-sheet'!B10*'Output-Calculation-sheet'!B109</f>
        <v>10155740791.225868</v>
      </c>
      <c r="C132" s="2">
        <f>C11/'Output-Calculation-sheet'!C10*'Output-Calculation-sheet'!C109</f>
        <v>9239406826.4455776</v>
      </c>
      <c r="D132" s="2">
        <f>D11/'Output-Calculation-sheet'!D10*'Output-Calculation-sheet'!D109</f>
        <v>4265528078.7896309</v>
      </c>
      <c r="E132" s="2">
        <f>E11/'Output-Calculation-sheet'!E10*'Output-Calculation-sheet'!E109</f>
        <v>3384263413.8377395</v>
      </c>
      <c r="F132" s="2">
        <f>F11/'Output-Calculation-sheet'!F10*'Output-Calculation-sheet'!F109</f>
        <v>2178571802.6043053</v>
      </c>
      <c r="G132" s="2">
        <f>G11/'Output-Calculation-sheet'!G10*'Output-Calculation-sheet'!G109</f>
        <v>1530724577.021338</v>
      </c>
      <c r="H132" s="2">
        <f>H11/'Output-Calculation-sheet'!H10*'Output-Calculation-sheet'!H109</f>
        <v>1493162831.93962</v>
      </c>
      <c r="I132" s="2">
        <f>I11/'Output-Calculation-sheet'!I10*'Output-Calculation-sheet'!I109</f>
        <v>1394610473.653677</v>
      </c>
      <c r="J132" s="2">
        <f>J11/'Output-Calculation-sheet'!J10*'Output-Calculation-sheet'!J109</f>
        <v>1357417462.4798157</v>
      </c>
      <c r="K132" s="2">
        <f>K11/'Output-Calculation-sheet'!K10*'Output-Calculation-sheet'!K109</f>
        <v>1344404340.0234854</v>
      </c>
      <c r="L132" s="2">
        <f>L11/'Output-Calculation-sheet'!L10*'Output-Calculation-sheet'!L109</f>
        <v>1078498725.133199</v>
      </c>
      <c r="M132" s="2">
        <f>M11/'Output-Calculation-sheet'!M10*'Output-Calculation-sheet'!M109</f>
        <v>1030152190.4041722</v>
      </c>
      <c r="N132" s="2">
        <f>N11/'Output-Calculation-sheet'!N10*'Output-Calculation-sheet'!N109</f>
        <v>1011091517.2566924</v>
      </c>
      <c r="O132" s="2">
        <f>O11/'Output-Calculation-sheet'!O10*'Output-Calculation-sheet'!O109</f>
        <v>2080722265.9463978</v>
      </c>
      <c r="P132" s="2">
        <f>P11/'Output-Calculation-sheet'!P10*'Output-Calculation-sheet'!P109</f>
        <v>920442913.99946237</v>
      </c>
      <c r="Q132" s="2">
        <f>Q11/'Output-Calculation-sheet'!Q10*'Output-Calculation-sheet'!Q109</f>
        <v>905567032.03053892</v>
      </c>
      <c r="R132" s="2">
        <f>R11/'Output-Calculation-sheet'!R10*'Output-Calculation-sheet'!R109</f>
        <v>871197070.10883939</v>
      </c>
      <c r="S132" s="2">
        <f>S11/'Output-Calculation-sheet'!S10*'Output-Calculation-sheet'!S109</f>
        <v>579042246.45251262</v>
      </c>
      <c r="T132" s="2">
        <f>T11/'Output-Calculation-sheet'!T10*'Output-Calculation-sheet'!T109</f>
        <v>320244539.11920923</v>
      </c>
      <c r="U132" s="2">
        <f>U11/'Output-Calculation-sheet'!U10*'Output-Calculation-sheet'!U109</f>
        <v>278922062.26118028</v>
      </c>
      <c r="V132" s="2">
        <f>V11/'Output-Calculation-sheet'!V10*'Output-Calculation-sheet'!V109</f>
        <v>214775566.3706269</v>
      </c>
      <c r="W132" s="2">
        <f>W11/'Output-Calculation-sheet'!W10*'Output-Calculation-sheet'!W109</f>
        <v>185948041.49606356</v>
      </c>
      <c r="X132" s="2">
        <f>X11/'Output-Calculation-sheet'!X10*'Output-Calculation-sheet'!X109</f>
        <v>111568820.53899218</v>
      </c>
      <c r="Y132" s="2">
        <f>Y11/'Output-Calculation-sheet'!Y10*'Output-Calculation-sheet'!Y109</f>
        <v>108499583.45303299</v>
      </c>
      <c r="AA132" s="2">
        <f t="shared" si="11"/>
        <v>46040.503172591991</v>
      </c>
    </row>
    <row r="133" spans="1:27" x14ac:dyDescent="0.25">
      <c r="A133" s="2">
        <v>2035</v>
      </c>
      <c r="B133" s="2">
        <f>B12/'Output-Calculation-sheet'!B11*'Output-Calculation-sheet'!B110</f>
        <v>3666347980.6900105</v>
      </c>
      <c r="C133" s="2">
        <f>C12/'Output-Calculation-sheet'!C11*'Output-Calculation-sheet'!C110</f>
        <v>7041162991.5751171</v>
      </c>
      <c r="D133" s="2">
        <f>D12/'Output-Calculation-sheet'!D11*'Output-Calculation-sheet'!D110</f>
        <v>1819952022.9714661</v>
      </c>
      <c r="E133" s="2">
        <f>E12/'Output-Calculation-sheet'!E11*'Output-Calculation-sheet'!E110</f>
        <v>924762146.13862264</v>
      </c>
      <c r="F133" s="2">
        <f>F12/'Output-Calculation-sheet'!F11*'Output-Calculation-sheet'!F110</f>
        <v>626003445.17476404</v>
      </c>
      <c r="G133" s="2">
        <f>G12/'Output-Calculation-sheet'!G11*'Output-Calculation-sheet'!G110</f>
        <v>791063529.4271183</v>
      </c>
      <c r="H133" s="2">
        <f>H12/'Output-Calculation-sheet'!H11*'Output-Calculation-sheet'!H110</f>
        <v>933183220.61304843</v>
      </c>
      <c r="I133" s="2">
        <f>I12/'Output-Calculation-sheet'!I11*'Output-Calculation-sheet'!I110</f>
        <v>437159324.60081828</v>
      </c>
      <c r="J133" s="2">
        <f>J12/'Output-Calculation-sheet'!J11*'Output-Calculation-sheet'!J110</f>
        <v>528924231.19614559</v>
      </c>
      <c r="K133" s="2">
        <f>K12/'Output-Calculation-sheet'!K11*'Output-Calculation-sheet'!K110</f>
        <v>401064522.84518921</v>
      </c>
      <c r="L133" s="2">
        <f>L12/'Output-Calculation-sheet'!L11*'Output-Calculation-sheet'!L110</f>
        <v>257735425.76566657</v>
      </c>
      <c r="M133" s="2">
        <f>M12/'Output-Calculation-sheet'!M11*'Output-Calculation-sheet'!M110</f>
        <v>580430572.53846788</v>
      </c>
      <c r="N133" s="2">
        <f>N12/'Output-Calculation-sheet'!N11*'Output-Calculation-sheet'!N110</f>
        <v>482939451.57827419</v>
      </c>
      <c r="O133" s="2">
        <f>O12/'Output-Calculation-sheet'!O11*'Output-Calculation-sheet'!O110</f>
        <v>1705580771.7941227</v>
      </c>
      <c r="P133" s="2">
        <f>P12/'Output-Calculation-sheet'!P11*'Output-Calculation-sheet'!P110</f>
        <v>337410008.57190043</v>
      </c>
      <c r="Q133" s="2">
        <f>Q12/'Output-Calculation-sheet'!Q11*'Output-Calculation-sheet'!Q110</f>
        <v>420265429.18230748</v>
      </c>
      <c r="R133" s="2">
        <f>R12/'Output-Calculation-sheet'!R11*'Output-Calculation-sheet'!R110</f>
        <v>264466142.27406779</v>
      </c>
      <c r="S133" s="2">
        <f>S12/'Output-Calculation-sheet'!S11*'Output-Calculation-sheet'!S110</f>
        <v>254279955.74457446</v>
      </c>
      <c r="T133" s="2">
        <f>T12/'Output-Calculation-sheet'!T11*'Output-Calculation-sheet'!T110</f>
        <v>68793130.407087147</v>
      </c>
      <c r="U133" s="2">
        <f>U12/'Output-Calculation-sheet'!U11*'Output-Calculation-sheet'!U110</f>
        <v>111827696.49406485</v>
      </c>
      <c r="V133" s="2">
        <f>V12/'Output-Calculation-sheet'!V11*'Output-Calculation-sheet'!V110</f>
        <v>28219652.409912791</v>
      </c>
      <c r="W133" s="2">
        <f>W12/'Output-Calculation-sheet'!W11*'Output-Calculation-sheet'!W110</f>
        <v>46007766.708856314</v>
      </c>
      <c r="X133" s="2">
        <f>X12/'Output-Calculation-sheet'!X11*'Output-Calculation-sheet'!X110</f>
        <v>80571928.480266616</v>
      </c>
      <c r="Y133" s="2">
        <f>Y12/'Output-Calculation-sheet'!Y11*'Output-Calculation-sheet'!Y110</f>
        <v>42337284.322425924</v>
      </c>
      <c r="AA133" s="2">
        <f t="shared" si="11"/>
        <v>21850.48863150429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1057.8798297091118</v>
      </c>
      <c r="C19" s="2">
        <f>C8/'Output-Calculation-sheet'!C7*'Output-Calculation-sheet'!C25</f>
        <v>15947.7018264256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4747.2030767706729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3297.9510938160101</v>
      </c>
      <c r="N19" s="2">
        <f>N8/'Output-Calculation-sheet'!N7*'Output-Calculation-sheet'!N25</f>
        <v>1129.0970656783545</v>
      </c>
      <c r="O19" s="2">
        <f>O8/'Output-Calculation-sheet'!O7*'Output-Calculation-sheet'!O25</f>
        <v>3084.2159637046375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402.87965715924202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368.48019151246353</v>
      </c>
      <c r="Y19" s="2">
        <f>Y8/'Output-Calculation-sheet'!Y7*'Output-Calculation-sheet'!Y25</f>
        <v>0</v>
      </c>
      <c r="AA19" s="2">
        <f t="shared" si="0"/>
        <v>30.035408704776092</v>
      </c>
    </row>
    <row r="20" spans="1:27" x14ac:dyDescent="0.25">
      <c r="A20" s="2">
        <v>2032</v>
      </c>
      <c r="B20" s="2">
        <f>B9/'Output-Calculation-sheet'!B8*'Output-Calculation-sheet'!B26</f>
        <v>5899.5817009296634</v>
      </c>
      <c r="C20" s="2">
        <f>C9/'Output-Calculation-sheet'!C8*'Output-Calculation-sheet'!C26</f>
        <v>21605.104826613999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6418.5661027980123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4460.1672237773191</v>
      </c>
      <c r="N20" s="2">
        <f>N9/'Output-Calculation-sheet'!N8*'Output-Calculation-sheet'!N26</f>
        <v>2008.1683222779795</v>
      </c>
      <c r="O20" s="2">
        <f>O9/'Output-Calculation-sheet'!O8*'Output-Calculation-sheet'!O26</f>
        <v>4209.6605210087046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731.45750323788934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498.91620647649512</v>
      </c>
      <c r="Y20" s="2">
        <f>Y9/'Output-Calculation-sheet'!Y8*'Output-Calculation-sheet'!Y26</f>
        <v>0</v>
      </c>
      <c r="AA20" s="2">
        <f t="shared" si="0"/>
        <v>45.831622407120072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31527.502082543437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8071.7226617280066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5606.4816605492479</v>
      </c>
      <c r="N21" s="2">
        <f>N10/'Output-Calculation-sheet'!N9*'Output-Calculation-sheet'!N27</f>
        <v>3067.6367911597995</v>
      </c>
      <c r="O21" s="2">
        <f>O10/'Output-Calculation-sheet'!O9*'Output-Calculation-sheet'!O27</f>
        <v>5356.1357709438089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1334.9938823288926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659.24447536165837</v>
      </c>
      <c r="Y21" s="2">
        <f>Y10/'Output-Calculation-sheet'!Y9*'Output-Calculation-sheet'!Y27</f>
        <v>0</v>
      </c>
      <c r="AA21" s="2">
        <f t="shared" si="0"/>
        <v>69.794423578928146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32979.779949868644</v>
      </c>
      <c r="D22" s="2">
        <f>D11/'Output-Calculation-sheet'!D10*'Output-Calculation-sheet'!D28</f>
        <v>0</v>
      </c>
      <c r="E22" s="2">
        <f>E11/'Output-Calculation-sheet'!E10*'Output-Calculation-sheet'!E28</f>
        <v>1399.1178566976757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10875.569473779551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825.18804361311186</v>
      </c>
      <c r="M22" s="2">
        <f>M11/'Output-Calculation-sheet'!M10*'Output-Calculation-sheet'!M28</f>
        <v>7495.9630944776036</v>
      </c>
      <c r="N22" s="2">
        <f>N11/'Output-Calculation-sheet'!N10*'Output-Calculation-sheet'!N28</f>
        <v>4313.9685158117018</v>
      </c>
      <c r="O22" s="2">
        <f>O11/'Output-Calculation-sheet'!O10*'Output-Calculation-sheet'!O28</f>
        <v>5807.7681602551074</v>
      </c>
      <c r="P22" s="2">
        <f>P11/'Output-Calculation-sheet'!P10*'Output-Calculation-sheet'!P28</f>
        <v>0</v>
      </c>
      <c r="Q22" s="2">
        <f>Q11/'Output-Calculation-sheet'!Q10*'Output-Calculation-sheet'!Q28</f>
        <v>1617.9644258121364</v>
      </c>
      <c r="R22" s="2">
        <f>R11/'Output-Calculation-sheet'!R10*'Output-Calculation-sheet'!R28</f>
        <v>0</v>
      </c>
      <c r="S22" s="2">
        <f>S11/'Output-Calculation-sheet'!S10*'Output-Calculation-sheet'!S28</f>
        <v>2187.7949719560452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767.81825296140619</v>
      </c>
      <c r="Y22" s="2">
        <f>Y11/'Output-Calculation-sheet'!Y10*'Output-Calculation-sheet'!Y28</f>
        <v>75.334858908909254</v>
      </c>
      <c r="AA22" s="2">
        <f t="shared" si="0"/>
        <v>95.427847924460821</v>
      </c>
    </row>
    <row r="23" spans="1:27" x14ac:dyDescent="0.25">
      <c r="A23" s="2">
        <v>2035</v>
      </c>
      <c r="B23" s="2">
        <f>B12/'Output-Calculation-sheet'!B11*'Output-Calculation-sheet'!B29</f>
        <v>37700.325364770157</v>
      </c>
      <c r="C23" s="2">
        <f>C12/'Output-Calculation-sheet'!C11*'Output-Calculation-sheet'!C29</f>
        <v>35153.515049603957</v>
      </c>
      <c r="D23" s="2">
        <f>D12/'Output-Calculation-sheet'!D11*'Output-Calculation-sheet'!D29</f>
        <v>0</v>
      </c>
      <c r="E23" s="2">
        <f>E12/'Output-Calculation-sheet'!E11*'Output-Calculation-sheet'!E29</f>
        <v>6925.0989964241753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12098.632019338453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2007.9020045740476</v>
      </c>
      <c r="M23" s="2">
        <f>M12/'Output-Calculation-sheet'!M11*'Output-Calculation-sheet'!M29</f>
        <v>8599.3858249562199</v>
      </c>
      <c r="N23" s="2">
        <f>N12/'Output-Calculation-sheet'!N11*'Output-Calculation-sheet'!N29</f>
        <v>4994.4275970642184</v>
      </c>
      <c r="O23" s="2">
        <f>O12/'Output-Calculation-sheet'!O11*'Output-Calculation-sheet'!O29</f>
        <v>5811.7129003733144</v>
      </c>
      <c r="P23" s="2">
        <f>P12/'Output-Calculation-sheet'!P11*'Output-Calculation-sheet'!P29</f>
        <v>803.34489453914216</v>
      </c>
      <c r="Q23" s="2">
        <f>Q12/'Output-Calculation-sheet'!Q11*'Output-Calculation-sheet'!Q29</f>
        <v>2557.3385725839698</v>
      </c>
      <c r="R23" s="2">
        <f>R12/'Output-Calculation-sheet'!R11*'Output-Calculation-sheet'!R29</f>
        <v>0</v>
      </c>
      <c r="S23" s="2">
        <f>S12/'Output-Calculation-sheet'!S11*'Output-Calculation-sheet'!S29</f>
        <v>2762.115006260351</v>
      </c>
      <c r="T23" s="2">
        <f>T12/'Output-Calculation-sheet'!T11*'Output-Calculation-sheet'!T29</f>
        <v>0</v>
      </c>
      <c r="U23" s="2">
        <f>U12/'Output-Calculation-sheet'!U11*'Output-Calculation-sheet'!U29</f>
        <v>298.06012826894346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821.60832486843879</v>
      </c>
      <c r="Y23" s="2">
        <f>Y12/'Output-Calculation-sheet'!Y11*'Output-Calculation-sheet'!Y29</f>
        <v>253.50910196247773</v>
      </c>
      <c r="AA23" s="2">
        <f t="shared" si="0"/>
        <v>120.78697578558788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18438.501783421572</v>
      </c>
      <c r="C30" s="2">
        <f>C8/'Output-Calculation-sheet'!C7*'Output-Calculation-sheet'!C16</f>
        <v>0</v>
      </c>
      <c r="D30" s="2">
        <f>D8/'Output-Calculation-sheet'!D7*'Output-Calculation-sheet'!D16</f>
        <v>3104.7999496947646</v>
      </c>
      <c r="E30" s="2">
        <f>E8/'Output-Calculation-sheet'!E7*'Output-Calculation-sheet'!E16</f>
        <v>3340.5893313249344</v>
      </c>
      <c r="F30" s="2">
        <f>F8/'Output-Calculation-sheet'!F7*'Output-Calculation-sheet'!F16</f>
        <v>1685.3450938385145</v>
      </c>
      <c r="G30" s="2">
        <f>G8/'Output-Calculation-sheet'!G7*'Output-Calculation-sheet'!G16</f>
        <v>1103.7008653048133</v>
      </c>
      <c r="H30" s="2">
        <f>H8/'Output-Calculation-sheet'!H7*'Output-Calculation-sheet'!H16</f>
        <v>0</v>
      </c>
      <c r="I30" s="2">
        <f>I8/'Output-Calculation-sheet'!I7*'Output-Calculation-sheet'!I16</f>
        <v>1075.9430850973195</v>
      </c>
      <c r="J30" s="2">
        <f>J8/'Output-Calculation-sheet'!J7*'Output-Calculation-sheet'!J16</f>
        <v>957.79623217221615</v>
      </c>
      <c r="K30" s="2">
        <f>K8/'Output-Calculation-sheet'!K7*'Output-Calculation-sheet'!K16</f>
        <v>1278.8410429381415</v>
      </c>
      <c r="L30" s="2">
        <f>L8/'Output-Calculation-sheet'!L7*'Output-Calculation-sheet'!L16</f>
        <v>1080.2049133776807</v>
      </c>
      <c r="M30" s="2">
        <f>M8/'Output-Calculation-sheet'!M7*'Output-Calculation-sheet'!M16</f>
        <v>0</v>
      </c>
      <c r="N30" s="2">
        <f>N8/'Output-Calculation-sheet'!N7*'Output-Calculation-sheet'!N16</f>
        <v>1534.3400735154141</v>
      </c>
      <c r="O30" s="2">
        <f>O8/'Output-Calculation-sheet'!O7*'Output-Calculation-sheet'!O16</f>
        <v>0</v>
      </c>
      <c r="P30" s="2">
        <f>P8/'Output-Calculation-sheet'!P7*'Output-Calculation-sheet'!P16</f>
        <v>1379.0145123573443</v>
      </c>
      <c r="Q30" s="2">
        <f>Q8/'Output-Calculation-sheet'!Q7*'Output-Calculation-sheet'!Q16</f>
        <v>1516.4605304879235</v>
      </c>
      <c r="R30" s="2">
        <f>R8/'Output-Calculation-sheet'!R7*'Output-Calculation-sheet'!R16</f>
        <v>962.20079771458518</v>
      </c>
      <c r="S30" s="2">
        <f>S8/'Output-Calculation-sheet'!S7*'Output-Calculation-sheet'!S16</f>
        <v>967.69185383947774</v>
      </c>
      <c r="T30" s="2">
        <f>T8/'Output-Calculation-sheet'!T7*'Output-Calculation-sheet'!T16</f>
        <v>288.83884856805605</v>
      </c>
      <c r="U30" s="2">
        <f>U8/'Output-Calculation-sheet'!U7*'Output-Calculation-sheet'!U16</f>
        <v>288.32255645053118</v>
      </c>
      <c r="V30" s="2">
        <f>V8/'Output-Calculation-sheet'!V7*'Output-Calculation-sheet'!V16</f>
        <v>224.39596511420564</v>
      </c>
      <c r="W30" s="2">
        <f>W8/'Output-Calculation-sheet'!W7*'Output-Calculation-sheet'!W16</f>
        <v>136.10746521141331</v>
      </c>
      <c r="X30" s="2">
        <f>X8/'Output-Calculation-sheet'!X7*'Output-Calculation-sheet'!X16</f>
        <v>0</v>
      </c>
      <c r="Y30" s="2">
        <f>Y8/'Output-Calculation-sheet'!Y7*'Output-Calculation-sheet'!Y16</f>
        <v>115.19949560482591</v>
      </c>
      <c r="AA30" s="2">
        <f t="shared" si="1"/>
        <v>39.478294396033732</v>
      </c>
    </row>
    <row r="31" spans="1:27" x14ac:dyDescent="0.25">
      <c r="A31" s="2">
        <v>2032</v>
      </c>
      <c r="B31" s="2">
        <f>B9/'Output-Calculation-sheet'!B8*'Output-Calculation-sheet'!B17</f>
        <v>24980.778069735275</v>
      </c>
      <c r="C31" s="2">
        <f>C9/'Output-Calculation-sheet'!C8*'Output-Calculation-sheet'!C17</f>
        <v>0</v>
      </c>
      <c r="D31" s="2">
        <f>D9/'Output-Calculation-sheet'!D8*'Output-Calculation-sheet'!D17</f>
        <v>4189.6044709054777</v>
      </c>
      <c r="E31" s="2">
        <f>E9/'Output-Calculation-sheet'!E8*'Output-Calculation-sheet'!E17</f>
        <v>4924.3076373771637</v>
      </c>
      <c r="F31" s="2">
        <f>F9/'Output-Calculation-sheet'!F8*'Output-Calculation-sheet'!F17</f>
        <v>2274.2532344033225</v>
      </c>
      <c r="G31" s="2">
        <f>G9/'Output-Calculation-sheet'!G8*'Output-Calculation-sheet'!G17</f>
        <v>1489.3519532029698</v>
      </c>
      <c r="H31" s="2">
        <f>H9/'Output-Calculation-sheet'!H8*'Output-Calculation-sheet'!H17</f>
        <v>0</v>
      </c>
      <c r="I31" s="2">
        <f>I9/'Output-Calculation-sheet'!I8*'Output-Calculation-sheet'!I17</f>
        <v>1451.9019523609059</v>
      </c>
      <c r="J31" s="2">
        <f>J9/'Output-Calculation-sheet'!J8*'Output-Calculation-sheet'!J17</f>
        <v>1292.4725913602515</v>
      </c>
      <c r="K31" s="2">
        <f>K9/'Output-Calculation-sheet'!K8*'Output-Calculation-sheet'!K17</f>
        <v>1840.1377999503557</v>
      </c>
      <c r="L31" s="2">
        <f>L9/'Output-Calculation-sheet'!L8*'Output-Calculation-sheet'!L17</f>
        <v>1569.3140553112789</v>
      </c>
      <c r="M31" s="2">
        <f>M9/'Output-Calculation-sheet'!M8*'Output-Calculation-sheet'!M17</f>
        <v>0</v>
      </c>
      <c r="N31" s="2">
        <f>N9/'Output-Calculation-sheet'!N8*'Output-Calculation-sheet'!N17</f>
        <v>1712.2462900018143</v>
      </c>
      <c r="O31" s="2">
        <f>O9/'Output-Calculation-sheet'!O8*'Output-Calculation-sheet'!O17</f>
        <v>0</v>
      </c>
      <c r="P31" s="2">
        <f>P9/'Output-Calculation-sheet'!P8*'Output-Calculation-sheet'!P17</f>
        <v>2117.4168484298302</v>
      </c>
      <c r="Q31" s="2">
        <f>Q9/'Output-Calculation-sheet'!Q8*'Output-Calculation-sheet'!Q17</f>
        <v>2257.3609022271744</v>
      </c>
      <c r="R31" s="2">
        <f>R9/'Output-Calculation-sheet'!R8*'Output-Calculation-sheet'!R17</f>
        <v>1476.8848023775527</v>
      </c>
      <c r="S31" s="2">
        <f>S9/'Output-Calculation-sheet'!S8*'Output-Calculation-sheet'!S17</f>
        <v>1270.7938315181871</v>
      </c>
      <c r="T31" s="2">
        <f>T9/'Output-Calculation-sheet'!T8*'Output-Calculation-sheet'!T17</f>
        <v>400.76348135339271</v>
      </c>
      <c r="U31" s="2">
        <f>U9/'Output-Calculation-sheet'!U8*'Output-Calculation-sheet'!U17</f>
        <v>460.60500409877477</v>
      </c>
      <c r="V31" s="2">
        <f>V9/'Output-Calculation-sheet'!V8*'Output-Calculation-sheet'!V17</f>
        <v>329.90950922812431</v>
      </c>
      <c r="W31" s="2">
        <f>W9/'Output-Calculation-sheet'!W8*'Output-Calculation-sheet'!W17</f>
        <v>183.6684077637706</v>
      </c>
      <c r="X31" s="2">
        <f>X9/'Output-Calculation-sheet'!X8*'Output-Calculation-sheet'!X17</f>
        <v>0</v>
      </c>
      <c r="Y31" s="2">
        <f>Y9/'Output-Calculation-sheet'!Y8*'Output-Calculation-sheet'!Y17</f>
        <v>177.46347412966657</v>
      </c>
      <c r="AA31" s="2">
        <f t="shared" si="1"/>
        <v>54.399234315735292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1724.9890632080471</v>
      </c>
      <c r="O32" s="2">
        <f>O10/'Output-Calculation-sheet'!O9*'Output-Calculation-sheet'!O18</f>
        <v>0</v>
      </c>
      <c r="P32" s="2">
        <f>P10/'Output-Calculation-sheet'!P9*'Output-Calculation-sheet'!P18</f>
        <v>2777.4216813151907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1994.373265856668</v>
      </c>
      <c r="S32" s="2">
        <f>S10/'Output-Calculation-sheet'!S9*'Output-Calculation-sheet'!S18</f>
        <v>1305.2645580430251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643.86157426651346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68.027400253672042</v>
      </c>
    </row>
    <row r="33" spans="1:27" x14ac:dyDescent="0.25">
      <c r="A33" s="2">
        <v>2034</v>
      </c>
      <c r="B33" s="2">
        <f>B11/'Output-Calculation-sheet'!B10*'Output-Calculation-sheet'!B19</f>
        <v>27315.644794684093</v>
      </c>
      <c r="C33" s="2">
        <f>C11/'Output-Calculation-sheet'!C10*'Output-Calculation-sheet'!C19</f>
        <v>0</v>
      </c>
      <c r="D33" s="2">
        <f>D11/'Output-Calculation-sheet'!D10*'Output-Calculation-sheet'!D19</f>
        <v>8147.5451182171755</v>
      </c>
      <c r="E33" s="2">
        <f>E11/'Output-Calculation-sheet'!E10*'Output-Calculation-sheet'!E19</f>
        <v>10094.947100300822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2773.5630870169098</v>
      </c>
      <c r="H33" s="2">
        <f>H11/'Output-Calculation-sheet'!H10*'Output-Calculation-sheet'!H19</f>
        <v>0</v>
      </c>
      <c r="I33" s="2">
        <f>I11/'Output-Calculation-sheet'!I10*'Output-Calculation-sheet'!I19</f>
        <v>3026.3400913711234</v>
      </c>
      <c r="J33" s="2">
        <f>J11/'Output-Calculation-sheet'!J10*'Output-Calculation-sheet'!J19</f>
        <v>2558.6253769549744</v>
      </c>
      <c r="K33" s="2">
        <f>K11/'Output-Calculation-sheet'!K10*'Output-Calculation-sheet'!K19</f>
        <v>3550.8999732216394</v>
      </c>
      <c r="L33" s="2">
        <f>L11/'Output-Calculation-sheet'!L10*'Output-Calculation-sheet'!L19</f>
        <v>2889.132587914617</v>
      </c>
      <c r="M33" s="2">
        <f>M11/'Output-Calculation-sheet'!M10*'Output-Calculation-sheet'!M19</f>
        <v>0</v>
      </c>
      <c r="N33" s="2">
        <f>N11/'Output-Calculation-sheet'!N10*'Output-Calculation-sheet'!N19</f>
        <v>1632.8661246384463</v>
      </c>
      <c r="O33" s="2">
        <f>O11/'Output-Calculation-sheet'!O10*'Output-Calculation-sheet'!O19</f>
        <v>0</v>
      </c>
      <c r="P33" s="2">
        <f>P11/'Output-Calculation-sheet'!P10*'Output-Calculation-sheet'!P19</f>
        <v>3592.8843890344856</v>
      </c>
      <c r="Q33" s="2">
        <f>Q11/'Output-Calculation-sheet'!Q10*'Output-Calculation-sheet'!Q19</f>
        <v>2876.7800911315298</v>
      </c>
      <c r="R33" s="2">
        <f>R11/'Output-Calculation-sheet'!R10*'Output-Calculation-sheet'!R19</f>
        <v>2565.2248405265314</v>
      </c>
      <c r="S33" s="2">
        <f>S11/'Output-Calculation-sheet'!S10*'Output-Calculation-sheet'!S19</f>
        <v>1198.9703890838193</v>
      </c>
      <c r="T33" s="2">
        <f>T11/'Output-Calculation-sheet'!T10*'Output-Calculation-sheet'!T19</f>
        <v>752.68136433085078</v>
      </c>
      <c r="U33" s="2">
        <f>U11/'Output-Calculation-sheet'!U10*'Output-Calculation-sheet'!U19</f>
        <v>865.59797250704719</v>
      </c>
      <c r="V33" s="2">
        <f>V11/'Output-Calculation-sheet'!V10*'Output-Calculation-sheet'!V19</f>
        <v>590.29924649126303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145.17148058948101</v>
      </c>
      <c r="Y33" s="2">
        <f>Y11/'Output-Calculation-sheet'!Y10*'Output-Calculation-sheet'!Y19</f>
        <v>331.26726280682448</v>
      </c>
      <c r="AA33" s="2">
        <f t="shared" si="1"/>
        <v>79.907455802605298</v>
      </c>
    </row>
    <row r="34" spans="1:27" x14ac:dyDescent="0.25">
      <c r="A34" s="2">
        <v>2035</v>
      </c>
      <c r="B34" s="2">
        <f>B12/'Output-Calculation-sheet'!B11*'Output-Calculation-sheet'!B20</f>
        <v>26165.552367030792</v>
      </c>
      <c r="C34" s="2">
        <f>C12/'Output-Calculation-sheet'!C11*'Output-Calculation-sheet'!C20</f>
        <v>0</v>
      </c>
      <c r="D34" s="2">
        <f>D12/'Output-Calculation-sheet'!D11*'Output-Calculation-sheet'!D20</f>
        <v>9696.2936018954733</v>
      </c>
      <c r="E34" s="2">
        <f>E12/'Output-Calculation-sheet'!E11*'Output-Calculation-sheet'!E20</f>
        <v>8743.7269046396523</v>
      </c>
      <c r="F34" s="2">
        <f>F12/'Output-Calculation-sheet'!F11*'Output-Calculation-sheet'!F20</f>
        <v>6199.0903639309299</v>
      </c>
      <c r="G34" s="2">
        <f>G12/'Output-Calculation-sheet'!G11*'Output-Calculation-sheet'!G20</f>
        <v>3084.5911898125191</v>
      </c>
      <c r="H34" s="2">
        <f>H12/'Output-Calculation-sheet'!H11*'Output-Calculation-sheet'!H20</f>
        <v>0</v>
      </c>
      <c r="I34" s="2">
        <f>I12/'Output-Calculation-sheet'!I11*'Output-Calculation-sheet'!I20</f>
        <v>3789.938829059291</v>
      </c>
      <c r="J34" s="2">
        <f>J12/'Output-Calculation-sheet'!J11*'Output-Calculation-sheet'!J20</f>
        <v>3157.2996695876177</v>
      </c>
      <c r="K34" s="2">
        <f>K12/'Output-Calculation-sheet'!K11*'Output-Calculation-sheet'!K20</f>
        <v>4443.4678098979612</v>
      </c>
      <c r="L34" s="2">
        <f>L12/'Output-Calculation-sheet'!L11*'Output-Calculation-sheet'!L20</f>
        <v>3023.3191079189082</v>
      </c>
      <c r="M34" s="2">
        <f>M12/'Output-Calculation-sheet'!M11*'Output-Calculation-sheet'!M20</f>
        <v>0</v>
      </c>
      <c r="N34" s="2">
        <f>N12/'Output-Calculation-sheet'!N11*'Output-Calculation-sheet'!N20</f>
        <v>1730.45444305043</v>
      </c>
      <c r="O34" s="2">
        <f>O12/'Output-Calculation-sheet'!O11*'Output-Calculation-sheet'!O20</f>
        <v>0</v>
      </c>
      <c r="P34" s="2">
        <f>P12/'Output-Calculation-sheet'!P11*'Output-Calculation-sheet'!P20</f>
        <v>3675.6996481153205</v>
      </c>
      <c r="Q34" s="2">
        <f>Q12/'Output-Calculation-sheet'!Q11*'Output-Calculation-sheet'!Q20</f>
        <v>2620.5540983753035</v>
      </c>
      <c r="R34" s="2">
        <f>R12/'Output-Calculation-sheet'!R11*'Output-Calculation-sheet'!R20</f>
        <v>3189.0391560484504</v>
      </c>
      <c r="S34" s="2">
        <f>S12/'Output-Calculation-sheet'!S11*'Output-Calculation-sheet'!S20</f>
        <v>1141.9258480461476</v>
      </c>
      <c r="T34" s="2">
        <f>T12/'Output-Calculation-sheet'!T11*'Output-Calculation-sheet'!T20</f>
        <v>923.08906251157384</v>
      </c>
      <c r="U34" s="2">
        <f>U12/'Output-Calculation-sheet'!U11*'Output-Calculation-sheet'!U20</f>
        <v>845.17935628625992</v>
      </c>
      <c r="V34" s="2">
        <f>V12/'Output-Calculation-sheet'!V11*'Output-Calculation-sheet'!V20</f>
        <v>834.32920649058372</v>
      </c>
      <c r="W34" s="2">
        <f>W12/'Output-Calculation-sheet'!W11*'Output-Calculation-sheet'!W20</f>
        <v>492.82443085079325</v>
      </c>
      <c r="X34" s="2">
        <f>X12/'Output-Calculation-sheet'!X11*'Output-Calculation-sheet'!X20</f>
        <v>142.50480717403701</v>
      </c>
      <c r="Y34" s="2">
        <f>Y12/'Output-Calculation-sheet'!Y11*'Output-Calculation-sheet'!Y20</f>
        <v>265.74897558150491</v>
      </c>
      <c r="AA34" s="2">
        <f t="shared" si="1"/>
        <v>84.164628876303553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0.22033916161620473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0.22033916161620473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1.1565765369057914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0.22469170657734991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1.3812682434831414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2.308488100792836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0.44847713439555803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11.053137613265461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30857.361995328356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6730.6187072749908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4593.9749098456314</v>
      </c>
      <c r="N52" s="2">
        <f>N8/'Output-Calculation-sheet'!N7*'Output-Calculation-sheet'!N43</f>
        <v>146.8338268352949</v>
      </c>
      <c r="O52" s="2">
        <f>O8/'Output-Calculation-sheet'!O7*'Output-Calculation-sheet'!O43</f>
        <v>6251.6733867506673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594.11141495026482</v>
      </c>
      <c r="Y52" s="2">
        <f>Y8/'Output-Calculation-sheet'!Y7*'Output-Calculation-sheet'!Y43</f>
        <v>0</v>
      </c>
      <c r="AA52" s="2">
        <f t="shared" si="3"/>
        <v>49.174574240985208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54916.456616929703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12832.561704167143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8789.7382901157162</v>
      </c>
      <c r="N53" s="2">
        <f>N9/'Output-Calculation-sheet'!N8*'Output-Calculation-sheet'!N44</f>
        <v>3110.797393194372</v>
      </c>
      <c r="O53" s="2">
        <f>O9/'Output-Calculation-sheet'!O8*'Output-Calculation-sheet'!O44</f>
        <v>10890.671393695846</v>
      </c>
      <c r="P53" s="2">
        <f>P9/'Output-Calculation-sheet'!P8*'Output-Calculation-sheet'!P44</f>
        <v>146.43649807168791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976.79107575246087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1099.1633292942452</v>
      </c>
      <c r="Y53" s="2">
        <f>Y9/'Output-Calculation-sheet'!Y8*'Output-Calculation-sheet'!Y44</f>
        <v>0</v>
      </c>
      <c r="AA53" s="2">
        <f t="shared" si="3"/>
        <v>92.762616301221158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70040.112548669378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12795.133771046274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480.56284543829918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159.64677825592008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72844.031008627921</v>
      </c>
      <c r="D55" s="2">
        <f>D11/'Output-Calculation-sheet'!D10*'Output-Calculation-sheet'!D46</f>
        <v>7189.6976489374802</v>
      </c>
      <c r="E55" s="2">
        <f>E11/'Output-Calculation-sheet'!E10*'Output-Calculation-sheet'!E46</f>
        <v>8785.1088046257664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23953.966988737186</v>
      </c>
      <c r="I55" s="2">
        <f>I11/'Output-Calculation-sheet'!I10*'Output-Calculation-sheet'!I46</f>
        <v>1739.8091894284398</v>
      </c>
      <c r="J55" s="2">
        <f>J11/'Output-Calculation-sheet'!J10*'Output-Calculation-sheet'!J46</f>
        <v>1262.6825848878843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16418.203930968823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13461.792595818419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4922.3809919141313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6150.490842627717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1417.02884213834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1713.8905534119212</v>
      </c>
      <c r="Y55" s="2">
        <f>Y11/'Output-Calculation-sheet'!Y10*'Output-Calculation-sheet'!Y46</f>
        <v>434.52793536273686</v>
      </c>
      <c r="AA55" s="2">
        <f t="shared" si="3"/>
        <v>268.50581624257643</v>
      </c>
    </row>
    <row r="56" spans="1:27" x14ac:dyDescent="0.25">
      <c r="A56" s="2">
        <v>2035</v>
      </c>
      <c r="B56" s="2">
        <f>B12/'Output-Calculation-sheet'!B11*'Output-Calculation-sheet'!B47</f>
        <v>117542.85886620167</v>
      </c>
      <c r="C56" s="2">
        <f>C12/'Output-Calculation-sheet'!C11*'Output-Calculation-sheet'!C47</f>
        <v>73810.869538507774</v>
      </c>
      <c r="D56" s="2">
        <f>D12/'Output-Calculation-sheet'!D11*'Output-Calculation-sheet'!D47</f>
        <v>20449.314499552933</v>
      </c>
      <c r="E56" s="2">
        <f>E12/'Output-Calculation-sheet'!E11*'Output-Calculation-sheet'!E47</f>
        <v>30293.833228485444</v>
      </c>
      <c r="F56" s="2">
        <f>F12/'Output-Calculation-sheet'!F11*'Output-Calculation-sheet'!F47</f>
        <v>4393.338557023656</v>
      </c>
      <c r="G56" s="2">
        <f>G12/'Output-Calculation-sheet'!G11*'Output-Calculation-sheet'!G47</f>
        <v>7078.2187034801682</v>
      </c>
      <c r="H56" s="2">
        <f>H12/'Output-Calculation-sheet'!H11*'Output-Calculation-sheet'!H47</f>
        <v>24934.194146682094</v>
      </c>
      <c r="I56" s="2">
        <f>I12/'Output-Calculation-sheet'!I11*'Output-Calculation-sheet'!I47</f>
        <v>6945.2019529819172</v>
      </c>
      <c r="J56" s="2">
        <f>J12/'Output-Calculation-sheet'!J11*'Output-Calculation-sheet'!J47</f>
        <v>5556.0546783015507</v>
      </c>
      <c r="K56" s="2">
        <f>K12/'Output-Calculation-sheet'!K11*'Output-Calculation-sheet'!K47</f>
        <v>7451.7606489999735</v>
      </c>
      <c r="L56" s="2">
        <f>L12/'Output-Calculation-sheet'!L11*'Output-Calculation-sheet'!L47</f>
        <v>6241.9011675801621</v>
      </c>
      <c r="M56" s="2">
        <f>M12/'Output-Calculation-sheet'!M11*'Output-Calculation-sheet'!M47</f>
        <v>17264.397808039896</v>
      </c>
      <c r="N56" s="2">
        <f>N12/'Output-Calculation-sheet'!N11*'Output-Calculation-sheet'!N47</f>
        <v>14459.80008688115</v>
      </c>
      <c r="O56" s="2">
        <f>O12/'Output-Calculation-sheet'!O11*'Output-Calculation-sheet'!O47</f>
        <v>13513.324181129314</v>
      </c>
      <c r="P56" s="2">
        <f>P12/'Output-Calculation-sheet'!P11*'Output-Calculation-sheet'!P47</f>
        <v>7730.6489669625362</v>
      </c>
      <c r="Q56" s="2">
        <f>Q12/'Output-Calculation-sheet'!Q11*'Output-Calculation-sheet'!Q47</f>
        <v>7811.9098480088041</v>
      </c>
      <c r="R56" s="2">
        <f>R12/'Output-Calculation-sheet'!R11*'Output-Calculation-sheet'!R47</f>
        <v>6098.6747620378919</v>
      </c>
      <c r="S56" s="2">
        <f>S12/'Output-Calculation-sheet'!S11*'Output-Calculation-sheet'!S47</f>
        <v>7636.3602654290144</v>
      </c>
      <c r="T56" s="2">
        <f>T12/'Output-Calculation-sheet'!T11*'Output-Calculation-sheet'!T47</f>
        <v>2303.7250158103229</v>
      </c>
      <c r="U56" s="2">
        <f>U12/'Output-Calculation-sheet'!U11*'Output-Calculation-sheet'!U47</f>
        <v>2404.0908653670908</v>
      </c>
      <c r="V56" s="2">
        <f>V12/'Output-Calculation-sheet'!V11*'Output-Calculation-sheet'!V47</f>
        <v>1249.4787412930993</v>
      </c>
      <c r="W56" s="2">
        <f>W12/'Output-Calculation-sheet'!W11*'Output-Calculation-sheet'!W47</f>
        <v>668.8446782688535</v>
      </c>
      <c r="X56" s="2">
        <f>X12/'Output-Calculation-sheet'!X11*'Output-Calculation-sheet'!X47</f>
        <v>1736.3141438738537</v>
      </c>
      <c r="Y56" s="2">
        <f>Y12/'Output-Calculation-sheet'!Y11*'Output-Calculation-sheet'!Y47</f>
        <v>969.47246064266449</v>
      </c>
      <c r="AA56" s="2">
        <f t="shared" si="3"/>
        <v>388.54458781154187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7.1809497168385237</v>
      </c>
      <c r="C63" s="2">
        <f>C8*'Output-Calculation-sheet'!C52/10^9</f>
        <v>4.5285949797364262</v>
      </c>
      <c r="D63" s="2">
        <f>D8*'Output-Calculation-sheet'!D52/10^9</f>
        <v>2.4624848794535947</v>
      </c>
      <c r="E63" s="2">
        <f>E8*'Output-Calculation-sheet'!E52/10^9</f>
        <v>2.4483828086436632</v>
      </c>
      <c r="F63" s="2">
        <f>F8*'Output-Calculation-sheet'!F52/10^9</f>
        <v>1.0368907426235821</v>
      </c>
      <c r="G63" s="2">
        <f>G8*'Output-Calculation-sheet'!G52/10^9</f>
        <v>0.74547669666127447</v>
      </c>
      <c r="H63" s="2">
        <f>H8*'Output-Calculation-sheet'!H52/10^9</f>
        <v>1.3021597966687419</v>
      </c>
      <c r="I63" s="2">
        <f>I8*'Output-Calculation-sheet'!I52/10^9</f>
        <v>0.69346649420192019</v>
      </c>
      <c r="J63" s="2">
        <f>J8*'Output-Calculation-sheet'!J52/10^9</f>
        <v>0.95425783253313801</v>
      </c>
      <c r="K63" s="2">
        <f>K8*'Output-Calculation-sheet'!K52/10^9</f>
        <v>0.83839820891009942</v>
      </c>
      <c r="L63" s="2">
        <f>L8*'Output-Calculation-sheet'!L52/10^9</f>
        <v>1.1276843411729465</v>
      </c>
      <c r="M63" s="2">
        <f>M8*'Output-Calculation-sheet'!M52/10^9</f>
        <v>1.0569469707437975</v>
      </c>
      <c r="N63" s="2">
        <f>N8*'Output-Calculation-sheet'!N52/10^9</f>
        <v>0.88212624372274817</v>
      </c>
      <c r="O63" s="2">
        <f>O8*'Output-Calculation-sheet'!O52/10^9</f>
        <v>0.94066154117588763</v>
      </c>
      <c r="P63" s="2">
        <f>P8*'Output-Calculation-sheet'!P52/10^9</f>
        <v>0.57931161097359762</v>
      </c>
      <c r="Q63" s="2">
        <f>Q8*'Output-Calculation-sheet'!Q52/10^9</f>
        <v>0.65560740316009236</v>
      </c>
      <c r="R63" s="2">
        <f>R8*'Output-Calculation-sheet'!R52/10^9</f>
        <v>0.58860596846612934</v>
      </c>
      <c r="S63" s="2">
        <f>S8*'Output-Calculation-sheet'!S52/10^9</f>
        <v>0.43618047453855552</v>
      </c>
      <c r="T63" s="2">
        <f>T8*'Output-Calculation-sheet'!T52/10^9</f>
        <v>0.2237804944030512</v>
      </c>
      <c r="U63" s="2">
        <f>U8*'Output-Calculation-sheet'!U52/10^9</f>
        <v>0.15368995535048113</v>
      </c>
      <c r="V63" s="2">
        <f>V8*'Output-Calculation-sheet'!V52/10^9</f>
        <v>0.27276355972375788</v>
      </c>
      <c r="W63" s="2">
        <f>W8*'Output-Calculation-sheet'!W52/10^9</f>
        <v>9.8727820281198045E-2</v>
      </c>
      <c r="X63" s="2">
        <f>X8*'Output-Calculation-sheet'!X52/10^9</f>
        <v>0.11363344346046041</v>
      </c>
      <c r="Y63" s="2">
        <f>Y8*'Output-Calculation-sheet'!Y52/10^9</f>
        <v>6.4417094144186365E-2</v>
      </c>
      <c r="AA63" s="2">
        <f t="shared" si="4"/>
        <v>29.38519907758786</v>
      </c>
    </row>
    <row r="64" spans="1:27" x14ac:dyDescent="0.25">
      <c r="A64" s="2">
        <v>2032</v>
      </c>
      <c r="B64" s="2">
        <f>B9*'Output-Calculation-sheet'!B53/10^9</f>
        <v>7.3969682903713734</v>
      </c>
      <c r="C64" s="2">
        <f>C9*'Output-Calculation-sheet'!C53/10^9</f>
        <v>4.9939498403688676</v>
      </c>
      <c r="D64" s="2">
        <f>D9*'Output-Calculation-sheet'!D53/10^9</f>
        <v>2.189057128474845</v>
      </c>
      <c r="E64" s="2">
        <f>E9*'Output-Calculation-sheet'!E53/10^9</f>
        <v>2.241701226915898</v>
      </c>
      <c r="F64" s="2">
        <f>F9*'Output-Calculation-sheet'!F53/10^9</f>
        <v>0.94553631470645039</v>
      </c>
      <c r="G64" s="2">
        <f>G9*'Output-Calculation-sheet'!G53/10^9</f>
        <v>0.67300310889339698</v>
      </c>
      <c r="H64" s="2">
        <f>H9*'Output-Calculation-sheet'!H53/10^9</f>
        <v>1.3829237093461348</v>
      </c>
      <c r="I64" s="2">
        <f>I9*'Output-Calculation-sheet'!I53/10^9</f>
        <v>0.62914801826128508</v>
      </c>
      <c r="J64" s="2">
        <f>J9*'Output-Calculation-sheet'!J53/10^9</f>
        <v>0.83286495616716938</v>
      </c>
      <c r="K64" s="2">
        <f>K9*'Output-Calculation-sheet'!K53/10^9</f>
        <v>0.77278338024838256</v>
      </c>
      <c r="L64" s="2">
        <f>L9*'Output-Calculation-sheet'!L53/10^9</f>
        <v>0.99417941717593306</v>
      </c>
      <c r="M64" s="2">
        <f>M9*'Output-Calculation-sheet'!M53/10^9</f>
        <v>1.0838203124062664</v>
      </c>
      <c r="N64" s="2">
        <f>N9*'Output-Calculation-sheet'!N53/10^9</f>
        <v>0.91237901447012482</v>
      </c>
      <c r="O64" s="2">
        <f>O9*'Output-Calculation-sheet'!O53/10^9</f>
        <v>1.0328756490131088</v>
      </c>
      <c r="P64" s="2">
        <f>P9*'Output-Calculation-sheet'!P53/10^9</f>
        <v>0.58918490656515987</v>
      </c>
      <c r="Q64" s="2">
        <f>Q9*'Output-Calculation-sheet'!Q53/10^9</f>
        <v>0.65114819654973999</v>
      </c>
      <c r="R64" s="2">
        <f>R9*'Output-Calculation-sheet'!R53/10^9</f>
        <v>0.55818701361560508</v>
      </c>
      <c r="S64" s="2">
        <f>S9*'Output-Calculation-sheet'!S53/10^9</f>
        <v>0.46118648621122954</v>
      </c>
      <c r="T64" s="2">
        <f>T9*'Output-Calculation-sheet'!T53/10^9</f>
        <v>0.20065370255458873</v>
      </c>
      <c r="U64" s="2">
        <f>U9*'Output-Calculation-sheet'!U53/10^9</f>
        <v>0.15102778585611915</v>
      </c>
      <c r="V64" s="2">
        <f>V9*'Output-Calculation-sheet'!V53/10^9</f>
        <v>0.23816245903381283</v>
      </c>
      <c r="W64" s="2">
        <f>W9*'Output-Calculation-sheet'!W53/10^9</f>
        <v>8.8496877075493155E-2</v>
      </c>
      <c r="X64" s="2">
        <f>X9*'Output-Calculation-sheet'!X53/10^9</f>
        <v>0.12012008627467327</v>
      </c>
      <c r="Y64" s="2">
        <f>Y9*'Output-Calculation-sheet'!Y53/10^9</f>
        <v>6.2003789930147012E-2</v>
      </c>
      <c r="AA64" s="2">
        <f t="shared" si="4"/>
        <v>29.201361670485813</v>
      </c>
    </row>
    <row r="65" spans="1:27" x14ac:dyDescent="0.25">
      <c r="A65" s="2">
        <v>2033</v>
      </c>
      <c r="B65" s="2">
        <f>B10*'Output-Calculation-sheet'!B54/10^9</f>
        <v>7.6918053681541103</v>
      </c>
      <c r="C65" s="2">
        <f>C10*'Output-Calculation-sheet'!C54/10^9</f>
        <v>5.4647717991460043</v>
      </c>
      <c r="D65" s="2">
        <f>D10*'Output-Calculation-sheet'!D54/10^9</f>
        <v>1.817187075006782</v>
      </c>
      <c r="E65" s="2">
        <f>E10*'Output-Calculation-sheet'!E54/10^9</f>
        <v>2.0461318659913488</v>
      </c>
      <c r="F65" s="2">
        <f>F10*'Output-Calculation-sheet'!F54/10^9</f>
        <v>0.83069452210235994</v>
      </c>
      <c r="G65" s="2">
        <f>G10*'Output-Calculation-sheet'!G54/10^9</f>
        <v>0.57034692965476963</v>
      </c>
      <c r="H65" s="2">
        <f>H10*'Output-Calculation-sheet'!H54/10^9</f>
        <v>1.4094921649474119</v>
      </c>
      <c r="I65" s="2">
        <f>I10*'Output-Calculation-sheet'!I54/10^9</f>
        <v>0.5553621457100153</v>
      </c>
      <c r="J65" s="2">
        <f>J10*'Output-Calculation-sheet'!J54/10^9</f>
        <v>0.66378163074262986</v>
      </c>
      <c r="K65" s="2">
        <f>K10*'Output-Calculation-sheet'!K54/10^9</f>
        <v>0.70816707175105298</v>
      </c>
      <c r="L65" s="2">
        <f>L10*'Output-Calculation-sheet'!L54/10^9</f>
        <v>0.83649424803174088</v>
      </c>
      <c r="M65" s="2">
        <f>M10*'Output-Calculation-sheet'!M54/10^9</f>
        <v>1.0642689651439809</v>
      </c>
      <c r="N65" s="2">
        <f>N10*'Output-Calculation-sheet'!N54/10^9</f>
        <v>0.91902425794550213</v>
      </c>
      <c r="O65" s="2">
        <f>O10*'Output-Calculation-sheet'!O54/10^9</f>
        <v>1.1269970405283773</v>
      </c>
      <c r="P65" s="2">
        <f>P10*'Output-Calculation-sheet'!P54/10^9</f>
        <v>0.59920196727395947</v>
      </c>
      <c r="Q65" s="2">
        <f>Q10*'Output-Calculation-sheet'!Q54/10^9</f>
        <v>0.65384502629280972</v>
      </c>
      <c r="R65" s="2">
        <f>R10*'Output-Calculation-sheet'!R54/10^9</f>
        <v>0.52752073582436865</v>
      </c>
      <c r="S65" s="2">
        <f>S10*'Output-Calculation-sheet'!S54/10^9</f>
        <v>0.47916869092674513</v>
      </c>
      <c r="T65" s="2">
        <f>T10*'Output-Calculation-sheet'!T54/10^9</f>
        <v>0.17637373105210016</v>
      </c>
      <c r="U65" s="2">
        <f>U10*'Output-Calculation-sheet'!U54/10^9</f>
        <v>0.1522997614160819</v>
      </c>
      <c r="V65" s="2">
        <f>V10*'Output-Calculation-sheet'!V54/10^9</f>
        <v>0.19518415619624052</v>
      </c>
      <c r="W65" s="2">
        <f>W10*'Output-Calculation-sheet'!W54/10^9</f>
        <v>7.4313949468361881E-2</v>
      </c>
      <c r="X65" s="2">
        <f>X10*'Output-Calculation-sheet'!X54/10^9</f>
        <v>0.12240062668422722</v>
      </c>
      <c r="Y65" s="2">
        <f>Y10*'Output-Calculation-sheet'!Y54/10^9</f>
        <v>6.1164363707822342E-2</v>
      </c>
      <c r="AA65" s="2">
        <f t="shared" si="4"/>
        <v>28.745998093698798</v>
      </c>
    </row>
    <row r="66" spans="1:27" x14ac:dyDescent="0.25">
      <c r="A66" s="2">
        <v>2034</v>
      </c>
      <c r="B66" s="2">
        <f>B11*'Output-Calculation-sheet'!B55/10^9</f>
        <v>8.0461617572681092</v>
      </c>
      <c r="C66" s="2">
        <f>C11*'Output-Calculation-sheet'!C55/10^9</f>
        <v>6.1023829401180523</v>
      </c>
      <c r="D66" s="2">
        <f>D11*'Output-Calculation-sheet'!D55/10^9</f>
        <v>1.6831425695409026</v>
      </c>
      <c r="E66" s="2">
        <f>E11*'Output-Calculation-sheet'!E55/10^9</f>
        <v>2.0379906409246842</v>
      </c>
      <c r="F66" s="2">
        <f>F11*'Output-Calculation-sheet'!F55/10^9</f>
        <v>0.78323393640740013</v>
      </c>
      <c r="G66" s="2">
        <f>G11*'Output-Calculation-sheet'!G55/10^9</f>
        <v>0.55985756805635556</v>
      </c>
      <c r="H66" s="2">
        <f>H11*'Output-Calculation-sheet'!H55/10^9</f>
        <v>1.4376868905468809</v>
      </c>
      <c r="I66" s="2">
        <f>I11*'Output-Calculation-sheet'!I55/10^9</f>
        <v>0.54750597967093606</v>
      </c>
      <c r="J66" s="2">
        <f>J11*'Output-Calculation-sheet'!J55/10^9</f>
        <v>0.56300716302050147</v>
      </c>
      <c r="K66" s="2">
        <f>K11*'Output-Calculation-sheet'!K55/10^9</f>
        <v>0.67334881096960042</v>
      </c>
      <c r="L66" s="2">
        <f>L11*'Output-Calculation-sheet'!L55/10^9</f>
        <v>0.71310755073177312</v>
      </c>
      <c r="M66" s="2">
        <f>M11*'Output-Calculation-sheet'!M55/10^9</f>
        <v>1.0369200932845848</v>
      </c>
      <c r="N66" s="2">
        <f>N11*'Output-Calculation-sheet'!N55/10^9</f>
        <v>0.90599250154465005</v>
      </c>
      <c r="O66" s="2">
        <f>O11*'Output-Calculation-sheet'!O55/10^9</f>
        <v>1.2150462586511648</v>
      </c>
      <c r="P66" s="2">
        <f>P11*'Output-Calculation-sheet'!P55/10^9</f>
        <v>0.62277957808510731</v>
      </c>
      <c r="Q66" s="2">
        <f>Q11*'Output-Calculation-sheet'!Q55/10^9</f>
        <v>0.67988823168515033</v>
      </c>
      <c r="R66" s="2">
        <f>R11*'Output-Calculation-sheet'!R55/10^9</f>
        <v>0.50441966706924435</v>
      </c>
      <c r="S66" s="2">
        <f>S11*'Output-Calculation-sheet'!S55/10^9</f>
        <v>0.49632248347995372</v>
      </c>
      <c r="T66" s="2">
        <f>T11*'Output-Calculation-sheet'!T55/10^9</f>
        <v>0.15811497304505878</v>
      </c>
      <c r="U66" s="2">
        <f>U11*'Output-Calculation-sheet'!U55/10^9</f>
        <v>0.16143629437543244</v>
      </c>
      <c r="V66" s="2">
        <f>V11*'Output-Calculation-sheet'!V55/10^9</f>
        <v>0.14999918672481186</v>
      </c>
      <c r="W66" s="2">
        <f>W11*'Output-Calculation-sheet'!W55/10^9</f>
        <v>6.7913961212155885E-2</v>
      </c>
      <c r="X66" s="2">
        <f>X11*'Output-Calculation-sheet'!X55/10^9</f>
        <v>0.1288875930785762</v>
      </c>
      <c r="Y66" s="2">
        <f>Y11*'Output-Calculation-sheet'!Y55/10^9</f>
        <v>6.6644000377515736E-2</v>
      </c>
      <c r="AA66" s="2">
        <f t="shared" si="4"/>
        <v>29.341790629868598</v>
      </c>
    </row>
    <row r="67" spans="1:27" x14ac:dyDescent="0.25">
      <c r="A67" s="2">
        <v>2035</v>
      </c>
      <c r="B67" s="2">
        <f>B12*'Output-Calculation-sheet'!B56/10^9</f>
        <v>9.1488801483904876</v>
      </c>
      <c r="C67" s="2">
        <f>C12*'Output-Calculation-sheet'!C56/10^9</f>
        <v>6.6311289804016029</v>
      </c>
      <c r="D67" s="2">
        <f>D12*'Output-Calculation-sheet'!D56/10^9</f>
        <v>2.0751827455348044</v>
      </c>
      <c r="E67" s="2">
        <f>E12*'Output-Calculation-sheet'!E56/10^9</f>
        <v>2.4701561313094813</v>
      </c>
      <c r="F67" s="2">
        <f>F12*'Output-Calculation-sheet'!F56/10^9</f>
        <v>1.0109622112692831</v>
      </c>
      <c r="G67" s="2">
        <f>G12*'Output-Calculation-sheet'!G56/10^9</f>
        <v>0.710603462920671</v>
      </c>
      <c r="H67" s="2">
        <f>H12*'Output-Calculation-sheet'!H56/10^9</f>
        <v>1.6224659378404525</v>
      </c>
      <c r="I67" s="2">
        <f>I12*'Output-Calculation-sheet'!I56/10^9</f>
        <v>0.71161292658692188</v>
      </c>
      <c r="J67" s="2">
        <f>J12*'Output-Calculation-sheet'!J56/10^9</f>
        <v>0.64379649733541788</v>
      </c>
      <c r="K67" s="2">
        <f>K12*'Output-Calculation-sheet'!K56/10^9</f>
        <v>0.79900673144749801</v>
      </c>
      <c r="L67" s="2">
        <f>L12*'Output-Calculation-sheet'!L56/10^9</f>
        <v>0.74458791876739683</v>
      </c>
      <c r="M67" s="2">
        <f>M12*'Output-Calculation-sheet'!M56/10^9</f>
        <v>1.1443651480457186</v>
      </c>
      <c r="N67" s="2">
        <f>N12*'Output-Calculation-sheet'!N56/10^9</f>
        <v>0.97296051112348214</v>
      </c>
      <c r="O67" s="2">
        <f>O12*'Output-Calculation-sheet'!O56/10^9</f>
        <v>1.2809282460518798</v>
      </c>
      <c r="P67" s="2">
        <f>P12*'Output-Calculation-sheet'!P56/10^9</f>
        <v>0.75119277385312644</v>
      </c>
      <c r="Q67" s="2">
        <f>Q12*'Output-Calculation-sheet'!Q56/10^9</f>
        <v>0.75875216852283034</v>
      </c>
      <c r="R67" s="2">
        <f>R12*'Output-Calculation-sheet'!R56/10^9</f>
        <v>0.57937274246708015</v>
      </c>
      <c r="S67" s="2">
        <f>S12*'Output-Calculation-sheet'!S56/10^9</f>
        <v>0.55404843420093708</v>
      </c>
      <c r="T67" s="2">
        <f>T12*'Output-Calculation-sheet'!T56/10^9</f>
        <v>0.17622125754286388</v>
      </c>
      <c r="U67" s="2">
        <f>U12*'Output-Calculation-sheet'!U56/10^9</f>
        <v>0.20043491414307243</v>
      </c>
      <c r="V67" s="2">
        <f>V12*'Output-Calculation-sheet'!V56/10^9</f>
        <v>0.13510377423598224</v>
      </c>
      <c r="W67" s="2">
        <f>W12*'Output-Calculation-sheet'!W56/10^9</f>
        <v>8.7499396490758455E-2</v>
      </c>
      <c r="X67" s="2">
        <f>X12*'Output-Calculation-sheet'!X56/10^9</f>
        <v>0.14331090589959314</v>
      </c>
      <c r="Y67" s="2">
        <f>Y12*'Output-Calculation-sheet'!Y56/10^9</f>
        <v>8.2225954536597701E-2</v>
      </c>
      <c r="AA67" s="2">
        <f t="shared" si="4"/>
        <v>33.434799918917932</v>
      </c>
    </row>
    <row r="68" spans="1:27" x14ac:dyDescent="0.25">
      <c r="B68" s="2">
        <f>SUM(B60:B67)</f>
        <v>57.098822480252338</v>
      </c>
      <c r="C68" s="2">
        <f t="shared" ref="C68:Y68" si="5">SUM(C60:C67)</f>
        <v>37.036246263288</v>
      </c>
      <c r="D68" s="2">
        <f t="shared" si="5"/>
        <v>17.154115778530628</v>
      </c>
      <c r="E68" s="2">
        <f t="shared" si="5"/>
        <v>18.073213640866868</v>
      </c>
      <c r="F68" s="2">
        <f t="shared" si="5"/>
        <v>7.436858928783713</v>
      </c>
      <c r="G68" s="2">
        <f t="shared" si="5"/>
        <v>5.318531749477442</v>
      </c>
      <c r="H68" s="2">
        <f t="shared" si="5"/>
        <v>10.059454678159579</v>
      </c>
      <c r="I68" s="2">
        <f t="shared" si="5"/>
        <v>5.0412985098594474</v>
      </c>
      <c r="J68" s="2">
        <f t="shared" si="5"/>
        <v>6.398716361043796</v>
      </c>
      <c r="K68" s="2">
        <f t="shared" si="5"/>
        <v>6.0989526885039478</v>
      </c>
      <c r="L68" s="2">
        <f t="shared" si="5"/>
        <v>7.6671388579492135</v>
      </c>
      <c r="M68" s="2">
        <f t="shared" si="5"/>
        <v>7.8780232860566786</v>
      </c>
      <c r="N68" s="2">
        <f t="shared" si="5"/>
        <v>6.7554494523701889</v>
      </c>
      <c r="O68" s="2">
        <f t="shared" si="5"/>
        <v>7.5433686842049426</v>
      </c>
      <c r="P68" s="2">
        <f t="shared" si="5"/>
        <v>4.6058828272937857</v>
      </c>
      <c r="Q68" s="2">
        <f t="shared" si="5"/>
        <v>5.0707125855982227</v>
      </c>
      <c r="R68" s="2">
        <f t="shared" si="5"/>
        <v>4.3617799161928064</v>
      </c>
      <c r="S68" s="2">
        <f t="shared" si="5"/>
        <v>3.4746834820480581</v>
      </c>
      <c r="T68" s="2">
        <f t="shared" si="5"/>
        <v>1.5631025754994026</v>
      </c>
      <c r="U68" s="2">
        <f t="shared" si="5"/>
        <v>1.2293968679292659</v>
      </c>
      <c r="V68" s="2">
        <f t="shared" si="5"/>
        <v>1.7860981903574797</v>
      </c>
      <c r="W68" s="2">
        <f t="shared" si="5"/>
        <v>0.69199221234388408</v>
      </c>
      <c r="X68" s="2">
        <f t="shared" si="5"/>
        <v>0.88192802800628733</v>
      </c>
      <c r="Y68" s="2">
        <f t="shared" si="5"/>
        <v>0.50980105636022888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5953.8839150528984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1437.095652369457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962.99798445532383</v>
      </c>
      <c r="N74" s="2">
        <f>N8/'Output-Calculation-sheet'!N7*'Output-Calculation-sheet'!N61</f>
        <v>40.360948151351685</v>
      </c>
      <c r="O74" s="2">
        <f>O8/'Output-Calculation-sheet'!O7*'Output-Calculation-sheet'!O61</f>
        <v>1190.1130783698175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119.66633093129265</v>
      </c>
      <c r="Y74" s="2">
        <f>Y8/'Output-Calculation-sheet'!Y7*'Output-Calculation-sheet'!Y61</f>
        <v>0</v>
      </c>
      <c r="AA74" s="2">
        <f t="shared" si="6"/>
        <v>9.704117909330142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9864.1186832499334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2444.5151103855933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1660.9178176783566</v>
      </c>
      <c r="N75" s="2">
        <f>N9/'Output-Calculation-sheet'!N8*'Output-Calculation-sheet'!N62</f>
        <v>639.59579523767093</v>
      </c>
      <c r="O75" s="2">
        <f>O9/'Output-Calculation-sheet'!O8*'Output-Calculation-sheet'!O62</f>
        <v>1949.8184716604658</v>
      </c>
      <c r="P75" s="2">
        <f>P9/'Output-Calculation-sheet'!P8*'Output-Calculation-sheet'!P62</f>
        <v>42.979112184040396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215.10983934506808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200.66033808892584</v>
      </c>
      <c r="Y75" s="2">
        <f>Y9/'Output-Calculation-sheet'!Y8*'Output-Calculation-sheet'!Y62</f>
        <v>0</v>
      </c>
      <c r="AA75" s="2">
        <f t="shared" si="6"/>
        <v>17.017715167830051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13057.606039311378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3515.4379616473393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2393.4874458430281</v>
      </c>
      <c r="N76" s="2">
        <f>N10/'Output-Calculation-sheet'!N9*'Output-Calculation-sheet'!N63</f>
        <v>1367.4191384049766</v>
      </c>
      <c r="O76" s="2">
        <f>O10/'Output-Calculation-sheet'!O9*'Output-Calculation-sheet'!O63</f>
        <v>2355.7542136199895</v>
      </c>
      <c r="P76" s="2">
        <f>P10/'Output-Calculation-sheet'!P9*'Output-Calculation-sheet'!P63</f>
        <v>474.83050265588588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360.45708975591083</v>
      </c>
      <c r="S76" s="2">
        <f>S10/'Output-Calculation-sheet'!S9*'Output-Calculation-sheet'!S63</f>
        <v>607.39716499229667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127.88761602459221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281.8774512695253</v>
      </c>
      <c r="Y76" s="2">
        <f>Y10/'Output-Calculation-sheet'!Y9*'Output-Calculation-sheet'!Y63</f>
        <v>5.3475766543004273</v>
      </c>
      <c r="AA76" s="2">
        <f t="shared" si="6"/>
        <v>30.267811761150522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13433.940838407319</v>
      </c>
      <c r="D77" s="2">
        <f>D11/'Output-Calculation-sheet'!D10*'Output-Calculation-sheet'!D64</f>
        <v>1662.8871949786273</v>
      </c>
      <c r="E77" s="2">
        <f>E11/'Output-Calculation-sheet'!E10*'Output-Calculation-sheet'!E64</f>
        <v>2022.8605818261051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867.18980702143233</v>
      </c>
      <c r="H77" s="2">
        <f>H11/'Output-Calculation-sheet'!H10*'Output-Calculation-sheet'!H64</f>
        <v>4607.5314964568115</v>
      </c>
      <c r="I77" s="2">
        <f>I11/'Output-Calculation-sheet'!I10*'Output-Calculation-sheet'!I64</f>
        <v>513.85264409768979</v>
      </c>
      <c r="J77" s="2">
        <f>J11/'Output-Calculation-sheet'!J10*'Output-Calculation-sheet'!J64</f>
        <v>369.36335341118087</v>
      </c>
      <c r="K77" s="2">
        <f>K11/'Output-Calculation-sheet'!K10*'Output-Calculation-sheet'!K64</f>
        <v>773.21476751642354</v>
      </c>
      <c r="L77" s="2">
        <f>L11/'Output-Calculation-sheet'!L10*'Output-Calculation-sheet'!L64</f>
        <v>338.03839310640933</v>
      </c>
      <c r="M77" s="2">
        <f>M11/'Output-Calculation-sheet'!M10*'Output-Calculation-sheet'!M64</f>
        <v>3087.9547063568502</v>
      </c>
      <c r="N77" s="2">
        <f>N11/'Output-Calculation-sheet'!N10*'Output-Calculation-sheet'!N64</f>
        <v>2174.0922848229011</v>
      </c>
      <c r="O77" s="2">
        <f>O11/'Output-Calculation-sheet'!O10*'Output-Calculation-sheet'!O64</f>
        <v>2518.2618661638826</v>
      </c>
      <c r="P77" s="2">
        <f>P11/'Output-Calculation-sheet'!P10*'Output-Calculation-sheet'!P64</f>
        <v>959.60102669597097</v>
      </c>
      <c r="Q77" s="2">
        <f>Q11/'Output-Calculation-sheet'!Q10*'Output-Calculation-sheet'!Q64</f>
        <v>863.2671927548655</v>
      </c>
      <c r="R77" s="2">
        <f>R11/'Output-Calculation-sheet'!R10*'Output-Calculation-sheet'!R64</f>
        <v>821.16777269959869</v>
      </c>
      <c r="S77" s="2">
        <f>S11/'Output-Calculation-sheet'!S10*'Output-Calculation-sheet'!S64</f>
        <v>1093.2860690733914</v>
      </c>
      <c r="T77" s="2">
        <f>T11/'Output-Calculation-sheet'!T10*'Output-Calculation-sheet'!T64</f>
        <v>227.5995144996763</v>
      </c>
      <c r="U77" s="2">
        <f>U11/'Output-Calculation-sheet'!U10*'Output-Calculation-sheet'!U64</f>
        <v>311.43341806779591</v>
      </c>
      <c r="V77" s="2">
        <f>V11/'Output-Calculation-sheet'!V10*'Output-Calculation-sheet'!V64</f>
        <v>119.6824460639708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318.4559527187655</v>
      </c>
      <c r="Y77" s="2">
        <f>Y11/'Output-Calculation-sheet'!Y10*'Output-Calculation-sheet'!Y64</f>
        <v>75.173332817753476</v>
      </c>
      <c r="AA77" s="2">
        <f t="shared" si="6"/>
        <v>50.635722007570401</v>
      </c>
    </row>
    <row r="78" spans="1:27" x14ac:dyDescent="0.25">
      <c r="A78" s="2">
        <v>2035</v>
      </c>
      <c r="B78" s="2">
        <f>B12/'Output-Calculation-sheet'!B11*'Output-Calculation-sheet'!B65</f>
        <v>19566.939462404021</v>
      </c>
      <c r="C78" s="2">
        <f>C12/'Output-Calculation-sheet'!C11*'Output-Calculation-sheet'!C65</f>
        <v>13788.45767676626</v>
      </c>
      <c r="D78" s="2">
        <f>D12/'Output-Calculation-sheet'!D11*'Output-Calculation-sheet'!D65</f>
        <v>4494.364691107884</v>
      </c>
      <c r="E78" s="2">
        <f>E12/'Output-Calculation-sheet'!E11*'Output-Calculation-sheet'!E65</f>
        <v>4495.6048511072395</v>
      </c>
      <c r="F78" s="2">
        <f>F12/'Output-Calculation-sheet'!F11*'Output-Calculation-sheet'!F65</f>
        <v>1043.642057219497</v>
      </c>
      <c r="G78" s="2">
        <f>G12/'Output-Calculation-sheet'!G11*'Output-Calculation-sheet'!G65</f>
        <v>1555.6637761394229</v>
      </c>
      <c r="H78" s="2">
        <f>H12/'Output-Calculation-sheet'!H11*'Output-Calculation-sheet'!H65</f>
        <v>4985.6544551144507</v>
      </c>
      <c r="I78" s="2">
        <f>I12/'Output-Calculation-sheet'!I11*'Output-Calculation-sheet'!I65</f>
        <v>1381.0244700089836</v>
      </c>
      <c r="J78" s="2">
        <f>J12/'Output-Calculation-sheet'!J11*'Output-Calculation-sheet'!J65</f>
        <v>1228.604070332259</v>
      </c>
      <c r="K78" s="2">
        <f>K12/'Output-Calculation-sheet'!K11*'Output-Calculation-sheet'!K65</f>
        <v>1637.7377163767806</v>
      </c>
      <c r="L78" s="2">
        <f>L12/'Output-Calculation-sheet'!L11*'Output-Calculation-sheet'!L65</f>
        <v>1078.7859695461641</v>
      </c>
      <c r="M78" s="2">
        <f>M12/'Output-Calculation-sheet'!M11*'Output-Calculation-sheet'!M65</f>
        <v>3481.7464926012981</v>
      </c>
      <c r="N78" s="2">
        <f>N12/'Output-Calculation-sheet'!N11*'Output-Calculation-sheet'!N65</f>
        <v>2486.2213994864701</v>
      </c>
      <c r="O78" s="2">
        <f>O12/'Output-Calculation-sheet'!O11*'Output-Calculation-sheet'!O65</f>
        <v>2519.3989826660636</v>
      </c>
      <c r="P78" s="2">
        <f>P12/'Output-Calculation-sheet'!P11*'Output-Calculation-sheet'!P65</f>
        <v>1376.8928408185238</v>
      </c>
      <c r="Q78" s="2">
        <f>Q12/'Output-Calculation-sheet'!Q11*'Output-Calculation-sheet'!Q65</f>
        <v>1334.876254666488</v>
      </c>
      <c r="R78" s="2">
        <f>R12/'Output-Calculation-sheet'!R11*'Output-Calculation-sheet'!R65</f>
        <v>1210.9623842063286</v>
      </c>
      <c r="S78" s="2">
        <f>S12/'Output-Calculation-sheet'!S11*'Output-Calculation-sheet'!S65</f>
        <v>1354.6685619597688</v>
      </c>
      <c r="T78" s="2">
        <f>T12/'Output-Calculation-sheet'!T11*'Output-Calculation-sheet'!T65</f>
        <v>422.00854458739514</v>
      </c>
      <c r="U78" s="2">
        <f>U12/'Output-Calculation-sheet'!U11*'Output-Calculation-sheet'!U65</f>
        <v>385.86836865056205</v>
      </c>
      <c r="V78" s="2">
        <f>V12/'Output-Calculation-sheet'!V11*'Output-Calculation-sheet'!V65</f>
        <v>220.85786231096822</v>
      </c>
      <c r="W78" s="2">
        <f>W12/'Output-Calculation-sheet'!W11*'Output-Calculation-sheet'!W65</f>
        <v>147.00025714211276</v>
      </c>
      <c r="X78" s="2">
        <f>X12/'Output-Calculation-sheet'!X11*'Output-Calculation-sheet'!X65</f>
        <v>334.42633830190391</v>
      </c>
      <c r="Y78" s="2">
        <f>Y12/'Output-Calculation-sheet'!Y11*'Output-Calculation-sheet'!Y65</f>
        <v>154.64788567731722</v>
      </c>
      <c r="AA78" s="2">
        <f t="shared" si="6"/>
        <v>70.686055369198158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38.655993266000827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3.8655993266000825E-2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507.27041092359275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118.2587929354473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0.62552920385904009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1113.7442591544382</v>
      </c>
      <c r="D89" s="2">
        <f>D12/'Output-Calculation-sheet'!D11*'Output-Calculation-sheet'!D74</f>
        <v>89.689975875232165</v>
      </c>
      <c r="E89" s="2">
        <f>E12/'Output-Calculation-sheet'!E11*'Output-Calculation-sheet'!E74</f>
        <v>71.279607596436335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93.503228050057857</v>
      </c>
      <c r="I89" s="2">
        <f>I12/'Output-Calculation-sheet'!I11*'Output-Calculation-sheet'!I74</f>
        <v>28.93834147075799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28.441834538167839</v>
      </c>
      <c r="L89" s="2">
        <f>L12/'Output-Calculation-sheet'!L11*'Output-Calculation-sheet'!L74</f>
        <v>22.615583940507832</v>
      </c>
      <c r="M89" s="2">
        <f>M12/'Output-Calculation-sheet'!M11*'Output-Calculation-sheet'!M74</f>
        <v>64.339370713192153</v>
      </c>
      <c r="N89" s="2">
        <f>N12/'Output-Calculation-sheet'!N11*'Output-Calculation-sheet'!N74</f>
        <v>42.156851565251166</v>
      </c>
      <c r="O89" s="2">
        <f>O12/'Output-Calculation-sheet'!O11*'Output-Calculation-sheet'!O74</f>
        <v>255.71064680448484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36.93574396221657</v>
      </c>
      <c r="R89" s="2">
        <f>R12/'Output-Calculation-sheet'!R11*'Output-Calculation-sheet'!R74</f>
        <v>18.314338624738415</v>
      </c>
      <c r="S89" s="2">
        <f>S12/'Output-Calculation-sheet'!S11*'Output-Calculation-sheet'!S74</f>
        <v>24.16569704249688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11.784759143956327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9.4109167689639772</v>
      </c>
      <c r="Y89" s="2">
        <f>Y12/'Output-Calculation-sheet'!Y11*'Output-Calculation-sheet'!Y74</f>
        <v>4.5408546165932764</v>
      </c>
      <c r="AA89" s="2">
        <f t="shared" si="7"/>
        <v>2.5342406764331904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18754491138.701321</v>
      </c>
      <c r="C96" s="2">
        <f>C8/'Output-Calculation-sheet'!C7*'Output-Calculation-sheet'!C79</f>
        <v>7764114305.3694677</v>
      </c>
      <c r="D96" s="2">
        <f>D8/'Output-Calculation-sheet'!D7*'Output-Calculation-sheet'!D79</f>
        <v>6189217010.7246857</v>
      </c>
      <c r="E96" s="2">
        <f>E8/'Output-Calculation-sheet'!E7*'Output-Calculation-sheet'!E79</f>
        <v>7478731796.8637428</v>
      </c>
      <c r="F96" s="2">
        <f>F8/'Output-Calculation-sheet'!F7*'Output-Calculation-sheet'!F79</f>
        <v>4414652445.4495382</v>
      </c>
      <c r="G96" s="2">
        <f>G8/'Output-Calculation-sheet'!G7*'Output-Calculation-sheet'!G79</f>
        <v>2245521377.7663341</v>
      </c>
      <c r="H96" s="2">
        <f>H8/'Output-Calculation-sheet'!H7*'Output-Calculation-sheet'!H79</f>
        <v>2803910618.4310136</v>
      </c>
      <c r="I96" s="2">
        <f>I8/'Output-Calculation-sheet'!I7*'Output-Calculation-sheet'!I79</f>
        <v>2683734520.8727951</v>
      </c>
      <c r="J96" s="2">
        <f>J8/'Output-Calculation-sheet'!J7*'Output-Calculation-sheet'!J79</f>
        <v>1514796125.8979189</v>
      </c>
      <c r="K96" s="2">
        <f>K8/'Output-Calculation-sheet'!K7*'Output-Calculation-sheet'!K79</f>
        <v>2580216653.4338369</v>
      </c>
      <c r="L96" s="2">
        <f>L8/'Output-Calculation-sheet'!L7*'Output-Calculation-sheet'!L79</f>
        <v>1855742533.6782115</v>
      </c>
      <c r="M96" s="2">
        <f>M8/'Output-Calculation-sheet'!M7*'Output-Calculation-sheet'!M79</f>
        <v>1875990738.7639256</v>
      </c>
      <c r="N96" s="2">
        <f>N8/'Output-Calculation-sheet'!N7*'Output-Calculation-sheet'!N79</f>
        <v>1335195411.0740604</v>
      </c>
      <c r="O96" s="2">
        <f>O8/'Output-Calculation-sheet'!O7*'Output-Calculation-sheet'!O79</f>
        <v>1049348858.8852332</v>
      </c>
      <c r="P96" s="2">
        <f>P8/'Output-Calculation-sheet'!P7*'Output-Calculation-sheet'!P79</f>
        <v>2230651647.9671969</v>
      </c>
      <c r="Q96" s="2">
        <f>Q8/'Output-Calculation-sheet'!Q7*'Output-Calculation-sheet'!Q79</f>
        <v>1214953905.060746</v>
      </c>
      <c r="R96" s="2">
        <f>R8/'Output-Calculation-sheet'!R7*'Output-Calculation-sheet'!R79</f>
        <v>1620864050.2909429</v>
      </c>
      <c r="S96" s="2">
        <f>S8/'Output-Calculation-sheet'!S7*'Output-Calculation-sheet'!S79</f>
        <v>1020246543.4737651</v>
      </c>
      <c r="T96" s="2">
        <f>T8/'Output-Calculation-sheet'!T7*'Output-Calculation-sheet'!T79</f>
        <v>655141921.05471551</v>
      </c>
      <c r="U96" s="2">
        <f>U8/'Output-Calculation-sheet'!U7*'Output-Calculation-sheet'!U79</f>
        <v>607504051.28444982</v>
      </c>
      <c r="V96" s="2">
        <f>V8/'Output-Calculation-sheet'!V7*'Output-Calculation-sheet'!V79</f>
        <v>391131804.8500253</v>
      </c>
      <c r="W96" s="2">
        <f>W8/'Output-Calculation-sheet'!W7*'Output-Calculation-sheet'!W79</f>
        <v>467882301.60200816</v>
      </c>
      <c r="X96" s="2">
        <f>X8/'Output-Calculation-sheet'!X7*'Output-Calculation-sheet'!X79</f>
        <v>214152376.30294666</v>
      </c>
      <c r="Y96" s="2">
        <f>Y8/'Output-Calculation-sheet'!Y7*'Output-Calculation-sheet'!Y79</f>
        <v>239694821.45392659</v>
      </c>
      <c r="AA96" s="2">
        <f t="shared" si="8"/>
        <v>71.207886959252804</v>
      </c>
    </row>
    <row r="97" spans="1:27" x14ac:dyDescent="0.25">
      <c r="A97" s="2">
        <v>2032</v>
      </c>
      <c r="B97" s="2">
        <f>B9/'Output-Calculation-sheet'!B8*'Output-Calculation-sheet'!B80</f>
        <v>25558082820.204563</v>
      </c>
      <c r="C97" s="2">
        <f>C9/'Output-Calculation-sheet'!C8*'Output-Calculation-sheet'!C80</f>
        <v>10589939116.189913</v>
      </c>
      <c r="D97" s="2">
        <f>D9/'Output-Calculation-sheet'!D8*'Output-Calculation-sheet'!D80</f>
        <v>8370490470.4299498</v>
      </c>
      <c r="E97" s="2">
        <f>E9/'Output-Calculation-sheet'!E8*'Output-Calculation-sheet'!E80</f>
        <v>10100281412.835352</v>
      </c>
      <c r="F97" s="2">
        <f>F9/'Output-Calculation-sheet'!F8*'Output-Calculation-sheet'!F80</f>
        <v>5984701937.535821</v>
      </c>
      <c r="G97" s="2">
        <f>G9/'Output-Calculation-sheet'!G8*'Output-Calculation-sheet'!G80</f>
        <v>2995838485.5324931</v>
      </c>
      <c r="H97" s="2">
        <f>H9/'Output-Calculation-sheet'!H8*'Output-Calculation-sheet'!H80</f>
        <v>3813216219.053524</v>
      </c>
      <c r="I97" s="2">
        <f>I9/'Output-Calculation-sheet'!I8*'Output-Calculation-sheet'!I80</f>
        <v>3639868740.569664</v>
      </c>
      <c r="J97" s="2">
        <f>J9/'Output-Calculation-sheet'!J8*'Output-Calculation-sheet'!J80</f>
        <v>2076962991.3547125</v>
      </c>
      <c r="K97" s="2">
        <f>K9/'Output-Calculation-sheet'!K8*'Output-Calculation-sheet'!K80</f>
        <v>3498681400.4612064</v>
      </c>
      <c r="L97" s="2">
        <f>L9/'Output-Calculation-sheet'!L8*'Output-Calculation-sheet'!L80</f>
        <v>2531415244.4547763</v>
      </c>
      <c r="M97" s="2">
        <f>M9/'Output-Calculation-sheet'!M8*'Output-Calculation-sheet'!M80</f>
        <v>2551237666.6662521</v>
      </c>
      <c r="N97" s="2">
        <f>N9/'Output-Calculation-sheet'!N8*'Output-Calculation-sheet'!N80</f>
        <v>1823560924.0082991</v>
      </c>
      <c r="O97" s="2">
        <f>O9/'Output-Calculation-sheet'!O8*'Output-Calculation-sheet'!O80</f>
        <v>1438678215.1229208</v>
      </c>
      <c r="P97" s="2">
        <f>P9/'Output-Calculation-sheet'!P8*'Output-Calculation-sheet'!P80</f>
        <v>3006500555.1034055</v>
      </c>
      <c r="Q97" s="2">
        <f>Q9/'Output-Calculation-sheet'!Q8*'Output-Calculation-sheet'!Q80</f>
        <v>1664731100.4195242</v>
      </c>
      <c r="R97" s="2">
        <f>R9/'Output-Calculation-sheet'!R8*'Output-Calculation-sheet'!R80</f>
        <v>2207185890.5113864</v>
      </c>
      <c r="S97" s="2">
        <f>S9/'Output-Calculation-sheet'!S8*'Output-Calculation-sheet'!S80</f>
        <v>1392413406.87798</v>
      </c>
      <c r="T97" s="2">
        <f>T9/'Output-Calculation-sheet'!T8*'Output-Calculation-sheet'!T80</f>
        <v>885056614.53853273</v>
      </c>
      <c r="U97" s="2">
        <f>U9/'Output-Calculation-sheet'!U8*'Output-Calculation-sheet'!U80</f>
        <v>825349686.5876472</v>
      </c>
      <c r="V97" s="2">
        <f>V9/'Output-Calculation-sheet'!V8*'Output-Calculation-sheet'!V80</f>
        <v>534504315.32900828</v>
      </c>
      <c r="W97" s="2">
        <f>W9/'Output-Calculation-sheet'!W8*'Output-Calculation-sheet'!W80</f>
        <v>625253681.95720243</v>
      </c>
      <c r="X97" s="2">
        <f>X9/'Output-Calculation-sheet'!X8*'Output-Calculation-sheet'!X80</f>
        <v>291143374.89257866</v>
      </c>
      <c r="Y97" s="2">
        <f>Y9/'Output-Calculation-sheet'!Y8*'Output-Calculation-sheet'!Y80</f>
        <v>321726844.79020959</v>
      </c>
      <c r="AA97" s="2">
        <f t="shared" si="8"/>
        <v>96.72682111542693</v>
      </c>
    </row>
    <row r="98" spans="1:27" x14ac:dyDescent="0.25">
      <c r="A98" s="2">
        <v>2033</v>
      </c>
      <c r="B98" s="2">
        <f>B10/'Output-Calculation-sheet'!B9*'Output-Calculation-sheet'!B81</f>
        <v>32358604321.369682</v>
      </c>
      <c r="C98" s="2">
        <f>C10/'Output-Calculation-sheet'!C9*'Output-Calculation-sheet'!C81</f>
        <v>13421615646.971991</v>
      </c>
      <c r="D98" s="2">
        <f>D10/'Output-Calculation-sheet'!D9*'Output-Calculation-sheet'!D81</f>
        <v>10528355101.492102</v>
      </c>
      <c r="E98" s="2">
        <f>E10/'Output-Calculation-sheet'!E9*'Output-Calculation-sheet'!E81</f>
        <v>12680211618.586912</v>
      </c>
      <c r="F98" s="2">
        <f>F10/'Output-Calculation-sheet'!F9*'Output-Calculation-sheet'!F81</f>
        <v>7539950516.5639439</v>
      </c>
      <c r="G98" s="2">
        <f>G10/'Output-Calculation-sheet'!G9*'Output-Calculation-sheet'!G81</f>
        <v>3716645359.3068652</v>
      </c>
      <c r="H98" s="2">
        <f>H10/'Output-Calculation-sheet'!H9*'Output-Calculation-sheet'!H81</f>
        <v>4818701438.6867399</v>
      </c>
      <c r="I98" s="2">
        <f>I10/'Output-Calculation-sheet'!I9*'Output-Calculation-sheet'!I81</f>
        <v>4588512275.9464045</v>
      </c>
      <c r="J98" s="2">
        <f>J10/'Output-Calculation-sheet'!J9*'Output-Calculation-sheet'!J81</f>
        <v>2647671818.6990628</v>
      </c>
      <c r="K98" s="2">
        <f>K10/'Output-Calculation-sheet'!K9*'Output-Calculation-sheet'!K81</f>
        <v>4409074609.6506691</v>
      </c>
      <c r="L98" s="2">
        <f>L10/'Output-Calculation-sheet'!L9*'Output-Calculation-sheet'!L81</f>
        <v>3208528133.0523691</v>
      </c>
      <c r="M98" s="2">
        <f>M10/'Output-Calculation-sheet'!M9*'Output-Calculation-sheet'!M81</f>
        <v>3224542499.7642593</v>
      </c>
      <c r="N98" s="2">
        <f>N10/'Output-Calculation-sheet'!N9*'Output-Calculation-sheet'!N81</f>
        <v>2315517948.0560098</v>
      </c>
      <c r="O98" s="2">
        <f>O10/'Output-Calculation-sheet'!O9*'Output-Calculation-sheet'!O81</f>
        <v>1833280775.0365539</v>
      </c>
      <c r="P98" s="2">
        <f>P10/'Output-Calculation-sheet'!P9*'Output-Calculation-sheet'!P81</f>
        <v>3765555514.3062897</v>
      </c>
      <c r="Q98" s="2">
        <f>Q10/'Output-Calculation-sheet'!Q9*'Output-Calculation-sheet'!Q81</f>
        <v>2120036418.9807265</v>
      </c>
      <c r="R98" s="2">
        <f>R10/'Output-Calculation-sheet'!R9*'Output-Calculation-sheet'!R81</f>
        <v>2792684043.0530739</v>
      </c>
      <c r="S98" s="2">
        <f>S10/'Output-Calculation-sheet'!S9*'Output-Calculation-sheet'!S81</f>
        <v>1765484945.9935987</v>
      </c>
      <c r="T98" s="2">
        <f>T10/'Output-Calculation-sheet'!T9*'Output-Calculation-sheet'!T81</f>
        <v>1111400580.8728342</v>
      </c>
      <c r="U98" s="2">
        <f>U10/'Output-Calculation-sheet'!U9*'Output-Calculation-sheet'!U81</f>
        <v>1041325839.8664501</v>
      </c>
      <c r="V98" s="2">
        <f>V10/'Output-Calculation-sheet'!V9*'Output-Calculation-sheet'!V81</f>
        <v>678225658.75020957</v>
      </c>
      <c r="W98" s="2">
        <f>W10/'Output-Calculation-sheet'!W9*'Output-Calculation-sheet'!W81</f>
        <v>776668952.9183166</v>
      </c>
      <c r="X98" s="2">
        <f>X10/'Output-Calculation-sheet'!X9*'Output-Calculation-sheet'!X81</f>
        <v>367837254.88527304</v>
      </c>
      <c r="Y98" s="2">
        <f>Y10/'Output-Calculation-sheet'!Y9*'Output-Calculation-sheet'!Y81</f>
        <v>401525816.01946449</v>
      </c>
      <c r="AA98" s="2">
        <f t="shared" si="8"/>
        <v>122.11195708882983</v>
      </c>
    </row>
    <row r="99" spans="1:27" x14ac:dyDescent="0.25">
      <c r="A99" s="2">
        <v>2034</v>
      </c>
      <c r="B99" s="2">
        <f>B11/'Output-Calculation-sheet'!B10*'Output-Calculation-sheet'!B82</f>
        <v>38836276847.187737</v>
      </c>
      <c r="C99" s="2">
        <f>C11/'Output-Calculation-sheet'!C10*'Output-Calculation-sheet'!C82</f>
        <v>16127506138.778725</v>
      </c>
      <c r="D99" s="2">
        <f>D11/'Output-Calculation-sheet'!D10*'Output-Calculation-sheet'!D82</f>
        <v>12565713181.83193</v>
      </c>
      <c r="E99" s="2">
        <f>E11/'Output-Calculation-sheet'!E10*'Output-Calculation-sheet'!E82</f>
        <v>15098623668.995977</v>
      </c>
      <c r="F99" s="2">
        <f>F11/'Output-Calculation-sheet'!F10*'Output-Calculation-sheet'!F82</f>
        <v>9007734704.9071846</v>
      </c>
      <c r="G99" s="2">
        <f>G11/'Output-Calculation-sheet'!G10*'Output-Calculation-sheet'!G82</f>
        <v>4374812833.4775219</v>
      </c>
      <c r="H99" s="2">
        <f>H11/'Output-Calculation-sheet'!H10*'Output-Calculation-sheet'!H82</f>
        <v>5773277689.9273386</v>
      </c>
      <c r="I99" s="2">
        <f>I11/'Output-Calculation-sheet'!I10*'Output-Calculation-sheet'!I82</f>
        <v>5485650270.7696772</v>
      </c>
      <c r="J99" s="2">
        <f>J11/'Output-Calculation-sheet'!J10*'Output-Calculation-sheet'!J82</f>
        <v>3201660831.9748669</v>
      </c>
      <c r="K99" s="2">
        <f>K11/'Output-Calculation-sheet'!K10*'Output-Calculation-sheet'!K82</f>
        <v>5269003649.1473923</v>
      </c>
      <c r="L99" s="2">
        <f>L11/'Output-Calculation-sheet'!L10*'Output-Calculation-sheet'!L82</f>
        <v>3855529898.7372189</v>
      </c>
      <c r="M99" s="2">
        <f>M11/'Output-Calculation-sheet'!M10*'Output-Calculation-sheet'!M82</f>
        <v>3864664691.0660028</v>
      </c>
      <c r="N99" s="2">
        <f>N11/'Output-Calculation-sheet'!N10*'Output-Calculation-sheet'!N82</f>
        <v>2788986453.7530084</v>
      </c>
      <c r="O99" s="2">
        <f>O11/'Output-Calculation-sheet'!O10*'Output-Calculation-sheet'!O82</f>
        <v>2215341968.0597343</v>
      </c>
      <c r="P99" s="2">
        <f>P11/'Output-Calculation-sheet'!P10*'Output-Calculation-sheet'!P82</f>
        <v>4471939806.9829788</v>
      </c>
      <c r="Q99" s="2">
        <f>Q11/'Output-Calculation-sheet'!Q10*'Output-Calculation-sheet'!Q82</f>
        <v>2560241385.044733</v>
      </c>
      <c r="R99" s="2">
        <f>R11/'Output-Calculation-sheet'!R10*'Output-Calculation-sheet'!R82</f>
        <v>3349957846.740829</v>
      </c>
      <c r="S99" s="2">
        <f>S11/'Output-Calculation-sheet'!S10*'Output-Calculation-sheet'!S82</f>
        <v>2121979877.0337536</v>
      </c>
      <c r="T99" s="2">
        <f>T11/'Output-Calculation-sheet'!T10*'Output-Calculation-sheet'!T82</f>
        <v>1323657210.4679484</v>
      </c>
      <c r="U99" s="2">
        <f>U11/'Output-Calculation-sheet'!U10*'Output-Calculation-sheet'!U82</f>
        <v>1245048184.5687993</v>
      </c>
      <c r="V99" s="2">
        <f>V11/'Output-Calculation-sheet'!V10*'Output-Calculation-sheet'!V82</f>
        <v>815413149.85362947</v>
      </c>
      <c r="W99" s="2">
        <f>W11/'Output-Calculation-sheet'!W10*'Output-Calculation-sheet'!W82</f>
        <v>914990193.70742691</v>
      </c>
      <c r="X99" s="2">
        <f>X11/'Output-Calculation-sheet'!X10*'Output-Calculation-sheet'!X82</f>
        <v>440659413.90567297</v>
      </c>
      <c r="Y99" s="2">
        <f>Y11/'Output-Calculation-sheet'!Y10*'Output-Calculation-sheet'!Y82</f>
        <v>475414739.06500196</v>
      </c>
      <c r="AA99" s="2">
        <f t="shared" si="8"/>
        <v>146.18408463598507</v>
      </c>
    </row>
    <row r="100" spans="1:27" x14ac:dyDescent="0.25">
      <c r="A100" s="2">
        <v>2035</v>
      </c>
      <c r="B100" s="2">
        <f>B12/'Output-Calculation-sheet'!B11*'Output-Calculation-sheet'!B83</f>
        <v>44662894479.036903</v>
      </c>
      <c r="C100" s="2">
        <f>C12/'Output-Calculation-sheet'!C11*'Output-Calculation-sheet'!C83</f>
        <v>18571634896.661205</v>
      </c>
      <c r="D100" s="2">
        <f>D12/'Output-Calculation-sheet'!D11*'Output-Calculation-sheet'!D83</f>
        <v>14384029880.990358</v>
      </c>
      <c r="E100" s="2">
        <f>E12/'Output-Calculation-sheet'!E11*'Output-Calculation-sheet'!E83</f>
        <v>17235537420.11198</v>
      </c>
      <c r="F100" s="2">
        <f>F12/'Output-Calculation-sheet'!F11*'Output-Calculation-sheet'!F83</f>
        <v>10314604053.20517</v>
      </c>
      <c r="G100" s="2">
        <f>G12/'Output-Calculation-sheet'!G11*'Output-Calculation-sheet'!G83</f>
        <v>4938746666.0498381</v>
      </c>
      <c r="H100" s="2">
        <f>H12/'Output-Calculation-sheet'!H11*'Output-Calculation-sheet'!H83</f>
        <v>6628852133.8977528</v>
      </c>
      <c r="I100" s="2">
        <f>I12/'Output-Calculation-sheet'!I11*'Output-Calculation-sheet'!I83</f>
        <v>6286559513.4391718</v>
      </c>
      <c r="J100" s="2">
        <f>J12/'Output-Calculation-sheet'!J11*'Output-Calculation-sheet'!J83</f>
        <v>3711988674.7904239</v>
      </c>
      <c r="K100" s="2">
        <f>K12/'Output-Calculation-sheet'!K11*'Output-Calculation-sheet'!K83</f>
        <v>6035556381.8409824</v>
      </c>
      <c r="L100" s="2">
        <f>L12/'Output-Calculation-sheet'!L11*'Output-Calculation-sheet'!L83</f>
        <v>4439823592.4486761</v>
      </c>
      <c r="M100" s="2">
        <f>M12/'Output-Calculation-sheet'!M11*'Output-Calculation-sheet'!M83</f>
        <v>4439568849.0542803</v>
      </c>
      <c r="N100" s="2">
        <f>N12/'Output-Calculation-sheet'!N11*'Output-Calculation-sheet'!N83</f>
        <v>3220781351.7426109</v>
      </c>
      <c r="O100" s="2">
        <f>O12/'Output-Calculation-sheet'!O11*'Output-Calculation-sheet'!O83</f>
        <v>2565975693.479013</v>
      </c>
      <c r="P100" s="2">
        <f>P12/'Output-Calculation-sheet'!P11*'Output-Calculation-sheet'!P83</f>
        <v>5090357780.1341648</v>
      </c>
      <c r="Q100" s="2">
        <f>Q12/'Output-Calculation-sheet'!Q11*'Output-Calculation-sheet'!Q83</f>
        <v>2963524642.5108614</v>
      </c>
      <c r="R100" s="2">
        <f>R12/'Output-Calculation-sheet'!R11*'Output-Calculation-sheet'!R83</f>
        <v>3850912028.2110472</v>
      </c>
      <c r="S100" s="2">
        <f>S12/'Output-Calculation-sheet'!S11*'Output-Calculation-sheet'!S83</f>
        <v>2443860025.9197798</v>
      </c>
      <c r="T100" s="2">
        <f>T12/'Output-Calculation-sheet'!T11*'Output-Calculation-sheet'!T83</f>
        <v>1511315432.3867705</v>
      </c>
      <c r="U100" s="2">
        <f>U12/'Output-Calculation-sheet'!U11*'Output-Calculation-sheet'!U83</f>
        <v>1426093148.8627427</v>
      </c>
      <c r="V100" s="2">
        <f>V12/'Output-Calculation-sheet'!V11*'Output-Calculation-sheet'!V83</f>
        <v>939010081.08021367</v>
      </c>
      <c r="W100" s="2">
        <f>W12/'Output-Calculation-sheet'!W11*'Output-Calculation-sheet'!W83</f>
        <v>1033398470.159292</v>
      </c>
      <c r="X100" s="2">
        <f>X12/'Output-Calculation-sheet'!X11*'Output-Calculation-sheet'!X83</f>
        <v>505953706.97266817</v>
      </c>
      <c r="Y100" s="2">
        <f>Y12/'Output-Calculation-sheet'!Y11*'Output-Calculation-sheet'!Y83</f>
        <v>539794773.67571819</v>
      </c>
      <c r="AA100" s="2">
        <f t="shared" si="8"/>
        <v>167.7407736766616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1360995435.0063553</v>
      </c>
      <c r="C107" s="2">
        <f>C8/'Output-Calculation-sheet'!C7*'Output-Calculation-sheet'!C88</f>
        <v>22414126524.220901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6993324525.6728964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4824810944.2485209</v>
      </c>
      <c r="N107" s="2">
        <f>N8/'Output-Calculation-sheet'!N7*'Output-Calculation-sheet'!N88</f>
        <v>1614952762.1594086</v>
      </c>
      <c r="O107" s="2">
        <f>O8/'Output-Calculation-sheet'!O7*'Output-Calculation-sheet'!O88</f>
        <v>4355085247.1462107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484213854.98854852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522528569.49094862</v>
      </c>
      <c r="Y107" s="2">
        <f>Y8/'Output-Calculation-sheet'!Y7*'Output-Calculation-sheet'!Y88</f>
        <v>0</v>
      </c>
      <c r="AA107" s="2">
        <f t="shared" si="9"/>
        <v>42570.037862933794</v>
      </c>
    </row>
    <row r="108" spans="1:27" x14ac:dyDescent="0.25">
      <c r="A108" s="2">
        <v>2032</v>
      </c>
      <c r="B108" s="2">
        <f>B9/'Output-Calculation-sheet'!B8*'Output-Calculation-sheet'!B89</f>
        <v>6033880404.4220695</v>
      </c>
      <c r="C108" s="2">
        <f>C9/'Output-Calculation-sheet'!C8*'Output-Calculation-sheet'!C89</f>
        <v>30247375179.262856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9436972123.3690529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6510690191.1650543</v>
      </c>
      <c r="N108" s="2">
        <f>N9/'Output-Calculation-sheet'!N8*'Output-Calculation-sheet'!N89</f>
        <v>3054741616.7288547</v>
      </c>
      <c r="O108" s="2">
        <f>O9/'Output-Calculation-sheet'!O8*'Output-Calculation-sheet'!O89</f>
        <v>5877090724.7692032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923046781.38062632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705127208.79854512</v>
      </c>
      <c r="Y108" s="2">
        <f>Y9/'Output-Calculation-sheet'!Y8*'Output-Calculation-sheet'!Y89</f>
        <v>0</v>
      </c>
      <c r="AA108" s="2">
        <f t="shared" si="9"/>
        <v>62788.924229896249</v>
      </c>
    </row>
    <row r="109" spans="1:27" x14ac:dyDescent="0.25">
      <c r="A109" s="2">
        <v>2033</v>
      </c>
      <c r="B109" s="2">
        <f>B10/'Output-Calculation-sheet'!B9*'Output-Calculation-sheet'!B90</f>
        <v>16054500525.649752</v>
      </c>
      <c r="C109" s="2">
        <f>C10/'Output-Calculation-sheet'!C9*'Output-Calculation-sheet'!C90</f>
        <v>37942818232.335114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11837893638.368391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8167117888.4996662</v>
      </c>
      <c r="N109" s="2">
        <f>N10/'Output-Calculation-sheet'!N9*'Output-Calculation-sheet'!N90</f>
        <v>4811589653.2064524</v>
      </c>
      <c r="O109" s="2">
        <f>O10/'Output-Calculation-sheet'!O9*'Output-Calculation-sheet'!O90</f>
        <v>7029312119.4710722</v>
      </c>
      <c r="P109" s="2">
        <f>P10/'Output-Calculation-sheet'!P9*'Output-Calculation-sheet'!P90</f>
        <v>0</v>
      </c>
      <c r="Q109" s="2">
        <f>Q10/'Output-Calculation-sheet'!Q9*'Output-Calculation-sheet'!Q90</f>
        <v>156614782.8116594</v>
      </c>
      <c r="R109" s="2">
        <f>R10/'Output-Calculation-sheet'!R9*'Output-Calculation-sheet'!R90</f>
        <v>0</v>
      </c>
      <c r="S109" s="2">
        <f>S10/'Output-Calculation-sheet'!S9*'Output-Calculation-sheet'!S90</f>
        <v>1939771922.3461645</v>
      </c>
      <c r="T109" s="2">
        <f>T10/'Output-Calculation-sheet'!T9*'Output-Calculation-sheet'!T90</f>
        <v>-3.2238241399291407E-7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884523577.2846725</v>
      </c>
      <c r="Y109" s="2">
        <f>Y10/'Output-Calculation-sheet'!Y9*'Output-Calculation-sheet'!Y90</f>
        <v>0</v>
      </c>
      <c r="AA109" s="2">
        <f t="shared" si="9"/>
        <v>88824.142339972925</v>
      </c>
    </row>
    <row r="110" spans="1:27" x14ac:dyDescent="0.25">
      <c r="A110" s="2">
        <v>2034</v>
      </c>
      <c r="B110" s="2">
        <f>B11/'Output-Calculation-sheet'!B10*'Output-Calculation-sheet'!B91</f>
        <v>37733480473.034805</v>
      </c>
      <c r="C110" s="2">
        <f>C11/'Output-Calculation-sheet'!C10*'Output-Calculation-sheet'!C91</f>
        <v>41798452844.794495</v>
      </c>
      <c r="D110" s="2">
        <f>D11/'Output-Calculation-sheet'!D10*'Output-Calculation-sheet'!D91</f>
        <v>0</v>
      </c>
      <c r="E110" s="2">
        <f>E11/'Output-Calculation-sheet'!E10*'Output-Calculation-sheet'!E91</f>
        <v>789685573.84644008</v>
      </c>
      <c r="F110" s="2">
        <f>F11/'Output-Calculation-sheet'!F10*'Output-Calculation-sheet'!F91</f>
        <v>0</v>
      </c>
      <c r="G110" s="2">
        <f>G11/'Output-Calculation-sheet'!G10*'Output-Calculation-sheet'!G91</f>
        <v>-1.7801328306726581E-6</v>
      </c>
      <c r="H110" s="2">
        <f>H11/'Output-Calculation-sheet'!H10*'Output-Calculation-sheet'!H91</f>
        <v>14083995667.591726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641179766.49837983</v>
      </c>
      <c r="M110" s="2">
        <f>M11/'Output-Calculation-sheet'!M10*'Output-Calculation-sheet'!M91</f>
        <v>9716731478.1800594</v>
      </c>
      <c r="N110" s="2">
        <f>N11/'Output-Calculation-sheet'!N10*'Output-Calculation-sheet'!N91</f>
        <v>6721450193.518671</v>
      </c>
      <c r="O110" s="2">
        <f>O11/'Output-Calculation-sheet'!O10*'Output-Calculation-sheet'!O91</f>
        <v>7705800106.090332</v>
      </c>
      <c r="P110" s="2">
        <f>P11/'Output-Calculation-sheet'!P10*'Output-Calculation-sheet'!P91</f>
        <v>7.1736732783445129E-7</v>
      </c>
      <c r="Q110" s="2">
        <f>Q11/'Output-Calculation-sheet'!Q10*'Output-Calculation-sheet'!Q91</f>
        <v>1710561814.3467207</v>
      </c>
      <c r="R110" s="2">
        <f>R11/'Output-Calculation-sheet'!R10*'Output-Calculation-sheet'!R91</f>
        <v>0</v>
      </c>
      <c r="S110" s="2">
        <f>S11/'Output-Calculation-sheet'!S10*'Output-Calculation-sheet'!S91</f>
        <v>3304697472.9932747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959179673.33623016</v>
      </c>
      <c r="Y110" s="2">
        <f>Y11/'Output-Calculation-sheet'!Y10*'Output-Calculation-sheet'!Y91</f>
        <v>42137356.900116153</v>
      </c>
      <c r="AA110" s="2">
        <f t="shared" si="9"/>
        <v>125207.35242113125</v>
      </c>
    </row>
    <row r="111" spans="1:27" x14ac:dyDescent="0.25">
      <c r="A111" s="2">
        <v>2035</v>
      </c>
      <c r="B111" s="2">
        <f>B12/'Output-Calculation-sheet'!B11*'Output-Calculation-sheet'!B92</f>
        <v>53715763878.03389</v>
      </c>
      <c r="C111" s="2">
        <f>C12/'Output-Calculation-sheet'!C11*'Output-Calculation-sheet'!C92</f>
        <v>45132511737.410568</v>
      </c>
      <c r="D111" s="2">
        <f>D12/'Output-Calculation-sheet'!D11*'Output-Calculation-sheet'!D92</f>
        <v>0</v>
      </c>
      <c r="E111" s="2">
        <f>E12/'Output-Calculation-sheet'!E11*'Output-Calculation-sheet'!E92</f>
        <v>6104821112.9612217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15319793291.4688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1965226171.5224698</v>
      </c>
      <c r="M111" s="2">
        <f>M12/'Output-Calculation-sheet'!M11*'Output-Calculation-sheet'!M92</f>
        <v>10605663264.740168</v>
      </c>
      <c r="N111" s="2">
        <f>N12/'Output-Calculation-sheet'!N11*'Output-Calculation-sheet'!N92</f>
        <v>7604276071.608366</v>
      </c>
      <c r="O111" s="2">
        <f>O12/'Output-Calculation-sheet'!O11*'Output-Calculation-sheet'!O92</f>
        <v>8104859102.7467699</v>
      </c>
      <c r="P111" s="2">
        <f>P12/'Output-Calculation-sheet'!P11*'Output-Calculation-sheet'!P92</f>
        <v>417092852.60190767</v>
      </c>
      <c r="Q111" s="2">
        <f>Q12/'Output-Calculation-sheet'!Q11*'Output-Calculation-sheet'!Q92</f>
        <v>3266957319.5220652</v>
      </c>
      <c r="R111" s="2">
        <f>R12/'Output-Calculation-sheet'!R11*'Output-Calculation-sheet'!R92</f>
        <v>0</v>
      </c>
      <c r="S111" s="2">
        <f>S12/'Output-Calculation-sheet'!S11*'Output-Calculation-sheet'!S92</f>
        <v>4090016433.8909984</v>
      </c>
      <c r="T111" s="2">
        <f>T12/'Output-Calculation-sheet'!T11*'Output-Calculation-sheet'!T92</f>
        <v>0</v>
      </c>
      <c r="U111" s="2">
        <f>U12/'Output-Calculation-sheet'!U11*'Output-Calculation-sheet'!U92</f>
        <v>145272257.98623836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1042063285.093966</v>
      </c>
      <c r="Y111" s="2">
        <f>Y12/'Output-Calculation-sheet'!Y11*'Output-Calculation-sheet'!Y92</f>
        <v>246542976.89516199</v>
      </c>
      <c r="AA111" s="2">
        <f t="shared" si="9"/>
        <v>157760.85975648256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46212964888.230171</v>
      </c>
      <c r="C118" s="2">
        <f>C8/'Output-Calculation-sheet'!C7*'Output-Calculation-sheet'!C97</f>
        <v>0</v>
      </c>
      <c r="D118" s="2">
        <f>D8/'Output-Calculation-sheet'!D7*'Output-Calculation-sheet'!D97</f>
        <v>19981611526.83461</v>
      </c>
      <c r="E118" s="2">
        <f>E8/'Output-Calculation-sheet'!E7*'Output-Calculation-sheet'!E97</f>
        <v>15853381076.577303</v>
      </c>
      <c r="F118" s="2">
        <f>F8/'Output-Calculation-sheet'!F7*'Output-Calculation-sheet'!F97</f>
        <v>10205390292.065468</v>
      </c>
      <c r="G118" s="2">
        <f>G8/'Output-Calculation-sheet'!G7*'Output-Calculation-sheet'!G97</f>
        <v>7170587298.5820904</v>
      </c>
      <c r="H118" s="2">
        <f>H8/'Output-Calculation-sheet'!H7*'Output-Calculation-sheet'!H97</f>
        <v>0</v>
      </c>
      <c r="I118" s="2">
        <f>I8/'Output-Calculation-sheet'!I7*'Output-Calculation-sheet'!I97</f>
        <v>6532969477.5711327</v>
      </c>
      <c r="J118" s="2">
        <f>J8/'Output-Calculation-sheet'!J7*'Output-Calculation-sheet'!J97</f>
        <v>6358742525.9457064</v>
      </c>
      <c r="K118" s="2">
        <f>K8/'Output-Calculation-sheet'!K7*'Output-Calculation-sheet'!K97</f>
        <v>6297781338.0794525</v>
      </c>
      <c r="L118" s="2">
        <f>L8/'Output-Calculation-sheet'!L7*'Output-Calculation-sheet'!L97</f>
        <v>5052162078.0188866</v>
      </c>
      <c r="M118" s="2">
        <f>M8/'Output-Calculation-sheet'!M7*'Output-Calculation-sheet'!M97</f>
        <v>0</v>
      </c>
      <c r="N118" s="2">
        <f>N8/'Output-Calculation-sheet'!N7*'Output-Calculation-sheet'!N97</f>
        <v>3121408174.2473826</v>
      </c>
      <c r="O118" s="2">
        <f>O8/'Output-Calculation-sheet'!O7*'Output-Calculation-sheet'!O97</f>
        <v>0</v>
      </c>
      <c r="P118" s="2">
        <f>P8/'Output-Calculation-sheet'!P7*'Output-Calculation-sheet'!P97</f>
        <v>4311759855.19695</v>
      </c>
      <c r="Q118" s="2">
        <f>Q8/'Output-Calculation-sheet'!Q7*'Output-Calculation-sheet'!Q97</f>
        <v>4242074043.3829317</v>
      </c>
      <c r="R118" s="2">
        <f>R8/'Output-Calculation-sheet'!R7*'Output-Calculation-sheet'!R97</f>
        <v>4081070323.8866134</v>
      </c>
      <c r="S118" s="2">
        <f>S8/'Output-Calculation-sheet'!S7*'Output-Calculation-sheet'!S97</f>
        <v>2228275282.5239544</v>
      </c>
      <c r="T118" s="2">
        <f>T8/'Output-Calculation-sheet'!T7*'Output-Calculation-sheet'!T97</f>
        <v>1500166652.1972597</v>
      </c>
      <c r="U118" s="2">
        <f>U8/'Output-Calculation-sheet'!U7*'Output-Calculation-sheet'!U97</f>
        <v>1306593638.9721096</v>
      </c>
      <c r="V118" s="2">
        <f>V8/'Output-Calculation-sheet'!V7*'Output-Calculation-sheet'!V97</f>
        <v>1006103629.2411075</v>
      </c>
      <c r="W118" s="2">
        <f>W8/'Output-Calculation-sheet'!W7*'Output-Calculation-sheet'!W97</f>
        <v>871062425.71463084</v>
      </c>
      <c r="X118" s="2">
        <f>X8/'Output-Calculation-sheet'!X7*'Output-Calculation-sheet'!X97</f>
        <v>0</v>
      </c>
      <c r="Y118" s="2">
        <f>Y8/'Output-Calculation-sheet'!Y7*'Output-Calculation-sheet'!Y97</f>
        <v>508259897.82919919</v>
      </c>
      <c r="AA118" s="2">
        <f t="shared" si="10"/>
        <v>146842.36442509698</v>
      </c>
    </row>
    <row r="119" spans="1:27" x14ac:dyDescent="0.25">
      <c r="A119" s="2">
        <v>2032</v>
      </c>
      <c r="B119" s="2">
        <f>B9/'Output-Calculation-sheet'!B8*'Output-Calculation-sheet'!B98</f>
        <v>58163197934.502953</v>
      </c>
      <c r="C119" s="2">
        <f>C9/'Output-Calculation-sheet'!C8*'Output-Calculation-sheet'!C98</f>
        <v>0</v>
      </c>
      <c r="D119" s="2">
        <f>D9/'Output-Calculation-sheet'!D8*'Output-Calculation-sheet'!D98</f>
        <v>26963514678.167717</v>
      </c>
      <c r="E119" s="2">
        <f>E9/'Output-Calculation-sheet'!E8*'Output-Calculation-sheet'!E98</f>
        <v>21392807703.512104</v>
      </c>
      <c r="F119" s="2">
        <f>F9/'Output-Calculation-sheet'!F8*'Output-Calculation-sheet'!F98</f>
        <v>13771322255.898592</v>
      </c>
      <c r="G119" s="2">
        <f>G9/'Output-Calculation-sheet'!G8*'Output-Calculation-sheet'!G98</f>
        <v>9676108992.4552975</v>
      </c>
      <c r="H119" s="2">
        <f>H9/'Output-Calculation-sheet'!H8*'Output-Calculation-sheet'!H98</f>
        <v>0</v>
      </c>
      <c r="I119" s="2">
        <f>I9/'Output-Calculation-sheet'!I8*'Output-Calculation-sheet'!I98</f>
        <v>8815697630.8058586</v>
      </c>
      <c r="J119" s="2">
        <f>J9/'Output-Calculation-sheet'!J8*'Output-Calculation-sheet'!J98</f>
        <v>8580589553.7232904</v>
      </c>
      <c r="K119" s="2">
        <f>K9/'Output-Calculation-sheet'!K8*'Output-Calculation-sheet'!K98</f>
        <v>8498328878.3808651</v>
      </c>
      <c r="L119" s="2">
        <f>L9/'Output-Calculation-sheet'!L8*'Output-Calculation-sheet'!L98</f>
        <v>6817471522.4863405</v>
      </c>
      <c r="M119" s="2">
        <f>M9/'Output-Calculation-sheet'!M8*'Output-Calculation-sheet'!M98</f>
        <v>0</v>
      </c>
      <c r="N119" s="2">
        <f>N9/'Output-Calculation-sheet'!N8*'Output-Calculation-sheet'!N98</f>
        <v>3336048845.4558468</v>
      </c>
      <c r="O119" s="2">
        <f>O9/'Output-Calculation-sheet'!O8*'Output-Calculation-sheet'!O98</f>
        <v>5.9867277978233956E-7</v>
      </c>
      <c r="P119" s="2">
        <f>P9/'Output-Calculation-sheet'!P8*'Output-Calculation-sheet'!P98</f>
        <v>5818321107.8454056</v>
      </c>
      <c r="Q119" s="2">
        <f>Q9/'Output-Calculation-sheet'!Q8*'Output-Calculation-sheet'!Q98</f>
        <v>5724324352.5105476</v>
      </c>
      <c r="R119" s="2">
        <f>R9/'Output-Calculation-sheet'!R8*'Output-Calculation-sheet'!R98</f>
        <v>5507063733.6238041</v>
      </c>
      <c r="S119" s="2">
        <f>S9/'Output-Calculation-sheet'!S8*'Output-Calculation-sheet'!S98</f>
        <v>2737034470.8658295</v>
      </c>
      <c r="T119" s="2">
        <f>T9/'Output-Calculation-sheet'!T8*'Output-Calculation-sheet'!T98</f>
        <v>2024349194.6708891</v>
      </c>
      <c r="U119" s="2">
        <f>U9/'Output-Calculation-sheet'!U8*'Output-Calculation-sheet'!U98</f>
        <v>1763139325.8341501</v>
      </c>
      <c r="V119" s="2">
        <f>V9/'Output-Calculation-sheet'!V8*'Output-Calculation-sheet'!V98</f>
        <v>1357652543.9012063</v>
      </c>
      <c r="W119" s="2">
        <f>W9/'Output-Calculation-sheet'!W8*'Output-Calculation-sheet'!W98</f>
        <v>1175426032.5203035</v>
      </c>
      <c r="X119" s="2">
        <f>X9/'Output-Calculation-sheet'!X8*'Output-Calculation-sheet'!X98</f>
        <v>0</v>
      </c>
      <c r="Y119" s="2">
        <f>Y9/'Output-Calculation-sheet'!Y8*'Output-Calculation-sheet'!Y98</f>
        <v>685854037.71621144</v>
      </c>
      <c r="AA119" s="2">
        <f t="shared" si="10"/>
        <v>192808.25279487719</v>
      </c>
    </row>
    <row r="120" spans="1:27" x14ac:dyDescent="0.25">
      <c r="A120" s="2">
        <v>2033</v>
      </c>
      <c r="B120" s="2">
        <f>B10/'Output-Calculation-sheet'!B9*'Output-Calculation-sheet'!B99</f>
        <v>64468079106.578926</v>
      </c>
      <c r="C120" s="2">
        <f>C10/'Output-Calculation-sheet'!C9*'Output-Calculation-sheet'!C99</f>
        <v>0</v>
      </c>
      <c r="D120" s="2">
        <f>D10/'Output-Calculation-sheet'!D9*'Output-Calculation-sheet'!D99</f>
        <v>33822464696.789612</v>
      </c>
      <c r="E120" s="2">
        <f>E10/'Output-Calculation-sheet'!E9*'Output-Calculation-sheet'!E99</f>
        <v>26834690045.346027</v>
      </c>
      <c r="F120" s="2">
        <f>F10/'Output-Calculation-sheet'!F9*'Output-Calculation-sheet'!F99</f>
        <v>17274452935.719463</v>
      </c>
      <c r="G120" s="2">
        <f>G10/'Output-Calculation-sheet'!G9*'Output-Calculation-sheet'!G99</f>
        <v>12137504717.201214</v>
      </c>
      <c r="H120" s="2">
        <f>H10/'Output-Calculation-sheet'!H9*'Output-Calculation-sheet'!H99</f>
        <v>0</v>
      </c>
      <c r="I120" s="2">
        <f>I10/'Output-Calculation-sheet'!I9*'Output-Calculation-sheet'!I99</f>
        <v>11058223649.526611</v>
      </c>
      <c r="J120" s="2">
        <f>J10/'Output-Calculation-sheet'!J9*'Output-Calculation-sheet'!J99</f>
        <v>10763309058.427786</v>
      </c>
      <c r="K120" s="2">
        <f>K10/'Output-Calculation-sheet'!K9*'Output-Calculation-sheet'!K99</f>
        <v>10660124131.527723</v>
      </c>
      <c r="L120" s="2">
        <f>L10/'Output-Calculation-sheet'!L9*'Output-Calculation-sheet'!L99</f>
        <v>8551691300.5850039</v>
      </c>
      <c r="M120" s="2">
        <f>M10/'Output-Calculation-sheet'!M9*'Output-Calculation-sheet'!M99</f>
        <v>0</v>
      </c>
      <c r="N120" s="2">
        <f>N10/'Output-Calculation-sheet'!N9*'Output-Calculation-sheet'!N99</f>
        <v>3204409772.8227715</v>
      </c>
      <c r="O120" s="2">
        <f>O10/'Output-Calculation-sheet'!O9*'Output-Calculation-sheet'!O99</f>
        <v>0</v>
      </c>
      <c r="P120" s="2">
        <f>P10/'Output-Calculation-sheet'!P9*'Output-Calculation-sheet'!P99</f>
        <v>7297995197.5758514</v>
      </c>
      <c r="Q120" s="2">
        <f>Q10/'Output-Calculation-sheet'!Q9*'Output-Calculation-sheet'!Q99</f>
        <v>7023785770.9829521</v>
      </c>
      <c r="R120" s="2">
        <f>R10/'Output-Calculation-sheet'!R9*'Output-Calculation-sheet'!R99</f>
        <v>6907615750.3859549</v>
      </c>
      <c r="S120" s="2">
        <f>S10/'Output-Calculation-sheet'!S9*'Output-Calculation-sheet'!S99</f>
        <v>2651049567.705554</v>
      </c>
      <c r="T120" s="2">
        <f>T10/'Output-Calculation-sheet'!T9*'Output-Calculation-sheet'!T99</f>
        <v>2539278740.8414741</v>
      </c>
      <c r="U120" s="2">
        <f>U10/'Output-Calculation-sheet'!U9*'Output-Calculation-sheet'!U99</f>
        <v>2212125153.1474385</v>
      </c>
      <c r="V120" s="2">
        <f>V10/'Output-Calculation-sheet'!V9*'Output-Calculation-sheet'!V99</f>
        <v>1703010567.5793283</v>
      </c>
      <c r="W120" s="2">
        <f>W10/'Output-Calculation-sheet'!W9*'Output-Calculation-sheet'!W99</f>
        <v>1474429727.0185206</v>
      </c>
      <c r="X120" s="2">
        <f>X10/'Output-Calculation-sheet'!X9*'Output-Calculation-sheet'!X99</f>
        <v>0</v>
      </c>
      <c r="Y120" s="2">
        <f>Y10/'Output-Calculation-sheet'!Y9*'Output-Calculation-sheet'!Y99</f>
        <v>860322013.98923385</v>
      </c>
      <c r="AA120" s="2">
        <f t="shared" si="10"/>
        <v>231444.56190375137</v>
      </c>
    </row>
    <row r="121" spans="1:27" x14ac:dyDescent="0.25">
      <c r="A121" s="2">
        <v>2034</v>
      </c>
      <c r="B121" s="2">
        <f>B11/'Output-Calculation-sheet'!B10*'Output-Calculation-sheet'!B100</f>
        <v>58058955402.873352</v>
      </c>
      <c r="C121" s="2">
        <f>C11/'Output-Calculation-sheet'!C10*'Output-Calculation-sheet'!C100</f>
        <v>0</v>
      </c>
      <c r="D121" s="2">
        <f>D11/'Output-Calculation-sheet'!D10*'Output-Calculation-sheet'!D100</f>
        <v>40239012213.667328</v>
      </c>
      <c r="E121" s="2">
        <f>E11/'Output-Calculation-sheet'!E10*'Output-Calculation-sheet'!E100</f>
        <v>31134532739.06694</v>
      </c>
      <c r="F121" s="2">
        <f>F11/'Output-Calculation-sheet'!F10*'Output-Calculation-sheet'!F100</f>
        <v>20551523491.603954</v>
      </c>
      <c r="G121" s="2">
        <f>G11/'Output-Calculation-sheet'!G10*'Output-Calculation-sheet'!G100</f>
        <v>14439356673.598946</v>
      </c>
      <c r="H121" s="2">
        <f>H11/'Output-Calculation-sheet'!H10*'Output-Calculation-sheet'!H100</f>
        <v>1.7383359489927765E-7</v>
      </c>
      <c r="I121" s="2">
        <f>I11/'Output-Calculation-sheet'!I10*'Output-Calculation-sheet'!I100</f>
        <v>13155642577.59469</v>
      </c>
      <c r="J121" s="2">
        <f>J11/'Output-Calculation-sheet'!J10*'Output-Calculation-sheet'!J100</f>
        <v>12804912878.811541</v>
      </c>
      <c r="K121" s="2">
        <f>K11/'Output-Calculation-sheet'!K10*'Output-Calculation-sheet'!K100</f>
        <v>12682489144.461708</v>
      </c>
      <c r="L121" s="2">
        <f>L11/'Output-Calculation-sheet'!L10*'Output-Calculation-sheet'!L100</f>
        <v>9532569379.1741467</v>
      </c>
      <c r="M121" s="2">
        <f>M11/'Output-Calculation-sheet'!M10*'Output-Calculation-sheet'!M100</f>
        <v>-1.1289105447424431E-7</v>
      </c>
      <c r="N121" s="2">
        <f>N11/'Output-Calculation-sheet'!N10*'Output-Calculation-sheet'!N100</f>
        <v>2815491222.8619051</v>
      </c>
      <c r="O121" s="2">
        <f>O11/'Output-Calculation-sheet'!O10*'Output-Calculation-sheet'!O100</f>
        <v>0</v>
      </c>
      <c r="P121" s="2">
        <f>P11/'Output-Calculation-sheet'!P10*'Output-Calculation-sheet'!P100</f>
        <v>8682159067.9842358</v>
      </c>
      <c r="Q121" s="2">
        <f>Q11/'Output-Calculation-sheet'!Q10*'Output-Calculation-sheet'!Q100</f>
        <v>6831352510.8260574</v>
      </c>
      <c r="R121" s="2">
        <f>R11/'Output-Calculation-sheet'!R10*'Output-Calculation-sheet'!R100</f>
        <v>8217722661.0547447</v>
      </c>
      <c r="S121" s="2">
        <f>S11/'Output-Calculation-sheet'!S10*'Output-Calculation-sheet'!S100</f>
        <v>2157015881.7589426</v>
      </c>
      <c r="T121" s="2">
        <f>T11/'Output-Calculation-sheet'!T10*'Output-Calculation-sheet'!T100</f>
        <v>3020831410.7682848</v>
      </c>
      <c r="U121" s="2">
        <f>U11/'Output-Calculation-sheet'!U10*'Output-Calculation-sheet'!U100</f>
        <v>2632638842.9403992</v>
      </c>
      <c r="V121" s="2">
        <f>V11/'Output-Calculation-sheet'!V10*'Output-Calculation-sheet'!V100</f>
        <v>2026093421.3709655</v>
      </c>
      <c r="W121" s="2">
        <f>W11/'Output-Calculation-sheet'!W10*'Output-Calculation-sheet'!W100</f>
        <v>1754199717.7952032</v>
      </c>
      <c r="X121" s="2">
        <f>X11/'Output-Calculation-sheet'!X10*'Output-Calculation-sheet'!X100</f>
        <v>93172111.923470333</v>
      </c>
      <c r="Y121" s="2">
        <f>Y11/'Output-Calculation-sheet'!Y10*'Output-Calculation-sheet'!Y100</f>
        <v>981379977.00752008</v>
      </c>
      <c r="AA121" s="2">
        <f t="shared" si="10"/>
        <v>251811.05132714429</v>
      </c>
    </row>
    <row r="122" spans="1:27" x14ac:dyDescent="0.25">
      <c r="A122" s="2">
        <v>2035</v>
      </c>
      <c r="B122" s="2">
        <f>B12/'Output-Calculation-sheet'!B11*'Output-Calculation-sheet'!B101</f>
        <v>52590040345.843422</v>
      </c>
      <c r="C122" s="2">
        <f>C12/'Output-Calculation-sheet'!C11*'Output-Calculation-sheet'!C101</f>
        <v>0</v>
      </c>
      <c r="D122" s="2">
        <f>D12/'Output-Calculation-sheet'!D11*'Output-Calculation-sheet'!D101</f>
        <v>44078488434.788757</v>
      </c>
      <c r="E122" s="2">
        <f>E12/'Output-Calculation-sheet'!E11*'Output-Calculation-sheet'!E101</f>
        <v>29680479333.078869</v>
      </c>
      <c r="F122" s="2">
        <f>F12/'Output-Calculation-sheet'!F11*'Output-Calculation-sheet'!F101</f>
        <v>22976008522.612133</v>
      </c>
      <c r="G122" s="2">
        <f>G12/'Output-Calculation-sheet'!G11*'Output-Calculation-sheet'!G101</f>
        <v>15657190292.821442</v>
      </c>
      <c r="H122" s="2">
        <f>H12/'Output-Calculation-sheet'!H11*'Output-Calculation-sheet'!H101</f>
        <v>0</v>
      </c>
      <c r="I122" s="2">
        <f>I12/'Output-Calculation-sheet'!I11*'Output-Calculation-sheet'!I101</f>
        <v>14661141905.02771</v>
      </c>
      <c r="J122" s="2">
        <f>J12/'Output-Calculation-sheet'!J11*'Output-Calculation-sheet'!J101</f>
        <v>14012636245.627584</v>
      </c>
      <c r="K122" s="2">
        <f>K12/'Output-Calculation-sheet'!K11*'Output-Calculation-sheet'!K101</f>
        <v>14149127234.526131</v>
      </c>
      <c r="L122" s="2">
        <f>L12/'Output-Calculation-sheet'!L11*'Output-Calculation-sheet'!L101</f>
        <v>9416744687.9004726</v>
      </c>
      <c r="M122" s="2">
        <f>M12/'Output-Calculation-sheet'!M11*'Output-Calculation-sheet'!M101</f>
        <v>0</v>
      </c>
      <c r="N122" s="2">
        <f>N12/'Output-Calculation-sheet'!N11*'Output-Calculation-sheet'!N101</f>
        <v>2774285489.7595663</v>
      </c>
      <c r="O122" s="2">
        <f>O12/'Output-Calculation-sheet'!O11*'Output-Calculation-sheet'!O101</f>
        <v>0</v>
      </c>
      <c r="P122" s="2">
        <f>P12/'Output-Calculation-sheet'!P11*'Output-Calculation-sheet'!P101</f>
        <v>9285557038.8293667</v>
      </c>
      <c r="Q122" s="2">
        <f>Q12/'Output-Calculation-sheet'!Q11*'Output-Calculation-sheet'!Q101</f>
        <v>6048017540.0723791</v>
      </c>
      <c r="R122" s="2">
        <f>R12/'Output-Calculation-sheet'!R11*'Output-Calculation-sheet'!R101</f>
        <v>9160740608.4010315</v>
      </c>
      <c r="S122" s="2">
        <f>S12/'Output-Calculation-sheet'!S11*'Output-Calculation-sheet'!S101</f>
        <v>1926250127.8271306</v>
      </c>
      <c r="T122" s="2">
        <f>T12/'Output-Calculation-sheet'!T11*'Output-Calculation-sheet'!T101</f>
        <v>3394057061.241734</v>
      </c>
      <c r="U122" s="2">
        <f>U12/'Output-Calculation-sheet'!U11*'Output-Calculation-sheet'!U101</f>
        <v>2780810136.2562423</v>
      </c>
      <c r="V122" s="2">
        <f>V12/'Output-Calculation-sheet'!V11*'Output-Calculation-sheet'!V101</f>
        <v>2289263599.2397075</v>
      </c>
      <c r="W122" s="2">
        <f>W12/'Output-Calculation-sheet'!W11*'Output-Calculation-sheet'!W101</f>
        <v>1974374408.9232097</v>
      </c>
      <c r="X122" s="2">
        <f>X12/'Output-Calculation-sheet'!X11*'Output-Calculation-sheet'!X101</f>
        <v>95425519.672698602</v>
      </c>
      <c r="Y122" s="2">
        <f>Y12/'Output-Calculation-sheet'!Y11*'Output-Calculation-sheet'!Y101</f>
        <v>891233308.55603158</v>
      </c>
      <c r="AA122" s="2">
        <f t="shared" si="10"/>
        <v>257841.87184100563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47573961189.602028</v>
      </c>
      <c r="C129" s="2">
        <f>C8/'Output-Calculation-sheet'!C7*'Output-Calculation-sheet'!C106</f>
        <v>22419248846.312126</v>
      </c>
      <c r="D129" s="2">
        <f>D8/'Output-Calculation-sheet'!D7*'Output-Calculation-sheet'!D106</f>
        <v>19981611526.83461</v>
      </c>
      <c r="E129" s="2">
        <f>E8/'Output-Calculation-sheet'!E7*'Output-Calculation-sheet'!E106</f>
        <v>15853381076.577303</v>
      </c>
      <c r="F129" s="2">
        <f>F8/'Output-Calculation-sheet'!F7*'Output-Calculation-sheet'!F106</f>
        <v>10205390292.065468</v>
      </c>
      <c r="G129" s="2">
        <f>G8/'Output-Calculation-sheet'!G7*'Output-Calculation-sheet'!G106</f>
        <v>7170587298.5820904</v>
      </c>
      <c r="H129" s="2">
        <f>H8/'Output-Calculation-sheet'!H7*'Output-Calculation-sheet'!H106</f>
        <v>6994632653.986165</v>
      </c>
      <c r="I129" s="2">
        <f>I8/'Output-Calculation-sheet'!I7*'Output-Calculation-sheet'!I106</f>
        <v>6532969477.5711327</v>
      </c>
      <c r="J129" s="2">
        <f>J8/'Output-Calculation-sheet'!J7*'Output-Calculation-sheet'!J106</f>
        <v>6358742525.9457064</v>
      </c>
      <c r="K129" s="2">
        <f>K8/'Output-Calculation-sheet'!K7*'Output-Calculation-sheet'!K106</f>
        <v>6297781338.0794525</v>
      </c>
      <c r="L129" s="2">
        <f>L8/'Output-Calculation-sheet'!L7*'Output-Calculation-sheet'!L106</f>
        <v>5052162078.0188866</v>
      </c>
      <c r="M129" s="2">
        <f>M8/'Output-Calculation-sheet'!M7*'Output-Calculation-sheet'!M106</f>
        <v>4825686787.4325523</v>
      </c>
      <c r="N129" s="2">
        <f>N8/'Output-Calculation-sheet'!N7*'Output-Calculation-sheet'!N106</f>
        <v>4736398562.5749178</v>
      </c>
      <c r="O129" s="2">
        <f>O8/'Output-Calculation-sheet'!O7*'Output-Calculation-sheet'!O106</f>
        <v>4356078663.7391739</v>
      </c>
      <c r="P129" s="2">
        <f>P8/'Output-Calculation-sheet'!P7*'Output-Calculation-sheet'!P106</f>
        <v>4311759855.19695</v>
      </c>
      <c r="Q129" s="2">
        <f>Q8/'Output-Calculation-sheet'!Q7*'Output-Calculation-sheet'!Q106</f>
        <v>4242074043.3829317</v>
      </c>
      <c r="R129" s="2">
        <f>R8/'Output-Calculation-sheet'!R7*'Output-Calculation-sheet'!R106</f>
        <v>4081070323.8866134</v>
      </c>
      <c r="S129" s="2">
        <f>S8/'Output-Calculation-sheet'!S7*'Output-Calculation-sheet'!S106</f>
        <v>2712488401.0250902</v>
      </c>
      <c r="T129" s="2">
        <f>T8/'Output-Calculation-sheet'!T7*'Output-Calculation-sheet'!T106</f>
        <v>1500166652.1972597</v>
      </c>
      <c r="U129" s="2">
        <f>U8/'Output-Calculation-sheet'!U7*'Output-Calculation-sheet'!U106</f>
        <v>1306593638.9721096</v>
      </c>
      <c r="V129" s="2">
        <f>V8/'Output-Calculation-sheet'!V7*'Output-Calculation-sheet'!V106</f>
        <v>1006103629.2411075</v>
      </c>
      <c r="W129" s="2">
        <f>W8/'Output-Calculation-sheet'!W7*'Output-Calculation-sheet'!W106</f>
        <v>871062425.71463084</v>
      </c>
      <c r="X129" s="2">
        <f>X8/'Output-Calculation-sheet'!X7*'Output-Calculation-sheet'!X106</f>
        <v>522637558.20569122</v>
      </c>
      <c r="Y129" s="2">
        <f>Y8/'Output-Calculation-sheet'!Y7*'Output-Calculation-sheet'!Y106</f>
        <v>508259897.82919919</v>
      </c>
      <c r="AA129" s="2">
        <f t="shared" si="11"/>
        <v>189420.84874297323</v>
      </c>
    </row>
    <row r="130" spans="1:27" x14ac:dyDescent="0.25">
      <c r="A130" s="2">
        <v>2032</v>
      </c>
      <c r="B130" s="2">
        <f>B9/'Output-Calculation-sheet'!B8*'Output-Calculation-sheet'!B107</f>
        <v>38518252618.184639</v>
      </c>
      <c r="C130" s="2">
        <f>C9/'Output-Calculation-sheet'!C8*'Output-Calculation-sheet'!C107</f>
        <v>18151735323.08828</v>
      </c>
      <c r="D130" s="2">
        <f>D9/'Output-Calculation-sheet'!D8*'Output-Calculation-sheet'!D107</f>
        <v>16178105434.510578</v>
      </c>
      <c r="E130" s="2">
        <f>E9/'Output-Calculation-sheet'!E8*'Output-Calculation-sheet'!E107</f>
        <v>12835683282.031979</v>
      </c>
      <c r="F130" s="2">
        <f>F9/'Output-Calculation-sheet'!F8*'Output-Calculation-sheet'!F107</f>
        <v>8262794196.3546143</v>
      </c>
      <c r="G130" s="2">
        <f>G9/'Output-Calculation-sheet'!G8*'Output-Calculation-sheet'!G107</f>
        <v>5805666000.3475628</v>
      </c>
      <c r="H130" s="2">
        <f>H9/'Output-Calculation-sheet'!H8*'Output-Calculation-sheet'!H107</f>
        <v>5663202847.4171047</v>
      </c>
      <c r="I130" s="2">
        <f>I9/'Output-Calculation-sheet'!I8*'Output-Calculation-sheet'!I107</f>
        <v>5289418034.4351206</v>
      </c>
      <c r="J130" s="2">
        <f>J9/'Output-Calculation-sheet'!J8*'Output-Calculation-sheet'!J107</f>
        <v>5148353193.8046837</v>
      </c>
      <c r="K130" s="2">
        <f>K9/'Output-Calculation-sheet'!K8*'Output-Calculation-sheet'!K107</f>
        <v>5098997327.0285196</v>
      </c>
      <c r="L130" s="2">
        <f>L9/'Output-Calculation-sheet'!L8*'Output-Calculation-sheet'!L107</f>
        <v>4090482488.3129058</v>
      </c>
      <c r="M130" s="2">
        <f>M9/'Output-Calculation-sheet'!M8*'Output-Calculation-sheet'!M107</f>
        <v>3907117293.7622418</v>
      </c>
      <c r="N130" s="2">
        <f>N9/'Output-Calculation-sheet'!N8*'Output-Calculation-sheet'!N107</f>
        <v>3834822607.362874</v>
      </c>
      <c r="O130" s="2">
        <f>O9/'Output-Calculation-sheet'!O8*'Output-Calculation-sheet'!O107</f>
        <v>3526898630.0930271</v>
      </c>
      <c r="P130" s="2">
        <f>P9/'Output-Calculation-sheet'!P8*'Output-Calculation-sheet'!P107</f>
        <v>3491014996.2731996</v>
      </c>
      <c r="Q130" s="2">
        <f>Q9/'Output-Calculation-sheet'!Q8*'Output-Calculation-sheet'!Q107</f>
        <v>3434595653.1088119</v>
      </c>
      <c r="R130" s="2">
        <f>R9/'Output-Calculation-sheet'!R8*'Output-Calculation-sheet'!R107</f>
        <v>3304238584.4886432</v>
      </c>
      <c r="S130" s="2">
        <f>S9/'Output-Calculation-sheet'!S8*'Output-Calculation-sheet'!S107</f>
        <v>2196165943.5608926</v>
      </c>
      <c r="T130" s="2">
        <f>T9/'Output-Calculation-sheet'!T8*'Output-Calculation-sheet'!T107</f>
        <v>1214609771.5709651</v>
      </c>
      <c r="U130" s="2">
        <f>U9/'Output-Calculation-sheet'!U8*'Output-Calculation-sheet'!U107</f>
        <v>1057883263.1656545</v>
      </c>
      <c r="V130" s="2">
        <f>V9/'Output-Calculation-sheet'!V8*'Output-Calculation-sheet'!V107</f>
        <v>814591270.08042455</v>
      </c>
      <c r="W130" s="2">
        <f>W9/'Output-Calculation-sheet'!W8*'Output-Calculation-sheet'!W107</f>
        <v>705255693.47956467</v>
      </c>
      <c r="X130" s="2">
        <f>X9/'Output-Calculation-sheet'!X8*'Output-Calculation-sheet'!X107</f>
        <v>423153333.06006473</v>
      </c>
      <c r="Y130" s="2">
        <f>Y9/'Output-Calculation-sheet'!Y8*'Output-Calculation-sheet'!Y107</f>
        <v>411512465.3143546</v>
      </c>
      <c r="AA130" s="2">
        <f t="shared" si="11"/>
        <v>153364.55025083668</v>
      </c>
    </row>
    <row r="131" spans="1:27" x14ac:dyDescent="0.25">
      <c r="A131" s="2">
        <v>2033</v>
      </c>
      <c r="B131" s="2">
        <f>B10/'Output-Calculation-sheet'!B9*'Output-Calculation-sheet'!B108</f>
        <v>26842496984.416218</v>
      </c>
      <c r="C131" s="2">
        <f>C10/'Output-Calculation-sheet'!C9*'Output-Calculation-sheet'!C108</f>
        <v>12649532843.798767</v>
      </c>
      <c r="D131" s="2">
        <f>D10/'Output-Calculation-sheet'!D9*'Output-Calculation-sheet'!D108</f>
        <v>11274157836.606819</v>
      </c>
      <c r="E131" s="2">
        <f>E10/'Output-Calculation-sheet'!E9*'Output-Calculation-sheet'!E108</f>
        <v>8944896681.7820091</v>
      </c>
      <c r="F131" s="2">
        <f>F10/'Output-Calculation-sheet'!F9*'Output-Calculation-sheet'!F108</f>
        <v>5758150978.5731544</v>
      </c>
      <c r="G131" s="2">
        <f>G10/'Output-Calculation-sheet'!G9*'Output-Calculation-sheet'!G108</f>
        <v>4045834905.7337379</v>
      </c>
      <c r="H131" s="2">
        <f>H10/'Output-Calculation-sheet'!H9*'Output-Calculation-sheet'!H108</f>
        <v>3946556643.955524</v>
      </c>
      <c r="I131" s="2">
        <f>I10/'Output-Calculation-sheet'!I9*'Output-Calculation-sheet'!I108</f>
        <v>3686075497.6794376</v>
      </c>
      <c r="J131" s="2">
        <f>J10/'Output-Calculation-sheet'!J9*'Output-Calculation-sheet'!J108</f>
        <v>3587770624.1902657</v>
      </c>
      <c r="K131" s="2">
        <f>K10/'Output-Calculation-sheet'!K9*'Output-Calculation-sheet'!K108</f>
        <v>3553374710.5092411</v>
      </c>
      <c r="L131" s="2">
        <f>L10/'Output-Calculation-sheet'!L9*'Output-Calculation-sheet'!L108</f>
        <v>2850564507.6053123</v>
      </c>
      <c r="M131" s="2">
        <f>M10/'Output-Calculation-sheet'!M9*'Output-Calculation-sheet'!M108</f>
        <v>2722780050.7488952</v>
      </c>
      <c r="N131" s="2">
        <f>N10/'Output-Calculation-sheet'!N9*'Output-Calculation-sheet'!N108</f>
        <v>2672400238.3883052</v>
      </c>
      <c r="O131" s="2">
        <f>O10/'Output-Calculation-sheet'!O9*'Output-Calculation-sheet'!O108</f>
        <v>2953663856.6621938</v>
      </c>
      <c r="P131" s="2">
        <f>P10/'Output-Calculation-sheet'!P9*'Output-Calculation-sheet'!P108</f>
        <v>2432809846.811904</v>
      </c>
      <c r="Q131" s="2">
        <f>Q10/'Output-Calculation-sheet'!Q9*'Output-Calculation-sheet'!Q108</f>
        <v>2393491220.301156</v>
      </c>
      <c r="R131" s="2">
        <f>R10/'Output-Calculation-sheet'!R9*'Output-Calculation-sheet'!R108</f>
        <v>2302647758.3502116</v>
      </c>
      <c r="S131" s="2">
        <f>S10/'Output-Calculation-sheet'!S9*'Output-Calculation-sheet'!S108</f>
        <v>1530458253.141803</v>
      </c>
      <c r="T131" s="2">
        <f>T10/'Output-Calculation-sheet'!T9*'Output-Calculation-sheet'!T108</f>
        <v>846433348.63907027</v>
      </c>
      <c r="U131" s="2">
        <f>U10/'Output-Calculation-sheet'!U9*'Output-Calculation-sheet'!U108</f>
        <v>737214670.43687344</v>
      </c>
      <c r="V131" s="2">
        <f>V10/'Output-Calculation-sheet'!V9*'Output-Calculation-sheet'!V108</f>
        <v>567670040.37482095</v>
      </c>
      <c r="W131" s="2">
        <f>W10/'Output-Calculation-sheet'!W9*'Output-Calculation-sheet'!W108</f>
        <v>491476446.80739373</v>
      </c>
      <c r="X131" s="2">
        <f>X10/'Output-Calculation-sheet'!X9*'Output-Calculation-sheet'!X108</f>
        <v>294885810.48307168</v>
      </c>
      <c r="Y131" s="2">
        <f>Y10/'Output-Calculation-sheet'!Y9*'Output-Calculation-sheet'!Y108</f>
        <v>286773558.47395366</v>
      </c>
      <c r="AA131" s="2">
        <f t="shared" si="11"/>
        <v>107372.11731447013</v>
      </c>
    </row>
    <row r="132" spans="1:27" x14ac:dyDescent="0.25">
      <c r="A132" s="2">
        <v>2034</v>
      </c>
      <c r="B132" s="2">
        <f>B11/'Output-Calculation-sheet'!B10*'Output-Calculation-sheet'!B109</f>
        <v>13686365437.76395</v>
      </c>
      <c r="C132" s="2">
        <f>C11/'Output-Calculation-sheet'!C10*'Output-Calculation-sheet'!C109</f>
        <v>12451469651.938725</v>
      </c>
      <c r="D132" s="2">
        <f>D11/'Output-Calculation-sheet'!D10*'Output-Calculation-sheet'!D109</f>
        <v>5748431086.5629377</v>
      </c>
      <c r="E132" s="2">
        <f>E11/'Output-Calculation-sheet'!E10*'Output-Calculation-sheet'!E109</f>
        <v>4560796378.2863483</v>
      </c>
      <c r="F132" s="2">
        <f>F11/'Output-Calculation-sheet'!F10*'Output-Calculation-sheet'!F109</f>
        <v>2935948291.2965913</v>
      </c>
      <c r="G132" s="2">
        <f>G11/'Output-Calculation-sheet'!G10*'Output-Calculation-sheet'!G109</f>
        <v>2062878166.778405</v>
      </c>
      <c r="H132" s="2">
        <f>H11/'Output-Calculation-sheet'!H10*'Output-Calculation-sheet'!H109</f>
        <v>2012258149.9586887</v>
      </c>
      <c r="I132" s="2">
        <f>I11/'Output-Calculation-sheet'!I10*'Output-Calculation-sheet'!I109</f>
        <v>1879444245.1945789</v>
      </c>
      <c r="J132" s="2">
        <f>J11/'Output-Calculation-sheet'!J10*'Output-Calculation-sheet'!J109</f>
        <v>1829321151.9490237</v>
      </c>
      <c r="K132" s="2">
        <f>K11/'Output-Calculation-sheet'!K10*'Output-Calculation-sheet'!K109</f>
        <v>1811784041.3546317</v>
      </c>
      <c r="L132" s="2">
        <f>L11/'Output-Calculation-sheet'!L10*'Output-Calculation-sheet'!L109</f>
        <v>1453436827.4826534</v>
      </c>
      <c r="M132" s="2">
        <f>M11/'Output-Calculation-sheet'!M10*'Output-Calculation-sheet'!M109</f>
        <v>1388282708.6888106</v>
      </c>
      <c r="N132" s="2">
        <f>N11/'Output-Calculation-sheet'!N10*'Output-Calculation-sheet'!N109</f>
        <v>1362595627.5049777</v>
      </c>
      <c r="O132" s="2">
        <f>O11/'Output-Calculation-sheet'!O10*'Output-Calculation-sheet'!O109</f>
        <v>2804081542.8095655</v>
      </c>
      <c r="P132" s="2">
        <f>P11/'Output-Calculation-sheet'!P10*'Output-Calculation-sheet'!P109</f>
        <v>1240433203.6990056</v>
      </c>
      <c r="Q132" s="2">
        <f>Q11/'Output-Calculation-sheet'!Q10*'Output-Calculation-sheet'!Q109</f>
        <v>1220385748.6663187</v>
      </c>
      <c r="R132" s="2">
        <f>R11/'Output-Calculation-sheet'!R10*'Output-Calculation-sheet'!R109</f>
        <v>1174067132.5641017</v>
      </c>
      <c r="S132" s="2">
        <f>S11/'Output-Calculation-sheet'!S10*'Output-Calculation-sheet'!S109</f>
        <v>780345220.67555296</v>
      </c>
      <c r="T132" s="2">
        <f>T11/'Output-Calculation-sheet'!T10*'Output-Calculation-sheet'!T109</f>
        <v>431576965.37711012</v>
      </c>
      <c r="U132" s="2">
        <f>U11/'Output-Calculation-sheet'!U10*'Output-Calculation-sheet'!U109</f>
        <v>375888805.2813794</v>
      </c>
      <c r="V132" s="2">
        <f>V11/'Output-Calculation-sheet'!V10*'Output-Calculation-sheet'!V109</f>
        <v>289441897.82696372</v>
      </c>
      <c r="W132" s="2">
        <f>W11/'Output-Calculation-sheet'!W10*'Output-Calculation-sheet'!W109</f>
        <v>250592536.83890325</v>
      </c>
      <c r="X132" s="2">
        <f>X11/'Output-Calculation-sheet'!X10*'Output-Calculation-sheet'!X109</f>
        <v>150355516.22942078</v>
      </c>
      <c r="Y132" s="2">
        <f>Y11/'Output-Calculation-sheet'!Y10*'Output-Calculation-sheet'!Y109</f>
        <v>146219264.50371042</v>
      </c>
      <c r="AA132" s="2">
        <f t="shared" si="11"/>
        <v>62046.399599232354</v>
      </c>
    </row>
    <row r="133" spans="1:27" x14ac:dyDescent="0.25">
      <c r="A133" s="2">
        <v>2035</v>
      </c>
      <c r="B133" s="2">
        <f>B12/'Output-Calculation-sheet'!B11*'Output-Calculation-sheet'!B110</f>
        <v>5985604496.3651524</v>
      </c>
      <c r="C133" s="2">
        <f>C12/'Output-Calculation-sheet'!C11*'Output-Calculation-sheet'!C110</f>
        <v>11495258247.167273</v>
      </c>
      <c r="D133" s="2">
        <f>D12/'Output-Calculation-sheet'!D11*'Output-Calculation-sheet'!D110</f>
        <v>2971216335.5036173</v>
      </c>
      <c r="E133" s="2">
        <f>E12/'Output-Calculation-sheet'!E11*'Output-Calculation-sheet'!E110</f>
        <v>1509747707.8413832</v>
      </c>
      <c r="F133" s="2">
        <f>F12/'Output-Calculation-sheet'!F11*'Output-Calculation-sheet'!F110</f>
        <v>1022000381.8276279</v>
      </c>
      <c r="G133" s="2">
        <f>G12/'Output-Calculation-sheet'!G11*'Output-Calculation-sheet'!G110</f>
        <v>1291474089.0902328</v>
      </c>
      <c r="H133" s="2">
        <f>H12/'Output-Calculation-sheet'!H11*'Output-Calculation-sheet'!H110</f>
        <v>1523495781.2658982</v>
      </c>
      <c r="I133" s="2">
        <f>I12/'Output-Calculation-sheet'!I11*'Output-Calculation-sheet'!I110</f>
        <v>713697344.80744839</v>
      </c>
      <c r="J133" s="2">
        <f>J12/'Output-Calculation-sheet'!J11*'Output-Calculation-sheet'!J110</f>
        <v>863510848.71335614</v>
      </c>
      <c r="K133" s="2">
        <f>K12/'Output-Calculation-sheet'!K11*'Output-Calculation-sheet'!K110</f>
        <v>654769711.96359551</v>
      </c>
      <c r="L133" s="2">
        <f>L12/'Output-Calculation-sheet'!L11*'Output-Calculation-sheet'!L110</f>
        <v>420773568.53760028</v>
      </c>
      <c r="M133" s="2">
        <f>M12/'Output-Calculation-sheet'!M11*'Output-Calculation-sheet'!M110</f>
        <v>947599044.91122496</v>
      </c>
      <c r="N133" s="2">
        <f>N12/'Output-Calculation-sheet'!N11*'Output-Calculation-sheet'!N110</f>
        <v>788437040.90930521</v>
      </c>
      <c r="O133" s="2">
        <f>O12/'Output-Calculation-sheet'!O11*'Output-Calculation-sheet'!O110</f>
        <v>2784496177.2132487</v>
      </c>
      <c r="P133" s="2">
        <f>P12/'Output-Calculation-sheet'!P11*'Output-Calculation-sheet'!P110</f>
        <v>550848657.86429799</v>
      </c>
      <c r="Q133" s="2">
        <f>Q12/'Output-Calculation-sheet'!Q11*'Output-Calculation-sheet'!Q110</f>
        <v>686116717.73365664</v>
      </c>
      <c r="R133" s="2">
        <f>R12/'Output-Calculation-sheet'!R11*'Output-Calculation-sheet'!R110</f>
        <v>431761998.22529811</v>
      </c>
      <c r="S133" s="2">
        <f>S12/'Output-Calculation-sheet'!S11*'Output-Calculation-sheet'!S110</f>
        <v>415132239.07181084</v>
      </c>
      <c r="T133" s="2">
        <f>T12/'Output-Calculation-sheet'!T11*'Output-Calculation-sheet'!T110</f>
        <v>112310253.37813129</v>
      </c>
      <c r="U133" s="2">
        <f>U12/'Output-Calculation-sheet'!U11*'Output-Calculation-sheet'!U110</f>
        <v>182567603.09670839</v>
      </c>
      <c r="V133" s="2">
        <f>V12/'Output-Calculation-sheet'!V11*'Output-Calculation-sheet'!V110</f>
        <v>46070825.584549747</v>
      </c>
      <c r="W133" s="2">
        <f>W12/'Output-Calculation-sheet'!W11*'Output-Calculation-sheet'!W110</f>
        <v>75111336.057201445</v>
      </c>
      <c r="X133" s="2">
        <f>X12/'Output-Calculation-sheet'!X11*'Output-Calculation-sheet'!X110</f>
        <v>131540077.46464133</v>
      </c>
      <c r="Y133" s="2">
        <f>Y12/'Output-Calculation-sheet'!Y11*'Output-Calculation-sheet'!Y110</f>
        <v>69118981.814843878</v>
      </c>
      <c r="AA133" s="2">
        <f t="shared" si="11"/>
        <v>35672.659466408106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1062.4034465893317</v>
      </c>
      <c r="C19" s="2">
        <f>C8/'Output-Calculation-sheet'!C7*'Output-Calculation-sheet'!C25</f>
        <v>16015.896049584731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4767.5026678667773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3312.053515300147</v>
      </c>
      <c r="N19" s="2">
        <f>N8/'Output-Calculation-sheet'!N7*'Output-Calculation-sheet'!N25</f>
        <v>1133.9252157217427</v>
      </c>
      <c r="O19" s="2">
        <f>O8/'Output-Calculation-sheet'!O7*'Output-Calculation-sheet'!O25</f>
        <v>3097.4044289762492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404.60241731275005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370.05585556006218</v>
      </c>
      <c r="Y19" s="2">
        <f>Y8/'Output-Calculation-sheet'!Y7*'Output-Calculation-sheet'!Y25</f>
        <v>0</v>
      </c>
      <c r="AA19" s="2">
        <f t="shared" si="0"/>
        <v>30.163843596911793</v>
      </c>
    </row>
    <row r="20" spans="1:27" x14ac:dyDescent="0.25">
      <c r="A20" s="2">
        <v>2032</v>
      </c>
      <c r="B20" s="2">
        <f>B9/'Output-Calculation-sheet'!B8*'Output-Calculation-sheet'!B26</f>
        <v>5979.2567118786374</v>
      </c>
      <c r="C20" s="2">
        <f>C9/'Output-Calculation-sheet'!C8*'Output-Calculation-sheet'!C26</f>
        <v>21896.886015667267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6505.2501001459168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4520.4026591697475</v>
      </c>
      <c r="N20" s="2">
        <f>N9/'Output-Calculation-sheet'!N8*'Output-Calculation-sheet'!N26</f>
        <v>2035.2890303511747</v>
      </c>
      <c r="O20" s="2">
        <f>O9/'Output-Calculation-sheet'!O8*'Output-Calculation-sheet'!O26</f>
        <v>4266.5128141212772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741.33598065095805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505.65416795050459</v>
      </c>
      <c r="Y20" s="2">
        <f>Y9/'Output-Calculation-sheet'!Y8*'Output-Calculation-sheet'!Y26</f>
        <v>0</v>
      </c>
      <c r="AA20" s="2">
        <f t="shared" si="0"/>
        <v>46.450587479935486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32396.644775588458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8294.2419959067593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5761.0398160351961</v>
      </c>
      <c r="N21" s="2">
        <f>N10/'Output-Calculation-sheet'!N9*'Output-Calculation-sheet'!N27</f>
        <v>3152.2046739870548</v>
      </c>
      <c r="O21" s="2">
        <f>O10/'Output-Calculation-sheet'!O9*'Output-Calculation-sheet'!O27</f>
        <v>5503.7924503751437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1371.7966767605014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677.41837055927829</v>
      </c>
      <c r="Y21" s="2">
        <f>Y10/'Output-Calculation-sheet'!Y9*'Output-Calculation-sheet'!Y27</f>
        <v>0</v>
      </c>
      <c r="AA21" s="2">
        <f t="shared" si="0"/>
        <v>71.71849967953689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34569.907645060477</v>
      </c>
      <c r="D22" s="2">
        <f>D11/'Output-Calculation-sheet'!D10*'Output-Calculation-sheet'!D28</f>
        <v>0</v>
      </c>
      <c r="E22" s="2">
        <f>E11/'Output-Calculation-sheet'!E10*'Output-Calculation-sheet'!E28</f>
        <v>1466.5766467852447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11399.937563788853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864.97467541856759</v>
      </c>
      <c r="M22" s="2">
        <f>M11/'Output-Calculation-sheet'!M10*'Output-Calculation-sheet'!M28</f>
        <v>7857.3826835950304</v>
      </c>
      <c r="N22" s="2">
        <f>N11/'Output-Calculation-sheet'!N10*'Output-Calculation-sheet'!N28</f>
        <v>4521.9675025728338</v>
      </c>
      <c r="O22" s="2">
        <f>O11/'Output-Calculation-sheet'!O10*'Output-Calculation-sheet'!O28</f>
        <v>6087.7910413329337</v>
      </c>
      <c r="P22" s="2">
        <f>P11/'Output-Calculation-sheet'!P10*'Output-Calculation-sheet'!P28</f>
        <v>0</v>
      </c>
      <c r="Q22" s="2">
        <f>Q11/'Output-Calculation-sheet'!Q10*'Output-Calculation-sheet'!Q28</f>
        <v>1695.9749536940624</v>
      </c>
      <c r="R22" s="2">
        <f>R11/'Output-Calculation-sheet'!R10*'Output-Calculation-sheet'!R28</f>
        <v>0</v>
      </c>
      <c r="S22" s="2">
        <f>S11/'Output-Calculation-sheet'!S10*'Output-Calculation-sheet'!S28</f>
        <v>2293.2800110192788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804.83878708151315</v>
      </c>
      <c r="Y22" s="2">
        <f>Y11/'Output-Calculation-sheet'!Y10*'Output-Calculation-sheet'!Y28</f>
        <v>78.967146502899169</v>
      </c>
      <c r="AA22" s="2">
        <f t="shared" si="0"/>
        <v>100.0289236171397</v>
      </c>
    </row>
    <row r="23" spans="1:27" x14ac:dyDescent="0.25">
      <c r="A23" s="2">
        <v>2035</v>
      </c>
      <c r="B23" s="2">
        <f>B12/'Output-Calculation-sheet'!B11*'Output-Calculation-sheet'!B29</f>
        <v>40602.837010152238</v>
      </c>
      <c r="C23" s="2">
        <f>C12/'Output-Calculation-sheet'!C11*'Output-Calculation-sheet'!C29</f>
        <v>37859.950228090172</v>
      </c>
      <c r="D23" s="2">
        <f>D12/'Output-Calculation-sheet'!D11*'Output-Calculation-sheet'!D29</f>
        <v>0</v>
      </c>
      <c r="E23" s="2">
        <f>E12/'Output-Calculation-sheet'!E11*'Output-Calculation-sheet'!E29</f>
        <v>7458.2556810963988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13030.094015741743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2162.4884410218419</v>
      </c>
      <c r="M23" s="2">
        <f>M12/'Output-Calculation-sheet'!M11*'Output-Calculation-sheet'!M29</f>
        <v>9261.4442358205815</v>
      </c>
      <c r="N23" s="2">
        <f>N12/'Output-Calculation-sheet'!N11*'Output-Calculation-sheet'!N29</f>
        <v>5378.9437550081248</v>
      </c>
      <c r="O23" s="2">
        <f>O12/'Output-Calculation-sheet'!O11*'Output-Calculation-sheet'!O29</f>
        <v>6259.1510646262404</v>
      </c>
      <c r="P23" s="2">
        <f>P12/'Output-Calculation-sheet'!P11*'Output-Calculation-sheet'!P29</f>
        <v>865.19364223820128</v>
      </c>
      <c r="Q23" s="2">
        <f>Q12/'Output-Calculation-sheet'!Q11*'Output-Calculation-sheet'!Q29</f>
        <v>2754.22559985207</v>
      </c>
      <c r="R23" s="2">
        <f>R12/'Output-Calculation-sheet'!R11*'Output-Calculation-sheet'!R29</f>
        <v>0</v>
      </c>
      <c r="S23" s="2">
        <f>S12/'Output-Calculation-sheet'!S11*'Output-Calculation-sheet'!S29</f>
        <v>2974.7675734195464</v>
      </c>
      <c r="T23" s="2">
        <f>T12/'Output-Calculation-sheet'!T11*'Output-Calculation-sheet'!T29</f>
        <v>0</v>
      </c>
      <c r="U23" s="2">
        <f>U12/'Output-Calculation-sheet'!U11*'Output-Calculation-sheet'!U29</f>
        <v>321.00748972946593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884.86315643288901</v>
      </c>
      <c r="Y23" s="2">
        <f>Y12/'Output-Calculation-sheet'!Y11*'Output-Calculation-sheet'!Y29</f>
        <v>273.02652292733876</v>
      </c>
      <c r="AA23" s="2">
        <f t="shared" si="0"/>
        <v>130.08624841615685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18517.346956163343</v>
      </c>
      <c r="C30" s="2">
        <f>C8/'Output-Calculation-sheet'!C7*'Output-Calculation-sheet'!C16</f>
        <v>0</v>
      </c>
      <c r="D30" s="2">
        <f>D8/'Output-Calculation-sheet'!D7*'Output-Calculation-sheet'!D16</f>
        <v>3118.0764344784916</v>
      </c>
      <c r="E30" s="2">
        <f>E8/'Output-Calculation-sheet'!E7*'Output-Calculation-sheet'!E16</f>
        <v>3354.8740788592727</v>
      </c>
      <c r="F30" s="2">
        <f>F8/'Output-Calculation-sheet'!F7*'Output-Calculation-sheet'!F16</f>
        <v>1692.551824982618</v>
      </c>
      <c r="G30" s="2">
        <f>G8/'Output-Calculation-sheet'!G7*'Output-Calculation-sheet'!G16</f>
        <v>1108.420418249101</v>
      </c>
      <c r="H30" s="2">
        <f>H8/'Output-Calculation-sheet'!H7*'Output-Calculation-sheet'!H16</f>
        <v>0</v>
      </c>
      <c r="I30" s="2">
        <f>I8/'Output-Calculation-sheet'!I7*'Output-Calculation-sheet'!I16</f>
        <v>1080.5439425531615</v>
      </c>
      <c r="J30" s="2">
        <f>J8/'Output-Calculation-sheet'!J7*'Output-Calculation-sheet'!J16</f>
        <v>961.89187997831584</v>
      </c>
      <c r="K30" s="2">
        <f>K8/'Output-Calculation-sheet'!K7*'Output-Calculation-sheet'!K16</f>
        <v>1284.3095156006209</v>
      </c>
      <c r="L30" s="2">
        <f>L8/'Output-Calculation-sheet'!L7*'Output-Calculation-sheet'!L16</f>
        <v>1084.8239949056795</v>
      </c>
      <c r="M30" s="2">
        <f>M8/'Output-Calculation-sheet'!M7*'Output-Calculation-sheet'!M16</f>
        <v>0</v>
      </c>
      <c r="N30" s="2">
        <f>N8/'Output-Calculation-sheet'!N7*'Output-Calculation-sheet'!N16</f>
        <v>1540.9010896739892</v>
      </c>
      <c r="O30" s="2">
        <f>O8/'Output-Calculation-sheet'!O7*'Output-Calculation-sheet'!O16</f>
        <v>0</v>
      </c>
      <c r="P30" s="2">
        <f>P8/'Output-Calculation-sheet'!P7*'Output-Calculation-sheet'!P16</f>
        <v>1384.9113383965396</v>
      </c>
      <c r="Q30" s="2">
        <f>Q8/'Output-Calculation-sheet'!Q7*'Output-Calculation-sheet'!Q16</f>
        <v>1522.9450916462438</v>
      </c>
      <c r="R30" s="2">
        <f>R8/'Output-Calculation-sheet'!R7*'Output-Calculation-sheet'!R16</f>
        <v>966.31527995393321</v>
      </c>
      <c r="S30" s="2">
        <f>S8/'Output-Calculation-sheet'!S7*'Output-Calculation-sheet'!S16</f>
        <v>971.82981647185261</v>
      </c>
      <c r="T30" s="2">
        <f>T8/'Output-Calculation-sheet'!T7*'Output-Calculation-sheet'!T16</f>
        <v>290.07395699375024</v>
      </c>
      <c r="U30" s="2">
        <f>U8/'Output-Calculation-sheet'!U7*'Output-Calculation-sheet'!U16</f>
        <v>289.55545715123401</v>
      </c>
      <c r="V30" s="2">
        <f>V8/'Output-Calculation-sheet'!V7*'Output-Calculation-sheet'!V16</f>
        <v>225.35550829400415</v>
      </c>
      <c r="W30" s="2">
        <f>W8/'Output-Calculation-sheet'!W7*'Output-Calculation-sheet'!W16</f>
        <v>136.68947652296612</v>
      </c>
      <c r="X30" s="2">
        <f>X8/'Output-Calculation-sheet'!X7*'Output-Calculation-sheet'!X16</f>
        <v>0</v>
      </c>
      <c r="Y30" s="2">
        <f>Y8/'Output-Calculation-sheet'!Y7*'Output-Calculation-sheet'!Y16</f>
        <v>115.69210201273341</v>
      </c>
      <c r="AA30" s="2">
        <f t="shared" si="1"/>
        <v>39.647108162887847</v>
      </c>
    </row>
    <row r="31" spans="1:27" x14ac:dyDescent="0.25">
      <c r="A31" s="2">
        <v>2032</v>
      </c>
      <c r="B31" s="2">
        <f>B9/'Output-Calculation-sheet'!B8*'Output-Calculation-sheet'!B17</f>
        <v>25318.148389720234</v>
      </c>
      <c r="C31" s="2">
        <f>C9/'Output-Calculation-sheet'!C8*'Output-Calculation-sheet'!C17</f>
        <v>0</v>
      </c>
      <c r="D31" s="2">
        <f>D9/'Output-Calculation-sheet'!D8*'Output-Calculation-sheet'!D17</f>
        <v>4246.1859031176382</v>
      </c>
      <c r="E31" s="2">
        <f>E9/'Output-Calculation-sheet'!E8*'Output-Calculation-sheet'!E17</f>
        <v>4990.8113803225851</v>
      </c>
      <c r="F31" s="2">
        <f>F9/'Output-Calculation-sheet'!F8*'Output-Calculation-sheet'!F17</f>
        <v>2304.9674715369933</v>
      </c>
      <c r="G31" s="2">
        <f>G9/'Output-Calculation-sheet'!G8*'Output-Calculation-sheet'!G17</f>
        <v>1509.4659441931481</v>
      </c>
      <c r="H31" s="2">
        <f>H9/'Output-Calculation-sheet'!H8*'Output-Calculation-sheet'!H17</f>
        <v>0</v>
      </c>
      <c r="I31" s="2">
        <f>I9/'Output-Calculation-sheet'!I8*'Output-Calculation-sheet'!I17</f>
        <v>1471.5101737256446</v>
      </c>
      <c r="J31" s="2">
        <f>J9/'Output-Calculation-sheet'!J8*'Output-Calculation-sheet'!J17</f>
        <v>1309.9276878549144</v>
      </c>
      <c r="K31" s="2">
        <f>K9/'Output-Calculation-sheet'!K8*'Output-Calculation-sheet'!K17</f>
        <v>1864.9892227784455</v>
      </c>
      <c r="L31" s="2">
        <f>L9/'Output-Calculation-sheet'!L8*'Output-Calculation-sheet'!L17</f>
        <v>1590.5079502139633</v>
      </c>
      <c r="M31" s="2">
        <f>M9/'Output-Calculation-sheet'!M8*'Output-Calculation-sheet'!M17</f>
        <v>0</v>
      </c>
      <c r="N31" s="2">
        <f>N9/'Output-Calculation-sheet'!N8*'Output-Calculation-sheet'!N17</f>
        <v>1735.3705128398053</v>
      </c>
      <c r="O31" s="2">
        <f>O9/'Output-Calculation-sheet'!O8*'Output-Calculation-sheet'!O17</f>
        <v>0</v>
      </c>
      <c r="P31" s="2">
        <f>P9/'Output-Calculation-sheet'!P8*'Output-Calculation-sheet'!P17</f>
        <v>2146.0129793310434</v>
      </c>
      <c r="Q31" s="2">
        <f>Q9/'Output-Calculation-sheet'!Q8*'Output-Calculation-sheet'!Q17</f>
        <v>2287.8470050931437</v>
      </c>
      <c r="R31" s="2">
        <f>R9/'Output-Calculation-sheet'!R8*'Output-Calculation-sheet'!R17</f>
        <v>1496.8304220443267</v>
      </c>
      <c r="S31" s="2">
        <f>S9/'Output-Calculation-sheet'!S8*'Output-Calculation-sheet'!S17</f>
        <v>1287.9561520983298</v>
      </c>
      <c r="T31" s="2">
        <f>T9/'Output-Calculation-sheet'!T8*'Output-Calculation-sheet'!T17</f>
        <v>406.17587097412604</v>
      </c>
      <c r="U31" s="2">
        <f>U9/'Output-Calculation-sheet'!U8*'Output-Calculation-sheet'!U17</f>
        <v>466.82556525126097</v>
      </c>
      <c r="V31" s="2">
        <f>V9/'Output-Calculation-sheet'!V8*'Output-Calculation-sheet'!V17</f>
        <v>334.36500202277091</v>
      </c>
      <c r="W31" s="2">
        <f>W9/'Output-Calculation-sheet'!W8*'Output-Calculation-sheet'!W17</f>
        <v>186.14888572668326</v>
      </c>
      <c r="X31" s="2">
        <f>X9/'Output-Calculation-sheet'!X8*'Output-Calculation-sheet'!X17</f>
        <v>0</v>
      </c>
      <c r="Y31" s="2">
        <f>Y9/'Output-Calculation-sheet'!Y8*'Output-Calculation-sheet'!Y17</f>
        <v>179.86015324372917</v>
      </c>
      <c r="AA31" s="2">
        <f t="shared" si="1"/>
        <v>55.13390667208877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1772.5431522045226</v>
      </c>
      <c r="O32" s="2">
        <f>O10/'Output-Calculation-sheet'!O9*'Output-Calculation-sheet'!O18</f>
        <v>0</v>
      </c>
      <c r="P32" s="2">
        <f>P10/'Output-Calculation-sheet'!P9*'Output-Calculation-sheet'!P18</f>
        <v>2853.9889828889022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2049.3536746021946</v>
      </c>
      <c r="S32" s="2">
        <f>S10/'Output-Calculation-sheet'!S9*'Output-Calculation-sheet'!S18</f>
        <v>1341.2477815202151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661.61139729851493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69.90276347472674</v>
      </c>
    </row>
    <row r="33" spans="1:27" x14ac:dyDescent="0.25">
      <c r="A33" s="2">
        <v>2034</v>
      </c>
      <c r="B33" s="2">
        <f>B11/'Output-Calculation-sheet'!B10*'Output-Calculation-sheet'!B19</f>
        <v>28632.674907258348</v>
      </c>
      <c r="C33" s="2">
        <f>C11/'Output-Calculation-sheet'!C10*'Output-Calculation-sheet'!C19</f>
        <v>0</v>
      </c>
      <c r="D33" s="2">
        <f>D11/'Output-Calculation-sheet'!D10*'Output-Calculation-sheet'!D19</f>
        <v>8540.380884859509</v>
      </c>
      <c r="E33" s="2">
        <f>E11/'Output-Calculation-sheet'!E10*'Output-Calculation-sheet'!E19</f>
        <v>10581.677302566733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2907.2910708218742</v>
      </c>
      <c r="H33" s="2">
        <f>H11/'Output-Calculation-sheet'!H10*'Output-Calculation-sheet'!H19</f>
        <v>0</v>
      </c>
      <c r="I33" s="2">
        <f>I11/'Output-Calculation-sheet'!I10*'Output-Calculation-sheet'!I19</f>
        <v>3172.2557767296535</v>
      </c>
      <c r="J33" s="2">
        <f>J11/'Output-Calculation-sheet'!J10*'Output-Calculation-sheet'!J19</f>
        <v>2681.9900895061551</v>
      </c>
      <c r="K33" s="2">
        <f>K11/'Output-Calculation-sheet'!K10*'Output-Calculation-sheet'!K19</f>
        <v>3722.1074342434686</v>
      </c>
      <c r="L33" s="2">
        <f>L11/'Output-Calculation-sheet'!L10*'Output-Calculation-sheet'!L19</f>
        <v>3028.4327818548913</v>
      </c>
      <c r="M33" s="2">
        <f>M11/'Output-Calculation-sheet'!M10*'Output-Calculation-sheet'!M19</f>
        <v>0</v>
      </c>
      <c r="N33" s="2">
        <f>N11/'Output-Calculation-sheet'!N10*'Output-Calculation-sheet'!N19</f>
        <v>1711.5951413655118</v>
      </c>
      <c r="O33" s="2">
        <f>O11/'Output-Calculation-sheet'!O10*'Output-Calculation-sheet'!O19</f>
        <v>0</v>
      </c>
      <c r="P33" s="2">
        <f>P11/'Output-Calculation-sheet'!P10*'Output-Calculation-sheet'!P19</f>
        <v>3766.116138346048</v>
      </c>
      <c r="Q33" s="2">
        <f>Q11/'Output-Calculation-sheet'!Q10*'Output-Calculation-sheet'!Q19</f>
        <v>3015.4847065910071</v>
      </c>
      <c r="R33" s="2">
        <f>R11/'Output-Calculation-sheet'!R10*'Output-Calculation-sheet'!R19</f>
        <v>2688.907747735605</v>
      </c>
      <c r="S33" s="2">
        <f>S11/'Output-Calculation-sheet'!S10*'Output-Calculation-sheet'!S19</f>
        <v>1256.7790228677661</v>
      </c>
      <c r="T33" s="2">
        <f>T11/'Output-Calculation-sheet'!T10*'Output-Calculation-sheet'!T19</f>
        <v>788.97206987517393</v>
      </c>
      <c r="U33" s="2">
        <f>U11/'Output-Calculation-sheet'!U10*'Output-Calculation-sheet'!U19</f>
        <v>907.33297835237363</v>
      </c>
      <c r="V33" s="2">
        <f>V11/'Output-Calculation-sheet'!V10*'Output-Calculation-sheet'!V19</f>
        <v>618.7606607797585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152.17095700164111</v>
      </c>
      <c r="Y33" s="2">
        <f>Y11/'Output-Calculation-sheet'!Y10*'Output-Calculation-sheet'!Y19</f>
        <v>347.23939027099266</v>
      </c>
      <c r="AA33" s="2">
        <f t="shared" si="1"/>
        <v>83.760212210233959</v>
      </c>
    </row>
    <row r="34" spans="1:27" x14ac:dyDescent="0.25">
      <c r="A34" s="2">
        <v>2035</v>
      </c>
      <c r="B34" s="2">
        <f>B12/'Output-Calculation-sheet'!B11*'Output-Calculation-sheet'!B20</f>
        <v>28180.012977605009</v>
      </c>
      <c r="C34" s="2">
        <f>C12/'Output-Calculation-sheet'!C11*'Output-Calculation-sheet'!C20</f>
        <v>0</v>
      </c>
      <c r="D34" s="2">
        <f>D12/'Output-Calculation-sheet'!D11*'Output-Calculation-sheet'!D20</f>
        <v>10442.80188330264</v>
      </c>
      <c r="E34" s="2">
        <f>E12/'Output-Calculation-sheet'!E11*'Output-Calculation-sheet'!E20</f>
        <v>9416.8979958491982</v>
      </c>
      <c r="F34" s="2">
        <f>F12/'Output-Calculation-sheet'!F11*'Output-Calculation-sheet'!F20</f>
        <v>6676.3523450410266</v>
      </c>
      <c r="G34" s="2">
        <f>G12/'Output-Calculation-sheet'!G11*'Output-Calculation-sheet'!G20</f>
        <v>3322.0708869516907</v>
      </c>
      <c r="H34" s="2">
        <f>H12/'Output-Calculation-sheet'!H11*'Output-Calculation-sheet'!H20</f>
        <v>0</v>
      </c>
      <c r="I34" s="2">
        <f>I12/'Output-Calculation-sheet'!I11*'Output-Calculation-sheet'!I20</f>
        <v>4081.7225598413565</v>
      </c>
      <c r="J34" s="2">
        <f>J12/'Output-Calculation-sheet'!J11*'Output-Calculation-sheet'!J20</f>
        <v>3400.3771223754034</v>
      </c>
      <c r="K34" s="2">
        <f>K12/'Output-Calculation-sheet'!K11*'Output-Calculation-sheet'!K20</f>
        <v>4785.5661058495753</v>
      </c>
      <c r="L34" s="2">
        <f>L12/'Output-Calculation-sheet'!L11*'Output-Calculation-sheet'!L20</f>
        <v>3256.0815266390664</v>
      </c>
      <c r="M34" s="2">
        <f>M12/'Output-Calculation-sheet'!M11*'Output-Calculation-sheet'!M20</f>
        <v>0</v>
      </c>
      <c r="N34" s="2">
        <f>N12/'Output-Calculation-sheet'!N11*'Output-Calculation-sheet'!N20</f>
        <v>1863.6804596473739</v>
      </c>
      <c r="O34" s="2">
        <f>O12/'Output-Calculation-sheet'!O11*'Output-Calculation-sheet'!O20</f>
        <v>0</v>
      </c>
      <c r="P34" s="2">
        <f>P12/'Output-Calculation-sheet'!P11*'Output-Calculation-sheet'!P20</f>
        <v>3958.6882146689454</v>
      </c>
      <c r="Q34" s="2">
        <f>Q12/'Output-Calculation-sheet'!Q11*'Output-Calculation-sheet'!Q20</f>
        <v>2822.3080279314609</v>
      </c>
      <c r="R34" s="2">
        <f>R12/'Output-Calculation-sheet'!R11*'Output-Calculation-sheet'!R20</f>
        <v>3434.5602012503514</v>
      </c>
      <c r="S34" s="2">
        <f>S12/'Output-Calculation-sheet'!S11*'Output-Calculation-sheet'!S20</f>
        <v>1229.8416164128053</v>
      </c>
      <c r="T34" s="2">
        <f>T12/'Output-Calculation-sheet'!T11*'Output-Calculation-sheet'!T20</f>
        <v>994.1567980746305</v>
      </c>
      <c r="U34" s="2">
        <f>U12/'Output-Calculation-sheet'!U11*'Output-Calculation-sheet'!U20</f>
        <v>910.24889879874422</v>
      </c>
      <c r="V34" s="2">
        <f>V12/'Output-Calculation-sheet'!V11*'Output-Calculation-sheet'!V20</f>
        <v>898.5634064474965</v>
      </c>
      <c r="W34" s="2">
        <f>W12/'Output-Calculation-sheet'!W11*'Output-Calculation-sheet'!W20</f>
        <v>530.76650789742587</v>
      </c>
      <c r="X34" s="2">
        <f>X12/'Output-Calculation-sheet'!X11*'Output-Calculation-sheet'!X20</f>
        <v>153.47611467187863</v>
      </c>
      <c r="Y34" s="2">
        <f>Y12/'Output-Calculation-sheet'!Y11*'Output-Calculation-sheet'!Y20</f>
        <v>286.20873259714256</v>
      </c>
      <c r="AA34" s="2">
        <f t="shared" si="1"/>
        <v>90.644382381853219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0.22641341931695755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0.22641341931695755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1.2123411413312457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0.23552526902232865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1.4478664103535743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2.4862163705344686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0.48300495591104819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11.904108004902803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30989.311655092162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6759.3996137101994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4613.619279523421</v>
      </c>
      <c r="N52" s="2">
        <f>N8/'Output-Calculation-sheet'!N7*'Output-Calculation-sheet'!N43</f>
        <v>147.46170531355463</v>
      </c>
      <c r="O52" s="2">
        <f>O8/'Output-Calculation-sheet'!O7*'Output-Calculation-sheet'!O43</f>
        <v>6278.4062674311708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596.65190428556036</v>
      </c>
      <c r="Y52" s="2">
        <f>Y8/'Output-Calculation-sheet'!Y7*'Output-Calculation-sheet'!Y43</f>
        <v>0</v>
      </c>
      <c r="AA52" s="2">
        <f t="shared" si="3"/>
        <v>49.384850425356071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55658.114162166028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13005.867973342423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8908.4454341142828</v>
      </c>
      <c r="N53" s="2">
        <f>N9/'Output-Calculation-sheet'!N8*'Output-Calculation-sheet'!N44</f>
        <v>3152.8093236883151</v>
      </c>
      <c r="O53" s="2">
        <f>O9/'Output-Calculation-sheet'!O8*'Output-Calculation-sheet'!O44</f>
        <v>11037.752052380112</v>
      </c>
      <c r="P53" s="2">
        <f>P9/'Output-Calculation-sheet'!P8*'Output-Calculation-sheet'!P44</f>
        <v>148.41415177302616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989.98283130407435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1114.0077461928922</v>
      </c>
      <c r="Y53" s="2">
        <f>Y9/'Output-Calculation-sheet'!Y8*'Output-Calculation-sheet'!Y44</f>
        <v>0</v>
      </c>
      <c r="AA53" s="2">
        <f t="shared" si="3"/>
        <v>94.01539367496116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71970.961744471439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13147.866981388237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493.81088787972323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164.04788274006305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76356.222761038109</v>
      </c>
      <c r="D55" s="2">
        <f>D11/'Output-Calculation-sheet'!D10*'Output-Calculation-sheet'!D46</f>
        <v>7536.3505789754981</v>
      </c>
      <c r="E55" s="2">
        <f>E11/'Output-Calculation-sheet'!E10*'Output-Calculation-sheet'!E46</f>
        <v>9208.6848514260619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25108.913030718086</v>
      </c>
      <c r="I55" s="2">
        <f>I11/'Output-Calculation-sheet'!I10*'Output-Calculation-sheet'!I46</f>
        <v>1823.6944906846852</v>
      </c>
      <c r="J55" s="2">
        <f>J11/'Output-Calculation-sheet'!J10*'Output-Calculation-sheet'!J46</f>
        <v>1323.5631168841151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17209.811419424634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14110.856030021969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5159.7147265062458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6447.0381768656171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1485.3512145190798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1796.5261816559716</v>
      </c>
      <c r="Y55" s="2">
        <f>Y11/'Output-Calculation-sheet'!Y10*'Output-Calculation-sheet'!Y46</f>
        <v>455.4787999653845</v>
      </c>
      <c r="AA55" s="2">
        <f t="shared" si="3"/>
        <v>281.45188608829449</v>
      </c>
    </row>
    <row r="56" spans="1:27" x14ac:dyDescent="0.25">
      <c r="A56" s="2">
        <v>2035</v>
      </c>
      <c r="B56" s="2">
        <f>B12/'Output-Calculation-sheet'!B11*'Output-Calculation-sheet'!B47</f>
        <v>126592.37006775395</v>
      </c>
      <c r="C56" s="2">
        <f>C12/'Output-Calculation-sheet'!C11*'Output-Calculation-sheet'!C47</f>
        <v>79493.497110509983</v>
      </c>
      <c r="D56" s="2">
        <f>D12/'Output-Calculation-sheet'!D11*'Output-Calculation-sheet'!D47</f>
        <v>22023.687476463587</v>
      </c>
      <c r="E56" s="2">
        <f>E12/'Output-Calculation-sheet'!E11*'Output-Calculation-sheet'!E47</f>
        <v>32626.126196203651</v>
      </c>
      <c r="F56" s="2">
        <f>F12/'Output-Calculation-sheet'!F11*'Output-Calculation-sheet'!F47</f>
        <v>4731.5774502026361</v>
      </c>
      <c r="G56" s="2">
        <f>G12/'Output-Calculation-sheet'!G11*'Output-Calculation-sheet'!G47</f>
        <v>7623.1639265421127</v>
      </c>
      <c r="H56" s="2">
        <f>H12/'Output-Calculation-sheet'!H11*'Output-Calculation-sheet'!H47</f>
        <v>26853.853676904397</v>
      </c>
      <c r="I56" s="2">
        <f>I12/'Output-Calculation-sheet'!I11*'Output-Calculation-sheet'!I47</f>
        <v>7479.9063448675652</v>
      </c>
      <c r="J56" s="2">
        <f>J12/'Output-Calculation-sheet'!J11*'Output-Calculation-sheet'!J47</f>
        <v>5983.8099629076523</v>
      </c>
      <c r="K56" s="2">
        <f>K12/'Output-Calculation-sheet'!K11*'Output-Calculation-sheet'!K47</f>
        <v>8025.4645057453035</v>
      </c>
      <c r="L56" s="2">
        <f>L12/'Output-Calculation-sheet'!L11*'Output-Calculation-sheet'!L47</f>
        <v>6722.4591111239451</v>
      </c>
      <c r="M56" s="2">
        <f>M12/'Output-Calculation-sheet'!M11*'Output-Calculation-sheet'!M47</f>
        <v>18593.567124312463</v>
      </c>
      <c r="N56" s="2">
        <f>N12/'Output-Calculation-sheet'!N11*'Output-Calculation-sheet'!N47</f>
        <v>15573.046132796951</v>
      </c>
      <c r="O56" s="2">
        <f>O12/'Output-Calculation-sheet'!O11*'Output-Calculation-sheet'!O47</f>
        <v>14553.701961003953</v>
      </c>
      <c r="P56" s="2">
        <f>P12/'Output-Calculation-sheet'!P11*'Output-Calculation-sheet'!P47</f>
        <v>8325.8241660057174</v>
      </c>
      <c r="Q56" s="2">
        <f>Q12/'Output-Calculation-sheet'!Q11*'Output-Calculation-sheet'!Q47</f>
        <v>8413.3412438160376</v>
      </c>
      <c r="R56" s="2">
        <f>R12/'Output-Calculation-sheet'!R11*'Output-Calculation-sheet'!R47</f>
        <v>6568.2058429222589</v>
      </c>
      <c r="S56" s="2">
        <f>S12/'Output-Calculation-sheet'!S11*'Output-Calculation-sheet'!S47</f>
        <v>8224.276268388845</v>
      </c>
      <c r="T56" s="2">
        <f>T12/'Output-Calculation-sheet'!T11*'Output-Calculation-sheet'!T47</f>
        <v>2481.0865802385156</v>
      </c>
      <c r="U56" s="2">
        <f>U12/'Output-Calculation-sheet'!U11*'Output-Calculation-sheet'!U47</f>
        <v>2589.1794996366853</v>
      </c>
      <c r="V56" s="2">
        <f>V12/'Output-Calculation-sheet'!V11*'Output-Calculation-sheet'!V47</f>
        <v>1345.6749030548635</v>
      </c>
      <c r="W56" s="2">
        <f>W12/'Output-Calculation-sheet'!W11*'Output-Calculation-sheet'!W47</f>
        <v>720.33838419430151</v>
      </c>
      <c r="X56" s="2">
        <f>X12/'Output-Calculation-sheet'!X11*'Output-Calculation-sheet'!X47</f>
        <v>1869.9912931789074</v>
      </c>
      <c r="Y56" s="2">
        <f>Y12/'Output-Calculation-sheet'!Y11*'Output-Calculation-sheet'!Y47</f>
        <v>1044.1112092387727</v>
      </c>
      <c r="AA56" s="2">
        <f t="shared" si="3"/>
        <v>418.45826043801299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7.2116562909151201</v>
      </c>
      <c r="C63" s="2">
        <f>C8*'Output-Calculation-sheet'!C52/10^9</f>
        <v>4.5479597772481117</v>
      </c>
      <c r="D63" s="2">
        <f>D8*'Output-Calculation-sheet'!D52/10^9</f>
        <v>2.4730147504797255</v>
      </c>
      <c r="E63" s="2">
        <f>E8*'Output-Calculation-sheet'!E52/10^9</f>
        <v>2.4588523775789799</v>
      </c>
      <c r="F63" s="2">
        <f>F8*'Output-Calculation-sheet'!F52/10^9</f>
        <v>1.0413246077324059</v>
      </c>
      <c r="G63" s="2">
        <f>G8*'Output-Calculation-sheet'!G52/10^9</f>
        <v>0.74866444150158851</v>
      </c>
      <c r="H63" s="2">
        <f>H8*'Output-Calculation-sheet'!H52/10^9</f>
        <v>1.3077279830274646</v>
      </c>
      <c r="I63" s="2">
        <f>I8*'Output-Calculation-sheet'!I52/10^9</f>
        <v>0.69643183738263015</v>
      </c>
      <c r="J63" s="2">
        <f>J8*'Output-Calculation-sheet'!J52/10^9</f>
        <v>0.95833834973187859</v>
      </c>
      <c r="K63" s="2">
        <f>K8*'Output-Calculation-sheet'!K52/10^9</f>
        <v>0.84198329691694285</v>
      </c>
      <c r="L63" s="2">
        <f>L8*'Output-Calculation-sheet'!L52/10^9</f>
        <v>1.1325064502424542</v>
      </c>
      <c r="M63" s="2">
        <f>M8*'Output-Calculation-sheet'!M52/10^9</f>
        <v>1.0614665986108573</v>
      </c>
      <c r="N63" s="2">
        <f>N8*'Output-Calculation-sheet'!N52/10^9</f>
        <v>0.88589831787949469</v>
      </c>
      <c r="O63" s="2">
        <f>O8*'Output-Calculation-sheet'!O52/10^9</f>
        <v>0.94468391905543037</v>
      </c>
      <c r="P63" s="2">
        <f>P8*'Output-Calculation-sheet'!P52/10^9</f>
        <v>0.58178881463011134</v>
      </c>
      <c r="Q63" s="2">
        <f>Q8*'Output-Calculation-sheet'!Q52/10^9</f>
        <v>0.65841085647534048</v>
      </c>
      <c r="R63" s="2">
        <f>R8*'Output-Calculation-sheet'!R52/10^9</f>
        <v>0.59112291587355237</v>
      </c>
      <c r="S63" s="2">
        <f>S8*'Output-Calculation-sheet'!S52/10^9</f>
        <v>0.43804563285052311</v>
      </c>
      <c r="T63" s="2">
        <f>T8*'Output-Calculation-sheet'!T52/10^9</f>
        <v>0.22473740575868592</v>
      </c>
      <c r="U63" s="2">
        <f>U8*'Output-Calculation-sheet'!U52/10^9</f>
        <v>0.15434715142967553</v>
      </c>
      <c r="V63" s="2">
        <f>V8*'Output-Calculation-sheet'!V52/10^9</f>
        <v>0.27392992834940266</v>
      </c>
      <c r="W63" s="2">
        <f>W8*'Output-Calculation-sheet'!W52/10^9</f>
        <v>9.9149991894484327E-2</v>
      </c>
      <c r="X63" s="2">
        <f>X8*'Output-Calculation-sheet'!X52/10^9</f>
        <v>0.11411935324771535</v>
      </c>
      <c r="Y63" s="2">
        <f>Y8*'Output-Calculation-sheet'!Y52/10^9</f>
        <v>6.4692549112002021E-2</v>
      </c>
      <c r="AA63" s="2">
        <f t="shared" si="4"/>
        <v>29.510853597924584</v>
      </c>
    </row>
    <row r="64" spans="1:27" x14ac:dyDescent="0.25">
      <c r="A64" s="2">
        <v>2032</v>
      </c>
      <c r="B64" s="2">
        <f>B9*'Output-Calculation-sheet'!B53/10^9</f>
        <v>7.4968658016528389</v>
      </c>
      <c r="C64" s="2">
        <f>C9*'Output-Calculation-sheet'!C53/10^9</f>
        <v>5.0613941149599464</v>
      </c>
      <c r="D64" s="2">
        <f>D9*'Output-Calculation-sheet'!D53/10^9</f>
        <v>2.2186207754452183</v>
      </c>
      <c r="E64" s="2">
        <f>E9*'Output-Calculation-sheet'!E53/10^9</f>
        <v>2.2719758427875125</v>
      </c>
      <c r="F64" s="2">
        <f>F9*'Output-Calculation-sheet'!F53/10^9</f>
        <v>0.95830596856428507</v>
      </c>
      <c r="G64" s="2">
        <f>G9*'Output-Calculation-sheet'!G53/10^9</f>
        <v>0.68209214821652808</v>
      </c>
      <c r="H64" s="2">
        <f>H9*'Output-Calculation-sheet'!H53/10^9</f>
        <v>1.4016003659752625</v>
      </c>
      <c r="I64" s="2">
        <f>I9*'Output-Calculation-sheet'!I53/10^9</f>
        <v>0.63764478596188212</v>
      </c>
      <c r="J64" s="2">
        <f>J9*'Output-Calculation-sheet'!J53/10^9</f>
        <v>0.84411296117253731</v>
      </c>
      <c r="K64" s="2">
        <f>K9*'Output-Calculation-sheet'!K53/10^9</f>
        <v>0.78321997175668767</v>
      </c>
      <c r="L64" s="2">
        <f>L9*'Output-Calculation-sheet'!L53/10^9</f>
        <v>1.0076060056976675</v>
      </c>
      <c r="M64" s="2">
        <f>M9*'Output-Calculation-sheet'!M53/10^9</f>
        <v>1.0984575188448316</v>
      </c>
      <c r="N64" s="2">
        <f>N9*'Output-Calculation-sheet'!N53/10^9</f>
        <v>0.92470087246830535</v>
      </c>
      <c r="O64" s="2">
        <f>O9*'Output-Calculation-sheet'!O53/10^9</f>
        <v>1.0468248377549272</v>
      </c>
      <c r="P64" s="2">
        <f>P9*'Output-Calculation-sheet'!P53/10^9</f>
        <v>0.59714196458406177</v>
      </c>
      <c r="Q64" s="2">
        <f>Q9*'Output-Calculation-sheet'!Q53/10^9</f>
        <v>0.6599420809841785</v>
      </c>
      <c r="R64" s="2">
        <f>R9*'Output-Calculation-sheet'!R53/10^9</f>
        <v>0.5657254389948807</v>
      </c>
      <c r="S64" s="2">
        <f>S9*'Output-Calculation-sheet'!S53/10^9</f>
        <v>0.46741490039398559</v>
      </c>
      <c r="T64" s="2">
        <f>T9*'Output-Calculation-sheet'!T53/10^9</f>
        <v>0.20336357026359417</v>
      </c>
      <c r="U64" s="2">
        <f>U9*'Output-Calculation-sheet'!U53/10^9</f>
        <v>0.15306744580180467</v>
      </c>
      <c r="V64" s="2">
        <f>V9*'Output-Calculation-sheet'!V53/10^9</f>
        <v>0.24137888987469139</v>
      </c>
      <c r="W64" s="2">
        <f>W9*'Output-Calculation-sheet'!W53/10^9</f>
        <v>8.9692044802186163E-2</v>
      </c>
      <c r="X64" s="2">
        <f>X9*'Output-Calculation-sheet'!X53/10^9</f>
        <v>0.12174233165990422</v>
      </c>
      <c r="Y64" s="2">
        <f>Y9*'Output-Calculation-sheet'!Y53/10^9</f>
        <v>6.2841163305412562E-2</v>
      </c>
      <c r="AA64" s="2">
        <f t="shared" si="4"/>
        <v>29.595731801923137</v>
      </c>
    </row>
    <row r="65" spans="1:27" x14ac:dyDescent="0.25">
      <c r="A65" s="2">
        <v>2033</v>
      </c>
      <c r="B65" s="2">
        <f>B10*'Output-Calculation-sheet'!B54/10^9</f>
        <v>7.9038512325728218</v>
      </c>
      <c r="C65" s="2">
        <f>C10*'Output-Calculation-sheet'!C54/10^9</f>
        <v>5.6154233308135284</v>
      </c>
      <c r="D65" s="2">
        <f>D10*'Output-Calculation-sheet'!D54/10^9</f>
        <v>1.8672828569054849</v>
      </c>
      <c r="E65" s="2">
        <f>E10*'Output-Calculation-sheet'!E54/10^9</f>
        <v>2.1025391435383267</v>
      </c>
      <c r="F65" s="2">
        <f>F10*'Output-Calculation-sheet'!F54/10^9</f>
        <v>0.85359491148771349</v>
      </c>
      <c r="G65" s="2">
        <f>G10*'Output-Calculation-sheet'!G54/10^9</f>
        <v>0.5860701184158793</v>
      </c>
      <c r="H65" s="2">
        <f>H10*'Output-Calculation-sheet'!H54/10^9</f>
        <v>1.4483487103489758</v>
      </c>
      <c r="I65" s="2">
        <f>I10*'Output-Calculation-sheet'!I54/10^9</f>
        <v>0.57067223750459883</v>
      </c>
      <c r="J65" s="2">
        <f>J10*'Output-Calculation-sheet'!J54/10^9</f>
        <v>0.68208060516270941</v>
      </c>
      <c r="K65" s="2">
        <f>K10*'Output-Calculation-sheet'!K54/10^9</f>
        <v>0.72768965347211834</v>
      </c>
      <c r="L65" s="2">
        <f>L10*'Output-Calculation-sheet'!L54/10^9</f>
        <v>0.85955452288470902</v>
      </c>
      <c r="M65" s="2">
        <f>M10*'Output-Calculation-sheet'!M54/10^9</f>
        <v>1.0936084793264775</v>
      </c>
      <c r="N65" s="2">
        <f>N10*'Output-Calculation-sheet'!N54/10^9</f>
        <v>0.94435970051983542</v>
      </c>
      <c r="O65" s="2">
        <f>O10*'Output-Calculation-sheet'!O54/10^9</f>
        <v>1.1580658274019482</v>
      </c>
      <c r="P65" s="2">
        <f>P10*'Output-Calculation-sheet'!P54/10^9</f>
        <v>0.61572062486220924</v>
      </c>
      <c r="Q65" s="2">
        <f>Q10*'Output-Calculation-sheet'!Q54/10^9</f>
        <v>0.6718700707602836</v>
      </c>
      <c r="R65" s="2">
        <f>R10*'Output-Calculation-sheet'!R54/10^9</f>
        <v>0.54206330224054355</v>
      </c>
      <c r="S65" s="2">
        <f>S10*'Output-Calculation-sheet'!S54/10^9</f>
        <v>0.49237829964755536</v>
      </c>
      <c r="T65" s="2">
        <f>T10*'Output-Calculation-sheet'!T54/10^9</f>
        <v>0.18123596020008895</v>
      </c>
      <c r="U65" s="2">
        <f>U10*'Output-Calculation-sheet'!U54/10^9</f>
        <v>0.15649832508410494</v>
      </c>
      <c r="V65" s="2">
        <f>V10*'Output-Calculation-sheet'!V54/10^9</f>
        <v>0.20056494667916464</v>
      </c>
      <c r="W65" s="2">
        <f>W10*'Output-Calculation-sheet'!W54/10^9</f>
        <v>7.636261878579273E-2</v>
      </c>
      <c r="X65" s="2">
        <f>X10*'Output-Calculation-sheet'!X54/10^9</f>
        <v>0.12577493810376819</v>
      </c>
      <c r="Y65" s="2">
        <f>Y10*'Output-Calculation-sheet'!Y54/10^9</f>
        <v>6.2850528366608829E-2</v>
      </c>
      <c r="AA65" s="2">
        <f t="shared" si="4"/>
        <v>29.538460945085255</v>
      </c>
    </row>
    <row r="66" spans="1:27" x14ac:dyDescent="0.25">
      <c r="A66" s="2">
        <v>2034</v>
      </c>
      <c r="B66" s="2">
        <f>B11*'Output-Calculation-sheet'!B55/10^9</f>
        <v>8.4341093017839803</v>
      </c>
      <c r="C66" s="2">
        <f>C11*'Output-Calculation-sheet'!C55/10^9</f>
        <v>6.3966107407430997</v>
      </c>
      <c r="D66" s="2">
        <f>D11*'Output-Calculation-sheet'!D55/10^9</f>
        <v>1.7642956766523399</v>
      </c>
      <c r="E66" s="2">
        <f>E11*'Output-Calculation-sheet'!E55/10^9</f>
        <v>2.1362528296233991</v>
      </c>
      <c r="F66" s="2">
        <f>F11*'Output-Calculation-sheet'!F55/10^9</f>
        <v>0.82099774125960578</v>
      </c>
      <c r="G66" s="2">
        <f>G11*'Output-Calculation-sheet'!G55/10^9</f>
        <v>0.58685122979947157</v>
      </c>
      <c r="H66" s="2">
        <f>H11*'Output-Calculation-sheet'!H55/10^9</f>
        <v>1.507005295495242</v>
      </c>
      <c r="I66" s="2">
        <f>I11*'Output-Calculation-sheet'!I55/10^9</f>
        <v>0.57390410673185832</v>
      </c>
      <c r="J66" s="2">
        <f>J11*'Output-Calculation-sheet'!J55/10^9</f>
        <v>0.59015268321108849</v>
      </c>
      <c r="K66" s="2">
        <f>K11*'Output-Calculation-sheet'!K55/10^9</f>
        <v>0.70581447916007345</v>
      </c>
      <c r="L66" s="2">
        <f>L11*'Output-Calculation-sheet'!L55/10^9</f>
        <v>0.74749019572796938</v>
      </c>
      <c r="M66" s="2">
        <f>M11*'Output-Calculation-sheet'!M55/10^9</f>
        <v>1.086915434688895</v>
      </c>
      <c r="N66" s="2">
        <f>N11*'Output-Calculation-sheet'!N55/10^9</f>
        <v>0.94967513892222333</v>
      </c>
      <c r="O66" s="2">
        <f>O11*'Output-Calculation-sheet'!O55/10^9</f>
        <v>1.2736299941932852</v>
      </c>
      <c r="P66" s="2">
        <f>P11*'Output-Calculation-sheet'!P55/10^9</f>
        <v>0.65280703905113957</v>
      </c>
      <c r="Q66" s="2">
        <f>Q11*'Output-Calculation-sheet'!Q55/10^9</f>
        <v>0.71266919955336872</v>
      </c>
      <c r="R66" s="2">
        <f>R11*'Output-Calculation-sheet'!R55/10^9</f>
        <v>0.52874037763267068</v>
      </c>
      <c r="S66" s="2">
        <f>S11*'Output-Calculation-sheet'!S55/10^9</f>
        <v>0.52025278646946793</v>
      </c>
      <c r="T66" s="2">
        <f>T11*'Output-Calculation-sheet'!T55/10^9</f>
        <v>0.16573852293064434</v>
      </c>
      <c r="U66" s="2">
        <f>U11*'Output-Calculation-sheet'!U55/10^9</f>
        <v>0.16921998253483564</v>
      </c>
      <c r="V66" s="2">
        <f>V11*'Output-Calculation-sheet'!V55/10^9</f>
        <v>0.15723143210152257</v>
      </c>
      <c r="W66" s="2">
        <f>W11*'Output-Calculation-sheet'!W55/10^9</f>
        <v>7.1188448512489233E-2</v>
      </c>
      <c r="X66" s="2">
        <f>X11*'Output-Calculation-sheet'!X55/10^9</f>
        <v>0.13510193809944629</v>
      </c>
      <c r="Y66" s="2">
        <f>Y11*'Output-Calculation-sheet'!Y55/10^9</f>
        <v>6.985725622336271E-2</v>
      </c>
      <c r="AA66" s="2">
        <f t="shared" si="4"/>
        <v>30.756511831101474</v>
      </c>
    </row>
    <row r="67" spans="1:27" x14ac:dyDescent="0.25">
      <c r="A67" s="2">
        <v>2035</v>
      </c>
      <c r="B67" s="2">
        <f>B12*'Output-Calculation-sheet'!B56/10^9</f>
        <v>9.853243596609504</v>
      </c>
      <c r="C67" s="2">
        <f>C12*'Output-Calculation-sheet'!C56/10^9</f>
        <v>7.1416531974056303</v>
      </c>
      <c r="D67" s="2">
        <f>D12*'Output-Calculation-sheet'!D56/10^9</f>
        <v>2.234949061261069</v>
      </c>
      <c r="E67" s="2">
        <f>E12*'Output-Calculation-sheet'!E56/10^9</f>
        <v>2.6603310666095772</v>
      </c>
      <c r="F67" s="2">
        <f>F12*'Output-Calculation-sheet'!F56/10^9</f>
        <v>1.0887952157025118</v>
      </c>
      <c r="G67" s="2">
        <f>G12*'Output-Calculation-sheet'!G56/10^9</f>
        <v>0.76531213735305337</v>
      </c>
      <c r="H67" s="2">
        <f>H12*'Output-Calculation-sheet'!H56/10^9</f>
        <v>1.7473780236978946</v>
      </c>
      <c r="I67" s="2">
        <f>I12*'Output-Calculation-sheet'!I56/10^9</f>
        <v>0.76639931865220334</v>
      </c>
      <c r="J67" s="2">
        <f>J12*'Output-Calculation-sheet'!J56/10^9</f>
        <v>0.6933617679980002</v>
      </c>
      <c r="K67" s="2">
        <f>K12*'Output-Calculation-sheet'!K56/10^9</f>
        <v>0.86052148815917873</v>
      </c>
      <c r="L67" s="2">
        <f>L12*'Output-Calculation-sheet'!L56/10^9</f>
        <v>0.80191302363911077</v>
      </c>
      <c r="M67" s="2">
        <f>M12*'Output-Calculation-sheet'!M56/10^9</f>
        <v>1.2324687157638894</v>
      </c>
      <c r="N67" s="2">
        <f>N12*'Output-Calculation-sheet'!N56/10^9</f>
        <v>1.047867801357953</v>
      </c>
      <c r="O67" s="2">
        <f>O12*'Output-Calculation-sheet'!O56/10^9</f>
        <v>1.3795456748165318</v>
      </c>
      <c r="P67" s="2">
        <f>P12*'Output-Calculation-sheet'!P56/10^9</f>
        <v>0.80902638014006445</v>
      </c>
      <c r="Q67" s="2">
        <f>Q12*'Output-Calculation-sheet'!Q56/10^9</f>
        <v>0.81716776530583324</v>
      </c>
      <c r="R67" s="2">
        <f>R12*'Output-Calculation-sheet'!R56/10^9</f>
        <v>0.6239780904516653</v>
      </c>
      <c r="S67" s="2">
        <f>S12*'Output-Calculation-sheet'!S56/10^9</f>
        <v>0.59670408814594744</v>
      </c>
      <c r="T67" s="2">
        <f>T12*'Output-Calculation-sheet'!T56/10^9</f>
        <v>0.18978836199708712</v>
      </c>
      <c r="U67" s="2">
        <f>U12*'Output-Calculation-sheet'!U56/10^9</f>
        <v>0.21586620463758546</v>
      </c>
      <c r="V67" s="2">
        <f>V12*'Output-Calculation-sheet'!V56/10^9</f>
        <v>0.1455052833545602</v>
      </c>
      <c r="W67" s="2">
        <f>W12*'Output-Calculation-sheet'!W56/10^9</f>
        <v>9.4235890534803399E-2</v>
      </c>
      <c r="X67" s="2">
        <f>X12*'Output-Calculation-sheet'!X56/10^9</f>
        <v>0.15434427415992463</v>
      </c>
      <c r="Y67" s="2">
        <f>Y12*'Output-Calculation-sheet'!Y56/10^9</f>
        <v>8.8556451376769679E-2</v>
      </c>
      <c r="AA67" s="2">
        <f t="shared" si="4"/>
        <v>36.008912879130342</v>
      </c>
    </row>
    <row r="68" spans="1:27" x14ac:dyDescent="0.25">
      <c r="B68" s="2">
        <f>SUM(B60:B67)</f>
        <v>58.533783422763989</v>
      </c>
      <c r="C68" s="2">
        <f t="shared" ref="C68:Y68" si="5">SUM(C60:C67)</f>
        <v>38.078458884687365</v>
      </c>
      <c r="D68" s="2">
        <f t="shared" si="5"/>
        <v>17.485224501263538</v>
      </c>
      <c r="E68" s="2">
        <f t="shared" si="5"/>
        <v>18.458802227219586</v>
      </c>
      <c r="F68" s="2">
        <f t="shared" si="5"/>
        <v>7.5925596464211615</v>
      </c>
      <c r="G68" s="2">
        <f t="shared" si="5"/>
        <v>5.4282340585774937</v>
      </c>
      <c r="H68" s="2">
        <f t="shared" si="5"/>
        <v>10.316786557354796</v>
      </c>
      <c r="I68" s="2">
        <f t="shared" si="5"/>
        <v>5.1492552316615416</v>
      </c>
      <c r="J68" s="2">
        <f t="shared" si="5"/>
        <v>6.5090546485211522</v>
      </c>
      <c r="K68" s="2">
        <f t="shared" si="5"/>
        <v>6.2264773746423163</v>
      </c>
      <c r="L68" s="2">
        <f t="shared" si="5"/>
        <v>7.8001555802613343</v>
      </c>
      <c r="M68" s="2">
        <f t="shared" si="5"/>
        <v>8.0646185436672813</v>
      </c>
      <c r="N68" s="2">
        <f t="shared" si="5"/>
        <v>6.9154687547114939</v>
      </c>
      <c r="O68" s="2">
        <f t="shared" si="5"/>
        <v>7.7496102020066466</v>
      </c>
      <c r="P68" s="2">
        <f t="shared" si="5"/>
        <v>4.7206968138104211</v>
      </c>
      <c r="Q68" s="2">
        <f t="shared" si="5"/>
        <v>5.1915315324666036</v>
      </c>
      <c r="R68" s="2">
        <f t="shared" si="5"/>
        <v>4.4553039139436912</v>
      </c>
      <c r="S68" s="2">
        <f t="shared" si="5"/>
        <v>3.5625726201981163</v>
      </c>
      <c r="T68" s="2">
        <f t="shared" si="5"/>
        <v>1.5928222380518402</v>
      </c>
      <c r="U68" s="2">
        <f t="shared" si="5"/>
        <v>1.2595072662760853</v>
      </c>
      <c r="V68" s="2">
        <f t="shared" si="5"/>
        <v>1.8134955348022159</v>
      </c>
      <c r="W68" s="2">
        <f t="shared" si="5"/>
        <v>0.70566920234567265</v>
      </c>
      <c r="X68" s="2">
        <f t="shared" si="5"/>
        <v>0.90465820787951556</v>
      </c>
      <c r="Y68" s="2">
        <f t="shared" si="5"/>
        <v>0.52214380204811561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5979.3434134048102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1443.2408401015423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967.11587555765959</v>
      </c>
      <c r="N74" s="2">
        <f>N8/'Output-Calculation-sheet'!N7*'Output-Calculation-sheet'!N61</f>
        <v>40.533536248063328</v>
      </c>
      <c r="O74" s="2">
        <f>O8/'Output-Calculation-sheet'!O7*'Output-Calculation-sheet'!O61</f>
        <v>1195.2021399621574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120.17803804526949</v>
      </c>
      <c r="Y74" s="2">
        <f>Y8/'Output-Calculation-sheet'!Y7*'Output-Calculation-sheet'!Y61</f>
        <v>0</v>
      </c>
      <c r="AA74" s="2">
        <f t="shared" si="6"/>
        <v>9.7456138433195036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9997.3355457210564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2477.5287676342432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1683.3488394045262</v>
      </c>
      <c r="N75" s="2">
        <f>N9/'Output-Calculation-sheet'!N8*'Output-Calculation-sheet'!N62</f>
        <v>648.23366222075686</v>
      </c>
      <c r="O75" s="2">
        <f>O9/'Output-Calculation-sheet'!O8*'Output-Calculation-sheet'!O62</f>
        <v>1976.1511535273132</v>
      </c>
      <c r="P75" s="2">
        <f>P9/'Output-Calculation-sheet'!P8*'Output-Calculation-sheet'!P62</f>
        <v>43.559553545383174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218.01494002404493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203.37029541212738</v>
      </c>
      <c r="Y75" s="2">
        <f>Y9/'Output-Calculation-sheet'!Y8*'Output-Calculation-sheet'!Y62</f>
        <v>0</v>
      </c>
      <c r="AA75" s="2">
        <f t="shared" si="6"/>
        <v>17.247542757489452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13417.575022836141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3612.3507208383262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2459.4705395560341</v>
      </c>
      <c r="N76" s="2">
        <f>N10/'Output-Calculation-sheet'!N9*'Output-Calculation-sheet'!N63</f>
        <v>1405.1158245986046</v>
      </c>
      <c r="O76" s="2">
        <f>O10/'Output-Calculation-sheet'!O9*'Output-Calculation-sheet'!O63</f>
        <v>2420.697086544626</v>
      </c>
      <c r="P76" s="2">
        <f>P10/'Output-Calculation-sheet'!P9*'Output-Calculation-sheet'!P63</f>
        <v>487.92051723229486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370.39408523678946</v>
      </c>
      <c r="S76" s="2">
        <f>S10/'Output-Calculation-sheet'!S9*'Output-Calculation-sheet'!S63</f>
        <v>624.14174584577381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131.41319146370273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289.64818193076326</v>
      </c>
      <c r="Y76" s="2">
        <f>Y10/'Output-Calculation-sheet'!Y9*'Output-Calculation-sheet'!Y63</f>
        <v>5.4949973780360022</v>
      </c>
      <c r="AA76" s="2">
        <f t="shared" si="6"/>
        <v>31.102227610455383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14081.661393704873</v>
      </c>
      <c r="D77" s="2">
        <f>D11/'Output-Calculation-sheet'!D10*'Output-Calculation-sheet'!D64</f>
        <v>1743.0636845347956</v>
      </c>
      <c r="E77" s="2">
        <f>E11/'Output-Calculation-sheet'!E10*'Output-Calculation-sheet'!E64</f>
        <v>2120.3932712364954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909.00156353493583</v>
      </c>
      <c r="H77" s="2">
        <f>H11/'Output-Calculation-sheet'!H10*'Output-Calculation-sheet'!H64</f>
        <v>4829.6846900233386</v>
      </c>
      <c r="I77" s="2">
        <f>I11/'Output-Calculation-sheet'!I10*'Output-Calculation-sheet'!I64</f>
        <v>538.62816782372181</v>
      </c>
      <c r="J77" s="2">
        <f>J11/'Output-Calculation-sheet'!J10*'Output-Calculation-sheet'!J64</f>
        <v>387.17229266853286</v>
      </c>
      <c r="K77" s="2">
        <f>K11/'Output-Calculation-sheet'!K10*'Output-Calculation-sheet'!K64</f>
        <v>810.4954958301995</v>
      </c>
      <c r="L77" s="2">
        <f>L11/'Output-Calculation-sheet'!L10*'Output-Calculation-sheet'!L64</f>
        <v>354.33699217934782</v>
      </c>
      <c r="M77" s="2">
        <f>M11/'Output-Calculation-sheet'!M10*'Output-Calculation-sheet'!M64</f>
        <v>3236.8411545848207</v>
      </c>
      <c r="N77" s="2">
        <f>N11/'Output-Calculation-sheet'!N10*'Output-Calculation-sheet'!N64</f>
        <v>2278.9166456662651</v>
      </c>
      <c r="O77" s="2">
        <f>O11/'Output-Calculation-sheet'!O10*'Output-Calculation-sheet'!O64</f>
        <v>2639.6804427347247</v>
      </c>
      <c r="P77" s="2">
        <f>P11/'Output-Calculation-sheet'!P10*'Output-Calculation-sheet'!P64</f>
        <v>1005.8684114754701</v>
      </c>
      <c r="Q77" s="2">
        <f>Q11/'Output-Calculation-sheet'!Q10*'Output-Calculation-sheet'!Q64</f>
        <v>904.88981951697872</v>
      </c>
      <c r="R77" s="2">
        <f>R11/'Output-Calculation-sheet'!R10*'Output-Calculation-sheet'!R64</f>
        <v>860.7605662159126</v>
      </c>
      <c r="S77" s="2">
        <f>S11/'Output-Calculation-sheet'!S10*'Output-Calculation-sheet'!S64</f>
        <v>1145.999108997963</v>
      </c>
      <c r="T77" s="2">
        <f>T11/'Output-Calculation-sheet'!T10*'Output-Calculation-sheet'!T64</f>
        <v>238.57327757415038</v>
      </c>
      <c r="U77" s="2">
        <f>U11/'Output-Calculation-sheet'!U10*'Output-Calculation-sheet'!U64</f>
        <v>326.44925213432458</v>
      </c>
      <c r="V77" s="2">
        <f>V11/'Output-Calculation-sheet'!V10*'Output-Calculation-sheet'!V64</f>
        <v>125.45296279888855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333.81037991283853</v>
      </c>
      <c r="Y77" s="2">
        <f>Y11/'Output-Calculation-sheet'!Y10*'Output-Calculation-sheet'!Y64</f>
        <v>78.797832394011522</v>
      </c>
      <c r="AA77" s="2">
        <f t="shared" si="6"/>
        <v>53.0771350204123</v>
      </c>
    </row>
    <row r="78" spans="1:27" x14ac:dyDescent="0.25">
      <c r="A78" s="2">
        <v>2035</v>
      </c>
      <c r="B78" s="2">
        <f>B12/'Output-Calculation-sheet'!B11*'Output-Calculation-sheet'!B65</f>
        <v>21073.379237249719</v>
      </c>
      <c r="C78" s="2">
        <f>C12/'Output-Calculation-sheet'!C11*'Output-Calculation-sheet'!C65</f>
        <v>14850.017718793662</v>
      </c>
      <c r="D78" s="2">
        <f>D12/'Output-Calculation-sheet'!D11*'Output-Calculation-sheet'!D65</f>
        <v>4840.381488796449</v>
      </c>
      <c r="E78" s="2">
        <f>E12/'Output-Calculation-sheet'!E11*'Output-Calculation-sheet'!E65</f>
        <v>4841.717127516622</v>
      </c>
      <c r="F78" s="2">
        <f>F12/'Output-Calculation-sheet'!F11*'Output-Calculation-sheet'!F65</f>
        <v>1123.9910514358917</v>
      </c>
      <c r="G78" s="2">
        <f>G12/'Output-Calculation-sheet'!G11*'Output-Calculation-sheet'!G65</f>
        <v>1675.4328280734735</v>
      </c>
      <c r="H78" s="2">
        <f>H12/'Output-Calculation-sheet'!H11*'Output-Calculation-sheet'!H65</f>
        <v>5369.4951773312259</v>
      </c>
      <c r="I78" s="2">
        <f>I12/'Output-Calculation-sheet'!I11*'Output-Calculation-sheet'!I65</f>
        <v>1487.3482104004784</v>
      </c>
      <c r="J78" s="2">
        <f>J12/'Output-Calculation-sheet'!J11*'Output-Calculation-sheet'!J65</f>
        <v>1323.1931113338937</v>
      </c>
      <c r="K78" s="2">
        <f>K12/'Output-Calculation-sheet'!K11*'Output-Calculation-sheet'!K65</f>
        <v>1763.8255617168934</v>
      </c>
      <c r="L78" s="2">
        <f>L12/'Output-Calculation-sheet'!L11*'Output-Calculation-sheet'!L65</f>
        <v>1161.8406596366788</v>
      </c>
      <c r="M78" s="2">
        <f>M12/'Output-Calculation-sheet'!M11*'Output-Calculation-sheet'!M65</f>
        <v>3749.8027929982995</v>
      </c>
      <c r="N78" s="2">
        <f>N12/'Output-Calculation-sheet'!N11*'Output-Calculation-sheet'!N65</f>
        <v>2677.6331842704562</v>
      </c>
      <c r="O78" s="2">
        <f>O12/'Output-Calculation-sheet'!O11*'Output-Calculation-sheet'!O65</f>
        <v>2713.3650775418764</v>
      </c>
      <c r="P78" s="2">
        <f>P12/'Output-Calculation-sheet'!P11*'Output-Calculation-sheet'!P65</f>
        <v>1482.8984910682577</v>
      </c>
      <c r="Q78" s="2">
        <f>Q12/'Output-Calculation-sheet'!Q11*'Output-Calculation-sheet'!Q65</f>
        <v>1437.6470885207259</v>
      </c>
      <c r="R78" s="2">
        <f>R12/'Output-Calculation-sheet'!R11*'Output-Calculation-sheet'!R65</f>
        <v>1304.1932088284163</v>
      </c>
      <c r="S78" s="2">
        <f>S12/'Output-Calculation-sheet'!S11*'Output-Calculation-sheet'!S65</f>
        <v>1458.9631864405305</v>
      </c>
      <c r="T78" s="2">
        <f>T12/'Output-Calculation-sheet'!T11*'Output-Calculation-sheet'!T65</f>
        <v>454.49857493233958</v>
      </c>
      <c r="U78" s="2">
        <f>U12/'Output-Calculation-sheet'!U11*'Output-Calculation-sheet'!U65</f>
        <v>415.57600174805879</v>
      </c>
      <c r="V78" s="2">
        <f>V12/'Output-Calculation-sheet'!V11*'Output-Calculation-sheet'!V65</f>
        <v>237.86149586397769</v>
      </c>
      <c r="W78" s="2">
        <f>W12/'Output-Calculation-sheet'!W11*'Output-Calculation-sheet'!W65</f>
        <v>158.31766499206876</v>
      </c>
      <c r="X78" s="2">
        <f>X12/'Output-Calculation-sheet'!X11*'Output-Calculation-sheet'!X65</f>
        <v>360.17349915667023</v>
      </c>
      <c r="Y78" s="2">
        <f>Y12/'Output-Calculation-sheet'!Y11*'Output-Calculation-sheet'!Y65</f>
        <v>166.55407706344209</v>
      </c>
      <c r="AA78" s="2">
        <f t="shared" si="6"/>
        <v>76.12810651571013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39.721652511746939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3.972165251174694E-2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531.72857075931825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123.96066790648875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0.65568923866580697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1199.4903542052259</v>
      </c>
      <c r="D89" s="2">
        <f>D12/'Output-Calculation-sheet'!D11*'Output-Calculation-sheet'!D74</f>
        <v>96.595120510805202</v>
      </c>
      <c r="E89" s="2">
        <f>E12/'Output-Calculation-sheet'!E11*'Output-Calculation-sheet'!E74</f>
        <v>76.767355755773295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100.70195128839148</v>
      </c>
      <c r="I89" s="2">
        <f>I12/'Output-Calculation-sheet'!I11*'Output-Calculation-sheet'!I74</f>
        <v>31.166276436948188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30.631543915058412</v>
      </c>
      <c r="L89" s="2">
        <f>L12/'Output-Calculation-sheet'!L11*'Output-Calculation-sheet'!L74</f>
        <v>24.356735909869368</v>
      </c>
      <c r="M89" s="2">
        <f>M12/'Output-Calculation-sheet'!M11*'Output-Calculation-sheet'!M74</f>
        <v>69.292796736568178</v>
      </c>
      <c r="N89" s="2">
        <f>N12/'Output-Calculation-sheet'!N11*'Output-Calculation-sheet'!N74</f>
        <v>45.40246685946633</v>
      </c>
      <c r="O89" s="2">
        <f>O12/'Output-Calculation-sheet'!O11*'Output-Calculation-sheet'!O74</f>
        <v>275.39756258086084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39.779391223716488</v>
      </c>
      <c r="R89" s="2">
        <f>R12/'Output-Calculation-sheet'!R11*'Output-Calculation-sheet'!R74</f>
        <v>19.724341870637414</v>
      </c>
      <c r="S89" s="2">
        <f>S12/'Output-Calculation-sheet'!S11*'Output-Calculation-sheet'!S74</f>
        <v>26.026190722749508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12.692056370768066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10.135454163571314</v>
      </c>
      <c r="Y89" s="2">
        <f>Y12/'Output-Calculation-sheet'!Y11*'Output-Calculation-sheet'!Y74</f>
        <v>4.890450628753034</v>
      </c>
      <c r="AA89" s="2">
        <f t="shared" si="7"/>
        <v>2.7293494189805947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18834687518.585312</v>
      </c>
      <c r="C96" s="2">
        <f>C8/'Output-Calculation-sheet'!C7*'Output-Calculation-sheet'!C79</f>
        <v>7797314558.881608</v>
      </c>
      <c r="D96" s="2">
        <f>D8/'Output-Calculation-sheet'!D7*'Output-Calculation-sheet'!D79</f>
        <v>6215682820.6955175</v>
      </c>
      <c r="E96" s="2">
        <f>E8/'Output-Calculation-sheet'!E7*'Output-Calculation-sheet'!E79</f>
        <v>7510711721.6612806</v>
      </c>
      <c r="F96" s="2">
        <f>F8/'Output-Calculation-sheet'!F7*'Output-Calculation-sheet'!F79</f>
        <v>4433530011.4657373</v>
      </c>
      <c r="G96" s="2">
        <f>G8/'Output-Calculation-sheet'!G7*'Output-Calculation-sheet'!G79</f>
        <v>2255123487.6885467</v>
      </c>
      <c r="H96" s="2">
        <f>H8/'Output-Calculation-sheet'!H7*'Output-Calculation-sheet'!H79</f>
        <v>2815900465.52702</v>
      </c>
      <c r="I96" s="2">
        <f>I8/'Output-Calculation-sheet'!I7*'Output-Calculation-sheet'!I79</f>
        <v>2695210481.0335884</v>
      </c>
      <c r="J96" s="2">
        <f>J8/'Output-Calculation-sheet'!J7*'Output-Calculation-sheet'!J79</f>
        <v>1521273569.8691192</v>
      </c>
      <c r="K96" s="2">
        <f>K8/'Output-Calculation-sheet'!K7*'Output-Calculation-sheet'!K79</f>
        <v>2591249959.1839867</v>
      </c>
      <c r="L96" s="2">
        <f>L8/'Output-Calculation-sheet'!L7*'Output-Calculation-sheet'!L79</f>
        <v>1863677904.0434799</v>
      </c>
      <c r="M96" s="2">
        <f>M8/'Output-Calculation-sheet'!M7*'Output-Calculation-sheet'!M79</f>
        <v>1884012692.803206</v>
      </c>
      <c r="N96" s="2">
        <f>N8/'Output-Calculation-sheet'!N7*'Output-Calculation-sheet'!N79</f>
        <v>1340904861.5525591</v>
      </c>
      <c r="O96" s="2">
        <f>O8/'Output-Calculation-sheet'!O7*'Output-Calculation-sheet'!O79</f>
        <v>1053835996.3445017</v>
      </c>
      <c r="P96" s="2">
        <f>P8/'Output-Calculation-sheet'!P7*'Output-Calculation-sheet'!P79</f>
        <v>2240190173.1996984</v>
      </c>
      <c r="Q96" s="2">
        <f>Q8/'Output-Calculation-sheet'!Q7*'Output-Calculation-sheet'!Q79</f>
        <v>1220149188.9098887</v>
      </c>
      <c r="R96" s="2">
        <f>R8/'Output-Calculation-sheet'!R7*'Output-Calculation-sheet'!R79</f>
        <v>1627795053.0121627</v>
      </c>
      <c r="S96" s="2">
        <f>S8/'Output-Calculation-sheet'!S7*'Output-Calculation-sheet'!S79</f>
        <v>1024609236.0560718</v>
      </c>
      <c r="T96" s="2">
        <f>T8/'Output-Calculation-sheet'!T7*'Output-Calculation-sheet'!T79</f>
        <v>657943383.91447866</v>
      </c>
      <c r="U96" s="2">
        <f>U8/'Output-Calculation-sheet'!U7*'Output-Calculation-sheet'!U79</f>
        <v>610101809.08643746</v>
      </c>
      <c r="V96" s="2">
        <f>V8/'Output-Calculation-sheet'!V7*'Output-Calculation-sheet'!V79</f>
        <v>392804329.82414913</v>
      </c>
      <c r="W96" s="2">
        <f>W8/'Output-Calculation-sheet'!W7*'Output-Calculation-sheet'!W79</f>
        <v>469883020.60434026</v>
      </c>
      <c r="X96" s="2">
        <f>X8/'Output-Calculation-sheet'!X7*'Output-Calculation-sheet'!X79</f>
        <v>215068116.70859328</v>
      </c>
      <c r="Y96" s="2">
        <f>Y8/'Output-Calculation-sheet'!Y7*'Output-Calculation-sheet'!Y79</f>
        <v>240719784.31830829</v>
      </c>
      <c r="AA96" s="2">
        <f t="shared" si="8"/>
        <v>71.512380144969569</v>
      </c>
    </row>
    <row r="97" spans="1:27" x14ac:dyDescent="0.25">
      <c r="A97" s="2">
        <v>2032</v>
      </c>
      <c r="B97" s="2">
        <f>B9/'Output-Calculation-sheet'!B8*'Output-Calculation-sheet'!B80</f>
        <v>25903249754.364265</v>
      </c>
      <c r="C97" s="2">
        <f>C9/'Output-Calculation-sheet'!C8*'Output-Calculation-sheet'!C80</f>
        <v>10732958326.33127</v>
      </c>
      <c r="D97" s="2">
        <f>D9/'Output-Calculation-sheet'!D8*'Output-Calculation-sheet'!D80</f>
        <v>8483535590.1838932</v>
      </c>
      <c r="E97" s="2">
        <f>E9/'Output-Calculation-sheet'!E8*'Output-Calculation-sheet'!E80</f>
        <v>10236687699.407932</v>
      </c>
      <c r="F97" s="2">
        <f>F9/'Output-Calculation-sheet'!F8*'Output-Calculation-sheet'!F80</f>
        <v>6065526514.0179739</v>
      </c>
      <c r="G97" s="2">
        <f>G9/'Output-Calculation-sheet'!G8*'Output-Calculation-sheet'!G80</f>
        <v>3036297873.3732519</v>
      </c>
      <c r="H97" s="2">
        <f>H9/'Output-Calculation-sheet'!H8*'Output-Calculation-sheet'!H80</f>
        <v>3864714453.9124489</v>
      </c>
      <c r="I97" s="2">
        <f>I9/'Output-Calculation-sheet'!I8*'Output-Calculation-sheet'!I80</f>
        <v>3689025883.645081</v>
      </c>
      <c r="J97" s="2">
        <f>J9/'Output-Calculation-sheet'!J8*'Output-Calculation-sheet'!J80</f>
        <v>2105012784.9613879</v>
      </c>
      <c r="K97" s="2">
        <f>K9/'Output-Calculation-sheet'!K8*'Output-Calculation-sheet'!K80</f>
        <v>3545931780.7457595</v>
      </c>
      <c r="L97" s="2">
        <f>L9/'Output-Calculation-sheet'!L8*'Output-Calculation-sheet'!L80</f>
        <v>2565602505.1018405</v>
      </c>
      <c r="M97" s="2">
        <f>M9/'Output-Calculation-sheet'!M8*'Output-Calculation-sheet'!M80</f>
        <v>2585692633.0231094</v>
      </c>
      <c r="N97" s="2">
        <f>N9/'Output-Calculation-sheet'!N8*'Output-Calculation-sheet'!N80</f>
        <v>1848188472.8671589</v>
      </c>
      <c r="O97" s="2">
        <f>O9/'Output-Calculation-sheet'!O8*'Output-Calculation-sheet'!O80</f>
        <v>1458107847.31598</v>
      </c>
      <c r="P97" s="2">
        <f>P9/'Output-Calculation-sheet'!P8*'Output-Calculation-sheet'!P80</f>
        <v>3047103936.2902803</v>
      </c>
      <c r="Q97" s="2">
        <f>Q9/'Output-Calculation-sheet'!Q8*'Output-Calculation-sheet'!Q80</f>
        <v>1687213621.2789471</v>
      </c>
      <c r="R97" s="2">
        <f>R9/'Output-Calculation-sheet'!R8*'Output-Calculation-sheet'!R80</f>
        <v>2236994369.9778547</v>
      </c>
      <c r="S97" s="2">
        <f>S9/'Output-Calculation-sheet'!S8*'Output-Calculation-sheet'!S80</f>
        <v>1411218223.7383039</v>
      </c>
      <c r="T97" s="2">
        <f>T9/'Output-Calculation-sheet'!T8*'Output-Calculation-sheet'!T80</f>
        <v>897009478.15303385</v>
      </c>
      <c r="U97" s="2">
        <f>U9/'Output-Calculation-sheet'!U8*'Output-Calculation-sheet'!U80</f>
        <v>836496196.39956129</v>
      </c>
      <c r="V97" s="2">
        <f>V9/'Output-Calculation-sheet'!V8*'Output-Calculation-sheet'!V80</f>
        <v>541722901.21102107</v>
      </c>
      <c r="W97" s="2">
        <f>W9/'Output-Calculation-sheet'!W8*'Output-Calculation-sheet'!W80</f>
        <v>633697855.88024092</v>
      </c>
      <c r="X97" s="2">
        <f>X9/'Output-Calculation-sheet'!X8*'Output-Calculation-sheet'!X80</f>
        <v>295075323.42015517</v>
      </c>
      <c r="Y97" s="2">
        <f>Y9/'Output-Calculation-sheet'!Y8*'Output-Calculation-sheet'!Y80</f>
        <v>326071829.09260499</v>
      </c>
      <c r="AA97" s="2">
        <f t="shared" si="8"/>
        <v>98.033135854693327</v>
      </c>
    </row>
    <row r="98" spans="1:27" x14ac:dyDescent="0.25">
      <c r="A98" s="2">
        <v>2033</v>
      </c>
      <c r="B98" s="2">
        <f>B10/'Output-Calculation-sheet'!B9*'Output-Calculation-sheet'!B81</f>
        <v>33250658643.637917</v>
      </c>
      <c r="C98" s="2">
        <f>C10/'Output-Calculation-sheet'!C9*'Output-Calculation-sheet'!C81</f>
        <v>13791619560.947889</v>
      </c>
      <c r="D98" s="2">
        <f>D10/'Output-Calculation-sheet'!D9*'Output-Calculation-sheet'!D81</f>
        <v>10818598295.586178</v>
      </c>
      <c r="E98" s="2">
        <f>E10/'Output-Calculation-sheet'!E9*'Output-Calculation-sheet'!E81</f>
        <v>13029776682.311436</v>
      </c>
      <c r="F98" s="2">
        <f>F10/'Output-Calculation-sheet'!F9*'Output-Calculation-sheet'!F81</f>
        <v>7747810082.4830933</v>
      </c>
      <c r="G98" s="2">
        <f>G10/'Output-Calculation-sheet'!G9*'Output-Calculation-sheet'!G81</f>
        <v>3819104956.2715683</v>
      </c>
      <c r="H98" s="2">
        <f>H10/'Output-Calculation-sheet'!H9*'Output-Calculation-sheet'!H81</f>
        <v>4951542256.0288486</v>
      </c>
      <c r="I98" s="2">
        <f>I10/'Output-Calculation-sheet'!I9*'Output-Calculation-sheet'!I81</f>
        <v>4715007293.0950794</v>
      </c>
      <c r="J98" s="2">
        <f>J10/'Output-Calculation-sheet'!J9*'Output-Calculation-sheet'!J81</f>
        <v>2720662206.8617101</v>
      </c>
      <c r="K98" s="2">
        <f>K10/'Output-Calculation-sheet'!K9*'Output-Calculation-sheet'!K81</f>
        <v>4530622931.8119097</v>
      </c>
      <c r="L98" s="2">
        <f>L10/'Output-Calculation-sheet'!L9*'Output-Calculation-sheet'!L81</f>
        <v>3296980074.9464874</v>
      </c>
      <c r="M98" s="2">
        <f>M10/'Output-Calculation-sheet'!M9*'Output-Calculation-sheet'!M81</f>
        <v>3313435921.9182148</v>
      </c>
      <c r="N98" s="2">
        <f>N10/'Output-Calculation-sheet'!N9*'Output-Calculation-sheet'!N81</f>
        <v>2379351597.1633325</v>
      </c>
      <c r="O98" s="2">
        <f>O10/'Output-Calculation-sheet'!O9*'Output-Calculation-sheet'!O81</f>
        <v>1883820224.2371671</v>
      </c>
      <c r="P98" s="2">
        <f>P10/'Output-Calculation-sheet'!P9*'Output-Calculation-sheet'!P81</f>
        <v>3869363454.8131542</v>
      </c>
      <c r="Q98" s="2">
        <f>Q10/'Output-Calculation-sheet'!Q9*'Output-Calculation-sheet'!Q81</f>
        <v>2178481079.7001896</v>
      </c>
      <c r="R98" s="2">
        <f>R10/'Output-Calculation-sheet'!R9*'Output-Calculation-sheet'!R81</f>
        <v>2869672093.7920184</v>
      </c>
      <c r="S98" s="2">
        <f>S10/'Output-Calculation-sheet'!S9*'Output-Calculation-sheet'!S81</f>
        <v>1814155415.8733213</v>
      </c>
      <c r="T98" s="2">
        <f>T10/'Output-Calculation-sheet'!T9*'Output-Calculation-sheet'!T81</f>
        <v>1142039408.2490907</v>
      </c>
      <c r="U98" s="2">
        <f>U10/'Output-Calculation-sheet'!U9*'Output-Calculation-sheet'!U81</f>
        <v>1070032863.4178026</v>
      </c>
      <c r="V98" s="2">
        <f>V10/'Output-Calculation-sheet'!V9*'Output-Calculation-sheet'!V81</f>
        <v>696922822.7055099</v>
      </c>
      <c r="W98" s="2">
        <f>W10/'Output-Calculation-sheet'!W9*'Output-Calculation-sheet'!W81</f>
        <v>798079978.23762488</v>
      </c>
      <c r="X98" s="2">
        <f>X10/'Output-Calculation-sheet'!X9*'Output-Calculation-sheet'!X81</f>
        <v>377977705.00644815</v>
      </c>
      <c r="Y98" s="2">
        <f>Y10/'Output-Calculation-sheet'!Y9*'Output-Calculation-sheet'!Y81</f>
        <v>412594984.39660305</v>
      </c>
      <c r="AA98" s="2">
        <f t="shared" si="8"/>
        <v>125.47831053349259</v>
      </c>
    </row>
    <row r="99" spans="1:27" x14ac:dyDescent="0.25">
      <c r="A99" s="2">
        <v>2034</v>
      </c>
      <c r="B99" s="2">
        <f>B11/'Output-Calculation-sheet'!B10*'Output-Calculation-sheet'!B82</f>
        <v>40708776890.751434</v>
      </c>
      <c r="C99" s="2">
        <f>C11/'Output-Calculation-sheet'!C10*'Output-Calculation-sheet'!C82</f>
        <v>16905097566.151194</v>
      </c>
      <c r="D99" s="2">
        <f>D11/'Output-Calculation-sheet'!D10*'Output-Calculation-sheet'!D82</f>
        <v>13171571940.460413</v>
      </c>
      <c r="E99" s="2">
        <f>E11/'Output-Calculation-sheet'!E10*'Output-Calculation-sheet'!E82</f>
        <v>15826607290.834698</v>
      </c>
      <c r="F99" s="2">
        <f>F11/'Output-Calculation-sheet'!F10*'Output-Calculation-sheet'!F82</f>
        <v>9442044710.8255405</v>
      </c>
      <c r="G99" s="2">
        <f>G11/'Output-Calculation-sheet'!G10*'Output-Calculation-sheet'!G82</f>
        <v>4585745443.0451899</v>
      </c>
      <c r="H99" s="2">
        <f>H11/'Output-Calculation-sheet'!H10*'Output-Calculation-sheet'!H82</f>
        <v>6051637605.0250473</v>
      </c>
      <c r="I99" s="2">
        <f>I11/'Output-Calculation-sheet'!I10*'Output-Calculation-sheet'!I82</f>
        <v>5750142163.5278082</v>
      </c>
      <c r="J99" s="2">
        <f>J11/'Output-Calculation-sheet'!J10*'Output-Calculation-sheet'!J82</f>
        <v>3356029647.2693553</v>
      </c>
      <c r="K99" s="2">
        <f>K11/'Output-Calculation-sheet'!K10*'Output-Calculation-sheet'!K82</f>
        <v>5523049875.0867929</v>
      </c>
      <c r="L99" s="2">
        <f>L11/'Output-Calculation-sheet'!L10*'Output-Calculation-sheet'!L82</f>
        <v>4041425161.8633342</v>
      </c>
      <c r="M99" s="2">
        <f>M11/'Output-Calculation-sheet'!M10*'Output-Calculation-sheet'!M82</f>
        <v>4051000390.3106699</v>
      </c>
      <c r="N99" s="2">
        <f>N11/'Output-Calculation-sheet'!N10*'Output-Calculation-sheet'!N82</f>
        <v>2923458078.7416759</v>
      </c>
      <c r="O99" s="2">
        <f>O11/'Output-Calculation-sheet'!O10*'Output-Calculation-sheet'!O82</f>
        <v>2322155191.8922539</v>
      </c>
      <c r="P99" s="2">
        <f>P11/'Output-Calculation-sheet'!P10*'Output-Calculation-sheet'!P82</f>
        <v>4687555415.9750204</v>
      </c>
      <c r="Q99" s="2">
        <f>Q11/'Output-Calculation-sheet'!Q10*'Output-Calculation-sheet'!Q82</f>
        <v>2683684013.7986016</v>
      </c>
      <c r="R99" s="2">
        <f>R11/'Output-Calculation-sheet'!R10*'Output-Calculation-sheet'!R82</f>
        <v>3511476836.7985229</v>
      </c>
      <c r="S99" s="2">
        <f>S11/'Output-Calculation-sheet'!S10*'Output-Calculation-sheet'!S82</f>
        <v>2224291626.118804</v>
      </c>
      <c r="T99" s="2">
        <f>T11/'Output-Calculation-sheet'!T10*'Output-Calculation-sheet'!T82</f>
        <v>1387477648.0968485</v>
      </c>
      <c r="U99" s="2">
        <f>U11/'Output-Calculation-sheet'!U10*'Output-Calculation-sheet'!U82</f>
        <v>1305078469.8872747</v>
      </c>
      <c r="V99" s="2">
        <f>V11/'Output-Calculation-sheet'!V10*'Output-Calculation-sheet'!V82</f>
        <v>854728482.90244889</v>
      </c>
      <c r="W99" s="2">
        <f>W11/'Output-Calculation-sheet'!W10*'Output-Calculation-sheet'!W82</f>
        <v>959106656.88743412</v>
      </c>
      <c r="X99" s="2">
        <f>X11/'Output-Calculation-sheet'!X10*'Output-Calculation-sheet'!X82</f>
        <v>461905909.16014475</v>
      </c>
      <c r="Y99" s="2">
        <f>Y11/'Output-Calculation-sheet'!Y10*'Output-Calculation-sheet'!Y82</f>
        <v>498336970.3363682</v>
      </c>
      <c r="AA99" s="2">
        <f t="shared" si="8"/>
        <v>153.23238398574685</v>
      </c>
    </row>
    <row r="100" spans="1:27" x14ac:dyDescent="0.25">
      <c r="A100" s="2">
        <v>2035</v>
      </c>
      <c r="B100" s="2">
        <f>B12/'Output-Calculation-sheet'!B11*'Output-Calculation-sheet'!B83</f>
        <v>48101447597.281746</v>
      </c>
      <c r="C100" s="2">
        <f>C12/'Output-Calculation-sheet'!C11*'Output-Calculation-sheet'!C83</f>
        <v>20001447134.083317</v>
      </c>
      <c r="D100" s="2">
        <f>D12/'Output-Calculation-sheet'!D11*'Output-Calculation-sheet'!D83</f>
        <v>15491442451.920383</v>
      </c>
      <c r="E100" s="2">
        <f>E12/'Output-Calculation-sheet'!E11*'Output-Calculation-sheet'!E83</f>
        <v>18562484802.986343</v>
      </c>
      <c r="F100" s="2">
        <f>F12/'Output-Calculation-sheet'!F11*'Output-Calculation-sheet'!F83</f>
        <v>11108715459.20141</v>
      </c>
      <c r="G100" s="2">
        <f>G12/'Output-Calculation-sheet'!G11*'Output-Calculation-sheet'!G83</f>
        <v>5318976002.8819571</v>
      </c>
      <c r="H100" s="2">
        <f>H12/'Output-Calculation-sheet'!H11*'Output-Calculation-sheet'!H83</f>
        <v>7139201058.6880312</v>
      </c>
      <c r="I100" s="2">
        <f>I12/'Output-Calculation-sheet'!I11*'Output-Calculation-sheet'!I83</f>
        <v>6770555659.9073372</v>
      </c>
      <c r="J100" s="2">
        <f>J12/'Output-Calculation-sheet'!J11*'Output-Calculation-sheet'!J83</f>
        <v>3997771098.4661016</v>
      </c>
      <c r="K100" s="2">
        <f>K12/'Output-Calculation-sheet'!K11*'Output-Calculation-sheet'!K83</f>
        <v>6500228039.5828009</v>
      </c>
      <c r="L100" s="2">
        <f>L12/'Output-Calculation-sheet'!L11*'Output-Calculation-sheet'!L83</f>
        <v>4781641323.6178246</v>
      </c>
      <c r="M100" s="2">
        <f>M12/'Output-Calculation-sheet'!M11*'Output-Calculation-sheet'!M83</f>
        <v>4781366967.7754812</v>
      </c>
      <c r="N100" s="2">
        <f>N12/'Output-Calculation-sheet'!N11*'Output-Calculation-sheet'!N83</f>
        <v>3468746197.9398847</v>
      </c>
      <c r="O100" s="2">
        <f>O12/'Output-Calculation-sheet'!O11*'Output-Calculation-sheet'!O83</f>
        <v>2763527684.3445859</v>
      </c>
      <c r="P100" s="2">
        <f>P12/'Output-Calculation-sheet'!P11*'Output-Calculation-sheet'!P83</f>
        <v>5482259510.239852</v>
      </c>
      <c r="Q100" s="2">
        <f>Q12/'Output-Calculation-sheet'!Q11*'Output-Calculation-sheet'!Q83</f>
        <v>3191683543.078403</v>
      </c>
      <c r="R100" s="2">
        <f>R12/'Output-Calculation-sheet'!R11*'Output-Calculation-sheet'!R83</f>
        <v>4147390026.7184396</v>
      </c>
      <c r="S100" s="2">
        <f>S12/'Output-Calculation-sheet'!S11*'Output-Calculation-sheet'!S83</f>
        <v>2632010449.4581518</v>
      </c>
      <c r="T100" s="2">
        <f>T12/'Output-Calculation-sheet'!T11*'Output-Calculation-sheet'!T83</f>
        <v>1627670148.1592617</v>
      </c>
      <c r="U100" s="2">
        <f>U12/'Output-Calculation-sheet'!U11*'Output-Calculation-sheet'!U83</f>
        <v>1535886683.3196554</v>
      </c>
      <c r="V100" s="2">
        <f>V12/'Output-Calculation-sheet'!V11*'Output-Calculation-sheet'!V83</f>
        <v>1011303560.4891046</v>
      </c>
      <c r="W100" s="2">
        <f>W12/'Output-Calculation-sheet'!W11*'Output-Calculation-sheet'!W83</f>
        <v>1112958820.4994056</v>
      </c>
      <c r="X100" s="2">
        <f>X12/'Output-Calculation-sheet'!X11*'Output-Calculation-sheet'!X83</f>
        <v>544906594.30994046</v>
      </c>
      <c r="Y100" s="2">
        <f>Y12/'Output-Calculation-sheet'!Y11*'Output-Calculation-sheet'!Y83</f>
        <v>581353052.06061125</v>
      </c>
      <c r="AA100" s="2">
        <f t="shared" si="8"/>
        <v>180.65497386701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1366815209.3803406</v>
      </c>
      <c r="C107" s="2">
        <f>C8/'Output-Calculation-sheet'!C7*'Output-Calculation-sheet'!C88</f>
        <v>22509971929.580624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7023228792.6650057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4845442395.5895233</v>
      </c>
      <c r="N107" s="2">
        <f>N8/'Output-Calculation-sheet'!N7*'Output-Calculation-sheet'!N88</f>
        <v>1621858487.5267887</v>
      </c>
      <c r="O107" s="2">
        <f>O8/'Output-Calculation-sheet'!O7*'Output-Calculation-sheet'!O88</f>
        <v>4373708096.9118624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486284409.60784286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524762962.27448088</v>
      </c>
      <c r="Y107" s="2">
        <f>Y8/'Output-Calculation-sheet'!Y7*'Output-Calculation-sheet'!Y88</f>
        <v>0</v>
      </c>
      <c r="AA107" s="2">
        <f t="shared" si="9"/>
        <v>42752.072283536465</v>
      </c>
    </row>
    <row r="108" spans="1:27" x14ac:dyDescent="0.25">
      <c r="A108" s="2">
        <v>2032</v>
      </c>
      <c r="B108" s="2">
        <f>B9/'Output-Calculation-sheet'!B8*'Output-Calculation-sheet'!B89</f>
        <v>6115369145.769845</v>
      </c>
      <c r="C108" s="2">
        <f>C9/'Output-Calculation-sheet'!C8*'Output-Calculation-sheet'!C89</f>
        <v>30655871928.821499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9564420287.5560303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6598618342.4413891</v>
      </c>
      <c r="N108" s="2">
        <f>N9/'Output-Calculation-sheet'!N8*'Output-Calculation-sheet'!N89</f>
        <v>3095996502.9389739</v>
      </c>
      <c r="O108" s="2">
        <f>O9/'Output-Calculation-sheet'!O8*'Output-Calculation-sheet'!O89</f>
        <v>5956461990.6625633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935512709.66861439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714650090.40769207</v>
      </c>
      <c r="Y108" s="2">
        <f>Y9/'Output-Calculation-sheet'!Y8*'Output-Calculation-sheet'!Y89</f>
        <v>0</v>
      </c>
      <c r="AA108" s="2">
        <f t="shared" si="9"/>
        <v>63636.900998266618</v>
      </c>
    </row>
    <row r="109" spans="1:27" x14ac:dyDescent="0.25">
      <c r="A109" s="2">
        <v>2033</v>
      </c>
      <c r="B109" s="2">
        <f>B10/'Output-Calculation-sheet'!B9*'Output-Calculation-sheet'!B90</f>
        <v>16497087184.93609</v>
      </c>
      <c r="C109" s="2">
        <f>C10/'Output-Calculation-sheet'!C9*'Output-Calculation-sheet'!C90</f>
        <v>38988816838.054939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12164237879.97353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8392267055.6440277</v>
      </c>
      <c r="N109" s="2">
        <f>N10/'Output-Calculation-sheet'!N9*'Output-Calculation-sheet'!N90</f>
        <v>4944234414.5347176</v>
      </c>
      <c r="O109" s="2">
        <f>O10/'Output-Calculation-sheet'!O9*'Output-Calculation-sheet'!O90</f>
        <v>7223094527.2804708</v>
      </c>
      <c r="P109" s="2">
        <f>P10/'Output-Calculation-sheet'!P9*'Output-Calculation-sheet'!P90</f>
        <v>0</v>
      </c>
      <c r="Q109" s="2">
        <f>Q10/'Output-Calculation-sheet'!Q9*'Output-Calculation-sheet'!Q90</f>
        <v>160932301.96516553</v>
      </c>
      <c r="R109" s="2">
        <f>R10/'Output-Calculation-sheet'!R9*'Output-Calculation-sheet'!R90</f>
        <v>0</v>
      </c>
      <c r="S109" s="2">
        <f>S10/'Output-Calculation-sheet'!S9*'Output-Calculation-sheet'!S90</f>
        <v>1993247094.2156975</v>
      </c>
      <c r="T109" s="2">
        <f>T10/'Output-Calculation-sheet'!T9*'Output-Calculation-sheet'!T90</f>
        <v>-3.3126977585096943E-7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908907913.28472269</v>
      </c>
      <c r="Y109" s="2">
        <f>Y10/'Output-Calculation-sheet'!Y9*'Output-Calculation-sheet'!Y90</f>
        <v>0</v>
      </c>
      <c r="AA109" s="2">
        <f t="shared" si="9"/>
        <v>91272.825209889357</v>
      </c>
    </row>
    <row r="110" spans="1:27" x14ac:dyDescent="0.25">
      <c r="A110" s="2">
        <v>2034</v>
      </c>
      <c r="B110" s="2">
        <f>B11/'Output-Calculation-sheet'!B10*'Output-Calculation-sheet'!B91</f>
        <v>39552808935.121513</v>
      </c>
      <c r="C110" s="2">
        <f>C11/'Output-Calculation-sheet'!C10*'Output-Calculation-sheet'!C91</f>
        <v>43813774887.140083</v>
      </c>
      <c r="D110" s="2">
        <f>D11/'Output-Calculation-sheet'!D10*'Output-Calculation-sheet'!D91</f>
        <v>0</v>
      </c>
      <c r="E110" s="2">
        <f>E11/'Output-Calculation-sheet'!E10*'Output-Calculation-sheet'!E91</f>
        <v>827760445.88547194</v>
      </c>
      <c r="F110" s="2">
        <f>F11/'Output-Calculation-sheet'!F10*'Output-Calculation-sheet'!F91</f>
        <v>0</v>
      </c>
      <c r="G110" s="2">
        <f>G11/'Output-Calculation-sheet'!G10*'Output-Calculation-sheet'!G91</f>
        <v>-1.8659623455898457E-6</v>
      </c>
      <c r="H110" s="2">
        <f>H11/'Output-Calculation-sheet'!H10*'Output-Calculation-sheet'!H91</f>
        <v>14763058766.376547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672094396.79171407</v>
      </c>
      <c r="M110" s="2">
        <f>M11/'Output-Calculation-sheet'!M10*'Output-Calculation-sheet'!M91</f>
        <v>10185225927.011515</v>
      </c>
      <c r="N110" s="2">
        <f>N11/'Output-Calculation-sheet'!N10*'Output-Calculation-sheet'!N91</f>
        <v>7045526464.5190506</v>
      </c>
      <c r="O110" s="2">
        <f>O11/'Output-Calculation-sheet'!O10*'Output-Calculation-sheet'!O91</f>
        <v>8077337035.1096287</v>
      </c>
      <c r="P110" s="2">
        <f>P11/'Output-Calculation-sheet'!P10*'Output-Calculation-sheet'!P91</f>
        <v>7.5195535896592843E-7</v>
      </c>
      <c r="Q110" s="2">
        <f>Q11/'Output-Calculation-sheet'!Q10*'Output-Calculation-sheet'!Q91</f>
        <v>1793036946.6691582</v>
      </c>
      <c r="R110" s="2">
        <f>R11/'Output-Calculation-sheet'!R10*'Output-Calculation-sheet'!R91</f>
        <v>0</v>
      </c>
      <c r="S110" s="2">
        <f>S11/'Output-Calculation-sheet'!S10*'Output-Calculation-sheet'!S91</f>
        <v>3464034223.6940022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1005426742.466328</v>
      </c>
      <c r="Y110" s="2">
        <f>Y11/'Output-Calculation-sheet'!Y10*'Output-Calculation-sheet'!Y91</f>
        <v>44169019.279638007</v>
      </c>
      <c r="AA110" s="2">
        <f t="shared" si="9"/>
        <v>131244.25379006463</v>
      </c>
    </row>
    <row r="111" spans="1:27" x14ac:dyDescent="0.25">
      <c r="A111" s="2">
        <v>2035</v>
      </c>
      <c r="B111" s="2">
        <f>B12/'Output-Calculation-sheet'!B11*'Output-Calculation-sheet'!B92</f>
        <v>57851288669.612518</v>
      </c>
      <c r="C111" s="2">
        <f>C12/'Output-Calculation-sheet'!C11*'Output-Calculation-sheet'!C92</f>
        <v>48607220234.902512</v>
      </c>
      <c r="D111" s="2">
        <f>D12/'Output-Calculation-sheet'!D11*'Output-Calculation-sheet'!D92</f>
        <v>0</v>
      </c>
      <c r="E111" s="2">
        <f>E12/'Output-Calculation-sheet'!E11*'Output-Calculation-sheet'!E92</f>
        <v>6574825395.4680929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16499249383.773153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2116527036.7925594</v>
      </c>
      <c r="M111" s="2">
        <f>M12/'Output-Calculation-sheet'!M11*'Output-Calculation-sheet'!M92</f>
        <v>11422183038.377857</v>
      </c>
      <c r="N111" s="2">
        <f>N12/'Output-Calculation-sheet'!N11*'Output-Calculation-sheet'!N92</f>
        <v>8189721943.467309</v>
      </c>
      <c r="O111" s="2">
        <f>O12/'Output-Calculation-sheet'!O11*'Output-Calculation-sheet'!O92</f>
        <v>8728844378.7965717</v>
      </c>
      <c r="P111" s="2">
        <f>P12/'Output-Calculation-sheet'!P11*'Output-Calculation-sheet'!P92</f>
        <v>449204428.56761432</v>
      </c>
      <c r="Q111" s="2">
        <f>Q12/'Output-Calculation-sheet'!Q11*'Output-Calculation-sheet'!Q92</f>
        <v>3518477208.8899174</v>
      </c>
      <c r="R111" s="2">
        <f>R12/'Output-Calculation-sheet'!R11*'Output-Calculation-sheet'!R92</f>
        <v>0</v>
      </c>
      <c r="S111" s="2">
        <f>S12/'Output-Calculation-sheet'!S11*'Output-Calculation-sheet'!S92</f>
        <v>4404902849.7060232</v>
      </c>
      <c r="T111" s="2">
        <f>T12/'Output-Calculation-sheet'!T11*'Output-Calculation-sheet'!T92</f>
        <v>0</v>
      </c>
      <c r="U111" s="2">
        <f>U12/'Output-Calculation-sheet'!U11*'Output-Calculation-sheet'!U92</f>
        <v>156456628.84978616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1122290731.1689208</v>
      </c>
      <c r="Y111" s="2">
        <f>Y12/'Output-Calculation-sheet'!Y11*'Output-Calculation-sheet'!Y92</f>
        <v>265524082.61776873</v>
      </c>
      <c r="AA111" s="2">
        <f t="shared" si="9"/>
        <v>169906.71601099064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46410576887.42189</v>
      </c>
      <c r="C118" s="2">
        <f>C8/'Output-Calculation-sheet'!C7*'Output-Calculation-sheet'!C97</f>
        <v>0</v>
      </c>
      <c r="D118" s="2">
        <f>D8/'Output-Calculation-sheet'!D7*'Output-Calculation-sheet'!D97</f>
        <v>20067055215.860836</v>
      </c>
      <c r="E118" s="2">
        <f>E8/'Output-Calculation-sheet'!E7*'Output-Calculation-sheet'!E97</f>
        <v>15921171973.267603</v>
      </c>
      <c r="F118" s="2">
        <f>F8/'Output-Calculation-sheet'!F7*'Output-Calculation-sheet'!F97</f>
        <v>10249029724.917791</v>
      </c>
      <c r="G118" s="2">
        <f>G8/'Output-Calculation-sheet'!G7*'Output-Calculation-sheet'!G97</f>
        <v>7201249561.7560415</v>
      </c>
      <c r="H118" s="2">
        <f>H8/'Output-Calculation-sheet'!H7*'Output-Calculation-sheet'!H97</f>
        <v>0</v>
      </c>
      <c r="I118" s="2">
        <f>I8/'Output-Calculation-sheet'!I7*'Output-Calculation-sheet'!I97</f>
        <v>6560905212.9701405</v>
      </c>
      <c r="J118" s="2">
        <f>J8/'Output-Calculation-sheet'!J7*'Output-Calculation-sheet'!J97</f>
        <v>6385933246.6868792</v>
      </c>
      <c r="K118" s="2">
        <f>K8/'Output-Calculation-sheet'!K7*'Output-Calculation-sheet'!K97</f>
        <v>6324711381.7089853</v>
      </c>
      <c r="L118" s="2">
        <f>L8/'Output-Calculation-sheet'!L7*'Output-Calculation-sheet'!L97</f>
        <v>5073765709.1837015</v>
      </c>
      <c r="M118" s="2">
        <f>M8/'Output-Calculation-sheet'!M7*'Output-Calculation-sheet'!M97</f>
        <v>0</v>
      </c>
      <c r="N118" s="2">
        <f>N8/'Output-Calculation-sheet'!N7*'Output-Calculation-sheet'!N97</f>
        <v>3134755677.7260756</v>
      </c>
      <c r="O118" s="2">
        <f>O8/'Output-Calculation-sheet'!O7*'Output-Calculation-sheet'!O97</f>
        <v>0</v>
      </c>
      <c r="P118" s="2">
        <f>P8/'Output-Calculation-sheet'!P7*'Output-Calculation-sheet'!P97</f>
        <v>4330197440.5602961</v>
      </c>
      <c r="Q118" s="2">
        <f>Q8/'Output-Calculation-sheet'!Q7*'Output-Calculation-sheet'!Q97</f>
        <v>4260213644.1304622</v>
      </c>
      <c r="R118" s="2">
        <f>R8/'Output-Calculation-sheet'!R7*'Output-Calculation-sheet'!R97</f>
        <v>4098521454.0509667</v>
      </c>
      <c r="S118" s="2">
        <f>S8/'Output-Calculation-sheet'!S7*'Output-Calculation-sheet'!S97</f>
        <v>2237803646.1421299</v>
      </c>
      <c r="T118" s="2">
        <f>T8/'Output-Calculation-sheet'!T7*'Output-Calculation-sheet'!T97</f>
        <v>1506581538.8416986</v>
      </c>
      <c r="U118" s="2">
        <f>U8/'Output-Calculation-sheet'!U7*'Output-Calculation-sheet'!U97</f>
        <v>1312180784.9549074</v>
      </c>
      <c r="V118" s="2">
        <f>V8/'Output-Calculation-sheet'!V7*'Output-Calculation-sheet'!V97</f>
        <v>1010405845.0813856</v>
      </c>
      <c r="W118" s="2">
        <f>W8/'Output-Calculation-sheet'!W7*'Output-Calculation-sheet'!W97</f>
        <v>874787189.70202184</v>
      </c>
      <c r="X118" s="2">
        <f>X8/'Output-Calculation-sheet'!X7*'Output-Calculation-sheet'!X97</f>
        <v>0</v>
      </c>
      <c r="Y118" s="2">
        <f>Y8/'Output-Calculation-sheet'!Y7*'Output-Calculation-sheet'!Y97</f>
        <v>510433276.11734676</v>
      </c>
      <c r="AA118" s="2">
        <f t="shared" si="10"/>
        <v>147470.27941108114</v>
      </c>
    </row>
    <row r="119" spans="1:27" x14ac:dyDescent="0.25">
      <c r="A119" s="2">
        <v>2032</v>
      </c>
      <c r="B119" s="2">
        <f>B9/'Output-Calculation-sheet'!B8*'Output-Calculation-sheet'!B98</f>
        <v>58948703359.66362</v>
      </c>
      <c r="C119" s="2">
        <f>C9/'Output-Calculation-sheet'!C8*'Output-Calculation-sheet'!C98</f>
        <v>0</v>
      </c>
      <c r="D119" s="2">
        <f>D9/'Output-Calculation-sheet'!D8*'Output-Calculation-sheet'!D98</f>
        <v>27327662245.92955</v>
      </c>
      <c r="E119" s="2">
        <f>E9/'Output-Calculation-sheet'!E8*'Output-Calculation-sheet'!E98</f>
        <v>21681721778.172344</v>
      </c>
      <c r="F119" s="2">
        <f>F9/'Output-Calculation-sheet'!F8*'Output-Calculation-sheet'!F98</f>
        <v>13957306670.920362</v>
      </c>
      <c r="G119" s="2">
        <f>G9/'Output-Calculation-sheet'!G8*'Output-Calculation-sheet'!G98</f>
        <v>9806786747.0825176</v>
      </c>
      <c r="H119" s="2">
        <f>H9/'Output-Calculation-sheet'!H8*'Output-Calculation-sheet'!H98</f>
        <v>0</v>
      </c>
      <c r="I119" s="2">
        <f>I9/'Output-Calculation-sheet'!I8*'Output-Calculation-sheet'!I98</f>
        <v>8934755360.8050232</v>
      </c>
      <c r="J119" s="2">
        <f>J9/'Output-Calculation-sheet'!J8*'Output-Calculation-sheet'!J98</f>
        <v>8696472102.9104328</v>
      </c>
      <c r="K119" s="2">
        <f>K9/'Output-Calculation-sheet'!K8*'Output-Calculation-sheet'!K98</f>
        <v>8613100480.9719906</v>
      </c>
      <c r="L119" s="2">
        <f>L9/'Output-Calculation-sheet'!L8*'Output-Calculation-sheet'!L98</f>
        <v>6909542815.9668283</v>
      </c>
      <c r="M119" s="2">
        <f>M9/'Output-Calculation-sheet'!M8*'Output-Calculation-sheet'!M98</f>
        <v>0</v>
      </c>
      <c r="N119" s="2">
        <f>N9/'Output-Calculation-sheet'!N8*'Output-Calculation-sheet'!N98</f>
        <v>3381102841.105423</v>
      </c>
      <c r="O119" s="2">
        <f>O9/'Output-Calculation-sheet'!O8*'Output-Calculation-sheet'!O98</f>
        <v>6.0675797339470927E-7</v>
      </c>
      <c r="P119" s="2">
        <f>P9/'Output-Calculation-sheet'!P8*'Output-Calculation-sheet'!P98</f>
        <v>5896898678.5059109</v>
      </c>
      <c r="Q119" s="2">
        <f>Q9/'Output-Calculation-sheet'!Q8*'Output-Calculation-sheet'!Q98</f>
        <v>5801632478.5069847</v>
      </c>
      <c r="R119" s="2">
        <f>R9/'Output-Calculation-sheet'!R8*'Output-Calculation-sheet'!R98</f>
        <v>5581437712.2406321</v>
      </c>
      <c r="S119" s="2">
        <f>S9/'Output-Calculation-sheet'!S8*'Output-Calculation-sheet'!S98</f>
        <v>2773998659.5979881</v>
      </c>
      <c r="T119" s="2">
        <f>T9/'Output-Calculation-sheet'!T8*'Output-Calculation-sheet'!T98</f>
        <v>2051688428.6075139</v>
      </c>
      <c r="U119" s="2">
        <f>U9/'Output-Calculation-sheet'!U8*'Output-Calculation-sheet'!U98</f>
        <v>1786950869.1285269</v>
      </c>
      <c r="V119" s="2">
        <f>V9/'Output-Calculation-sheet'!V8*'Output-Calculation-sheet'!V98</f>
        <v>1375987908.4717457</v>
      </c>
      <c r="W119" s="2">
        <f>W9/'Output-Calculation-sheet'!W8*'Output-Calculation-sheet'!W98</f>
        <v>1191300392.2221115</v>
      </c>
      <c r="X119" s="2">
        <f>X9/'Output-Calculation-sheet'!X8*'Output-Calculation-sheet'!X98</f>
        <v>0</v>
      </c>
      <c r="Y119" s="2">
        <f>Y9/'Output-Calculation-sheet'!Y8*'Output-Calculation-sheet'!Y98</f>
        <v>695116631.36006677</v>
      </c>
      <c r="AA119" s="2">
        <f t="shared" si="10"/>
        <v>195412.1661621696</v>
      </c>
    </row>
    <row r="120" spans="1:27" x14ac:dyDescent="0.25">
      <c r="A120" s="2">
        <v>2033</v>
      </c>
      <c r="B120" s="2">
        <f>B10/'Output-Calculation-sheet'!B9*'Output-Calculation-sheet'!B99</f>
        <v>66245319807.203796</v>
      </c>
      <c r="C120" s="2">
        <f>C10/'Output-Calculation-sheet'!C9*'Output-Calculation-sheet'!C99</f>
        <v>0</v>
      </c>
      <c r="D120" s="2">
        <f>D10/'Output-Calculation-sheet'!D9*'Output-Calculation-sheet'!D99</f>
        <v>34754874374.379143</v>
      </c>
      <c r="E120" s="2">
        <f>E10/'Output-Calculation-sheet'!E9*'Output-Calculation-sheet'!E99</f>
        <v>27574462410.184101</v>
      </c>
      <c r="F120" s="2">
        <f>F10/'Output-Calculation-sheet'!F9*'Output-Calculation-sheet'!F99</f>
        <v>17750670953.440056</v>
      </c>
      <c r="G120" s="2">
        <f>G10/'Output-Calculation-sheet'!G9*'Output-Calculation-sheet'!G99</f>
        <v>12472108565.902437</v>
      </c>
      <c r="H120" s="2">
        <f>H10/'Output-Calculation-sheet'!H9*'Output-Calculation-sheet'!H99</f>
        <v>0</v>
      </c>
      <c r="I120" s="2">
        <f>I10/'Output-Calculation-sheet'!I9*'Output-Calculation-sheet'!I99</f>
        <v>11363074133.966524</v>
      </c>
      <c r="J120" s="2">
        <f>J10/'Output-Calculation-sheet'!J9*'Output-Calculation-sheet'!J99</f>
        <v>11060029407.430555</v>
      </c>
      <c r="K120" s="2">
        <f>K10/'Output-Calculation-sheet'!K9*'Output-Calculation-sheet'!K99</f>
        <v>10953999902.960951</v>
      </c>
      <c r="L120" s="2">
        <f>L10/'Output-Calculation-sheet'!L9*'Output-Calculation-sheet'!L99</f>
        <v>8787442296.2592049</v>
      </c>
      <c r="M120" s="2">
        <f>M10/'Output-Calculation-sheet'!M9*'Output-Calculation-sheet'!M99</f>
        <v>0</v>
      </c>
      <c r="N120" s="2">
        <f>N10/'Output-Calculation-sheet'!N9*'Output-Calculation-sheet'!N99</f>
        <v>3292748180.7397447</v>
      </c>
      <c r="O120" s="2">
        <f>O10/'Output-Calculation-sheet'!O9*'Output-Calculation-sheet'!O99</f>
        <v>0</v>
      </c>
      <c r="P120" s="2">
        <f>P10/'Output-Calculation-sheet'!P9*'Output-Calculation-sheet'!P99</f>
        <v>7499184596.699317</v>
      </c>
      <c r="Q120" s="2">
        <f>Q10/'Output-Calculation-sheet'!Q9*'Output-Calculation-sheet'!Q99</f>
        <v>7217415829.7291365</v>
      </c>
      <c r="R120" s="2">
        <f>R10/'Output-Calculation-sheet'!R9*'Output-Calculation-sheet'!R99</f>
        <v>7098043261.5821209</v>
      </c>
      <c r="S120" s="2">
        <f>S10/'Output-Calculation-sheet'!S9*'Output-Calculation-sheet'!S99</f>
        <v>2724133072.8509631</v>
      </c>
      <c r="T120" s="2">
        <f>T10/'Output-Calculation-sheet'!T9*'Output-Calculation-sheet'!T99</f>
        <v>2609280974.3653579</v>
      </c>
      <c r="U120" s="2">
        <f>U10/'Output-Calculation-sheet'!U9*'Output-Calculation-sheet'!U99</f>
        <v>2273108494.229311</v>
      </c>
      <c r="V120" s="2">
        <f>V10/'Output-Calculation-sheet'!V9*'Output-Calculation-sheet'!V99</f>
        <v>1749958758.6258235</v>
      </c>
      <c r="W120" s="2">
        <f>W10/'Output-Calculation-sheet'!W9*'Output-Calculation-sheet'!W99</f>
        <v>1515076455.7156243</v>
      </c>
      <c r="X120" s="2">
        <f>X10/'Output-Calculation-sheet'!X9*'Output-Calculation-sheet'!X99</f>
        <v>0</v>
      </c>
      <c r="Y120" s="2">
        <f>Y10/'Output-Calculation-sheet'!Y9*'Output-Calculation-sheet'!Y99</f>
        <v>884039167.03760505</v>
      </c>
      <c r="AA120" s="2">
        <f t="shared" si="10"/>
        <v>237824.97064330173</v>
      </c>
    </row>
    <row r="121" spans="1:27" x14ac:dyDescent="0.25">
      <c r="A121" s="2">
        <v>2034</v>
      </c>
      <c r="B121" s="2">
        <f>B11/'Output-Calculation-sheet'!B10*'Output-Calculation-sheet'!B100</f>
        <v>60858281325.616013</v>
      </c>
      <c r="C121" s="2">
        <f>C11/'Output-Calculation-sheet'!C10*'Output-Calculation-sheet'!C100</f>
        <v>0</v>
      </c>
      <c r="D121" s="2">
        <f>D11/'Output-Calculation-sheet'!D10*'Output-Calculation-sheet'!D100</f>
        <v>42179145466.386909</v>
      </c>
      <c r="E121" s="2">
        <f>E11/'Output-Calculation-sheet'!E10*'Output-Calculation-sheet'!E100</f>
        <v>32635691414.488735</v>
      </c>
      <c r="F121" s="2">
        <f>F11/'Output-Calculation-sheet'!F10*'Output-Calculation-sheet'!F100</f>
        <v>21542419935.790665</v>
      </c>
      <c r="G121" s="2">
        <f>G11/'Output-Calculation-sheet'!G10*'Output-Calculation-sheet'!G100</f>
        <v>15135553585.232191</v>
      </c>
      <c r="H121" s="2">
        <f>H11/'Output-Calculation-sheet'!H10*'Output-Calculation-sheet'!H100</f>
        <v>1.8221502176216971E-7</v>
      </c>
      <c r="I121" s="2">
        <f>I11/'Output-Calculation-sheet'!I10*'Output-Calculation-sheet'!I100</f>
        <v>13789944918.073509</v>
      </c>
      <c r="J121" s="2">
        <f>J11/'Output-Calculation-sheet'!J10*'Output-Calculation-sheet'!J100</f>
        <v>13422304705.98769</v>
      </c>
      <c r="K121" s="2">
        <f>K11/'Output-Calculation-sheet'!K10*'Output-Calculation-sheet'!K100</f>
        <v>13293978283.056114</v>
      </c>
      <c r="L121" s="2">
        <f>L11/'Output-Calculation-sheet'!L10*'Output-Calculation-sheet'!L100</f>
        <v>9992184409.9355259</v>
      </c>
      <c r="M121" s="2">
        <f>M11/'Output-Calculation-sheet'!M10*'Output-Calculation-sheet'!M100</f>
        <v>-1.1833412269761553E-7</v>
      </c>
      <c r="N121" s="2">
        <f>N11/'Output-Calculation-sheet'!N10*'Output-Calculation-sheet'!N100</f>
        <v>2951240781.404974</v>
      </c>
      <c r="O121" s="2">
        <f>O11/'Output-Calculation-sheet'!O10*'Output-Calculation-sheet'!O100</f>
        <v>0</v>
      </c>
      <c r="P121" s="2">
        <f>P11/'Output-Calculation-sheet'!P10*'Output-Calculation-sheet'!P100</f>
        <v>9100771369.4928646</v>
      </c>
      <c r="Q121" s="2">
        <f>Q11/'Output-Calculation-sheet'!Q10*'Output-Calculation-sheet'!Q100</f>
        <v>7160727747.3981247</v>
      </c>
      <c r="R121" s="2">
        <f>R11/'Output-Calculation-sheet'!R10*'Output-Calculation-sheet'!R100</f>
        <v>8613942054.1074467</v>
      </c>
      <c r="S121" s="2">
        <f>S11/'Output-Calculation-sheet'!S10*'Output-Calculation-sheet'!S100</f>
        <v>2261016899.8908782</v>
      </c>
      <c r="T121" s="2">
        <f>T11/'Output-Calculation-sheet'!T10*'Output-Calculation-sheet'!T100</f>
        <v>3166481493.8212852</v>
      </c>
      <c r="U121" s="2">
        <f>U11/'Output-Calculation-sheet'!U10*'Output-Calculation-sheet'!U100</f>
        <v>2759572131.8210602</v>
      </c>
      <c r="V121" s="2">
        <f>V11/'Output-Calculation-sheet'!V10*'Output-Calculation-sheet'!V100</f>
        <v>2123781982.8854814</v>
      </c>
      <c r="W121" s="2">
        <f>W11/'Output-Calculation-sheet'!W10*'Output-Calculation-sheet'!W100</f>
        <v>1838778861.6950085</v>
      </c>
      <c r="X121" s="2">
        <f>X11/'Output-Calculation-sheet'!X10*'Output-Calculation-sheet'!X100</f>
        <v>97664426.784704357</v>
      </c>
      <c r="Y121" s="2">
        <f>Y11/'Output-Calculation-sheet'!Y10*'Output-Calculation-sheet'!Y100</f>
        <v>1028697438.8983655</v>
      </c>
      <c r="AA121" s="2">
        <f t="shared" si="10"/>
        <v>263952.17923276755</v>
      </c>
    </row>
    <row r="122" spans="1:27" x14ac:dyDescent="0.25">
      <c r="A122" s="2">
        <v>2035</v>
      </c>
      <c r="B122" s="2">
        <f>B12/'Output-Calculation-sheet'!B11*'Output-Calculation-sheet'!B101</f>
        <v>56638896769.707733</v>
      </c>
      <c r="C122" s="2">
        <f>C12/'Output-Calculation-sheet'!C11*'Output-Calculation-sheet'!C101</f>
        <v>0</v>
      </c>
      <c r="D122" s="2">
        <f>D12/'Output-Calculation-sheet'!D11*'Output-Calculation-sheet'!D101</f>
        <v>47472048696.005211</v>
      </c>
      <c r="E122" s="2">
        <f>E12/'Output-Calculation-sheet'!E11*'Output-Calculation-sheet'!E101</f>
        <v>31965550776.660797</v>
      </c>
      <c r="F122" s="2">
        <f>F12/'Output-Calculation-sheet'!F11*'Output-Calculation-sheet'!F101</f>
        <v>24744909232.514175</v>
      </c>
      <c r="G122" s="2">
        <f>G12/'Output-Calculation-sheet'!G11*'Output-Calculation-sheet'!G101</f>
        <v>16862622254.460291</v>
      </c>
      <c r="H122" s="2">
        <f>H12/'Output-Calculation-sheet'!H11*'Output-Calculation-sheet'!H101</f>
        <v>0</v>
      </c>
      <c r="I122" s="2">
        <f>I12/'Output-Calculation-sheet'!I11*'Output-Calculation-sheet'!I101</f>
        <v>15789889063.101521</v>
      </c>
      <c r="J122" s="2">
        <f>J12/'Output-Calculation-sheet'!J11*'Output-Calculation-sheet'!J101</f>
        <v>15091455579.198744</v>
      </c>
      <c r="K122" s="2">
        <f>K12/'Output-Calculation-sheet'!K11*'Output-Calculation-sheet'!K101</f>
        <v>15238454877.533207</v>
      </c>
      <c r="L122" s="2">
        <f>L12/'Output-Calculation-sheet'!L11*'Output-Calculation-sheet'!L101</f>
        <v>10141730768.359137</v>
      </c>
      <c r="M122" s="2">
        <f>M12/'Output-Calculation-sheet'!M11*'Output-Calculation-sheet'!M101</f>
        <v>0</v>
      </c>
      <c r="N122" s="2">
        <f>N12/'Output-Calculation-sheet'!N11*'Output-Calculation-sheet'!N101</f>
        <v>2987875050.6912189</v>
      </c>
      <c r="O122" s="2">
        <f>O12/'Output-Calculation-sheet'!O11*'Output-Calculation-sheet'!O101</f>
        <v>0</v>
      </c>
      <c r="P122" s="2">
        <f>P12/'Output-Calculation-sheet'!P11*'Output-Calculation-sheet'!P101</f>
        <v>10000443108.864382</v>
      </c>
      <c r="Q122" s="2">
        <f>Q12/'Output-Calculation-sheet'!Q11*'Output-Calculation-sheet'!Q101</f>
        <v>6513648570.3535995</v>
      </c>
      <c r="R122" s="2">
        <f>R12/'Output-Calculation-sheet'!R11*'Output-Calculation-sheet'!R101</f>
        <v>9866017181.9834805</v>
      </c>
      <c r="S122" s="2">
        <f>S12/'Output-Calculation-sheet'!S11*'Output-Calculation-sheet'!S101</f>
        <v>2074550265.1294355</v>
      </c>
      <c r="T122" s="2">
        <f>T12/'Output-Calculation-sheet'!T11*'Output-Calculation-sheet'!T101</f>
        <v>3655362236.9936438</v>
      </c>
      <c r="U122" s="2">
        <f>U12/'Output-Calculation-sheet'!U11*'Output-Calculation-sheet'!U101</f>
        <v>2994902023.4212985</v>
      </c>
      <c r="V122" s="2">
        <f>V12/'Output-Calculation-sheet'!V11*'Output-Calculation-sheet'!V101</f>
        <v>2465511793.1704626</v>
      </c>
      <c r="W122" s="2">
        <f>W12/'Output-Calculation-sheet'!W11*'Output-Calculation-sheet'!W101</f>
        <v>2126379588.1569974</v>
      </c>
      <c r="X122" s="2">
        <f>X12/'Output-Calculation-sheet'!X11*'Output-Calculation-sheet'!X101</f>
        <v>102772238.28684267</v>
      </c>
      <c r="Y122" s="2">
        <f>Y12/'Output-Calculation-sheet'!Y11*'Output-Calculation-sheet'!Y101</f>
        <v>959848500.38282657</v>
      </c>
      <c r="AA122" s="2">
        <f t="shared" si="10"/>
        <v>277692.86857497506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47777392966.872406</v>
      </c>
      <c r="C129" s="2">
        <f>C8/'Output-Calculation-sheet'!C7*'Output-Calculation-sheet'!C106</f>
        <v>22515116155.315369</v>
      </c>
      <c r="D129" s="2">
        <f>D8/'Output-Calculation-sheet'!D7*'Output-Calculation-sheet'!D106</f>
        <v>20067055215.860836</v>
      </c>
      <c r="E129" s="2">
        <f>E8/'Output-Calculation-sheet'!E7*'Output-Calculation-sheet'!E106</f>
        <v>15921171973.267603</v>
      </c>
      <c r="F129" s="2">
        <f>F8/'Output-Calculation-sheet'!F7*'Output-Calculation-sheet'!F106</f>
        <v>10249029724.917791</v>
      </c>
      <c r="G129" s="2">
        <f>G8/'Output-Calculation-sheet'!G7*'Output-Calculation-sheet'!G106</f>
        <v>7201249561.7560415</v>
      </c>
      <c r="H129" s="2">
        <f>H8/'Output-Calculation-sheet'!H7*'Output-Calculation-sheet'!H106</f>
        <v>7024542514.6867027</v>
      </c>
      <c r="I129" s="2">
        <f>I8/'Output-Calculation-sheet'!I7*'Output-Calculation-sheet'!I106</f>
        <v>6560905212.9701405</v>
      </c>
      <c r="J129" s="2">
        <f>J8/'Output-Calculation-sheet'!J7*'Output-Calculation-sheet'!J106</f>
        <v>6385933246.6868792</v>
      </c>
      <c r="K129" s="2">
        <f>K8/'Output-Calculation-sheet'!K7*'Output-Calculation-sheet'!K106</f>
        <v>6324711381.7089853</v>
      </c>
      <c r="L129" s="2">
        <f>L8/'Output-Calculation-sheet'!L7*'Output-Calculation-sheet'!L106</f>
        <v>5073765709.1837015</v>
      </c>
      <c r="M129" s="2">
        <f>M8/'Output-Calculation-sheet'!M7*'Output-Calculation-sheet'!M106</f>
        <v>4846321983.9806194</v>
      </c>
      <c r="N129" s="2">
        <f>N8/'Output-Calculation-sheet'!N7*'Output-Calculation-sheet'!N106</f>
        <v>4756651952.3148508</v>
      </c>
      <c r="O129" s="2">
        <f>O8/'Output-Calculation-sheet'!O7*'Output-Calculation-sheet'!O106</f>
        <v>4374705761.4694271</v>
      </c>
      <c r="P129" s="2">
        <f>P8/'Output-Calculation-sheet'!P7*'Output-Calculation-sheet'!P106</f>
        <v>4330197440.5602961</v>
      </c>
      <c r="Q129" s="2">
        <f>Q8/'Output-Calculation-sheet'!Q7*'Output-Calculation-sheet'!Q106</f>
        <v>4260213644.1304622</v>
      </c>
      <c r="R129" s="2">
        <f>R8/'Output-Calculation-sheet'!R7*'Output-Calculation-sheet'!R106</f>
        <v>4098521454.0509667</v>
      </c>
      <c r="S129" s="2">
        <f>S8/'Output-Calculation-sheet'!S7*'Output-Calculation-sheet'!S106</f>
        <v>2724087316.1132545</v>
      </c>
      <c r="T129" s="2">
        <f>T8/'Output-Calculation-sheet'!T7*'Output-Calculation-sheet'!T106</f>
        <v>1506581538.8416986</v>
      </c>
      <c r="U129" s="2">
        <f>U8/'Output-Calculation-sheet'!U7*'Output-Calculation-sheet'!U106</f>
        <v>1312180784.9549074</v>
      </c>
      <c r="V129" s="2">
        <f>V8/'Output-Calculation-sheet'!V7*'Output-Calculation-sheet'!V106</f>
        <v>1010405845.0813856</v>
      </c>
      <c r="W129" s="2">
        <f>W8/'Output-Calculation-sheet'!W7*'Output-Calculation-sheet'!W106</f>
        <v>874787189.70202184</v>
      </c>
      <c r="X129" s="2">
        <f>X8/'Output-Calculation-sheet'!X7*'Output-Calculation-sheet'!X106</f>
        <v>524872417.0376119</v>
      </c>
      <c r="Y129" s="2">
        <f>Y8/'Output-Calculation-sheet'!Y7*'Output-Calculation-sheet'!Y106</f>
        <v>510433276.11734676</v>
      </c>
      <c r="AA129" s="2">
        <f t="shared" si="11"/>
        <v>190230.83426758129</v>
      </c>
    </row>
    <row r="130" spans="1:27" x14ac:dyDescent="0.25">
      <c r="A130" s="2">
        <v>2032</v>
      </c>
      <c r="B130" s="2">
        <f>B9/'Output-Calculation-sheet'!B8*'Output-Calculation-sheet'!B107</f>
        <v>39038449193.919083</v>
      </c>
      <c r="C130" s="2">
        <f>C9/'Output-Calculation-sheet'!C8*'Output-Calculation-sheet'!C107</f>
        <v>18396878077.93512</v>
      </c>
      <c r="D130" s="2">
        <f>D9/'Output-Calculation-sheet'!D8*'Output-Calculation-sheet'!D107</f>
        <v>16396593929.622889</v>
      </c>
      <c r="E130" s="2">
        <f>E9/'Output-Calculation-sheet'!E8*'Output-Calculation-sheet'!E107</f>
        <v>13009031708.730145</v>
      </c>
      <c r="F130" s="2">
        <f>F9/'Output-Calculation-sheet'!F8*'Output-Calculation-sheet'!F107</f>
        <v>8374384856.7500639</v>
      </c>
      <c r="G130" s="2">
        <f>G9/'Output-Calculation-sheet'!G8*'Output-Calculation-sheet'!G107</f>
        <v>5884072661.2928429</v>
      </c>
      <c r="H130" s="2">
        <f>H9/'Output-Calculation-sheet'!H8*'Output-Calculation-sheet'!H107</f>
        <v>5739685515.4684868</v>
      </c>
      <c r="I130" s="2">
        <f>I9/'Output-Calculation-sheet'!I8*'Output-Calculation-sheet'!I107</f>
        <v>5360852665.0871382</v>
      </c>
      <c r="J130" s="2">
        <f>J9/'Output-Calculation-sheet'!J8*'Output-Calculation-sheet'!J107</f>
        <v>5217882716.0453749</v>
      </c>
      <c r="K130" s="2">
        <f>K9/'Output-Calculation-sheet'!K8*'Output-Calculation-sheet'!K107</f>
        <v>5167860288.5831947</v>
      </c>
      <c r="L130" s="2">
        <f>L9/'Output-Calculation-sheet'!L8*'Output-Calculation-sheet'!L107</f>
        <v>4145725258.6590738</v>
      </c>
      <c r="M130" s="2">
        <f>M9/'Output-Calculation-sheet'!M8*'Output-Calculation-sheet'!M107</f>
        <v>3959883681.0995626</v>
      </c>
      <c r="N130" s="2">
        <f>N9/'Output-Calculation-sheet'!N8*'Output-Calculation-sheet'!N107</f>
        <v>3886612640.7445388</v>
      </c>
      <c r="O130" s="2">
        <f>O9/'Output-Calculation-sheet'!O8*'Output-Calculation-sheet'!O107</f>
        <v>3574530089.6123171</v>
      </c>
      <c r="P130" s="2">
        <f>P9/'Output-Calculation-sheet'!P8*'Output-Calculation-sheet'!P107</f>
        <v>3538161840.261692</v>
      </c>
      <c r="Q130" s="2">
        <f>Q9/'Output-Calculation-sheet'!Q8*'Output-Calculation-sheet'!Q107</f>
        <v>3480980542.7737207</v>
      </c>
      <c r="R130" s="2">
        <f>R9/'Output-Calculation-sheet'!R8*'Output-Calculation-sheet'!R107</f>
        <v>3348862976.3087726</v>
      </c>
      <c r="S130" s="2">
        <f>S9/'Output-Calculation-sheet'!S8*'Output-Calculation-sheet'!S107</f>
        <v>2225825596.4768615</v>
      </c>
      <c r="T130" s="2">
        <f>T9/'Output-Calculation-sheet'!T8*'Output-Calculation-sheet'!T107</f>
        <v>1231013315.3736377</v>
      </c>
      <c r="U130" s="2">
        <f>U9/'Output-Calculation-sheet'!U8*'Output-Calculation-sheet'!U107</f>
        <v>1072170184.6540334</v>
      </c>
      <c r="V130" s="2">
        <f>V9/'Output-Calculation-sheet'!V8*'Output-Calculation-sheet'!V107</f>
        <v>825592485.36190248</v>
      </c>
      <c r="W130" s="2">
        <f>W9/'Output-Calculation-sheet'!W8*'Output-Calculation-sheet'!W107</f>
        <v>714780310.29959357</v>
      </c>
      <c r="X130" s="2">
        <f>X9/'Output-Calculation-sheet'!X8*'Output-Calculation-sheet'!X107</f>
        <v>428868102.0307771</v>
      </c>
      <c r="Y130" s="2">
        <f>Y9/'Output-Calculation-sheet'!Y8*'Output-Calculation-sheet'!Y107</f>
        <v>417070022.07713211</v>
      </c>
      <c r="AA130" s="2">
        <f t="shared" si="11"/>
        <v>155435.76865916795</v>
      </c>
    </row>
    <row r="131" spans="1:27" x14ac:dyDescent="0.25">
      <c r="A131" s="2">
        <v>2033</v>
      </c>
      <c r="B131" s="2">
        <f>B10/'Output-Calculation-sheet'!B9*'Output-Calculation-sheet'!B108</f>
        <v>27582484569.097279</v>
      </c>
      <c r="C131" s="2">
        <f>C10/'Output-Calculation-sheet'!C9*'Output-Calculation-sheet'!C108</f>
        <v>12998252162.342817</v>
      </c>
      <c r="D131" s="2">
        <f>D10/'Output-Calculation-sheet'!D9*'Output-Calculation-sheet'!D108</f>
        <v>11584961143.455177</v>
      </c>
      <c r="E131" s="2">
        <f>E10/'Output-Calculation-sheet'!E9*'Output-Calculation-sheet'!E108</f>
        <v>9191487470.061367</v>
      </c>
      <c r="F131" s="2">
        <f>F10/'Output-Calculation-sheet'!F9*'Output-Calculation-sheet'!F108</f>
        <v>5916890317.8133516</v>
      </c>
      <c r="G131" s="2">
        <f>G10/'Output-Calculation-sheet'!G9*'Output-Calculation-sheet'!G108</f>
        <v>4157369521.9674792</v>
      </c>
      <c r="H131" s="2">
        <f>H10/'Output-Calculation-sheet'!H9*'Output-Calculation-sheet'!H108</f>
        <v>4055354380.6363964</v>
      </c>
      <c r="I131" s="2">
        <f>I10/'Output-Calculation-sheet'!I9*'Output-Calculation-sheet'!I108</f>
        <v>3787692351.9558272</v>
      </c>
      <c r="J131" s="2">
        <f>J10/'Output-Calculation-sheet'!J9*'Output-Calculation-sheet'!J108</f>
        <v>3686677433.0510645</v>
      </c>
      <c r="K131" s="2">
        <f>K10/'Output-Calculation-sheet'!K9*'Output-Calculation-sheet'!K108</f>
        <v>3651333300.9869838</v>
      </c>
      <c r="L131" s="2">
        <f>L10/'Output-Calculation-sheet'!L9*'Output-Calculation-sheet'!L108</f>
        <v>2929148193.2506914</v>
      </c>
      <c r="M131" s="2">
        <f>M10/'Output-Calculation-sheet'!M9*'Output-Calculation-sheet'!M108</f>
        <v>2797841004.8226228</v>
      </c>
      <c r="N131" s="2">
        <f>N10/'Output-Calculation-sheet'!N9*'Output-Calculation-sheet'!N108</f>
        <v>2746072333.7546234</v>
      </c>
      <c r="O131" s="2">
        <f>O10/'Output-Calculation-sheet'!O9*'Output-Calculation-sheet'!O108</f>
        <v>3035089760.6874461</v>
      </c>
      <c r="P131" s="2">
        <f>P10/'Output-Calculation-sheet'!P9*'Output-Calculation-sheet'!P108</f>
        <v>2499876971.1400094</v>
      </c>
      <c r="Q131" s="2">
        <f>Q10/'Output-Calculation-sheet'!Q9*'Output-Calculation-sheet'!Q108</f>
        <v>2459474418.0675268</v>
      </c>
      <c r="R131" s="2">
        <f>R10/'Output-Calculation-sheet'!R9*'Output-Calculation-sheet'!R108</f>
        <v>2366126605.1230021</v>
      </c>
      <c r="S131" s="2">
        <f>S10/'Output-Calculation-sheet'!S9*'Output-Calculation-sheet'!S108</f>
        <v>1572649562.9463677</v>
      </c>
      <c r="T131" s="2">
        <f>T10/'Output-Calculation-sheet'!T9*'Output-Calculation-sheet'!T108</f>
        <v>869767622.25812161</v>
      </c>
      <c r="U131" s="2">
        <f>U10/'Output-Calculation-sheet'!U9*'Output-Calculation-sheet'!U108</f>
        <v>757538029.46285141</v>
      </c>
      <c r="V131" s="2">
        <f>V10/'Output-Calculation-sheet'!V9*'Output-Calculation-sheet'!V108</f>
        <v>583319433.28773201</v>
      </c>
      <c r="W131" s="2">
        <f>W10/'Output-Calculation-sheet'!W9*'Output-Calculation-sheet'!W108</f>
        <v>505025352.82056296</v>
      </c>
      <c r="X131" s="2">
        <f>X10/'Output-Calculation-sheet'!X9*'Output-Calculation-sheet'!X108</f>
        <v>303015152.50303245</v>
      </c>
      <c r="Y131" s="2">
        <f>Y10/'Output-Calculation-sheet'!Y9*'Output-Calculation-sheet'!Y108</f>
        <v>294679263.85630822</v>
      </c>
      <c r="AA131" s="2">
        <f t="shared" si="11"/>
        <v>110332.12635534862</v>
      </c>
    </row>
    <row r="132" spans="1:27" x14ac:dyDescent="0.25">
      <c r="A132" s="2">
        <v>2034</v>
      </c>
      <c r="B132" s="2">
        <f>B11/'Output-Calculation-sheet'!B10*'Output-Calculation-sheet'!B109</f>
        <v>14346256703.326847</v>
      </c>
      <c r="C132" s="2">
        <f>C11/'Output-Calculation-sheet'!C10*'Output-Calculation-sheet'!C109</f>
        <v>13051820132.429642</v>
      </c>
      <c r="D132" s="2">
        <f>D11/'Output-Calculation-sheet'!D10*'Output-Calculation-sheet'!D109</f>
        <v>6025593016.9499779</v>
      </c>
      <c r="E132" s="2">
        <f>E11/'Output-Calculation-sheet'!E10*'Output-Calculation-sheet'!E109</f>
        <v>4780696227.3534918</v>
      </c>
      <c r="F132" s="2">
        <f>F11/'Output-Calculation-sheet'!F10*'Output-Calculation-sheet'!F109</f>
        <v>3077505715.1708045</v>
      </c>
      <c r="G132" s="2">
        <f>G11/'Output-Calculation-sheet'!G10*'Output-Calculation-sheet'!G109</f>
        <v>2162340313.2750478</v>
      </c>
      <c r="H132" s="2">
        <f>H11/'Output-Calculation-sheet'!H10*'Output-Calculation-sheet'!H109</f>
        <v>2109279640.6717441</v>
      </c>
      <c r="I132" s="2">
        <f>I11/'Output-Calculation-sheet'!I10*'Output-Calculation-sheet'!I109</f>
        <v>1970062082.8634655</v>
      </c>
      <c r="J132" s="2">
        <f>J11/'Output-Calculation-sheet'!J10*'Output-Calculation-sheet'!J109</f>
        <v>1917522293.1190376</v>
      </c>
      <c r="K132" s="2">
        <f>K11/'Output-Calculation-sheet'!K10*'Output-Calculation-sheet'!K109</f>
        <v>1899139626.6934006</v>
      </c>
      <c r="L132" s="2">
        <f>L11/'Output-Calculation-sheet'!L10*'Output-Calculation-sheet'!L109</f>
        <v>1523514619.2721989</v>
      </c>
      <c r="M132" s="2">
        <f>M11/'Output-Calculation-sheet'!M10*'Output-Calculation-sheet'!M109</f>
        <v>1455219079.616622</v>
      </c>
      <c r="N132" s="2">
        <f>N11/'Output-Calculation-sheet'!N10*'Output-Calculation-sheet'!N109</f>
        <v>1428293489.8902476</v>
      </c>
      <c r="O132" s="2">
        <f>O11/'Output-Calculation-sheet'!O10*'Output-Calculation-sheet'!O109</f>
        <v>2939280980.9979172</v>
      </c>
      <c r="P132" s="2">
        <f>P11/'Output-Calculation-sheet'!P10*'Output-Calculation-sheet'!P109</f>
        <v>1300240976.6506615</v>
      </c>
      <c r="Q132" s="2">
        <f>Q11/'Output-Calculation-sheet'!Q10*'Output-Calculation-sheet'!Q109</f>
        <v>1279226928.9507692</v>
      </c>
      <c r="R132" s="2">
        <f>R11/'Output-Calculation-sheet'!R10*'Output-Calculation-sheet'!R109</f>
        <v>1230675050.0924315</v>
      </c>
      <c r="S132" s="2">
        <f>S11/'Output-Calculation-sheet'!S10*'Output-Calculation-sheet'!S109</f>
        <v>817969745.43262982</v>
      </c>
      <c r="T132" s="2">
        <f>T11/'Output-Calculation-sheet'!T10*'Output-Calculation-sheet'!T109</f>
        <v>452385548.2814275</v>
      </c>
      <c r="U132" s="2">
        <f>U11/'Output-Calculation-sheet'!U10*'Output-Calculation-sheet'!U109</f>
        <v>394012370.70537704</v>
      </c>
      <c r="V132" s="2">
        <f>V11/'Output-Calculation-sheet'!V10*'Output-Calculation-sheet'!V109</f>
        <v>303397405.6739884</v>
      </c>
      <c r="W132" s="2">
        <f>W11/'Output-Calculation-sheet'!W10*'Output-Calculation-sheet'!W109</f>
        <v>262674913.78749496</v>
      </c>
      <c r="X132" s="2">
        <f>X11/'Output-Calculation-sheet'!X10*'Output-Calculation-sheet'!X109</f>
        <v>157604942.1153633</v>
      </c>
      <c r="Y132" s="2">
        <f>Y11/'Output-Calculation-sheet'!Y10*'Output-Calculation-sheet'!Y109</f>
        <v>153269260.05890682</v>
      </c>
      <c r="AA132" s="2">
        <f t="shared" si="11"/>
        <v>65037.981063379499</v>
      </c>
    </row>
    <row r="133" spans="1:27" x14ac:dyDescent="0.25">
      <c r="A133" s="2">
        <v>2035</v>
      </c>
      <c r="B133" s="2">
        <f>B12/'Output-Calculation-sheet'!B11*'Output-Calculation-sheet'!B110</f>
        <v>6446430406.6790733</v>
      </c>
      <c r="C133" s="2">
        <f>C12/'Output-Calculation-sheet'!C11*'Output-Calculation-sheet'!C110</f>
        <v>12380267079.485104</v>
      </c>
      <c r="D133" s="2">
        <f>D12/'Output-Calculation-sheet'!D11*'Output-Calculation-sheet'!D110</f>
        <v>3199967412.0873656</v>
      </c>
      <c r="E133" s="2">
        <f>E12/'Output-Calculation-sheet'!E11*'Output-Calculation-sheet'!E110</f>
        <v>1625981726.0149622</v>
      </c>
      <c r="F133" s="2">
        <f>F12/'Output-Calculation-sheet'!F11*'Output-Calculation-sheet'!F110</f>
        <v>1100683204.3533883</v>
      </c>
      <c r="G133" s="2">
        <f>G12/'Output-Calculation-sheet'!G11*'Output-Calculation-sheet'!G110</f>
        <v>1390903432.1270576</v>
      </c>
      <c r="H133" s="2">
        <f>H12/'Output-Calculation-sheet'!H11*'Output-Calculation-sheet'!H110</f>
        <v>1640788250.3369195</v>
      </c>
      <c r="I133" s="2">
        <f>I12/'Output-Calculation-sheet'!I11*'Output-Calculation-sheet'!I110</f>
        <v>768644214.21875775</v>
      </c>
      <c r="J133" s="2">
        <f>J12/'Output-Calculation-sheet'!J11*'Output-Calculation-sheet'!J110</f>
        <v>929991715.12641895</v>
      </c>
      <c r="K133" s="2">
        <f>K12/'Output-Calculation-sheet'!K11*'Output-Calculation-sheet'!K110</f>
        <v>705179799.82436907</v>
      </c>
      <c r="L133" s="2">
        <f>L12/'Output-Calculation-sheet'!L11*'Output-Calculation-sheet'!L110</f>
        <v>453168519.26899725</v>
      </c>
      <c r="M133" s="2">
        <f>M12/'Output-Calculation-sheet'!M11*'Output-Calculation-sheet'!M110</f>
        <v>1020553780.3517302</v>
      </c>
      <c r="N133" s="2">
        <f>N12/'Output-Calculation-sheet'!N11*'Output-Calculation-sheet'!N110</f>
        <v>849138047.35282898</v>
      </c>
      <c r="O133" s="2">
        <f>O12/'Output-Calculation-sheet'!O11*'Output-Calculation-sheet'!O110</f>
        <v>2998871849.1122441</v>
      </c>
      <c r="P133" s="2">
        <f>P12/'Output-Calculation-sheet'!P11*'Output-Calculation-sheet'!P110</f>
        <v>593257964.11894095</v>
      </c>
      <c r="Q133" s="2">
        <f>Q12/'Output-Calculation-sheet'!Q11*'Output-Calculation-sheet'!Q110</f>
        <v>738940181.29915237</v>
      </c>
      <c r="R133" s="2">
        <f>R12/'Output-Calculation-sheet'!R11*'Output-Calculation-sheet'!R110</f>
        <v>465002937.54762667</v>
      </c>
      <c r="S133" s="2">
        <f>S12/'Output-Calculation-sheet'!S11*'Output-Calculation-sheet'!S110</f>
        <v>447092869.29505664</v>
      </c>
      <c r="T133" s="2">
        <f>T12/'Output-Calculation-sheet'!T11*'Output-Calculation-sheet'!T110</f>
        <v>120956911.33590212</v>
      </c>
      <c r="U133" s="2">
        <f>U12/'Output-Calculation-sheet'!U11*'Output-Calculation-sheet'!U110</f>
        <v>196623306.56691957</v>
      </c>
      <c r="V133" s="2">
        <f>V12/'Output-Calculation-sheet'!V11*'Output-Calculation-sheet'!V110</f>
        <v>49617773.95907177</v>
      </c>
      <c r="W133" s="2">
        <f>W12/'Output-Calculation-sheet'!W11*'Output-Calculation-sheet'!W110</f>
        <v>80894085.290712312</v>
      </c>
      <c r="X133" s="2">
        <f>X12/'Output-Calculation-sheet'!X11*'Output-Calculation-sheet'!X110</f>
        <v>141667221.00999546</v>
      </c>
      <c r="Y133" s="2">
        <f>Y12/'Output-Calculation-sheet'!Y11*'Output-Calculation-sheet'!Y110</f>
        <v>74440385.481614605</v>
      </c>
      <c r="AA133" s="2">
        <f t="shared" si="11"/>
        <v>38419.0630722442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1028.8328216835048</v>
      </c>
      <c r="C19" s="2">
        <f>C8/'Output-Calculation-sheet'!C7*'Output-Calculation-sheet'!C25</f>
        <v>15509.813694018774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4616.8555250000145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3207.3967518200257</v>
      </c>
      <c r="N19" s="2">
        <f>N8/'Output-Calculation-sheet'!N7*'Output-Calculation-sheet'!N25</f>
        <v>1098.0945920444008</v>
      </c>
      <c r="O19" s="2">
        <f>O8/'Output-Calculation-sheet'!O7*'Output-Calculation-sheet'!O25</f>
        <v>2999.5303091203473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391.81748515613634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358.36255170163281</v>
      </c>
      <c r="Y19" s="2">
        <f>Y8/'Output-Calculation-sheet'!Y7*'Output-Calculation-sheet'!Y25</f>
        <v>0</v>
      </c>
      <c r="AA19" s="2">
        <f t="shared" si="0"/>
        <v>29.210703730544836</v>
      </c>
    </row>
    <row r="20" spans="1:27" x14ac:dyDescent="0.25">
      <c r="A20" s="2">
        <v>2032</v>
      </c>
      <c r="B20" s="2">
        <f>B9/'Output-Calculation-sheet'!B8*'Output-Calculation-sheet'!B26</f>
        <v>5305.0038161207949</v>
      </c>
      <c r="C20" s="2">
        <f>C9/'Output-Calculation-sheet'!C8*'Output-Calculation-sheet'!C26</f>
        <v>19427.67629352702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5771.6833829085381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4010.6579317220067</v>
      </c>
      <c r="N20" s="2">
        <f>N9/'Output-Calculation-sheet'!N8*'Output-Calculation-sheet'!N26</f>
        <v>1805.7789777568144</v>
      </c>
      <c r="O20" s="2">
        <f>O9/'Output-Calculation-sheet'!O8*'Output-Calculation-sheet'!O26</f>
        <v>3785.3980605108122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657.73897925605729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448.63390549625552</v>
      </c>
      <c r="Y20" s="2">
        <f>Y9/'Output-Calculation-sheet'!Y8*'Output-Calculation-sheet'!Y26</f>
        <v>0</v>
      </c>
      <c r="AA20" s="2">
        <f t="shared" si="0"/>
        <v>41.212571347298315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24851.859778145463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6362.6137976980062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4419.363630899923</v>
      </c>
      <c r="N21" s="2">
        <f>N10/'Output-Calculation-sheet'!N9*'Output-Calculation-sheet'!N27</f>
        <v>2418.0944999887911</v>
      </c>
      <c r="O21" s="2">
        <f>O10/'Output-Calculation-sheet'!O9*'Output-Calculation-sheet'!O27</f>
        <v>4222.0260515312639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1052.3218960213658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519.65586167628589</v>
      </c>
      <c r="Y21" s="2">
        <f>Y10/'Output-Calculation-sheet'!Y9*'Output-Calculation-sheet'!Y27</f>
        <v>0</v>
      </c>
      <c r="AA21" s="2">
        <f t="shared" si="0"/>
        <v>55.016132376703709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21434.990516234258</v>
      </c>
      <c r="D22" s="2">
        <f>D11/'Output-Calculation-sheet'!D10*'Output-Calculation-sheet'!D28</f>
        <v>0</v>
      </c>
      <c r="E22" s="2">
        <f>E11/'Output-Calculation-sheet'!E10*'Output-Calculation-sheet'!E28</f>
        <v>909.34742545267136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7068.5046681168042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536.32552781867196</v>
      </c>
      <c r="M22" s="2">
        <f>M11/'Output-Calculation-sheet'!M10*'Output-Calculation-sheet'!M28</f>
        <v>4871.951786349302</v>
      </c>
      <c r="N22" s="2">
        <f>N11/'Output-Calculation-sheet'!N10*'Output-Calculation-sheet'!N28</f>
        <v>2803.8353913918486</v>
      </c>
      <c r="O22" s="2">
        <f>O11/'Output-Calculation-sheet'!O10*'Output-Calculation-sheet'!O28</f>
        <v>3774.7206204767704</v>
      </c>
      <c r="P22" s="2">
        <f>P11/'Output-Calculation-sheet'!P10*'Output-Calculation-sheet'!P28</f>
        <v>0</v>
      </c>
      <c r="Q22" s="2">
        <f>Q11/'Output-Calculation-sheet'!Q10*'Output-Calculation-sheet'!Q28</f>
        <v>1051.5853100173786</v>
      </c>
      <c r="R22" s="2">
        <f>R11/'Output-Calculation-sheet'!R10*'Output-Calculation-sheet'!R28</f>
        <v>0</v>
      </c>
      <c r="S22" s="2">
        <f>S11/'Output-Calculation-sheet'!S10*'Output-Calculation-sheet'!S28</f>
        <v>1421.9429161330595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499.03841066971239</v>
      </c>
      <c r="Y22" s="2">
        <f>Y11/'Output-Calculation-sheet'!Y10*'Output-Calculation-sheet'!Y28</f>
        <v>48.96339480460199</v>
      </c>
      <c r="AA22" s="2">
        <f t="shared" si="0"/>
        <v>62.022700526041838</v>
      </c>
    </row>
    <row r="23" spans="1:27" x14ac:dyDescent="0.25">
      <c r="A23" s="2">
        <v>2035</v>
      </c>
      <c r="B23" s="2">
        <f>B12/'Output-Calculation-sheet'!B11*'Output-Calculation-sheet'!B29</f>
        <v>18690.204473099759</v>
      </c>
      <c r="C23" s="2">
        <f>C12/'Output-Calculation-sheet'!C11*'Output-Calculation-sheet'!C29</f>
        <v>17427.60514314445</v>
      </c>
      <c r="D23" s="2">
        <f>D12/'Output-Calculation-sheet'!D11*'Output-Calculation-sheet'!D29</f>
        <v>0</v>
      </c>
      <c r="E23" s="2">
        <f>E12/'Output-Calculation-sheet'!E11*'Output-Calculation-sheet'!E29</f>
        <v>3433.1670877454994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5997.9828847189601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995.43170156575718</v>
      </c>
      <c r="M23" s="2">
        <f>M12/'Output-Calculation-sheet'!M11*'Output-Calculation-sheet'!M29</f>
        <v>4263.2066926854568</v>
      </c>
      <c r="N23" s="2">
        <f>N12/'Output-Calculation-sheet'!N11*'Output-Calculation-sheet'!N29</f>
        <v>2476.0230080786637</v>
      </c>
      <c r="O23" s="2">
        <f>O12/'Output-Calculation-sheet'!O11*'Output-Calculation-sheet'!O29</f>
        <v>2881.1980107851541</v>
      </c>
      <c r="P23" s="2">
        <f>P12/'Output-Calculation-sheet'!P11*'Output-Calculation-sheet'!P29</f>
        <v>398.26394589655462</v>
      </c>
      <c r="Q23" s="2">
        <f>Q12/'Output-Calculation-sheet'!Q11*'Output-Calculation-sheet'!Q29</f>
        <v>1267.8187884607623</v>
      </c>
      <c r="R23" s="2">
        <f>R12/'Output-Calculation-sheet'!R11*'Output-Calculation-sheet'!R29</f>
        <v>0</v>
      </c>
      <c r="S23" s="2">
        <f>S12/'Output-Calculation-sheet'!S11*'Output-Calculation-sheet'!S29</f>
        <v>1369.3381620908967</v>
      </c>
      <c r="T23" s="2">
        <f>T12/'Output-Calculation-sheet'!T11*'Output-Calculation-sheet'!T29</f>
        <v>0</v>
      </c>
      <c r="U23" s="2">
        <f>U12/'Output-Calculation-sheet'!U11*'Output-Calculation-sheet'!U29</f>
        <v>147.76542877878308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407.31817139546087</v>
      </c>
      <c r="Y23" s="2">
        <f>Y12/'Output-Calculation-sheet'!Y11*'Output-Calculation-sheet'!Y29</f>
        <v>125.67894058278483</v>
      </c>
      <c r="AA23" s="2">
        <f t="shared" si="0"/>
        <v>59.881002439028947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17932.221869349964</v>
      </c>
      <c r="C30" s="2">
        <f>C8/'Output-Calculation-sheet'!C7*'Output-Calculation-sheet'!C16</f>
        <v>0</v>
      </c>
      <c r="D30" s="2">
        <f>D8/'Output-Calculation-sheet'!D7*'Output-Calculation-sheet'!D16</f>
        <v>3019.5491050109345</v>
      </c>
      <c r="E30" s="2">
        <f>E8/'Output-Calculation-sheet'!E7*'Output-Calculation-sheet'!E16</f>
        <v>3248.8642389352494</v>
      </c>
      <c r="F30" s="2">
        <f>F8/'Output-Calculation-sheet'!F7*'Output-Calculation-sheet'!F16</f>
        <v>1639.0692966337356</v>
      </c>
      <c r="G30" s="2">
        <f>G8/'Output-Calculation-sheet'!G7*'Output-Calculation-sheet'!G16</f>
        <v>1073.3957143868743</v>
      </c>
      <c r="H30" s="2">
        <f>H8/'Output-Calculation-sheet'!H7*'Output-Calculation-sheet'!H16</f>
        <v>0</v>
      </c>
      <c r="I30" s="2">
        <f>I8/'Output-Calculation-sheet'!I7*'Output-Calculation-sheet'!I16</f>
        <v>1046.4001005822333</v>
      </c>
      <c r="J30" s="2">
        <f>J8/'Output-Calculation-sheet'!J7*'Output-Calculation-sheet'!J16</f>
        <v>931.4972953161722</v>
      </c>
      <c r="K30" s="2">
        <f>K8/'Output-Calculation-sheet'!K7*'Output-Calculation-sheet'!K16</f>
        <v>1243.7269354615728</v>
      </c>
      <c r="L30" s="2">
        <f>L8/'Output-Calculation-sheet'!L7*'Output-Calculation-sheet'!L16</f>
        <v>1050.5449086143713</v>
      </c>
      <c r="M30" s="2">
        <f>M8/'Output-Calculation-sheet'!M7*'Output-Calculation-sheet'!M16</f>
        <v>0</v>
      </c>
      <c r="N30" s="2">
        <f>N8/'Output-Calculation-sheet'!N7*'Output-Calculation-sheet'!N16</f>
        <v>1492.2105355681149</v>
      </c>
      <c r="O30" s="2">
        <f>O8/'Output-Calculation-sheet'!O7*'Output-Calculation-sheet'!O16</f>
        <v>0</v>
      </c>
      <c r="P30" s="2">
        <f>P8/'Output-Calculation-sheet'!P7*'Output-Calculation-sheet'!P16</f>
        <v>1341.1498660308457</v>
      </c>
      <c r="Q30" s="2">
        <f>Q8/'Output-Calculation-sheet'!Q7*'Output-Calculation-sheet'!Q16</f>
        <v>1474.8219247006186</v>
      </c>
      <c r="R30" s="2">
        <f>R8/'Output-Calculation-sheet'!R7*'Output-Calculation-sheet'!R16</f>
        <v>935.78092136516455</v>
      </c>
      <c r="S30" s="2">
        <f>S8/'Output-Calculation-sheet'!S7*'Output-Calculation-sheet'!S16</f>
        <v>941.1212054015366</v>
      </c>
      <c r="T30" s="2">
        <f>T8/'Output-Calculation-sheet'!T7*'Output-Calculation-sheet'!T16</f>
        <v>280.90798145362169</v>
      </c>
      <c r="U30" s="2">
        <f>U8/'Output-Calculation-sheet'!U7*'Output-Calculation-sheet'!U16</f>
        <v>280.40586555995532</v>
      </c>
      <c r="V30" s="2">
        <f>V8/'Output-Calculation-sheet'!V7*'Output-Calculation-sheet'!V16</f>
        <v>218.23455507826759</v>
      </c>
      <c r="W30" s="2">
        <f>W8/'Output-Calculation-sheet'!W7*'Output-Calculation-sheet'!W16</f>
        <v>132.37025941231224</v>
      </c>
      <c r="X30" s="2">
        <f>X8/'Output-Calculation-sheet'!X7*'Output-Calculation-sheet'!X16</f>
        <v>0</v>
      </c>
      <c r="Y30" s="2">
        <f>Y8/'Output-Calculation-sheet'!Y7*'Output-Calculation-sheet'!Y16</f>
        <v>112.03637576889959</v>
      </c>
      <c r="AA30" s="2">
        <f t="shared" si="1"/>
        <v>38.394308954630446</v>
      </c>
    </row>
    <row r="31" spans="1:27" x14ac:dyDescent="0.25">
      <c r="A31" s="2">
        <v>2032</v>
      </c>
      <c r="B31" s="2">
        <f>B9/'Output-Calculation-sheet'!B8*'Output-Calculation-sheet'!B17</f>
        <v>22463.138864358662</v>
      </c>
      <c r="C31" s="2">
        <f>C9/'Output-Calculation-sheet'!C8*'Output-Calculation-sheet'!C17</f>
        <v>0</v>
      </c>
      <c r="D31" s="2">
        <f>D9/'Output-Calculation-sheet'!D8*'Output-Calculation-sheet'!D17</f>
        <v>3767.3633204686225</v>
      </c>
      <c r="E31" s="2">
        <f>E9/'Output-Calculation-sheet'!E8*'Output-Calculation-sheet'!E17</f>
        <v>4428.020855092499</v>
      </c>
      <c r="F31" s="2">
        <f>F9/'Output-Calculation-sheet'!F8*'Output-Calculation-sheet'!F17</f>
        <v>2045.047038747422</v>
      </c>
      <c r="G31" s="2">
        <f>G9/'Output-Calculation-sheet'!G8*'Output-Calculation-sheet'!G17</f>
        <v>1339.2505089036499</v>
      </c>
      <c r="H31" s="2">
        <f>H9/'Output-Calculation-sheet'!H8*'Output-Calculation-sheet'!H17</f>
        <v>0</v>
      </c>
      <c r="I31" s="2">
        <f>I9/'Output-Calculation-sheet'!I8*'Output-Calculation-sheet'!I17</f>
        <v>1305.5748336689855</v>
      </c>
      <c r="J31" s="2">
        <f>J9/'Output-Calculation-sheet'!J8*'Output-Calculation-sheet'!J17</f>
        <v>1162.2132512068101</v>
      </c>
      <c r="K31" s="2">
        <f>K9/'Output-Calculation-sheet'!K8*'Output-Calculation-sheet'!K17</f>
        <v>1654.6830853086519</v>
      </c>
      <c r="L31" s="2">
        <f>L9/'Output-Calculation-sheet'!L8*'Output-Calculation-sheet'!L17</f>
        <v>1411.1537858364495</v>
      </c>
      <c r="M31" s="2">
        <f>M9/'Output-Calculation-sheet'!M8*'Output-Calculation-sheet'!M17</f>
        <v>0</v>
      </c>
      <c r="N31" s="2">
        <f>N9/'Output-Calculation-sheet'!N8*'Output-Calculation-sheet'!N17</f>
        <v>1539.6808728264434</v>
      </c>
      <c r="O31" s="2">
        <f>O9/'Output-Calculation-sheet'!O8*'Output-Calculation-sheet'!O17</f>
        <v>0</v>
      </c>
      <c r="P31" s="2">
        <f>P9/'Output-Calculation-sheet'!P8*'Output-Calculation-sheet'!P17</f>
        <v>1904.0171033598226</v>
      </c>
      <c r="Q31" s="2">
        <f>Q9/'Output-Calculation-sheet'!Q8*'Output-Calculation-sheet'!Q17</f>
        <v>2029.8571674649334</v>
      </c>
      <c r="R31" s="2">
        <f>R9/'Output-Calculation-sheet'!R8*'Output-Calculation-sheet'!R17</f>
        <v>1328.0398356631104</v>
      </c>
      <c r="S31" s="2">
        <f>S9/'Output-Calculation-sheet'!S8*'Output-Calculation-sheet'!S17</f>
        <v>1142.7193430755276</v>
      </c>
      <c r="T31" s="2">
        <f>T9/'Output-Calculation-sheet'!T8*'Output-Calculation-sheet'!T17</f>
        <v>360.37331216322974</v>
      </c>
      <c r="U31" s="2">
        <f>U9/'Output-Calculation-sheet'!U8*'Output-Calculation-sheet'!U17</f>
        <v>414.18382325026244</v>
      </c>
      <c r="V31" s="2">
        <f>V9/'Output-Calculation-sheet'!V8*'Output-Calculation-sheet'!V17</f>
        <v>296.66022002101334</v>
      </c>
      <c r="W31" s="2">
        <f>W9/'Output-Calculation-sheet'!W8*'Output-Calculation-sheet'!W17</f>
        <v>165.15774396921938</v>
      </c>
      <c r="X31" s="2">
        <f>X9/'Output-Calculation-sheet'!X8*'Output-Calculation-sheet'!X17</f>
        <v>0</v>
      </c>
      <c r="Y31" s="2">
        <f>Y9/'Output-Calculation-sheet'!Y8*'Output-Calculation-sheet'!Y17</f>
        <v>159.57816252151929</v>
      </c>
      <c r="AA31" s="2">
        <f t="shared" si="1"/>
        <v>48.916713127906839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1359.7393858049181</v>
      </c>
      <c r="O32" s="2">
        <f>O10/'Output-Calculation-sheet'!O9*'Output-Calculation-sheet'!O18</f>
        <v>0</v>
      </c>
      <c r="P32" s="2">
        <f>P10/'Output-Calculation-sheet'!P9*'Output-Calculation-sheet'!P18</f>
        <v>2189.3296204726698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1572.0841003701062</v>
      </c>
      <c r="S32" s="2">
        <f>S10/'Output-Calculation-sheet'!S9*'Output-Calculation-sheet'!S18</f>
        <v>1028.8874673591445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507.53014045686541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53.623259075514014</v>
      </c>
    </row>
    <row r="33" spans="1:27" x14ac:dyDescent="0.25">
      <c r="A33" s="2">
        <v>2034</v>
      </c>
      <c r="B33" s="2">
        <f>B11/'Output-Calculation-sheet'!B10*'Output-Calculation-sheet'!B19</f>
        <v>17753.623220315309</v>
      </c>
      <c r="C33" s="2">
        <f>C11/'Output-Calculation-sheet'!C10*'Output-Calculation-sheet'!C19</f>
        <v>0</v>
      </c>
      <c r="D33" s="2">
        <f>D11/'Output-Calculation-sheet'!D10*'Output-Calculation-sheet'!D19</f>
        <v>5295.4432262751188</v>
      </c>
      <c r="E33" s="2">
        <f>E11/'Output-Calculation-sheet'!E10*'Output-Calculation-sheet'!E19</f>
        <v>6561.1443037447107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1802.6590400771204</v>
      </c>
      <c r="H33" s="2">
        <f>H11/'Output-Calculation-sheet'!H10*'Output-Calculation-sheet'!H19</f>
        <v>0</v>
      </c>
      <c r="I33" s="2">
        <f>I11/'Output-Calculation-sheet'!I10*'Output-Calculation-sheet'!I19</f>
        <v>1966.9497872952884</v>
      </c>
      <c r="J33" s="2">
        <f>J11/'Output-Calculation-sheet'!J10*'Output-Calculation-sheet'!J19</f>
        <v>1662.9616926793544</v>
      </c>
      <c r="K33" s="2">
        <f>K11/'Output-Calculation-sheet'!K10*'Output-Calculation-sheet'!K19</f>
        <v>2307.8840236593351</v>
      </c>
      <c r="L33" s="2">
        <f>L11/'Output-Calculation-sheet'!L10*'Output-Calculation-sheet'!L19</f>
        <v>1877.7726751430253</v>
      </c>
      <c r="M33" s="2">
        <f>M11/'Output-Calculation-sheet'!M10*'Output-Calculation-sheet'!M19</f>
        <v>0</v>
      </c>
      <c r="N33" s="2">
        <f>N11/'Output-Calculation-sheet'!N10*'Output-Calculation-sheet'!N19</f>
        <v>1061.2705709106674</v>
      </c>
      <c r="O33" s="2">
        <f>O11/'Output-Calculation-sheet'!O10*'Output-Calculation-sheet'!O19</f>
        <v>0</v>
      </c>
      <c r="P33" s="2">
        <f>P11/'Output-Calculation-sheet'!P10*'Output-Calculation-sheet'!P19</f>
        <v>2335.1715178799145</v>
      </c>
      <c r="Q33" s="2">
        <f>Q11/'Output-Calculation-sheet'!Q10*'Output-Calculation-sheet'!Q19</f>
        <v>1869.7442513087922</v>
      </c>
      <c r="R33" s="2">
        <f>R11/'Output-Calculation-sheet'!R10*'Output-Calculation-sheet'!R19</f>
        <v>1667.2509705121226</v>
      </c>
      <c r="S33" s="2">
        <f>S11/'Output-Calculation-sheet'!S10*'Output-Calculation-sheet'!S19</f>
        <v>779.26289861008377</v>
      </c>
      <c r="T33" s="2">
        <f>T11/'Output-Calculation-sheet'!T10*'Output-Calculation-sheet'!T19</f>
        <v>489.20028971394964</v>
      </c>
      <c r="U33" s="2">
        <f>U11/'Output-Calculation-sheet'!U10*'Output-Calculation-sheet'!U19</f>
        <v>562.58969464816153</v>
      </c>
      <c r="V33" s="2">
        <f>V11/'Output-Calculation-sheet'!V10*'Output-Calculation-sheet'!V19</f>
        <v>383.66110293985901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94.35324657694099</v>
      </c>
      <c r="Y33" s="2">
        <f>Y11/'Output-Calculation-sheet'!Y10*'Output-Calculation-sheet'!Y19</f>
        <v>215.30497315011476</v>
      </c>
      <c r="AA33" s="2">
        <f t="shared" si="1"/>
        <v>51.935324004855097</v>
      </c>
    </row>
    <row r="34" spans="1:27" x14ac:dyDescent="0.25">
      <c r="A34" s="2">
        <v>2035</v>
      </c>
      <c r="B34" s="2">
        <f>B12/'Output-Calculation-sheet'!B11*'Output-Calculation-sheet'!B20</f>
        <v>12971.758709233789</v>
      </c>
      <c r="C34" s="2">
        <f>C12/'Output-Calculation-sheet'!C11*'Output-Calculation-sheet'!C20</f>
        <v>0</v>
      </c>
      <c r="D34" s="2">
        <f>D12/'Output-Calculation-sheet'!D11*'Output-Calculation-sheet'!D20</f>
        <v>4807.0065257310871</v>
      </c>
      <c r="E34" s="2">
        <f>E12/'Output-Calculation-sheet'!E11*'Output-Calculation-sheet'!E20</f>
        <v>4334.7648096791172</v>
      </c>
      <c r="F34" s="2">
        <f>F12/'Output-Calculation-sheet'!F11*'Output-Calculation-sheet'!F20</f>
        <v>3073.2431438738022</v>
      </c>
      <c r="G34" s="2">
        <f>G12/'Output-Calculation-sheet'!G11*'Output-Calculation-sheet'!G20</f>
        <v>1529.2080239549286</v>
      </c>
      <c r="H34" s="2">
        <f>H12/'Output-Calculation-sheet'!H11*'Output-Calculation-sheet'!H20</f>
        <v>0</v>
      </c>
      <c r="I34" s="2">
        <f>I12/'Output-Calculation-sheet'!I11*'Output-Calculation-sheet'!I20</f>
        <v>1878.8891334569594</v>
      </c>
      <c r="J34" s="2">
        <f>J12/'Output-Calculation-sheet'!J11*'Output-Calculation-sheet'!J20</f>
        <v>1565.2537700002588</v>
      </c>
      <c r="K34" s="2">
        <f>K12/'Output-Calculation-sheet'!K11*'Output-Calculation-sheet'!K20</f>
        <v>2202.8807744517985</v>
      </c>
      <c r="L34" s="2">
        <f>L12/'Output-Calculation-sheet'!L11*'Output-Calculation-sheet'!L20</f>
        <v>1498.8319535098115</v>
      </c>
      <c r="M34" s="2">
        <f>M12/'Output-Calculation-sheet'!M11*'Output-Calculation-sheet'!M20</f>
        <v>0</v>
      </c>
      <c r="N34" s="2">
        <f>N12/'Output-Calculation-sheet'!N11*'Output-Calculation-sheet'!N20</f>
        <v>857.88509937422612</v>
      </c>
      <c r="O34" s="2">
        <f>O12/'Output-Calculation-sheet'!O11*'Output-Calculation-sheet'!O20</f>
        <v>0</v>
      </c>
      <c r="P34" s="2">
        <f>P12/'Output-Calculation-sheet'!P11*'Output-Calculation-sheet'!P20</f>
        <v>1822.2542468870545</v>
      </c>
      <c r="Q34" s="2">
        <f>Q12/'Output-Calculation-sheet'!Q11*'Output-Calculation-sheet'!Q20</f>
        <v>1299.1583350424644</v>
      </c>
      <c r="R34" s="2">
        <f>R12/'Output-Calculation-sheet'!R11*'Output-Calculation-sheet'!R20</f>
        <v>1580.9888461855298</v>
      </c>
      <c r="S34" s="2">
        <f>S12/'Output-Calculation-sheet'!S11*'Output-Calculation-sheet'!S20</f>
        <v>566.11786202366795</v>
      </c>
      <c r="T34" s="2">
        <f>T12/'Output-Calculation-sheet'!T11*'Output-Calculation-sheet'!T20</f>
        <v>457.62796894441237</v>
      </c>
      <c r="U34" s="2">
        <f>U12/'Output-Calculation-sheet'!U11*'Output-Calculation-sheet'!U20</f>
        <v>419.00367788853254</v>
      </c>
      <c r="V34" s="2">
        <f>V12/'Output-Calculation-sheet'!V11*'Output-Calculation-sheet'!V20</f>
        <v>413.62463894701591</v>
      </c>
      <c r="W34" s="2">
        <f>W12/'Output-Calculation-sheet'!W11*'Output-Calculation-sheet'!W20</f>
        <v>244.32121719956655</v>
      </c>
      <c r="X34" s="2">
        <f>X12/'Output-Calculation-sheet'!X11*'Output-Calculation-sheet'!X20</f>
        <v>70.647771835181956</v>
      </c>
      <c r="Y34" s="2">
        <f>Y12/'Output-Calculation-sheet'!Y11*'Output-Calculation-sheet'!Y20</f>
        <v>131.74694499524259</v>
      </c>
      <c r="AA34" s="2">
        <f t="shared" si="1"/>
        <v>41.725213453214444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0.17368448454252849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0.17368448454252849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0.75170929392369834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0.14603689311702545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0.89774618704072373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1.1444493969236298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0.22233572952650621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5.479671595998723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30010.088026815476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6545.8110097302942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4467.8346599531505</v>
      </c>
      <c r="N52" s="2">
        <f>N8/'Output-Calculation-sheet'!N7*'Output-Calculation-sheet'!N43</f>
        <v>142.80209919786734</v>
      </c>
      <c r="O52" s="2">
        <f>O8/'Output-Calculation-sheet'!O7*'Output-Calculation-sheet'!O43</f>
        <v>6080.0164537620185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577.79844767976647</v>
      </c>
      <c r="Y52" s="2">
        <f>Y8/'Output-Calculation-sheet'!Y7*'Output-Calculation-sheet'!Y43</f>
        <v>0</v>
      </c>
      <c r="AA52" s="2">
        <f t="shared" si="3"/>
        <v>47.82435069713857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49381.808183915076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11539.256893498843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7903.8815861163494</v>
      </c>
      <c r="N53" s="2">
        <f>N9/'Output-Calculation-sheet'!N8*'Output-Calculation-sheet'!N44</f>
        <v>2797.2817190537817</v>
      </c>
      <c r="O53" s="2">
        <f>O9/'Output-Calculation-sheet'!O8*'Output-Calculation-sheet'!O44</f>
        <v>9793.0762268399067</v>
      </c>
      <c r="P53" s="2">
        <f>P9/'Output-Calculation-sheet'!P8*'Output-Calculation-sheet'!P44</f>
        <v>131.67817999151586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878.34708409970381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988.38628771377842</v>
      </c>
      <c r="Y53" s="2">
        <f>Y9/'Output-Calculation-sheet'!Y8*'Output-Calculation-sheet'!Y44</f>
        <v>0</v>
      </c>
      <c r="AA53" s="2">
        <f t="shared" si="3"/>
        <v>83.413716161228947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55209.799093751579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10085.888488346829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378.80833115643168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125.84312378637807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47344.49763484345</v>
      </c>
      <c r="D55" s="2">
        <f>D11/'Output-Calculation-sheet'!D10*'Output-Calculation-sheet'!D46</f>
        <v>4672.8965794746136</v>
      </c>
      <c r="E55" s="2">
        <f>E11/'Output-Calculation-sheet'!E10*'Output-Calculation-sheet'!E46</f>
        <v>5709.823540286824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15568.722896582429</v>
      </c>
      <c r="I55" s="2">
        <f>I11/'Output-Calculation-sheet'!I10*'Output-Calculation-sheet'!I46</f>
        <v>1130.7775107093871</v>
      </c>
      <c r="J55" s="2">
        <f>J11/'Output-Calculation-sheet'!J10*'Output-Calculation-sheet'!J46</f>
        <v>820.67222016724713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10670.903386525426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8749.4033332393319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3199.2690684824115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3997.4709680388833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920.98855233831569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1113.9318641328391</v>
      </c>
      <c r="Y55" s="2">
        <f>Y11/'Output-Calculation-sheet'!Y10*'Output-Calculation-sheet'!Y46</f>
        <v>282.41856639726342</v>
      </c>
      <c r="AA55" s="2">
        <f t="shared" si="3"/>
        <v>174.51358479231732</v>
      </c>
    </row>
    <row r="56" spans="1:27" x14ac:dyDescent="0.25">
      <c r="A56" s="2">
        <v>2035</v>
      </c>
      <c r="B56" s="2">
        <f>B12/'Output-Calculation-sheet'!B11*'Output-Calculation-sheet'!B47</f>
        <v>58272.708399884374</v>
      </c>
      <c r="C56" s="2">
        <f>C12/'Output-Calculation-sheet'!C11*'Output-Calculation-sheet'!C47</f>
        <v>36592.263612163428</v>
      </c>
      <c r="D56" s="2">
        <f>D12/'Output-Calculation-sheet'!D11*'Output-Calculation-sheet'!D47</f>
        <v>10137.893125148581</v>
      </c>
      <c r="E56" s="2">
        <f>E12/'Output-Calculation-sheet'!E11*'Output-Calculation-sheet'!E47</f>
        <v>15018.383311977244</v>
      </c>
      <c r="F56" s="2">
        <f>F12/'Output-Calculation-sheet'!F11*'Output-Calculation-sheet'!F47</f>
        <v>2178.0288407552257</v>
      </c>
      <c r="G56" s="2">
        <f>G12/'Output-Calculation-sheet'!G11*'Output-Calculation-sheet'!G47</f>
        <v>3509.0772717040695</v>
      </c>
      <c r="H56" s="2">
        <f>H12/'Output-Calculation-sheet'!H11*'Output-Calculation-sheet'!H47</f>
        <v>12361.304112482336</v>
      </c>
      <c r="I56" s="2">
        <f>I12/'Output-Calculation-sheet'!I11*'Output-Calculation-sheet'!I47</f>
        <v>3443.13327145725</v>
      </c>
      <c r="J56" s="2">
        <f>J12/'Output-Calculation-sheet'!J11*'Output-Calculation-sheet'!J47</f>
        <v>2754.4536286208668</v>
      </c>
      <c r="K56" s="2">
        <f>K12/'Output-Calculation-sheet'!K11*'Output-Calculation-sheet'!K47</f>
        <v>3694.2633483093596</v>
      </c>
      <c r="L56" s="2">
        <f>L12/'Output-Calculation-sheet'!L11*'Output-Calculation-sheet'!L47</f>
        <v>3094.4669043087601</v>
      </c>
      <c r="M56" s="2">
        <f>M12/'Output-Calculation-sheet'!M11*'Output-Calculation-sheet'!M47</f>
        <v>8558.9480200807848</v>
      </c>
      <c r="N56" s="2">
        <f>N12/'Output-Calculation-sheet'!N11*'Output-Calculation-sheet'!N47</f>
        <v>7168.5487498869497</v>
      </c>
      <c r="O56" s="2">
        <f>O12/'Output-Calculation-sheet'!O11*'Output-Calculation-sheet'!O47</f>
        <v>6699.326587048673</v>
      </c>
      <c r="P56" s="2">
        <f>P12/'Output-Calculation-sheet'!P11*'Output-Calculation-sheet'!P47</f>
        <v>3832.5242157540215</v>
      </c>
      <c r="Q56" s="2">
        <f>Q12/'Output-Calculation-sheet'!Q11*'Output-Calculation-sheet'!Q47</f>
        <v>3872.8098755652827</v>
      </c>
      <c r="R56" s="2">
        <f>R12/'Output-Calculation-sheet'!R11*'Output-Calculation-sheet'!R47</f>
        <v>3023.4613949495856</v>
      </c>
      <c r="S56" s="2">
        <f>S12/'Output-Calculation-sheet'!S11*'Output-Calculation-sheet'!S47</f>
        <v>3785.7799212654818</v>
      </c>
      <c r="T56" s="2">
        <f>T12/'Output-Calculation-sheet'!T11*'Output-Calculation-sheet'!T47</f>
        <v>1142.0880636623228</v>
      </c>
      <c r="U56" s="2">
        <f>U12/'Output-Calculation-sheet'!U11*'Output-Calculation-sheet'!U47</f>
        <v>1191.8451475119305</v>
      </c>
      <c r="V56" s="2">
        <f>V12/'Output-Calculation-sheet'!V11*'Output-Calculation-sheet'!V47</f>
        <v>619.43797390624241</v>
      </c>
      <c r="W56" s="2">
        <f>W12/'Output-Calculation-sheet'!W11*'Output-Calculation-sheet'!W47</f>
        <v>331.58450694091789</v>
      </c>
      <c r="X56" s="2">
        <f>X12/'Output-Calculation-sheet'!X11*'Output-Calculation-sheet'!X47</f>
        <v>860.79008773921555</v>
      </c>
      <c r="Y56" s="2">
        <f>Y12/'Output-Calculation-sheet'!Y11*'Output-Calculation-sheet'!Y47</f>
        <v>480.62286850666885</v>
      </c>
      <c r="AA56" s="2">
        <f t="shared" si="3"/>
        <v>192.62374323962956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6.983776939554506</v>
      </c>
      <c r="C63" s="2">
        <f>C8*'Output-Calculation-sheet'!C52/10^9</f>
        <v>4.4042499161224438</v>
      </c>
      <c r="D63" s="2">
        <f>D8*'Output-Calculation-sheet'!D52/10^9</f>
        <v>2.3948705663268446</v>
      </c>
      <c r="E63" s="2">
        <f>E8*'Output-Calculation-sheet'!E52/10^9</f>
        <v>2.381155706760091</v>
      </c>
      <c r="F63" s="2">
        <f>F8*'Output-Calculation-sheet'!F52/10^9</f>
        <v>1.0084200478652308</v>
      </c>
      <c r="G63" s="2">
        <f>G8*'Output-Calculation-sheet'!G52/10^9</f>
        <v>0.72500757816340378</v>
      </c>
      <c r="H63" s="2">
        <f>H8*'Output-Calculation-sheet'!H52/10^9</f>
        <v>1.266405408502687</v>
      </c>
      <c r="I63" s="2">
        <f>I8*'Output-Calculation-sheet'!I52/10^9</f>
        <v>0.67442545924040509</v>
      </c>
      <c r="J63" s="2">
        <f>J8*'Output-Calculation-sheet'!J52/10^9</f>
        <v>0.92805605219698195</v>
      </c>
      <c r="K63" s="2">
        <f>K8*'Output-Calculation-sheet'!K52/10^9</f>
        <v>0.81537767404503558</v>
      </c>
      <c r="L63" s="2">
        <f>L8*'Output-Calculation-sheet'!L52/10^9</f>
        <v>1.0967206577861401</v>
      </c>
      <c r="M63" s="2">
        <f>M8*'Output-Calculation-sheet'!M52/10^9</f>
        <v>1.027925576933616</v>
      </c>
      <c r="N63" s="2">
        <f>N8*'Output-Calculation-sheet'!N52/10^9</f>
        <v>0.8579050350736912</v>
      </c>
      <c r="O63" s="2">
        <f>O8*'Output-Calculation-sheet'!O52/10^9</f>
        <v>0.91483308451325407</v>
      </c>
      <c r="P63" s="2">
        <f>P8*'Output-Calculation-sheet'!P52/10^9</f>
        <v>0.56340501313449864</v>
      </c>
      <c r="Q63" s="2">
        <f>Q8*'Output-Calculation-sheet'!Q52/10^9</f>
        <v>0.63760589394663569</v>
      </c>
      <c r="R63" s="2">
        <f>R8*'Output-Calculation-sheet'!R52/10^9</f>
        <v>0.57244416841114854</v>
      </c>
      <c r="S63" s="2">
        <f>S8*'Output-Calculation-sheet'!S52/10^9</f>
        <v>0.4242039367610857</v>
      </c>
      <c r="T63" s="2">
        <f>T8*'Output-Calculation-sheet'!T52/10^9</f>
        <v>0.2176359838127632</v>
      </c>
      <c r="U63" s="2">
        <f>U8*'Output-Calculation-sheet'!U52/10^9</f>
        <v>0.14946997379761598</v>
      </c>
      <c r="V63" s="2">
        <f>V8*'Output-Calculation-sheet'!V52/10^9</f>
        <v>0.26527408399515107</v>
      </c>
      <c r="W63" s="2">
        <f>W8*'Output-Calculation-sheet'!W52/10^9</f>
        <v>9.6016975714998856E-2</v>
      </c>
      <c r="X63" s="2">
        <f>X8*'Output-Calculation-sheet'!X52/10^9</f>
        <v>0.11051332390483853</v>
      </c>
      <c r="Y63" s="2">
        <f>Y8*'Output-Calculation-sheet'!Y52/10^9</f>
        <v>6.264834518230572E-2</v>
      </c>
      <c r="AA63" s="2">
        <f t="shared" si="4"/>
        <v>28.578347401745376</v>
      </c>
    </row>
    <row r="64" spans="1:27" x14ac:dyDescent="0.25">
      <c r="A64" s="2">
        <v>2032</v>
      </c>
      <c r="B64" s="2">
        <f>B9*'Output-Calculation-sheet'!B53/10^9</f>
        <v>6.6514792060530334</v>
      </c>
      <c r="C64" s="2">
        <f>C9*'Output-Calculation-sheet'!C53/10^9</f>
        <v>4.4906443039000346</v>
      </c>
      <c r="D64" s="2">
        <f>D9*'Output-Calculation-sheet'!D53/10^9</f>
        <v>1.9684372569050952</v>
      </c>
      <c r="E64" s="2">
        <f>E9*'Output-Calculation-sheet'!E53/10^9</f>
        <v>2.0157757221189958</v>
      </c>
      <c r="F64" s="2">
        <f>F9*'Output-Calculation-sheet'!F53/10^9</f>
        <v>0.85024227344933168</v>
      </c>
      <c r="G64" s="2">
        <f>G9*'Output-Calculation-sheet'!G53/10^9</f>
        <v>0.60517579752781792</v>
      </c>
      <c r="H64" s="2">
        <f>H9*'Output-Calculation-sheet'!H53/10^9</f>
        <v>1.2435484289215095</v>
      </c>
      <c r="I64" s="2">
        <f>I9*'Output-Calculation-sheet'!I53/10^9</f>
        <v>0.5657405570389854</v>
      </c>
      <c r="J64" s="2">
        <f>J9*'Output-Calculation-sheet'!J53/10^9</f>
        <v>0.7489262789739588</v>
      </c>
      <c r="K64" s="2">
        <f>K9*'Output-Calculation-sheet'!K53/10^9</f>
        <v>0.69489990800642254</v>
      </c>
      <c r="L64" s="2">
        <f>L9*'Output-Calculation-sheet'!L53/10^9</f>
        <v>0.89398297530076909</v>
      </c>
      <c r="M64" s="2">
        <f>M9*'Output-Calculation-sheet'!M53/10^9</f>
        <v>0.97458958698689346</v>
      </c>
      <c r="N64" s="2">
        <f>N9*'Output-Calculation-sheet'!N53/10^9</f>
        <v>0.82042666732623115</v>
      </c>
      <c r="O64" s="2">
        <f>O9*'Output-Calculation-sheet'!O53/10^9</f>
        <v>0.92877928255986897</v>
      </c>
      <c r="P64" s="2">
        <f>P9*'Output-Calculation-sheet'!P53/10^9</f>
        <v>0.52980504994725408</v>
      </c>
      <c r="Q64" s="2">
        <f>Q9*'Output-Calculation-sheet'!Q53/10^9</f>
        <v>0.58552349008272975</v>
      </c>
      <c r="R64" s="2">
        <f>R9*'Output-Calculation-sheet'!R53/10^9</f>
        <v>0.50193121944107122</v>
      </c>
      <c r="S64" s="2">
        <f>S9*'Output-Calculation-sheet'!S53/10^9</f>
        <v>0.414706701817245</v>
      </c>
      <c r="T64" s="2">
        <f>T9*'Output-Calculation-sheet'!T53/10^9</f>
        <v>0.18043120880979069</v>
      </c>
      <c r="U64" s="2">
        <f>U9*'Output-Calculation-sheet'!U53/10^9</f>
        <v>0.13580674375282095</v>
      </c>
      <c r="V64" s="2">
        <f>V9*'Output-Calculation-sheet'!V53/10^9</f>
        <v>0.21415971810882675</v>
      </c>
      <c r="W64" s="2">
        <f>W9*'Output-Calculation-sheet'!W53/10^9</f>
        <v>7.9577891179349797E-2</v>
      </c>
      <c r="X64" s="2">
        <f>X9*'Output-Calculation-sheet'!X53/10^9</f>
        <v>0.10801401665129649</v>
      </c>
      <c r="Y64" s="2">
        <f>Y9*'Output-Calculation-sheet'!Y53/10^9</f>
        <v>5.5754858372678996E-2</v>
      </c>
      <c r="AA64" s="2">
        <f t="shared" si="4"/>
        <v>26.258359143232013</v>
      </c>
    </row>
    <row r="65" spans="1:27" x14ac:dyDescent="0.25">
      <c r="A65" s="2">
        <v>2033</v>
      </c>
      <c r="B65" s="2">
        <f>B10*'Output-Calculation-sheet'!B54/10^9</f>
        <v>6.0631403004805167</v>
      </c>
      <c r="C65" s="2">
        <f>C10*'Output-Calculation-sheet'!C54/10^9</f>
        <v>4.3076594560638259</v>
      </c>
      <c r="D65" s="2">
        <f>D10*'Output-Calculation-sheet'!D54/10^9</f>
        <v>1.4324153642267747</v>
      </c>
      <c r="E65" s="2">
        <f>E10*'Output-Calculation-sheet'!E54/10^9</f>
        <v>1.6128833197149333</v>
      </c>
      <c r="F65" s="2">
        <f>F10*'Output-Calculation-sheet'!F54/10^9</f>
        <v>0.65480302650402522</v>
      </c>
      <c r="G65" s="2">
        <f>G10*'Output-Calculation-sheet'!G54/10^9</f>
        <v>0.4495815077124134</v>
      </c>
      <c r="H65" s="2">
        <f>H10*'Output-Calculation-sheet'!H54/10^9</f>
        <v>1.1110458909798251</v>
      </c>
      <c r="I65" s="2">
        <f>I10*'Output-Calculation-sheet'!I54/10^9</f>
        <v>0.43776960620414146</v>
      </c>
      <c r="J65" s="2">
        <f>J10*'Output-Calculation-sheet'!J54/10^9</f>
        <v>0.52323231847975704</v>
      </c>
      <c r="K65" s="2">
        <f>K10*'Output-Calculation-sheet'!K54/10^9</f>
        <v>0.55821957351964269</v>
      </c>
      <c r="L65" s="2">
        <f>L10*'Output-Calculation-sheet'!L54/10^9</f>
        <v>0.65937471680702786</v>
      </c>
      <c r="M65" s="2">
        <f>M10*'Output-Calculation-sheet'!M54/10^9</f>
        <v>0.83892035019910005</v>
      </c>
      <c r="N65" s="2">
        <f>N10*'Output-Calculation-sheet'!N54/10^9</f>
        <v>0.72442979882703307</v>
      </c>
      <c r="O65" s="2">
        <f>O10*'Output-Calculation-sheet'!O54/10^9</f>
        <v>0.88836636496818999</v>
      </c>
      <c r="P65" s="2">
        <f>P10*'Output-Calculation-sheet'!P54/10^9</f>
        <v>0.4723267714167102</v>
      </c>
      <c r="Q65" s="2">
        <f>Q10*'Output-Calculation-sheet'!Q54/10^9</f>
        <v>0.51539969349693104</v>
      </c>
      <c r="R65" s="2">
        <f>R10*'Output-Calculation-sheet'!R54/10^9</f>
        <v>0.4158233444072999</v>
      </c>
      <c r="S65" s="2">
        <f>S10*'Output-Calculation-sheet'!S54/10^9</f>
        <v>0.37770937531973081</v>
      </c>
      <c r="T65" s="2">
        <f>T10*'Output-Calculation-sheet'!T54/10^9</f>
        <v>0.13902830681540387</v>
      </c>
      <c r="U65" s="2">
        <f>U10*'Output-Calculation-sheet'!U54/10^9</f>
        <v>0.1200517663926559</v>
      </c>
      <c r="V65" s="2">
        <f>V10*'Output-Calculation-sheet'!V54/10^9</f>
        <v>0.15385580716178604</v>
      </c>
      <c r="W65" s="2">
        <f>W10*'Output-Calculation-sheet'!W54/10^9</f>
        <v>5.8578692562215387E-2</v>
      </c>
      <c r="X65" s="2">
        <f>X10*'Output-Calculation-sheet'!X54/10^9</f>
        <v>9.6483482996828185E-2</v>
      </c>
      <c r="Y65" s="2">
        <f>Y10*'Output-Calculation-sheet'!Y54/10^9</f>
        <v>4.821340384996535E-2</v>
      </c>
      <c r="AA65" s="2">
        <f t="shared" si="4"/>
        <v>22.659312239106733</v>
      </c>
    </row>
    <row r="66" spans="1:27" x14ac:dyDescent="0.25">
      <c r="A66" s="2">
        <v>2034</v>
      </c>
      <c r="B66" s="2">
        <f>B11*'Output-Calculation-sheet'!B55/10^9</f>
        <v>5.2295497793282149</v>
      </c>
      <c r="C66" s="2">
        <f>C11*'Output-Calculation-sheet'!C55/10^9</f>
        <v>3.9662035540167748</v>
      </c>
      <c r="D66" s="2">
        <f>D11*'Output-Calculation-sheet'!D55/10^9</f>
        <v>1.0939474147620292</v>
      </c>
      <c r="E66" s="2">
        <f>E11*'Output-Calculation-sheet'!E55/10^9</f>
        <v>1.3245785789595232</v>
      </c>
      <c r="F66" s="2">
        <f>F11*'Output-Calculation-sheet'!F55/10^9</f>
        <v>0.50905773247745134</v>
      </c>
      <c r="G66" s="2">
        <f>G11*'Output-Calculation-sheet'!G55/10^9</f>
        <v>0.3638757347675316</v>
      </c>
      <c r="H66" s="2">
        <f>H11*'Output-Calculation-sheet'!H55/10^9</f>
        <v>0.93441511468633842</v>
      </c>
      <c r="I66" s="2">
        <f>I11*'Output-Calculation-sheet'!I55/10^9</f>
        <v>0.35584790134037275</v>
      </c>
      <c r="J66" s="2">
        <f>J11*'Output-Calculation-sheet'!J55/10^9</f>
        <v>0.36592279324666843</v>
      </c>
      <c r="K66" s="2">
        <f>K11*'Output-Calculation-sheet'!K55/10^9</f>
        <v>0.43763861976005952</v>
      </c>
      <c r="L66" s="2">
        <f>L11*'Output-Calculation-sheet'!L55/10^9</f>
        <v>0.46347955050717304</v>
      </c>
      <c r="M66" s="2">
        <f>M11*'Output-Calculation-sheet'!M55/10^9</f>
        <v>0.67393937738315146</v>
      </c>
      <c r="N66" s="2">
        <f>N11*'Output-Calculation-sheet'!N55/10^9</f>
        <v>0.58884385244257142</v>
      </c>
      <c r="O66" s="2">
        <f>O11*'Output-Calculation-sheet'!O55/10^9</f>
        <v>0.78971130403425793</v>
      </c>
      <c r="P66" s="2">
        <f>P11*'Output-Calculation-sheet'!P55/10^9</f>
        <v>0.40477148029035942</v>
      </c>
      <c r="Q66" s="2">
        <f>Q11*'Output-Calculation-sheet'!Q55/10^9</f>
        <v>0.44188887313447706</v>
      </c>
      <c r="R66" s="2">
        <f>R11*'Output-Calculation-sheet'!R55/10^9</f>
        <v>0.32784423656757472</v>
      </c>
      <c r="S66" s="2">
        <f>S11*'Output-Calculation-sheet'!S55/10^9</f>
        <v>0.32258152548495139</v>
      </c>
      <c r="T66" s="2">
        <f>T11*'Output-Calculation-sheet'!T55/10^9</f>
        <v>0.10276578415160012</v>
      </c>
      <c r="U66" s="2">
        <f>U11*'Output-Calculation-sheet'!U55/10^9</f>
        <v>0.10492445505013683</v>
      </c>
      <c r="V66" s="2">
        <f>V11*'Output-Calculation-sheet'!V55/10^9</f>
        <v>9.7490982346654501E-2</v>
      </c>
      <c r="W66" s="2">
        <f>W11*'Output-Calculation-sheet'!W55/10^9</f>
        <v>4.4140231278537105E-2</v>
      </c>
      <c r="X66" s="2">
        <f>X11*'Output-Calculation-sheet'!X55/10^9</f>
        <v>8.3769641261980096E-2</v>
      </c>
      <c r="Y66" s="2">
        <f>Y11*'Output-Calculation-sheet'!Y55/10^9</f>
        <v>4.3314828607934709E-2</v>
      </c>
      <c r="AA66" s="2">
        <f t="shared" si="4"/>
        <v>19.07050334588633</v>
      </c>
    </row>
    <row r="67" spans="1:27" x14ac:dyDescent="0.25">
      <c r="A67" s="2">
        <v>2035</v>
      </c>
      <c r="B67" s="2">
        <f>B12*'Output-Calculation-sheet'!B56/10^9</f>
        <v>4.5356224122429118</v>
      </c>
      <c r="C67" s="2">
        <f>C12*'Output-Calculation-sheet'!C56/10^9</f>
        <v>3.2874293612070287</v>
      </c>
      <c r="D67" s="2">
        <f>D12*'Output-Calculation-sheet'!D56/10^9</f>
        <v>1.0287866074847734</v>
      </c>
      <c r="E67" s="2">
        <f>E12*'Output-Calculation-sheet'!E56/10^9</f>
        <v>1.2245974730445597</v>
      </c>
      <c r="F67" s="2">
        <f>F12*'Output-Calculation-sheet'!F56/10^9</f>
        <v>0.50119170750862763</v>
      </c>
      <c r="G67" s="2">
        <f>G12*'Output-Calculation-sheet'!G56/10^9</f>
        <v>0.35228672147458734</v>
      </c>
      <c r="H67" s="2">
        <f>H12*'Output-Calculation-sheet'!H56/10^9</f>
        <v>0.80434902976234546</v>
      </c>
      <c r="I67" s="2">
        <f>I12*'Output-Calculation-sheet'!I56/10^9</f>
        <v>0.35278717026774353</v>
      </c>
      <c r="J67" s="2">
        <f>J12*'Output-Calculation-sheet'!J56/10^9</f>
        <v>0.31916669306808088</v>
      </c>
      <c r="K67" s="2">
        <f>K12*'Output-Calculation-sheet'!K56/10^9</f>
        <v>0.3961132706852406</v>
      </c>
      <c r="L67" s="2">
        <f>L12*'Output-Calculation-sheet'!L56/10^9</f>
        <v>0.36913475720204264</v>
      </c>
      <c r="M67" s="2">
        <f>M12*'Output-Calculation-sheet'!M56/10^9</f>
        <v>0.56732716234991443</v>
      </c>
      <c r="N67" s="2">
        <f>N12*'Output-Calculation-sheet'!N56/10^9</f>
        <v>0.48235209434406429</v>
      </c>
      <c r="O67" s="2">
        <f>O12*'Output-Calculation-sheet'!O56/10^9</f>
        <v>0.63502928959999516</v>
      </c>
      <c r="P67" s="2">
        <f>P12*'Output-Calculation-sheet'!P56/10^9</f>
        <v>0.37240916109307204</v>
      </c>
      <c r="Q67" s="2">
        <f>Q12*'Output-Calculation-sheet'!Q56/10^9</f>
        <v>0.37615678477277786</v>
      </c>
      <c r="R67" s="2">
        <f>R12*'Output-Calculation-sheet'!R56/10^9</f>
        <v>0.28722815832696497</v>
      </c>
      <c r="S67" s="2">
        <f>S12*'Output-Calculation-sheet'!S56/10^9</f>
        <v>0.27467345236476326</v>
      </c>
      <c r="T67" s="2">
        <f>T12*'Output-Calculation-sheet'!T56/10^9</f>
        <v>8.7362941940566943E-2</v>
      </c>
      <c r="U67" s="2">
        <f>U12*'Output-Calculation-sheet'!U56/10^9</f>
        <v>9.9367034438989296E-2</v>
      </c>
      <c r="V67" s="2">
        <f>V12*'Output-Calculation-sheet'!V56/10^9</f>
        <v>6.6978657110414841E-2</v>
      </c>
      <c r="W67" s="2">
        <f>W12*'Output-Calculation-sheet'!W56/10^9</f>
        <v>4.3378448219264412E-2</v>
      </c>
      <c r="X67" s="2">
        <f>X12*'Output-Calculation-sheet'!X56/10^9</f>
        <v>7.1047401012393999E-2</v>
      </c>
      <c r="Y67" s="2">
        <f>Y12*'Output-Calculation-sheet'!Y56/10^9</f>
        <v>4.0764101858943864E-2</v>
      </c>
      <c r="AA67" s="2">
        <f t="shared" si="4"/>
        <v>16.575539891380064</v>
      </c>
    </row>
    <row r="68" spans="1:27" x14ac:dyDescent="0.25">
      <c r="B68" s="2">
        <f>SUM(B60:B67)</f>
        <v>47.097625836888909</v>
      </c>
      <c r="C68" s="2">
        <f t="shared" ref="C68:Y68" si="5">SUM(C60:C67)</f>
        <v>29.771604314827158</v>
      </c>
      <c r="D68" s="2">
        <f t="shared" si="5"/>
        <v>14.845518590225218</v>
      </c>
      <c r="E68" s="2">
        <f t="shared" si="5"/>
        <v>15.387841767679895</v>
      </c>
      <c r="F68" s="2">
        <f t="shared" si="5"/>
        <v>6.3532559894793046</v>
      </c>
      <c r="G68" s="2">
        <f t="shared" si="5"/>
        <v>4.5551713229367277</v>
      </c>
      <c r="H68" s="2">
        <f t="shared" si="5"/>
        <v>8.2644900516626603</v>
      </c>
      <c r="I68" s="2">
        <f t="shared" si="5"/>
        <v>4.2907736395200171</v>
      </c>
      <c r="J68" s="2">
        <f t="shared" si="5"/>
        <v>5.6263124172103867</v>
      </c>
      <c r="K68" s="2">
        <f t="shared" si="5"/>
        <v>5.2094975311937155</v>
      </c>
      <c r="L68" s="2">
        <f t="shared" si="5"/>
        <v>6.7337780396725755</v>
      </c>
      <c r="M68" s="2">
        <f t="shared" si="5"/>
        <v>6.5744038502850053</v>
      </c>
      <c r="N68" s="2">
        <f t="shared" si="5"/>
        <v>5.6369243715772734</v>
      </c>
      <c r="O68" s="2">
        <f t="shared" si="5"/>
        <v>6.1035792744600901</v>
      </c>
      <c r="P68" s="2">
        <f t="shared" si="5"/>
        <v>3.8069294664247293</v>
      </c>
      <c r="Q68" s="2">
        <f t="shared" si="5"/>
        <v>4.2280462948211506</v>
      </c>
      <c r="R68" s="2">
        <f t="shared" si="5"/>
        <v>3.7089449159044388</v>
      </c>
      <c r="S68" s="2">
        <f t="shared" si="5"/>
        <v>2.8616519044384137</v>
      </c>
      <c r="T68" s="2">
        <f t="shared" si="5"/>
        <v>1.3551826424318647</v>
      </c>
      <c r="U68" s="2">
        <f t="shared" si="5"/>
        <v>1.0201281302202978</v>
      </c>
      <c r="V68" s="2">
        <f t="shared" si="5"/>
        <v>1.5926443031657076</v>
      </c>
      <c r="W68" s="2">
        <f t="shared" si="5"/>
        <v>0.59673244677028225</v>
      </c>
      <c r="X68" s="2">
        <f t="shared" si="5"/>
        <v>0.72340323843609433</v>
      </c>
      <c r="Y68" s="2">
        <f t="shared" si="5"/>
        <v>0.42404139153578846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5790.4036132197216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1397.6362281743491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936.55621914554513</v>
      </c>
      <c r="N74" s="2">
        <f>N8/'Output-Calculation-sheet'!N7*'Output-Calculation-sheet'!N61</f>
        <v>39.252727017013783</v>
      </c>
      <c r="O74" s="2">
        <f>O8/'Output-Calculation-sheet'!O7*'Output-Calculation-sheet'!O61</f>
        <v>1157.4352418443839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116.38056181334662</v>
      </c>
      <c r="Y74" s="2">
        <f>Y8/'Output-Calculation-sheet'!Y7*'Output-Calculation-sheet'!Y61</f>
        <v>0</v>
      </c>
      <c r="AA74" s="2">
        <f t="shared" si="6"/>
        <v>9.4376645912143591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8869.9826377628124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2198.1494022054103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1493.5254409068066</v>
      </c>
      <c r="N75" s="2">
        <f>N9/'Output-Calculation-sheet'!N8*'Output-Calculation-sheet'!N62</f>
        <v>575.13537510226809</v>
      </c>
      <c r="O75" s="2">
        <f>O9/'Output-Calculation-sheet'!O8*'Output-Calculation-sheet'!O62</f>
        <v>1753.3098035190524</v>
      </c>
      <c r="P75" s="2">
        <f>P9/'Output-Calculation-sheet'!P8*'Output-Calculation-sheet'!P62</f>
        <v>38.647545827509902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193.43041192749175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180.43717559468575</v>
      </c>
      <c r="Y75" s="2">
        <f>Y9/'Output-Calculation-sheet'!Y8*'Output-Calculation-sheet'!Y62</f>
        <v>0</v>
      </c>
      <c r="AA75" s="2">
        <f t="shared" si="6"/>
        <v>15.302617792846037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10292.784803490929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2771.0781226148169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1886.6897297828614</v>
      </c>
      <c r="N76" s="2">
        <f>N10/'Output-Calculation-sheet'!N9*'Output-Calculation-sheet'!N63</f>
        <v>1077.8814191057993</v>
      </c>
      <c r="O76" s="2">
        <f>O10/'Output-Calculation-sheet'!O9*'Output-Calculation-sheet'!O63</f>
        <v>1856.9461429383332</v>
      </c>
      <c r="P76" s="2">
        <f>P10/'Output-Calculation-sheet'!P9*'Output-Calculation-sheet'!P63</f>
        <v>374.28975627359375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284.13380251942925</v>
      </c>
      <c r="S76" s="2">
        <f>S10/'Output-Calculation-sheet'!S9*'Output-Calculation-sheet'!S63</f>
        <v>478.78671562723059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100.8086556455815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222.19263915139013</v>
      </c>
      <c r="Y76" s="2">
        <f>Y10/'Output-Calculation-sheet'!Y9*'Output-Calculation-sheet'!Y63</f>
        <v>4.2152792446929306</v>
      </c>
      <c r="AA76" s="2">
        <f t="shared" si="6"/>
        <v>23.858896645538866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8731.3012671589968</v>
      </c>
      <c r="D77" s="2">
        <f>D11/'Output-Calculation-sheet'!D10*'Output-Calculation-sheet'!D64</f>
        <v>1080.7825676252346</v>
      </c>
      <c r="E77" s="2">
        <f>E11/'Output-Calculation-sheet'!E10*'Output-Calculation-sheet'!E64</f>
        <v>1314.7448968130359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563.62429699454231</v>
      </c>
      <c r="H77" s="2">
        <f>H11/'Output-Calculation-sheet'!H10*'Output-Calculation-sheet'!H64</f>
        <v>2994.634714965579</v>
      </c>
      <c r="I77" s="2">
        <f>I11/'Output-Calculation-sheet'!I10*'Output-Calculation-sheet'!I64</f>
        <v>333.97513778801743</v>
      </c>
      <c r="J77" s="2">
        <f>J11/'Output-Calculation-sheet'!J10*'Output-Calculation-sheet'!J64</f>
        <v>240.06527604028724</v>
      </c>
      <c r="K77" s="2">
        <f>K11/'Output-Calculation-sheet'!K10*'Output-Calculation-sheet'!K64</f>
        <v>502.54583972119025</v>
      </c>
      <c r="L77" s="2">
        <f>L11/'Output-Calculation-sheet'!L10*'Output-Calculation-sheet'!L64</f>
        <v>219.7058246408285</v>
      </c>
      <c r="M77" s="2">
        <f>M11/'Output-Calculation-sheet'!M10*'Output-Calculation-sheet'!M64</f>
        <v>2006.9958000306081</v>
      </c>
      <c r="N77" s="2">
        <f>N11/'Output-Calculation-sheet'!N10*'Output-Calculation-sheet'!N64</f>
        <v>1413.0369449836962</v>
      </c>
      <c r="O77" s="2">
        <f>O11/'Output-Calculation-sheet'!O10*'Output-Calculation-sheet'!O64</f>
        <v>1636.7276949897359</v>
      </c>
      <c r="P77" s="2">
        <f>P11/'Output-Calculation-sheet'!P10*'Output-Calculation-sheet'!P64</f>
        <v>623.68635988060089</v>
      </c>
      <c r="Q77" s="2">
        <f>Q11/'Output-Calculation-sheet'!Q10*'Output-Calculation-sheet'!Q64</f>
        <v>561.07481971693414</v>
      </c>
      <c r="R77" s="2">
        <f>R11/'Output-Calculation-sheet'!R10*'Output-Calculation-sheet'!R64</f>
        <v>533.7125792473098</v>
      </c>
      <c r="S77" s="2">
        <f>S11/'Output-Calculation-sheet'!S10*'Output-Calculation-sheet'!S64</f>
        <v>710.57407168092755</v>
      </c>
      <c r="T77" s="2">
        <f>T11/'Output-Calculation-sheet'!T10*'Output-Calculation-sheet'!T64</f>
        <v>147.92680370262792</v>
      </c>
      <c r="U77" s="2">
        <f>U11/'Output-Calculation-sheet'!U10*'Output-Calculation-sheet'!U64</f>
        <v>202.41409654245473</v>
      </c>
      <c r="V77" s="2">
        <f>V11/'Output-Calculation-sheet'!V10*'Output-Calculation-sheet'!V64</f>
        <v>77.786816656766376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206.97834663364003</v>
      </c>
      <c r="Y77" s="2">
        <f>Y11/'Output-Calculation-sheet'!Y10*'Output-Calculation-sheet'!Y64</f>
        <v>48.858411986726573</v>
      </c>
      <c r="AA77" s="2">
        <f t="shared" si="6"/>
        <v>32.910353636827978</v>
      </c>
    </row>
    <row r="78" spans="1:27" x14ac:dyDescent="0.25">
      <c r="A78" s="2">
        <v>2035</v>
      </c>
      <c r="B78" s="2">
        <f>B12/'Output-Calculation-sheet'!B11*'Output-Calculation-sheet'!B65</f>
        <v>9700.4494238885563</v>
      </c>
      <c r="C78" s="2">
        <f>C12/'Output-Calculation-sheet'!C11*'Output-Calculation-sheet'!C65</f>
        <v>6835.7259746162572</v>
      </c>
      <c r="D78" s="2">
        <f>D12/'Output-Calculation-sheet'!D11*'Output-Calculation-sheet'!D65</f>
        <v>2228.1132653561199</v>
      </c>
      <c r="E78" s="2">
        <f>E12/'Output-Calculation-sheet'!E11*'Output-Calculation-sheet'!E65</f>
        <v>2228.7280834974231</v>
      </c>
      <c r="F78" s="2">
        <f>F12/'Output-Calculation-sheet'!F11*'Output-Calculation-sheet'!F65</f>
        <v>517.39297359981288</v>
      </c>
      <c r="G78" s="2">
        <f>G12/'Output-Calculation-sheet'!G11*'Output-Calculation-sheet'!G65</f>
        <v>771.2313829156144</v>
      </c>
      <c r="H78" s="2">
        <f>H12/'Output-Calculation-sheet'!H11*'Output-Calculation-sheet'!H65</f>
        <v>2471.6736605511242</v>
      </c>
      <c r="I78" s="2">
        <f>I12/'Output-Calculation-sheet'!I11*'Output-Calculation-sheet'!I65</f>
        <v>684.65270464064304</v>
      </c>
      <c r="J78" s="2">
        <f>J12/'Output-Calculation-sheet'!J11*'Output-Calculation-sheet'!J65</f>
        <v>609.08920728972464</v>
      </c>
      <c r="K78" s="2">
        <f>K12/'Output-Calculation-sheet'!K11*'Output-Calculation-sheet'!K65</f>
        <v>811.92012260438753</v>
      </c>
      <c r="L78" s="2">
        <f>L12/'Output-Calculation-sheet'!L11*'Output-Calculation-sheet'!L65</f>
        <v>534.81581812475429</v>
      </c>
      <c r="M78" s="2">
        <f>M12/'Output-Calculation-sheet'!M11*'Output-Calculation-sheet'!M65</f>
        <v>1726.1005903950747</v>
      </c>
      <c r="N78" s="2">
        <f>N12/'Output-Calculation-sheet'!N11*'Output-Calculation-sheet'!N65</f>
        <v>1232.5619440202852</v>
      </c>
      <c r="O78" s="2">
        <f>O12/'Output-Calculation-sheet'!O11*'Output-Calculation-sheet'!O65</f>
        <v>1249.0099668834864</v>
      </c>
      <c r="P78" s="2">
        <f>P12/'Output-Calculation-sheet'!P11*'Output-Calculation-sheet'!P65</f>
        <v>682.60442007997767</v>
      </c>
      <c r="Q78" s="2">
        <f>Q12/'Output-Calculation-sheet'!Q11*'Output-Calculation-sheet'!Q65</f>
        <v>661.774398618757</v>
      </c>
      <c r="R78" s="2">
        <f>R12/'Output-Calculation-sheet'!R11*'Output-Calculation-sheet'!R65</f>
        <v>600.34321590228694</v>
      </c>
      <c r="S78" s="2">
        <f>S12/'Output-Calculation-sheet'!S11*'Output-Calculation-sheet'!S65</f>
        <v>671.58657574791062</v>
      </c>
      <c r="T78" s="2">
        <f>T12/'Output-Calculation-sheet'!T11*'Output-Calculation-sheet'!T65</f>
        <v>209.21373785023664</v>
      </c>
      <c r="U78" s="2">
        <f>U12/'Output-Calculation-sheet'!U11*'Output-Calculation-sheet'!U65</f>
        <v>191.29698855383893</v>
      </c>
      <c r="V78" s="2">
        <f>V12/'Output-Calculation-sheet'!V11*'Output-Calculation-sheet'!V65</f>
        <v>109.4918562676674</v>
      </c>
      <c r="W78" s="2">
        <f>W12/'Output-Calculation-sheet'!W11*'Output-Calculation-sheet'!W65</f>
        <v>72.876423134314791</v>
      </c>
      <c r="X78" s="2">
        <f>X12/'Output-Calculation-sheet'!X11*'Output-Calculation-sheet'!X65</f>
        <v>165.79423608618299</v>
      </c>
      <c r="Y78" s="2">
        <f>Y12/'Output-Calculation-sheet'!Y11*'Output-Calculation-sheet'!Y65</f>
        <v>76.66778938047598</v>
      </c>
      <c r="AA78" s="2">
        <f t="shared" si="6"/>
        <v>35.043114760004926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30.470962200443594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3.0470962200443593E-2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329.69705873846414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76.861522693171281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0.40655858143163537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552.14663886666347</v>
      </c>
      <c r="D89" s="2">
        <f>D12/'Output-Calculation-sheet'!D11*'Output-Calculation-sheet'!D74</f>
        <v>44.464443531353425</v>
      </c>
      <c r="E89" s="2">
        <f>E12/'Output-Calculation-sheet'!E11*'Output-Calculation-sheet'!E74</f>
        <v>35.337372498769987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46.354890421808761</v>
      </c>
      <c r="I89" s="2">
        <f>I12/'Output-Calculation-sheet'!I11*'Output-Calculation-sheet'!I74</f>
        <v>14.346388631071875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14.100241787440304</v>
      </c>
      <c r="L89" s="2">
        <f>L12/'Output-Calculation-sheet'!L11*'Output-Calculation-sheet'!L74</f>
        <v>11.211836609814348</v>
      </c>
      <c r="M89" s="2">
        <f>M12/'Output-Calculation-sheet'!M11*'Output-Calculation-sheet'!M74</f>
        <v>31.896700695953236</v>
      </c>
      <c r="N89" s="2">
        <f>N12/'Output-Calculation-sheet'!N11*'Output-Calculation-sheet'!N74</f>
        <v>20.899559037571283</v>
      </c>
      <c r="O89" s="2">
        <f>O12/'Output-Calculation-sheet'!O11*'Output-Calculation-sheet'!O74</f>
        <v>126.77037209844651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18.31115780409117</v>
      </c>
      <c r="R89" s="2">
        <f>R12/'Output-Calculation-sheet'!R11*'Output-Calculation-sheet'!R74</f>
        <v>9.0794636484972546</v>
      </c>
      <c r="S89" s="2">
        <f>S12/'Output-Calculation-sheet'!S11*'Output-Calculation-sheet'!S74</f>
        <v>11.980316206536335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5.8423781740780907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4.6655289308358565</v>
      </c>
      <c r="Y89" s="2">
        <f>Y12/'Output-Calculation-sheet'!Y11*'Output-Calculation-sheet'!Y74</f>
        <v>2.2511609766120322</v>
      </c>
      <c r="AA89" s="2">
        <f t="shared" si="7"/>
        <v>1.2563678421418776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18239534865.480923</v>
      </c>
      <c r="C96" s="2">
        <f>C8/'Output-Calculation-sheet'!C7*'Output-Calculation-sheet'!C79</f>
        <v>7550929136.1222086</v>
      </c>
      <c r="D96" s="2">
        <f>D8/'Output-Calculation-sheet'!D7*'Output-Calculation-sheet'!D79</f>
        <v>6019274989.7749357</v>
      </c>
      <c r="E96" s="2">
        <f>E8/'Output-Calculation-sheet'!E7*'Output-Calculation-sheet'!E79</f>
        <v>7273382591.3830061</v>
      </c>
      <c r="F96" s="2">
        <f>F8/'Output-Calculation-sheet'!F7*'Output-Calculation-sheet'!F79</f>
        <v>4293435988.3321934</v>
      </c>
      <c r="G96" s="2">
        <f>G8/'Output-Calculation-sheet'!G7*'Output-Calculation-sheet'!G79</f>
        <v>2183864395.8957314</v>
      </c>
      <c r="H96" s="2">
        <f>H8/'Output-Calculation-sheet'!H7*'Output-Calculation-sheet'!H79</f>
        <v>2726921520.0954819</v>
      </c>
      <c r="I96" s="2">
        <f>I8/'Output-Calculation-sheet'!I7*'Output-Calculation-sheet'!I79</f>
        <v>2610045188.7037282</v>
      </c>
      <c r="J96" s="2">
        <f>J8/'Output-Calculation-sheet'!J7*'Output-Calculation-sheet'!J79</f>
        <v>1473203220.9285388</v>
      </c>
      <c r="K96" s="2">
        <f>K8/'Output-Calculation-sheet'!K7*'Output-Calculation-sheet'!K79</f>
        <v>2509369689.7851338</v>
      </c>
      <c r="L96" s="2">
        <f>L8/'Output-Calculation-sheet'!L7*'Output-Calculation-sheet'!L79</f>
        <v>1804788004.8599122</v>
      </c>
      <c r="M96" s="2">
        <f>M8/'Output-Calculation-sheet'!M7*'Output-Calculation-sheet'!M79</f>
        <v>1824480239.6367953</v>
      </c>
      <c r="N96" s="2">
        <f>N8/'Output-Calculation-sheet'!N7*'Output-Calculation-sheet'!N79</f>
        <v>1298533939.012639</v>
      </c>
      <c r="O96" s="2">
        <f>O8/'Output-Calculation-sheet'!O7*'Output-Calculation-sheet'!O79</f>
        <v>1020536092.189339</v>
      </c>
      <c r="P96" s="2">
        <f>P8/'Output-Calculation-sheet'!P7*'Output-Calculation-sheet'!P79</f>
        <v>2169402955.5342836</v>
      </c>
      <c r="Q96" s="2">
        <f>Q8/'Output-Calculation-sheet'!Q7*'Output-Calculation-sheet'!Q79</f>
        <v>1181593995.1353002</v>
      </c>
      <c r="R96" s="2">
        <f>R8/'Output-Calculation-sheet'!R7*'Output-Calculation-sheet'!R79</f>
        <v>1576358757.9552674</v>
      </c>
      <c r="S96" s="2">
        <f>S8/'Output-Calculation-sheet'!S7*'Output-Calculation-sheet'!S79</f>
        <v>992232861.10255551</v>
      </c>
      <c r="T96" s="2">
        <f>T8/'Output-Calculation-sheet'!T7*'Output-Calculation-sheet'!T79</f>
        <v>637153192.93611562</v>
      </c>
      <c r="U96" s="2">
        <f>U8/'Output-Calculation-sheet'!U7*'Output-Calculation-sheet'!U79</f>
        <v>590823352.25070393</v>
      </c>
      <c r="V96" s="2">
        <f>V8/'Output-Calculation-sheet'!V7*'Output-Calculation-sheet'!V79</f>
        <v>380392202.52896315</v>
      </c>
      <c r="W96" s="2">
        <f>W8/'Output-Calculation-sheet'!W7*'Output-Calculation-sheet'!W79</f>
        <v>455035302.73881012</v>
      </c>
      <c r="X96" s="2">
        <f>X8/'Output-Calculation-sheet'!X7*'Output-Calculation-sheet'!X79</f>
        <v>208272232.24642849</v>
      </c>
      <c r="Y96" s="2">
        <f>Y8/'Output-Calculation-sheet'!Y7*'Output-Calculation-sheet'!Y79</f>
        <v>233113339.12773165</v>
      </c>
      <c r="AA96" s="2">
        <f t="shared" si="8"/>
        <v>69.252678053756711</v>
      </c>
    </row>
    <row r="97" spans="1:27" x14ac:dyDescent="0.25">
      <c r="A97" s="2">
        <v>2032</v>
      </c>
      <c r="B97" s="2">
        <f>B9/'Output-Calculation-sheet'!B8*'Output-Calculation-sheet'!B80</f>
        <v>22982261076.67104</v>
      </c>
      <c r="C97" s="2">
        <f>C9/'Output-Calculation-sheet'!C8*'Output-Calculation-sheet'!C80</f>
        <v>9522652667.9038086</v>
      </c>
      <c r="D97" s="2">
        <f>D9/'Output-Calculation-sheet'!D8*'Output-Calculation-sheet'!D80</f>
        <v>7526886843.7632036</v>
      </c>
      <c r="E97" s="2">
        <f>E9/'Output-Calculation-sheet'!E8*'Output-Calculation-sheet'!E80</f>
        <v>9082344165.2722511</v>
      </c>
      <c r="F97" s="2">
        <f>F9/'Output-Calculation-sheet'!F8*'Output-Calculation-sheet'!F80</f>
        <v>5381545374.9831142</v>
      </c>
      <c r="G97" s="2">
        <f>G9/'Output-Calculation-sheet'!G8*'Output-Calculation-sheet'!G80</f>
        <v>2693908721.6517382</v>
      </c>
      <c r="H97" s="2">
        <f>H9/'Output-Calculation-sheet'!H8*'Output-Calculation-sheet'!H80</f>
        <v>3428908627.6379428</v>
      </c>
      <c r="I97" s="2">
        <f>I9/'Output-Calculation-sheet'!I8*'Output-Calculation-sheet'!I80</f>
        <v>3273031638.1342831</v>
      </c>
      <c r="J97" s="2">
        <f>J9/'Output-Calculation-sheet'!J8*'Output-Calculation-sheet'!J80</f>
        <v>1867640309.7090991</v>
      </c>
      <c r="K97" s="2">
        <f>K9/'Output-Calculation-sheet'!K8*'Output-Calculation-sheet'!K80</f>
        <v>3146073589.9144778</v>
      </c>
      <c r="L97" s="2">
        <f>L9/'Output-Calculation-sheet'!L8*'Output-Calculation-sheet'!L80</f>
        <v>2276291475.0214844</v>
      </c>
      <c r="M97" s="2">
        <f>M9/'Output-Calculation-sheet'!M8*'Output-Calculation-sheet'!M80</f>
        <v>2294116132.9052906</v>
      </c>
      <c r="N97" s="2">
        <f>N9/'Output-Calculation-sheet'!N8*'Output-Calculation-sheet'!N80</f>
        <v>1639776877.6163144</v>
      </c>
      <c r="O97" s="2">
        <f>O9/'Output-Calculation-sheet'!O8*'Output-Calculation-sheet'!O80</f>
        <v>1293683825.1081865</v>
      </c>
      <c r="P97" s="2">
        <f>P9/'Output-Calculation-sheet'!P8*'Output-Calculation-sheet'!P80</f>
        <v>2703496235.2465615</v>
      </c>
      <c r="Q97" s="2">
        <f>Q9/'Output-Calculation-sheet'!Q8*'Output-Calculation-sheet'!Q80</f>
        <v>1496954409.3522568</v>
      </c>
      <c r="R97" s="2">
        <f>R9/'Output-Calculation-sheet'!R8*'Output-Calculation-sheet'!R80</f>
        <v>1984738946.8656297</v>
      </c>
      <c r="S97" s="2">
        <f>S9/'Output-Calculation-sheet'!S8*'Output-Calculation-sheet'!S80</f>
        <v>1252081725.7164903</v>
      </c>
      <c r="T97" s="2">
        <f>T9/'Output-Calculation-sheet'!T8*'Output-Calculation-sheet'!T80</f>
        <v>795857902.41196048</v>
      </c>
      <c r="U97" s="2">
        <f>U9/'Output-Calculation-sheet'!U8*'Output-Calculation-sheet'!U80</f>
        <v>742168421.24444222</v>
      </c>
      <c r="V97" s="2">
        <f>V9/'Output-Calculation-sheet'!V8*'Output-Calculation-sheet'!V80</f>
        <v>480635335.90976334</v>
      </c>
      <c r="W97" s="2">
        <f>W9/'Output-Calculation-sheet'!W8*'Output-Calculation-sheet'!W80</f>
        <v>562238703.85655367</v>
      </c>
      <c r="X97" s="2">
        <f>X9/'Output-Calculation-sheet'!X8*'Output-Calculation-sheet'!X80</f>
        <v>261801055.25109184</v>
      </c>
      <c r="Y97" s="2">
        <f>Y9/'Output-Calculation-sheet'!Y8*'Output-Calculation-sheet'!Y80</f>
        <v>289302229.5278343</v>
      </c>
      <c r="AA97" s="2">
        <f t="shared" si="8"/>
        <v>86.978396291674827</v>
      </c>
    </row>
    <row r="98" spans="1:27" x14ac:dyDescent="0.25">
      <c r="A98" s="2">
        <v>2033</v>
      </c>
      <c r="B98" s="2">
        <f>B10/'Output-Calculation-sheet'!B9*'Output-Calculation-sheet'!B81</f>
        <v>25506984191.317696</v>
      </c>
      <c r="C98" s="2">
        <f>C10/'Output-Calculation-sheet'!C9*'Output-Calculation-sheet'!C81</f>
        <v>10579718912.758284</v>
      </c>
      <c r="D98" s="2">
        <f>D10/'Output-Calculation-sheet'!D9*'Output-Calculation-sheet'!D81</f>
        <v>8299078182.3364801</v>
      </c>
      <c r="E98" s="2">
        <f>E10/'Output-Calculation-sheet'!E9*'Output-Calculation-sheet'!E81</f>
        <v>9995299985.3044624</v>
      </c>
      <c r="F98" s="2">
        <f>F10/'Output-Calculation-sheet'!F9*'Output-Calculation-sheet'!F81</f>
        <v>5943439238.580039</v>
      </c>
      <c r="G98" s="2">
        <f>G10/'Output-Calculation-sheet'!G9*'Output-Calculation-sheet'!G81</f>
        <v>2929681808.3704596</v>
      </c>
      <c r="H98" s="2">
        <f>H10/'Output-Calculation-sheet'!H9*'Output-Calculation-sheet'!H81</f>
        <v>3798388218.4341359</v>
      </c>
      <c r="I98" s="2">
        <f>I10/'Output-Calculation-sheet'!I9*'Output-Calculation-sheet'!I81</f>
        <v>3616939374.8215303</v>
      </c>
      <c r="J98" s="2">
        <f>J10/'Output-Calculation-sheet'!J9*'Output-Calculation-sheet'!J81</f>
        <v>2087053030.8612447</v>
      </c>
      <c r="K98" s="2">
        <f>K10/'Output-Calculation-sheet'!K9*'Output-Calculation-sheet'!K81</f>
        <v>3475495891.2869306</v>
      </c>
      <c r="L98" s="2">
        <f>L10/'Output-Calculation-sheet'!L9*'Output-Calculation-sheet'!L81</f>
        <v>2529153468.8694115</v>
      </c>
      <c r="M98" s="2">
        <f>M10/'Output-Calculation-sheet'!M9*'Output-Calculation-sheet'!M81</f>
        <v>2541776948.9953575</v>
      </c>
      <c r="N98" s="2">
        <f>N10/'Output-Calculation-sheet'!N9*'Output-Calculation-sheet'!N81</f>
        <v>1825229515.7480712</v>
      </c>
      <c r="O98" s="2">
        <f>O10/'Output-Calculation-sheet'!O9*'Output-Calculation-sheet'!O81</f>
        <v>1445101379.6111927</v>
      </c>
      <c r="P98" s="2">
        <f>P10/'Output-Calculation-sheet'!P9*'Output-Calculation-sheet'!P81</f>
        <v>2968235713.167315</v>
      </c>
      <c r="Q98" s="2">
        <f>Q10/'Output-Calculation-sheet'!Q9*'Output-Calculation-sheet'!Q81</f>
        <v>1671139301.5256672</v>
      </c>
      <c r="R98" s="2">
        <f>R10/'Output-Calculation-sheet'!R9*'Output-Calculation-sheet'!R81</f>
        <v>2201360325.372797</v>
      </c>
      <c r="S98" s="2">
        <f>S10/'Output-Calculation-sheet'!S9*'Output-Calculation-sheet'!S81</f>
        <v>1391660658.7920344</v>
      </c>
      <c r="T98" s="2">
        <f>T10/'Output-Calculation-sheet'!T9*'Output-Calculation-sheet'!T81</f>
        <v>876072304.13900459</v>
      </c>
      <c r="U98" s="2">
        <f>U10/'Output-Calculation-sheet'!U9*'Output-Calculation-sheet'!U81</f>
        <v>820835208.82707477</v>
      </c>
      <c r="V98" s="2">
        <f>V10/'Output-Calculation-sheet'!V9*'Output-Calculation-sheet'!V81</f>
        <v>534617963.86758894</v>
      </c>
      <c r="W98" s="2">
        <f>W10/'Output-Calculation-sheet'!W9*'Output-Calculation-sheet'!W81</f>
        <v>612216846.78445446</v>
      </c>
      <c r="X98" s="2">
        <f>X10/'Output-Calculation-sheet'!X9*'Output-Calculation-sheet'!X81</f>
        <v>289951289.37437487</v>
      </c>
      <c r="Y98" s="2">
        <f>Y10/'Output-Calculation-sheet'!Y9*'Output-Calculation-sheet'!Y81</f>
        <v>316506624.94274431</v>
      </c>
      <c r="AA98" s="2">
        <f t="shared" si="8"/>
        <v>96.255936384088358</v>
      </c>
    </row>
    <row r="99" spans="1:27" x14ac:dyDescent="0.25">
      <c r="A99" s="2">
        <v>2034</v>
      </c>
      <c r="B99" s="2">
        <f>B11/'Output-Calculation-sheet'!B10*'Output-Calculation-sheet'!B82</f>
        <v>25241382058.058052</v>
      </c>
      <c r="C99" s="2">
        <f>C11/'Output-Calculation-sheet'!C10*'Output-Calculation-sheet'!C82</f>
        <v>10481966273.295544</v>
      </c>
      <c r="D99" s="2">
        <f>D11/'Output-Calculation-sheet'!D10*'Output-Calculation-sheet'!D82</f>
        <v>8167002426.690237</v>
      </c>
      <c r="E99" s="2">
        <f>E11/'Output-Calculation-sheet'!E10*'Output-Calculation-sheet'!E82</f>
        <v>9813250896.3089046</v>
      </c>
      <c r="F99" s="2">
        <f>F11/'Output-Calculation-sheet'!F10*'Output-Calculation-sheet'!F82</f>
        <v>5854517776.2233286</v>
      </c>
      <c r="G99" s="2">
        <f>G11/'Output-Calculation-sheet'!G10*'Output-Calculation-sheet'!G82</f>
        <v>2843380754.463284</v>
      </c>
      <c r="H99" s="2">
        <f>H11/'Output-Calculation-sheet'!H10*'Output-Calculation-sheet'!H82</f>
        <v>3752303766.7106147</v>
      </c>
      <c r="I99" s="2">
        <f>I11/'Output-Calculation-sheet'!I10*'Output-Calculation-sheet'!I82</f>
        <v>3565362222.187727</v>
      </c>
      <c r="J99" s="2">
        <f>J11/'Output-Calculation-sheet'!J10*'Output-Calculation-sheet'!J82</f>
        <v>2080898346.6202085</v>
      </c>
      <c r="K99" s="2">
        <f>K11/'Output-Calculation-sheet'!K10*'Output-Calculation-sheet'!K82</f>
        <v>3424554178.9895377</v>
      </c>
      <c r="L99" s="2">
        <f>L11/'Output-Calculation-sheet'!L10*'Output-Calculation-sheet'!L82</f>
        <v>2505876235.0783687</v>
      </c>
      <c r="M99" s="2">
        <f>M11/'Output-Calculation-sheet'!M10*'Output-Calculation-sheet'!M82</f>
        <v>2511813333.1194377</v>
      </c>
      <c r="N99" s="2">
        <f>N11/'Output-Calculation-sheet'!N10*'Output-Calculation-sheet'!N82</f>
        <v>1812683355.5886006</v>
      </c>
      <c r="O99" s="2">
        <f>O11/'Output-Calculation-sheet'!O10*'Output-Calculation-sheet'!O82</f>
        <v>1439846904.6111777</v>
      </c>
      <c r="P99" s="2">
        <f>P11/'Output-Calculation-sheet'!P10*'Output-Calculation-sheet'!P82</f>
        <v>2906507790.456995</v>
      </c>
      <c r="Q99" s="2">
        <f>Q11/'Output-Calculation-sheet'!Q10*'Output-Calculation-sheet'!Q82</f>
        <v>1664012006.481653</v>
      </c>
      <c r="R99" s="2">
        <f>R11/'Output-Calculation-sheet'!R10*'Output-Calculation-sheet'!R82</f>
        <v>2177283013.5259953</v>
      </c>
      <c r="S99" s="2">
        <f>S11/'Output-Calculation-sheet'!S10*'Output-Calculation-sheet'!S82</f>
        <v>1379166829.1601081</v>
      </c>
      <c r="T99" s="2">
        <f>T11/'Output-Calculation-sheet'!T10*'Output-Calculation-sheet'!T82</f>
        <v>860302276.00832045</v>
      </c>
      <c r="U99" s="2">
        <f>U11/'Output-Calculation-sheet'!U10*'Output-Calculation-sheet'!U82</f>
        <v>809210857.95762527</v>
      </c>
      <c r="V99" s="2">
        <f>V11/'Output-Calculation-sheet'!V10*'Output-Calculation-sheet'!V82</f>
        <v>529972400.07342339</v>
      </c>
      <c r="W99" s="2">
        <f>W11/'Output-Calculation-sheet'!W10*'Output-Calculation-sheet'!W82</f>
        <v>594691843.13475573</v>
      </c>
      <c r="X99" s="2">
        <f>X11/'Output-Calculation-sheet'!X10*'Output-Calculation-sheet'!X82</f>
        <v>286403680.44648117</v>
      </c>
      <c r="Y99" s="2">
        <f>Y11/'Output-Calculation-sheet'!Y10*'Output-Calculation-sheet'!Y82</f>
        <v>308992674.86400825</v>
      </c>
      <c r="AA99" s="2">
        <f t="shared" si="8"/>
        <v>95.011381900054417</v>
      </c>
    </row>
    <row r="100" spans="1:27" x14ac:dyDescent="0.25">
      <c r="A100" s="2">
        <v>2035</v>
      </c>
      <c r="B100" s="2">
        <f>B12/'Output-Calculation-sheet'!B11*'Output-Calculation-sheet'!B83</f>
        <v>22141947638.301693</v>
      </c>
      <c r="C100" s="2">
        <f>C12/'Output-Calculation-sheet'!C11*'Output-Calculation-sheet'!C83</f>
        <v>9207020105.5271187</v>
      </c>
      <c r="D100" s="2">
        <f>D12/'Output-Calculation-sheet'!D11*'Output-Calculation-sheet'!D83</f>
        <v>7130985131.3408051</v>
      </c>
      <c r="E100" s="2">
        <f>E12/'Output-Calculation-sheet'!E11*'Output-Calculation-sheet'!E83</f>
        <v>8544640277.4730806</v>
      </c>
      <c r="F100" s="2">
        <f>F12/'Output-Calculation-sheet'!F11*'Output-Calculation-sheet'!F83</f>
        <v>5113538330.1921673</v>
      </c>
      <c r="G100" s="2">
        <f>G12/'Output-Calculation-sheet'!G11*'Output-Calculation-sheet'!G83</f>
        <v>2448418790.4534268</v>
      </c>
      <c r="H100" s="2">
        <f>H12/'Output-Calculation-sheet'!H11*'Output-Calculation-sheet'!H83</f>
        <v>3286300598.3568649</v>
      </c>
      <c r="I100" s="2">
        <f>I12/'Output-Calculation-sheet'!I11*'Output-Calculation-sheet'!I83</f>
        <v>3116606596.9363279</v>
      </c>
      <c r="J100" s="2">
        <f>J12/'Output-Calculation-sheet'!J11*'Output-Calculation-sheet'!J83</f>
        <v>1840244789.995769</v>
      </c>
      <c r="K100" s="2">
        <f>K12/'Output-Calculation-sheet'!K11*'Output-Calculation-sheet'!K83</f>
        <v>2992170008.9873447</v>
      </c>
      <c r="L100" s="2">
        <f>L12/'Output-Calculation-sheet'!L11*'Output-Calculation-sheet'!L83</f>
        <v>2201074127.7289233</v>
      </c>
      <c r="M100" s="2">
        <f>M12/'Output-Calculation-sheet'!M11*'Output-Calculation-sheet'!M83</f>
        <v>2200947836.879087</v>
      </c>
      <c r="N100" s="2">
        <f>N12/'Output-Calculation-sheet'!N11*'Output-Calculation-sheet'!N83</f>
        <v>1596725265.4924941</v>
      </c>
      <c r="O100" s="2">
        <f>O12/'Output-Calculation-sheet'!O11*'Output-Calculation-sheet'!O83</f>
        <v>1272100702.5828643</v>
      </c>
      <c r="P100" s="2">
        <f>P12/'Output-Calculation-sheet'!P11*'Output-Calculation-sheet'!P83</f>
        <v>2523581078.7152271</v>
      </c>
      <c r="Q100" s="2">
        <f>Q12/'Output-Calculation-sheet'!Q11*'Output-Calculation-sheet'!Q83</f>
        <v>1469188421.9481335</v>
      </c>
      <c r="R100" s="2">
        <f>R12/'Output-Calculation-sheet'!R11*'Output-Calculation-sheet'!R83</f>
        <v>1909117030.6567614</v>
      </c>
      <c r="S100" s="2">
        <f>S12/'Output-Calculation-sheet'!S11*'Output-Calculation-sheet'!S83</f>
        <v>1211560991.7456751</v>
      </c>
      <c r="T100" s="2">
        <f>T12/'Output-Calculation-sheet'!T11*'Output-Calculation-sheet'!T83</f>
        <v>749245376.03740966</v>
      </c>
      <c r="U100" s="2">
        <f>U12/'Output-Calculation-sheet'!U11*'Output-Calculation-sheet'!U83</f>
        <v>706995822.76917696</v>
      </c>
      <c r="V100" s="2">
        <f>V12/'Output-Calculation-sheet'!V11*'Output-Calculation-sheet'!V83</f>
        <v>465520927.15070856</v>
      </c>
      <c r="W100" s="2">
        <f>W12/'Output-Calculation-sheet'!W11*'Output-Calculation-sheet'!W83</f>
        <v>512314642.44906521</v>
      </c>
      <c r="X100" s="2">
        <f>X12/'Output-Calculation-sheet'!X11*'Output-Calculation-sheet'!X83</f>
        <v>250830149.22939292</v>
      </c>
      <c r="Y100" s="2">
        <f>Y12/'Output-Calculation-sheet'!Y11*'Output-Calculation-sheet'!Y83</f>
        <v>267607098.76890182</v>
      </c>
      <c r="AA100" s="2">
        <f t="shared" si="8"/>
        <v>83.158681739718446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1323625552.1394947</v>
      </c>
      <c r="C107" s="2">
        <f>C8/'Output-Calculation-sheet'!C7*'Output-Calculation-sheet'!C88</f>
        <v>21798684869.363899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6801303515.4237919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4692332454.4580889</v>
      </c>
      <c r="N107" s="2">
        <f>N8/'Output-Calculation-sheet'!N7*'Output-Calculation-sheet'!N88</f>
        <v>1570609780.540864</v>
      </c>
      <c r="O107" s="2">
        <f>O8/'Output-Calculation-sheet'!O7*'Output-Calculation-sheet'!O88</f>
        <v>4235504371.7259436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470918428.28981853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508181106.64558363</v>
      </c>
      <c r="Y107" s="2">
        <f>Y8/'Output-Calculation-sheet'!Y7*'Output-Calculation-sheet'!Y88</f>
        <v>0</v>
      </c>
      <c r="AA107" s="2">
        <f t="shared" si="9"/>
        <v>41401.160078587483</v>
      </c>
    </row>
    <row r="108" spans="1:27" x14ac:dyDescent="0.25">
      <c r="A108" s="2">
        <v>2032</v>
      </c>
      <c r="B108" s="2">
        <f>B9/'Output-Calculation-sheet'!B8*'Output-Calculation-sheet'!B89</f>
        <v>5425767485.5882463</v>
      </c>
      <c r="C108" s="2">
        <f>C9/'Output-Calculation-sheet'!C8*'Output-Calculation-sheet'!C89</f>
        <v>27198952211.873081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8485885214.4058552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5854522923.9334202</v>
      </c>
      <c r="N108" s="2">
        <f>N9/'Output-Calculation-sheet'!N8*'Output-Calculation-sheet'!N89</f>
        <v>2746875415.1596732</v>
      </c>
      <c r="O108" s="2">
        <f>O9/'Output-Calculation-sheet'!O8*'Output-Calculation-sheet'!O89</f>
        <v>5284779549.3154507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830019304.06533754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634062332.40865564</v>
      </c>
      <c r="Y108" s="2">
        <f>Y9/'Output-Calculation-sheet'!Y8*'Output-Calculation-sheet'!Y89</f>
        <v>0</v>
      </c>
      <c r="AA108" s="2">
        <f t="shared" si="9"/>
        <v>56460.864436749718</v>
      </c>
    </row>
    <row r="109" spans="1:27" x14ac:dyDescent="0.25">
      <c r="A109" s="2">
        <v>2033</v>
      </c>
      <c r="B109" s="2">
        <f>B10/'Output-Calculation-sheet'!B9*'Output-Calculation-sheet'!B90</f>
        <v>12655115994.505798</v>
      </c>
      <c r="C109" s="2">
        <f>C10/'Output-Calculation-sheet'!C9*'Output-Calculation-sheet'!C90</f>
        <v>29908795052.296833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9331334655.028841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6437810011.8803644</v>
      </c>
      <c r="N109" s="2">
        <f>N10/'Output-Calculation-sheet'!N9*'Output-Calculation-sheet'!N90</f>
        <v>3792782284.4446421</v>
      </c>
      <c r="O109" s="2">
        <f>O10/'Output-Calculation-sheet'!O9*'Output-Calculation-sheet'!O90</f>
        <v>5540923561.6747141</v>
      </c>
      <c r="P109" s="2">
        <f>P10/'Output-Calculation-sheet'!P9*'Output-Calculation-sheet'!P90</f>
        <v>0</v>
      </c>
      <c r="Q109" s="2">
        <f>Q10/'Output-Calculation-sheet'!Q9*'Output-Calculation-sheet'!Q90</f>
        <v>123453123.92430648</v>
      </c>
      <c r="R109" s="2">
        <f>R10/'Output-Calculation-sheet'!R9*'Output-Calculation-sheet'!R90</f>
        <v>0</v>
      </c>
      <c r="S109" s="2">
        <f>S10/'Output-Calculation-sheet'!S9*'Output-Calculation-sheet'!S90</f>
        <v>1529044060.9445686</v>
      </c>
      <c r="T109" s="2">
        <f>T10/'Output-Calculation-sheet'!T9*'Output-Calculation-sheet'!T90</f>
        <v>-2.5412106948770994E-7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697234302.15277374</v>
      </c>
      <c r="Y109" s="2">
        <f>Y10/'Output-Calculation-sheet'!Y9*'Output-Calculation-sheet'!Y90</f>
        <v>0</v>
      </c>
      <c r="AA109" s="2">
        <f t="shared" si="9"/>
        <v>70016.493046852833</v>
      </c>
    </row>
    <row r="110" spans="1:27" x14ac:dyDescent="0.25">
      <c r="A110" s="2">
        <v>2034</v>
      </c>
      <c r="B110" s="2">
        <f>B11/'Output-Calculation-sheet'!B10*'Output-Calculation-sheet'!B91</f>
        <v>24524626826.299759</v>
      </c>
      <c r="C110" s="2">
        <f>C11/'Output-Calculation-sheet'!C10*'Output-Calculation-sheet'!C91</f>
        <v>27166628815.696609</v>
      </c>
      <c r="D110" s="2">
        <f>D11/'Output-Calculation-sheet'!D10*'Output-Calculation-sheet'!D91</f>
        <v>0</v>
      </c>
      <c r="E110" s="2">
        <f>E11/'Output-Calculation-sheet'!E10*'Output-Calculation-sheet'!E91</f>
        <v>513250931.69012702</v>
      </c>
      <c r="F110" s="2">
        <f>F11/'Output-Calculation-sheet'!F10*'Output-Calculation-sheet'!F91</f>
        <v>0</v>
      </c>
      <c r="G110" s="2">
        <f>G11/'Output-Calculation-sheet'!G10*'Output-Calculation-sheet'!G91</f>
        <v>-1.1569855954499067E-6</v>
      </c>
      <c r="H110" s="2">
        <f>H11/'Output-Calculation-sheet'!H10*'Output-Calculation-sheet'!H91</f>
        <v>9153800117.0537052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416730561.4223423</v>
      </c>
      <c r="M110" s="2">
        <f>M11/'Output-Calculation-sheet'!M10*'Output-Calculation-sheet'!M91</f>
        <v>6315325554.0267487</v>
      </c>
      <c r="N110" s="2">
        <f>N11/'Output-Calculation-sheet'!N10*'Output-Calculation-sheet'!N91</f>
        <v>4368562233.3567886</v>
      </c>
      <c r="O110" s="2">
        <f>O11/'Output-Calculation-sheet'!O10*'Output-Calculation-sheet'!O91</f>
        <v>5008333968.4230099</v>
      </c>
      <c r="P110" s="2">
        <f>P11/'Output-Calculation-sheet'!P10*'Output-Calculation-sheet'!P91</f>
        <v>4.6624816454692636E-7</v>
      </c>
      <c r="Q110" s="2">
        <f>Q11/'Output-Calculation-sheet'!Q10*'Output-Calculation-sheet'!Q91</f>
        <v>1111768372.1264627</v>
      </c>
      <c r="R110" s="2">
        <f>R11/'Output-Calculation-sheet'!R10*'Output-Calculation-sheet'!R91</f>
        <v>0</v>
      </c>
      <c r="S110" s="2">
        <f>S11/'Output-Calculation-sheet'!S10*'Output-Calculation-sheet'!S91</f>
        <v>2147866332.0467758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623412504.04275835</v>
      </c>
      <c r="Y110" s="2">
        <f>Y11/'Output-Calculation-sheet'!Y10*'Output-Calculation-sheet'!Y91</f>
        <v>27386897.271786228</v>
      </c>
      <c r="AA110" s="2">
        <f t="shared" si="9"/>
        <v>81377.693113456873</v>
      </c>
    </row>
    <row r="111" spans="1:27" x14ac:dyDescent="0.25">
      <c r="A111" s="2">
        <v>2035</v>
      </c>
      <c r="B111" s="2">
        <f>B12/'Output-Calculation-sheet'!B11*'Output-Calculation-sheet'!B92</f>
        <v>26629972038.580048</v>
      </c>
      <c r="C111" s="2">
        <f>C12/'Output-Calculation-sheet'!C11*'Output-Calculation-sheet'!C92</f>
        <v>22374763734.666275</v>
      </c>
      <c r="D111" s="2">
        <f>D12/'Output-Calculation-sheet'!D11*'Output-Calculation-sheet'!D92</f>
        <v>0</v>
      </c>
      <c r="E111" s="2">
        <f>E12/'Output-Calculation-sheet'!E11*'Output-Calculation-sheet'!E92</f>
        <v>3026508492.1406293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7594896498.4461594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974274853.76467133</v>
      </c>
      <c r="M111" s="2">
        <f>M12/'Output-Calculation-sheet'!M11*'Output-Calculation-sheet'!M92</f>
        <v>5257833004.7005138</v>
      </c>
      <c r="N111" s="2">
        <f>N12/'Output-Calculation-sheet'!N11*'Output-Calculation-sheet'!N92</f>
        <v>3769873953.9545789</v>
      </c>
      <c r="O111" s="2">
        <f>O12/'Output-Calculation-sheet'!O11*'Output-Calculation-sheet'!O92</f>
        <v>4018041552.4359355</v>
      </c>
      <c r="P111" s="2">
        <f>P12/'Output-Calculation-sheet'!P11*'Output-Calculation-sheet'!P92</f>
        <v>206776748.58166674</v>
      </c>
      <c r="Q111" s="2">
        <f>Q12/'Output-Calculation-sheet'!Q11*'Output-Calculation-sheet'!Q92</f>
        <v>1619617329.9824131</v>
      </c>
      <c r="R111" s="2">
        <f>R12/'Output-Calculation-sheet'!R11*'Output-Calculation-sheet'!R92</f>
        <v>0</v>
      </c>
      <c r="S111" s="2">
        <f>S12/'Output-Calculation-sheet'!S11*'Output-Calculation-sheet'!S92</f>
        <v>2027654740.5926371</v>
      </c>
      <c r="T111" s="2">
        <f>T12/'Output-Calculation-sheet'!T11*'Output-Calculation-sheet'!T92</f>
        <v>0</v>
      </c>
      <c r="U111" s="2">
        <f>U12/'Output-Calculation-sheet'!U11*'Output-Calculation-sheet'!U92</f>
        <v>72019755.261023253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516610286.08830971</v>
      </c>
      <c r="Y111" s="2">
        <f>Y12/'Output-Calculation-sheet'!Y11*'Output-Calculation-sheet'!Y92</f>
        <v>122225434.52856432</v>
      </c>
      <c r="AA111" s="2">
        <f t="shared" si="9"/>
        <v>78211.068423723409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44944060496.353615</v>
      </c>
      <c r="C118" s="2">
        <f>C8/'Output-Calculation-sheet'!C7*'Output-Calculation-sheet'!C97</f>
        <v>0</v>
      </c>
      <c r="D118" s="2">
        <f>D8/'Output-Calculation-sheet'!D7*'Output-Calculation-sheet'!D97</f>
        <v>19432961279.344662</v>
      </c>
      <c r="E118" s="2">
        <f>E8/'Output-Calculation-sheet'!E7*'Output-Calculation-sheet'!E97</f>
        <v>15418082780.464624</v>
      </c>
      <c r="F118" s="2">
        <f>F8/'Output-Calculation-sheet'!F7*'Output-Calculation-sheet'!F97</f>
        <v>9925173158.3295975</v>
      </c>
      <c r="G118" s="2">
        <f>G8/'Output-Calculation-sheet'!G7*'Output-Calculation-sheet'!G97</f>
        <v>6973699050.0676041</v>
      </c>
      <c r="H118" s="2">
        <f>H8/'Output-Calculation-sheet'!H7*'Output-Calculation-sheet'!H97</f>
        <v>0</v>
      </c>
      <c r="I118" s="2">
        <f>I8/'Output-Calculation-sheet'!I7*'Output-Calculation-sheet'!I97</f>
        <v>6353588784.6825705</v>
      </c>
      <c r="J118" s="2">
        <f>J8/'Output-Calculation-sheet'!J7*'Output-Calculation-sheet'!J97</f>
        <v>6184145714.4773359</v>
      </c>
      <c r="K118" s="2">
        <f>K8/'Output-Calculation-sheet'!K7*'Output-Calculation-sheet'!K97</f>
        <v>6124858384.1357956</v>
      </c>
      <c r="L118" s="2">
        <f>L8/'Output-Calculation-sheet'!L7*'Output-Calculation-sheet'!L97</f>
        <v>4913441035.8876333</v>
      </c>
      <c r="M118" s="2">
        <f>M8/'Output-Calculation-sheet'!M7*'Output-Calculation-sheet'!M97</f>
        <v>0</v>
      </c>
      <c r="N118" s="2">
        <f>N8/'Output-Calculation-sheet'!N7*'Output-Calculation-sheet'!N97</f>
        <v>3035701304.9581838</v>
      </c>
      <c r="O118" s="2">
        <f>O8/'Output-Calculation-sheet'!O7*'Output-Calculation-sheet'!O97</f>
        <v>0</v>
      </c>
      <c r="P118" s="2">
        <f>P8/'Output-Calculation-sheet'!P7*'Output-Calculation-sheet'!P97</f>
        <v>4193368597.8904996</v>
      </c>
      <c r="Q118" s="2">
        <f>Q8/'Output-Calculation-sheet'!Q7*'Output-Calculation-sheet'!Q97</f>
        <v>4125596202.2114587</v>
      </c>
      <c r="R118" s="2">
        <f>R8/'Output-Calculation-sheet'!R7*'Output-Calculation-sheet'!R97</f>
        <v>3969013283.8316984</v>
      </c>
      <c r="S118" s="2">
        <f>S8/'Output-Calculation-sheet'!S7*'Output-Calculation-sheet'!S97</f>
        <v>2167091839.7575555</v>
      </c>
      <c r="T118" s="2">
        <f>T8/'Output-Calculation-sheet'!T7*'Output-Calculation-sheet'!T97</f>
        <v>1458975439.7718334</v>
      </c>
      <c r="U118" s="2">
        <f>U8/'Output-Calculation-sheet'!U7*'Output-Calculation-sheet'!U97</f>
        <v>1270717507.4384687</v>
      </c>
      <c r="V118" s="2">
        <f>V8/'Output-Calculation-sheet'!V7*'Output-Calculation-sheet'!V97</f>
        <v>978478279.58187962</v>
      </c>
      <c r="W118" s="2">
        <f>W8/'Output-Calculation-sheet'!W7*'Output-Calculation-sheet'!W97</f>
        <v>847145004.69952846</v>
      </c>
      <c r="X118" s="2">
        <f>X8/'Output-Calculation-sheet'!X7*'Output-Calculation-sheet'!X97</f>
        <v>0</v>
      </c>
      <c r="Y118" s="2">
        <f>Y8/'Output-Calculation-sheet'!Y7*'Output-Calculation-sheet'!Y97</f>
        <v>494304220.71283102</v>
      </c>
      <c r="AA118" s="2">
        <f t="shared" si="10"/>
        <v>142810.40236459739</v>
      </c>
    </row>
    <row r="119" spans="1:27" x14ac:dyDescent="0.25">
      <c r="A119" s="2">
        <v>2032</v>
      </c>
      <c r="B119" s="2">
        <f>B9/'Output-Calculation-sheet'!B8*'Output-Calculation-sheet'!B98</f>
        <v>52301332982.930748</v>
      </c>
      <c r="C119" s="2">
        <f>C9/'Output-Calculation-sheet'!C8*'Output-Calculation-sheet'!C98</f>
        <v>0</v>
      </c>
      <c r="D119" s="2">
        <f>D9/'Output-Calculation-sheet'!D8*'Output-Calculation-sheet'!D98</f>
        <v>24246049214.161762</v>
      </c>
      <c r="E119" s="2">
        <f>E9/'Output-Calculation-sheet'!E8*'Output-Calculation-sheet'!E98</f>
        <v>19236775123.698402</v>
      </c>
      <c r="F119" s="2">
        <f>F9/'Output-Calculation-sheet'!F8*'Output-Calculation-sheet'!F98</f>
        <v>12383406286.086159</v>
      </c>
      <c r="G119" s="2">
        <f>G9/'Output-Calculation-sheet'!G8*'Output-Calculation-sheet'!G98</f>
        <v>8700921138.5422726</v>
      </c>
      <c r="H119" s="2">
        <f>H9/'Output-Calculation-sheet'!H8*'Output-Calculation-sheet'!H98</f>
        <v>0</v>
      </c>
      <c r="I119" s="2">
        <f>I9/'Output-Calculation-sheet'!I8*'Output-Calculation-sheet'!I98</f>
        <v>7927224665.0677748</v>
      </c>
      <c r="J119" s="2">
        <f>J9/'Output-Calculation-sheet'!J8*'Output-Calculation-sheet'!J98</f>
        <v>7715811498.9568119</v>
      </c>
      <c r="K119" s="2">
        <f>K9/'Output-Calculation-sheet'!K8*'Output-Calculation-sheet'!K98</f>
        <v>7641841306.0294943</v>
      </c>
      <c r="L119" s="2">
        <f>L9/'Output-Calculation-sheet'!L8*'Output-Calculation-sheet'!L98</f>
        <v>6130385894.5432835</v>
      </c>
      <c r="M119" s="2">
        <f>M9/'Output-Calculation-sheet'!M8*'Output-Calculation-sheet'!M98</f>
        <v>0</v>
      </c>
      <c r="N119" s="2">
        <f>N9/'Output-Calculation-sheet'!N8*'Output-Calculation-sheet'!N98</f>
        <v>2999831641.1347952</v>
      </c>
      <c r="O119" s="2">
        <f>O9/'Output-Calculation-sheet'!O8*'Output-Calculation-sheet'!O98</f>
        <v>5.3833670628758024E-7</v>
      </c>
      <c r="P119" s="2">
        <f>P9/'Output-Calculation-sheet'!P8*'Output-Calculation-sheet'!P98</f>
        <v>5231932914.1034021</v>
      </c>
      <c r="Q119" s="2">
        <f>Q9/'Output-Calculation-sheet'!Q8*'Output-Calculation-sheet'!Q98</f>
        <v>5147409439.2143593</v>
      </c>
      <c r="R119" s="2">
        <f>R9/'Output-Calculation-sheet'!R8*'Output-Calculation-sheet'!R98</f>
        <v>4952045009.884511</v>
      </c>
      <c r="S119" s="2">
        <f>S9/'Output-Calculation-sheet'!S8*'Output-Calculation-sheet'!S98</f>
        <v>2461187767.0088558</v>
      </c>
      <c r="T119" s="2">
        <f>T9/'Output-Calculation-sheet'!T8*'Output-Calculation-sheet'!T98</f>
        <v>1820329092.3486714</v>
      </c>
      <c r="U119" s="2">
        <f>U9/'Output-Calculation-sheet'!U8*'Output-Calculation-sheet'!U98</f>
        <v>1585444752.8761032</v>
      </c>
      <c r="V119" s="2">
        <f>V9/'Output-Calculation-sheet'!V8*'Output-Calculation-sheet'!V98</f>
        <v>1220824168.8096375</v>
      </c>
      <c r="W119" s="2">
        <f>W9/'Output-Calculation-sheet'!W8*'Output-Calculation-sheet'!W98</f>
        <v>1056963002.4964846</v>
      </c>
      <c r="X119" s="2">
        <f>X9/'Output-Calculation-sheet'!X8*'Output-Calculation-sheet'!X98</f>
        <v>0</v>
      </c>
      <c r="Y119" s="2">
        <f>Y9/'Output-Calculation-sheet'!Y8*'Output-Calculation-sheet'!Y98</f>
        <v>616731570.44557989</v>
      </c>
      <c r="AA119" s="2">
        <f t="shared" si="10"/>
        <v>173376.44746833909</v>
      </c>
    </row>
    <row r="120" spans="1:27" x14ac:dyDescent="0.25">
      <c r="A120" s="2">
        <v>2033</v>
      </c>
      <c r="B120" s="2">
        <f>B10/'Output-Calculation-sheet'!B9*'Output-Calculation-sheet'!B99</f>
        <v>50817589605.685547</v>
      </c>
      <c r="C120" s="2">
        <f>C10/'Output-Calculation-sheet'!C9*'Output-Calculation-sheet'!C99</f>
        <v>0</v>
      </c>
      <c r="D120" s="2">
        <f>D10/'Output-Calculation-sheet'!D9*'Output-Calculation-sheet'!D99</f>
        <v>26660886352.341187</v>
      </c>
      <c r="E120" s="2">
        <f>E10/'Output-Calculation-sheet'!E9*'Output-Calculation-sheet'!E99</f>
        <v>21152705103.338615</v>
      </c>
      <c r="F120" s="2">
        <f>F10/'Output-Calculation-sheet'!F9*'Output-Calculation-sheet'!F99</f>
        <v>13616755332.493502</v>
      </c>
      <c r="G120" s="2">
        <f>G10/'Output-Calculation-sheet'!G9*'Output-Calculation-sheet'!G99</f>
        <v>9567505998.3733845</v>
      </c>
      <c r="H120" s="2">
        <f>H10/'Output-Calculation-sheet'!H9*'Output-Calculation-sheet'!H99</f>
        <v>0</v>
      </c>
      <c r="I120" s="2">
        <f>I10/'Output-Calculation-sheet'!I9*'Output-Calculation-sheet'!I99</f>
        <v>8716752212.5253258</v>
      </c>
      <c r="J120" s="2">
        <f>J10/'Output-Calculation-sheet'!J9*'Output-Calculation-sheet'!J99</f>
        <v>8484282921.2592983</v>
      </c>
      <c r="K120" s="2">
        <f>K10/'Output-Calculation-sheet'!K9*'Output-Calculation-sheet'!K99</f>
        <v>8402946400.2807322</v>
      </c>
      <c r="L120" s="2">
        <f>L10/'Output-Calculation-sheet'!L9*'Output-Calculation-sheet'!L99</f>
        <v>6740953739.7445393</v>
      </c>
      <c r="M120" s="2">
        <f>M10/'Output-Calculation-sheet'!M9*'Output-Calculation-sheet'!M99</f>
        <v>0</v>
      </c>
      <c r="N120" s="2">
        <f>N10/'Output-Calculation-sheet'!N9*'Output-Calculation-sheet'!N99</f>
        <v>2525907131.4122324</v>
      </c>
      <c r="O120" s="2">
        <f>O10/'Output-Calculation-sheet'!O9*'Output-Calculation-sheet'!O99</f>
        <v>0</v>
      </c>
      <c r="P120" s="2">
        <f>P10/'Output-Calculation-sheet'!P9*'Output-Calculation-sheet'!P99</f>
        <v>5752715608.0074186</v>
      </c>
      <c r="Q120" s="2">
        <f>Q10/'Output-Calculation-sheet'!Q9*'Output-Calculation-sheet'!Q99</f>
        <v>5536567363.7954044</v>
      </c>
      <c r="R120" s="2">
        <f>R10/'Output-Calculation-sheet'!R9*'Output-Calculation-sheet'!R99</f>
        <v>5444995216.57162</v>
      </c>
      <c r="S120" s="2">
        <f>S10/'Output-Calculation-sheet'!S9*'Output-Calculation-sheet'!S99</f>
        <v>2089715574.3274326</v>
      </c>
      <c r="T120" s="2">
        <f>T10/'Output-Calculation-sheet'!T9*'Output-Calculation-sheet'!T99</f>
        <v>2001611134.2978659</v>
      </c>
      <c r="U120" s="2">
        <f>U10/'Output-Calculation-sheet'!U9*'Output-Calculation-sheet'!U99</f>
        <v>1743729140.7925472</v>
      </c>
      <c r="V120" s="2">
        <f>V10/'Output-Calculation-sheet'!V9*'Output-Calculation-sheet'!V99</f>
        <v>1342414623.1240861</v>
      </c>
      <c r="W120" s="2">
        <f>W10/'Output-Calculation-sheet'!W9*'Output-Calculation-sheet'!W99</f>
        <v>1162233555.0929096</v>
      </c>
      <c r="X120" s="2">
        <f>X10/'Output-Calculation-sheet'!X9*'Output-Calculation-sheet'!X99</f>
        <v>0</v>
      </c>
      <c r="Y120" s="2">
        <f>Y10/'Output-Calculation-sheet'!Y9*'Output-Calculation-sheet'!Y99</f>
        <v>678157184.78852904</v>
      </c>
      <c r="AA120" s="2">
        <f t="shared" si="10"/>
        <v>182438.42419825218</v>
      </c>
    </row>
    <row r="121" spans="1:27" x14ac:dyDescent="0.25">
      <c r="A121" s="2">
        <v>2034</v>
      </c>
      <c r="B121" s="2">
        <f>B11/'Output-Calculation-sheet'!B10*'Output-Calculation-sheet'!B100</f>
        <v>37735035234.764038</v>
      </c>
      <c r="C121" s="2">
        <f>C11/'Output-Calculation-sheet'!C10*'Output-Calculation-sheet'!C100</f>
        <v>0</v>
      </c>
      <c r="D121" s="2">
        <f>D11/'Output-Calculation-sheet'!D10*'Output-Calculation-sheet'!D100</f>
        <v>26153080660.140339</v>
      </c>
      <c r="E121" s="2">
        <f>E11/'Output-Calculation-sheet'!E10*'Output-Calculation-sheet'!E100</f>
        <v>20235684258.770897</v>
      </c>
      <c r="F121" s="2">
        <f>F11/'Output-Calculation-sheet'!F10*'Output-Calculation-sheet'!F100</f>
        <v>13357327180.663946</v>
      </c>
      <c r="G121" s="2">
        <f>G11/'Output-Calculation-sheet'!G10*'Output-Calculation-sheet'!G100</f>
        <v>9384764659.7275124</v>
      </c>
      <c r="H121" s="2">
        <f>H11/'Output-Calculation-sheet'!H10*'Output-Calculation-sheet'!H100</f>
        <v>1.1298199878024853E-7</v>
      </c>
      <c r="I121" s="2">
        <f>I11/'Output-Calculation-sheet'!I10*'Output-Calculation-sheet'!I100</f>
        <v>8550423147.5878277</v>
      </c>
      <c r="J121" s="2">
        <f>J11/'Output-Calculation-sheet'!J10*'Output-Calculation-sheet'!J100</f>
        <v>8322468692.5063782</v>
      </c>
      <c r="K121" s="2">
        <f>K11/'Output-Calculation-sheet'!K10*'Output-Calculation-sheet'!K100</f>
        <v>8242900193.6037283</v>
      </c>
      <c r="L121" s="2">
        <f>L11/'Output-Calculation-sheet'!L10*'Output-Calculation-sheet'!L100</f>
        <v>6195630612.1065178</v>
      </c>
      <c r="M121" s="2">
        <f>M11/'Output-Calculation-sheet'!M10*'Output-Calculation-sheet'!M100</f>
        <v>-7.337279647412413E-8</v>
      </c>
      <c r="N121" s="2">
        <f>N11/'Output-Calculation-sheet'!N10*'Output-Calculation-sheet'!N100</f>
        <v>1829909955.5036931</v>
      </c>
      <c r="O121" s="2">
        <f>O11/'Output-Calculation-sheet'!O10*'Output-Calculation-sheet'!O100</f>
        <v>0</v>
      </c>
      <c r="P121" s="2">
        <f>P11/'Output-Calculation-sheet'!P10*'Output-Calculation-sheet'!P100</f>
        <v>5642912037.7869778</v>
      </c>
      <c r="Q121" s="2">
        <f>Q11/'Output-Calculation-sheet'!Q10*'Output-Calculation-sheet'!Q100</f>
        <v>4439992519.8164587</v>
      </c>
      <c r="R121" s="2">
        <f>R11/'Output-Calculation-sheet'!R10*'Output-Calculation-sheet'!R100</f>
        <v>5341054657.5054817</v>
      </c>
      <c r="S121" s="2">
        <f>S11/'Output-Calculation-sheet'!S10*'Output-Calculation-sheet'!S100</f>
        <v>1401938249.4107201</v>
      </c>
      <c r="T121" s="2">
        <f>T11/'Output-Calculation-sheet'!T10*'Output-Calculation-sheet'!T100</f>
        <v>1963369456.66063</v>
      </c>
      <c r="U121" s="2">
        <f>U11/'Output-Calculation-sheet'!U10*'Output-Calculation-sheet'!U100</f>
        <v>1711066256.8663425</v>
      </c>
      <c r="V121" s="2">
        <f>V11/'Output-Calculation-sheet'!V10*'Output-Calculation-sheet'!V100</f>
        <v>1316846059.5585096</v>
      </c>
      <c r="W121" s="2">
        <f>W11/'Output-Calculation-sheet'!W10*'Output-Calculation-sheet'!W100</f>
        <v>1140130539.7330513</v>
      </c>
      <c r="X121" s="2">
        <f>X11/'Output-Calculation-sheet'!X10*'Output-Calculation-sheet'!X100</f>
        <v>60556599.786077641</v>
      </c>
      <c r="Y121" s="2">
        <f>Y11/'Output-Calculation-sheet'!Y10*'Output-Calculation-sheet'!Y100</f>
        <v>637841445.02947688</v>
      </c>
      <c r="AA121" s="2">
        <f t="shared" si="10"/>
        <v>163662.93241752859</v>
      </c>
    </row>
    <row r="122" spans="1:27" x14ac:dyDescent="0.25">
      <c r="A122" s="2">
        <v>2035</v>
      </c>
      <c r="B122" s="2">
        <f>B12/'Output-Calculation-sheet'!B11*'Output-Calculation-sheet'!B101</f>
        <v>26071886589.893677</v>
      </c>
      <c r="C122" s="2">
        <f>C12/'Output-Calculation-sheet'!C11*'Output-Calculation-sheet'!C101</f>
        <v>0</v>
      </c>
      <c r="D122" s="2">
        <f>D12/'Output-Calculation-sheet'!D11*'Output-Calculation-sheet'!D101</f>
        <v>21852224184.813412</v>
      </c>
      <c r="E122" s="2">
        <f>E12/'Output-Calculation-sheet'!E11*'Output-Calculation-sheet'!E101</f>
        <v>14714308755.362579</v>
      </c>
      <c r="F122" s="2">
        <f>F12/'Output-Calculation-sheet'!F11*'Output-Calculation-sheet'!F101</f>
        <v>11390519660.198734</v>
      </c>
      <c r="G122" s="2">
        <f>G12/'Output-Calculation-sheet'!G11*'Output-Calculation-sheet'!G101</f>
        <v>7762163461.8709478</v>
      </c>
      <c r="H122" s="2">
        <f>H12/'Output-Calculation-sheet'!H11*'Output-Calculation-sheet'!H101</f>
        <v>0</v>
      </c>
      <c r="I122" s="2">
        <f>I12/'Output-Calculation-sheet'!I11*'Output-Calculation-sheet'!I101</f>
        <v>7268365388.4367418</v>
      </c>
      <c r="J122" s="2">
        <f>J12/'Output-Calculation-sheet'!J11*'Output-Calculation-sheet'!J101</f>
        <v>6946864094.7774248</v>
      </c>
      <c r="K122" s="2">
        <f>K12/'Output-Calculation-sheet'!K11*'Output-Calculation-sheet'!K101</f>
        <v>7014530473.4244738</v>
      </c>
      <c r="L122" s="2">
        <f>L12/'Output-Calculation-sheet'!L11*'Output-Calculation-sheet'!L101</f>
        <v>4668418163.1043282</v>
      </c>
      <c r="M122" s="2">
        <f>M12/'Output-Calculation-sheet'!M11*'Output-Calculation-sheet'!M101</f>
        <v>0</v>
      </c>
      <c r="N122" s="2">
        <f>N12/'Output-Calculation-sheet'!N11*'Output-Calculation-sheet'!N101</f>
        <v>1375371765.8578653</v>
      </c>
      <c r="O122" s="2">
        <f>O12/'Output-Calculation-sheet'!O11*'Output-Calculation-sheet'!O101</f>
        <v>0</v>
      </c>
      <c r="P122" s="2">
        <f>P12/'Output-Calculation-sheet'!P11*'Output-Calculation-sheet'!P101</f>
        <v>4603380952.9009514</v>
      </c>
      <c r="Q122" s="2">
        <f>Q12/'Output-Calculation-sheet'!Q11*'Output-Calculation-sheet'!Q101</f>
        <v>2998347716.820446</v>
      </c>
      <c r="R122" s="2">
        <f>R12/'Output-Calculation-sheet'!R11*'Output-Calculation-sheet'!R101</f>
        <v>4541502319.6600847</v>
      </c>
      <c r="S122" s="2">
        <f>S12/'Output-Calculation-sheet'!S11*'Output-Calculation-sheet'!S101</f>
        <v>954952202.8546319</v>
      </c>
      <c r="T122" s="2">
        <f>T12/'Output-Calculation-sheet'!T11*'Output-Calculation-sheet'!T101</f>
        <v>1682627931.0378256</v>
      </c>
      <c r="U122" s="2">
        <f>U12/'Output-Calculation-sheet'!U11*'Output-Calculation-sheet'!U101</f>
        <v>1378606405.770324</v>
      </c>
      <c r="V122" s="2">
        <f>V12/'Output-Calculation-sheet'!V11*'Output-Calculation-sheet'!V101</f>
        <v>1134918713.5291264</v>
      </c>
      <c r="W122" s="2">
        <f>W12/'Output-Calculation-sheet'!W11*'Output-Calculation-sheet'!W101</f>
        <v>978810157.53019452</v>
      </c>
      <c r="X122" s="2">
        <f>X12/'Output-Calculation-sheet'!X11*'Output-Calculation-sheet'!X101</f>
        <v>47307880.167559229</v>
      </c>
      <c r="Y122" s="2">
        <f>Y12/'Output-Calculation-sheet'!Y11*'Output-Calculation-sheet'!Y101</f>
        <v>441835252.32159472</v>
      </c>
      <c r="AA122" s="2">
        <f t="shared" si="10"/>
        <v>127826.94207033289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46267686891.07016</v>
      </c>
      <c r="C129" s="2">
        <f>C8/'Output-Calculation-sheet'!C7*'Output-Calculation-sheet'!C106</f>
        <v>21803666543.976353</v>
      </c>
      <c r="D129" s="2">
        <f>D8/'Output-Calculation-sheet'!D7*'Output-Calculation-sheet'!D106</f>
        <v>19432961279.344662</v>
      </c>
      <c r="E129" s="2">
        <f>E8/'Output-Calculation-sheet'!E7*'Output-Calculation-sheet'!E106</f>
        <v>15418082780.464624</v>
      </c>
      <c r="F129" s="2">
        <f>F8/'Output-Calculation-sheet'!F7*'Output-Calculation-sheet'!F106</f>
        <v>9925173158.3295975</v>
      </c>
      <c r="G129" s="2">
        <f>G8/'Output-Calculation-sheet'!G7*'Output-Calculation-sheet'!G106</f>
        <v>6973699050.0676041</v>
      </c>
      <c r="H129" s="2">
        <f>H8/'Output-Calculation-sheet'!H7*'Output-Calculation-sheet'!H106</f>
        <v>6802575725.4668121</v>
      </c>
      <c r="I129" s="2">
        <f>I8/'Output-Calculation-sheet'!I7*'Output-Calculation-sheet'!I106</f>
        <v>6353588784.6825705</v>
      </c>
      <c r="J129" s="2">
        <f>J8/'Output-Calculation-sheet'!J7*'Output-Calculation-sheet'!J106</f>
        <v>6184145714.4773359</v>
      </c>
      <c r="K129" s="2">
        <f>K8/'Output-Calculation-sheet'!K7*'Output-Calculation-sheet'!K106</f>
        <v>6124858384.1357956</v>
      </c>
      <c r="L129" s="2">
        <f>L8/'Output-Calculation-sheet'!L7*'Output-Calculation-sheet'!L106</f>
        <v>4913441035.8876333</v>
      </c>
      <c r="M129" s="2">
        <f>M8/'Output-Calculation-sheet'!M7*'Output-Calculation-sheet'!M106</f>
        <v>4693184248.9522018</v>
      </c>
      <c r="N129" s="2">
        <f>N8/'Output-Calculation-sheet'!N7*'Output-Calculation-sheet'!N106</f>
        <v>4606347678.5369673</v>
      </c>
      <c r="O129" s="2">
        <f>O8/'Output-Calculation-sheet'!O7*'Output-Calculation-sheet'!O106</f>
        <v>4236470511.3268156</v>
      </c>
      <c r="P129" s="2">
        <f>P8/'Output-Calculation-sheet'!P7*'Output-Calculation-sheet'!P106</f>
        <v>4193368597.8904996</v>
      </c>
      <c r="Q129" s="2">
        <f>Q8/'Output-Calculation-sheet'!Q7*'Output-Calculation-sheet'!Q106</f>
        <v>4125596202.2114587</v>
      </c>
      <c r="R129" s="2">
        <f>R8/'Output-Calculation-sheet'!R7*'Output-Calculation-sheet'!R106</f>
        <v>3969013283.8316984</v>
      </c>
      <c r="S129" s="2">
        <f>S8/'Output-Calculation-sheet'!S7*'Output-Calculation-sheet'!S106</f>
        <v>2638009551.7822547</v>
      </c>
      <c r="T129" s="2">
        <f>T8/'Output-Calculation-sheet'!T7*'Output-Calculation-sheet'!T106</f>
        <v>1458975439.7718334</v>
      </c>
      <c r="U129" s="2">
        <f>U8/'Output-Calculation-sheet'!U7*'Output-Calculation-sheet'!U106</f>
        <v>1270717507.4384687</v>
      </c>
      <c r="V129" s="2">
        <f>V8/'Output-Calculation-sheet'!V7*'Output-Calculation-sheet'!V106</f>
        <v>978478279.58187962</v>
      </c>
      <c r="W129" s="2">
        <f>W8/'Output-Calculation-sheet'!W7*'Output-Calculation-sheet'!W106</f>
        <v>847145004.69952846</v>
      </c>
      <c r="X129" s="2">
        <f>X8/'Output-Calculation-sheet'!X7*'Output-Calculation-sheet'!X106</f>
        <v>508287102.77460629</v>
      </c>
      <c r="Y129" s="2">
        <f>Y8/'Output-Calculation-sheet'!Y7*'Output-Calculation-sheet'!Y106</f>
        <v>494304220.71283102</v>
      </c>
      <c r="AA129" s="2">
        <f t="shared" si="11"/>
        <v>184219.77697741415</v>
      </c>
    </row>
    <row r="130" spans="1:27" x14ac:dyDescent="0.25">
      <c r="A130" s="2">
        <v>2032</v>
      </c>
      <c r="B130" s="2">
        <f>B9/'Output-Calculation-sheet'!B8*'Output-Calculation-sheet'!B107</f>
        <v>34636265330.061325</v>
      </c>
      <c r="C130" s="2">
        <f>C9/'Output-Calculation-sheet'!C8*'Output-Calculation-sheet'!C107</f>
        <v>16322347929.010569</v>
      </c>
      <c r="D130" s="2">
        <f>D9/'Output-Calculation-sheet'!D8*'Output-Calculation-sheet'!D107</f>
        <v>14547626495.986788</v>
      </c>
      <c r="E130" s="2">
        <f>E9/'Output-Calculation-sheet'!E8*'Output-Calculation-sheet'!E107</f>
        <v>11542063869.200644</v>
      </c>
      <c r="F130" s="2">
        <f>F9/'Output-Calculation-sheet'!F8*'Output-Calculation-sheet'!F107</f>
        <v>7430044529.5256348</v>
      </c>
      <c r="G130" s="2">
        <f>G9/'Output-Calculation-sheet'!G8*'Output-Calculation-sheet'!G107</f>
        <v>5220553227.0386581</v>
      </c>
      <c r="H130" s="2">
        <f>H9/'Output-Calculation-sheet'!H8*'Output-Calculation-sheet'!H107</f>
        <v>5092447946.3145037</v>
      </c>
      <c r="I130" s="2">
        <f>I9/'Output-Calculation-sheet'!I8*'Output-Calculation-sheet'!I107</f>
        <v>4756334309.8231306</v>
      </c>
      <c r="J130" s="2">
        <f>J9/'Output-Calculation-sheet'!J8*'Output-Calculation-sheet'!J107</f>
        <v>4629486415.2093468</v>
      </c>
      <c r="K130" s="2">
        <f>K9/'Output-Calculation-sheet'!K8*'Output-Calculation-sheet'!K107</f>
        <v>4585104783.6176968</v>
      </c>
      <c r="L130" s="2">
        <f>L9/'Output-Calculation-sheet'!L8*'Output-Calculation-sheet'!L107</f>
        <v>3678231154.3979011</v>
      </c>
      <c r="M130" s="2">
        <f>M9/'Output-Calculation-sheet'!M8*'Output-Calculation-sheet'!M107</f>
        <v>3513346064.8869414</v>
      </c>
      <c r="N130" s="2">
        <f>N9/'Output-Calculation-sheet'!N8*'Output-Calculation-sheet'!N107</f>
        <v>3448337458.0608912</v>
      </c>
      <c r="O130" s="2">
        <f>O9/'Output-Calculation-sheet'!O8*'Output-Calculation-sheet'!O107</f>
        <v>3171447000.8553882</v>
      </c>
      <c r="P130" s="2">
        <f>P9/'Output-Calculation-sheet'!P8*'Output-Calculation-sheet'!P107</f>
        <v>3139179829.38449</v>
      </c>
      <c r="Q130" s="2">
        <f>Q9/'Output-Calculation-sheet'!Q8*'Output-Calculation-sheet'!Q107</f>
        <v>3088446600.1552153</v>
      </c>
      <c r="R130" s="2">
        <f>R9/'Output-Calculation-sheet'!R8*'Output-Calculation-sheet'!R107</f>
        <v>2971227315.544013</v>
      </c>
      <c r="S130" s="2">
        <f>S9/'Output-Calculation-sheet'!S8*'Output-Calculation-sheet'!S107</f>
        <v>1974829623.8679316</v>
      </c>
      <c r="T130" s="2">
        <f>T9/'Output-Calculation-sheet'!T8*'Output-Calculation-sheet'!T107</f>
        <v>1092197684.5012929</v>
      </c>
      <c r="U130" s="2">
        <f>U9/'Output-Calculation-sheet'!U8*'Output-Calculation-sheet'!U107</f>
        <v>951266552.88454735</v>
      </c>
      <c r="V130" s="2">
        <f>V9/'Output-Calculation-sheet'!V8*'Output-Calculation-sheet'!V107</f>
        <v>732494270.85218</v>
      </c>
      <c r="W130" s="2">
        <f>W9/'Output-Calculation-sheet'!W8*'Output-Calculation-sheet'!W107</f>
        <v>634177868.0106144</v>
      </c>
      <c r="X130" s="2">
        <f>X9/'Output-Calculation-sheet'!X8*'Output-Calculation-sheet'!X107</f>
        <v>380506646.14647746</v>
      </c>
      <c r="Y130" s="2">
        <f>Y9/'Output-Calculation-sheet'!Y8*'Output-Calculation-sheet'!Y107</f>
        <v>370038980.65008837</v>
      </c>
      <c r="AA130" s="2">
        <f t="shared" si="11"/>
        <v>137908.00188598628</v>
      </c>
    </row>
    <row r="131" spans="1:27" x14ac:dyDescent="0.25">
      <c r="A131" s="2">
        <v>2033</v>
      </c>
      <c r="B131" s="2">
        <f>B10/'Output-Calculation-sheet'!B9*'Output-Calculation-sheet'!B108</f>
        <v>21158858998.898148</v>
      </c>
      <c r="C131" s="2">
        <f>C10/'Output-Calculation-sheet'!C9*'Output-Calculation-sheet'!C108</f>
        <v>9971117143.0607567</v>
      </c>
      <c r="D131" s="2">
        <f>D10/'Output-Calculation-sheet'!D9*'Output-Calculation-sheet'!D108</f>
        <v>8886964433.099453</v>
      </c>
      <c r="E131" s="2">
        <f>E10/'Output-Calculation-sheet'!E9*'Output-Calculation-sheet'!E108</f>
        <v>7050901701.1128721</v>
      </c>
      <c r="F131" s="2">
        <f>F10/'Output-Calculation-sheet'!F9*'Output-Calculation-sheet'!F108</f>
        <v>4538918444.1645002</v>
      </c>
      <c r="G131" s="2">
        <f>G10/'Output-Calculation-sheet'!G9*'Output-Calculation-sheet'!G108</f>
        <v>3189168666.1244612</v>
      </c>
      <c r="H131" s="2">
        <f>H10/'Output-Calculation-sheet'!H9*'Output-Calculation-sheet'!H108</f>
        <v>3110911611.8779631</v>
      </c>
      <c r="I131" s="2">
        <f>I10/'Output-Calculation-sheet'!I9*'Output-Calculation-sheet'!I108</f>
        <v>2905584817.9836826</v>
      </c>
      <c r="J131" s="2">
        <f>J10/'Output-Calculation-sheet'!J9*'Output-Calculation-sheet'!J108</f>
        <v>2828095046.511621</v>
      </c>
      <c r="K131" s="2">
        <f>K10/'Output-Calculation-sheet'!K9*'Output-Calculation-sheet'!K108</f>
        <v>2800982133.4269104</v>
      </c>
      <c r="L131" s="2">
        <f>L10/'Output-Calculation-sheet'!L9*'Output-Calculation-sheet'!L108</f>
        <v>2246985163.8132195</v>
      </c>
      <c r="M131" s="2">
        <f>M10/'Output-Calculation-sheet'!M9*'Output-Calculation-sheet'!M108</f>
        <v>2146257824.3840518</v>
      </c>
      <c r="N131" s="2">
        <f>N10/'Output-Calculation-sheet'!N9*'Output-Calculation-sheet'!N108</f>
        <v>2106545447.8958457</v>
      </c>
      <c r="O131" s="2">
        <f>O10/'Output-Calculation-sheet'!O9*'Output-Calculation-sheet'!O108</f>
        <v>2328254227.2255845</v>
      </c>
      <c r="P131" s="2">
        <f>P10/'Output-Calculation-sheet'!P9*'Output-Calculation-sheet'!P108</f>
        <v>1917685994.3286526</v>
      </c>
      <c r="Q131" s="2">
        <f>Q10/'Output-Calculation-sheet'!Q9*'Output-Calculation-sheet'!Q108</f>
        <v>1886692705.0361457</v>
      </c>
      <c r="R131" s="2">
        <f>R10/'Output-Calculation-sheet'!R9*'Output-Calculation-sheet'!R108</f>
        <v>1815084463.6900551</v>
      </c>
      <c r="S131" s="2">
        <f>S10/'Output-Calculation-sheet'!S9*'Output-Calculation-sheet'!S108</f>
        <v>1206398585.0767772</v>
      </c>
      <c r="T131" s="2">
        <f>T10/'Output-Calculation-sheet'!T9*'Output-Calculation-sheet'!T108</f>
        <v>667209309.41025829</v>
      </c>
      <c r="U131" s="2">
        <f>U10/'Output-Calculation-sheet'!U9*'Output-Calculation-sheet'!U108</f>
        <v>581116625.35527039</v>
      </c>
      <c r="V131" s="2">
        <f>V10/'Output-Calculation-sheet'!V9*'Output-Calculation-sheet'!V108</f>
        <v>447471423.73390043</v>
      </c>
      <c r="W131" s="2">
        <f>W10/'Output-Calculation-sheet'!W9*'Output-Calculation-sheet'!W108</f>
        <v>387411083.45152992</v>
      </c>
      <c r="X131" s="2">
        <f>X10/'Output-Calculation-sheet'!X9*'Output-Calculation-sheet'!X108</f>
        <v>232446604.66608274</v>
      </c>
      <c r="Y131" s="2">
        <f>Y10/'Output-Calculation-sheet'!Y9*'Output-Calculation-sheet'!Y108</f>
        <v>226052043.21659812</v>
      </c>
      <c r="AA131" s="2">
        <f t="shared" si="11"/>
        <v>84637.114497544331</v>
      </c>
    </row>
    <row r="132" spans="1:27" x14ac:dyDescent="0.25">
      <c r="A132" s="2">
        <v>2034</v>
      </c>
      <c r="B132" s="2">
        <f>B11/'Output-Calculation-sheet'!B10*'Output-Calculation-sheet'!B109</f>
        <v>8895362971.0726738</v>
      </c>
      <c r="C132" s="2">
        <f>C11/'Output-Calculation-sheet'!C10*'Output-Calculation-sheet'!C109</f>
        <v>8092750597.7355156</v>
      </c>
      <c r="D132" s="2">
        <f>D11/'Output-Calculation-sheet'!D10*'Output-Calculation-sheet'!D109</f>
        <v>3736154880.6875391</v>
      </c>
      <c r="E132" s="2">
        <f>E11/'Output-Calculation-sheet'!E10*'Output-Calculation-sheet'!E109</f>
        <v>2964259533.0728641</v>
      </c>
      <c r="F132" s="2">
        <f>F11/'Output-Calculation-sheet'!F10*'Output-Calculation-sheet'!F109</f>
        <v>1908200232.8625984</v>
      </c>
      <c r="G132" s="2">
        <f>G11/'Output-Calculation-sheet'!G10*'Output-Calculation-sheet'!G109</f>
        <v>1340754062.284698</v>
      </c>
      <c r="H132" s="2">
        <f>H11/'Output-Calculation-sheet'!H10*'Output-Calculation-sheet'!H109</f>
        <v>1307853916.1311591</v>
      </c>
      <c r="I132" s="2">
        <f>I11/'Output-Calculation-sheet'!I10*'Output-Calculation-sheet'!I109</f>
        <v>1221532394.4784932</v>
      </c>
      <c r="J132" s="2">
        <f>J11/'Output-Calculation-sheet'!J10*'Output-Calculation-sheet'!J109</f>
        <v>1188955220.5253642</v>
      </c>
      <c r="K132" s="2">
        <f>K11/'Output-Calculation-sheet'!K10*'Output-Calculation-sheet'!K109</f>
        <v>1177557091.1307969</v>
      </c>
      <c r="L132" s="2">
        <f>L11/'Output-Calculation-sheet'!L10*'Output-Calculation-sheet'!L109</f>
        <v>944651682.34575713</v>
      </c>
      <c r="M132" s="2">
        <f>M11/'Output-Calculation-sheet'!M10*'Output-Calculation-sheet'!M109</f>
        <v>902305192.44914436</v>
      </c>
      <c r="N132" s="2">
        <f>N11/'Output-Calculation-sheet'!N10*'Output-Calculation-sheet'!N109</f>
        <v>885610043.40927362</v>
      </c>
      <c r="O132" s="2">
        <f>O11/'Output-Calculation-sheet'!O10*'Output-Calculation-sheet'!O109</f>
        <v>1822494309.1868618</v>
      </c>
      <c r="P132" s="2">
        <f>P11/'Output-Calculation-sheet'!P10*'Output-Calculation-sheet'!P109</f>
        <v>806211381.57157922</v>
      </c>
      <c r="Q132" s="2">
        <f>Q11/'Output-Calculation-sheet'!Q10*'Output-Calculation-sheet'!Q109</f>
        <v>793181670.36205983</v>
      </c>
      <c r="R132" s="2">
        <f>R11/'Output-Calculation-sheet'!R10*'Output-Calculation-sheet'!R109</f>
        <v>763077191.24226916</v>
      </c>
      <c r="S132" s="2">
        <f>S11/'Output-Calculation-sheet'!S10*'Output-Calculation-sheet'!S109</f>
        <v>507180230.73516077</v>
      </c>
      <c r="T132" s="2">
        <f>T11/'Output-Calculation-sheet'!T10*'Output-Calculation-sheet'!T109</f>
        <v>280500602.91322112</v>
      </c>
      <c r="U132" s="2">
        <f>U11/'Output-Calculation-sheet'!U10*'Output-Calculation-sheet'!U109</f>
        <v>244306450.45577645</v>
      </c>
      <c r="V132" s="2">
        <f>V11/'Output-Calculation-sheet'!V10*'Output-Calculation-sheet'!V109</f>
        <v>188120852.96968526</v>
      </c>
      <c r="W132" s="2">
        <f>W11/'Output-Calculation-sheet'!W10*'Output-Calculation-sheet'!W109</f>
        <v>162870966.96054122</v>
      </c>
      <c r="X132" s="2">
        <f>X11/'Output-Calculation-sheet'!X10*'Output-Calculation-sheet'!X109</f>
        <v>97722576.35860838</v>
      </c>
      <c r="Y132" s="2">
        <f>Y11/'Output-Calculation-sheet'!Y10*'Output-Calculation-sheet'!Y109</f>
        <v>95034246.823113322</v>
      </c>
      <c r="AA132" s="2">
        <f t="shared" si="11"/>
        <v>40326.648297764761</v>
      </c>
    </row>
    <row r="133" spans="1:27" x14ac:dyDescent="0.25">
      <c r="A133" s="2">
        <v>2035</v>
      </c>
      <c r="B133" s="2">
        <f>B12/'Output-Calculation-sheet'!B11*'Output-Calculation-sheet'!B110</f>
        <v>2967406006.4402318</v>
      </c>
      <c r="C133" s="2">
        <f>C12/'Output-Calculation-sheet'!C11*'Output-Calculation-sheet'!C110</f>
        <v>5698856045.1897974</v>
      </c>
      <c r="D133" s="2">
        <f>D12/'Output-Calculation-sheet'!D11*'Output-Calculation-sheet'!D110</f>
        <v>1473001633.4625697</v>
      </c>
      <c r="E133" s="2">
        <f>E12/'Output-Calculation-sheet'!E11*'Output-Calculation-sheet'!E110</f>
        <v>748468165.44234753</v>
      </c>
      <c r="F133" s="2">
        <f>F12/'Output-Calculation-sheet'!F11*'Output-Calculation-sheet'!F110</f>
        <v>506663959.08068442</v>
      </c>
      <c r="G133" s="2">
        <f>G12/'Output-Calculation-sheet'!G11*'Output-Calculation-sheet'!G110</f>
        <v>640257466.30194533</v>
      </c>
      <c r="H133" s="2">
        <f>H12/'Output-Calculation-sheet'!H11*'Output-Calculation-sheet'!H110</f>
        <v>755283870.6366452</v>
      </c>
      <c r="I133" s="2">
        <f>I12/'Output-Calculation-sheet'!I11*'Output-Calculation-sheet'!I110</f>
        <v>353820535.42765003</v>
      </c>
      <c r="J133" s="2">
        <f>J12/'Output-Calculation-sheet'!J11*'Output-Calculation-sheet'!J110</f>
        <v>428091645.65656877</v>
      </c>
      <c r="K133" s="2">
        <f>K12/'Output-Calculation-sheet'!K11*'Output-Calculation-sheet'!K110</f>
        <v>324606742.27570671</v>
      </c>
      <c r="L133" s="2">
        <f>L12/'Output-Calculation-sheet'!L11*'Output-Calculation-sheet'!L110</f>
        <v>208601489.68880257</v>
      </c>
      <c r="M133" s="2">
        <f>M12/'Output-Calculation-sheet'!M11*'Output-Calculation-sheet'!M110</f>
        <v>469778967.06576103</v>
      </c>
      <c r="N133" s="2">
        <f>N12/'Output-Calculation-sheet'!N11*'Output-Calculation-sheet'!N110</f>
        <v>390873271.41561061</v>
      </c>
      <c r="O133" s="2">
        <f>O12/'Output-Calculation-sheet'!O11*'Output-Calculation-sheet'!O110</f>
        <v>1380433786.7946544</v>
      </c>
      <c r="P133" s="2">
        <f>P12/'Output-Calculation-sheet'!P11*'Output-Calculation-sheet'!P110</f>
        <v>273087140.48492318</v>
      </c>
      <c r="Q133" s="2">
        <f>Q12/'Output-Calculation-sheet'!Q11*'Output-Calculation-sheet'!Q110</f>
        <v>340147243.36669642</v>
      </c>
      <c r="R133" s="2">
        <f>R12/'Output-Calculation-sheet'!R11*'Output-Calculation-sheet'!R110</f>
        <v>214049081.87041464</v>
      </c>
      <c r="S133" s="2">
        <f>S12/'Output-Calculation-sheet'!S11*'Output-Calculation-sheet'!S110</f>
        <v>205804760.47769991</v>
      </c>
      <c r="T133" s="2">
        <f>T12/'Output-Calculation-sheet'!T11*'Output-Calculation-sheet'!T110</f>
        <v>55678607.008109935</v>
      </c>
      <c r="U133" s="2">
        <f>U12/'Output-Calculation-sheet'!U11*'Output-Calculation-sheet'!U110</f>
        <v>90509187.892309934</v>
      </c>
      <c r="V133" s="2">
        <f>V12/'Output-Calculation-sheet'!V11*'Output-Calculation-sheet'!V110</f>
        <v>22839939.498888202</v>
      </c>
      <c r="W133" s="2">
        <f>W12/'Output-Calculation-sheet'!W11*'Output-Calculation-sheet'!W110</f>
        <v>37236979.139407076</v>
      </c>
      <c r="X133" s="2">
        <f>X12/'Output-Calculation-sheet'!X11*'Output-Calculation-sheet'!X110</f>
        <v>65211929.086398117</v>
      </c>
      <c r="Y133" s="2">
        <f>Y12/'Output-Calculation-sheet'!Y11*'Output-Calculation-sheet'!Y110</f>
        <v>34266226.898378178</v>
      </c>
      <c r="AA133" s="2">
        <f t="shared" si="11"/>
        <v>17684.974680602209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1047.2129563981619</v>
      </c>
      <c r="C19" s="2">
        <f>C8/'Output-Calculation-sheet'!C7*'Output-Calculation-sheet'!C25</f>
        <v>15786.897063723898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4699.3358120973417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3264.6970081292479</v>
      </c>
      <c r="N19" s="2">
        <f>N8/'Output-Calculation-sheet'!N7*'Output-Calculation-sheet'!N25</f>
        <v>1117.7120907340188</v>
      </c>
      <c r="O19" s="2">
        <f>O8/'Output-Calculation-sheet'!O7*'Output-Calculation-sheet'!O25</f>
        <v>3053.1170240854813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398.8173183738827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364.76471135103651</v>
      </c>
      <c r="Y19" s="2">
        <f>Y8/'Output-Calculation-sheet'!Y7*'Output-Calculation-sheet'!Y25</f>
        <v>0</v>
      </c>
      <c r="AA19" s="2">
        <f t="shared" si="0"/>
        <v>29.73255398489307</v>
      </c>
    </row>
    <row r="20" spans="1:27" x14ac:dyDescent="0.25">
      <c r="A20" s="2">
        <v>2032</v>
      </c>
      <c r="B20" s="2">
        <f>B9/'Output-Calculation-sheet'!B8*'Output-Calculation-sheet'!B26</f>
        <v>5625.6617218925157</v>
      </c>
      <c r="C20" s="2">
        <f>C9/'Output-Calculation-sheet'!C8*'Output-Calculation-sheet'!C26</f>
        <v>20601.971017946016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6120.5494667965258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4253.0798446421604</v>
      </c>
      <c r="N20" s="2">
        <f>N9/'Output-Calculation-sheet'!N8*'Output-Calculation-sheet'!N26</f>
        <v>1914.9282499089895</v>
      </c>
      <c r="O20" s="2">
        <f>O9/'Output-Calculation-sheet'!O8*'Output-Calculation-sheet'!O26</f>
        <v>4014.2042700195016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697.4956337172224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475.75132399036897</v>
      </c>
      <c r="Y20" s="2">
        <f>Y9/'Output-Calculation-sheet'!Y8*'Output-Calculation-sheet'!Y26</f>
        <v>0</v>
      </c>
      <c r="AA20" s="2">
        <f t="shared" si="0"/>
        <v>43.703641528913302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27984.608546695548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7164.6652625556462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4976.4549752125822</v>
      </c>
      <c r="N21" s="2">
        <f>N10/'Output-Calculation-sheet'!N9*'Output-Calculation-sheet'!N27</f>
        <v>2722.9120321454493</v>
      </c>
      <c r="O21" s="2">
        <f>O10/'Output-Calculation-sheet'!O9*'Output-Calculation-sheet'!O27</f>
        <v>4754.2416294314853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1184.9743475203188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585.16207631249711</v>
      </c>
      <c r="Y21" s="2">
        <f>Y10/'Output-Calculation-sheet'!Y9*'Output-Calculation-sheet'!Y27</f>
        <v>0</v>
      </c>
      <c r="AA21" s="2">
        <f t="shared" si="0"/>
        <v>61.951296283634797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26216.093952889034</v>
      </c>
      <c r="D22" s="2">
        <f>D11/'Output-Calculation-sheet'!D10*'Output-Calculation-sheet'!D28</f>
        <v>0</v>
      </c>
      <c r="E22" s="2">
        <f>E11/'Output-Calculation-sheet'!E10*'Output-Calculation-sheet'!E28</f>
        <v>1112.1785905820482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8645.1441322279734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655.95365745453375</v>
      </c>
      <c r="M22" s="2">
        <f>M11/'Output-Calculation-sheet'!M10*'Output-Calculation-sheet'!M28</f>
        <v>5958.6471786933917</v>
      </c>
      <c r="N22" s="2">
        <f>N11/'Output-Calculation-sheet'!N10*'Output-Calculation-sheet'!N28</f>
        <v>3429.2346429308195</v>
      </c>
      <c r="O22" s="2">
        <f>O11/'Output-Calculation-sheet'!O10*'Output-Calculation-sheet'!O28</f>
        <v>4616.6771269330984</v>
      </c>
      <c r="P22" s="2">
        <f>P11/'Output-Calculation-sheet'!P10*'Output-Calculation-sheet'!P28</f>
        <v>0</v>
      </c>
      <c r="Q22" s="2">
        <f>Q11/'Output-Calculation-sheet'!Q10*'Output-Calculation-sheet'!Q28</f>
        <v>1286.1428264227111</v>
      </c>
      <c r="R22" s="2">
        <f>R11/'Output-Calculation-sheet'!R10*'Output-Calculation-sheet'!R28</f>
        <v>0</v>
      </c>
      <c r="S22" s="2">
        <f>S11/'Output-Calculation-sheet'!S10*'Output-Calculation-sheet'!S28</f>
        <v>1739.1091942287612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610.34959872312641</v>
      </c>
      <c r="Y22" s="2">
        <f>Y11/'Output-Calculation-sheet'!Y10*'Output-Calculation-sheet'!Y28</f>
        <v>59.884745807452546</v>
      </c>
      <c r="AA22" s="2">
        <f t="shared" si="0"/>
        <v>75.856947217734103</v>
      </c>
    </row>
    <row r="23" spans="1:27" x14ac:dyDescent="0.25">
      <c r="A23" s="2">
        <v>2035</v>
      </c>
      <c r="B23" s="2">
        <f>B12/'Output-Calculation-sheet'!B11*'Output-Calculation-sheet'!B29</f>
        <v>25699.24689268359</v>
      </c>
      <c r="C23" s="2">
        <f>C12/'Output-Calculation-sheet'!C11*'Output-Calculation-sheet'!C29</f>
        <v>23963.158239733893</v>
      </c>
      <c r="D23" s="2">
        <f>D12/'Output-Calculation-sheet'!D11*'Output-Calculation-sheet'!D29</f>
        <v>0</v>
      </c>
      <c r="E23" s="2">
        <f>E12/'Output-Calculation-sheet'!E11*'Output-Calculation-sheet'!E29</f>
        <v>4720.6443749073796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8247.2957015712345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1368.7300799818267</v>
      </c>
      <c r="M23" s="2">
        <f>M12/'Output-Calculation-sheet'!M11*'Output-Calculation-sheet'!M29</f>
        <v>5861.9584128976621</v>
      </c>
      <c r="N23" s="2">
        <f>N12/'Output-Calculation-sheet'!N11*'Output-Calculation-sheet'!N29</f>
        <v>3404.5602169929261</v>
      </c>
      <c r="O23" s="2">
        <f>O12/'Output-Calculation-sheet'!O11*'Output-Calculation-sheet'!O29</f>
        <v>3961.6805226741467</v>
      </c>
      <c r="P23" s="2">
        <f>P12/'Output-Calculation-sheet'!P11*'Output-Calculation-sheet'!P29</f>
        <v>547.61752279280745</v>
      </c>
      <c r="Q23" s="2">
        <f>Q12/'Output-Calculation-sheet'!Q11*'Output-Calculation-sheet'!Q29</f>
        <v>1743.2654686432343</v>
      </c>
      <c r="R23" s="2">
        <f>R12/'Output-Calculation-sheet'!R11*'Output-Calculation-sheet'!R29</f>
        <v>0</v>
      </c>
      <c r="S23" s="2">
        <f>S12/'Output-Calculation-sheet'!S11*'Output-Calculation-sheet'!S29</f>
        <v>1882.8557792289976</v>
      </c>
      <c r="T23" s="2">
        <f>T12/'Output-Calculation-sheet'!T11*'Output-Calculation-sheet'!T29</f>
        <v>0</v>
      </c>
      <c r="U23" s="2">
        <f>U12/'Output-Calculation-sheet'!U11*'Output-Calculation-sheet'!U29</f>
        <v>203.17917023619344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560.06718736728135</v>
      </c>
      <c r="Y23" s="2">
        <f>Y12/'Output-Calculation-sheet'!Y11*'Output-Calculation-sheet'!Y29</f>
        <v>172.80999402101403</v>
      </c>
      <c r="AA23" s="2">
        <f t="shared" si="0"/>
        <v>82.337069563732172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18252.581646706643</v>
      </c>
      <c r="C30" s="2">
        <f>C8/'Output-Calculation-sheet'!C7*'Output-Calculation-sheet'!C16</f>
        <v>0</v>
      </c>
      <c r="D30" s="2">
        <f>D8/'Output-Calculation-sheet'!D7*'Output-Calculation-sheet'!D16</f>
        <v>3073.493456472047</v>
      </c>
      <c r="E30" s="2">
        <f>E8/'Output-Calculation-sheet'!E7*'Output-Calculation-sheet'!E16</f>
        <v>3306.9053133670977</v>
      </c>
      <c r="F30" s="2">
        <f>F8/'Output-Calculation-sheet'!F7*'Output-Calculation-sheet'!F16</f>
        <v>1668.3513275369583</v>
      </c>
      <c r="G30" s="2">
        <f>G8/'Output-Calculation-sheet'!G7*'Output-Calculation-sheet'!G16</f>
        <v>1092.5719667543706</v>
      </c>
      <c r="H30" s="2">
        <f>H8/'Output-Calculation-sheet'!H7*'Output-Calculation-sheet'!H16</f>
        <v>0</v>
      </c>
      <c r="I30" s="2">
        <f>I8/'Output-Calculation-sheet'!I7*'Output-Calculation-sheet'!I16</f>
        <v>1065.0940753551811</v>
      </c>
      <c r="J30" s="2">
        <f>J8/'Output-Calculation-sheet'!J7*'Output-Calculation-sheet'!J16</f>
        <v>948.13852741278652</v>
      </c>
      <c r="K30" s="2">
        <f>K8/'Output-Calculation-sheet'!K7*'Output-Calculation-sheet'!K16</f>
        <v>1265.9461611124664</v>
      </c>
      <c r="L30" s="2">
        <f>L8/'Output-Calculation-sheet'!L7*'Output-Calculation-sheet'!L16</f>
        <v>1069.3129305292755</v>
      </c>
      <c r="M30" s="2">
        <f>M8/'Output-Calculation-sheet'!M7*'Output-Calculation-sheet'!M16</f>
        <v>0</v>
      </c>
      <c r="N30" s="2">
        <f>N8/'Output-Calculation-sheet'!N7*'Output-Calculation-sheet'!N16</f>
        <v>1518.8689295154354</v>
      </c>
      <c r="O30" s="2">
        <f>O8/'Output-Calculation-sheet'!O7*'Output-Calculation-sheet'!O16</f>
        <v>0</v>
      </c>
      <c r="P30" s="2">
        <f>P8/'Output-Calculation-sheet'!P7*'Output-Calculation-sheet'!P16</f>
        <v>1365.1095557789381</v>
      </c>
      <c r="Q30" s="2">
        <f>Q8/'Output-Calculation-sheet'!Q7*'Output-Calculation-sheet'!Q16</f>
        <v>1501.1696705003399</v>
      </c>
      <c r="R30" s="2">
        <f>R8/'Output-Calculation-sheet'!R7*'Output-Calculation-sheet'!R16</f>
        <v>952.49868059251207</v>
      </c>
      <c r="S30" s="2">
        <f>S8/'Output-Calculation-sheet'!S7*'Output-Calculation-sheet'!S16</f>
        <v>957.93436899190056</v>
      </c>
      <c r="T30" s="2">
        <f>T8/'Output-Calculation-sheet'!T7*'Output-Calculation-sheet'!T16</f>
        <v>285.92641246857642</v>
      </c>
      <c r="U30" s="2">
        <f>U8/'Output-Calculation-sheet'!U7*'Output-Calculation-sheet'!U16</f>
        <v>285.4153262567267</v>
      </c>
      <c r="V30" s="2">
        <f>V8/'Output-Calculation-sheet'!V7*'Output-Calculation-sheet'!V16</f>
        <v>222.13332311637134</v>
      </c>
      <c r="W30" s="2">
        <f>W8/'Output-Calculation-sheet'!W7*'Output-Calculation-sheet'!W16</f>
        <v>134.73505877420587</v>
      </c>
      <c r="X30" s="2">
        <f>X8/'Output-Calculation-sheet'!X7*'Output-Calculation-sheet'!X16</f>
        <v>0</v>
      </c>
      <c r="Y30" s="2">
        <f>Y8/'Output-Calculation-sheet'!Y7*'Output-Calculation-sheet'!Y16</f>
        <v>114.03790958097676</v>
      </c>
      <c r="AA30" s="2">
        <f t="shared" si="1"/>
        <v>39.080224640822806</v>
      </c>
    </row>
    <row r="31" spans="1:27" x14ac:dyDescent="0.25">
      <c r="A31" s="2">
        <v>2032</v>
      </c>
      <c r="B31" s="2">
        <f>B9/'Output-Calculation-sheet'!B8*'Output-Calculation-sheet'!B17</f>
        <v>23820.910378757246</v>
      </c>
      <c r="C31" s="2">
        <f>C9/'Output-Calculation-sheet'!C8*'Output-Calculation-sheet'!C17</f>
        <v>0</v>
      </c>
      <c r="D31" s="2">
        <f>D9/'Output-Calculation-sheet'!D8*'Output-Calculation-sheet'!D17</f>
        <v>3995.0794304837932</v>
      </c>
      <c r="E31" s="2">
        <f>E9/'Output-Calculation-sheet'!E8*'Output-Calculation-sheet'!E17</f>
        <v>4695.6700299701397</v>
      </c>
      <c r="F31" s="2">
        <f>F9/'Output-Calculation-sheet'!F8*'Output-Calculation-sheet'!F17</f>
        <v>2168.658731288846</v>
      </c>
      <c r="G31" s="2">
        <f>G9/'Output-Calculation-sheet'!G8*'Output-Calculation-sheet'!G17</f>
        <v>1420.2007359673466</v>
      </c>
      <c r="H31" s="2">
        <f>H9/'Output-Calculation-sheet'!H8*'Output-Calculation-sheet'!H17</f>
        <v>0</v>
      </c>
      <c r="I31" s="2">
        <f>I9/'Output-Calculation-sheet'!I8*'Output-Calculation-sheet'!I17</f>
        <v>1384.4895539035672</v>
      </c>
      <c r="J31" s="2">
        <f>J9/'Output-Calculation-sheet'!J8*'Output-Calculation-sheet'!J17</f>
        <v>1232.4625630093094</v>
      </c>
      <c r="K31" s="2">
        <f>K9/'Output-Calculation-sheet'!K8*'Output-Calculation-sheet'!K17</f>
        <v>1754.6994531081657</v>
      </c>
      <c r="L31" s="2">
        <f>L9/'Output-Calculation-sheet'!L8*'Output-Calculation-sheet'!L17</f>
        <v>1496.4501651365181</v>
      </c>
      <c r="M31" s="2">
        <f>M9/'Output-Calculation-sheet'!M8*'Output-Calculation-sheet'!M17</f>
        <v>0</v>
      </c>
      <c r="N31" s="2">
        <f>N9/'Output-Calculation-sheet'!N8*'Output-Calculation-sheet'!N17</f>
        <v>1632.7459980082608</v>
      </c>
      <c r="O31" s="2">
        <f>O9/'Output-Calculation-sheet'!O8*'Output-Calculation-sheet'!O17</f>
        <v>0</v>
      </c>
      <c r="P31" s="2">
        <f>P9/'Output-Calculation-sheet'!P8*'Output-Calculation-sheet'!P17</f>
        <v>2019.1043225361034</v>
      </c>
      <c r="Q31" s="2">
        <f>Q9/'Output-Calculation-sheet'!Q8*'Output-Calculation-sheet'!Q17</f>
        <v>2152.5507169694793</v>
      </c>
      <c r="R31" s="2">
        <f>R9/'Output-Calculation-sheet'!R8*'Output-Calculation-sheet'!R17</f>
        <v>1408.312440027898</v>
      </c>
      <c r="S31" s="2">
        <f>S9/'Output-Calculation-sheet'!S8*'Output-Calculation-sheet'!S17</f>
        <v>1211.7903568082518</v>
      </c>
      <c r="T31" s="2">
        <f>T9/'Output-Calculation-sheet'!T8*'Output-Calculation-sheet'!T17</f>
        <v>382.15586983512566</v>
      </c>
      <c r="U31" s="2">
        <f>U9/'Output-Calculation-sheet'!U8*'Output-Calculation-sheet'!U17</f>
        <v>439.21892632867451</v>
      </c>
      <c r="V31" s="2">
        <f>V9/'Output-Calculation-sheet'!V8*'Output-Calculation-sheet'!V17</f>
        <v>314.59167646759425</v>
      </c>
      <c r="W31" s="2">
        <f>W9/'Output-Calculation-sheet'!W8*'Output-Calculation-sheet'!W17</f>
        <v>175.1406088527884</v>
      </c>
      <c r="X31" s="2">
        <f>X9/'Output-Calculation-sheet'!X8*'Output-Calculation-sheet'!X17</f>
        <v>0</v>
      </c>
      <c r="Y31" s="2">
        <f>Y9/'Output-Calculation-sheet'!Y8*'Output-Calculation-sheet'!Y17</f>
        <v>169.22377281223285</v>
      </c>
      <c r="AA31" s="2">
        <f t="shared" si="1"/>
        <v>51.873455730271353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1531.1439375952584</v>
      </c>
      <c r="O32" s="2">
        <f>O10/'Output-Calculation-sheet'!O9*'Output-Calculation-sheet'!O18</f>
        <v>0</v>
      </c>
      <c r="P32" s="2">
        <f>P10/'Output-Calculation-sheet'!P9*'Output-Calculation-sheet'!P18</f>
        <v>2465.3097577224949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1770.2561717344624</v>
      </c>
      <c r="S32" s="2">
        <f>S10/'Output-Calculation-sheet'!S9*'Output-Calculation-sheet'!S18</f>
        <v>1158.5858470828412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571.50782408746829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60.382841671508956</v>
      </c>
    </row>
    <row r="33" spans="1:27" x14ac:dyDescent="0.25">
      <c r="A33" s="2">
        <v>2034</v>
      </c>
      <c r="B33" s="2">
        <f>B11/'Output-Calculation-sheet'!B10*'Output-Calculation-sheet'!B19</f>
        <v>21713.592734994418</v>
      </c>
      <c r="C33" s="2">
        <f>C11/'Output-Calculation-sheet'!C10*'Output-Calculation-sheet'!C19</f>
        <v>0</v>
      </c>
      <c r="D33" s="2">
        <f>D11/'Output-Calculation-sheet'!D10*'Output-Calculation-sheet'!D19</f>
        <v>6476.5989533363936</v>
      </c>
      <c r="E33" s="2">
        <f>E11/'Output-Calculation-sheet'!E10*'Output-Calculation-sheet'!E19</f>
        <v>8024.616356847012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2204.7445611834605</v>
      </c>
      <c r="H33" s="2">
        <f>H11/'Output-Calculation-sheet'!H10*'Output-Calculation-sheet'!H19</f>
        <v>0</v>
      </c>
      <c r="I33" s="2">
        <f>I11/'Output-Calculation-sheet'!I10*'Output-Calculation-sheet'!I19</f>
        <v>2405.6805803246771</v>
      </c>
      <c r="J33" s="2">
        <f>J11/'Output-Calculation-sheet'!J10*'Output-Calculation-sheet'!J19</f>
        <v>2033.8875327385226</v>
      </c>
      <c r="K33" s="2">
        <f>K11/'Output-Calculation-sheet'!K10*'Output-Calculation-sheet'!K19</f>
        <v>2822.6606562200677</v>
      </c>
      <c r="L33" s="2">
        <f>L11/'Output-Calculation-sheet'!L10*'Output-Calculation-sheet'!L19</f>
        <v>2296.6123934803486</v>
      </c>
      <c r="M33" s="2">
        <f>M11/'Output-Calculation-sheet'!M10*'Output-Calculation-sheet'!M19</f>
        <v>0</v>
      </c>
      <c r="N33" s="2">
        <f>N11/'Output-Calculation-sheet'!N10*'Output-Calculation-sheet'!N19</f>
        <v>1297.9883977722479</v>
      </c>
      <c r="O33" s="2">
        <f>O11/'Output-Calculation-sheet'!O10*'Output-Calculation-sheet'!O19</f>
        <v>0</v>
      </c>
      <c r="P33" s="2">
        <f>P11/'Output-Calculation-sheet'!P10*'Output-Calculation-sheet'!P19</f>
        <v>2856.0346626925129</v>
      </c>
      <c r="Q33" s="2">
        <f>Q11/'Output-Calculation-sheet'!Q10*'Output-Calculation-sheet'!Q19</f>
        <v>2286.7932189221665</v>
      </c>
      <c r="R33" s="2">
        <f>R11/'Output-Calculation-sheet'!R10*'Output-Calculation-sheet'!R19</f>
        <v>2039.1335397553548</v>
      </c>
      <c r="S33" s="2">
        <f>S11/'Output-Calculation-sheet'!S10*'Output-Calculation-sheet'!S19</f>
        <v>953.0785352337839</v>
      </c>
      <c r="T33" s="2">
        <f>T11/'Output-Calculation-sheet'!T10*'Output-Calculation-sheet'!T19</f>
        <v>598.31707166878391</v>
      </c>
      <c r="U33" s="2">
        <f>U11/'Output-Calculation-sheet'!U10*'Output-Calculation-sheet'!U19</f>
        <v>688.07608198627133</v>
      </c>
      <c r="V33" s="2">
        <f>V11/'Output-Calculation-sheet'!V10*'Output-Calculation-sheet'!V19</f>
        <v>469.23722747265305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115.39886500755739</v>
      </c>
      <c r="Y33" s="2">
        <f>Y11/'Output-Calculation-sheet'!Y10*'Output-Calculation-sheet'!Y19</f>
        <v>263.32903671465158</v>
      </c>
      <c r="AA33" s="2">
        <f t="shared" si="1"/>
        <v>63.519567809177332</v>
      </c>
    </row>
    <row r="34" spans="1:27" x14ac:dyDescent="0.25">
      <c r="A34" s="2">
        <v>2035</v>
      </c>
      <c r="B34" s="2">
        <f>B12/'Output-Calculation-sheet'!B11*'Output-Calculation-sheet'!B20</f>
        <v>17836.317958999272</v>
      </c>
      <c r="C34" s="2">
        <f>C12/'Output-Calculation-sheet'!C11*'Output-Calculation-sheet'!C20</f>
        <v>0</v>
      </c>
      <c r="D34" s="2">
        <f>D12/'Output-Calculation-sheet'!D11*'Output-Calculation-sheet'!D20</f>
        <v>6609.6894604500794</v>
      </c>
      <c r="E34" s="2">
        <f>E12/'Output-Calculation-sheet'!E11*'Output-Calculation-sheet'!E20</f>
        <v>5960.3516497636583</v>
      </c>
      <c r="F34" s="2">
        <f>F12/'Output-Calculation-sheet'!F11*'Output-Calculation-sheet'!F20</f>
        <v>4225.7447974597344</v>
      </c>
      <c r="G34" s="2">
        <f>G12/'Output-Calculation-sheet'!G11*'Output-Calculation-sheet'!G20</f>
        <v>2102.6786846796181</v>
      </c>
      <c r="H34" s="2">
        <f>H12/'Output-Calculation-sheet'!H11*'Output-Calculation-sheet'!H20</f>
        <v>0</v>
      </c>
      <c r="I34" s="2">
        <f>I12/'Output-Calculation-sheet'!I11*'Output-Calculation-sheet'!I20</f>
        <v>2583.4942466353082</v>
      </c>
      <c r="J34" s="2">
        <f>J12/'Output-Calculation-sheet'!J11*'Output-Calculation-sheet'!J20</f>
        <v>2152.2420015701946</v>
      </c>
      <c r="K34" s="2">
        <f>K12/'Output-Calculation-sheet'!K11*'Output-Calculation-sheet'!K20</f>
        <v>3028.9864928585071</v>
      </c>
      <c r="L34" s="2">
        <f>L12/'Output-Calculation-sheet'!L11*'Output-Calculation-sheet'!L20</f>
        <v>2060.9112371847464</v>
      </c>
      <c r="M34" s="2">
        <f>M12/'Output-Calculation-sheet'!M11*'Output-Calculation-sheet'!M20</f>
        <v>0</v>
      </c>
      <c r="N34" s="2">
        <f>N12/'Output-Calculation-sheet'!N11*'Output-Calculation-sheet'!N20</f>
        <v>1179.6019142596438</v>
      </c>
      <c r="O34" s="2">
        <f>O12/'Output-Calculation-sheet'!O11*'Output-Calculation-sheet'!O20</f>
        <v>0</v>
      </c>
      <c r="P34" s="2">
        <f>P12/'Output-Calculation-sheet'!P11*'Output-Calculation-sheet'!P20</f>
        <v>2505.6206238617356</v>
      </c>
      <c r="Q34" s="2">
        <f>Q12/'Output-Calculation-sheet'!Q11*'Output-Calculation-sheet'!Q20</f>
        <v>1786.3577069473743</v>
      </c>
      <c r="R34" s="2">
        <f>R12/'Output-Calculation-sheet'!R11*'Output-Calculation-sheet'!R20</f>
        <v>2173.8779129558875</v>
      </c>
      <c r="S34" s="2">
        <f>S12/'Output-Calculation-sheet'!S11*'Output-Calculation-sheet'!S20</f>
        <v>778.41859501559099</v>
      </c>
      <c r="T34" s="2">
        <f>T12/'Output-Calculation-sheet'!T11*'Output-Calculation-sheet'!T20</f>
        <v>629.24373972615456</v>
      </c>
      <c r="U34" s="2">
        <f>U12/'Output-Calculation-sheet'!U11*'Output-Calculation-sheet'!U20</f>
        <v>576.13489368176977</v>
      </c>
      <c r="V34" s="2">
        <f>V12/'Output-Calculation-sheet'!V11*'Output-Calculation-sheet'!V20</f>
        <v>568.73865304660956</v>
      </c>
      <c r="W34" s="2">
        <f>W12/'Output-Calculation-sheet'!W11*'Output-Calculation-sheet'!W20</f>
        <v>335.94449386413203</v>
      </c>
      <c r="X34" s="2">
        <f>X12/'Output-Calculation-sheet'!X11*'Output-Calculation-sheet'!X20</f>
        <v>97.141501764919127</v>
      </c>
      <c r="Y34" s="2">
        <f>Y12/'Output-Calculation-sheet'!Y11*'Output-Calculation-sheet'!Y20</f>
        <v>181.15357013148883</v>
      </c>
      <c r="AA34" s="2">
        <f t="shared" si="1"/>
        <v>57.372650134856414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0.19557861479773575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0.19557861479773575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0.91937906199856334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0.17861061835527017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1.0979896803538336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1.5736311312192581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0.30571419453384741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7.5346116966820578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30546.219309863973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6662.7521547247316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4547.6526840305487</v>
      </c>
      <c r="N52" s="2">
        <f>N8/'Output-Calculation-sheet'!N7*'Output-Calculation-sheet'!N43</f>
        <v>145.35326374615391</v>
      </c>
      <c r="O52" s="2">
        <f>O8/'Output-Calculation-sheet'!O7*'Output-Calculation-sheet'!O43</f>
        <v>6188.636162554566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588.12083736490115</v>
      </c>
      <c r="Y52" s="2">
        <f>Y8/'Output-Calculation-sheet'!Y7*'Output-Calculation-sheet'!Y43</f>
        <v>0</v>
      </c>
      <c r="AA52" s="2">
        <f t="shared" si="3"/>
        <v>48.678734412284882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52366.663189552739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12236.740642405346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8381.6271645775923</v>
      </c>
      <c r="N53" s="2">
        <f>N9/'Output-Calculation-sheet'!N8*'Output-Calculation-sheet'!N44</f>
        <v>2966.3618043799406</v>
      </c>
      <c r="O53" s="2">
        <f>O9/'Output-Calculation-sheet'!O8*'Output-Calculation-sheet'!O44</f>
        <v>10385.013089244947</v>
      </c>
      <c r="P53" s="2">
        <f>P9/'Output-Calculation-sheet'!P8*'Output-Calculation-sheet'!P44</f>
        <v>139.63739187815059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931.43826862858884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1048.1287286426027</v>
      </c>
      <c r="Y53" s="2">
        <f>Y9/'Output-Calculation-sheet'!Y8*'Output-Calculation-sheet'!Y44</f>
        <v>0</v>
      </c>
      <c r="AA53" s="2">
        <f t="shared" si="3"/>
        <v>88.455610279309894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62169.376029516614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11357.284473342199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426.55974065015533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141.70651970892226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57904.75144868144</v>
      </c>
      <c r="D55" s="2">
        <f>D11/'Output-Calculation-sheet'!D10*'Output-Calculation-sheet'!D46</f>
        <v>5715.1924404565671</v>
      </c>
      <c r="E55" s="2">
        <f>E11/'Output-Calculation-sheet'!E10*'Output-Calculation-sheet'!E46</f>
        <v>6983.407353187602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19041.347458221524</v>
      </c>
      <c r="I55" s="2">
        <f>I11/'Output-Calculation-sheet'!I10*'Output-Calculation-sheet'!I46</f>
        <v>1382.9989538889374</v>
      </c>
      <c r="J55" s="2">
        <f>J11/'Output-Calculation-sheet'!J10*'Output-Calculation-sheet'!J46</f>
        <v>1003.7242616056145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13051.062725289197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10700.96950321487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3912.8703330371955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4889.1122388266294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1126.4162864616155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1362.3958632081428</v>
      </c>
      <c r="Y55" s="2">
        <f>Y11/'Output-Calculation-sheet'!Y10*'Output-Calculation-sheet'!Y46</f>
        <v>345.41240711552325</v>
      </c>
      <c r="AA55" s="2">
        <f t="shared" si="3"/>
        <v>213.43907437261655</v>
      </c>
    </row>
    <row r="56" spans="1:27" x14ac:dyDescent="0.25">
      <c r="A56" s="2">
        <v>2035</v>
      </c>
      <c r="B56" s="2">
        <f>B12/'Output-Calculation-sheet'!B11*'Output-Calculation-sheet'!B47</f>
        <v>80125.646695272109</v>
      </c>
      <c r="C56" s="2">
        <f>C12/'Output-Calculation-sheet'!C11*'Output-Calculation-sheet'!C47</f>
        <v>50314.784853457859</v>
      </c>
      <c r="D56" s="2">
        <f>D12/'Output-Calculation-sheet'!D11*'Output-Calculation-sheet'!D47</f>
        <v>13939.720069398645</v>
      </c>
      <c r="E56" s="2">
        <f>E12/'Output-Calculation-sheet'!E11*'Output-Calculation-sheet'!E47</f>
        <v>20650.450412084283</v>
      </c>
      <c r="F56" s="2">
        <f>F12/'Output-Calculation-sheet'!F11*'Output-Calculation-sheet'!F47</f>
        <v>2994.8147971583307</v>
      </c>
      <c r="G56" s="2">
        <f>G12/'Output-Calculation-sheet'!G11*'Output-Calculation-sheet'!G47</f>
        <v>4825.0217540863014</v>
      </c>
      <c r="H56" s="2">
        <f>H12/'Output-Calculation-sheet'!H11*'Output-Calculation-sheet'!H47</f>
        <v>16996.935841951341</v>
      </c>
      <c r="I56" s="2">
        <f>I12/'Output-Calculation-sheet'!I11*'Output-Calculation-sheet'!I47</f>
        <v>4734.3479925513029</v>
      </c>
      <c r="J56" s="2">
        <f>J12/'Output-Calculation-sheet'!J11*'Output-Calculation-sheet'!J47</f>
        <v>3787.4055341801095</v>
      </c>
      <c r="K56" s="2">
        <f>K12/'Output-Calculation-sheet'!K11*'Output-Calculation-sheet'!K47</f>
        <v>5079.654747032765</v>
      </c>
      <c r="L56" s="2">
        <f>L12/'Output-Calculation-sheet'!L11*'Output-Calculation-sheet'!L47</f>
        <v>4254.9277130449645</v>
      </c>
      <c r="M56" s="2">
        <f>M12/'Output-Calculation-sheet'!M11*'Output-Calculation-sheet'!M47</f>
        <v>11768.652324070672</v>
      </c>
      <c r="N56" s="2">
        <f>N12/'Output-Calculation-sheet'!N11*'Output-Calculation-sheet'!N47</f>
        <v>9856.8372780904756</v>
      </c>
      <c r="O56" s="2">
        <f>O12/'Output-Calculation-sheet'!O11*'Output-Calculation-sheet'!O47</f>
        <v>9211.65138792777</v>
      </c>
      <c r="P56" s="2">
        <f>P12/'Output-Calculation-sheet'!P11*'Output-Calculation-sheet'!P47</f>
        <v>5269.7650357228104</v>
      </c>
      <c r="Q56" s="2">
        <f>Q12/'Output-Calculation-sheet'!Q11*'Output-Calculation-sheet'!Q47</f>
        <v>5325.1582829831241</v>
      </c>
      <c r="R56" s="2">
        <f>R12/'Output-Calculation-sheet'!R11*'Output-Calculation-sheet'!R47</f>
        <v>4157.2943180551692</v>
      </c>
      <c r="S56" s="2">
        <f>S12/'Output-Calculation-sheet'!S11*'Output-Calculation-sheet'!S47</f>
        <v>5205.4910912288224</v>
      </c>
      <c r="T56" s="2">
        <f>T12/'Output-Calculation-sheet'!T11*'Output-Calculation-sheet'!T47</f>
        <v>1570.3842707279468</v>
      </c>
      <c r="U56" s="2">
        <f>U12/'Output-Calculation-sheet'!U11*'Output-Calculation-sheet'!U47</f>
        <v>1638.8008353702144</v>
      </c>
      <c r="V56" s="2">
        <f>V12/'Output-Calculation-sheet'!V11*'Output-Calculation-sheet'!V47</f>
        <v>851.73436433143797</v>
      </c>
      <c r="W56" s="2">
        <f>W12/'Output-Calculation-sheet'!W11*'Output-Calculation-sheet'!W47</f>
        <v>455.93252454397174</v>
      </c>
      <c r="X56" s="2">
        <f>X12/'Output-Calculation-sheet'!X11*'Output-Calculation-sheet'!X47</f>
        <v>1183.5963067939626</v>
      </c>
      <c r="Y56" s="2">
        <f>Y12/'Output-Calculation-sheet'!Y11*'Output-Calculation-sheet'!Y47</f>
        <v>660.8619920557868</v>
      </c>
      <c r="AA56" s="2">
        <f t="shared" si="3"/>
        <v>264.8598704221202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7.1085423613614083</v>
      </c>
      <c r="C63" s="2">
        <f>C8*'Output-Calculation-sheet'!C52/10^9</f>
        <v>4.4829319965044494</v>
      </c>
      <c r="D63" s="2">
        <f>D8*'Output-Calculation-sheet'!D52/10^9</f>
        <v>2.4376550136204553</v>
      </c>
      <c r="E63" s="2">
        <f>E8*'Output-Calculation-sheet'!E52/10^9</f>
        <v>2.4236951376029068</v>
      </c>
      <c r="F63" s="2">
        <f>F8*'Output-Calculation-sheet'!F52/10^9</f>
        <v>1.0264355076543097</v>
      </c>
      <c r="G63" s="2">
        <f>G8*'Output-Calculation-sheet'!G52/10^9</f>
        <v>0.73795986416647408</v>
      </c>
      <c r="H63" s="2">
        <f>H8*'Output-Calculation-sheet'!H52/10^9</f>
        <v>1.2890297858758362</v>
      </c>
      <c r="I63" s="2">
        <f>I8*'Output-Calculation-sheet'!I52/10^9</f>
        <v>0.68647409390152425</v>
      </c>
      <c r="J63" s="2">
        <f>J8*'Output-Calculation-sheet'!J52/10^9</f>
        <v>0.94463580636367073</v>
      </c>
      <c r="K63" s="2">
        <f>K8*'Output-Calculation-sheet'!K52/10^9</f>
        <v>0.82994442500438814</v>
      </c>
      <c r="L63" s="2">
        <f>L8*'Output-Calculation-sheet'!L52/10^9</f>
        <v>1.1163136110916843</v>
      </c>
      <c r="M63" s="2">
        <f>M8*'Output-Calculation-sheet'!M52/10^9</f>
        <v>1.0462895036887572</v>
      </c>
      <c r="N63" s="2">
        <f>N8*'Output-Calculation-sheet'!N52/10^9</f>
        <v>0.8732315388405858</v>
      </c>
      <c r="O63" s="2">
        <f>O8*'Output-Calculation-sheet'!O52/10^9</f>
        <v>0.93117660989502049</v>
      </c>
      <c r="P63" s="2">
        <f>P8*'Output-Calculation-sheet'!P52/10^9</f>
        <v>0.57347026360286946</v>
      </c>
      <c r="Q63" s="2">
        <f>Q8*'Output-Calculation-sheet'!Q52/10^9</f>
        <v>0.6489967457727096</v>
      </c>
      <c r="R63" s="2">
        <f>R8*'Output-Calculation-sheet'!R52/10^9</f>
        <v>0.58267090370794805</v>
      </c>
      <c r="S63" s="2">
        <f>S8*'Output-Calculation-sheet'!S52/10^9</f>
        <v>0.43178235508117602</v>
      </c>
      <c r="T63" s="2">
        <f>T8*'Output-Calculation-sheet'!T52/10^9</f>
        <v>0.22152405835405733</v>
      </c>
      <c r="U63" s="2">
        <f>U8*'Output-Calculation-sheet'!U52/10^9</f>
        <v>0.15214026016124593</v>
      </c>
      <c r="V63" s="2">
        <f>V8*'Output-Calculation-sheet'!V52/10^9</f>
        <v>0.27001321487956403</v>
      </c>
      <c r="W63" s="2">
        <f>W8*'Output-Calculation-sheet'!W52/10^9</f>
        <v>9.7732322379044639E-2</v>
      </c>
      <c r="X63" s="2">
        <f>X8*'Output-Calculation-sheet'!X52/10^9</f>
        <v>0.11248764834154505</v>
      </c>
      <c r="Y63" s="2">
        <f>Y8*'Output-Calculation-sheet'!Y52/10^9</f>
        <v>6.3767560082756608E-2</v>
      </c>
      <c r="AA63" s="2">
        <f t="shared" si="4"/>
        <v>29.088900587934386</v>
      </c>
    </row>
    <row r="64" spans="1:27" x14ac:dyDescent="0.25">
      <c r="A64" s="2">
        <v>2032</v>
      </c>
      <c r="B64" s="2">
        <f>B9*'Output-Calculation-sheet'!B53/10^9</f>
        <v>7.0535240426685757</v>
      </c>
      <c r="C64" s="2">
        <f>C9*'Output-Calculation-sheet'!C53/10^9</f>
        <v>4.7620787171380714</v>
      </c>
      <c r="D64" s="2">
        <f>D9*'Output-Calculation-sheet'!D53/10^9</f>
        <v>2.0874183152267025</v>
      </c>
      <c r="E64" s="2">
        <f>E9*'Output-Calculation-sheet'!E53/10^9</f>
        <v>2.1376181267551542</v>
      </c>
      <c r="F64" s="2">
        <f>F9*'Output-Calculation-sheet'!F53/10^9</f>
        <v>0.90163467885615944</v>
      </c>
      <c r="G64" s="2">
        <f>G9*'Output-Calculation-sheet'!G53/10^9</f>
        <v>0.64175530068845854</v>
      </c>
      <c r="H64" s="2">
        <f>H9*'Output-Calculation-sheet'!H53/10^9</f>
        <v>1.3187139987806595</v>
      </c>
      <c r="I64" s="2">
        <f>I9*'Output-Calculation-sheet'!I53/10^9</f>
        <v>0.5999364197599476</v>
      </c>
      <c r="J64" s="2">
        <f>J9*'Output-Calculation-sheet'!J53/10^9</f>
        <v>0.79419469734218584</v>
      </c>
      <c r="K64" s="2">
        <f>K9*'Output-Calculation-sheet'!K53/10^9</f>
        <v>0.73690273344175616</v>
      </c>
      <c r="L64" s="2">
        <f>L9*'Output-Calculation-sheet'!L53/10^9</f>
        <v>0.94801926228409006</v>
      </c>
      <c r="M64" s="2">
        <f>M9*'Output-Calculation-sheet'!M53/10^9</f>
        <v>1.033498094272127</v>
      </c>
      <c r="N64" s="2">
        <f>N9*'Output-Calculation-sheet'!N53/10^9</f>
        <v>0.87001688556220436</v>
      </c>
      <c r="O64" s="2">
        <f>O9*'Output-Calculation-sheet'!O53/10^9</f>
        <v>0.98491881233076095</v>
      </c>
      <c r="P64" s="2">
        <f>P9*'Output-Calculation-sheet'!P53/10^9</f>
        <v>0.56182881160169817</v>
      </c>
      <c r="Q64" s="2">
        <f>Q9*'Output-Calculation-sheet'!Q53/10^9</f>
        <v>0.6209151208181376</v>
      </c>
      <c r="R64" s="2">
        <f>R9*'Output-Calculation-sheet'!R53/10^9</f>
        <v>0.53227016343548128</v>
      </c>
      <c r="S64" s="2">
        <f>S9*'Output-Calculation-sheet'!S53/10^9</f>
        <v>0.43977340999003078</v>
      </c>
      <c r="T64" s="2">
        <f>T9*'Output-Calculation-sheet'!T53/10^9</f>
        <v>0.19133726949479773</v>
      </c>
      <c r="U64" s="2">
        <f>U9*'Output-Calculation-sheet'!U53/10^9</f>
        <v>0.14401550430245982</v>
      </c>
      <c r="V64" s="2">
        <f>V9*'Output-Calculation-sheet'!V53/10^9</f>
        <v>0.22710447914759518</v>
      </c>
      <c r="W64" s="2">
        <f>W9*'Output-Calculation-sheet'!W53/10^9</f>
        <v>8.4387931061650809E-2</v>
      </c>
      <c r="X64" s="2">
        <f>X9*'Output-Calculation-sheet'!X53/10^9</f>
        <v>0.11454286178956881</v>
      </c>
      <c r="Y64" s="2">
        <f>Y9*'Output-Calculation-sheet'!Y53/10^9</f>
        <v>5.9124928733053451E-2</v>
      </c>
      <c r="AA64" s="2">
        <f t="shared" si="4"/>
        <v>27.845530565481329</v>
      </c>
    </row>
    <row r="65" spans="1:27" x14ac:dyDescent="0.25">
      <c r="A65" s="2">
        <v>2033</v>
      </c>
      <c r="B65" s="2">
        <f>B10*'Output-Calculation-sheet'!B54/10^9</f>
        <v>6.8274410602401607</v>
      </c>
      <c r="C65" s="2">
        <f>C10*'Output-Calculation-sheet'!C54/10^9</f>
        <v>4.8506697167359194</v>
      </c>
      <c r="D65" s="2">
        <f>D10*'Output-Calculation-sheet'!D54/10^9</f>
        <v>1.6129812256308307</v>
      </c>
      <c r="E65" s="2">
        <f>E10*'Output-Calculation-sheet'!E54/10^9</f>
        <v>1.8161984147926578</v>
      </c>
      <c r="F65" s="2">
        <f>F10*'Output-Calculation-sheet'!F54/10^9</f>
        <v>0.73734547577083165</v>
      </c>
      <c r="G65" s="2">
        <f>G10*'Output-Calculation-sheet'!G54/10^9</f>
        <v>0.50625436548732783</v>
      </c>
      <c r="H65" s="2">
        <f>H10*'Output-Calculation-sheet'!H54/10^9</f>
        <v>1.2511009081029505</v>
      </c>
      <c r="I65" s="2">
        <f>I10*'Output-Calculation-sheet'!I54/10^9</f>
        <v>0.49295349211801159</v>
      </c>
      <c r="J65" s="2">
        <f>J10*'Output-Calculation-sheet'!J54/10^9</f>
        <v>0.5891893702262232</v>
      </c>
      <c r="K65" s="2">
        <f>K10*'Output-Calculation-sheet'!K54/10^9</f>
        <v>0.62858701069076584</v>
      </c>
      <c r="L65" s="2">
        <f>L10*'Output-Calculation-sheet'!L54/10^9</f>
        <v>0.74249345924846066</v>
      </c>
      <c r="M65" s="2">
        <f>M10*'Output-Calculation-sheet'!M54/10^9</f>
        <v>0.9446720612363958</v>
      </c>
      <c r="N65" s="2">
        <f>N10*'Output-Calculation-sheet'!N54/10^9</f>
        <v>0.81574918419440567</v>
      </c>
      <c r="O65" s="2">
        <f>O10*'Output-Calculation-sheet'!O54/10^9</f>
        <v>1.0003510880722044</v>
      </c>
      <c r="P65" s="2">
        <f>P10*'Output-Calculation-sheet'!P54/10^9</f>
        <v>0.53186682695855581</v>
      </c>
      <c r="Q65" s="2">
        <f>Q10*'Output-Calculation-sheet'!Q54/10^9</f>
        <v>0.58036938870394661</v>
      </c>
      <c r="R65" s="2">
        <f>R10*'Output-Calculation-sheet'!R54/10^9</f>
        <v>0.46824075226954387</v>
      </c>
      <c r="S65" s="2">
        <f>S10*'Output-Calculation-sheet'!S54/10^9</f>
        <v>0.42532225383127242</v>
      </c>
      <c r="T65" s="2">
        <f>T10*'Output-Calculation-sheet'!T54/10^9</f>
        <v>0.15655378623053284</v>
      </c>
      <c r="U65" s="2">
        <f>U10*'Output-Calculation-sheet'!U54/10^9</f>
        <v>0.13518512167013849</v>
      </c>
      <c r="V65" s="2">
        <f>V10*'Output-Calculation-sheet'!V54/10^9</f>
        <v>0.17325039552350796</v>
      </c>
      <c r="W65" s="2">
        <f>W10*'Output-Calculation-sheet'!W54/10^9</f>
        <v>6.5962941814616746E-2</v>
      </c>
      <c r="X65" s="2">
        <f>X10*'Output-Calculation-sheet'!X54/10^9</f>
        <v>0.10864589318431606</v>
      </c>
      <c r="Y65" s="2">
        <f>Y10*'Output-Calculation-sheet'!Y54/10^9</f>
        <v>5.4291036787175569E-2</v>
      </c>
      <c r="AA65" s="2">
        <f t="shared" si="4"/>
        <v>25.515675229520753</v>
      </c>
    </row>
    <row r="66" spans="1:27" x14ac:dyDescent="0.25">
      <c r="A66" s="2">
        <v>2034</v>
      </c>
      <c r="B66" s="2">
        <f>B11*'Output-Calculation-sheet'!B55/10^9</f>
        <v>6.3960078845075365</v>
      </c>
      <c r="C66" s="2">
        <f>C11*'Output-Calculation-sheet'!C55/10^9</f>
        <v>4.8508705860931398</v>
      </c>
      <c r="D66" s="2">
        <f>D11*'Output-Calculation-sheet'!D55/10^9</f>
        <v>1.3379538555522443</v>
      </c>
      <c r="E66" s="2">
        <f>E11*'Output-Calculation-sheet'!E55/10^9</f>
        <v>1.6200276108210618</v>
      </c>
      <c r="F66" s="2">
        <f>F11*'Output-Calculation-sheet'!F55/10^9</f>
        <v>0.62260374372295646</v>
      </c>
      <c r="G66" s="2">
        <f>G11*'Output-Calculation-sheet'!G55/10^9</f>
        <v>0.44503870634406223</v>
      </c>
      <c r="H66" s="2">
        <f>H11*'Output-Calculation-sheet'!H55/10^9</f>
        <v>1.1428376615825191</v>
      </c>
      <c r="I66" s="2">
        <f>I11*'Output-Calculation-sheet'!I55/10^9</f>
        <v>0.43522025388404639</v>
      </c>
      <c r="J66" s="2">
        <f>J11*'Output-Calculation-sheet'!J55/10^9</f>
        <v>0.44754236396758507</v>
      </c>
      <c r="K66" s="2">
        <f>K11*'Output-Calculation-sheet'!K55/10^9</f>
        <v>0.53525450194871516</v>
      </c>
      <c r="L66" s="2">
        <f>L11*'Output-Calculation-sheet'!L55/10^9</f>
        <v>0.56685928702120436</v>
      </c>
      <c r="M66" s="2">
        <f>M11*'Output-Calculation-sheet'!M55/10^9</f>
        <v>0.82426246107489287</v>
      </c>
      <c r="N66" s="2">
        <f>N11*'Output-Calculation-sheet'!N55/10^9</f>
        <v>0.7201862649542059</v>
      </c>
      <c r="O66" s="2">
        <f>O11*'Output-Calculation-sheet'!O55/10^9</f>
        <v>0.96585747152725066</v>
      </c>
      <c r="P66" s="2">
        <f>P11*'Output-Calculation-sheet'!P55/10^9</f>
        <v>0.49505630285701141</v>
      </c>
      <c r="Q66" s="2">
        <f>Q11*'Output-Calculation-sheet'!Q55/10^9</f>
        <v>0.54045278004932462</v>
      </c>
      <c r="R66" s="2">
        <f>R11*'Output-Calculation-sheet'!R55/10^9</f>
        <v>0.40097033405539695</v>
      </c>
      <c r="S66" s="2">
        <f>S11*'Output-Calculation-sheet'!S55/10^9</f>
        <v>0.39453376819433583</v>
      </c>
      <c r="T66" s="2">
        <f>T11*'Output-Calculation-sheet'!T55/10^9</f>
        <v>0.12568783039209719</v>
      </c>
      <c r="U66" s="2">
        <f>U11*'Output-Calculation-sheet'!U55/10^9</f>
        <v>0.12832799573513964</v>
      </c>
      <c r="V66" s="2">
        <f>V11*'Output-Calculation-sheet'!V55/10^9</f>
        <v>0.11923647695685355</v>
      </c>
      <c r="W66" s="2">
        <f>W11*'Output-Calculation-sheet'!W55/10^9</f>
        <v>5.3985769176056353E-2</v>
      </c>
      <c r="X66" s="2">
        <f>X11*'Output-Calculation-sheet'!X55/10^9</f>
        <v>0.10245457230599687</v>
      </c>
      <c r="Y66" s="2">
        <f>Y11*'Output-Calculation-sheet'!Y55/10^9</f>
        <v>5.2976259330689772E-2</v>
      </c>
      <c r="AA66" s="2">
        <f t="shared" si="4"/>
        <v>23.324204742054327</v>
      </c>
    </row>
    <row r="67" spans="1:27" x14ac:dyDescent="0.25">
      <c r="A67" s="2">
        <v>2035</v>
      </c>
      <c r="B67" s="2">
        <f>B12*'Output-Calculation-sheet'!B56/10^9</f>
        <v>6.2365331718004455</v>
      </c>
      <c r="C67" s="2">
        <f>C12*'Output-Calculation-sheet'!C56/10^9</f>
        <v>4.520253318657506</v>
      </c>
      <c r="D67" s="2">
        <f>D12*'Output-Calculation-sheet'!D56/10^9</f>
        <v>1.4145934606381896</v>
      </c>
      <c r="E67" s="2">
        <f>E12*'Output-Calculation-sheet'!E56/10^9</f>
        <v>1.6838356610396732</v>
      </c>
      <c r="F67" s="2">
        <f>F12*'Output-Calculation-sheet'!F56/10^9</f>
        <v>0.68914438311084469</v>
      </c>
      <c r="G67" s="2">
        <f>G12*'Output-Calculation-sheet'!G56/10^9</f>
        <v>0.48439830849469356</v>
      </c>
      <c r="H67" s="2">
        <f>H12*'Output-Calculation-sheet'!H56/10^9</f>
        <v>1.1059892005731875</v>
      </c>
      <c r="I67" s="2">
        <f>I12*'Output-Calculation-sheet'!I56/10^9</f>
        <v>0.48508643136199425</v>
      </c>
      <c r="J67" s="2">
        <f>J12*'Output-Calculation-sheet'!J56/10^9</f>
        <v>0.43885788712923718</v>
      </c>
      <c r="K67" s="2">
        <f>K12*'Output-Calculation-sheet'!K56/10^9</f>
        <v>0.54466031955187533</v>
      </c>
      <c r="L67" s="2">
        <f>L12*'Output-Calculation-sheet'!L56/10^9</f>
        <v>0.50756455209784967</v>
      </c>
      <c r="M67" s="2">
        <f>M12*'Output-Calculation-sheet'!M56/10^9</f>
        <v>0.78008139692320755</v>
      </c>
      <c r="N67" s="2">
        <f>N12*'Output-Calculation-sheet'!N56/10^9</f>
        <v>0.66323969754276502</v>
      </c>
      <c r="O67" s="2">
        <f>O12*'Output-Calculation-sheet'!O56/10^9</f>
        <v>0.87317260338185698</v>
      </c>
      <c r="P67" s="2">
        <f>P12*'Output-Calculation-sheet'!P56/10^9</f>
        <v>0.51206689524465931</v>
      </c>
      <c r="Q67" s="2">
        <f>Q12*'Output-Calculation-sheet'!Q56/10^9</f>
        <v>0.51721992106330361</v>
      </c>
      <c r="R67" s="2">
        <f>R12*'Output-Calculation-sheet'!R56/10^9</f>
        <v>0.39494203319174603</v>
      </c>
      <c r="S67" s="2">
        <f>S12*'Output-Calculation-sheet'!S56/10^9</f>
        <v>0.37767916757398123</v>
      </c>
      <c r="T67" s="2">
        <f>T12*'Output-Calculation-sheet'!T56/10^9</f>
        <v>0.12012505360405261</v>
      </c>
      <c r="U67" s="2">
        <f>U12*'Output-Calculation-sheet'!U56/10^9</f>
        <v>0.136630819353356</v>
      </c>
      <c r="V67" s="2">
        <f>V12*'Output-Calculation-sheet'!V56/10^9</f>
        <v>9.2096426665549055E-2</v>
      </c>
      <c r="W67" s="2">
        <f>W12*'Output-Calculation-sheet'!W56/10^9</f>
        <v>5.9645867021564984E-2</v>
      </c>
      <c r="X67" s="2">
        <f>X12*'Output-Calculation-sheet'!X56/10^9</f>
        <v>9.7690996496529667E-2</v>
      </c>
      <c r="Y67" s="2">
        <f>Y12*'Output-Calculation-sheet'!Y56/10^9</f>
        <v>5.605111059856456E-2</v>
      </c>
      <c r="AA67" s="2">
        <f t="shared" si="4"/>
        <v>22.791558683116634</v>
      </c>
    </row>
    <row r="68" spans="1:27" x14ac:dyDescent="0.25">
      <c r="B68" s="2">
        <f>SUM(B60:B67)</f>
        <v>51.256105719807863</v>
      </c>
      <c r="C68" s="2">
        <f t="shared" ref="C68:Y68" si="5">SUM(C60:C67)</f>
        <v>32.782222058646134</v>
      </c>
      <c r="D68" s="2">
        <f t="shared" si="5"/>
        <v>15.817663251188124</v>
      </c>
      <c r="E68" s="2">
        <f t="shared" si="5"/>
        <v>16.510225918093244</v>
      </c>
      <c r="F68" s="2">
        <f t="shared" si="5"/>
        <v>6.8067049907897417</v>
      </c>
      <c r="G68" s="2">
        <f t="shared" si="5"/>
        <v>4.8746505284719897</v>
      </c>
      <c r="H68" s="2">
        <f t="shared" si="5"/>
        <v>9.0123977337251091</v>
      </c>
      <c r="I68" s="2">
        <f t="shared" si="5"/>
        <v>4.6038736364538932</v>
      </c>
      <c r="J68" s="2">
        <f t="shared" si="5"/>
        <v>5.9554284062738407</v>
      </c>
      <c r="K68" s="2">
        <f t="shared" si="5"/>
        <v>5.5825974758148149</v>
      </c>
      <c r="L68" s="2">
        <f t="shared" si="5"/>
        <v>7.1323355538127116</v>
      </c>
      <c r="M68" s="2">
        <f t="shared" si="5"/>
        <v>7.120505313627711</v>
      </c>
      <c r="N68" s="2">
        <f t="shared" si="5"/>
        <v>6.1053904946578488</v>
      </c>
      <c r="O68" s="2">
        <f t="shared" si="5"/>
        <v>6.7023365339916179</v>
      </c>
      <c r="P68" s="2">
        <f t="shared" si="5"/>
        <v>4.1385010908076296</v>
      </c>
      <c r="Q68" s="2">
        <f t="shared" si="5"/>
        <v>4.5794255157950214</v>
      </c>
      <c r="R68" s="2">
        <f t="shared" si="5"/>
        <v>3.982767975410495</v>
      </c>
      <c r="S68" s="2">
        <f t="shared" si="5"/>
        <v>3.1168678673614334</v>
      </c>
      <c r="T68" s="2">
        <f t="shared" si="5"/>
        <v>1.4431864149772775</v>
      </c>
      <c r="U68" s="2">
        <f t="shared" si="5"/>
        <v>1.1068078580104188</v>
      </c>
      <c r="V68" s="2">
        <f t="shared" si="5"/>
        <v>1.6765860476159438</v>
      </c>
      <c r="W68" s="2">
        <f t="shared" si="5"/>
        <v>0.63675503926885024</v>
      </c>
      <c r="X68" s="2">
        <f t="shared" si="5"/>
        <v>0.78939734472671341</v>
      </c>
      <c r="Y68" s="2">
        <f t="shared" si="5"/>
        <v>0.45955674919619977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5893.8493783820959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1422.6050487781613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953.28782909513552</v>
      </c>
      <c r="N74" s="2">
        <f>N8/'Output-Calculation-sheet'!N7*'Output-Calculation-sheet'!N61</f>
        <v>39.953978372224057</v>
      </c>
      <c r="O74" s="2">
        <f>O8/'Output-Calculation-sheet'!O7*'Output-Calculation-sheet'!O61</f>
        <v>1178.1128633395656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118.45970466261588</v>
      </c>
      <c r="Y74" s="2">
        <f>Y8/'Output-Calculation-sheet'!Y7*'Output-Calculation-sheet'!Y61</f>
        <v>0</v>
      </c>
      <c r="AA74" s="2">
        <f t="shared" si="6"/>
        <v>9.6062688026297991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9406.123638870773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2331.0152790861471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1583.8007275414086</v>
      </c>
      <c r="N75" s="2">
        <f>N9/'Output-Calculation-sheet'!N8*'Output-Calculation-sheet'!N62</f>
        <v>609.89910219990122</v>
      </c>
      <c r="O75" s="2">
        <f>O9/'Output-Calculation-sheet'!O8*'Output-Calculation-sheet'!O62</f>
        <v>1859.2876065994196</v>
      </c>
      <c r="P75" s="2">
        <f>P9/'Output-Calculation-sheet'!P8*'Output-Calculation-sheet'!P62</f>
        <v>40.983574516237198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205.12220197159121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191.34359693857539</v>
      </c>
      <c r="Y75" s="2">
        <f>Y9/'Output-Calculation-sheet'!Y8*'Output-Calculation-sheet'!Y62</f>
        <v>0</v>
      </c>
      <c r="AA75" s="2">
        <f t="shared" si="6"/>
        <v>16.227575727724052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11590.261499639159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3120.3916811844551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2124.5200161427983</v>
      </c>
      <c r="N76" s="2">
        <f>N10/'Output-Calculation-sheet'!N9*'Output-Calculation-sheet'!N63</f>
        <v>1213.75582522635</v>
      </c>
      <c r="O76" s="2">
        <f>O10/'Output-Calculation-sheet'!O9*'Output-Calculation-sheet'!O63</f>
        <v>2091.0270445081073</v>
      </c>
      <c r="P76" s="2">
        <f>P10/'Output-Calculation-sheet'!P9*'Output-Calculation-sheet'!P63</f>
        <v>421.4715681586805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319.95083303112398</v>
      </c>
      <c r="S76" s="2">
        <f>S10/'Output-Calculation-sheet'!S9*'Output-Calculation-sheet'!S63</f>
        <v>539.14109180548189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113.51628375277869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250.20155771508385</v>
      </c>
      <c r="Y76" s="2">
        <f>Y10/'Output-Calculation-sheet'!Y9*'Output-Calculation-sheet'!Y63</f>
        <v>4.7466443409389356</v>
      </c>
      <c r="AA76" s="2">
        <f t="shared" si="6"/>
        <v>26.866475545167326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10678.829746971733</v>
      </c>
      <c r="D77" s="2">
        <f>D11/'Output-Calculation-sheet'!D10*'Output-Calculation-sheet'!D64</f>
        <v>1321.8525715720982</v>
      </c>
      <c r="E77" s="2">
        <f>E11/'Output-Calculation-sheet'!E10*'Output-Calculation-sheet'!E64</f>
        <v>1608.0005126583678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689.34145377619848</v>
      </c>
      <c r="H77" s="2">
        <f>H11/'Output-Calculation-sheet'!H10*'Output-Calculation-sheet'!H64</f>
        <v>3662.5920120030482</v>
      </c>
      <c r="I77" s="2">
        <f>I11/'Output-Calculation-sheet'!I10*'Output-Calculation-sheet'!I64</f>
        <v>408.46874103109769</v>
      </c>
      <c r="J77" s="2">
        <f>J11/'Output-Calculation-sheet'!J10*'Output-Calculation-sheet'!J64</f>
        <v>293.61215843467875</v>
      </c>
      <c r="K77" s="2">
        <f>K11/'Output-Calculation-sheet'!K10*'Output-Calculation-sheet'!K64</f>
        <v>614.63936453743827</v>
      </c>
      <c r="L77" s="2">
        <f>L11/'Output-Calculation-sheet'!L10*'Output-Calculation-sheet'!L64</f>
        <v>268.71150404375459</v>
      </c>
      <c r="M77" s="2">
        <f>M11/'Output-Calculation-sheet'!M10*'Output-Calculation-sheet'!M64</f>
        <v>2454.6589100100859</v>
      </c>
      <c r="N77" s="2">
        <f>N11/'Output-Calculation-sheet'!N10*'Output-Calculation-sheet'!N64</f>
        <v>1728.2167342476569</v>
      </c>
      <c r="O77" s="2">
        <f>O11/'Output-Calculation-sheet'!O10*'Output-Calculation-sheet'!O64</f>
        <v>2001.8020066138422</v>
      </c>
      <c r="P77" s="2">
        <f>P11/'Output-Calculation-sheet'!P10*'Output-Calculation-sheet'!P64</f>
        <v>762.80044049385947</v>
      </c>
      <c r="Q77" s="2">
        <f>Q11/'Output-Calculation-sheet'!Q10*'Output-Calculation-sheet'!Q64</f>
        <v>686.22331216610962</v>
      </c>
      <c r="R77" s="2">
        <f>R11/'Output-Calculation-sheet'!R10*'Output-Calculation-sheet'!R64</f>
        <v>652.75788719333309</v>
      </c>
      <c r="S77" s="2">
        <f>S11/'Output-Calculation-sheet'!S10*'Output-Calculation-sheet'!S64</f>
        <v>869.06857316150513</v>
      </c>
      <c r="T77" s="2">
        <f>T11/'Output-Calculation-sheet'!T10*'Output-Calculation-sheet'!T64</f>
        <v>180.92207603644752</v>
      </c>
      <c r="U77" s="2">
        <f>U11/'Output-Calculation-sheet'!U10*'Output-Calculation-sheet'!U64</f>
        <v>247.56283275829514</v>
      </c>
      <c r="V77" s="2">
        <f>V11/'Output-Calculation-sheet'!V10*'Output-Calculation-sheet'!V64</f>
        <v>95.137270633521297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253.14514496526212</v>
      </c>
      <c r="Y77" s="2">
        <f>Y11/'Output-Calculation-sheet'!Y10*'Output-Calculation-sheet'!Y64</f>
        <v>59.756346430985523</v>
      </c>
      <c r="AA77" s="2">
        <f t="shared" si="6"/>
        <v>40.25105223687595</v>
      </c>
    </row>
    <row r="78" spans="1:27" x14ac:dyDescent="0.25">
      <c r="A78" s="2">
        <v>2035</v>
      </c>
      <c r="B78" s="2">
        <f>B12/'Output-Calculation-sheet'!B11*'Output-Calculation-sheet'!B65</f>
        <v>13338.229930726757</v>
      </c>
      <c r="C78" s="2">
        <f>C12/'Output-Calculation-sheet'!C11*'Output-Calculation-sheet'!C65</f>
        <v>9399.2021202996584</v>
      </c>
      <c r="D78" s="2">
        <f>D12/'Output-Calculation-sheet'!D11*'Output-Calculation-sheet'!D65</f>
        <v>3063.681459112132</v>
      </c>
      <c r="E78" s="2">
        <f>E12/'Output-Calculation-sheet'!E11*'Output-Calculation-sheet'!E65</f>
        <v>3064.5268411533075</v>
      </c>
      <c r="F78" s="2">
        <f>F12/'Output-Calculation-sheet'!F11*'Output-Calculation-sheet'!F65</f>
        <v>711.421310998428</v>
      </c>
      <c r="G78" s="2">
        <f>G12/'Output-Calculation-sheet'!G11*'Output-Calculation-sheet'!G65</f>
        <v>1060.4520538799129</v>
      </c>
      <c r="H78" s="2">
        <f>H12/'Output-Calculation-sheet'!H11*'Output-Calculation-sheet'!H65</f>
        <v>3398.5798139377753</v>
      </c>
      <c r="I78" s="2">
        <f>I12/'Output-Calculation-sheet'!I11*'Output-Calculation-sheet'!I65</f>
        <v>941.40537186885763</v>
      </c>
      <c r="J78" s="2">
        <f>J12/'Output-Calculation-sheet'!J11*'Output-Calculation-sheet'!J65</f>
        <v>837.50469077728098</v>
      </c>
      <c r="K78" s="2">
        <f>K12/'Output-Calculation-sheet'!K11*'Output-Calculation-sheet'!K65</f>
        <v>1116.3995406245829</v>
      </c>
      <c r="L78" s="2">
        <f>L12/'Output-Calculation-sheet'!L11*'Output-Calculation-sheet'!L65</f>
        <v>735.37792333318066</v>
      </c>
      <c r="M78" s="2">
        <f>M12/'Output-Calculation-sheet'!M11*'Output-Calculation-sheet'!M65</f>
        <v>2373.4082362777358</v>
      </c>
      <c r="N78" s="2">
        <f>N12/'Output-Calculation-sheet'!N11*'Output-Calculation-sheet'!N65</f>
        <v>1694.7869005656698</v>
      </c>
      <c r="O78" s="2">
        <f>O12/'Output-Calculation-sheet'!O11*'Output-Calculation-sheet'!O65</f>
        <v>1717.4031218631042</v>
      </c>
      <c r="P78" s="2">
        <f>P12/'Output-Calculation-sheet'!P11*'Output-Calculation-sheet'!P65</f>
        <v>938.58895695446904</v>
      </c>
      <c r="Q78" s="2">
        <f>Q12/'Output-Calculation-sheet'!Q11*'Output-Calculation-sheet'!Q65</f>
        <v>909.94743700308084</v>
      </c>
      <c r="R78" s="2">
        <f>R12/'Output-Calculation-sheet'!R11*'Output-Calculation-sheet'!R65</f>
        <v>825.4788516640416</v>
      </c>
      <c r="S78" s="2">
        <f>S12/'Output-Calculation-sheet'!S11*'Output-Calculation-sheet'!S65</f>
        <v>923.43929381822693</v>
      </c>
      <c r="T78" s="2">
        <f>T12/'Output-Calculation-sheet'!T11*'Output-Calculation-sheet'!T65</f>
        <v>287.67130451102565</v>
      </c>
      <c r="U78" s="2">
        <f>U12/'Output-Calculation-sheet'!U11*'Output-Calculation-sheet'!U65</f>
        <v>263.03556741434767</v>
      </c>
      <c r="V78" s="2">
        <f>V12/'Output-Calculation-sheet'!V11*'Output-Calculation-sheet'!V65</f>
        <v>150.55256623922497</v>
      </c>
      <c r="W78" s="2">
        <f>W12/'Output-Calculation-sheet'!W11*'Output-Calculation-sheet'!W65</f>
        <v>100.2059230266848</v>
      </c>
      <c r="X78" s="2">
        <f>X12/'Output-Calculation-sheet'!X11*'Output-Calculation-sheet'!X65</f>
        <v>227.96898839149191</v>
      </c>
      <c r="Y78" s="2">
        <f>Y12/'Output-Calculation-sheet'!Y11*'Output-Calculation-sheet'!Y65</f>
        <v>105.41909537912849</v>
      </c>
      <c r="AA78" s="2">
        <f t="shared" si="6"/>
        <v>48.184687299820084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34.312037683813287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3.4312037683813287E-2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403.23643070112428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94.005588608036931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0.49724201930916123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759.20800190402804</v>
      </c>
      <c r="D89" s="2">
        <f>D12/'Output-Calculation-sheet'!D11*'Output-Calculation-sheet'!D74</f>
        <v>61.139123111397566</v>
      </c>
      <c r="E89" s="2">
        <f>E12/'Output-Calculation-sheet'!E11*'Output-Calculation-sheet'!E74</f>
        <v>48.589295087257135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63.73850940731753</v>
      </c>
      <c r="I89" s="2">
        <f>I12/'Output-Calculation-sheet'!I11*'Output-Calculation-sheet'!I74</f>
        <v>19.726449968963763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19.38799521768231</v>
      </c>
      <c r="L89" s="2">
        <f>L12/'Output-Calculation-sheet'!L11*'Output-Calculation-sheet'!L74</f>
        <v>15.416404757409293</v>
      </c>
      <c r="M89" s="2">
        <f>M12/'Output-Calculation-sheet'!M11*'Output-Calculation-sheet'!M74</f>
        <v>43.858331642499401</v>
      </c>
      <c r="N89" s="2">
        <f>N12/'Output-Calculation-sheet'!N11*'Output-Calculation-sheet'!N74</f>
        <v>28.737134921546573</v>
      </c>
      <c r="O89" s="2">
        <f>O12/'Output-Calculation-sheet'!O11*'Output-Calculation-sheet'!O74</f>
        <v>174.31072495350946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25.178053347437938</v>
      </c>
      <c r="R89" s="2">
        <f>R12/'Output-Calculation-sheet'!R11*'Output-Calculation-sheet'!R74</f>
        <v>12.484367321486996</v>
      </c>
      <c r="S89" s="2">
        <f>S12/'Output-Calculation-sheet'!S11*'Output-Calculation-sheet'!S74</f>
        <v>16.473073073508932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8.033337428285364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6.4151561343846213</v>
      </c>
      <c r="Y89" s="2">
        <f>Y12/'Output-Calculation-sheet'!Y11*'Output-Calculation-sheet'!Y74</f>
        <v>3.0953723281301491</v>
      </c>
      <c r="AA89" s="2">
        <f t="shared" si="7"/>
        <v>1.7275202852757956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18565384800.372826</v>
      </c>
      <c r="C96" s="2">
        <f>C8/'Output-Calculation-sheet'!C7*'Output-Calculation-sheet'!C79</f>
        <v>7685826751.9619265</v>
      </c>
      <c r="D96" s="2">
        <f>D8/'Output-Calculation-sheet'!D7*'Output-Calculation-sheet'!D79</f>
        <v>6126809550.1669674</v>
      </c>
      <c r="E96" s="2">
        <f>E8/'Output-Calculation-sheet'!E7*'Output-Calculation-sheet'!E79</f>
        <v>7403321828.3934526</v>
      </c>
      <c r="F96" s="2">
        <f>F8/'Output-Calculation-sheet'!F7*'Output-Calculation-sheet'!F79</f>
        <v>4370138373.9784575</v>
      </c>
      <c r="G96" s="2">
        <f>G8/'Output-Calculation-sheet'!G7*'Output-Calculation-sheet'!G79</f>
        <v>2222879210.4983845</v>
      </c>
      <c r="H96" s="2">
        <f>H8/'Output-Calculation-sheet'!H7*'Output-Calculation-sheet'!H79</f>
        <v>2775638069.4116645</v>
      </c>
      <c r="I96" s="2">
        <f>I8/'Output-Calculation-sheet'!I7*'Output-Calculation-sheet'!I79</f>
        <v>2656673738.2296047</v>
      </c>
      <c r="J96" s="2">
        <f>J8/'Output-Calculation-sheet'!J7*'Output-Calculation-sheet'!J79</f>
        <v>1499522048.5281727</v>
      </c>
      <c r="K96" s="2">
        <f>K8/'Output-Calculation-sheet'!K7*'Output-Calculation-sheet'!K79</f>
        <v>2554199667.9653168</v>
      </c>
      <c r="L96" s="2">
        <f>L8/'Output-Calculation-sheet'!L7*'Output-Calculation-sheet'!L79</f>
        <v>1837030606.3415027</v>
      </c>
      <c r="M96" s="2">
        <f>M8/'Output-Calculation-sheet'!M7*'Output-Calculation-sheet'!M79</f>
        <v>1857074643.5885286</v>
      </c>
      <c r="N96" s="2">
        <f>N8/'Output-Calculation-sheet'!N7*'Output-Calculation-sheet'!N79</f>
        <v>1321732293.7186563</v>
      </c>
      <c r="O96" s="2">
        <f>O8/'Output-Calculation-sheet'!O7*'Output-Calculation-sheet'!O79</f>
        <v>1038768005.5384059</v>
      </c>
      <c r="P96" s="2">
        <f>P8/'Output-Calculation-sheet'!P7*'Output-Calculation-sheet'!P79</f>
        <v>2208159415.9938636</v>
      </c>
      <c r="Q96" s="2">
        <f>Q8/'Output-Calculation-sheet'!Q7*'Output-Calculation-sheet'!Q79</f>
        <v>1202703213.6117082</v>
      </c>
      <c r="R96" s="2">
        <f>R8/'Output-Calculation-sheet'!R7*'Output-Calculation-sheet'!R79</f>
        <v>1604520462.8690321</v>
      </c>
      <c r="S96" s="2">
        <f>S8/'Output-Calculation-sheet'!S7*'Output-Calculation-sheet'!S79</f>
        <v>1009959136.2281218</v>
      </c>
      <c r="T96" s="2">
        <f>T8/'Output-Calculation-sheet'!T7*'Output-Calculation-sheet'!T79</f>
        <v>648535957.24263978</v>
      </c>
      <c r="U96" s="2">
        <f>U8/'Output-Calculation-sheet'!U7*'Output-Calculation-sheet'!U79</f>
        <v>601378432.31625187</v>
      </c>
      <c r="V96" s="2">
        <f>V8/'Output-Calculation-sheet'!V7*'Output-Calculation-sheet'!V79</f>
        <v>387187922.66884625</v>
      </c>
      <c r="W96" s="2">
        <f>W8/'Output-Calculation-sheet'!W7*'Output-Calculation-sheet'!W79</f>
        <v>463164524.50156301</v>
      </c>
      <c r="X96" s="2">
        <f>X8/'Output-Calculation-sheet'!X7*'Output-Calculation-sheet'!X79</f>
        <v>211993023.03510854</v>
      </c>
      <c r="Y96" s="2">
        <f>Y8/'Output-Calculation-sheet'!Y7*'Output-Calculation-sheet'!Y79</f>
        <v>237277917.16864225</v>
      </c>
      <c r="AA96" s="2">
        <f t="shared" si="8"/>
        <v>70.489879594329651</v>
      </c>
    </row>
    <row r="97" spans="1:27" x14ac:dyDescent="0.25">
      <c r="A97" s="2">
        <v>2032</v>
      </c>
      <c r="B97" s="2">
        <f>B9/'Output-Calculation-sheet'!B8*'Output-Calculation-sheet'!B80</f>
        <v>24371410634.744884</v>
      </c>
      <c r="C97" s="2">
        <f>C9/'Output-Calculation-sheet'!C8*'Output-Calculation-sheet'!C80</f>
        <v>10098243933.757856</v>
      </c>
      <c r="D97" s="2">
        <f>D9/'Output-Calculation-sheet'!D8*'Output-Calculation-sheet'!D80</f>
        <v>7981845191.7605286</v>
      </c>
      <c r="E97" s="2">
        <f>E9/'Output-Calculation-sheet'!E8*'Output-Calculation-sheet'!E80</f>
        <v>9631321236.8219929</v>
      </c>
      <c r="F97" s="2">
        <f>F9/'Output-Calculation-sheet'!F8*'Output-Calculation-sheet'!F80</f>
        <v>5706829791.2758465</v>
      </c>
      <c r="G97" s="2">
        <f>G9/'Output-Calculation-sheet'!G8*'Output-Calculation-sheet'!G80</f>
        <v>2856740485.5799837</v>
      </c>
      <c r="H97" s="2">
        <f>H9/'Output-Calculation-sheet'!H8*'Output-Calculation-sheet'!H80</f>
        <v>3636167038.3255649</v>
      </c>
      <c r="I97" s="2">
        <f>I9/'Output-Calculation-sheet'!I8*'Output-Calculation-sheet'!I80</f>
        <v>3470868153.8064194</v>
      </c>
      <c r="J97" s="2">
        <f>J9/'Output-Calculation-sheet'!J8*'Output-Calculation-sheet'!J80</f>
        <v>1980528754.5065026</v>
      </c>
      <c r="K97" s="2">
        <f>K9/'Output-Calculation-sheet'!K8*'Output-Calculation-sheet'!K80</f>
        <v>3336236199.3512745</v>
      </c>
      <c r="L97" s="2">
        <f>L9/'Output-Calculation-sheet'!L8*'Output-Calculation-sheet'!L80</f>
        <v>2413880604.5690188</v>
      </c>
      <c r="M97" s="2">
        <f>M9/'Output-Calculation-sheet'!M8*'Output-Calculation-sheet'!M80</f>
        <v>2432782663.6510582</v>
      </c>
      <c r="N97" s="2">
        <f>N9/'Output-Calculation-sheet'!N8*'Output-Calculation-sheet'!N80</f>
        <v>1738892248.2615757</v>
      </c>
      <c r="O97" s="2">
        <f>O9/'Output-Calculation-sheet'!O8*'Output-Calculation-sheet'!O80</f>
        <v>1371879800.1665566</v>
      </c>
      <c r="P97" s="2">
        <f>P9/'Output-Calculation-sheet'!P8*'Output-Calculation-sheet'!P80</f>
        <v>2866907510.9220991</v>
      </c>
      <c r="Q97" s="2">
        <f>Q9/'Output-Calculation-sheet'!Q8*'Output-Calculation-sheet'!Q80</f>
        <v>1587436958.0131993</v>
      </c>
      <c r="R97" s="2">
        <f>R9/'Output-Calculation-sheet'!R8*'Output-Calculation-sheet'!R80</f>
        <v>2104705351.4649158</v>
      </c>
      <c r="S97" s="2">
        <f>S9/'Output-Calculation-sheet'!S8*'Output-Calculation-sheet'!S80</f>
        <v>1327763085.7945449</v>
      </c>
      <c r="T97" s="2">
        <f>T9/'Output-Calculation-sheet'!T8*'Output-Calculation-sheet'!T80</f>
        <v>843963075.77749109</v>
      </c>
      <c r="U97" s="2">
        <f>U9/'Output-Calculation-sheet'!U8*'Output-Calculation-sheet'!U80</f>
        <v>787028364.78736091</v>
      </c>
      <c r="V97" s="2">
        <f>V9/'Output-Calculation-sheet'!V8*'Output-Calculation-sheet'!V80</f>
        <v>509687062.46731544</v>
      </c>
      <c r="W97" s="2">
        <f>W9/'Output-Calculation-sheet'!W8*'Output-Calculation-sheet'!W80</f>
        <v>596222899.07515025</v>
      </c>
      <c r="X97" s="2">
        <f>X9/'Output-Calculation-sheet'!X8*'Output-Calculation-sheet'!X80</f>
        <v>277625469.52399755</v>
      </c>
      <c r="Y97" s="2">
        <f>Y9/'Output-Calculation-sheet'!Y8*'Output-Calculation-sheet'!Y80</f>
        <v>306788936.46922892</v>
      </c>
      <c r="AA97" s="2">
        <f t="shared" si="8"/>
        <v>92.235755450874365</v>
      </c>
    </row>
    <row r="98" spans="1:27" x14ac:dyDescent="0.25">
      <c r="A98" s="2">
        <v>2033</v>
      </c>
      <c r="B98" s="2">
        <f>B10/'Output-Calculation-sheet'!B9*'Output-Calculation-sheet'!B81</f>
        <v>28722315922.146412</v>
      </c>
      <c r="C98" s="2">
        <f>C10/'Output-Calculation-sheet'!C9*'Output-Calculation-sheet'!C81</f>
        <v>11913365637.447105</v>
      </c>
      <c r="D98" s="2">
        <f>D10/'Output-Calculation-sheet'!D9*'Output-Calculation-sheet'!D81</f>
        <v>9345234372.9761333</v>
      </c>
      <c r="E98" s="2">
        <f>E10/'Output-Calculation-sheet'!E9*'Output-Calculation-sheet'!E81</f>
        <v>11255276663.097706</v>
      </c>
      <c r="F98" s="2">
        <f>F10/'Output-Calculation-sheet'!F9*'Output-Calculation-sheet'!F81</f>
        <v>6692650851.7884626</v>
      </c>
      <c r="G98" s="2">
        <f>G10/'Output-Calculation-sheet'!G9*'Output-Calculation-sheet'!G81</f>
        <v>3298988458.2287998</v>
      </c>
      <c r="H98" s="2">
        <f>H10/'Output-Calculation-sheet'!H9*'Output-Calculation-sheet'!H81</f>
        <v>4277201318.1378026</v>
      </c>
      <c r="I98" s="2">
        <f>I10/'Output-Calculation-sheet'!I9*'Output-Calculation-sheet'!I81</f>
        <v>4072879593.1208797</v>
      </c>
      <c r="J98" s="2">
        <f>J10/'Output-Calculation-sheet'!J9*'Output-Calculation-sheet'!J81</f>
        <v>2350140496.777133</v>
      </c>
      <c r="K98" s="2">
        <f>K10/'Output-Calculation-sheet'!K9*'Output-Calculation-sheet'!K81</f>
        <v>3913606180.4454389</v>
      </c>
      <c r="L98" s="2">
        <f>L10/'Output-Calculation-sheet'!L9*'Output-Calculation-sheet'!L81</f>
        <v>2847970751.9945331</v>
      </c>
      <c r="M98" s="2">
        <f>M10/'Output-Calculation-sheet'!M9*'Output-Calculation-sheet'!M81</f>
        <v>2862185509.078115</v>
      </c>
      <c r="N98" s="2">
        <f>N10/'Output-Calculation-sheet'!N9*'Output-Calculation-sheet'!N81</f>
        <v>2055312317.1490912</v>
      </c>
      <c r="O98" s="2">
        <f>O10/'Output-Calculation-sheet'!O9*'Output-Calculation-sheet'!O81</f>
        <v>1627266400.9746292</v>
      </c>
      <c r="P98" s="2">
        <f>P10/'Output-Calculation-sheet'!P9*'Output-Calculation-sheet'!P81</f>
        <v>3342402349.3145437</v>
      </c>
      <c r="Q98" s="2">
        <f>Q10/'Output-Calculation-sheet'!Q9*'Output-Calculation-sheet'!Q81</f>
        <v>1881797965.9341166</v>
      </c>
      <c r="R98" s="2">
        <f>R10/'Output-Calculation-sheet'!R9*'Output-Calculation-sheet'!R81</f>
        <v>2478857016.1641722</v>
      </c>
      <c r="S98" s="2">
        <f>S10/'Output-Calculation-sheet'!S9*'Output-Calculation-sheet'!S81</f>
        <v>1567089107.7688892</v>
      </c>
      <c r="T98" s="2">
        <f>T10/'Output-Calculation-sheet'!T9*'Output-Calculation-sheet'!T81</f>
        <v>986507275.86557961</v>
      </c>
      <c r="U98" s="2">
        <f>U10/'Output-Calculation-sheet'!U9*'Output-Calculation-sheet'!U81</f>
        <v>924307162.74083781</v>
      </c>
      <c r="V98" s="2">
        <f>V10/'Output-Calculation-sheet'!V9*'Output-Calculation-sheet'!V81</f>
        <v>602010254.94367862</v>
      </c>
      <c r="W98" s="2">
        <f>W10/'Output-Calculation-sheet'!W9*'Output-Calculation-sheet'!W81</f>
        <v>689391013.62633491</v>
      </c>
      <c r="X98" s="2">
        <f>X10/'Output-Calculation-sheet'!X9*'Output-Calculation-sheet'!X81</f>
        <v>326501654.33039618</v>
      </c>
      <c r="Y98" s="2">
        <f>Y10/'Output-Calculation-sheet'!Y9*'Output-Calculation-sheet'!Y81</f>
        <v>356404473.56972206</v>
      </c>
      <c r="AA98" s="2">
        <f t="shared" si="8"/>
        <v>108.38966274762051</v>
      </c>
    </row>
    <row r="99" spans="1:27" x14ac:dyDescent="0.25">
      <c r="A99" s="2">
        <v>2034</v>
      </c>
      <c r="B99" s="2">
        <f>B11/'Output-Calculation-sheet'!B10*'Output-Calculation-sheet'!B82</f>
        <v>30871506242.731548</v>
      </c>
      <c r="C99" s="2">
        <f>C11/'Output-Calculation-sheet'!C10*'Output-Calculation-sheet'!C82</f>
        <v>12819982935.080248</v>
      </c>
      <c r="D99" s="2">
        <f>D11/'Output-Calculation-sheet'!D10*'Output-Calculation-sheet'!D82</f>
        <v>9988663291.8930092</v>
      </c>
      <c r="E99" s="2">
        <f>E11/'Output-Calculation-sheet'!E10*'Output-Calculation-sheet'!E82</f>
        <v>12002109694.709749</v>
      </c>
      <c r="F99" s="2">
        <f>F11/'Output-Calculation-sheet'!F10*'Output-Calculation-sheet'!F82</f>
        <v>7160375832.8741207</v>
      </c>
      <c r="G99" s="2">
        <f>G11/'Output-Calculation-sheet'!G10*'Output-Calculation-sheet'!G82</f>
        <v>3477600652.3720961</v>
      </c>
      <c r="H99" s="2">
        <f>H11/'Output-Calculation-sheet'!H10*'Output-Calculation-sheet'!H82</f>
        <v>4589260163.8130722</v>
      </c>
      <c r="I99" s="2">
        <f>I11/'Output-Calculation-sheet'!I10*'Output-Calculation-sheet'!I82</f>
        <v>4360621056.5926409</v>
      </c>
      <c r="J99" s="2">
        <f>J11/'Output-Calculation-sheet'!J10*'Output-Calculation-sheet'!J82</f>
        <v>2545045518.9186997</v>
      </c>
      <c r="K99" s="2">
        <f>K11/'Output-Calculation-sheet'!K10*'Output-Calculation-sheet'!K82</f>
        <v>4188405590.1565647</v>
      </c>
      <c r="L99" s="2">
        <f>L11/'Output-Calculation-sheet'!L10*'Output-Calculation-sheet'!L82</f>
        <v>3064815296.4365144</v>
      </c>
      <c r="M99" s="2">
        <f>M11/'Output-Calculation-sheet'!M10*'Output-Calculation-sheet'!M82</f>
        <v>3072076672.1732702</v>
      </c>
      <c r="N99" s="2">
        <f>N11/'Output-Calculation-sheet'!N10*'Output-Calculation-sheet'!N82</f>
        <v>2217004813.7393613</v>
      </c>
      <c r="O99" s="2">
        <f>O11/'Output-Calculation-sheet'!O10*'Output-Calculation-sheet'!O82</f>
        <v>1761006691.3943558</v>
      </c>
      <c r="P99" s="2">
        <f>P11/'Output-Calculation-sheet'!P10*'Output-Calculation-sheet'!P82</f>
        <v>3554808258.5674491</v>
      </c>
      <c r="Q99" s="2">
        <f>Q11/'Output-Calculation-sheet'!Q10*'Output-Calculation-sheet'!Q82</f>
        <v>2035172120.4457214</v>
      </c>
      <c r="R99" s="2">
        <f>R11/'Output-Calculation-sheet'!R10*'Output-Calculation-sheet'!R82</f>
        <v>2662928915.2890539</v>
      </c>
      <c r="S99" s="2">
        <f>S11/'Output-Calculation-sheet'!S10*'Output-Calculation-sheet'!S82</f>
        <v>1686791843.57864</v>
      </c>
      <c r="T99" s="2">
        <f>T11/'Output-Calculation-sheet'!T10*'Output-Calculation-sheet'!T82</f>
        <v>1052193854.6525977</v>
      </c>
      <c r="U99" s="2">
        <f>U11/'Output-Calculation-sheet'!U10*'Output-Calculation-sheet'!U82</f>
        <v>989706427.15460479</v>
      </c>
      <c r="V99" s="2">
        <f>V11/'Output-Calculation-sheet'!V10*'Output-Calculation-sheet'!V82</f>
        <v>648183456.02906537</v>
      </c>
      <c r="W99" s="2">
        <f>W11/'Output-Calculation-sheet'!W10*'Output-Calculation-sheet'!W82</f>
        <v>727338657.82817566</v>
      </c>
      <c r="X99" s="2">
        <f>X11/'Output-Calculation-sheet'!X10*'Output-Calculation-sheet'!X82</f>
        <v>350286406.20818174</v>
      </c>
      <c r="Y99" s="2">
        <f>Y11/'Output-Calculation-sheet'!Y10*'Output-Calculation-sheet'!Y82</f>
        <v>377913906.18317193</v>
      </c>
      <c r="AA99" s="2">
        <f t="shared" si="8"/>
        <v>116.20379829882189</v>
      </c>
    </row>
    <row r="100" spans="1:27" x14ac:dyDescent="0.25">
      <c r="A100" s="2">
        <v>2035</v>
      </c>
      <c r="B100" s="2">
        <f>B12/'Output-Calculation-sheet'!B11*'Output-Calculation-sheet'!B83</f>
        <v>30445433588.518364</v>
      </c>
      <c r="C100" s="2">
        <f>C12/'Output-Calculation-sheet'!C11*'Output-Calculation-sheet'!C83</f>
        <v>12659758922.295034</v>
      </c>
      <c r="D100" s="2">
        <f>D12/'Output-Calculation-sheet'!D11*'Output-Calculation-sheet'!D83</f>
        <v>9805186868.9903851</v>
      </c>
      <c r="E100" s="2">
        <f>E12/'Output-Calculation-sheet'!E11*'Output-Calculation-sheet'!E83</f>
        <v>11748979012.829933</v>
      </c>
      <c r="F100" s="2">
        <f>F12/'Output-Calculation-sheet'!F11*'Output-Calculation-sheet'!F83</f>
        <v>7031174229.8993988</v>
      </c>
      <c r="G100" s="2">
        <f>G12/'Output-Calculation-sheet'!G11*'Output-Calculation-sheet'!G83</f>
        <v>3366604099.1210566</v>
      </c>
      <c r="H100" s="2">
        <f>H12/'Output-Calculation-sheet'!H11*'Output-Calculation-sheet'!H83</f>
        <v>4518701256.7091513</v>
      </c>
      <c r="I100" s="2">
        <f>I12/'Output-Calculation-sheet'!I11*'Output-Calculation-sheet'!I83</f>
        <v>4285370045.9676943</v>
      </c>
      <c r="J100" s="2">
        <f>J12/'Output-Calculation-sheet'!J11*'Output-Calculation-sheet'!J83</f>
        <v>2530357828.3021555</v>
      </c>
      <c r="K100" s="2">
        <f>K12/'Output-Calculation-sheet'!K11*'Output-Calculation-sheet'!K83</f>
        <v>4114268301.15871</v>
      </c>
      <c r="L100" s="2">
        <f>L12/'Output-Calculation-sheet'!L11*'Output-Calculation-sheet'!L83</f>
        <v>3026502332.7603202</v>
      </c>
      <c r="M100" s="2">
        <f>M12/'Output-Calculation-sheet'!M11*'Output-Calculation-sheet'!M83</f>
        <v>3026328681.3840122</v>
      </c>
      <c r="N100" s="2">
        <f>N12/'Output-Calculation-sheet'!N11*'Output-Calculation-sheet'!N83</f>
        <v>2195515671.1494122</v>
      </c>
      <c r="O100" s="2">
        <f>O12/'Output-Calculation-sheet'!O11*'Output-Calculation-sheet'!O83</f>
        <v>1749153149.9875207</v>
      </c>
      <c r="P100" s="2">
        <f>P12/'Output-Calculation-sheet'!P11*'Output-Calculation-sheet'!P83</f>
        <v>3469953113.0839148</v>
      </c>
      <c r="Q100" s="2">
        <f>Q12/'Output-Calculation-sheet'!Q11*'Output-Calculation-sheet'!Q83</f>
        <v>2020151039.1103439</v>
      </c>
      <c r="R100" s="2">
        <f>R12/'Output-Calculation-sheet'!R11*'Output-Calculation-sheet'!R83</f>
        <v>2625057954.207499</v>
      </c>
      <c r="S100" s="2">
        <f>S12/'Output-Calculation-sheet'!S11*'Output-Calculation-sheet'!S83</f>
        <v>1665910348.7728069</v>
      </c>
      <c r="T100" s="2">
        <f>T12/'Output-Calculation-sheet'!T11*'Output-Calculation-sheet'!T83</f>
        <v>1030221040.6365618</v>
      </c>
      <c r="U100" s="2">
        <f>U12/'Output-Calculation-sheet'!U11*'Output-Calculation-sheet'!U83</f>
        <v>972127417.20356858</v>
      </c>
      <c r="V100" s="2">
        <f>V12/'Output-Calculation-sheet'!V11*'Output-Calculation-sheet'!V83</f>
        <v>640096648.3687104</v>
      </c>
      <c r="W100" s="2">
        <f>W12/'Output-Calculation-sheet'!W11*'Output-Calculation-sheet'!W83</f>
        <v>704438547.04666352</v>
      </c>
      <c r="X100" s="2">
        <f>X12/'Output-Calculation-sheet'!X11*'Output-Calculation-sheet'!X83</f>
        <v>344894350.5381431</v>
      </c>
      <c r="Y100" s="2">
        <f>Y12/'Output-Calculation-sheet'!Y11*'Output-Calculation-sheet'!Y83</f>
        <v>367962849.81232071</v>
      </c>
      <c r="AA100" s="2">
        <f t="shared" si="8"/>
        <v>114.34414729785368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1347272169.4006712</v>
      </c>
      <c r="C107" s="2">
        <f>C8/'Output-Calculation-sheet'!C7*'Output-Calculation-sheet'!C88</f>
        <v>22188119144.842834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6922809043.0606365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4776161139.5672693</v>
      </c>
      <c r="N107" s="2">
        <f>N8/'Output-Calculation-sheet'!N7*'Output-Calculation-sheet'!N88</f>
        <v>1598668779.7699723</v>
      </c>
      <c r="O107" s="2">
        <f>O8/'Output-Calculation-sheet'!O7*'Output-Calculation-sheet'!O88</f>
        <v>4311171806.9944401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479331402.65179318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517259780.07311416</v>
      </c>
      <c r="Y107" s="2">
        <f>Y8/'Output-Calculation-sheet'!Y7*'Output-Calculation-sheet'!Y88</f>
        <v>0</v>
      </c>
      <c r="AA107" s="2">
        <f t="shared" si="9"/>
        <v>42140.793266360735</v>
      </c>
    </row>
    <row r="108" spans="1:27" x14ac:dyDescent="0.25">
      <c r="A108" s="2">
        <v>2032</v>
      </c>
      <c r="B108" s="2">
        <f>B9/'Output-Calculation-sheet'!B8*'Output-Calculation-sheet'!B89</f>
        <v>5753724881.9328232</v>
      </c>
      <c r="C108" s="2">
        <f>C9/'Output-Calculation-sheet'!C8*'Output-Calculation-sheet'!C89</f>
        <v>28842977241.401119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8998809667.5800152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6208396196.2534714</v>
      </c>
      <c r="N108" s="2">
        <f>N9/'Output-Calculation-sheet'!N8*'Output-Calculation-sheet'!N89</f>
        <v>2912908720.4259834</v>
      </c>
      <c r="O108" s="2">
        <f>O9/'Output-Calculation-sheet'!O8*'Output-Calculation-sheet'!O89</f>
        <v>5604215010.9072332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880189343.71411419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672387865.56304336</v>
      </c>
      <c r="Y108" s="2">
        <f>Y9/'Output-Calculation-sheet'!Y8*'Output-Calculation-sheet'!Y89</f>
        <v>0</v>
      </c>
      <c r="AA108" s="2">
        <f t="shared" si="9"/>
        <v>59873.608927777801</v>
      </c>
    </row>
    <row r="109" spans="1:27" x14ac:dyDescent="0.25">
      <c r="A109" s="2">
        <v>2033</v>
      </c>
      <c r="B109" s="2">
        <f>B10/'Output-Calculation-sheet'!B9*'Output-Calculation-sheet'!B90</f>
        <v>14250380872.127163</v>
      </c>
      <c r="C109" s="2">
        <f>C10/'Output-Calculation-sheet'!C9*'Output-Calculation-sheet'!C90</f>
        <v>33679005479.417301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10507613911.810154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7249340479.4960403</v>
      </c>
      <c r="N109" s="2">
        <f>N10/'Output-Calculation-sheet'!N9*'Output-Calculation-sheet'!N90</f>
        <v>4270888717.4054999</v>
      </c>
      <c r="O109" s="2">
        <f>O10/'Output-Calculation-sheet'!O9*'Output-Calculation-sheet'!O90</f>
        <v>6239395290.5282383</v>
      </c>
      <c r="P109" s="2">
        <f>P10/'Output-Calculation-sheet'!P9*'Output-Calculation-sheet'!P90</f>
        <v>0</v>
      </c>
      <c r="Q109" s="2">
        <f>Q10/'Output-Calculation-sheet'!Q9*'Output-Calculation-sheet'!Q90</f>
        <v>139015243.83806983</v>
      </c>
      <c r="R109" s="2">
        <f>R10/'Output-Calculation-sheet'!R9*'Output-Calculation-sheet'!R90</f>
        <v>0</v>
      </c>
      <c r="S109" s="2">
        <f>S10/'Output-Calculation-sheet'!S9*'Output-Calculation-sheet'!S90</f>
        <v>1721790637.7297516</v>
      </c>
      <c r="T109" s="2">
        <f>T10/'Output-Calculation-sheet'!T9*'Output-Calculation-sheet'!T90</f>
        <v>-2.8615478747127659E-7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785125507.1152612</v>
      </c>
      <c r="Y109" s="2">
        <f>Y10/'Output-Calculation-sheet'!Y9*'Output-Calculation-sheet'!Y90</f>
        <v>0</v>
      </c>
      <c r="AA109" s="2">
        <f t="shared" si="9"/>
        <v>78842.556139467488</v>
      </c>
    </row>
    <row r="110" spans="1:27" x14ac:dyDescent="0.25">
      <c r="A110" s="2">
        <v>2034</v>
      </c>
      <c r="B110" s="2">
        <f>B11/'Output-Calculation-sheet'!B10*'Output-Calculation-sheet'!B91</f>
        <v>29994877793.43185</v>
      </c>
      <c r="C110" s="2">
        <f>C11/'Output-Calculation-sheet'!C10*'Output-Calculation-sheet'!C91</f>
        <v>33226181876.598568</v>
      </c>
      <c r="D110" s="2">
        <f>D11/'Output-Calculation-sheet'!D10*'Output-Calculation-sheet'!D91</f>
        <v>0</v>
      </c>
      <c r="E110" s="2">
        <f>E11/'Output-Calculation-sheet'!E10*'Output-Calculation-sheet'!E91</f>
        <v>627732241.65438437</v>
      </c>
      <c r="F110" s="2">
        <f>F11/'Output-Calculation-sheet'!F10*'Output-Calculation-sheet'!F91</f>
        <v>0</v>
      </c>
      <c r="G110" s="2">
        <f>G11/'Output-Calculation-sheet'!G10*'Output-Calculation-sheet'!G91</f>
        <v>-1.4150527871464035E-6</v>
      </c>
      <c r="H110" s="2">
        <f>H11/'Output-Calculation-sheet'!H10*'Output-Calculation-sheet'!H91</f>
        <v>11195567533.043451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509682873.10479552</v>
      </c>
      <c r="M110" s="2">
        <f>M11/'Output-Calculation-sheet'!M10*'Output-Calculation-sheet'!M91</f>
        <v>7723967404.6999636</v>
      </c>
      <c r="N110" s="2">
        <f>N11/'Output-Calculation-sheet'!N10*'Output-Calculation-sheet'!N91</f>
        <v>5342975909.5057707</v>
      </c>
      <c r="O110" s="2">
        <f>O11/'Output-Calculation-sheet'!O10*'Output-Calculation-sheet'!O91</f>
        <v>6125449589.7341805</v>
      </c>
      <c r="P110" s="2">
        <f>P11/'Output-Calculation-sheet'!P10*'Output-Calculation-sheet'!P91</f>
        <v>5.7024544414268689E-7</v>
      </c>
      <c r="Q110" s="2">
        <f>Q11/'Output-Calculation-sheet'!Q10*'Output-Calculation-sheet'!Q91</f>
        <v>1359749801.402679</v>
      </c>
      <c r="R110" s="2">
        <f>R11/'Output-Calculation-sheet'!R10*'Output-Calculation-sheet'!R91</f>
        <v>0</v>
      </c>
      <c r="S110" s="2">
        <f>S11/'Output-Calculation-sheet'!S10*'Output-Calculation-sheet'!S91</f>
        <v>2626950803.4789577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762465500.74340844</v>
      </c>
      <c r="Y110" s="2">
        <f>Y11/'Output-Calculation-sheet'!Y10*'Output-Calculation-sheet'!Y91</f>
        <v>33495581.507791765</v>
      </c>
      <c r="AA110" s="2">
        <f t="shared" si="9"/>
        <v>99529.096908905805</v>
      </c>
    </row>
    <row r="111" spans="1:27" x14ac:dyDescent="0.25">
      <c r="A111" s="2">
        <v>2035</v>
      </c>
      <c r="B111" s="2">
        <f>B12/'Output-Calculation-sheet'!B11*'Output-Calculation-sheet'!B92</f>
        <v>36616518944.440781</v>
      </c>
      <c r="C111" s="2">
        <f>C12/'Output-Calculation-sheet'!C11*'Output-Calculation-sheet'!C92</f>
        <v>30765558408.430088</v>
      </c>
      <c r="D111" s="2">
        <f>D12/'Output-Calculation-sheet'!D11*'Output-Calculation-sheet'!D92</f>
        <v>0</v>
      </c>
      <c r="E111" s="2">
        <f>E12/'Output-Calculation-sheet'!E11*'Output-Calculation-sheet'!E92</f>
        <v>4161484111.865684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10443070353.717482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1339639170.0405476</v>
      </c>
      <c r="M111" s="2">
        <f>M12/'Output-Calculation-sheet'!M11*'Output-Calculation-sheet'!M92</f>
        <v>7229581072.9506159</v>
      </c>
      <c r="N111" s="2">
        <f>N12/'Output-Calculation-sheet'!N11*'Output-Calculation-sheet'!N92</f>
        <v>5183620202.5727777</v>
      </c>
      <c r="O111" s="2">
        <f>O12/'Output-Calculation-sheet'!O11*'Output-Calculation-sheet'!O92</f>
        <v>5524853515.0983858</v>
      </c>
      <c r="P111" s="2">
        <f>P12/'Output-Calculation-sheet'!P11*'Output-Calculation-sheet'!P92</f>
        <v>284320416.13642609</v>
      </c>
      <c r="Q111" s="2">
        <f>Q12/'Output-Calculation-sheet'!Q11*'Output-Calculation-sheet'!Q92</f>
        <v>2226992524.0675488</v>
      </c>
      <c r="R111" s="2">
        <f>R12/'Output-Calculation-sheet'!R11*'Output-Calculation-sheet'!R92</f>
        <v>0</v>
      </c>
      <c r="S111" s="2">
        <f>S12/'Output-Calculation-sheet'!S11*'Output-Calculation-sheet'!S92</f>
        <v>2788048673.657352</v>
      </c>
      <c r="T111" s="2">
        <f>T12/'Output-Calculation-sheet'!T11*'Output-Calculation-sheet'!T92</f>
        <v>0</v>
      </c>
      <c r="U111" s="2">
        <f>U12/'Output-Calculation-sheet'!U11*'Output-Calculation-sheet'!U92</f>
        <v>99027994.812339365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710345106.63550162</v>
      </c>
      <c r="Y111" s="2">
        <f>Y12/'Output-Calculation-sheet'!Y11*'Output-Calculation-sheet'!Y92</f>
        <v>168061383.33242956</v>
      </c>
      <c r="AA111" s="2">
        <f t="shared" si="9"/>
        <v>107541.12187775795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45746987725.283722</v>
      </c>
      <c r="C118" s="2">
        <f>C8/'Output-Calculation-sheet'!C7*'Output-Calculation-sheet'!C97</f>
        <v>0</v>
      </c>
      <c r="D118" s="2">
        <f>D8/'Output-Calculation-sheet'!D7*'Output-Calculation-sheet'!D97</f>
        <v>19780131819.291672</v>
      </c>
      <c r="E118" s="2">
        <f>E8/'Output-Calculation-sheet'!E7*'Output-Calculation-sheet'!E97</f>
        <v>15693527374.15766</v>
      </c>
      <c r="F118" s="2">
        <f>F8/'Output-Calculation-sheet'!F7*'Output-Calculation-sheet'!F97</f>
        <v>10102486727.523363</v>
      </c>
      <c r="G118" s="2">
        <f>G8/'Output-Calculation-sheet'!G7*'Output-Calculation-sheet'!G97</f>
        <v>7098284430.0227051</v>
      </c>
      <c r="H118" s="2">
        <f>H8/'Output-Calculation-sheet'!H7*'Output-Calculation-sheet'!H97</f>
        <v>0</v>
      </c>
      <c r="I118" s="2">
        <f>I8/'Output-Calculation-sheet'!I7*'Output-Calculation-sheet'!I97</f>
        <v>6467095872.8340826</v>
      </c>
      <c r="J118" s="2">
        <f>J8/'Output-Calculation-sheet'!J7*'Output-Calculation-sheet'!J97</f>
        <v>6294625696.1921186</v>
      </c>
      <c r="K118" s="2">
        <f>K8/'Output-Calculation-sheet'!K7*'Output-Calculation-sheet'!K97</f>
        <v>6234279195.5990248</v>
      </c>
      <c r="L118" s="2">
        <f>L8/'Output-Calculation-sheet'!L7*'Output-Calculation-sheet'!L97</f>
        <v>5001219833.61724</v>
      </c>
      <c r="M118" s="2">
        <f>M8/'Output-Calculation-sheet'!M7*'Output-Calculation-sheet'!M97</f>
        <v>0</v>
      </c>
      <c r="N118" s="2">
        <f>N8/'Output-Calculation-sheet'!N7*'Output-Calculation-sheet'!N97</f>
        <v>3089934216.0421147</v>
      </c>
      <c r="O118" s="2">
        <f>O8/'Output-Calculation-sheet'!O7*'Output-Calculation-sheet'!O97</f>
        <v>0</v>
      </c>
      <c r="P118" s="2">
        <f>P8/'Output-Calculation-sheet'!P7*'Output-Calculation-sheet'!P97</f>
        <v>4268283276.070498</v>
      </c>
      <c r="Q118" s="2">
        <f>Q8/'Output-Calculation-sheet'!Q7*'Output-Calculation-sheet'!Q97</f>
        <v>4199300124.1478157</v>
      </c>
      <c r="R118" s="2">
        <f>R8/'Output-Calculation-sheet'!R7*'Output-Calculation-sheet'!R97</f>
        <v>4039919846.3981199</v>
      </c>
      <c r="S118" s="2">
        <f>S8/'Output-Calculation-sheet'!S7*'Output-Calculation-sheet'!S97</f>
        <v>2205807012.0521178</v>
      </c>
      <c r="T118" s="2">
        <f>T8/'Output-Calculation-sheet'!T7*'Output-Calculation-sheet'!T97</f>
        <v>1485040087.5583436</v>
      </c>
      <c r="U118" s="2">
        <f>U8/'Output-Calculation-sheet'!U7*'Output-Calculation-sheet'!U97</f>
        <v>1293418920.6114795</v>
      </c>
      <c r="V118" s="2">
        <f>V8/'Output-Calculation-sheet'!V7*'Output-Calculation-sheet'!V97</f>
        <v>995958828.62254107</v>
      </c>
      <c r="W118" s="2">
        <f>W8/'Output-Calculation-sheet'!W7*'Output-Calculation-sheet'!W97</f>
        <v>862279280.14356732</v>
      </c>
      <c r="X118" s="2">
        <f>X8/'Output-Calculation-sheet'!X7*'Output-Calculation-sheet'!X97</f>
        <v>0</v>
      </c>
      <c r="Y118" s="2">
        <f>Y8/'Output-Calculation-sheet'!Y7*'Output-Calculation-sheet'!Y97</f>
        <v>503134983.08281326</v>
      </c>
      <c r="AA118" s="2">
        <f t="shared" si="10"/>
        <v>145361.71524925096</v>
      </c>
    </row>
    <row r="119" spans="1:27" x14ac:dyDescent="0.25">
      <c r="A119" s="2">
        <v>2032</v>
      </c>
      <c r="B119" s="2">
        <f>B9/'Output-Calculation-sheet'!B8*'Output-Calculation-sheet'!B98</f>
        <v>55462656986.584229</v>
      </c>
      <c r="C119" s="2">
        <f>C9/'Output-Calculation-sheet'!C8*'Output-Calculation-sheet'!C98</f>
        <v>0</v>
      </c>
      <c r="D119" s="2">
        <f>D9/'Output-Calculation-sheet'!D8*'Output-Calculation-sheet'!D98</f>
        <v>25711587719.643238</v>
      </c>
      <c r="E119" s="2">
        <f>E9/'Output-Calculation-sheet'!E8*'Output-Calculation-sheet'!E98</f>
        <v>20399530936.657875</v>
      </c>
      <c r="F119" s="2">
        <f>F9/'Output-Calculation-sheet'!F8*'Output-Calculation-sheet'!F98</f>
        <v>13131914159.718634</v>
      </c>
      <c r="G119" s="2">
        <f>G9/'Output-Calculation-sheet'!G8*'Output-Calculation-sheet'!G98</f>
        <v>9226843314.5248013</v>
      </c>
      <c r="H119" s="2">
        <f>H9/'Output-Calculation-sheet'!H8*'Output-Calculation-sheet'!H98</f>
        <v>0</v>
      </c>
      <c r="I119" s="2">
        <f>I9/'Output-Calculation-sheet'!I8*'Output-Calculation-sheet'!I98</f>
        <v>8406381202.5160942</v>
      </c>
      <c r="J119" s="2">
        <f>J9/'Output-Calculation-sheet'!J8*'Output-Calculation-sheet'!J98</f>
        <v>8182189289.1228571</v>
      </c>
      <c r="K119" s="2">
        <f>K9/'Output-Calculation-sheet'!K8*'Output-Calculation-sheet'!K98</f>
        <v>8103748010.4101667</v>
      </c>
      <c r="L119" s="2">
        <f>L9/'Output-Calculation-sheet'!L8*'Output-Calculation-sheet'!L98</f>
        <v>6500933545.5257797</v>
      </c>
      <c r="M119" s="2">
        <f>M9/'Output-Calculation-sheet'!M8*'Output-Calculation-sheet'!M98</f>
        <v>0</v>
      </c>
      <c r="N119" s="2">
        <f>N9/'Output-Calculation-sheet'!N8*'Output-Calculation-sheet'!N98</f>
        <v>3181154740.0533957</v>
      </c>
      <c r="O119" s="2">
        <f>O9/'Output-Calculation-sheet'!O8*'Output-Calculation-sheet'!O98</f>
        <v>5.7087615900459042E-7</v>
      </c>
      <c r="P119" s="2">
        <f>P9/'Output-Calculation-sheet'!P8*'Output-Calculation-sheet'!P98</f>
        <v>5548174091.211791</v>
      </c>
      <c r="Q119" s="2">
        <f>Q9/'Output-Calculation-sheet'!Q8*'Output-Calculation-sheet'!Q98</f>
        <v>5458541643.4763737</v>
      </c>
      <c r="R119" s="2">
        <f>R9/'Output-Calculation-sheet'!R8*'Output-Calculation-sheet'!R98</f>
        <v>5251368523.5324249</v>
      </c>
      <c r="S119" s="2">
        <f>S9/'Output-Calculation-sheet'!S8*'Output-Calculation-sheet'!S98</f>
        <v>2609952846.6270504</v>
      </c>
      <c r="T119" s="2">
        <f>T9/'Output-Calculation-sheet'!T8*'Output-Calculation-sheet'!T98</f>
        <v>1930357837.8123615</v>
      </c>
      <c r="U119" s="2">
        <f>U9/'Output-Calculation-sheet'!U8*'Output-Calculation-sheet'!U98</f>
        <v>1681276049.4774623</v>
      </c>
      <c r="V119" s="2">
        <f>V9/'Output-Calculation-sheet'!V8*'Output-Calculation-sheet'!V98</f>
        <v>1294616183.8307037</v>
      </c>
      <c r="W119" s="2">
        <f>W9/'Output-Calculation-sheet'!W8*'Output-Calculation-sheet'!W98</f>
        <v>1120850523.5249889</v>
      </c>
      <c r="X119" s="2">
        <f>X9/'Output-Calculation-sheet'!X8*'Output-Calculation-sheet'!X98</f>
        <v>0</v>
      </c>
      <c r="Y119" s="2">
        <f>Y9/'Output-Calculation-sheet'!Y8*'Output-Calculation-sheet'!Y98</f>
        <v>654009555.65671825</v>
      </c>
      <c r="AA119" s="2">
        <f t="shared" si="10"/>
        <v>183856.08715990692</v>
      </c>
    </row>
    <row r="120" spans="1:27" x14ac:dyDescent="0.25">
      <c r="A120" s="2">
        <v>2033</v>
      </c>
      <c r="B120" s="2">
        <f>B10/'Output-Calculation-sheet'!B9*'Output-Calculation-sheet'!B99</f>
        <v>57223498164.605278</v>
      </c>
      <c r="C120" s="2">
        <f>C10/'Output-Calculation-sheet'!C9*'Output-Calculation-sheet'!C99</f>
        <v>0</v>
      </c>
      <c r="D120" s="2">
        <f>D10/'Output-Calculation-sheet'!D9*'Output-Calculation-sheet'!D99</f>
        <v>30021675429.470901</v>
      </c>
      <c r="E120" s="2">
        <f>E10/'Output-Calculation-sheet'!E9*'Output-Calculation-sheet'!E99</f>
        <v>23819149846.530876</v>
      </c>
      <c r="F120" s="2">
        <f>F10/'Output-Calculation-sheet'!F9*'Output-Calculation-sheet'!F99</f>
        <v>15333241498.129679</v>
      </c>
      <c r="G120" s="2">
        <f>G10/'Output-Calculation-sheet'!G9*'Output-Calculation-sheet'!G99</f>
        <v>10773556286.040686</v>
      </c>
      <c r="H120" s="2">
        <f>H10/'Output-Calculation-sheet'!H9*'Output-Calculation-sheet'!H99</f>
        <v>0</v>
      </c>
      <c r="I120" s="2">
        <f>I10/'Output-Calculation-sheet'!I9*'Output-Calculation-sheet'!I99</f>
        <v>9815559102.7669506</v>
      </c>
      <c r="J120" s="2">
        <f>J10/'Output-Calculation-sheet'!J9*'Output-Calculation-sheet'!J99</f>
        <v>9553785449.8780632</v>
      </c>
      <c r="K120" s="2">
        <f>K10/'Output-Calculation-sheet'!K9*'Output-Calculation-sheet'!K99</f>
        <v>9462195898.0113297</v>
      </c>
      <c r="L120" s="2">
        <f>L10/'Output-Calculation-sheet'!L9*'Output-Calculation-sheet'!L99</f>
        <v>7590697570.4098215</v>
      </c>
      <c r="M120" s="2">
        <f>M10/'Output-Calculation-sheet'!M9*'Output-Calculation-sheet'!M99</f>
        <v>0</v>
      </c>
      <c r="N120" s="2">
        <f>N10/'Output-Calculation-sheet'!N9*'Output-Calculation-sheet'!N99</f>
        <v>2844315191.2533803</v>
      </c>
      <c r="O120" s="2">
        <f>O10/'Output-Calculation-sheet'!O9*'Output-Calculation-sheet'!O99</f>
        <v>0</v>
      </c>
      <c r="P120" s="2">
        <f>P10/'Output-Calculation-sheet'!P9*'Output-Calculation-sheet'!P99</f>
        <v>6477885188.782712</v>
      </c>
      <c r="Q120" s="2">
        <f>Q10/'Output-Calculation-sheet'!Q9*'Output-Calculation-sheet'!Q99</f>
        <v>6234489963.7843761</v>
      </c>
      <c r="R120" s="2">
        <f>R10/'Output-Calculation-sheet'!R9*'Output-Calculation-sheet'!R99</f>
        <v>6131374514.2077818</v>
      </c>
      <c r="S120" s="2">
        <f>S10/'Output-Calculation-sheet'!S9*'Output-Calculation-sheet'!S99</f>
        <v>2353138672.2579618</v>
      </c>
      <c r="T120" s="2">
        <f>T10/'Output-Calculation-sheet'!T9*'Output-Calculation-sheet'!T99</f>
        <v>2253928058.3456206</v>
      </c>
      <c r="U120" s="2">
        <f>U10/'Output-Calculation-sheet'!U9*'Output-Calculation-sheet'!U99</f>
        <v>1963538256.3785999</v>
      </c>
      <c r="V120" s="2">
        <f>V10/'Output-Calculation-sheet'!V9*'Output-Calculation-sheet'!V99</f>
        <v>1511635268.7827199</v>
      </c>
      <c r="W120" s="2">
        <f>W10/'Output-Calculation-sheet'!W9*'Output-Calculation-sheet'!W99</f>
        <v>1308741131.2255721</v>
      </c>
      <c r="X120" s="2">
        <f>X10/'Output-Calculation-sheet'!X9*'Output-Calculation-sheet'!X99</f>
        <v>0</v>
      </c>
      <c r="Y120" s="2">
        <f>Y10/'Output-Calculation-sheet'!Y9*'Output-Calculation-sheet'!Y99</f>
        <v>763643587.19443345</v>
      </c>
      <c r="AA120" s="2">
        <f t="shared" si="10"/>
        <v>205436.04907805673</v>
      </c>
    </row>
    <row r="121" spans="1:27" x14ac:dyDescent="0.25">
      <c r="A121" s="2">
        <v>2034</v>
      </c>
      <c r="B121" s="2">
        <f>B11/'Output-Calculation-sheet'!B10*'Output-Calculation-sheet'!B100</f>
        <v>46151885548.113983</v>
      </c>
      <c r="C121" s="2">
        <f>C11/'Output-Calculation-sheet'!C10*'Output-Calculation-sheet'!C100</f>
        <v>0</v>
      </c>
      <c r="D121" s="2">
        <f>D11/'Output-Calculation-sheet'!D10*'Output-Calculation-sheet'!D100</f>
        <v>31986560443.049698</v>
      </c>
      <c r="E121" s="2">
        <f>E11/'Output-Calculation-sheet'!E10*'Output-Calculation-sheet'!E100</f>
        <v>24749280823.201168</v>
      </c>
      <c r="F121" s="2">
        <f>F11/'Output-Calculation-sheet'!F10*'Output-Calculation-sheet'!F100</f>
        <v>16336696956.434401</v>
      </c>
      <c r="G121" s="2">
        <f>G11/'Output-Calculation-sheet'!G10*'Output-Calculation-sheet'!G100</f>
        <v>11478049027.305679</v>
      </c>
      <c r="H121" s="2">
        <f>H11/'Output-Calculation-sheet'!H10*'Output-Calculation-sheet'!H100</f>
        <v>1.3818278542110362E-7</v>
      </c>
      <c r="I121" s="2">
        <f>I11/'Output-Calculation-sheet'!I10*'Output-Calculation-sheet'!I100</f>
        <v>10457606519.78587</v>
      </c>
      <c r="J121" s="2">
        <f>J11/'Output-Calculation-sheet'!J10*'Output-Calculation-sheet'!J100</f>
        <v>10178806517.198099</v>
      </c>
      <c r="K121" s="2">
        <f>K11/'Output-Calculation-sheet'!K10*'Output-Calculation-sheet'!K100</f>
        <v>10081490157.699724</v>
      </c>
      <c r="L121" s="2">
        <f>L11/'Output-Calculation-sheet'!L10*'Output-Calculation-sheet'!L100</f>
        <v>7577574345.1513815</v>
      </c>
      <c r="M121" s="2">
        <f>M11/'Output-Calculation-sheet'!M10*'Output-Calculation-sheet'!M100</f>
        <v>-8.9738697318060508E-8</v>
      </c>
      <c r="N121" s="2">
        <f>N11/'Output-Calculation-sheet'!N10*'Output-Calculation-sheet'!N100</f>
        <v>2238073829.9127464</v>
      </c>
      <c r="O121" s="2">
        <f>O11/'Output-Calculation-sheet'!O10*'Output-Calculation-sheet'!O100</f>
        <v>0</v>
      </c>
      <c r="P121" s="2">
        <f>P11/'Output-Calculation-sheet'!P10*'Output-Calculation-sheet'!P100</f>
        <v>6901571150.1467676</v>
      </c>
      <c r="Q121" s="2">
        <f>Q11/'Output-Calculation-sheet'!Q10*'Output-Calculation-sheet'!Q100</f>
        <v>5430338817.340519</v>
      </c>
      <c r="R121" s="2">
        <f>R11/'Output-Calculation-sheet'!R10*'Output-Calculation-sheet'!R100</f>
        <v>6532384075.5903692</v>
      </c>
      <c r="S121" s="2">
        <f>S11/'Output-Calculation-sheet'!S10*'Output-Calculation-sheet'!S100</f>
        <v>1714642459.7139087</v>
      </c>
      <c r="T121" s="2">
        <f>T11/'Output-Calculation-sheet'!T10*'Output-Calculation-sheet'!T100</f>
        <v>2401301652.1310987</v>
      </c>
      <c r="U121" s="2">
        <f>U11/'Output-Calculation-sheet'!U10*'Output-Calculation-sheet'!U100</f>
        <v>2092721884.6050994</v>
      </c>
      <c r="V121" s="2">
        <f>V11/'Output-Calculation-sheet'!V10*'Output-Calculation-sheet'!V100</f>
        <v>1610570342.5775337</v>
      </c>
      <c r="W121" s="2">
        <f>W11/'Output-Calculation-sheet'!W10*'Output-Calculation-sheet'!W100</f>
        <v>1394438188.6039128</v>
      </c>
      <c r="X121" s="2">
        <f>X11/'Output-Calculation-sheet'!X10*'Output-Calculation-sheet'!X100</f>
        <v>74063830.737734169</v>
      </c>
      <c r="Y121" s="2">
        <f>Y11/'Output-Calculation-sheet'!Y10*'Output-Calculation-sheet'!Y100</f>
        <v>780112836.40525603</v>
      </c>
      <c r="AA121" s="2">
        <f t="shared" si="10"/>
        <v>200168.16940570492</v>
      </c>
    </row>
    <row r="122" spans="1:27" x14ac:dyDescent="0.25">
      <c r="A122" s="2">
        <v>2035</v>
      </c>
      <c r="B122" s="2">
        <f>B12/'Output-Calculation-sheet'!B11*'Output-Calculation-sheet'!B101</f>
        <v>35849145010.482613</v>
      </c>
      <c r="C122" s="2">
        <f>C12/'Output-Calculation-sheet'!C11*'Output-Calculation-sheet'!C101</f>
        <v>0</v>
      </c>
      <c r="D122" s="2">
        <f>D12/'Output-Calculation-sheet'!D11*'Output-Calculation-sheet'!D101</f>
        <v>30047060495.676468</v>
      </c>
      <c r="E122" s="2">
        <f>E12/'Output-Calculation-sheet'!E11*'Output-Calculation-sheet'!E101</f>
        <v>20232344386.787945</v>
      </c>
      <c r="F122" s="2">
        <f>F12/'Output-Calculation-sheet'!F11*'Output-Calculation-sheet'!F101</f>
        <v>15662096014.237183</v>
      </c>
      <c r="G122" s="2">
        <f>G12/'Output-Calculation-sheet'!G11*'Output-Calculation-sheet'!G101</f>
        <v>10673064359.199337</v>
      </c>
      <c r="H122" s="2">
        <f>H12/'Output-Calculation-sheet'!H11*'Output-Calculation-sheet'!H101</f>
        <v>0</v>
      </c>
      <c r="I122" s="2">
        <f>I12/'Output-Calculation-sheet'!I11*'Output-Calculation-sheet'!I101</f>
        <v>9994086308.2859936</v>
      </c>
      <c r="J122" s="2">
        <f>J12/'Output-Calculation-sheet'!J11*'Output-Calculation-sheet'!J101</f>
        <v>9552018318.3953686</v>
      </c>
      <c r="K122" s="2">
        <f>K12/'Output-Calculation-sheet'!K11*'Output-Calculation-sheet'!K101</f>
        <v>9645060370.1122036</v>
      </c>
      <c r="L122" s="2">
        <f>L12/'Output-Calculation-sheet'!L11*'Output-Calculation-sheet'!L101</f>
        <v>6419128862.1043539</v>
      </c>
      <c r="M122" s="2">
        <f>M12/'Output-Calculation-sheet'!M11*'Output-Calculation-sheet'!M101</f>
        <v>0</v>
      </c>
      <c r="N122" s="2">
        <f>N12/'Output-Calculation-sheet'!N11*'Output-Calculation-sheet'!N101</f>
        <v>1891152054.0548358</v>
      </c>
      <c r="O122" s="2">
        <f>O12/'Output-Calculation-sheet'!O11*'Output-Calculation-sheet'!O101</f>
        <v>0</v>
      </c>
      <c r="P122" s="2">
        <f>P12/'Output-Calculation-sheet'!P11*'Output-Calculation-sheet'!P101</f>
        <v>6329701947.3462229</v>
      </c>
      <c r="Q122" s="2">
        <f>Q12/'Output-Calculation-sheet'!Q11*'Output-Calculation-sheet'!Q101</f>
        <v>4122762720.7388821</v>
      </c>
      <c r="R122" s="2">
        <f>R12/'Output-Calculation-sheet'!R11*'Output-Calculation-sheet'!R101</f>
        <v>6244618112.3711882</v>
      </c>
      <c r="S122" s="2">
        <f>S12/'Output-Calculation-sheet'!S11*'Output-Calculation-sheet'!S101</f>
        <v>1313070301.9967043</v>
      </c>
      <c r="T122" s="2">
        <f>T12/'Output-Calculation-sheet'!T11*'Output-Calculation-sheet'!T101</f>
        <v>2313632827.8539567</v>
      </c>
      <c r="U122" s="2">
        <f>U12/'Output-Calculation-sheet'!U11*'Output-Calculation-sheet'!U101</f>
        <v>1895599721.2721126</v>
      </c>
      <c r="V122" s="2">
        <f>V12/'Output-Calculation-sheet'!V11*'Output-Calculation-sheet'!V101</f>
        <v>1560526331.5385556</v>
      </c>
      <c r="W122" s="2">
        <f>W12/'Output-Calculation-sheet'!W11*'Output-Calculation-sheet'!W101</f>
        <v>1345875265.0694304</v>
      </c>
      <c r="X122" s="2">
        <f>X12/'Output-Calculation-sheet'!X11*'Output-Calculation-sheet'!X101</f>
        <v>65048881.308143258</v>
      </c>
      <c r="Y122" s="2">
        <f>Y12/'Output-Calculation-sheet'!Y11*'Output-Calculation-sheet'!Y101</f>
        <v>607528572.073488</v>
      </c>
      <c r="AA122" s="2">
        <f t="shared" si="10"/>
        <v>175763.52086090497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47094260752.31411</v>
      </c>
      <c r="C129" s="2">
        <f>C8/'Output-Calculation-sheet'!C7*'Output-Calculation-sheet'!C106</f>
        <v>22193189817.248272</v>
      </c>
      <c r="D129" s="2">
        <f>D8/'Output-Calculation-sheet'!D7*'Output-Calculation-sheet'!D106</f>
        <v>19780131819.291672</v>
      </c>
      <c r="E129" s="2">
        <f>E8/'Output-Calculation-sheet'!E7*'Output-Calculation-sheet'!E106</f>
        <v>15693527374.15766</v>
      </c>
      <c r="F129" s="2">
        <f>F8/'Output-Calculation-sheet'!F7*'Output-Calculation-sheet'!F106</f>
        <v>10102486727.523363</v>
      </c>
      <c r="G129" s="2">
        <f>G8/'Output-Calculation-sheet'!G7*'Output-Calculation-sheet'!G106</f>
        <v>7098284430.0227051</v>
      </c>
      <c r="H129" s="2">
        <f>H8/'Output-Calculation-sheet'!H7*'Output-Calculation-sheet'!H106</f>
        <v>6924103981.1810312</v>
      </c>
      <c r="I129" s="2">
        <f>I8/'Output-Calculation-sheet'!I7*'Output-Calculation-sheet'!I106</f>
        <v>6467095872.8340826</v>
      </c>
      <c r="J129" s="2">
        <f>J8/'Output-Calculation-sheet'!J7*'Output-Calculation-sheet'!J106</f>
        <v>6294625696.1921186</v>
      </c>
      <c r="K129" s="2">
        <f>K8/'Output-Calculation-sheet'!K7*'Output-Calculation-sheet'!K106</f>
        <v>6234279195.5990248</v>
      </c>
      <c r="L129" s="2">
        <f>L8/'Output-Calculation-sheet'!L7*'Output-Calculation-sheet'!L106</f>
        <v>5001219833.61724</v>
      </c>
      <c r="M129" s="2">
        <f>M8/'Output-Calculation-sheet'!M7*'Output-Calculation-sheet'!M106</f>
        <v>4777028151.4001188</v>
      </c>
      <c r="N129" s="2">
        <f>N8/'Output-Calculation-sheet'!N7*'Output-Calculation-sheet'!N106</f>
        <v>4688640242.5859213</v>
      </c>
      <c r="O129" s="2">
        <f>O8/'Output-Calculation-sheet'!O7*'Output-Calculation-sheet'!O106</f>
        <v>4312155206.7134218</v>
      </c>
      <c r="P129" s="2">
        <f>P8/'Output-Calculation-sheet'!P7*'Output-Calculation-sheet'!P106</f>
        <v>4268283276.070498</v>
      </c>
      <c r="Q129" s="2">
        <f>Q8/'Output-Calculation-sheet'!Q7*'Output-Calculation-sheet'!Q106</f>
        <v>4199300124.1478157</v>
      </c>
      <c r="R129" s="2">
        <f>R8/'Output-Calculation-sheet'!R7*'Output-Calculation-sheet'!R106</f>
        <v>4039919846.3981199</v>
      </c>
      <c r="S129" s="2">
        <f>S8/'Output-Calculation-sheet'!S7*'Output-Calculation-sheet'!S106</f>
        <v>2685137685.6426897</v>
      </c>
      <c r="T129" s="2">
        <f>T8/'Output-Calculation-sheet'!T7*'Output-Calculation-sheet'!T106</f>
        <v>1485040087.5583436</v>
      </c>
      <c r="U129" s="2">
        <f>U8/'Output-Calculation-sheet'!U7*'Output-Calculation-sheet'!U106</f>
        <v>1293418920.6114795</v>
      </c>
      <c r="V129" s="2">
        <f>V8/'Output-Calculation-sheet'!V7*'Output-Calculation-sheet'!V106</f>
        <v>995958828.62254107</v>
      </c>
      <c r="W129" s="2">
        <f>W8/'Output-Calculation-sheet'!W7*'Output-Calculation-sheet'!W106</f>
        <v>862279280.14356732</v>
      </c>
      <c r="X129" s="2">
        <f>X8/'Output-Calculation-sheet'!X7*'Output-Calculation-sheet'!X106</f>
        <v>517367669.82672733</v>
      </c>
      <c r="Y129" s="2">
        <f>Y8/'Output-Calculation-sheet'!Y7*'Output-Calculation-sheet'!Y106</f>
        <v>503134983.08281326</v>
      </c>
      <c r="AA129" s="2">
        <f t="shared" si="11"/>
        <v>187510.86980278531</v>
      </c>
    </row>
    <row r="130" spans="1:27" x14ac:dyDescent="0.25">
      <c r="A130" s="2">
        <v>2032</v>
      </c>
      <c r="B130" s="2">
        <f>B9/'Output-Calculation-sheet'!B8*'Output-Calculation-sheet'!B107</f>
        <v>36729834475.241035</v>
      </c>
      <c r="C130" s="2">
        <f>C9/'Output-Calculation-sheet'!C8*'Output-Calculation-sheet'!C107</f>
        <v>17308942865.717159</v>
      </c>
      <c r="D130" s="2">
        <f>D9/'Output-Calculation-sheet'!D8*'Output-Calculation-sheet'!D107</f>
        <v>15426949415.977333</v>
      </c>
      <c r="E130" s="2">
        <f>E9/'Output-Calculation-sheet'!E8*'Output-Calculation-sheet'!E107</f>
        <v>12239717284.139683</v>
      </c>
      <c r="F130" s="2">
        <f>F9/'Output-Calculation-sheet'!F8*'Output-Calculation-sheet'!F107</f>
        <v>7879149299.5143738</v>
      </c>
      <c r="G130" s="2">
        <f>G9/'Output-Calculation-sheet'!G8*'Output-Calculation-sheet'!G107</f>
        <v>5536106565.5047007</v>
      </c>
      <c r="H130" s="2">
        <f>H9/'Output-Calculation-sheet'!H8*'Output-Calculation-sheet'!H107</f>
        <v>5400258034.7360353</v>
      </c>
      <c r="I130" s="2">
        <f>I9/'Output-Calculation-sheet'!I8*'Output-Calculation-sheet'!I107</f>
        <v>5043828202.7216501</v>
      </c>
      <c r="J130" s="2">
        <f>J9/'Output-Calculation-sheet'!J8*'Output-Calculation-sheet'!J107</f>
        <v>4909313060.0439138</v>
      </c>
      <c r="K130" s="2">
        <f>K9/'Output-Calculation-sheet'!K8*'Output-Calculation-sheet'!K107</f>
        <v>4862248806.2461004</v>
      </c>
      <c r="L130" s="2">
        <f>L9/'Output-Calculation-sheet'!L8*'Output-Calculation-sheet'!L107</f>
        <v>3900559721.877799</v>
      </c>
      <c r="M130" s="2">
        <f>M9/'Output-Calculation-sheet'!M8*'Output-Calculation-sheet'!M107</f>
        <v>3725708247.9252491</v>
      </c>
      <c r="N130" s="2">
        <f>N9/'Output-Calculation-sheet'!N8*'Output-Calculation-sheet'!N107</f>
        <v>3656770233.2336211</v>
      </c>
      <c r="O130" s="2">
        <f>O9/'Output-Calculation-sheet'!O8*'Output-Calculation-sheet'!O107</f>
        <v>3363143291.5291095</v>
      </c>
      <c r="P130" s="2">
        <f>P9/'Output-Calculation-sheet'!P8*'Output-Calculation-sheet'!P107</f>
        <v>3328925749.4293361</v>
      </c>
      <c r="Q130" s="2">
        <f>Q9/'Output-Calculation-sheet'!Q8*'Output-Calculation-sheet'!Q107</f>
        <v>3275125979.3262801</v>
      </c>
      <c r="R130" s="2">
        <f>R9/'Output-Calculation-sheet'!R8*'Output-Calculation-sheet'!R107</f>
        <v>3150821442.4471598</v>
      </c>
      <c r="S130" s="2">
        <f>S9/'Output-Calculation-sheet'!S8*'Output-Calculation-sheet'!S107</f>
        <v>2094197065.1355791</v>
      </c>
      <c r="T130" s="2">
        <f>T9/'Output-Calculation-sheet'!T8*'Output-Calculation-sheet'!T107</f>
        <v>1158214945.6268466</v>
      </c>
      <c r="U130" s="2">
        <f>U9/'Output-Calculation-sheet'!U8*'Output-Calculation-sheet'!U107</f>
        <v>1008765312.7820836</v>
      </c>
      <c r="V130" s="2">
        <f>V9/'Output-Calculation-sheet'!V8*'Output-Calculation-sheet'!V107</f>
        <v>776769465.93639302</v>
      </c>
      <c r="W130" s="2">
        <f>W9/'Output-Calculation-sheet'!W8*'Output-Calculation-sheet'!W107</f>
        <v>672510384.64804029</v>
      </c>
      <c r="X130" s="2">
        <f>X9/'Output-Calculation-sheet'!X8*'Output-Calculation-sheet'!X107</f>
        <v>403506151.61615866</v>
      </c>
      <c r="Y130" s="2">
        <f>Y9/'Output-Calculation-sheet'!Y8*'Output-Calculation-sheet'!Y107</f>
        <v>392405774.09679407</v>
      </c>
      <c r="AA130" s="2">
        <f t="shared" si="11"/>
        <v>146243.77177545245</v>
      </c>
    </row>
    <row r="131" spans="1:27" x14ac:dyDescent="0.25">
      <c r="A131" s="2">
        <v>2033</v>
      </c>
      <c r="B131" s="2">
        <f>B10/'Output-Calculation-sheet'!B9*'Output-Calculation-sheet'!B108</f>
        <v>23826079483.17812</v>
      </c>
      <c r="C131" s="2">
        <f>C10/'Output-Calculation-sheet'!C9*'Output-Calculation-sheet'!C108</f>
        <v>11228045406.371731</v>
      </c>
      <c r="D131" s="2">
        <f>D10/'Output-Calculation-sheet'!D9*'Output-Calculation-sheet'!D108</f>
        <v>10007227750.713354</v>
      </c>
      <c r="E131" s="2">
        <f>E10/'Output-Calculation-sheet'!E9*'Output-Calculation-sheet'!E108</f>
        <v>7939716615.5102921</v>
      </c>
      <c r="F131" s="2">
        <f>F10/'Output-Calculation-sheet'!F9*'Output-Calculation-sheet'!F108</f>
        <v>5111080499.3765602</v>
      </c>
      <c r="G131" s="2">
        <f>G10/'Output-Calculation-sheet'!G9*'Output-Calculation-sheet'!G108</f>
        <v>3591185428.6802282</v>
      </c>
      <c r="H131" s="2">
        <f>H10/'Output-Calculation-sheet'!H9*'Output-Calculation-sheet'!H108</f>
        <v>3503063531.6207724</v>
      </c>
      <c r="I131" s="2">
        <f>I10/'Output-Calculation-sheet'!I9*'Output-Calculation-sheet'!I108</f>
        <v>3271853875.5799613</v>
      </c>
      <c r="J131" s="2">
        <f>J10/'Output-Calculation-sheet'!J9*'Output-Calculation-sheet'!J108</f>
        <v>3184595982.5942011</v>
      </c>
      <c r="K131" s="2">
        <f>K10/'Output-Calculation-sheet'!K9*'Output-Calculation-sheet'!K108</f>
        <v>3154065299.33711</v>
      </c>
      <c r="L131" s="2">
        <f>L10/'Output-Calculation-sheet'!L9*'Output-Calculation-sheet'!L108</f>
        <v>2530233180.9727416</v>
      </c>
      <c r="M131" s="2">
        <f>M10/'Output-Calculation-sheet'!M9*'Output-Calculation-sheet'!M108</f>
        <v>2416808463.907733</v>
      </c>
      <c r="N131" s="2">
        <f>N10/'Output-Calculation-sheet'!N9*'Output-Calculation-sheet'!N108</f>
        <v>2372090067.7634444</v>
      </c>
      <c r="O131" s="2">
        <f>O10/'Output-Calculation-sheet'!O9*'Output-Calculation-sheet'!O108</f>
        <v>2621746771.7806053</v>
      </c>
      <c r="P131" s="2">
        <f>P10/'Output-Calculation-sheet'!P9*'Output-Calculation-sheet'!P108</f>
        <v>2159423574.164907</v>
      </c>
      <c r="Q131" s="2">
        <f>Q10/'Output-Calculation-sheet'!Q9*'Output-Calculation-sheet'!Q108</f>
        <v>2124523366.4473329</v>
      </c>
      <c r="R131" s="2">
        <f>R10/'Output-Calculation-sheet'!R9*'Output-Calculation-sheet'!R108</f>
        <v>2043888411.1290238</v>
      </c>
      <c r="S131" s="2">
        <f>S10/'Output-Calculation-sheet'!S9*'Output-Calculation-sheet'!S108</f>
        <v>1358473468.6274788</v>
      </c>
      <c r="T131" s="2">
        <f>T10/'Output-Calculation-sheet'!T9*'Output-Calculation-sheet'!T108</f>
        <v>751315656.42329943</v>
      </c>
      <c r="U131" s="2">
        <f>U10/'Output-Calculation-sheet'!U9*'Output-Calculation-sheet'!U108</f>
        <v>654370394.2368505</v>
      </c>
      <c r="V131" s="2">
        <f>V10/'Output-Calculation-sheet'!V9*'Output-Calculation-sheet'!V108</f>
        <v>503878290.83269501</v>
      </c>
      <c r="W131" s="2">
        <f>W10/'Output-Calculation-sheet'!W9*'Output-Calculation-sheet'!W108</f>
        <v>436246929.35762656</v>
      </c>
      <c r="X131" s="2">
        <f>X10/'Output-Calculation-sheet'!X9*'Output-Calculation-sheet'!X108</f>
        <v>261748106.48614737</v>
      </c>
      <c r="Y131" s="2">
        <f>Y10/'Output-Calculation-sheet'!Y9*'Output-Calculation-sheet'!Y108</f>
        <v>254547466.34938845</v>
      </c>
      <c r="AA131" s="2">
        <f t="shared" si="11"/>
        <v>95306.208021441606</v>
      </c>
    </row>
    <row r="132" spans="1:27" x14ac:dyDescent="0.25">
      <c r="A132" s="2">
        <v>2034</v>
      </c>
      <c r="B132" s="2">
        <f>B11/'Output-Calculation-sheet'!B10*'Output-Calculation-sheet'!B109</f>
        <v>10879485634.391626</v>
      </c>
      <c r="C132" s="2">
        <f>C11/'Output-Calculation-sheet'!C10*'Output-Calculation-sheet'!C109</f>
        <v>9897849492.7184105</v>
      </c>
      <c r="D132" s="2">
        <f>D11/'Output-Calculation-sheet'!D10*'Output-Calculation-sheet'!D109</f>
        <v>4569509247.0634327</v>
      </c>
      <c r="E132" s="2">
        <f>E11/'Output-Calculation-sheet'!E10*'Output-Calculation-sheet'!E109</f>
        <v>3625441604.9742975</v>
      </c>
      <c r="F132" s="2">
        <f>F11/'Output-Calculation-sheet'!F10*'Output-Calculation-sheet'!F109</f>
        <v>2333826858.8345146</v>
      </c>
      <c r="G132" s="2">
        <f>G11/'Output-Calculation-sheet'!G10*'Output-Calculation-sheet'!G109</f>
        <v>1639811057.4367719</v>
      </c>
      <c r="H132" s="2">
        <f>H11/'Output-Calculation-sheet'!H10*'Output-Calculation-sheet'!H109</f>
        <v>1599572489.4760485</v>
      </c>
      <c r="I132" s="2">
        <f>I11/'Output-Calculation-sheet'!I10*'Output-Calculation-sheet'!I109</f>
        <v>1493996836.4292841</v>
      </c>
      <c r="J132" s="2">
        <f>J11/'Output-Calculation-sheet'!J10*'Output-Calculation-sheet'!J109</f>
        <v>1454153280.0522466</v>
      </c>
      <c r="K132" s="2">
        <f>K11/'Output-Calculation-sheet'!K10*'Output-Calculation-sheet'!K109</f>
        <v>1440212782.5806551</v>
      </c>
      <c r="L132" s="2">
        <f>L11/'Output-Calculation-sheet'!L10*'Output-Calculation-sheet'!L109</f>
        <v>1155357509.4131572</v>
      </c>
      <c r="M132" s="2">
        <f>M11/'Output-Calculation-sheet'!M10*'Output-Calculation-sheet'!M109</f>
        <v>1103565578.044498</v>
      </c>
      <c r="N132" s="2">
        <f>N11/'Output-Calculation-sheet'!N10*'Output-Calculation-sheet'!N109</f>
        <v>1083146553.5781584</v>
      </c>
      <c r="O132" s="2">
        <f>O11/'Output-Calculation-sheet'!O10*'Output-Calculation-sheet'!O109</f>
        <v>2229004113.7206068</v>
      </c>
      <c r="P132" s="2">
        <f>P11/'Output-Calculation-sheet'!P10*'Output-Calculation-sheet'!P109</f>
        <v>986037913.53028095</v>
      </c>
      <c r="Q132" s="2">
        <f>Q11/'Output-Calculation-sheet'!Q10*'Output-Calculation-sheet'!Q109</f>
        <v>970101907.7275697</v>
      </c>
      <c r="R132" s="2">
        <f>R11/'Output-Calculation-sheet'!R10*'Output-Calculation-sheet'!R109</f>
        <v>933282584.0889852</v>
      </c>
      <c r="S132" s="2">
        <f>S11/'Output-Calculation-sheet'!S10*'Output-Calculation-sheet'!S109</f>
        <v>620307462.69426525</v>
      </c>
      <c r="T132" s="2">
        <f>T11/'Output-Calculation-sheet'!T10*'Output-Calculation-sheet'!T109</f>
        <v>343066639.29921454</v>
      </c>
      <c r="U132" s="2">
        <f>U11/'Output-Calculation-sheet'!U10*'Output-Calculation-sheet'!U109</f>
        <v>298799332.50237173</v>
      </c>
      <c r="V132" s="2">
        <f>V11/'Output-Calculation-sheet'!V10*'Output-Calculation-sheet'!V109</f>
        <v>230081462.00091344</v>
      </c>
      <c r="W132" s="2">
        <f>W11/'Output-Calculation-sheet'!W10*'Output-Calculation-sheet'!W109</f>
        <v>199199554.9893795</v>
      </c>
      <c r="X132" s="2">
        <f>X11/'Output-Calculation-sheet'!X10*'Output-Calculation-sheet'!X109</f>
        <v>119519728.32436456</v>
      </c>
      <c r="Y132" s="2">
        <f>Y11/'Output-Calculation-sheet'!Y10*'Output-Calculation-sheet'!Y109</f>
        <v>116231763.27369253</v>
      </c>
      <c r="AA132" s="2">
        <f t="shared" si="11"/>
        <v>49321.561387144735</v>
      </c>
    </row>
    <row r="133" spans="1:27" x14ac:dyDescent="0.25">
      <c r="A133" s="2">
        <v>2035</v>
      </c>
      <c r="B133" s="2">
        <f>B12/'Output-Calculation-sheet'!B11*'Output-Calculation-sheet'!B110</f>
        <v>4080217511.8040357</v>
      </c>
      <c r="C133" s="2">
        <f>C12/'Output-Calculation-sheet'!C11*'Output-Calculation-sheet'!C110</f>
        <v>7835992844.3792648</v>
      </c>
      <c r="D133" s="2">
        <f>D12/'Output-Calculation-sheet'!D11*'Output-Calculation-sheet'!D110</f>
        <v>2025394248.9588273</v>
      </c>
      <c r="E133" s="2">
        <f>E12/'Output-Calculation-sheet'!E11*'Output-Calculation-sheet'!E110</f>
        <v>1029152367.096962</v>
      </c>
      <c r="F133" s="2">
        <f>F12/'Output-Calculation-sheet'!F11*'Output-Calculation-sheet'!F110</f>
        <v>696668792.18895662</v>
      </c>
      <c r="G133" s="2">
        <f>G12/'Output-Calculation-sheet'!G11*'Output-Calculation-sheet'!G110</f>
        <v>880361406.69620132</v>
      </c>
      <c r="H133" s="2">
        <f>H12/'Output-Calculation-sheet'!H11*'Output-Calculation-sheet'!H110</f>
        <v>1038524040.4132222</v>
      </c>
      <c r="I133" s="2">
        <f>I12/'Output-Calculation-sheet'!I11*'Output-Calculation-sheet'!I110</f>
        <v>486507320.38506293</v>
      </c>
      <c r="J133" s="2">
        <f>J12/'Output-Calculation-sheet'!J11*'Output-Calculation-sheet'!J110</f>
        <v>588630954.26578641</v>
      </c>
      <c r="K133" s="2">
        <f>K12/'Output-Calculation-sheet'!K11*'Output-Calculation-sheet'!K110</f>
        <v>446338017.58454281</v>
      </c>
      <c r="L133" s="2">
        <f>L12/'Output-Calculation-sheet'!L11*'Output-Calculation-sheet'!L110</f>
        <v>286829456.22183585</v>
      </c>
      <c r="M133" s="2">
        <f>M12/'Output-Calculation-sheet'!M11*'Output-Calculation-sheet'!M110</f>
        <v>645951502.40272224</v>
      </c>
      <c r="N133" s="2">
        <f>N12/'Output-Calculation-sheet'!N11*'Output-Calculation-sheet'!N110</f>
        <v>537455260.07050252</v>
      </c>
      <c r="O133" s="2">
        <f>O12/'Output-Calculation-sheet'!O11*'Output-Calculation-sheet'!O110</f>
        <v>1898112391.2741377</v>
      </c>
      <c r="P133" s="2">
        <f>P12/'Output-Calculation-sheet'!P11*'Output-Calculation-sheet'!P110</f>
        <v>375497970.42830622</v>
      </c>
      <c r="Q133" s="2">
        <f>Q12/'Output-Calculation-sheet'!Q11*'Output-Calculation-sheet'!Q110</f>
        <v>467706385.96960652</v>
      </c>
      <c r="R133" s="2">
        <f>R12/'Output-Calculation-sheet'!R11*'Output-Calculation-sheet'!R110</f>
        <v>294319958.35344166</v>
      </c>
      <c r="S133" s="2">
        <f>S12/'Output-Calculation-sheet'!S11*'Output-Calculation-sheet'!S110</f>
        <v>282983921.2737537</v>
      </c>
      <c r="T133" s="2">
        <f>T12/'Output-Calculation-sheet'!T11*'Output-Calculation-sheet'!T110</f>
        <v>76558727.337711513</v>
      </c>
      <c r="U133" s="2">
        <f>U12/'Output-Calculation-sheet'!U11*'Output-Calculation-sheet'!U110</f>
        <v>124451178.10500833</v>
      </c>
      <c r="V133" s="2">
        <f>V12/'Output-Calculation-sheet'!V11*'Output-Calculation-sheet'!V110</f>
        <v>31405180.453787483</v>
      </c>
      <c r="W133" s="2">
        <f>W12/'Output-Calculation-sheet'!W11*'Output-Calculation-sheet'!W110</f>
        <v>51201276.145408563</v>
      </c>
      <c r="X133" s="2">
        <f>X12/'Output-Calculation-sheet'!X11*'Output-Calculation-sheet'!X110</f>
        <v>89667155.239076599</v>
      </c>
      <c r="Y133" s="2">
        <f>Y12/'Output-Calculation-sheet'!Y11*'Output-Calculation-sheet'!Y110</f>
        <v>47116457.522419311</v>
      </c>
      <c r="AA133" s="2">
        <f t="shared" si="11"/>
        <v>24317.044324570583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1850.6595340831959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577.38068467895425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398.34869509122126</v>
      </c>
      <c r="N16" s="2">
        <f>N5/'Output-Calculation-sheet'!N4*'Output-Calculation-sheet'!N22</f>
        <v>0</v>
      </c>
      <c r="O16" s="2">
        <f>O5/'Output-Calculation-sheet'!O4*'Output-Calculation-sheet'!O22</f>
        <v>359.57940612887347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43.142474550429625</v>
      </c>
      <c r="Y16" s="2">
        <f>Y5/'Output-Calculation-sheet'!Y4*'Output-Calculation-sheet'!Y22</f>
        <v>0</v>
      </c>
      <c r="AA16" s="2">
        <f>SUM(B16:Y16)/1000</f>
        <v>3.2291107945326742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5261.6838008287832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1551.6288465196244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1071.0901873996486</v>
      </c>
      <c r="N17" s="2">
        <f>N6/'Output-Calculation-sheet'!N5*'Output-Calculation-sheet'!N23</f>
        <v>0</v>
      </c>
      <c r="O17" s="2">
        <f>O6/'Output-Calculation-sheet'!O5*'Output-Calculation-sheet'!O23</f>
        <v>1028.7789608679711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119.09908324580296</v>
      </c>
      <c r="Y17" s="2">
        <f>Y6/'Output-Calculation-sheet'!Y5*'Output-Calculation-sheet'!Y23</f>
        <v>0</v>
      </c>
      <c r="AA17" s="2">
        <f t="shared" ref="AA17:AA23" si="0">SUM(B17:Y17)/1000</f>
        <v>9.0322808788618296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10377.518544196599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3110.159699723667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2144.4455618048505</v>
      </c>
      <c r="N18" s="2">
        <f>N7/'Output-Calculation-sheet'!N6*'Output-Calculation-sheet'!N24</f>
        <v>664.59784636372979</v>
      </c>
      <c r="O18" s="2">
        <f>O7/'Output-Calculation-sheet'!O6*'Output-Calculation-sheet'!O24</f>
        <v>2014.9366818172264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145.29209719637518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240.52866439725463</v>
      </c>
      <c r="Y18" s="2">
        <f>Y7/'Output-Calculation-sheet'!Y6*'Output-Calculation-sheet'!Y24</f>
        <v>0</v>
      </c>
      <c r="AA18" s="2">
        <f t="shared" si="0"/>
        <v>18.697479095499702</v>
      </c>
    </row>
    <row r="19" spans="1:27" x14ac:dyDescent="0.25">
      <c r="A19" s="2">
        <v>2031</v>
      </c>
      <c r="B19" s="2">
        <f>B8/'Output-Calculation-sheet'!B7*'Output-Calculation-sheet'!B25</f>
        <v>1050.6577135188106</v>
      </c>
      <c r="C19" s="2">
        <f>C8/'Output-Calculation-sheet'!C7*'Output-Calculation-sheet'!C25</f>
        <v>15838.82730937351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4714.7940533291167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3275.4360733755325</v>
      </c>
      <c r="N19" s="2">
        <f>N8/'Output-Calculation-sheet'!N7*'Output-Calculation-sheet'!N25</f>
        <v>1121.3887513978002</v>
      </c>
      <c r="O19" s="2">
        <f>O8/'Output-Calculation-sheet'!O7*'Output-Calculation-sheet'!O25</f>
        <v>3063.1601070559841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400.12920893913287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365.96458748808294</v>
      </c>
      <c r="Y19" s="2">
        <f>Y8/'Output-Calculation-sheet'!Y7*'Output-Calculation-sheet'!Y25</f>
        <v>0</v>
      </c>
      <c r="AA19" s="2">
        <f t="shared" si="0"/>
        <v>29.830357804477966</v>
      </c>
    </row>
    <row r="20" spans="1:27" x14ac:dyDescent="0.25">
      <c r="A20" s="2">
        <v>2032</v>
      </c>
      <c r="B20" s="2">
        <f>B9/'Output-Calculation-sheet'!B8*'Output-Calculation-sheet'!B26</f>
        <v>5749.1035202101784</v>
      </c>
      <c r="C20" s="2">
        <f>C9/'Output-Calculation-sheet'!C8*'Output-Calculation-sheet'!C26</f>
        <v>21054.032389046031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6254.850402441728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4346.4035904280363</v>
      </c>
      <c r="N20" s="2">
        <f>N9/'Output-Calculation-sheet'!N8*'Output-Calculation-sheet'!N26</f>
        <v>1956.9468067479418</v>
      </c>
      <c r="O20" s="2">
        <f>O9/'Output-Calculation-sheet'!O8*'Output-Calculation-sheet'!O26</f>
        <v>4102.2864581072245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712.80052043120804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486.19055796649656</v>
      </c>
      <c r="Y20" s="2">
        <f>Y9/'Output-Calculation-sheet'!Y8*'Output-Calculation-sheet'!Y26</f>
        <v>0</v>
      </c>
      <c r="AA20" s="2">
        <f t="shared" si="0"/>
        <v>44.66261424537884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29822.344327818373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7635.1653837489084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5303.256379485746</v>
      </c>
      <c r="N21" s="2">
        <f>N10/'Output-Calculation-sheet'!N9*'Output-Calculation-sheet'!N27</f>
        <v>2901.7243554257202</v>
      </c>
      <c r="O21" s="2">
        <f>O10/'Output-Calculation-sheet'!O9*'Output-Calculation-sheet'!O27</f>
        <v>5066.4503901840671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1262.7910428840246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623.58938836873733</v>
      </c>
      <c r="Y21" s="2">
        <f>Y10/'Output-Calculation-sheet'!Y9*'Output-Calculation-sheet'!Y27</f>
        <v>0</v>
      </c>
      <c r="AA21" s="2">
        <f t="shared" si="0"/>
        <v>66.019608108594056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29968.209077456977</v>
      </c>
      <c r="D22" s="2">
        <f>D11/'Output-Calculation-sheet'!D10*'Output-Calculation-sheet'!D28</f>
        <v>0</v>
      </c>
      <c r="E22" s="2">
        <f>E11/'Output-Calculation-sheet'!E10*'Output-Calculation-sheet'!E28</f>
        <v>1271.3564649992895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9882.459504643617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749.83544028509868</v>
      </c>
      <c r="M22" s="2">
        <f>M11/'Output-Calculation-sheet'!M10*'Output-Calculation-sheet'!M28</f>
        <v>6811.4641636079486</v>
      </c>
      <c r="N22" s="2">
        <f>N11/'Output-Calculation-sheet'!N10*'Output-Calculation-sheet'!N28</f>
        <v>3920.0355682156924</v>
      </c>
      <c r="O22" s="2">
        <f>O11/'Output-Calculation-sheet'!O10*'Output-Calculation-sheet'!O28</f>
        <v>5277.4278895883272</v>
      </c>
      <c r="P22" s="2">
        <f>P11/'Output-Calculation-sheet'!P10*'Output-Calculation-sheet'!P28</f>
        <v>0</v>
      </c>
      <c r="Q22" s="2">
        <f>Q11/'Output-Calculation-sheet'!Q10*'Output-Calculation-sheet'!Q28</f>
        <v>1470.2189119008613</v>
      </c>
      <c r="R22" s="2">
        <f>R11/'Output-Calculation-sheet'!R10*'Output-Calculation-sheet'!R28</f>
        <v>0</v>
      </c>
      <c r="S22" s="2">
        <f>S11/'Output-Calculation-sheet'!S10*'Output-Calculation-sheet'!S28</f>
        <v>1988.0149970027026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697.7044107999518</v>
      </c>
      <c r="Y22" s="2">
        <f>Y11/'Output-Calculation-sheet'!Y10*'Output-Calculation-sheet'!Y28</f>
        <v>68.455605405332804</v>
      </c>
      <c r="AA22" s="2">
        <f t="shared" si="0"/>
        <v>86.713789563153227</v>
      </c>
    </row>
    <row r="23" spans="1:27" x14ac:dyDescent="0.25">
      <c r="A23" s="2">
        <v>2035</v>
      </c>
      <c r="B23" s="2">
        <f>B12/'Output-Calculation-sheet'!B11*'Output-Calculation-sheet'!B29</f>
        <v>32577.505398335335</v>
      </c>
      <c r="C23" s="2">
        <f>C12/'Output-Calculation-sheet'!C11*'Output-Calculation-sheet'!C29</f>
        <v>30376.762407708666</v>
      </c>
      <c r="D23" s="2">
        <f>D12/'Output-Calculation-sheet'!D11*'Output-Calculation-sheet'!D29</f>
        <v>0</v>
      </c>
      <c r="E23" s="2">
        <f>E12/'Output-Calculation-sheet'!E11*'Output-Calculation-sheet'!E29</f>
        <v>5984.0982208295218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10454.637887310819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1735.0629672407381</v>
      </c>
      <c r="M23" s="2">
        <f>M12/'Output-Calculation-sheet'!M11*'Output-Calculation-sheet'!M29</f>
        <v>7430.878524901761</v>
      </c>
      <c r="N23" s="2">
        <f>N12/'Output-Calculation-sheet'!N11*'Output-Calculation-sheet'!N29</f>
        <v>4315.7715598125451</v>
      </c>
      <c r="O23" s="2">
        <f>O12/'Output-Calculation-sheet'!O11*'Output-Calculation-sheet'!O29</f>
        <v>5022.0019735535516</v>
      </c>
      <c r="P23" s="2">
        <f>P12/'Output-Calculation-sheet'!P11*'Output-Calculation-sheet'!P29</f>
        <v>694.18426460133514</v>
      </c>
      <c r="Q23" s="2">
        <f>Q12/'Output-Calculation-sheet'!Q11*'Output-Calculation-sheet'!Q29</f>
        <v>2209.8406405685237</v>
      </c>
      <c r="R23" s="2">
        <f>R12/'Output-Calculation-sheet'!R11*'Output-Calculation-sheet'!R29</f>
        <v>0</v>
      </c>
      <c r="S23" s="2">
        <f>S12/'Output-Calculation-sheet'!S11*'Output-Calculation-sheet'!S29</f>
        <v>2386.7915105941215</v>
      </c>
      <c r="T23" s="2">
        <f>T12/'Output-Calculation-sheet'!T11*'Output-Calculation-sheet'!T29</f>
        <v>0</v>
      </c>
      <c r="U23" s="2">
        <f>U12/'Output-Calculation-sheet'!U11*'Output-Calculation-sheet'!U29</f>
        <v>257.55892936626452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709.96601169205849</v>
      </c>
      <c r="Y23" s="2">
        <f>Y12/'Output-Calculation-sheet'!Y11*'Output-Calculation-sheet'!Y29</f>
        <v>219.06161439729294</v>
      </c>
      <c r="AA23" s="2">
        <f t="shared" si="0"/>
        <v>104.37412191091254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2336.2795538332343</v>
      </c>
      <c r="C27" s="2">
        <f>C5/'Output-Calculation-sheet'!C4*'Output-Calculation-sheet'!C13</f>
        <v>0</v>
      </c>
      <c r="D27" s="2">
        <f>D5/'Output-Calculation-sheet'!D4*'Output-Calculation-sheet'!D13</f>
        <v>417.3490220932062</v>
      </c>
      <c r="E27" s="2">
        <f>E5/'Output-Calculation-sheet'!E4*'Output-Calculation-sheet'!E13</f>
        <v>449.01598760657197</v>
      </c>
      <c r="F27" s="2">
        <f>F5/'Output-Calculation-sheet'!F4*'Output-Calculation-sheet'!F13</f>
        <v>226.54986742942003</v>
      </c>
      <c r="G27" s="2">
        <f>G5/'Output-Calculation-sheet'!G4*'Output-Calculation-sheet'!G13</f>
        <v>148.35638298524847</v>
      </c>
      <c r="H27" s="2">
        <f>H5/'Output-Calculation-sheet'!H4*'Output-Calculation-sheet'!H13</f>
        <v>0</v>
      </c>
      <c r="I27" s="2">
        <f>I5/'Output-Calculation-sheet'!I4*'Output-Calculation-sheet'!I13</f>
        <v>144.62864690300205</v>
      </c>
      <c r="J27" s="2">
        <f>J5/'Output-Calculation-sheet'!J4*'Output-Calculation-sheet'!J13</f>
        <v>128.74764243636827</v>
      </c>
      <c r="K27" s="2">
        <f>K5/'Output-Calculation-sheet'!K4*'Output-Calculation-sheet'!K13</f>
        <v>171.89490677747332</v>
      </c>
      <c r="L27" s="2">
        <f>L5/'Output-Calculation-sheet'!L4*'Output-Calculation-sheet'!L13</f>
        <v>145.19547581060485</v>
      </c>
      <c r="M27" s="2">
        <f>M5/'Output-Calculation-sheet'!M4*'Output-Calculation-sheet'!M13</f>
        <v>0</v>
      </c>
      <c r="N27" s="2">
        <f>N5/'Output-Calculation-sheet'!N4*'Output-Calculation-sheet'!N13</f>
        <v>278.68633088122652</v>
      </c>
      <c r="O27" s="2">
        <f>O5/'Output-Calculation-sheet'!O4*'Output-Calculation-sheet'!O13</f>
        <v>0</v>
      </c>
      <c r="P27" s="2">
        <f>P5/'Output-Calculation-sheet'!P4*'Output-Calculation-sheet'!P13</f>
        <v>170.25460187077002</v>
      </c>
      <c r="Q27" s="2">
        <f>Q5/'Output-Calculation-sheet'!Q4*'Output-Calculation-sheet'!Q13</f>
        <v>189.47473795616474</v>
      </c>
      <c r="R27" s="2">
        <f>R5/'Output-Calculation-sheet'!R4*'Output-Calculation-sheet'!R13</f>
        <v>128.09305084483944</v>
      </c>
      <c r="S27" s="2">
        <f>S5/'Output-Calculation-sheet'!S4*'Output-Calculation-sheet'!S13</f>
        <v>147.83866089292081</v>
      </c>
      <c r="T27" s="2">
        <f>T5/'Output-Calculation-sheet'!T4*'Output-Calculation-sheet'!T13</f>
        <v>38.824910069583346</v>
      </c>
      <c r="U27" s="2">
        <f>U5/'Output-Calculation-sheet'!U4*'Output-Calculation-sheet'!U13</f>
        <v>38.756890874304347</v>
      </c>
      <c r="V27" s="2">
        <f>V5/'Output-Calculation-sheet'!V4*'Output-Calculation-sheet'!V13</f>
        <v>30.163741540282189</v>
      </c>
      <c r="W27" s="2">
        <f>W5/'Output-Calculation-sheet'!W4*'Output-Calculation-sheet'!W13</f>
        <v>18.294724247388917</v>
      </c>
      <c r="X27" s="2">
        <f>X5/'Output-Calculation-sheet'!X4*'Output-Calculation-sheet'!X13</f>
        <v>0</v>
      </c>
      <c r="Y27" s="2">
        <f>Y5/'Output-Calculation-sheet'!Y4*'Output-Calculation-sheet'!Y13</f>
        <v>15.468317945121104</v>
      </c>
      <c r="AA27" s="2">
        <f>SUM(B27:Y27)/1000</f>
        <v>5.2238734529977293</v>
      </c>
    </row>
    <row r="28" spans="1:27" x14ac:dyDescent="0.25">
      <c r="A28" s="2">
        <v>2029</v>
      </c>
      <c r="B28" s="2">
        <f>B6/'Output-Calculation-sheet'!B5*'Output-Calculation-sheet'!B14</f>
        <v>6212.843182130503</v>
      </c>
      <c r="C28" s="2">
        <f>C6/'Output-Calculation-sheet'!C5*'Output-Calculation-sheet'!C14</f>
        <v>0</v>
      </c>
      <c r="D28" s="2">
        <f>D6/'Output-Calculation-sheet'!D5*'Output-Calculation-sheet'!D14</f>
        <v>1109.7722278118511</v>
      </c>
      <c r="E28" s="2">
        <f>E6/'Output-Calculation-sheet'!E5*'Output-Calculation-sheet'!E14</f>
        <v>1194.0822533988289</v>
      </c>
      <c r="F28" s="2">
        <f>F6/'Output-Calculation-sheet'!F5*'Output-Calculation-sheet'!F14</f>
        <v>602.42085087638884</v>
      </c>
      <c r="G28" s="2">
        <f>G6/'Output-Calculation-sheet'!G5*'Output-Calculation-sheet'!G14</f>
        <v>394.51410682638539</v>
      </c>
      <c r="H28" s="2">
        <f>H6/'Output-Calculation-sheet'!H5*'Output-Calculation-sheet'!H14</f>
        <v>0</v>
      </c>
      <c r="I28" s="2">
        <f>I6/'Output-Calculation-sheet'!I5*'Output-Calculation-sheet'!I14</f>
        <v>384.60119009587874</v>
      </c>
      <c r="J28" s="2">
        <f>J6/'Output-Calculation-sheet'!J5*'Output-Calculation-sheet'!J14</f>
        <v>342.35207973187318</v>
      </c>
      <c r="K28" s="2">
        <f>K6/'Output-Calculation-sheet'!K5*'Output-Calculation-sheet'!K14</f>
        <v>457.10851296544973</v>
      </c>
      <c r="L28" s="2">
        <f>L6/'Output-Calculation-sheet'!L5*'Output-Calculation-sheet'!L14</f>
        <v>386.10851991685803</v>
      </c>
      <c r="M28" s="2">
        <f>M6/'Output-Calculation-sheet'!M5*'Output-Calculation-sheet'!M14</f>
        <v>0</v>
      </c>
      <c r="N28" s="2">
        <f>N6/'Output-Calculation-sheet'!N5*'Output-Calculation-sheet'!N14</f>
        <v>741.10485393629119</v>
      </c>
      <c r="O28" s="2">
        <f>O6/'Output-Calculation-sheet'!O5*'Output-Calculation-sheet'!O14</f>
        <v>0</v>
      </c>
      <c r="P28" s="2">
        <f>P6/'Output-Calculation-sheet'!P5*'Output-Calculation-sheet'!P14</f>
        <v>452.74656094040381</v>
      </c>
      <c r="Q28" s="2">
        <f>Q6/'Output-Calculation-sheet'!Q5*'Output-Calculation-sheet'!Q14</f>
        <v>503.86886662982977</v>
      </c>
      <c r="R28" s="2">
        <f>R6/'Output-Calculation-sheet'!R5*'Output-Calculation-sheet'!R14</f>
        <v>340.62919658632683</v>
      </c>
      <c r="S28" s="2">
        <f>S6/'Output-Calculation-sheet'!S5*'Output-Calculation-sheet'!S14</f>
        <v>393.14488501068331</v>
      </c>
      <c r="T28" s="2">
        <f>T6/'Output-Calculation-sheet'!T5*'Output-Calculation-sheet'!T14</f>
        <v>103.24446047083413</v>
      </c>
      <c r="U28" s="2">
        <f>U6/'Output-Calculation-sheet'!U5*'Output-Calculation-sheet'!U14</f>
        <v>103.05991361578518</v>
      </c>
      <c r="V28" s="2">
        <f>V6/'Output-Calculation-sheet'!V5*'Output-Calculation-sheet'!V14</f>
        <v>80.209571755682759</v>
      </c>
      <c r="W28" s="2">
        <f>W6/'Output-Calculation-sheet'!W5*'Output-Calculation-sheet'!W14</f>
        <v>48.652373412955463</v>
      </c>
      <c r="X28" s="2">
        <f>X6/'Output-Calculation-sheet'!X5*'Output-Calculation-sheet'!X14</f>
        <v>0</v>
      </c>
      <c r="Y28" s="2">
        <f>Y6/'Output-Calculation-sheet'!Y5*'Output-Calculation-sheet'!Y14</f>
        <v>41.13385292517404</v>
      </c>
      <c r="AA28" s="2">
        <f t="shared" ref="AA28:AA34" si="1">SUM(B28:Y28)/1000</f>
        <v>13.891597459037982</v>
      </c>
    </row>
    <row r="29" spans="1:27" x14ac:dyDescent="0.25">
      <c r="A29" s="2">
        <v>2030</v>
      </c>
      <c r="B29" s="2">
        <f>B7/'Output-Calculation-sheet'!B6*'Output-Calculation-sheet'!B15</f>
        <v>11616.730180549072</v>
      </c>
      <c r="C29" s="2">
        <f>C7/'Output-Calculation-sheet'!C6*'Output-Calculation-sheet'!C15</f>
        <v>0</v>
      </c>
      <c r="D29" s="2">
        <f>D7/'Output-Calculation-sheet'!D6*'Output-Calculation-sheet'!D15</f>
        <v>2032.1215168953299</v>
      </c>
      <c r="E29" s="2">
        <f>E7/'Output-Calculation-sheet'!E6*'Output-Calculation-sheet'!E15</f>
        <v>2186.4391918240967</v>
      </c>
      <c r="F29" s="2">
        <f>F7/'Output-Calculation-sheet'!F6*'Output-Calculation-sheet'!F15</f>
        <v>1103.1009034218368</v>
      </c>
      <c r="G29" s="2">
        <f>G7/'Output-Calculation-sheet'!G6*'Output-Calculation-sheet'!G15</f>
        <v>722.38891997434996</v>
      </c>
      <c r="H29" s="2">
        <f>H7/'Output-Calculation-sheet'!H6*'Output-Calculation-sheet'!H15</f>
        <v>0</v>
      </c>
      <c r="I29" s="2">
        <f>I7/'Output-Calculation-sheet'!I6*'Output-Calculation-sheet'!I15</f>
        <v>704.23752541877388</v>
      </c>
      <c r="J29" s="2">
        <f>J7/'Output-Calculation-sheet'!J6*'Output-Calculation-sheet'!J15</f>
        <v>626.88668865865975</v>
      </c>
      <c r="K29" s="2">
        <f>K7/'Output-Calculation-sheet'!K6*'Output-Calculation-sheet'!K15</f>
        <v>837.0262200790761</v>
      </c>
      <c r="L29" s="2">
        <f>L7/'Output-Calculation-sheet'!L6*'Output-Calculation-sheet'!L15</f>
        <v>707.01476024054239</v>
      </c>
      <c r="M29" s="2">
        <f>M7/'Output-Calculation-sheet'!M6*'Output-Calculation-sheet'!M15</f>
        <v>0</v>
      </c>
      <c r="N29" s="2">
        <f>N7/'Output-Calculation-sheet'!N6*'Output-Calculation-sheet'!N15</f>
        <v>912.18024565140388</v>
      </c>
      <c r="O29" s="2">
        <f>O7/'Output-Calculation-sheet'!O6*'Output-Calculation-sheet'!O15</f>
        <v>0</v>
      </c>
      <c r="P29" s="2">
        <f>P7/'Output-Calculation-sheet'!P6*'Output-Calculation-sheet'!P15</f>
        <v>829.01750158143022</v>
      </c>
      <c r="Q29" s="2">
        <f>Q7/'Output-Calculation-sheet'!Q6*'Output-Calculation-sheet'!Q15</f>
        <v>934.14147484604746</v>
      </c>
      <c r="R29" s="2">
        <f>R7/'Output-Calculation-sheet'!R6*'Output-Calculation-sheet'!R15</f>
        <v>623.72106136629043</v>
      </c>
      <c r="S29" s="2">
        <f>S7/'Output-Calculation-sheet'!S6*'Output-Calculation-sheet'!S15</f>
        <v>644.23786651817909</v>
      </c>
      <c r="T29" s="2">
        <f>T7/'Output-Calculation-sheet'!T6*'Output-Calculation-sheet'!T15</f>
        <v>189.0493977334049</v>
      </c>
      <c r="U29" s="2">
        <f>U7/'Output-Calculation-sheet'!U6*'Output-Calculation-sheet'!U15</f>
        <v>188.71371553813944</v>
      </c>
      <c r="V29" s="2">
        <f>V7/'Output-Calculation-sheet'!V6*'Output-Calculation-sheet'!V15</f>
        <v>146.87228154625217</v>
      </c>
      <c r="W29" s="2">
        <f>W7/'Output-Calculation-sheet'!W6*'Output-Calculation-sheet'!W15</f>
        <v>89.085143292634385</v>
      </c>
      <c r="X29" s="2">
        <f>X7/'Output-Calculation-sheet'!X6*'Output-Calculation-sheet'!X15</f>
        <v>0</v>
      </c>
      <c r="Y29" s="2">
        <f>Y7/'Output-Calculation-sheet'!Y6*'Output-Calculation-sheet'!Y15</f>
        <v>75.31958699280888</v>
      </c>
      <c r="AA29" s="2">
        <f t="shared" si="1"/>
        <v>25.168284182128328</v>
      </c>
    </row>
    <row r="30" spans="1:27" x14ac:dyDescent="0.25">
      <c r="A30" s="2">
        <v>2031</v>
      </c>
      <c r="B30" s="2">
        <f>B8/'Output-Calculation-sheet'!B7*'Output-Calculation-sheet'!B16</f>
        <v>18312.622644302752</v>
      </c>
      <c r="C30" s="2">
        <f>C8/'Output-Calculation-sheet'!C7*'Output-Calculation-sheet'!C16</f>
        <v>0</v>
      </c>
      <c r="D30" s="2">
        <f>D8/'Output-Calculation-sheet'!D7*'Output-Calculation-sheet'!D16</f>
        <v>3083.6035667459537</v>
      </c>
      <c r="E30" s="2">
        <f>E8/'Output-Calculation-sheet'!E7*'Output-Calculation-sheet'!E16</f>
        <v>3317.7832208222476</v>
      </c>
      <c r="F30" s="2">
        <f>F8/'Output-Calculation-sheet'!F7*'Output-Calculation-sheet'!F16</f>
        <v>1673.8392897323874</v>
      </c>
      <c r="G30" s="2">
        <f>G8/'Output-Calculation-sheet'!G7*'Output-Calculation-sheet'!G16</f>
        <v>1096.1659301782413</v>
      </c>
      <c r="H30" s="2">
        <f>H8/'Output-Calculation-sheet'!H7*'Output-Calculation-sheet'!H16</f>
        <v>0</v>
      </c>
      <c r="I30" s="2">
        <f>I8/'Output-Calculation-sheet'!I7*'Output-Calculation-sheet'!I16</f>
        <v>1068.5976515646084</v>
      </c>
      <c r="J30" s="2">
        <f>J8/'Output-Calculation-sheet'!J7*'Output-Calculation-sheet'!J16</f>
        <v>951.25738392015865</v>
      </c>
      <c r="K30" s="2">
        <f>K8/'Output-Calculation-sheet'!K7*'Output-Calculation-sheet'!K16</f>
        <v>1270.1104306874427</v>
      </c>
      <c r="L30" s="2">
        <f>L8/'Output-Calculation-sheet'!L7*'Output-Calculation-sheet'!L16</f>
        <v>1072.8303844617708</v>
      </c>
      <c r="M30" s="2">
        <f>M8/'Output-Calculation-sheet'!M7*'Output-Calculation-sheet'!M16</f>
        <v>0</v>
      </c>
      <c r="N30" s="2">
        <f>N8/'Output-Calculation-sheet'!N7*'Output-Calculation-sheet'!N16</f>
        <v>1523.8651764853698</v>
      </c>
      <c r="O30" s="2">
        <f>O8/'Output-Calculation-sheet'!O7*'Output-Calculation-sheet'!O16</f>
        <v>0</v>
      </c>
      <c r="P30" s="2">
        <f>P8/'Output-Calculation-sheet'!P7*'Output-Calculation-sheet'!P16</f>
        <v>1369.6000186155604</v>
      </c>
      <c r="Q30" s="2">
        <f>Q8/'Output-Calculation-sheet'!Q7*'Output-Calculation-sheet'!Q16</f>
        <v>1506.1076966011094</v>
      </c>
      <c r="R30" s="2">
        <f>R8/'Output-Calculation-sheet'!R7*'Output-Calculation-sheet'!R16</f>
        <v>955.63187961600863</v>
      </c>
      <c r="S30" s="2">
        <f>S8/'Output-Calculation-sheet'!S7*'Output-Calculation-sheet'!S16</f>
        <v>961.08544845337781</v>
      </c>
      <c r="T30" s="2">
        <f>T8/'Output-Calculation-sheet'!T7*'Output-Calculation-sheet'!T16</f>
        <v>286.8669537780732</v>
      </c>
      <c r="U30" s="2">
        <f>U8/'Output-Calculation-sheet'!U7*'Output-Calculation-sheet'!U16</f>
        <v>286.35418637248279</v>
      </c>
      <c r="V30" s="2">
        <f>V8/'Output-Calculation-sheet'!V7*'Output-Calculation-sheet'!V16</f>
        <v>222.86402009816803</v>
      </c>
      <c r="W30" s="2">
        <f>W8/'Output-Calculation-sheet'!W7*'Output-Calculation-sheet'!W16</f>
        <v>135.17826332995335</v>
      </c>
      <c r="X30" s="2">
        <f>X8/'Output-Calculation-sheet'!X7*'Output-Calculation-sheet'!X16</f>
        <v>0</v>
      </c>
      <c r="Y30" s="2">
        <f>Y8/'Output-Calculation-sheet'!Y7*'Output-Calculation-sheet'!Y16</f>
        <v>114.41303185066688</v>
      </c>
      <c r="AA30" s="2">
        <f t="shared" si="1"/>
        <v>39.208777177616327</v>
      </c>
    </row>
    <row r="31" spans="1:27" x14ac:dyDescent="0.25">
      <c r="A31" s="2">
        <v>2032</v>
      </c>
      <c r="B31" s="2">
        <f>B9/'Output-Calculation-sheet'!B8*'Output-Calculation-sheet'!B17</f>
        <v>24343.603736460325</v>
      </c>
      <c r="C31" s="2">
        <f>C9/'Output-Calculation-sheet'!C8*'Output-Calculation-sheet'!C17</f>
        <v>0</v>
      </c>
      <c r="D31" s="2">
        <f>D9/'Output-Calculation-sheet'!D8*'Output-Calculation-sheet'!D17</f>
        <v>4082.7419693459619</v>
      </c>
      <c r="E31" s="2">
        <f>E9/'Output-Calculation-sheet'!E8*'Output-Calculation-sheet'!E17</f>
        <v>4798.7053672265829</v>
      </c>
      <c r="F31" s="2">
        <f>F9/'Output-Calculation-sheet'!F8*'Output-Calculation-sheet'!F17</f>
        <v>2216.2448015080727</v>
      </c>
      <c r="G31" s="2">
        <f>G9/'Output-Calculation-sheet'!G8*'Output-Calculation-sheet'!G17</f>
        <v>1451.3636713670423</v>
      </c>
      <c r="H31" s="2">
        <f>H9/'Output-Calculation-sheet'!H8*'Output-Calculation-sheet'!H17</f>
        <v>0</v>
      </c>
      <c r="I31" s="2">
        <f>I9/'Output-Calculation-sheet'!I8*'Output-Calculation-sheet'!I17</f>
        <v>1414.8688921458213</v>
      </c>
      <c r="J31" s="2">
        <f>J9/'Output-Calculation-sheet'!J8*'Output-Calculation-sheet'!J17</f>
        <v>1259.5060296551999</v>
      </c>
      <c r="K31" s="2">
        <f>K9/'Output-Calculation-sheet'!K8*'Output-Calculation-sheet'!K17</f>
        <v>1793.2021691807956</v>
      </c>
      <c r="L31" s="2">
        <f>L9/'Output-Calculation-sheet'!L8*'Output-Calculation-sheet'!L17</f>
        <v>1529.2862133401188</v>
      </c>
      <c r="M31" s="2">
        <f>M9/'Output-Calculation-sheet'!M8*'Output-Calculation-sheet'!M17</f>
        <v>0</v>
      </c>
      <c r="N31" s="2">
        <f>N9/'Output-Calculation-sheet'!N8*'Output-Calculation-sheet'!N17</f>
        <v>1668.5727348711914</v>
      </c>
      <c r="O31" s="2">
        <f>O9/'Output-Calculation-sheet'!O8*'Output-Calculation-sheet'!O17</f>
        <v>0</v>
      </c>
      <c r="P31" s="2">
        <f>P9/'Output-Calculation-sheet'!P8*'Output-Calculation-sheet'!P17</f>
        <v>2063.4087761072956</v>
      </c>
      <c r="Q31" s="2">
        <f>Q9/'Output-Calculation-sheet'!Q8*'Output-Calculation-sheet'!Q17</f>
        <v>2199.7833350344163</v>
      </c>
      <c r="R31" s="2">
        <f>R9/'Output-Calculation-sheet'!R8*'Output-Calculation-sheet'!R17</f>
        <v>1439.2145149809037</v>
      </c>
      <c r="S31" s="2">
        <f>S9/'Output-Calculation-sheet'!S8*'Output-Calculation-sheet'!S17</f>
        <v>1238.3802209385981</v>
      </c>
      <c r="T31" s="2">
        <f>T9/'Output-Calculation-sheet'!T8*'Output-Calculation-sheet'!T17</f>
        <v>390.54137364644072</v>
      </c>
      <c r="U31" s="2">
        <f>U9/'Output-Calculation-sheet'!U8*'Output-Calculation-sheet'!U17</f>
        <v>448.85654351958607</v>
      </c>
      <c r="V31" s="2">
        <f>V9/'Output-Calculation-sheet'!V8*'Output-Calculation-sheet'!V17</f>
        <v>321.4946443669624</v>
      </c>
      <c r="W31" s="2">
        <f>W9/'Output-Calculation-sheet'!W8*'Output-Calculation-sheet'!W17</f>
        <v>178.98365395290605</v>
      </c>
      <c r="X31" s="2">
        <f>X9/'Output-Calculation-sheet'!X8*'Output-Calculation-sheet'!X17</f>
        <v>0</v>
      </c>
      <c r="Y31" s="2">
        <f>Y9/'Output-Calculation-sheet'!Y8*'Output-Calculation-sheet'!Y17</f>
        <v>172.93698698448748</v>
      </c>
      <c r="AA31" s="2">
        <f t="shared" si="1"/>
        <v>53.011695634632702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1631.6934234125386</v>
      </c>
      <c r="O32" s="2">
        <f>O10/'Output-Calculation-sheet'!O9*'Output-Calculation-sheet'!O18</f>
        <v>0</v>
      </c>
      <c r="P32" s="2">
        <f>P10/'Output-Calculation-sheet'!P9*'Output-Calculation-sheet'!P18</f>
        <v>2627.2054635622981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1886.5080429415045</v>
      </c>
      <c r="S32" s="2">
        <f>S10/'Output-Calculation-sheet'!S9*'Output-Calculation-sheet'!S18</f>
        <v>1234.6696223171405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609.03846796853873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64.348153836603004</v>
      </c>
    </row>
    <row r="33" spans="1:27" x14ac:dyDescent="0.25">
      <c r="A33" s="2">
        <v>2034</v>
      </c>
      <c r="B33" s="2">
        <f>B11/'Output-Calculation-sheet'!B10*'Output-Calculation-sheet'!B19</f>
        <v>24821.298248107403</v>
      </c>
      <c r="C33" s="2">
        <f>C11/'Output-Calculation-sheet'!C10*'Output-Calculation-sheet'!C19</f>
        <v>0</v>
      </c>
      <c r="D33" s="2">
        <f>D11/'Output-Calculation-sheet'!D10*'Output-Calculation-sheet'!D19</f>
        <v>7403.5465349343149</v>
      </c>
      <c r="E33" s="2">
        <f>E11/'Output-Calculation-sheet'!E10*'Output-Calculation-sheet'!E19</f>
        <v>9173.1201902360808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2520.2933011556011</v>
      </c>
      <c r="H33" s="2">
        <f>H11/'Output-Calculation-sheet'!H10*'Output-Calculation-sheet'!H19</f>
        <v>0</v>
      </c>
      <c r="I33" s="2">
        <f>I11/'Output-Calculation-sheet'!I10*'Output-Calculation-sheet'!I19</f>
        <v>2749.987802694885</v>
      </c>
      <c r="J33" s="2">
        <f>J11/'Output-Calculation-sheet'!J10*'Output-Calculation-sheet'!J19</f>
        <v>2324.9827732031076</v>
      </c>
      <c r="K33" s="2">
        <f>K11/'Output-Calculation-sheet'!K10*'Output-Calculation-sheet'!K19</f>
        <v>3226.6471447777599</v>
      </c>
      <c r="L33" s="2">
        <f>L11/'Output-Calculation-sheet'!L10*'Output-Calculation-sheet'!L19</f>
        <v>2625.3094950521172</v>
      </c>
      <c r="M33" s="2">
        <f>M11/'Output-Calculation-sheet'!M10*'Output-Calculation-sheet'!M19</f>
        <v>0</v>
      </c>
      <c r="N33" s="2">
        <f>N11/'Output-Calculation-sheet'!N10*'Output-Calculation-sheet'!N19</f>
        <v>1483.759852037969</v>
      </c>
      <c r="O33" s="2">
        <f>O11/'Output-Calculation-sheet'!O10*'Output-Calculation-sheet'!O19</f>
        <v>0</v>
      </c>
      <c r="P33" s="2">
        <f>P11/'Output-Calculation-sheet'!P10*'Output-Calculation-sheet'!P19</f>
        <v>3264.7977253148902</v>
      </c>
      <c r="Q33" s="2">
        <f>Q11/'Output-Calculation-sheet'!Q10*'Output-Calculation-sheet'!Q19</f>
        <v>2614.0849748525625</v>
      </c>
      <c r="R33" s="2">
        <f>R11/'Output-Calculation-sheet'!R10*'Output-Calculation-sheet'!R19</f>
        <v>2330.9796023030017</v>
      </c>
      <c r="S33" s="2">
        <f>S11/'Output-Calculation-sheet'!S10*'Output-Calculation-sheet'!S19</f>
        <v>1089.4855985201002</v>
      </c>
      <c r="T33" s="2">
        <f>T11/'Output-Calculation-sheet'!T10*'Output-Calculation-sheet'!T19</f>
        <v>683.94975737436198</v>
      </c>
      <c r="U33" s="2">
        <f>U11/'Output-Calculation-sheet'!U10*'Output-Calculation-sheet'!U19</f>
        <v>786.5553092393319</v>
      </c>
      <c r="V33" s="2">
        <f>V11/'Output-Calculation-sheet'!V10*'Output-Calculation-sheet'!V19</f>
        <v>536.39567225753854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131.91504882696714</v>
      </c>
      <c r="Y33" s="2">
        <f>Y11/'Output-Calculation-sheet'!Y10*'Output-Calculation-sheet'!Y19</f>
        <v>301.01736904861735</v>
      </c>
      <c r="AA33" s="2">
        <f t="shared" si="1"/>
        <v>72.610652526493467</v>
      </c>
    </row>
    <row r="34" spans="1:27" x14ac:dyDescent="0.25">
      <c r="A34" s="2">
        <v>2035</v>
      </c>
      <c r="B34" s="2">
        <f>B12/'Output-Calculation-sheet'!B11*'Output-Calculation-sheet'!B20</f>
        <v>22610.107876785649</v>
      </c>
      <c r="C34" s="2">
        <f>C12/'Output-Calculation-sheet'!C11*'Output-Calculation-sheet'!C20</f>
        <v>0</v>
      </c>
      <c r="D34" s="2">
        <f>D12/'Output-Calculation-sheet'!D11*'Output-Calculation-sheet'!D20</f>
        <v>8378.7355706689923</v>
      </c>
      <c r="E34" s="2">
        <f>E12/'Output-Calculation-sheet'!E11*'Output-Calculation-sheet'!E20</f>
        <v>7555.606156748212</v>
      </c>
      <c r="F34" s="2">
        <f>F12/'Output-Calculation-sheet'!F11*'Output-Calculation-sheet'!F20</f>
        <v>5356.7415623538782</v>
      </c>
      <c r="G34" s="2">
        <f>G12/'Output-Calculation-sheet'!G11*'Output-Calculation-sheet'!G20</f>
        <v>2665.4487770463197</v>
      </c>
      <c r="H34" s="2">
        <f>H12/'Output-Calculation-sheet'!H11*'Output-Calculation-sheet'!H20</f>
        <v>0</v>
      </c>
      <c r="I34" s="2">
        <f>I12/'Output-Calculation-sheet'!I11*'Output-Calculation-sheet'!I20</f>
        <v>3274.9519127072526</v>
      </c>
      <c r="J34" s="2">
        <f>J12/'Output-Calculation-sheet'!J11*'Output-Calculation-sheet'!J20</f>
        <v>2728.2774362013797</v>
      </c>
      <c r="K34" s="2">
        <f>K12/'Output-Calculation-sheet'!K11*'Output-Calculation-sheet'!K20</f>
        <v>3839.6776463778583</v>
      </c>
      <c r="L34" s="2">
        <f>L12/'Output-Calculation-sheet'!L11*'Output-Calculation-sheet'!L20</f>
        <v>2612.502507767656</v>
      </c>
      <c r="M34" s="2">
        <f>M12/'Output-Calculation-sheet'!M11*'Output-Calculation-sheet'!M20</f>
        <v>0</v>
      </c>
      <c r="N34" s="2">
        <f>N12/'Output-Calculation-sheet'!N11*'Output-Calculation-sheet'!N20</f>
        <v>1495.3157145091507</v>
      </c>
      <c r="O34" s="2">
        <f>O12/'Output-Calculation-sheet'!O11*'Output-Calculation-sheet'!O20</f>
        <v>0</v>
      </c>
      <c r="P34" s="2">
        <f>P12/'Output-Calculation-sheet'!P11*'Output-Calculation-sheet'!P20</f>
        <v>3176.235853949272</v>
      </c>
      <c r="Q34" s="2">
        <f>Q12/'Output-Calculation-sheet'!Q11*'Output-Calculation-sheet'!Q20</f>
        <v>2264.4662734456933</v>
      </c>
      <c r="R34" s="2">
        <f>R12/'Output-Calculation-sheet'!R11*'Output-Calculation-sheet'!R20</f>
        <v>2755.7040772585533</v>
      </c>
      <c r="S34" s="2">
        <f>S12/'Output-Calculation-sheet'!S11*'Output-Calculation-sheet'!S20</f>
        <v>986.75794225334084</v>
      </c>
      <c r="T34" s="2">
        <f>T12/'Output-Calculation-sheet'!T11*'Output-Calculation-sheet'!T20</f>
        <v>797.65727818403514</v>
      </c>
      <c r="U34" s="2">
        <f>U12/'Output-Calculation-sheet'!U11*'Output-Calculation-sheet'!U20</f>
        <v>730.33414899137108</v>
      </c>
      <c r="V34" s="2">
        <f>V12/'Output-Calculation-sheet'!V11*'Output-Calculation-sheet'!V20</f>
        <v>720.95834625966063</v>
      </c>
      <c r="W34" s="2">
        <f>W12/'Output-Calculation-sheet'!W11*'Output-Calculation-sheet'!W20</f>
        <v>425.85814316276895</v>
      </c>
      <c r="X34" s="2">
        <f>X12/'Output-Calculation-sheet'!X11*'Output-Calculation-sheet'!X20</f>
        <v>123.14087690445137</v>
      </c>
      <c r="Y34" s="2">
        <f>Y12/'Output-Calculation-sheet'!Y11*'Output-Calculation-sheet'!Y20</f>
        <v>229.63830160199851</v>
      </c>
      <c r="AA34" s="2">
        <f t="shared" si="1"/>
        <v>72.728116403177509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0.20842216834741292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0.20842216834741292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1.0509629695759066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0.20417383169069495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1.2551368012666015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1.9948046293480577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0.38753687469376896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9.5512080275356546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10617.646624746112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1752.6429767627296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1238.5841948653988</v>
      </c>
      <c r="N51" s="2">
        <f>N7/'Output-Calculation-sheet'!N6*'Output-Calculation-sheet'!N42</f>
        <v>0</v>
      </c>
      <c r="O51" s="2">
        <f>O7/'Output-Calculation-sheet'!O6*'Output-Calculation-sheet'!O42</f>
        <v>2167.3539822073531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175.20819045408629</v>
      </c>
      <c r="Y51" s="2">
        <f>Y7/'Output-Calculation-sheet'!Y6*'Output-Calculation-sheet'!Y42</f>
        <v>0</v>
      </c>
      <c r="AA51" s="2">
        <f t="shared" si="3"/>
        <v>15.951435969035678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30646.699642764426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6684.6689604593057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4562.6119708402093</v>
      </c>
      <c r="N52" s="2">
        <f>N8/'Output-Calculation-sheet'!N7*'Output-Calculation-sheet'!N43</f>
        <v>145.83139638120196</v>
      </c>
      <c r="O52" s="2">
        <f>O8/'Output-Calculation-sheet'!O7*'Output-Calculation-sheet'!O43</f>
        <v>6208.9933863243978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590.05543283560939</v>
      </c>
      <c r="Y52" s="2">
        <f>Y8/'Output-Calculation-sheet'!Y7*'Output-Calculation-sheet'!Y43</f>
        <v>0</v>
      </c>
      <c r="AA52" s="2">
        <f t="shared" si="3"/>
        <v>48.838860789605157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53515.725361360513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12505.24688133668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8565.5420853765554</v>
      </c>
      <c r="N53" s="2">
        <f>N9/'Output-Calculation-sheet'!N8*'Output-Calculation-sheet'!N44</f>
        <v>3031.4515758051411</v>
      </c>
      <c r="O53" s="2">
        <f>O9/'Output-Calculation-sheet'!O8*'Output-Calculation-sheet'!O44</f>
        <v>10612.887560669367</v>
      </c>
      <c r="P53" s="2">
        <f>P9/'Output-Calculation-sheet'!P8*'Output-Calculation-sheet'!P44</f>
        <v>142.70140312126321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951.87647138329021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1071.1274266675034</v>
      </c>
      <c r="Y53" s="2">
        <f>Y9/'Output-Calculation-sheet'!Y8*'Output-Calculation-sheet'!Y44</f>
        <v>0</v>
      </c>
      <c r="AA53" s="2">
        <f t="shared" si="3"/>
        <v>90.396558765720314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66252.00904647955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12103.11188122696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454.5717136199122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151.0123186895631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66192.229136447451</v>
      </c>
      <c r="D55" s="2">
        <f>D11/'Output-Calculation-sheet'!D10*'Output-Calculation-sheet'!D46</f>
        <v>6533.1655540023521</v>
      </c>
      <c r="E55" s="2">
        <f>E11/'Output-Calculation-sheet'!E10*'Output-Calculation-sheet'!E46</f>
        <v>7982.8906628675595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21766.594320646389</v>
      </c>
      <c r="I55" s="2">
        <f>I11/'Output-Calculation-sheet'!I10*'Output-Calculation-sheet'!I46</f>
        <v>1580.9373386640839</v>
      </c>
      <c r="J55" s="2">
        <f>J11/'Output-Calculation-sheet'!J10*'Output-Calculation-sheet'!J46</f>
        <v>1147.3798721490452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14918.964554266509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12232.519916205671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4472.8904482933112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5588.8546188309583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1287.6318967118425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1557.385480394373</v>
      </c>
      <c r="Y55" s="2">
        <f>Y11/'Output-Calculation-sheet'!Y10*'Output-Calculation-sheet'!Y46</f>
        <v>394.84872357367175</v>
      </c>
      <c r="AA55" s="2">
        <f t="shared" si="3"/>
        <v>243.98702635075716</v>
      </c>
    </row>
    <row r="56" spans="1:27" x14ac:dyDescent="0.25">
      <c r="A56" s="2">
        <v>2035</v>
      </c>
      <c r="B56" s="2">
        <f>B12/'Output-Calculation-sheet'!B11*'Output-Calculation-sheet'!B47</f>
        <v>101570.82418253551</v>
      </c>
      <c r="C56" s="2">
        <f>C12/'Output-Calculation-sheet'!C11*'Output-Calculation-sheet'!C47</f>
        <v>63781.253280470788</v>
      </c>
      <c r="D56" s="2">
        <f>D12/'Output-Calculation-sheet'!D11*'Output-Calculation-sheet'!D47</f>
        <v>17670.607536028732</v>
      </c>
      <c r="E56" s="2">
        <f>E12/'Output-Calculation-sheet'!E11*'Output-Calculation-sheet'!E47</f>
        <v>26177.4270112661</v>
      </c>
      <c r="F56" s="2">
        <f>F12/'Output-Calculation-sheet'!F11*'Output-Calculation-sheet'!F47</f>
        <v>3796.3600890271914</v>
      </c>
      <c r="G56" s="2">
        <f>G12/'Output-Calculation-sheet'!G11*'Output-Calculation-sheet'!G47</f>
        <v>6116.4116169327162</v>
      </c>
      <c r="H56" s="2">
        <f>H12/'Output-Calculation-sheet'!H11*'Output-Calculation-sheet'!H47</f>
        <v>21546.069869618204</v>
      </c>
      <c r="I56" s="2">
        <f>I12/'Output-Calculation-sheet'!I11*'Output-Calculation-sheet'!I47</f>
        <v>6001.4695344573447</v>
      </c>
      <c r="J56" s="2">
        <f>J12/'Output-Calculation-sheet'!J11*'Output-Calculation-sheet'!J47</f>
        <v>4801.08326717404</v>
      </c>
      <c r="K56" s="2">
        <f>K12/'Output-Calculation-sheet'!K11*'Output-Calculation-sheet'!K47</f>
        <v>6439.1956944952881</v>
      </c>
      <c r="L56" s="2">
        <f>L12/'Output-Calculation-sheet'!L11*'Output-Calculation-sheet'!L47</f>
        <v>5393.7351207249467</v>
      </c>
      <c r="M56" s="2">
        <f>M12/'Output-Calculation-sheet'!M11*'Output-Calculation-sheet'!M47</f>
        <v>14918.465751916396</v>
      </c>
      <c r="N56" s="2">
        <f>N12/'Output-Calculation-sheet'!N11*'Output-Calculation-sheet'!N47</f>
        <v>12494.964190134444</v>
      </c>
      <c r="O56" s="2">
        <f>O12/'Output-Calculation-sheet'!O11*'Output-Calculation-sheet'!O47</f>
        <v>11677.097934851723</v>
      </c>
      <c r="P56" s="2">
        <f>P12/'Output-Calculation-sheet'!P11*'Output-Calculation-sheet'!P47</f>
        <v>6680.1879298686226</v>
      </c>
      <c r="Q56" s="2">
        <f>Q12/'Output-Calculation-sheet'!Q11*'Output-Calculation-sheet'!Q47</f>
        <v>6750.4068673802894</v>
      </c>
      <c r="R56" s="2">
        <f>R12/'Output-Calculation-sheet'!R11*'Output-Calculation-sheet'!R47</f>
        <v>5269.9706981479048</v>
      </c>
      <c r="S56" s="2">
        <f>S12/'Output-Calculation-sheet'!S11*'Output-Calculation-sheet'!S47</f>
        <v>6598.7114265894043</v>
      </c>
      <c r="T56" s="2">
        <f>T12/'Output-Calculation-sheet'!T11*'Output-Calculation-sheet'!T47</f>
        <v>1990.6887649561934</v>
      </c>
      <c r="U56" s="2">
        <f>U12/'Output-Calculation-sheet'!U11*'Output-Calculation-sheet'!U47</f>
        <v>2077.4166373049957</v>
      </c>
      <c r="V56" s="2">
        <f>V12/'Output-Calculation-sheet'!V11*'Output-Calculation-sheet'!V47</f>
        <v>1079.6962637786335</v>
      </c>
      <c r="W56" s="2">
        <f>W12/'Output-Calculation-sheet'!W11*'Output-Calculation-sheet'!W47</f>
        <v>577.96029360831164</v>
      </c>
      <c r="X56" s="2">
        <f>X12/'Output-Calculation-sheet'!X11*'Output-Calculation-sheet'!X47</f>
        <v>1500.3791836797939</v>
      </c>
      <c r="Y56" s="2">
        <f>Y12/'Output-Calculation-sheet'!Y11*'Output-Calculation-sheet'!Y47</f>
        <v>837.73797744560659</v>
      </c>
      <c r="AA56" s="2">
        <f t="shared" si="3"/>
        <v>335.74812112239317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4.8936751871666537</v>
      </c>
      <c r="C60" s="2">
        <f>C5*'Output-Calculation-sheet'!C49/10^9</f>
        <v>2.4108823882350658</v>
      </c>
      <c r="D60" s="2">
        <f>D5*'Output-Calculation-sheet'!D49/10^9</f>
        <v>2.0206366194975973</v>
      </c>
      <c r="E60" s="2">
        <f>E5*'Output-Calculation-sheet'!E49/10^9</f>
        <v>1.9848605742014469</v>
      </c>
      <c r="F60" s="2">
        <f>F5*'Output-Calculation-sheet'!F49/10^9</f>
        <v>0.81475597101714559</v>
      </c>
      <c r="G60" s="2">
        <f>G5*'Output-Calculation-sheet'!G49/10^9</f>
        <v>0.59608151212054195</v>
      </c>
      <c r="H60" s="2">
        <f>H5*'Output-Calculation-sheet'!H49/10^9</f>
        <v>0.78521660187741382</v>
      </c>
      <c r="I60" s="2">
        <f>I5*'Output-Calculation-sheet'!I49/10^9</f>
        <v>0.54979217101409927</v>
      </c>
      <c r="J60" s="2">
        <f>J5*'Output-Calculation-sheet'!J49/10^9</f>
        <v>0.80645468300784551</v>
      </c>
      <c r="K60" s="2">
        <f>K5*'Output-Calculation-sheet'!K49/10^9</f>
        <v>0.66679482481023844</v>
      </c>
      <c r="L60" s="2">
        <f>L5*'Output-Calculation-sheet'!L49/10^9</f>
        <v>0.95795098253997235</v>
      </c>
      <c r="M60" s="2">
        <f>M5*'Output-Calculation-sheet'!M49/10^9</f>
        <v>0.68906352672486271</v>
      </c>
      <c r="N60" s="2">
        <f>N5*'Output-Calculation-sheet'!N49/10^9</f>
        <v>0.60170838075890087</v>
      </c>
      <c r="O60" s="2">
        <f>O5*'Output-Calculation-sheet'!O49/10^9</f>
        <v>0.50413117547651753</v>
      </c>
      <c r="P60" s="2">
        <f>P5*'Output-Calculation-sheet'!P49/10^9</f>
        <v>0.41156505131578736</v>
      </c>
      <c r="Q60" s="2">
        <f>Q5*'Output-Calculation-sheet'!Q49/10^9</f>
        <v>0.47032605541364575</v>
      </c>
      <c r="R60" s="2">
        <f>R5*'Output-Calculation-sheet'!R49/10^9</f>
        <v>0.46182943285185174</v>
      </c>
      <c r="S60" s="2">
        <f>S5*'Output-Calculation-sheet'!S49/10^9</f>
        <v>0.28850456521705065</v>
      </c>
      <c r="T60" s="2">
        <f>T5*'Output-Calculation-sheet'!T49/10^9</f>
        <v>0.18298858877227589</v>
      </c>
      <c r="U60" s="2">
        <f>U5*'Output-Calculation-sheet'!U49/10^9</f>
        <v>0.11708821770255184</v>
      </c>
      <c r="V60" s="2">
        <f>V5*'Output-Calculation-sheet'!V49/10^9</f>
        <v>0.23522906063795462</v>
      </c>
      <c r="W60" s="2">
        <f>W5*'Output-Calculation-sheet'!W49/10^9</f>
        <v>7.9902828559237735E-2</v>
      </c>
      <c r="X60" s="2">
        <f>X5*'Output-Calculation-sheet'!X49/10^9</f>
        <v>6.8385297664100522E-2</v>
      </c>
      <c r="Y60" s="2">
        <f>Y5*'Output-Calculation-sheet'!Y49/10^9</f>
        <v>4.9613042414426455E-2</v>
      </c>
      <c r="AA60" s="2">
        <f>SUM(B60:Y60)</f>
        <v>20.647436738997179</v>
      </c>
    </row>
    <row r="61" spans="1:27" x14ac:dyDescent="0.25">
      <c r="A61" s="2">
        <v>2029</v>
      </c>
      <c r="B61" s="2">
        <f>B6*'Output-Calculation-sheet'!B50/10^9</f>
        <v>6.006679561956962</v>
      </c>
      <c r="C61" s="2">
        <f>C6*'Output-Calculation-sheet'!C50/10^9</f>
        <v>3.0678477927142045</v>
      </c>
      <c r="D61" s="2">
        <f>D6*'Output-Calculation-sheet'!D50/10^9</f>
        <v>2.3795830114413876</v>
      </c>
      <c r="E61" s="2">
        <f>E6*'Output-Calculation-sheet'!E50/10^9</f>
        <v>2.3446364241124935</v>
      </c>
      <c r="F61" s="2">
        <f>F6*'Output-Calculation-sheet'!F50/10^9</f>
        <v>0.97020064055571376</v>
      </c>
      <c r="G61" s="2">
        <f>G6*'Output-Calculation-sheet'!G50/10^9</f>
        <v>0.70660999421885895</v>
      </c>
      <c r="H61" s="2">
        <f>H6*'Output-Calculation-sheet'!H50/10^9</f>
        <v>0.97037854177010086</v>
      </c>
      <c r="I61" s="2">
        <f>I6*'Output-Calculation-sheet'!I50/10^9</f>
        <v>0.65316990409490105</v>
      </c>
      <c r="J61" s="2">
        <f>J6*'Output-Calculation-sheet'!J50/10^9</f>
        <v>0.94276091638074289</v>
      </c>
      <c r="K61" s="2">
        <f>K6*'Output-Calculation-sheet'!K50/10^9</f>
        <v>0.79152801482895874</v>
      </c>
      <c r="L61" s="2">
        <f>L6*'Output-Calculation-sheet'!L50/10^9</f>
        <v>1.1184415977512407</v>
      </c>
      <c r="M61" s="2">
        <f>M6*'Output-Calculation-sheet'!M50/10^9</f>
        <v>0.83775519381115382</v>
      </c>
      <c r="N61" s="2">
        <f>N6*'Output-Calculation-sheet'!N50/10^9</f>
        <v>0.73698312908078734</v>
      </c>
      <c r="O61" s="2">
        <f>O6*'Output-Calculation-sheet'!O50/10^9</f>
        <v>0.64212397354679007</v>
      </c>
      <c r="P61" s="2">
        <f>P6*'Output-Calculation-sheet'!P50/10^9</f>
        <v>0.50034786013914934</v>
      </c>
      <c r="Q61" s="2">
        <f>Q6*'Output-Calculation-sheet'!Q50/10^9</f>
        <v>0.57085020217510918</v>
      </c>
      <c r="R61" s="2">
        <f>R6*'Output-Calculation-sheet'!R50/10^9</f>
        <v>0.54988168257477299</v>
      </c>
      <c r="S61" s="2">
        <f>S6*'Output-Calculation-sheet'!S50/10^9</f>
        <v>0.35597879098283564</v>
      </c>
      <c r="T61" s="2">
        <f>T6*'Output-Calculation-sheet'!T50/10^9</f>
        <v>0.21568427554789607</v>
      </c>
      <c r="U61" s="2">
        <f>U6*'Output-Calculation-sheet'!U50/10^9</f>
        <v>0.14056676623689865</v>
      </c>
      <c r="V61" s="2">
        <f>V6*'Output-Calculation-sheet'!V50/10^9</f>
        <v>0.27362876839885003</v>
      </c>
      <c r="W61" s="2">
        <f>W6*'Output-Calculation-sheet'!W50/10^9</f>
        <v>9.4426300874296001E-2</v>
      </c>
      <c r="X61" s="2">
        <f>X6*'Output-Calculation-sheet'!X50/10^9</f>
        <v>8.4563644617174749E-2</v>
      </c>
      <c r="Y61" s="2">
        <f>Y6*'Output-Calculation-sheet'!Y50/10^9</f>
        <v>5.9386175293617081E-2</v>
      </c>
      <c r="AA61" s="2">
        <f t="shared" ref="AA61:AA67" si="4">SUM(B61:Y61)</f>
        <v>25.014013163104899</v>
      </c>
    </row>
    <row r="62" spans="1:27" x14ac:dyDescent="0.25">
      <c r="A62" s="2">
        <v>2030</v>
      </c>
      <c r="B62" s="2">
        <f>B7*'Output-Calculation-sheet'!B51/10^9</f>
        <v>6.733702450106116</v>
      </c>
      <c r="C62" s="2">
        <f>C7*'Output-Calculation-sheet'!C51/10^9</f>
        <v>3.8366875425677769</v>
      </c>
      <c r="D62" s="2">
        <f>D7*'Output-Calculation-sheet'!D51/10^9</f>
        <v>2.5268417495807158</v>
      </c>
      <c r="E62" s="2">
        <f>E7*'Output-Calculation-sheet'!E51/10^9</f>
        <v>2.4993539687678519</v>
      </c>
      <c r="F62" s="2">
        <f>F7*'Output-Calculation-sheet'!F51/10^9</f>
        <v>1.0445845901017792</v>
      </c>
      <c r="G62" s="2">
        <f>G7*'Output-Calculation-sheet'!G51/10^9</f>
        <v>0.75655247695157257</v>
      </c>
      <c r="H62" s="2">
        <f>H7*'Output-Calculation-sheet'!H51/10^9</f>
        <v>1.1491310351624409</v>
      </c>
      <c r="I62" s="2">
        <f>I7*'Output-Calculation-sheet'!I51/10^9</f>
        <v>0.70124087031936888</v>
      </c>
      <c r="J62" s="2">
        <f>J7*'Output-Calculation-sheet'!J51/10^9</f>
        <v>0.99179268185635017</v>
      </c>
      <c r="K62" s="2">
        <f>K7*'Output-Calculation-sheet'!K51/10^9</f>
        <v>0.84892564553811767</v>
      </c>
      <c r="L62" s="2">
        <f>L7*'Output-Calculation-sheet'!L51/10^9</f>
        <v>1.1746928017782103</v>
      </c>
      <c r="M62" s="2">
        <f>M7*'Output-Calculation-sheet'!M51/10^9</f>
        <v>0.9648830758963135</v>
      </c>
      <c r="N62" s="2">
        <f>N7*'Output-Calculation-sheet'!N51/10^9</f>
        <v>0.82427541372399371</v>
      </c>
      <c r="O62" s="2">
        <f>O7*'Output-Calculation-sheet'!O51/10^9</f>
        <v>0.80060479976121668</v>
      </c>
      <c r="P62" s="2">
        <f>P7*'Output-Calculation-sheet'!P51/10^9</f>
        <v>0.55229907908789821</v>
      </c>
      <c r="Q62" s="2">
        <f>Q7*'Output-Calculation-sheet'!Q51/10^9</f>
        <v>0.6302953017988443</v>
      </c>
      <c r="R62" s="2">
        <f>R7*'Output-Calculation-sheet'!R51/10^9</f>
        <v>0.59196267332375441</v>
      </c>
      <c r="S62" s="2">
        <f>S7*'Output-Calculation-sheet'!S51/10^9</f>
        <v>0.40329355649075088</v>
      </c>
      <c r="T62" s="2">
        <f>T7*'Output-Calculation-sheet'!T51/10^9</f>
        <v>0.22928555258156788</v>
      </c>
      <c r="U62" s="2">
        <f>U7*'Output-Calculation-sheet'!U51/10^9</f>
        <v>0.15285317284862843</v>
      </c>
      <c r="V62" s="2">
        <f>V7*'Output-Calculation-sheet'!V51/10^9</f>
        <v>0.28602722540606967</v>
      </c>
      <c r="W62" s="2">
        <f>W7*'Output-Calculation-sheet'!W51/10^9</f>
        <v>0.10071107838238301</v>
      </c>
      <c r="X62" s="2">
        <f>X7*'Output-Calculation-sheet'!X51/10^9</f>
        <v>0.10062643032748175</v>
      </c>
      <c r="Y62" s="2">
        <f>Y7*'Output-Calculation-sheet'!Y51/10^9</f>
        <v>6.4346635955916262E-2</v>
      </c>
      <c r="AA62" s="2">
        <f t="shared" si="4"/>
        <v>27.964969808315114</v>
      </c>
    </row>
    <row r="63" spans="1:27" x14ac:dyDescent="0.25">
      <c r="A63" s="2">
        <v>2031</v>
      </c>
      <c r="B63" s="2">
        <f>B8*'Output-Calculation-sheet'!B52/10^9</f>
        <v>7.1319255727389264</v>
      </c>
      <c r="C63" s="2">
        <f>C8*'Output-Calculation-sheet'!C52/10^9</f>
        <v>4.4976783876964159</v>
      </c>
      <c r="D63" s="2">
        <f>D8*'Output-Calculation-sheet'!D52/10^9</f>
        <v>2.4456735636341373</v>
      </c>
      <c r="E63" s="2">
        <f>E8*'Output-Calculation-sheet'!E52/10^9</f>
        <v>2.4316677672696132</v>
      </c>
      <c r="F63" s="2">
        <f>F8*'Output-Calculation-sheet'!F52/10^9</f>
        <v>1.0298119183473555</v>
      </c>
      <c r="G63" s="2">
        <f>G8*'Output-Calculation-sheet'!G52/10^9</f>
        <v>0.74038734797605565</v>
      </c>
      <c r="H63" s="2">
        <f>H8*'Output-Calculation-sheet'!H52/10^9</f>
        <v>1.2932699879345431</v>
      </c>
      <c r="I63" s="2">
        <f>I8*'Output-Calculation-sheet'!I52/10^9</f>
        <v>0.68873221772310267</v>
      </c>
      <c r="J63" s="2">
        <f>J8*'Output-Calculation-sheet'!J52/10^9</f>
        <v>0.94774314083705546</v>
      </c>
      <c r="K63" s="2">
        <f>K8*'Output-Calculation-sheet'!K52/10^9</f>
        <v>0.83267448764380558</v>
      </c>
      <c r="L63" s="2">
        <f>L8*'Output-Calculation-sheet'!L52/10^9</f>
        <v>1.1199856715233194</v>
      </c>
      <c r="M63" s="2">
        <f>M8*'Output-Calculation-sheet'!M52/10^9</f>
        <v>1.0497312231557208</v>
      </c>
      <c r="N63" s="2">
        <f>N8*'Output-Calculation-sheet'!N52/10^9</f>
        <v>0.87610399237834791</v>
      </c>
      <c r="O63" s="2">
        <f>O8*'Output-Calculation-sheet'!O52/10^9</f>
        <v>0.9342396709829488</v>
      </c>
      <c r="P63" s="2">
        <f>P8*'Output-Calculation-sheet'!P52/10^9</f>
        <v>0.57535666670928332</v>
      </c>
      <c r="Q63" s="2">
        <f>Q8*'Output-Calculation-sheet'!Q52/10^9</f>
        <v>0.65113158964340412</v>
      </c>
      <c r="R63" s="2">
        <f>R8*'Output-Calculation-sheet'!R52/10^9</f>
        <v>0.5845875718815795</v>
      </c>
      <c r="S63" s="2">
        <f>S8*'Output-Calculation-sheet'!S52/10^9</f>
        <v>0.4332026825638996</v>
      </c>
      <c r="T63" s="2">
        <f>T8*'Output-Calculation-sheet'!T52/10^9</f>
        <v>0.22225275118844967</v>
      </c>
      <c r="U63" s="2">
        <f>U8*'Output-Calculation-sheet'!U52/10^9</f>
        <v>0.15264071829760287</v>
      </c>
      <c r="V63" s="2">
        <f>V8*'Output-Calculation-sheet'!V52/10^9</f>
        <v>0.27090141048385141</v>
      </c>
      <c r="W63" s="2">
        <f>W8*'Output-Calculation-sheet'!W52/10^9</f>
        <v>9.8053808196590958E-2</v>
      </c>
      <c r="X63" s="2">
        <f>X8*'Output-Calculation-sheet'!X52/10^9</f>
        <v>0.11285767110075762</v>
      </c>
      <c r="Y63" s="2">
        <f>Y8*'Output-Calculation-sheet'!Y52/10^9</f>
        <v>6.3977320433141319E-2</v>
      </c>
      <c r="AA63" s="2">
        <f t="shared" si="4"/>
        <v>29.184587140339918</v>
      </c>
    </row>
    <row r="64" spans="1:27" x14ac:dyDescent="0.25">
      <c r="A64" s="2">
        <v>2032</v>
      </c>
      <c r="B64" s="2">
        <f>B9*'Output-Calculation-sheet'!B53/10^9</f>
        <v>7.2082968916856993</v>
      </c>
      <c r="C64" s="2">
        <f>C9*'Output-Calculation-sheet'!C53/10^9</f>
        <v>4.8665712354646145</v>
      </c>
      <c r="D64" s="2">
        <f>D9*'Output-Calculation-sheet'!D53/10^9</f>
        <v>2.1332217572769161</v>
      </c>
      <c r="E64" s="2">
        <f>E9*'Output-Calculation-sheet'!E53/10^9</f>
        <v>2.1845230845588235</v>
      </c>
      <c r="F64" s="2">
        <f>F9*'Output-Calculation-sheet'!F53/10^9</f>
        <v>0.9214189125491391</v>
      </c>
      <c r="G64" s="2">
        <f>G9*'Output-Calculation-sheet'!G53/10^9</f>
        <v>0.65583709805081847</v>
      </c>
      <c r="H64" s="2">
        <f>H9*'Output-Calculation-sheet'!H53/10^9</f>
        <v>1.3476500485332914</v>
      </c>
      <c r="I64" s="2">
        <f>I9*'Output-Calculation-sheet'!I53/10^9</f>
        <v>0.61310060100519226</v>
      </c>
      <c r="J64" s="2">
        <f>J9*'Output-Calculation-sheet'!J53/10^9</f>
        <v>0.81162141556677381</v>
      </c>
      <c r="K64" s="2">
        <f>K9*'Output-Calculation-sheet'!K53/10^9</f>
        <v>0.75307231545683861</v>
      </c>
      <c r="L64" s="2">
        <f>L9*'Output-Calculation-sheet'!L53/10^9</f>
        <v>0.9688212956023613</v>
      </c>
      <c r="M64" s="2">
        <f>M9*'Output-Calculation-sheet'!M53/10^9</f>
        <v>1.0561757577402939</v>
      </c>
      <c r="N64" s="2">
        <f>N9*'Output-Calculation-sheet'!N53/10^9</f>
        <v>0.88910734180179507</v>
      </c>
      <c r="O64" s="2">
        <f>O9*'Output-Calculation-sheet'!O53/10^9</f>
        <v>1.0065305187221831</v>
      </c>
      <c r="P64" s="2">
        <f>P9*'Output-Calculation-sheet'!P53/10^9</f>
        <v>0.57415681180492706</v>
      </c>
      <c r="Q64" s="2">
        <f>Q9*'Output-Calculation-sheet'!Q53/10^9</f>
        <v>0.63453962988133716</v>
      </c>
      <c r="R64" s="2">
        <f>R9*'Output-Calculation-sheet'!R53/10^9</f>
        <v>0.54394956923935667</v>
      </c>
      <c r="S64" s="2">
        <f>S9*'Output-Calculation-sheet'!S53/10^9</f>
        <v>0.44942319400925146</v>
      </c>
      <c r="T64" s="2">
        <f>T9*'Output-Calculation-sheet'!T53/10^9</f>
        <v>0.19553571188242205</v>
      </c>
      <c r="U64" s="2">
        <f>U9*'Output-Calculation-sheet'!U53/10^9</f>
        <v>0.14717558283465074</v>
      </c>
      <c r="V64" s="2">
        <f>V9*'Output-Calculation-sheet'!V53/10^9</f>
        <v>0.23208774808516372</v>
      </c>
      <c r="W64" s="2">
        <f>W9*'Output-Calculation-sheet'!W53/10^9</f>
        <v>8.6239623979129112E-2</v>
      </c>
      <c r="X64" s="2">
        <f>X9*'Output-Calculation-sheet'!X53/10^9</f>
        <v>0.1170562331124004</v>
      </c>
      <c r="Y64" s="2">
        <f>Y9*'Output-Calculation-sheet'!Y53/10^9</f>
        <v>6.0422285006682452E-2</v>
      </c>
      <c r="AA64" s="2">
        <f t="shared" si="4"/>
        <v>28.456534663850064</v>
      </c>
    </row>
    <row r="65" spans="1:27" x14ac:dyDescent="0.25">
      <c r="A65" s="2">
        <v>2033</v>
      </c>
      <c r="B65" s="2">
        <f>B10*'Output-Calculation-sheet'!B54/10^9</f>
        <v>7.2757958302907895</v>
      </c>
      <c r="C65" s="2">
        <f>C10*'Output-Calculation-sheet'!C54/10^9</f>
        <v>5.1692108635945608</v>
      </c>
      <c r="D65" s="2">
        <f>D10*'Output-Calculation-sheet'!D54/10^9</f>
        <v>1.7189049267851624</v>
      </c>
      <c r="E65" s="2">
        <f>E10*'Output-Calculation-sheet'!E54/10^9</f>
        <v>1.9354672910005812</v>
      </c>
      <c r="F65" s="2">
        <f>F10*'Output-Calculation-sheet'!F54/10^9</f>
        <v>0.78576659846090036</v>
      </c>
      <c r="G65" s="2">
        <f>G10*'Output-Calculation-sheet'!G54/10^9</f>
        <v>0.53949984613263602</v>
      </c>
      <c r="H65" s="2">
        <f>H10*'Output-Calculation-sheet'!H54/10^9</f>
        <v>1.3332601028895985</v>
      </c>
      <c r="I65" s="2">
        <f>I10*'Output-Calculation-sheet'!I54/10^9</f>
        <v>0.52532551080760992</v>
      </c>
      <c r="J65" s="2">
        <f>J10*'Output-Calculation-sheet'!J54/10^9</f>
        <v>0.62788115273642775</v>
      </c>
      <c r="K65" s="2">
        <f>K10*'Output-Calculation-sheet'!K54/10^9</f>
        <v>0.66986601729784112</v>
      </c>
      <c r="L65" s="2">
        <f>L10*'Output-Calculation-sheet'!L54/10^9</f>
        <v>0.79125264753704161</v>
      </c>
      <c r="M65" s="2">
        <f>M10*'Output-Calculation-sheet'!M54/10^9</f>
        <v>1.006708221058477</v>
      </c>
      <c r="N65" s="2">
        <f>N10*'Output-Calculation-sheet'!N54/10^9</f>
        <v>0.86931904070014676</v>
      </c>
      <c r="O65" s="2">
        <f>O10*'Output-Calculation-sheet'!O54/10^9</f>
        <v>1.0660436628019132</v>
      </c>
      <c r="P65" s="2">
        <f>P10*'Output-Calculation-sheet'!P54/10^9</f>
        <v>0.56679426562767421</v>
      </c>
      <c r="Q65" s="2">
        <f>Q10*'Output-Calculation-sheet'!Q54/10^9</f>
        <v>0.61848196727048044</v>
      </c>
      <c r="R65" s="2">
        <f>R10*'Output-Calculation-sheet'!R54/10^9</f>
        <v>0.49898989722148279</v>
      </c>
      <c r="S65" s="2">
        <f>S10*'Output-Calculation-sheet'!S54/10^9</f>
        <v>0.45325296163693263</v>
      </c>
      <c r="T65" s="2">
        <f>T10*'Output-Calculation-sheet'!T54/10^9</f>
        <v>0.16683459806129458</v>
      </c>
      <c r="U65" s="2">
        <f>U10*'Output-Calculation-sheet'!U54/10^9</f>
        <v>0.14406266357872421</v>
      </c>
      <c r="V65" s="2">
        <f>V10*'Output-Calculation-sheet'!V54/10^9</f>
        <v>0.18462766565455035</v>
      </c>
      <c r="W65" s="2">
        <f>W10*'Output-Calculation-sheet'!W54/10^9</f>
        <v>7.0294696471773055E-2</v>
      </c>
      <c r="X65" s="2">
        <f>X10*'Output-Calculation-sheet'!X54/10^9</f>
        <v>0.11578061672506906</v>
      </c>
      <c r="Y65" s="2">
        <f>Y10*'Output-Calculation-sheet'!Y54/10^9</f>
        <v>5.7856303056009264E-2</v>
      </c>
      <c r="AA65" s="2">
        <f t="shared" si="4"/>
        <v>27.191277347397676</v>
      </c>
    </row>
    <row r="66" spans="1:27" x14ac:dyDescent="0.25">
      <c r="A66" s="2">
        <v>2034</v>
      </c>
      <c r="B66" s="2">
        <f>B11*'Output-Calculation-sheet'!B55/10^9</f>
        <v>7.3114210640392612</v>
      </c>
      <c r="C66" s="2">
        <f>C11*'Output-Calculation-sheet'!C55/10^9</f>
        <v>5.545139721919</v>
      </c>
      <c r="D66" s="2">
        <f>D11*'Output-Calculation-sheet'!D55/10^9</f>
        <v>1.5294452694300296</v>
      </c>
      <c r="E66" s="2">
        <f>E11*'Output-Calculation-sheet'!E55/10^9</f>
        <v>1.8518901495998232</v>
      </c>
      <c r="F66" s="2">
        <f>F11*'Output-Calculation-sheet'!F55/10^9</f>
        <v>0.71171240070418051</v>
      </c>
      <c r="G66" s="2">
        <f>G11*'Output-Calculation-sheet'!G55/10^9</f>
        <v>0.50873379624160553</v>
      </c>
      <c r="H66" s="2">
        <f>H11*'Output-Calculation-sheet'!H55/10^9</f>
        <v>1.3064035414826818</v>
      </c>
      <c r="I66" s="2">
        <f>I11*'Output-Calculation-sheet'!I55/10^9</f>
        <v>0.49751010148877223</v>
      </c>
      <c r="J66" s="2">
        <f>J11*'Output-Calculation-sheet'!J55/10^9</f>
        <v>0.51159578381515225</v>
      </c>
      <c r="K66" s="2">
        <f>K11*'Output-Calculation-sheet'!K55/10^9</f>
        <v>0.61186150968464592</v>
      </c>
      <c r="L66" s="2">
        <f>L11*'Output-Calculation-sheet'!L55/10^9</f>
        <v>0.64798965328233349</v>
      </c>
      <c r="M66" s="2">
        <f>M11*'Output-Calculation-sheet'!M55/10^9</f>
        <v>0.94223303488998544</v>
      </c>
      <c r="N66" s="2">
        <f>N11*'Output-Calculation-sheet'!N55/10^9</f>
        <v>0.82326118458551079</v>
      </c>
      <c r="O66" s="2">
        <f>O11*'Output-Calculation-sheet'!O55/10^9</f>
        <v>1.1040934892042846</v>
      </c>
      <c r="P66" s="2">
        <f>P11*'Output-Calculation-sheet'!P55/10^9</f>
        <v>0.56591004044280402</v>
      </c>
      <c r="Q66" s="2">
        <f>Q11*'Output-Calculation-sheet'!Q55/10^9</f>
        <v>0.61780377878246717</v>
      </c>
      <c r="R66" s="2">
        <f>R11*'Output-Calculation-sheet'!R55/10^9</f>
        <v>0.45835824461201607</v>
      </c>
      <c r="S66" s="2">
        <f>S11*'Output-Calculation-sheet'!S55/10^9</f>
        <v>0.45100046080899281</v>
      </c>
      <c r="T66" s="2">
        <f>T11*'Output-Calculation-sheet'!T55/10^9</f>
        <v>0.14367659753016848</v>
      </c>
      <c r="U66" s="2">
        <f>U11*'Output-Calculation-sheet'!U55/10^9</f>
        <v>0.14669463016086984</v>
      </c>
      <c r="V66" s="2">
        <f>V11*'Output-Calculation-sheet'!V55/10^9</f>
        <v>0.1363019097171258</v>
      </c>
      <c r="W66" s="2">
        <f>W11*'Output-Calculation-sheet'!W55/10^9</f>
        <v>6.1712351991975535E-2</v>
      </c>
      <c r="X66" s="2">
        <f>X11*'Output-Calculation-sheet'!X55/10^9</f>
        <v>0.11711813549818277</v>
      </c>
      <c r="Y66" s="2">
        <f>Y11*'Output-Calculation-sheet'!Y55/10^9</f>
        <v>6.0558358488364251E-2</v>
      </c>
      <c r="AA66" s="2">
        <f t="shared" si="4"/>
        <v>26.662425208400229</v>
      </c>
    </row>
    <row r="67" spans="1:27" x14ac:dyDescent="0.25">
      <c r="A67" s="2">
        <v>2035</v>
      </c>
      <c r="B67" s="2">
        <f>B12*'Output-Calculation-sheet'!B56/10^9</f>
        <v>7.9057061056940077</v>
      </c>
      <c r="C67" s="2">
        <f>C12*'Output-Calculation-sheet'!C56/10^9</f>
        <v>5.7300736284350675</v>
      </c>
      <c r="D67" s="2">
        <f>D12*'Output-Calculation-sheet'!D56/10^9</f>
        <v>1.7932014230934632</v>
      </c>
      <c r="E67" s="2">
        <f>E12*'Output-Calculation-sheet'!E56/10^9</f>
        <v>2.1345047801010231</v>
      </c>
      <c r="F67" s="2">
        <f>F12*'Output-Calculation-sheet'!F56/10^9</f>
        <v>0.87358999097430967</v>
      </c>
      <c r="G67" s="2">
        <f>G12*'Output-Calculation-sheet'!G56/10^9</f>
        <v>0.61404478410700003</v>
      </c>
      <c r="H67" s="2">
        <f>H12*'Output-Calculation-sheet'!H56/10^9</f>
        <v>1.4020009731270071</v>
      </c>
      <c r="I67" s="2">
        <f>I12*'Output-Calculation-sheet'!I56/10^9</f>
        <v>0.61491707917921812</v>
      </c>
      <c r="J67" s="2">
        <f>J12*'Output-Calculation-sheet'!J56/10^9</f>
        <v>0.55631572577813537</v>
      </c>
      <c r="K67" s="2">
        <f>K12*'Output-Calculation-sheet'!K56/10^9</f>
        <v>0.69043558258945625</v>
      </c>
      <c r="L67" s="2">
        <f>L12*'Output-Calculation-sheet'!L56/10^9</f>
        <v>0.64341134216967333</v>
      </c>
      <c r="M67" s="2">
        <f>M12*'Output-Calculation-sheet'!M56/10^9</f>
        <v>0.98886578371453004</v>
      </c>
      <c r="N67" s="2">
        <f>N12*'Output-Calculation-sheet'!N56/10^9</f>
        <v>0.84075206239763411</v>
      </c>
      <c r="O67" s="2">
        <f>O12*'Output-Calculation-sheet'!O56/10^9</f>
        <v>1.1068723266147262</v>
      </c>
      <c r="P67" s="2">
        <f>P12*'Output-Calculation-sheet'!P56/10^9</f>
        <v>0.64911871206976568</v>
      </c>
      <c r="Q67" s="2">
        <f>Q12*'Output-Calculation-sheet'!Q56/10^9</f>
        <v>0.65565091618942972</v>
      </c>
      <c r="R67" s="2">
        <f>R12*'Output-Calculation-sheet'!R56/10^9</f>
        <v>0.5006460411879452</v>
      </c>
      <c r="S67" s="2">
        <f>S12*'Output-Calculation-sheet'!S56/10^9</f>
        <v>0.47876286693766867</v>
      </c>
      <c r="T67" s="2">
        <f>T12*'Output-Calculation-sheet'!T56/10^9</f>
        <v>0.15227584678271089</v>
      </c>
      <c r="U67" s="2">
        <f>U12*'Output-Calculation-sheet'!U56/10^9</f>
        <v>0.17319928765422818</v>
      </c>
      <c r="V67" s="2">
        <f>V12*'Output-Calculation-sheet'!V56/10^9</f>
        <v>0.11674551590531144</v>
      </c>
      <c r="W67" s="2">
        <f>W12*'Output-Calculation-sheet'!W56/10^9</f>
        <v>7.5609746970313613E-2</v>
      </c>
      <c r="X67" s="2">
        <f>X12*'Output-Calculation-sheet'!X56/10^9</f>
        <v>0.12383744080222439</v>
      </c>
      <c r="Y67" s="2">
        <f>Y12*'Output-Calculation-sheet'!Y56/10^9</f>
        <v>7.1052874262524796E-2</v>
      </c>
      <c r="AA67" s="2">
        <f t="shared" si="4"/>
        <v>28.891590836737368</v>
      </c>
    </row>
    <row r="68" spans="1:27" x14ac:dyDescent="0.25">
      <c r="B68" s="2">
        <f>SUM(B60:B67)</f>
        <v>54.467202663678414</v>
      </c>
      <c r="C68" s="2">
        <f t="shared" ref="C68:Y68" si="5">SUM(C60:C67)</f>
        <v>35.124091560626702</v>
      </c>
      <c r="D68" s="2">
        <f t="shared" si="5"/>
        <v>16.547508320739407</v>
      </c>
      <c r="E68" s="2">
        <f t="shared" si="5"/>
        <v>17.366904039611658</v>
      </c>
      <c r="F68" s="2">
        <f t="shared" si="5"/>
        <v>7.1518410227105234</v>
      </c>
      <c r="G68" s="2">
        <f t="shared" si="5"/>
        <v>5.1177468557990888</v>
      </c>
      <c r="H68" s="2">
        <f t="shared" si="5"/>
        <v>9.587310832777078</v>
      </c>
      <c r="I68" s="2">
        <f t="shared" si="5"/>
        <v>4.8437884556322643</v>
      </c>
      <c r="J68" s="2">
        <f t="shared" si="5"/>
        <v>6.1961654999784823</v>
      </c>
      <c r="K68" s="2">
        <f t="shared" si="5"/>
        <v>5.8651583978499024</v>
      </c>
      <c r="L68" s="2">
        <f t="shared" si="5"/>
        <v>7.4225459921841539</v>
      </c>
      <c r="M68" s="2">
        <f t="shared" si="5"/>
        <v>7.5354158169913372</v>
      </c>
      <c r="N68" s="2">
        <f t="shared" si="5"/>
        <v>6.4615105454271164</v>
      </c>
      <c r="O68" s="2">
        <f t="shared" si="5"/>
        <v>7.1646396171105806</v>
      </c>
      <c r="P68" s="2">
        <f t="shared" si="5"/>
        <v>4.3955484871972894</v>
      </c>
      <c r="Q68" s="2">
        <f t="shared" si="5"/>
        <v>4.8490794411547178</v>
      </c>
      <c r="R68" s="2">
        <f t="shared" si="5"/>
        <v>4.1902051128927589</v>
      </c>
      <c r="S68" s="2">
        <f t="shared" si="5"/>
        <v>3.3134190786473825</v>
      </c>
      <c r="T68" s="2">
        <f t="shared" si="5"/>
        <v>1.5085339223467855</v>
      </c>
      <c r="U68" s="2">
        <f t="shared" si="5"/>
        <v>1.1742810393141547</v>
      </c>
      <c r="V68" s="2">
        <f t="shared" si="5"/>
        <v>1.735549304288877</v>
      </c>
      <c r="W68" s="2">
        <f t="shared" si="5"/>
        <v>0.66695043542569898</v>
      </c>
      <c r="X68" s="2">
        <f t="shared" si="5"/>
        <v>0.8402254698473911</v>
      </c>
      <c r="Y68" s="2">
        <f t="shared" si="5"/>
        <v>0.48721299491068193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2408.2822971099854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457.77139803878424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312.85658932672447</v>
      </c>
      <c r="N73" s="2">
        <f>N7/'Output-Calculation-sheet'!N6*'Output-Calculation-sheet'!N60</f>
        <v>0</v>
      </c>
      <c r="O73" s="2">
        <f>O7/'Output-Calculation-sheet'!O6*'Output-Calculation-sheet'!O60</f>
        <v>482.96120358001235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41.690610134682025</v>
      </c>
      <c r="Y73" s="2">
        <f>Y7/'Output-Calculation-sheet'!Y6*'Output-Calculation-sheet'!Y60</f>
        <v>0</v>
      </c>
      <c r="AA73" s="2">
        <f t="shared" si="6"/>
        <v>3.7035620981901887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5913.236915071906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1427.2846402993594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956.42362398502883</v>
      </c>
      <c r="N74" s="2">
        <f>N8/'Output-Calculation-sheet'!N7*'Output-Calculation-sheet'!N61</f>
        <v>40.085405080282882</v>
      </c>
      <c r="O74" s="2">
        <f>O8/'Output-Calculation-sheet'!O7*'Output-Calculation-sheet'!O61</f>
        <v>1181.9882094667519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118.8493722165297</v>
      </c>
      <c r="Y74" s="2">
        <f>Y8/'Output-Calculation-sheet'!Y7*'Output-Calculation-sheet'!Y61</f>
        <v>0</v>
      </c>
      <c r="AA74" s="2">
        <f t="shared" si="6"/>
        <v>9.6378681661198584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9612.5187039458669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2382.1638785187379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1618.5534765777943</v>
      </c>
      <c r="N75" s="2">
        <f>N9/'Output-Calculation-sheet'!N8*'Output-Calculation-sheet'!N62</f>
        <v>623.28189087254748</v>
      </c>
      <c r="O75" s="2">
        <f>O9/'Output-Calculation-sheet'!O8*'Output-Calculation-sheet'!O62</f>
        <v>1900.085261541097</v>
      </c>
      <c r="P75" s="2">
        <f>P9/'Output-Calculation-sheet'!P8*'Output-Calculation-sheet'!P62</f>
        <v>41.882861816090752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209.62312199451318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195.54217816694015</v>
      </c>
      <c r="Y75" s="2">
        <f>Y9/'Output-Calculation-sheet'!Y8*'Output-Calculation-sheet'!Y62</f>
        <v>0</v>
      </c>
      <c r="AA75" s="2">
        <f t="shared" si="6"/>
        <v>16.583651373433586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12351.388396766055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3325.306301807505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2264.0362235917069</v>
      </c>
      <c r="N76" s="2">
        <f>N10/'Output-Calculation-sheet'!N9*'Output-Calculation-sheet'!N63</f>
        <v>1293.4625863855342</v>
      </c>
      <c r="O76" s="2">
        <f>O10/'Output-Calculation-sheet'!O9*'Output-Calculation-sheet'!O63</f>
        <v>2228.3437846217303</v>
      </c>
      <c r="P76" s="2">
        <f>P10/'Output-Calculation-sheet'!P9*'Output-Calculation-sheet'!P63</f>
        <v>449.14940328861354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340.96185032229783</v>
      </c>
      <c r="S76" s="2">
        <f>S10/'Output-Calculation-sheet'!S9*'Output-Calculation-sheet'!S63</f>
        <v>574.54622794777595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120.97084349923639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266.63217364949793</v>
      </c>
      <c r="Y76" s="2">
        <f>Y10/'Output-Calculation-sheet'!Y9*'Output-Calculation-sheet'!Y63</f>
        <v>5.0583541914109285</v>
      </c>
      <c r="AA76" s="2">
        <f t="shared" si="6"/>
        <v>28.630784069963376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12207.211460826673</v>
      </c>
      <c r="D77" s="2">
        <f>D11/'Output-Calculation-sheet'!D10*'Output-Calculation-sheet'!D64</f>
        <v>1511.039528071319</v>
      </c>
      <c r="E77" s="2">
        <f>E11/'Output-Calculation-sheet'!E10*'Output-Calculation-sheet'!E64</f>
        <v>1838.1417020628862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788.00178431030906</v>
      </c>
      <c r="H77" s="2">
        <f>H11/'Output-Calculation-sheet'!H10*'Output-Calculation-sheet'!H64</f>
        <v>4186.7916470842292</v>
      </c>
      <c r="I77" s="2">
        <f>I11/'Output-Calculation-sheet'!I10*'Output-Calculation-sheet'!I64</f>
        <v>466.92984297443712</v>
      </c>
      <c r="J77" s="2">
        <f>J11/'Output-Calculation-sheet'!J10*'Output-Calculation-sheet'!J64</f>
        <v>335.63468941887186</v>
      </c>
      <c r="K77" s="2">
        <f>K11/'Output-Calculation-sheet'!K10*'Output-Calculation-sheet'!K64</f>
        <v>702.60813898492256</v>
      </c>
      <c r="L77" s="2">
        <f>L11/'Output-Calculation-sheet'!L10*'Output-Calculation-sheet'!L64</f>
        <v>307.17018901336894</v>
      </c>
      <c r="M77" s="2">
        <f>M11/'Output-Calculation-sheet'!M10*'Output-Calculation-sheet'!M64</f>
        <v>2805.9760375140991</v>
      </c>
      <c r="N77" s="2">
        <f>N11/'Output-Calculation-sheet'!N10*'Output-Calculation-sheet'!N64</f>
        <v>1975.5635799964862</v>
      </c>
      <c r="O77" s="2">
        <f>O11/'Output-Calculation-sheet'!O10*'Output-Calculation-sheet'!O64</f>
        <v>2288.3050836513175</v>
      </c>
      <c r="P77" s="2">
        <f>P11/'Output-Calculation-sheet'!P10*'Output-Calculation-sheet'!P64</f>
        <v>871.97441106885799</v>
      </c>
      <c r="Q77" s="2">
        <f>Q11/'Output-Calculation-sheet'!Q10*'Output-Calculation-sheet'!Q64</f>
        <v>784.43736621384573</v>
      </c>
      <c r="R77" s="2">
        <f>R11/'Output-Calculation-sheet'!R10*'Output-Calculation-sheet'!R64</f>
        <v>746.1822831243378</v>
      </c>
      <c r="S77" s="2">
        <f>S11/'Output-Calculation-sheet'!S10*'Output-Calculation-sheet'!S64</f>
        <v>993.45191354416431</v>
      </c>
      <c r="T77" s="2">
        <f>T11/'Output-Calculation-sheet'!T10*'Output-Calculation-sheet'!T64</f>
        <v>206.81611116938842</v>
      </c>
      <c r="U77" s="2">
        <f>U11/'Output-Calculation-sheet'!U10*'Output-Calculation-sheet'!U64</f>
        <v>282.99466523274816</v>
      </c>
      <c r="V77" s="2">
        <f>V11/'Output-Calculation-sheet'!V10*'Output-Calculation-sheet'!V64</f>
        <v>108.75356269806858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289.37593239080206</v>
      </c>
      <c r="Y77" s="2">
        <f>Y11/'Output-Calculation-sheet'!Y10*'Output-Calculation-sheet'!Y64</f>
        <v>68.308829178245205</v>
      </c>
      <c r="AA77" s="2">
        <f t="shared" si="6"/>
        <v>46.011886865755258</v>
      </c>
    </row>
    <row r="78" spans="1:27" x14ac:dyDescent="0.25">
      <c r="A78" s="2">
        <v>2035</v>
      </c>
      <c r="B78" s="2">
        <f>B12/'Output-Calculation-sheet'!B11*'Output-Calculation-sheet'!B65</f>
        <v>16908.131953710898</v>
      </c>
      <c r="C78" s="2">
        <f>C12/'Output-Calculation-sheet'!C11*'Output-Calculation-sheet'!C65</f>
        <v>11914.845563092391</v>
      </c>
      <c r="D78" s="2">
        <f>D12/'Output-Calculation-sheet'!D11*'Output-Calculation-sheet'!D65</f>
        <v>3883.6585246947361</v>
      </c>
      <c r="E78" s="2">
        <f>E12/'Output-Calculation-sheet'!E11*'Output-Calculation-sheet'!E65</f>
        <v>3884.7301684718896</v>
      </c>
      <c r="F78" s="2">
        <f>F12/'Output-Calculation-sheet'!F11*'Output-Calculation-sheet'!F65</f>
        <v>901.8292129852349</v>
      </c>
      <c r="G78" s="2">
        <f>G12/'Output-Calculation-sheet'!G11*'Output-Calculation-sheet'!G65</f>
        <v>1344.2760659178666</v>
      </c>
      <c r="H78" s="2">
        <f>H12/'Output-Calculation-sheet'!H11*'Output-Calculation-sheet'!H65</f>
        <v>4308.1905356048337</v>
      </c>
      <c r="I78" s="2">
        <f>I12/'Output-Calculation-sheet'!I11*'Output-Calculation-sheet'!I65</f>
        <v>1193.3672108037827</v>
      </c>
      <c r="J78" s="2">
        <f>J12/'Output-Calculation-sheet'!J11*'Output-Calculation-sheet'!J65</f>
        <v>1061.6580983427791</v>
      </c>
      <c r="K78" s="2">
        <f>K12/'Output-Calculation-sheet'!K11*'Output-Calculation-sheet'!K65</f>
        <v>1415.1975819863653</v>
      </c>
      <c r="L78" s="2">
        <f>L12/'Output-Calculation-sheet'!L11*'Output-Calculation-sheet'!L65</f>
        <v>932.19767751340839</v>
      </c>
      <c r="M78" s="2">
        <f>M12/'Output-Calculation-sheet'!M11*'Output-Calculation-sheet'!M65</f>
        <v>3008.6375664107072</v>
      </c>
      <c r="N78" s="2">
        <f>N12/'Output-Calculation-sheet'!N11*'Output-Calculation-sheet'!N65</f>
        <v>2148.3870571290786</v>
      </c>
      <c r="O78" s="2">
        <f>O12/'Output-Calculation-sheet'!O11*'Output-Calculation-sheet'!O65</f>
        <v>2177.0563825176318</v>
      </c>
      <c r="P78" s="2">
        <f>P12/'Output-Calculation-sheet'!P11*'Output-Calculation-sheet'!P65</f>
        <v>1189.7969983201019</v>
      </c>
      <c r="Q78" s="2">
        <f>Q12/'Output-Calculation-sheet'!Q11*'Output-Calculation-sheet'!Q65</f>
        <v>1153.4897370711933</v>
      </c>
      <c r="R78" s="2">
        <f>R12/'Output-Calculation-sheet'!R11*'Output-Calculation-sheet'!R65</f>
        <v>1046.4136112079207</v>
      </c>
      <c r="S78" s="2">
        <f>S12/'Output-Calculation-sheet'!S11*'Output-Calculation-sheet'!S65</f>
        <v>1170.5926132785935</v>
      </c>
      <c r="T78" s="2">
        <f>T12/'Output-Calculation-sheet'!T11*'Output-Calculation-sheet'!T65</f>
        <v>364.66490690519589</v>
      </c>
      <c r="U78" s="2">
        <f>U12/'Output-Calculation-sheet'!U11*'Output-Calculation-sheet'!U65</f>
        <v>333.4355537023406</v>
      </c>
      <c r="V78" s="2">
        <f>V12/'Output-Calculation-sheet'!V11*'Output-Calculation-sheet'!V65</f>
        <v>190.84711158551127</v>
      </c>
      <c r="W78" s="2">
        <f>W12/'Output-Calculation-sheet'!W11*'Output-Calculation-sheet'!W65</f>
        <v>127.02547323580792</v>
      </c>
      <c r="X78" s="2">
        <f>X12/'Output-Calculation-sheet'!X11*'Output-Calculation-sheet'!X65</f>
        <v>288.9836025541743</v>
      </c>
      <c r="Y78" s="2">
        <f>Y12/'Output-Calculation-sheet'!Y11*'Output-Calculation-sheet'!Y65</f>
        <v>133.6339217698596</v>
      </c>
      <c r="AA78" s="2">
        <f t="shared" si="6"/>
        <v>61.081047128812294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36.56529269252858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3.6565292692528582E-2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460.94867086662566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107.45991141615522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0.56840858228278091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962.40574222932605</v>
      </c>
      <c r="D89" s="2">
        <f>D12/'Output-Calculation-sheet'!D11*'Output-Calculation-sheet'!D74</f>
        <v>77.502664631704974</v>
      </c>
      <c r="E89" s="2">
        <f>E12/'Output-Calculation-sheet'!E11*'Output-Calculation-sheet'!E74</f>
        <v>61.593945908861414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80.797762011068272</v>
      </c>
      <c r="I89" s="2">
        <f>I12/'Output-Calculation-sheet'!I11*'Output-Calculation-sheet'!I74</f>
        <v>25.006123060238934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24.577082803417131</v>
      </c>
      <c r="L89" s="2">
        <f>L12/'Output-Calculation-sheet'!L11*'Output-Calculation-sheet'!L74</f>
        <v>19.542518553351258</v>
      </c>
      <c r="M89" s="2">
        <f>M12/'Output-Calculation-sheet'!M11*'Output-Calculation-sheet'!M74</f>
        <v>55.596766777328185</v>
      </c>
      <c r="N89" s="2">
        <f>N12/'Output-Calculation-sheet'!N11*'Output-Calculation-sheet'!N74</f>
        <v>36.428467026631033</v>
      </c>
      <c r="O89" s="2">
        <f>O12/'Output-Calculation-sheet'!O11*'Output-Calculation-sheet'!O74</f>
        <v>220.96400750083319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31.916817339859524</v>
      </c>
      <c r="R89" s="2">
        <f>R12/'Output-Calculation-sheet'!R11*'Output-Calculation-sheet'!R74</f>
        <v>15.825737832275991</v>
      </c>
      <c r="S89" s="2">
        <f>S12/'Output-Calculation-sheet'!S11*'Output-Calculation-sheet'!S74</f>
        <v>20.881998185409508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10.183414888749979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8.1321364969094514</v>
      </c>
      <c r="Y89" s="2">
        <f>Y12/'Output-Calculation-sheet'!Y11*'Output-Calculation-sheet'!Y74</f>
        <v>3.9238312760918341</v>
      </c>
      <c r="AA89" s="2">
        <f t="shared" si="7"/>
        <v>2.1898813476642411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2295394661.6411529</v>
      </c>
      <c r="C93" s="2">
        <f>C5/'Output-Calculation-sheet'!C4*'Output-Calculation-sheet'!C76</f>
        <v>886629978.52118313</v>
      </c>
      <c r="D93" s="2">
        <f>D5/'Output-Calculation-sheet'!D4*'Output-Calculation-sheet'!D76</f>
        <v>750288900.03296638</v>
      </c>
      <c r="E93" s="2">
        <f>E5/'Output-Calculation-sheet'!E4*'Output-Calculation-sheet'!E76</f>
        <v>1001851946.8046561</v>
      </c>
      <c r="F93" s="2">
        <f>F5/'Output-Calculation-sheet'!F4*'Output-Calculation-sheet'!F76</f>
        <v>557195977.8171823</v>
      </c>
      <c r="G93" s="2">
        <f>G5/'Output-Calculation-sheet'!G4*'Output-Calculation-sheet'!G76</f>
        <v>315319599.72482306</v>
      </c>
      <c r="H93" s="2">
        <f>H5/'Output-Calculation-sheet'!H4*'Output-Calculation-sheet'!H76</f>
        <v>351043895.80949432</v>
      </c>
      <c r="I93" s="2">
        <f>I5/'Output-Calculation-sheet'!I4*'Output-Calculation-sheet'!I76</f>
        <v>328746807.94320774</v>
      </c>
      <c r="J93" s="2">
        <f>J5/'Output-Calculation-sheet'!J4*'Output-Calculation-sheet'!J76</f>
        <v>182404918.58677039</v>
      </c>
      <c r="K93" s="2">
        <f>K5/'Output-Calculation-sheet'!K4*'Output-Calculation-sheet'!K76</f>
        <v>317576672.51490772</v>
      </c>
      <c r="L93" s="2">
        <f>L5/'Output-Calculation-sheet'!L4*'Output-Calculation-sheet'!L76</f>
        <v>221270789.88999283</v>
      </c>
      <c r="M93" s="2">
        <f>M5/'Output-Calculation-sheet'!M4*'Output-Calculation-sheet'!M76</f>
        <v>235857309.23641589</v>
      </c>
      <c r="N93" s="2">
        <f>N5/'Output-Calculation-sheet'!N4*'Output-Calculation-sheet'!N76</f>
        <v>166064388.48300079</v>
      </c>
      <c r="O93" s="2">
        <f>O5/'Output-Calculation-sheet'!O4*'Output-Calculation-sheet'!O76</f>
        <v>113941344.44077416</v>
      </c>
      <c r="P93" s="2">
        <f>P5/'Output-Calculation-sheet'!P4*'Output-Calculation-sheet'!P76</f>
        <v>301278532.11711043</v>
      </c>
      <c r="Q93" s="2">
        <f>Q5/'Output-Calculation-sheet'!Q4*'Output-Calculation-sheet'!Q76</f>
        <v>146967428.45187548</v>
      </c>
      <c r="R93" s="2">
        <f>R5/'Output-Calculation-sheet'!R4*'Output-Calculation-sheet'!R76</f>
        <v>201269689.49238086</v>
      </c>
      <c r="S93" s="2">
        <f>S5/'Output-Calculation-sheet'!S4*'Output-Calculation-sheet'!S76</f>
        <v>124584704.17194733</v>
      </c>
      <c r="T93" s="2">
        <f>T5/'Output-Calculation-sheet'!T4*'Output-Calculation-sheet'!T76</f>
        <v>84096677.581458777</v>
      </c>
      <c r="U93" s="2">
        <f>U5/'Output-Calculation-sheet'!U4*'Output-Calculation-sheet'!U76</f>
        <v>75795970.631908521</v>
      </c>
      <c r="V93" s="2">
        <f>V5/'Output-Calculation-sheet'!V4*'Output-Calculation-sheet'!V76</f>
        <v>45292368.237013929</v>
      </c>
      <c r="W93" s="2">
        <f>W5/'Output-Calculation-sheet'!W4*'Output-Calculation-sheet'!W76</f>
        <v>64651404.036595337</v>
      </c>
      <c r="X93" s="2">
        <f>X5/'Output-Calculation-sheet'!X4*'Output-Calculation-sheet'!X76</f>
        <v>27017089.356088009</v>
      </c>
      <c r="Y93" s="2">
        <f>Y5/'Output-Calculation-sheet'!Y4*'Output-Calculation-sheet'!Y76</f>
        <v>33424439.310273807</v>
      </c>
      <c r="AA93" s="2">
        <f>SUM(B93:Y93)/10^9</f>
        <v>8.8279654948331814</v>
      </c>
    </row>
    <row r="94" spans="1:27" x14ac:dyDescent="0.25">
      <c r="A94" s="2">
        <v>2029</v>
      </c>
      <c r="B94" s="2">
        <f>B6/'Output-Calculation-sheet'!B5*'Output-Calculation-sheet'!B77</f>
        <v>6385099023.398016</v>
      </c>
      <c r="C94" s="2">
        <f>C6/'Output-Calculation-sheet'!C5*'Output-Calculation-sheet'!C77</f>
        <v>2558112902.8885493</v>
      </c>
      <c r="D94" s="2">
        <f>D6/'Output-Calculation-sheet'!D5*'Output-Calculation-sheet'!D77</f>
        <v>2097185884.1158762</v>
      </c>
      <c r="E94" s="2">
        <f>E6/'Output-Calculation-sheet'!E5*'Output-Calculation-sheet'!E77</f>
        <v>2667047561.9578991</v>
      </c>
      <c r="F94" s="2">
        <f>F6/'Output-Calculation-sheet'!F5*'Output-Calculation-sheet'!F77</f>
        <v>1529186181.8053005</v>
      </c>
      <c r="G94" s="2">
        <f>G6/'Output-Calculation-sheet'!G5*'Output-Calculation-sheet'!G77</f>
        <v>824288938.39204693</v>
      </c>
      <c r="H94" s="2">
        <f>H6/'Output-Calculation-sheet'!H5*'Output-Calculation-sheet'!H77</f>
        <v>965090907.94780684</v>
      </c>
      <c r="I94" s="2">
        <f>I6/'Output-Calculation-sheet'!I5*'Output-Calculation-sheet'!I77</f>
        <v>916650370.12624836</v>
      </c>
      <c r="J94" s="2">
        <f>J6/'Output-Calculation-sheet'!J5*'Output-Calculation-sheet'!J77</f>
        <v>507257815.48061466</v>
      </c>
      <c r="K94" s="2">
        <f>K6/'Output-Calculation-sheet'!K5*'Output-Calculation-sheet'!K77</f>
        <v>882844417.64852822</v>
      </c>
      <c r="L94" s="2">
        <f>L6/'Output-Calculation-sheet'!L5*'Output-Calculation-sheet'!L77</f>
        <v>623688584.63599014</v>
      </c>
      <c r="M94" s="2">
        <f>M6/'Output-Calculation-sheet'!M5*'Output-Calculation-sheet'!M77</f>
        <v>646385419.03062701</v>
      </c>
      <c r="N94" s="2">
        <f>N6/'Output-Calculation-sheet'!N5*'Output-Calculation-sheet'!N77</f>
        <v>455363342.74340826</v>
      </c>
      <c r="O94" s="2">
        <f>O6/'Output-Calculation-sheet'!O5*'Output-Calculation-sheet'!O77</f>
        <v>335320301.93174314</v>
      </c>
      <c r="P94" s="2">
        <f>P6/'Output-Calculation-sheet'!P5*'Output-Calculation-sheet'!P77</f>
        <v>800800782.9195751</v>
      </c>
      <c r="Q94" s="2">
        <f>Q6/'Output-Calculation-sheet'!Q5*'Output-Calculation-sheet'!Q77</f>
        <v>408492694.6995464</v>
      </c>
      <c r="R94" s="2">
        <f>R6/'Output-Calculation-sheet'!R5*'Output-Calculation-sheet'!R77</f>
        <v>555407317.10394979</v>
      </c>
      <c r="S94" s="2">
        <f>S6/'Output-Calculation-sheet'!S5*'Output-Calculation-sheet'!S77</f>
        <v>346395024.78586936</v>
      </c>
      <c r="T94" s="2">
        <f>T6/'Output-Calculation-sheet'!T5*'Output-Calculation-sheet'!T77</f>
        <v>228996491.70221642</v>
      </c>
      <c r="U94" s="2">
        <f>U6/'Output-Calculation-sheet'!U5*'Output-Calculation-sheet'!U77</f>
        <v>209614151.41942236</v>
      </c>
      <c r="V94" s="2">
        <f>V6/'Output-Calculation-sheet'!V5*'Output-Calculation-sheet'!V77</f>
        <v>129857427.12391445</v>
      </c>
      <c r="W94" s="2">
        <f>W6/'Output-Calculation-sheet'!W5*'Output-Calculation-sheet'!W77</f>
        <v>170436550.28813037</v>
      </c>
      <c r="X94" s="2">
        <f>X6/'Output-Calculation-sheet'!X5*'Output-Calculation-sheet'!X77</f>
        <v>73976406.667881519</v>
      </c>
      <c r="Y94" s="2">
        <f>Y6/'Output-Calculation-sheet'!Y5*'Output-Calculation-sheet'!Y77</f>
        <v>87437464.001986668</v>
      </c>
      <c r="AA94" s="2">
        <f t="shared" ref="AA94:AA100" si="8">SUM(B94:Y94)/10^9</f>
        <v>24.404935962815152</v>
      </c>
    </row>
    <row r="95" spans="1:27" x14ac:dyDescent="0.25">
      <c r="A95" s="2">
        <v>2030</v>
      </c>
      <c r="B95" s="2">
        <f>B7/'Output-Calculation-sheet'!B6*'Output-Calculation-sheet'!B78</f>
        <v>12149038419.710779</v>
      </c>
      <c r="C95" s="2">
        <f>C7/'Output-Calculation-sheet'!C6*'Output-Calculation-sheet'!C78</f>
        <v>5025412164.539362</v>
      </c>
      <c r="D95" s="2">
        <f>D7/'Output-Calculation-sheet'!D6*'Output-Calculation-sheet'!D78</f>
        <v>4045107041.0921526</v>
      </c>
      <c r="E95" s="2">
        <f>E7/'Output-Calculation-sheet'!E6*'Output-Calculation-sheet'!E78</f>
        <v>4892709907.6198254</v>
      </c>
      <c r="F95" s="2">
        <f>F7/'Output-Calculation-sheet'!F6*'Output-Calculation-sheet'!F78</f>
        <v>2875514011.6500726</v>
      </c>
      <c r="G95" s="2">
        <f>G7/'Output-Calculation-sheet'!G6*'Output-Calculation-sheet'!G78</f>
        <v>1487511666.3721595</v>
      </c>
      <c r="H95" s="2">
        <f>H7/'Output-Calculation-sheet'!H6*'Output-Calculation-sheet'!H78</f>
        <v>1820515023.4124484</v>
      </c>
      <c r="I95" s="2">
        <f>I7/'Output-Calculation-sheet'!I6*'Output-Calculation-sheet'!I78</f>
        <v>1747534907.8648133</v>
      </c>
      <c r="J95" s="2">
        <f>J7/'Output-Calculation-sheet'!J6*'Output-Calculation-sheet'!J78</f>
        <v>976037002.57483733</v>
      </c>
      <c r="K95" s="2">
        <f>K7/'Output-Calculation-sheet'!K6*'Output-Calculation-sheet'!K78</f>
        <v>1680247143.0914063</v>
      </c>
      <c r="L95" s="2">
        <f>L7/'Output-Calculation-sheet'!L6*'Output-Calculation-sheet'!L78</f>
        <v>1201484110.4267206</v>
      </c>
      <c r="M95" s="2">
        <f>M7/'Output-Calculation-sheet'!M6*'Output-Calculation-sheet'!M78</f>
        <v>1218148207.5365381</v>
      </c>
      <c r="N95" s="2">
        <f>N7/'Output-Calculation-sheet'!N6*'Output-Calculation-sheet'!N78</f>
        <v>863950290.88352334</v>
      </c>
      <c r="O95" s="2">
        <f>O7/'Output-Calculation-sheet'!O6*'Output-Calculation-sheet'!O78</f>
        <v>675975136.67452085</v>
      </c>
      <c r="P95" s="2">
        <f>P7/'Output-Calculation-sheet'!P6*'Output-Calculation-sheet'!P78</f>
        <v>1461175715.5829594</v>
      </c>
      <c r="Q95" s="2">
        <f>Q7/'Output-Calculation-sheet'!Q6*'Output-Calculation-sheet'!Q78</f>
        <v>783236872.69466245</v>
      </c>
      <c r="R95" s="2">
        <f>R7/'Output-Calculation-sheet'!R6*'Output-Calculation-sheet'!R78</f>
        <v>1050808341.7027824</v>
      </c>
      <c r="S95" s="2">
        <f>S7/'Output-Calculation-sheet'!S6*'Output-Calculation-sheet'!S78</f>
        <v>659891382.18458712</v>
      </c>
      <c r="T95" s="2">
        <f>T7/'Output-Calculation-sheet'!T6*'Output-Calculation-sheet'!T78</f>
        <v>428318269.4092502</v>
      </c>
      <c r="U95" s="2">
        <f>U7/'Output-Calculation-sheet'!U6*'Output-Calculation-sheet'!U78</f>
        <v>394493202.91029131</v>
      </c>
      <c r="V95" s="2">
        <f>V7/'Output-Calculation-sheet'!V6*'Output-Calculation-sheet'!V78</f>
        <v>252480491.93151066</v>
      </c>
      <c r="W95" s="2">
        <f>W7/'Output-Calculation-sheet'!W6*'Output-Calculation-sheet'!W78</f>
        <v>309222045.57358992</v>
      </c>
      <c r="X95" s="2">
        <f>X7/'Output-Calculation-sheet'!X6*'Output-Calculation-sheet'!X78</f>
        <v>139088503.51875976</v>
      </c>
      <c r="Y95" s="2">
        <f>Y7/'Output-Calculation-sheet'!Y6*'Output-Calculation-sheet'!Y78</f>
        <v>157790601.07166946</v>
      </c>
      <c r="AA95" s="2">
        <f t="shared" si="8"/>
        <v>46.295690460029235</v>
      </c>
    </row>
    <row r="96" spans="1:27" x14ac:dyDescent="0.25">
      <c r="A96" s="2">
        <v>2031</v>
      </c>
      <c r="B96" s="2">
        <f>B8/'Output-Calculation-sheet'!B7*'Output-Calculation-sheet'!B79</f>
        <v>18626454749.037933</v>
      </c>
      <c r="C96" s="2">
        <f>C8/'Output-Calculation-sheet'!C7*'Output-Calculation-sheet'!C79</f>
        <v>7711108912.8348751</v>
      </c>
      <c r="D96" s="2">
        <f>D8/'Output-Calculation-sheet'!D7*'Output-Calculation-sheet'!D79</f>
        <v>6146963398.2413721</v>
      </c>
      <c r="E96" s="2">
        <f>E8/'Output-Calculation-sheet'!E7*'Output-Calculation-sheet'!E79</f>
        <v>7427674702.7816086</v>
      </c>
      <c r="F96" s="2">
        <f>F8/'Output-Calculation-sheet'!F7*'Output-Calculation-sheet'!F79</f>
        <v>4384513735.9237108</v>
      </c>
      <c r="G96" s="2">
        <f>G8/'Output-Calculation-sheet'!G7*'Output-Calculation-sheet'!G79</f>
        <v>2230191265.7417073</v>
      </c>
      <c r="H96" s="2">
        <f>H8/'Output-Calculation-sheet'!H7*'Output-Calculation-sheet'!H79</f>
        <v>2784768398.5825682</v>
      </c>
      <c r="I96" s="2">
        <f>I8/'Output-Calculation-sheet'!I7*'Output-Calculation-sheet'!I79</f>
        <v>2665412739.9017034</v>
      </c>
      <c r="J96" s="2">
        <f>J8/'Output-Calculation-sheet'!J7*'Output-Calculation-sheet'!J79</f>
        <v>1504454654.8549736</v>
      </c>
      <c r="K96" s="2">
        <f>K8/'Output-Calculation-sheet'!K7*'Output-Calculation-sheet'!K79</f>
        <v>2562601586.0661435</v>
      </c>
      <c r="L96" s="2">
        <f>L8/'Output-Calculation-sheet'!L7*'Output-Calculation-sheet'!L79</f>
        <v>1843073430.9870362</v>
      </c>
      <c r="M96" s="2">
        <f>M8/'Output-Calculation-sheet'!M7*'Output-Calculation-sheet'!M79</f>
        <v>1863183402.1394932</v>
      </c>
      <c r="N96" s="2">
        <f>N8/'Output-Calculation-sheet'!N7*'Output-Calculation-sheet'!N79</f>
        <v>1326080069.1186464</v>
      </c>
      <c r="O96" s="2">
        <f>O8/'Output-Calculation-sheet'!O7*'Output-Calculation-sheet'!O79</f>
        <v>1042184983.3956012</v>
      </c>
      <c r="P96" s="2">
        <f>P8/'Output-Calculation-sheet'!P7*'Output-Calculation-sheet'!P79</f>
        <v>2215423051.1745582</v>
      </c>
      <c r="Q96" s="2">
        <f>Q8/'Output-Calculation-sheet'!Q7*'Output-Calculation-sheet'!Q79</f>
        <v>1206659448.5243909</v>
      </c>
      <c r="R96" s="2">
        <f>R8/'Output-Calculation-sheet'!R7*'Output-Calculation-sheet'!R79</f>
        <v>1609798456.4766603</v>
      </c>
      <c r="S96" s="2">
        <f>S8/'Output-Calculation-sheet'!S7*'Output-Calculation-sheet'!S79</f>
        <v>1013281348.682456</v>
      </c>
      <c r="T96" s="2">
        <f>T8/'Output-Calculation-sheet'!T7*'Output-Calculation-sheet'!T79</f>
        <v>650669285.3714211</v>
      </c>
      <c r="U96" s="2">
        <f>U8/'Output-Calculation-sheet'!U7*'Output-Calculation-sheet'!U79</f>
        <v>603356638.01383162</v>
      </c>
      <c r="V96" s="2">
        <f>V8/'Output-Calculation-sheet'!V7*'Output-Calculation-sheet'!V79</f>
        <v>388461558.89106244</v>
      </c>
      <c r="W96" s="2">
        <f>W8/'Output-Calculation-sheet'!W7*'Output-Calculation-sheet'!W79</f>
        <v>464688082.1352427</v>
      </c>
      <c r="X96" s="2">
        <f>X8/'Output-Calculation-sheet'!X7*'Output-Calculation-sheet'!X79</f>
        <v>212690363.9829706</v>
      </c>
      <c r="Y96" s="2">
        <f>Y8/'Output-Calculation-sheet'!Y7*'Output-Calculation-sheet'!Y79</f>
        <v>238058431.57093793</v>
      </c>
      <c r="AA96" s="2">
        <f t="shared" si="8"/>
        <v>70.721752694430904</v>
      </c>
    </row>
    <row r="97" spans="1:27" x14ac:dyDescent="0.25">
      <c r="A97" s="2">
        <v>2032</v>
      </c>
      <c r="B97" s="2">
        <f>B9/'Output-Calculation-sheet'!B8*'Output-Calculation-sheet'!B80</f>
        <v>24906183414.377834</v>
      </c>
      <c r="C97" s="2">
        <f>C9/'Output-Calculation-sheet'!C8*'Output-Calculation-sheet'!C80</f>
        <v>10319825936.49053</v>
      </c>
      <c r="D97" s="2">
        <f>D9/'Output-Calculation-sheet'!D8*'Output-Calculation-sheet'!D80</f>
        <v>8156987845.7401991</v>
      </c>
      <c r="E97" s="2">
        <f>E9/'Output-Calculation-sheet'!E8*'Output-Calculation-sheet'!E80</f>
        <v>9842657728.8513145</v>
      </c>
      <c r="F97" s="2">
        <f>F9/'Output-Calculation-sheet'!F8*'Output-Calculation-sheet'!F80</f>
        <v>5832052630.286314</v>
      </c>
      <c r="G97" s="2">
        <f>G9/'Output-Calculation-sheet'!G8*'Output-Calculation-sheet'!G80</f>
        <v>2919424877.2657733</v>
      </c>
      <c r="H97" s="2">
        <f>H9/'Output-Calculation-sheet'!H8*'Output-Calculation-sheet'!H80</f>
        <v>3715954096.3435707</v>
      </c>
      <c r="I97" s="2">
        <f>I9/'Output-Calculation-sheet'!I8*'Output-Calculation-sheet'!I80</f>
        <v>3547028120.0130677</v>
      </c>
      <c r="J97" s="2">
        <f>J9/'Output-Calculation-sheet'!J8*'Output-Calculation-sheet'!J80</f>
        <v>2023986758.7666445</v>
      </c>
      <c r="K97" s="2">
        <f>K9/'Output-Calculation-sheet'!K8*'Output-Calculation-sheet'!K80</f>
        <v>3409441986.7625122</v>
      </c>
      <c r="L97" s="2">
        <f>L9/'Output-Calculation-sheet'!L8*'Output-Calculation-sheet'!L80</f>
        <v>2466847486.9523926</v>
      </c>
      <c r="M97" s="2">
        <f>M9/'Output-Calculation-sheet'!M8*'Output-Calculation-sheet'!M80</f>
        <v>2486164306.8715277</v>
      </c>
      <c r="N97" s="2">
        <f>N9/'Output-Calculation-sheet'!N8*'Output-Calculation-sheet'!N80</f>
        <v>1777048112.7300563</v>
      </c>
      <c r="O97" s="2">
        <f>O9/'Output-Calculation-sheet'!O8*'Output-Calculation-sheet'!O80</f>
        <v>1401982447.2825768</v>
      </c>
      <c r="P97" s="2">
        <f>P9/'Output-Calculation-sheet'!P8*'Output-Calculation-sheet'!P80</f>
        <v>2929814993.8554282</v>
      </c>
      <c r="Q97" s="2">
        <f>Q9/'Output-Calculation-sheet'!Q8*'Output-Calculation-sheet'!Q80</f>
        <v>1622269495.4995003</v>
      </c>
      <c r="R97" s="2">
        <f>R9/'Output-Calculation-sheet'!R8*'Output-Calculation-sheet'!R80</f>
        <v>2150888116.5079288</v>
      </c>
      <c r="S97" s="2">
        <f>S9/'Output-Calculation-sheet'!S8*'Output-Calculation-sheet'!S80</f>
        <v>1356897696.2906678</v>
      </c>
      <c r="T97" s="2">
        <f>T9/'Output-Calculation-sheet'!T8*'Output-Calculation-sheet'!T80</f>
        <v>862481842.97997999</v>
      </c>
      <c r="U97" s="2">
        <f>U9/'Output-Calculation-sheet'!U8*'Output-Calculation-sheet'!U80</f>
        <v>804297834.84779644</v>
      </c>
      <c r="V97" s="2">
        <f>V9/'Output-Calculation-sheet'!V8*'Output-Calculation-sheet'!V80</f>
        <v>520870935.7040174</v>
      </c>
      <c r="W97" s="2">
        <f>W9/'Output-Calculation-sheet'!W8*'Output-Calculation-sheet'!W80</f>
        <v>609305595.92014432</v>
      </c>
      <c r="X97" s="2">
        <f>X9/'Output-Calculation-sheet'!X8*'Output-Calculation-sheet'!X80</f>
        <v>283717301.72277027</v>
      </c>
      <c r="Y97" s="2">
        <f>Y9/'Output-Calculation-sheet'!Y8*'Output-Calculation-sheet'!Y80</f>
        <v>313520691.75311846</v>
      </c>
      <c r="AA97" s="2">
        <f t="shared" si="8"/>
        <v>94.259650253815622</v>
      </c>
    </row>
    <row r="98" spans="1:27" x14ac:dyDescent="0.25">
      <c r="A98" s="2">
        <v>2033</v>
      </c>
      <c r="B98" s="2">
        <f>B10/'Output-Calculation-sheet'!B9*'Output-Calculation-sheet'!B81</f>
        <v>30608496591.737206</v>
      </c>
      <c r="C98" s="2">
        <f>C10/'Output-Calculation-sheet'!C9*'Output-Calculation-sheet'!C81</f>
        <v>12695710627.872955</v>
      </c>
      <c r="D98" s="2">
        <f>D10/'Output-Calculation-sheet'!D9*'Output-Calculation-sheet'!D81</f>
        <v>9958931418.6768188</v>
      </c>
      <c r="E98" s="2">
        <f>E10/'Output-Calculation-sheet'!E9*'Output-Calculation-sheet'!E81</f>
        <v>11994405267.155088</v>
      </c>
      <c r="F98" s="2">
        <f>F10/'Output-Calculation-sheet'!F9*'Output-Calculation-sheet'!F81</f>
        <v>7132154013.6915836</v>
      </c>
      <c r="G98" s="2">
        <f>G10/'Output-Calculation-sheet'!G9*'Output-Calculation-sheet'!G81</f>
        <v>3515631443.2854619</v>
      </c>
      <c r="H98" s="2">
        <f>H10/'Output-Calculation-sheet'!H9*'Output-Calculation-sheet'!H81</f>
        <v>4558083071.1304026</v>
      </c>
      <c r="I98" s="2">
        <f>I10/'Output-Calculation-sheet'!I9*'Output-Calculation-sheet'!I81</f>
        <v>4340343636.7216272</v>
      </c>
      <c r="J98" s="2">
        <f>J10/'Output-Calculation-sheet'!J9*'Output-Calculation-sheet'!J81</f>
        <v>2504473092.6534152</v>
      </c>
      <c r="K98" s="2">
        <f>K10/'Output-Calculation-sheet'!K9*'Output-Calculation-sheet'!K81</f>
        <v>4170610815.6550779</v>
      </c>
      <c r="L98" s="2">
        <f>L10/'Output-Calculation-sheet'!L9*'Output-Calculation-sheet'!L81</f>
        <v>3034995621.247159</v>
      </c>
      <c r="M98" s="2">
        <f>M10/'Output-Calculation-sheet'!M9*'Output-Calculation-sheet'!M81</f>
        <v>3050143854.5903382</v>
      </c>
      <c r="N98" s="2">
        <f>N10/'Output-Calculation-sheet'!N9*'Output-Calculation-sheet'!N81</f>
        <v>2190283688.2977991</v>
      </c>
      <c r="O98" s="2">
        <f>O10/'Output-Calculation-sheet'!O9*'Output-Calculation-sheet'!O81</f>
        <v>1734128202.7218316</v>
      </c>
      <c r="P98" s="2">
        <f>P10/'Output-Calculation-sheet'!P9*'Output-Calculation-sheet'!P81</f>
        <v>3561896303.7143321</v>
      </c>
      <c r="Q98" s="2">
        <f>Q10/'Output-Calculation-sheet'!Q9*'Output-Calculation-sheet'!Q81</f>
        <v>2005374733.1085007</v>
      </c>
      <c r="R98" s="2">
        <f>R10/'Output-Calculation-sheet'!R9*'Output-Calculation-sheet'!R81</f>
        <v>2641642363.948863</v>
      </c>
      <c r="S98" s="2">
        <f>S10/'Output-Calculation-sheet'!S9*'Output-Calculation-sheet'!S81</f>
        <v>1669999095.6198645</v>
      </c>
      <c r="T98" s="2">
        <f>T10/'Output-Calculation-sheet'!T9*'Output-Calculation-sheet'!T81</f>
        <v>1051290734.1073157</v>
      </c>
      <c r="U98" s="2">
        <f>U10/'Output-Calculation-sheet'!U9*'Output-Calculation-sheet'!U81</f>
        <v>985005969.47535372</v>
      </c>
      <c r="V98" s="2">
        <f>V10/'Output-Calculation-sheet'!V9*'Output-Calculation-sheet'!V81</f>
        <v>641543978.78572643</v>
      </c>
      <c r="W98" s="2">
        <f>W10/'Output-Calculation-sheet'!W9*'Output-Calculation-sheet'!W81</f>
        <v>734662989.85611331</v>
      </c>
      <c r="X98" s="2">
        <f>X10/'Output-Calculation-sheet'!X9*'Output-Calculation-sheet'!X81</f>
        <v>347942860.90498722</v>
      </c>
      <c r="Y98" s="2">
        <f>Y10/'Output-Calculation-sheet'!Y9*'Output-Calculation-sheet'!Y81</f>
        <v>379809383.8988561</v>
      </c>
      <c r="AA98" s="2">
        <f t="shared" si="8"/>
        <v>115.50755975885666</v>
      </c>
    </row>
    <row r="99" spans="1:27" x14ac:dyDescent="0.25">
      <c r="A99" s="2">
        <v>2034</v>
      </c>
      <c r="B99" s="2">
        <f>B11/'Output-Calculation-sheet'!B10*'Output-Calculation-sheet'!B82</f>
        <v>35289916006.585091</v>
      </c>
      <c r="C99" s="2">
        <f>C11/'Output-Calculation-sheet'!C10*'Output-Calculation-sheet'!C82</f>
        <v>14654812027.234787</v>
      </c>
      <c r="D99" s="2">
        <f>D11/'Output-Calculation-sheet'!D10*'Output-Calculation-sheet'!D82</f>
        <v>11418266598.895128</v>
      </c>
      <c r="E99" s="2">
        <f>E11/'Output-Calculation-sheet'!E10*'Output-Calculation-sheet'!E82</f>
        <v>13719882654.829971</v>
      </c>
      <c r="F99" s="2">
        <f>F11/'Output-Calculation-sheet'!F10*'Output-Calculation-sheet'!F82</f>
        <v>8185187328.7589626</v>
      </c>
      <c r="G99" s="2">
        <f>G11/'Output-Calculation-sheet'!G10*'Output-Calculation-sheet'!G82</f>
        <v>3975323845.934834</v>
      </c>
      <c r="H99" s="2">
        <f>H11/'Output-Calculation-sheet'!H10*'Output-Calculation-sheet'!H82</f>
        <v>5246086939.8447704</v>
      </c>
      <c r="I99" s="2">
        <f>I11/'Output-Calculation-sheet'!I10*'Output-Calculation-sheet'!I82</f>
        <v>4984724412.6590652</v>
      </c>
      <c r="J99" s="2">
        <f>J11/'Output-Calculation-sheet'!J10*'Output-Calculation-sheet'!J82</f>
        <v>2909299011.5026469</v>
      </c>
      <c r="K99" s="2">
        <f>K11/'Output-Calculation-sheet'!K10*'Output-Calculation-sheet'!K82</f>
        <v>4787861023.5591259</v>
      </c>
      <c r="L99" s="2">
        <f>L11/'Output-Calculation-sheet'!L10*'Output-Calculation-sheet'!L82</f>
        <v>3503459582.9740734</v>
      </c>
      <c r="M99" s="2">
        <f>M11/'Output-Calculation-sheet'!M10*'Output-Calculation-sheet'!M82</f>
        <v>3511760225.5740018</v>
      </c>
      <c r="N99" s="2">
        <f>N11/'Output-Calculation-sheet'!N10*'Output-Calculation-sheet'!N82</f>
        <v>2534308272.745111</v>
      </c>
      <c r="O99" s="2">
        <f>O11/'Output-Calculation-sheet'!O10*'Output-Calculation-sheet'!O82</f>
        <v>2013046520.558836</v>
      </c>
      <c r="P99" s="2">
        <f>P11/'Output-Calculation-sheet'!P10*'Output-Calculation-sheet'!P82</f>
        <v>4063581604.2793918</v>
      </c>
      <c r="Q99" s="2">
        <f>Q11/'Output-Calculation-sheet'!Q10*'Output-Calculation-sheet'!Q82</f>
        <v>2326451214.4231024</v>
      </c>
      <c r="R99" s="2">
        <f>R11/'Output-Calculation-sheet'!R10*'Output-Calculation-sheet'!R82</f>
        <v>3044054184.2425661</v>
      </c>
      <c r="S99" s="2">
        <f>S11/'Output-Calculation-sheet'!S10*'Output-Calculation-sheet'!S82</f>
        <v>1928209851.9082832</v>
      </c>
      <c r="T99" s="2">
        <f>T11/'Output-Calculation-sheet'!T10*'Output-Calculation-sheet'!T82</f>
        <v>1202786558.6272643</v>
      </c>
      <c r="U99" s="2">
        <f>U11/'Output-Calculation-sheet'!U10*'Output-Calculation-sheet'!U82</f>
        <v>1131355769.0009582</v>
      </c>
      <c r="V99" s="2">
        <f>V11/'Output-Calculation-sheet'!V10*'Output-Calculation-sheet'!V82</f>
        <v>740953147.5487802</v>
      </c>
      <c r="W99" s="2">
        <f>W11/'Output-Calculation-sheet'!W10*'Output-Calculation-sheet'!W82</f>
        <v>831437246.41365433</v>
      </c>
      <c r="X99" s="2">
        <f>X11/'Output-Calculation-sheet'!X10*'Output-Calculation-sheet'!X82</f>
        <v>400420302.01379365</v>
      </c>
      <c r="Y99" s="2">
        <f>Y11/'Output-Calculation-sheet'!Y10*'Output-Calculation-sheet'!Y82</f>
        <v>432001921.19115019</v>
      </c>
      <c r="AA99" s="2">
        <f t="shared" si="8"/>
        <v>132.83518625130534</v>
      </c>
    </row>
    <row r="100" spans="1:27" x14ac:dyDescent="0.25">
      <c r="A100" s="2">
        <v>2035</v>
      </c>
      <c r="B100" s="2">
        <f>B12/'Output-Calculation-sheet'!B11*'Output-Calculation-sheet'!B83</f>
        <v>38593982198.248245</v>
      </c>
      <c r="C100" s="2">
        <f>C12/'Output-Calculation-sheet'!C11*'Output-Calculation-sheet'!C83</f>
        <v>16048072005.958456</v>
      </c>
      <c r="D100" s="2">
        <f>D12/'Output-Calculation-sheet'!D11*'Output-Calculation-sheet'!D83</f>
        <v>12429489840.309685</v>
      </c>
      <c r="E100" s="2">
        <f>E12/'Output-Calculation-sheet'!E11*'Output-Calculation-sheet'!E83</f>
        <v>14893526989.865326</v>
      </c>
      <c r="F100" s="2">
        <f>F12/'Output-Calculation-sheet'!F11*'Output-Calculation-sheet'!F83</f>
        <v>8913028361.7920055</v>
      </c>
      <c r="G100" s="2">
        <f>G12/'Output-Calculation-sheet'!G11*'Output-Calculation-sheet'!G83</f>
        <v>4267656701.0373373</v>
      </c>
      <c r="H100" s="2">
        <f>H12/'Output-Calculation-sheet'!H11*'Output-Calculation-sheet'!H83</f>
        <v>5728106165.8587446</v>
      </c>
      <c r="I100" s="2">
        <f>I12/'Output-Calculation-sheet'!I11*'Output-Calculation-sheet'!I83</f>
        <v>5432325172.3816938</v>
      </c>
      <c r="J100" s="2">
        <f>J12/'Output-Calculation-sheet'!J11*'Output-Calculation-sheet'!J83</f>
        <v>3207593831.6582193</v>
      </c>
      <c r="K100" s="2">
        <f>K12/'Output-Calculation-sheet'!K11*'Output-Calculation-sheet'!K83</f>
        <v>5215429010.4647388</v>
      </c>
      <c r="L100" s="2">
        <f>L12/'Output-Calculation-sheet'!L11*'Output-Calculation-sheet'!L83</f>
        <v>3836528614.8382587</v>
      </c>
      <c r="M100" s="2">
        <f>M12/'Output-Calculation-sheet'!M11*'Output-Calculation-sheet'!M83</f>
        <v>3836308486.650351</v>
      </c>
      <c r="N100" s="2">
        <f>N12/'Output-Calculation-sheet'!N11*'Output-Calculation-sheet'!N83</f>
        <v>2783133059.4112597</v>
      </c>
      <c r="O100" s="2">
        <f>O12/'Output-Calculation-sheet'!O11*'Output-Calculation-sheet'!O83</f>
        <v>2217304126.6223416</v>
      </c>
      <c r="P100" s="2">
        <f>P12/'Output-Calculation-sheet'!P11*'Output-Calculation-sheet'!P83</f>
        <v>4398666495.7736235</v>
      </c>
      <c r="Q100" s="2">
        <f>Q12/'Output-Calculation-sheet'!Q11*'Output-Calculation-sheet'!Q83</f>
        <v>2560833072.5366931</v>
      </c>
      <c r="R100" s="2">
        <f>R12/'Output-Calculation-sheet'!R11*'Output-Calculation-sheet'!R83</f>
        <v>3327639912.2218752</v>
      </c>
      <c r="S100" s="2">
        <f>S12/'Output-Calculation-sheet'!S11*'Output-Calculation-sheet'!S83</f>
        <v>2111781859.0917337</v>
      </c>
      <c r="T100" s="2">
        <f>T12/'Output-Calculation-sheet'!T11*'Output-Calculation-sheet'!T83</f>
        <v>1305953892.460994</v>
      </c>
      <c r="U100" s="2">
        <f>U12/'Output-Calculation-sheet'!U11*'Output-Calculation-sheet'!U83</f>
        <v>1232311838.3222015</v>
      </c>
      <c r="V100" s="2">
        <f>V12/'Output-Calculation-sheet'!V11*'Output-Calculation-sheet'!V83</f>
        <v>811414906.62221146</v>
      </c>
      <c r="W100" s="2">
        <f>W12/'Output-Calculation-sheet'!W11*'Output-Calculation-sheet'!W83</f>
        <v>892977551.63952184</v>
      </c>
      <c r="X100" s="2">
        <f>X12/'Output-Calculation-sheet'!X11*'Output-Calculation-sheet'!X83</f>
        <v>437203378.50485712</v>
      </c>
      <c r="Y100" s="2">
        <f>Y12/'Output-Calculation-sheet'!Y11*'Output-Calculation-sheet'!Y83</f>
        <v>466446031.52010822</v>
      </c>
      <c r="AA100" s="2">
        <f t="shared" si="8"/>
        <v>144.94771350379051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3013532243.6115561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940198955.60135424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648655319.30653894</v>
      </c>
      <c r="N104" s="2">
        <f>N5/'Output-Calculation-sheet'!N4*'Output-Calculation-sheet'!N85</f>
        <v>0</v>
      </c>
      <c r="O104" s="2">
        <f>O5/'Output-Calculation-sheet'!O4*'Output-Calculation-sheet'!O85</f>
        <v>585531954.97736979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70251473.117753819</v>
      </c>
      <c r="Y104" s="2">
        <f>Y5/'Output-Calculation-sheet'!Y4*'Output-Calculation-sheet'!Y85</f>
        <v>0</v>
      </c>
      <c r="AA104" s="2">
        <f>SUM(B104:Y104)/10^6</f>
        <v>5258.1699466145728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8013683972.1319075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2500207566.0273452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1724925269.7125163</v>
      </c>
      <c r="N105" s="2">
        <f>N6/'Output-Calculation-sheet'!N5*'Output-Calculation-sheet'!N86</f>
        <v>0</v>
      </c>
      <c r="O105" s="2">
        <f>O6/'Output-Calculation-sheet'!O5*'Output-Calculation-sheet'!O86</f>
        <v>1557066061.1330085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186814937.93154597</v>
      </c>
      <c r="Y105" s="2">
        <f>Y6/'Output-Calculation-sheet'!Y5*'Output-Calculation-sheet'!Y86</f>
        <v>0</v>
      </c>
      <c r="AA105" s="2">
        <f t="shared" ref="AA105:AA111" si="9">SUM(B105:Y105)/10^6</f>
        <v>13982.697806936323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14671548739.489302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4577676085.404561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3158200649.8454452</v>
      </c>
      <c r="N106" s="2">
        <f>N7/'Output-Calculation-sheet'!N6*'Output-Calculation-sheet'!N87</f>
        <v>1016215468.6321487</v>
      </c>
      <c r="O106" s="2">
        <f>O7/'Output-Calculation-sheet'!O6*'Output-Calculation-sheet'!O87</f>
        <v>2850680335.1714563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215275712.18586507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342036244.67230076</v>
      </c>
      <c r="Y106" s="2">
        <f>Y7/'Output-Calculation-sheet'!Y6*'Output-Calculation-sheet'!Y87</f>
        <v>0</v>
      </c>
      <c r="AA106" s="2">
        <f t="shared" si="9"/>
        <v>26831.633235401077</v>
      </c>
    </row>
    <row r="107" spans="1:27" x14ac:dyDescent="0.25">
      <c r="A107" s="2">
        <v>2031</v>
      </c>
      <c r="B107" s="2">
        <f>B8/'Output-Calculation-sheet'!B7*'Output-Calculation-sheet'!B88</f>
        <v>1351703957.0047491</v>
      </c>
      <c r="C107" s="2">
        <f>C8/'Output-Calculation-sheet'!C7*'Output-Calculation-sheet'!C88</f>
        <v>22261105905.511734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6945581293.5377493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4791872094.05305</v>
      </c>
      <c r="N107" s="2">
        <f>N8/'Output-Calculation-sheet'!N7*'Output-Calculation-sheet'!N88</f>
        <v>1603927524.5448771</v>
      </c>
      <c r="O107" s="2">
        <f>O8/'Output-Calculation-sheet'!O7*'Output-Calculation-sheet'!O88</f>
        <v>4325353201.2273417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480908140.46080053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518961281.47237188</v>
      </c>
      <c r="Y107" s="2">
        <f>Y8/'Output-Calculation-sheet'!Y7*'Output-Calculation-sheet'!Y88</f>
        <v>0</v>
      </c>
      <c r="AA107" s="2">
        <f t="shared" si="9"/>
        <v>42279.413397812677</v>
      </c>
    </row>
    <row r="108" spans="1:27" x14ac:dyDescent="0.25">
      <c r="A108" s="2">
        <v>2032</v>
      </c>
      <c r="B108" s="2">
        <f>B9/'Output-Calculation-sheet'!B8*'Output-Calculation-sheet'!B89</f>
        <v>5879976722.4384298</v>
      </c>
      <c r="C108" s="2">
        <f>C9/'Output-Calculation-sheet'!C8*'Output-Calculation-sheet'!C89</f>
        <v>29475867940.402512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9196267194.0007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6344624719.9401464</v>
      </c>
      <c r="N108" s="2">
        <f>N9/'Output-Calculation-sheet'!N8*'Output-Calculation-sheet'!N89</f>
        <v>2976825590.7534828</v>
      </c>
      <c r="O108" s="2">
        <f>O9/'Output-Calculation-sheet'!O8*'Output-Calculation-sheet'!O89</f>
        <v>5727186212.0395498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899503010.41136467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687141821.87880909</v>
      </c>
      <c r="Y108" s="2">
        <f>Y9/'Output-Calculation-sheet'!Y8*'Output-Calculation-sheet'!Y89</f>
        <v>0</v>
      </c>
      <c r="AA108" s="2">
        <f t="shared" si="9"/>
        <v>61187.393211864997</v>
      </c>
    </row>
    <row r="109" spans="1:27" x14ac:dyDescent="0.25">
      <c r="A109" s="2">
        <v>2033</v>
      </c>
      <c r="B109" s="2">
        <f>B10/'Output-Calculation-sheet'!B9*'Output-Calculation-sheet'!B90</f>
        <v>15186196528.781357</v>
      </c>
      <c r="C109" s="2">
        <f>C10/'Output-Calculation-sheet'!C9*'Output-Calculation-sheet'!C90</f>
        <v>35890689567.793282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11197643862.657461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7725401181.4523344</v>
      </c>
      <c r="N109" s="2">
        <f>N10/'Output-Calculation-sheet'!N9*'Output-Calculation-sheet'!N90</f>
        <v>4551355924.9447184</v>
      </c>
      <c r="O109" s="2">
        <f>O10/'Output-Calculation-sheet'!O9*'Output-Calculation-sheet'!O90</f>
        <v>6649133377.7643013</v>
      </c>
      <c r="P109" s="2">
        <f>P10/'Output-Calculation-sheet'!P9*'Output-Calculation-sheet'!P90</f>
        <v>0</v>
      </c>
      <c r="Q109" s="2">
        <f>Q10/'Output-Calculation-sheet'!Q9*'Output-Calculation-sheet'!Q90</f>
        <v>148144308.02692381</v>
      </c>
      <c r="R109" s="2">
        <f>R10/'Output-Calculation-sheet'!R9*'Output-Calculation-sheet'!R90</f>
        <v>0</v>
      </c>
      <c r="S109" s="2">
        <f>S10/'Output-Calculation-sheet'!S9*'Output-Calculation-sheet'!S90</f>
        <v>1834859800.6332965</v>
      </c>
      <c r="T109" s="2">
        <f>T10/'Output-Calculation-sheet'!T9*'Output-Calculation-sheet'!T90</f>
        <v>-3.0494643470829533E-7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836684321.47889078</v>
      </c>
      <c r="Y109" s="2">
        <f>Y10/'Output-Calculation-sheet'!Y9*'Output-Calculation-sheet'!Y90</f>
        <v>0</v>
      </c>
      <c r="AA109" s="2">
        <f t="shared" si="9"/>
        <v>84020.108873532561</v>
      </c>
    </row>
    <row r="110" spans="1:27" x14ac:dyDescent="0.25">
      <c r="A110" s="2">
        <v>2034</v>
      </c>
      <c r="B110" s="2">
        <f>B11/'Output-Calculation-sheet'!B10*'Output-Calculation-sheet'!B91</f>
        <v>34287822227.89061</v>
      </c>
      <c r="C110" s="2">
        <f>C11/'Output-Calculation-sheet'!C10*'Output-Calculation-sheet'!C91</f>
        <v>37981598903.058083</v>
      </c>
      <c r="D110" s="2">
        <f>D11/'Output-Calculation-sheet'!D10*'Output-Calculation-sheet'!D91</f>
        <v>0</v>
      </c>
      <c r="E110" s="2">
        <f>E11/'Output-Calculation-sheet'!E10*'Output-Calculation-sheet'!E91</f>
        <v>717574902.51465333</v>
      </c>
      <c r="F110" s="2">
        <f>F11/'Output-Calculation-sheet'!F10*'Output-Calculation-sheet'!F91</f>
        <v>0</v>
      </c>
      <c r="G110" s="2">
        <f>G11/'Output-Calculation-sheet'!G10*'Output-Calculation-sheet'!G91</f>
        <v>-1.6175787993835906E-6</v>
      </c>
      <c r="H110" s="2">
        <f>H11/'Output-Calculation-sheet'!H10*'Output-Calculation-sheet'!H91</f>
        <v>12797906094.399765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582630003.22823632</v>
      </c>
      <c r="M110" s="2">
        <f>M11/'Output-Calculation-sheet'!M10*'Output-Calculation-sheet'!M91</f>
        <v>8829441583.0014477</v>
      </c>
      <c r="N110" s="2">
        <f>N11/'Output-Calculation-sheet'!N10*'Output-Calculation-sheet'!N91</f>
        <v>6107676431.1122532</v>
      </c>
      <c r="O110" s="2">
        <f>O11/'Output-Calculation-sheet'!O10*'Output-Calculation-sheet'!O91</f>
        <v>7002139766.8338594</v>
      </c>
      <c r="P110" s="2">
        <f>P11/'Output-Calculation-sheet'!P10*'Output-Calculation-sheet'!P91</f>
        <v>6.5186044596289344E-7</v>
      </c>
      <c r="Q110" s="2">
        <f>Q11/'Output-Calculation-sheet'!Q10*'Output-Calculation-sheet'!Q91</f>
        <v>1554360707.3843086</v>
      </c>
      <c r="R110" s="2">
        <f>R11/'Output-Calculation-sheet'!R10*'Output-Calculation-sheet'!R91</f>
        <v>0</v>
      </c>
      <c r="S110" s="2">
        <f>S11/'Output-Calculation-sheet'!S10*'Output-Calculation-sheet'!S91</f>
        <v>3002926792.0812993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871591533.87563813</v>
      </c>
      <c r="Y110" s="2">
        <f>Y11/'Output-Calculation-sheet'!Y10*'Output-Calculation-sheet'!Y91</f>
        <v>38289555.705757052</v>
      </c>
      <c r="AA110" s="2">
        <f t="shared" si="9"/>
        <v>113773.95850108592</v>
      </c>
    </row>
    <row r="111" spans="1:27" x14ac:dyDescent="0.25">
      <c r="A111" s="2">
        <v>2035</v>
      </c>
      <c r="B111" s="2">
        <f>B12/'Output-Calculation-sheet'!B11*'Output-Calculation-sheet'!B92</f>
        <v>46416723749.222839</v>
      </c>
      <c r="C111" s="2">
        <f>C12/'Output-Calculation-sheet'!C11*'Output-Calculation-sheet'!C92</f>
        <v>38999786620.93676</v>
      </c>
      <c r="D111" s="2">
        <f>D12/'Output-Calculation-sheet'!D11*'Output-Calculation-sheet'!D92</f>
        <v>0</v>
      </c>
      <c r="E111" s="2">
        <f>E12/'Output-Calculation-sheet'!E11*'Output-Calculation-sheet'!E92</f>
        <v>5275281866.6443949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13238099242.522251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1698186039.3053787</v>
      </c>
      <c r="M111" s="2">
        <f>M12/'Output-Calculation-sheet'!M11*'Output-Calculation-sheet'!M92</f>
        <v>9164537677.5147114</v>
      </c>
      <c r="N111" s="2">
        <f>N12/'Output-Calculation-sheet'!N11*'Output-Calculation-sheet'!N92</f>
        <v>6570986917.9205704</v>
      </c>
      <c r="O111" s="2">
        <f>O12/'Output-Calculation-sheet'!O11*'Output-Calculation-sheet'!O92</f>
        <v>7003549402.2344465</v>
      </c>
      <c r="P111" s="2">
        <f>P12/'Output-Calculation-sheet'!P11*'Output-Calculation-sheet'!P92</f>
        <v>360417172.15372288</v>
      </c>
      <c r="Q111" s="2">
        <f>Q12/'Output-Calculation-sheet'!Q11*'Output-Calculation-sheet'!Q92</f>
        <v>2823034514.5062399</v>
      </c>
      <c r="R111" s="2">
        <f>R12/'Output-Calculation-sheet'!R11*'Output-Calculation-sheet'!R92</f>
        <v>0</v>
      </c>
      <c r="S111" s="2">
        <f>S12/'Output-Calculation-sheet'!S11*'Output-Calculation-sheet'!S92</f>
        <v>3534254178.5826459</v>
      </c>
      <c r="T111" s="2">
        <f>T12/'Output-Calculation-sheet'!T11*'Output-Calculation-sheet'!T92</f>
        <v>0</v>
      </c>
      <c r="U111" s="2">
        <f>U12/'Output-Calculation-sheet'!U11*'Output-Calculation-sheet'!U92</f>
        <v>125532279.17755653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900464968.59358597</v>
      </c>
      <c r="Y111" s="2">
        <f>Y12/'Output-Calculation-sheet'!Y11*'Output-Calculation-sheet'!Y92</f>
        <v>213042064.83664048</v>
      </c>
      <c r="AA111" s="2">
        <f t="shared" si="9"/>
        <v>136323.89669415171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6394759286.1424427</v>
      </c>
      <c r="C115" s="2">
        <f>C5/'Output-Calculation-sheet'!C4*'Output-Calculation-sheet'!C94</f>
        <v>0</v>
      </c>
      <c r="D115" s="2">
        <f>D5/'Output-Calculation-sheet'!D4*'Output-Calculation-sheet'!D94</f>
        <v>2685872537.7972941</v>
      </c>
      <c r="E115" s="2">
        <f>E5/'Output-Calculation-sheet'!E4*'Output-Calculation-sheet'!E94</f>
        <v>2130967138.4177508</v>
      </c>
      <c r="F115" s="2">
        <f>F5/'Output-Calculation-sheet'!F4*'Output-Calculation-sheet'!F94</f>
        <v>1371780016.0149956</v>
      </c>
      <c r="G115" s="2">
        <f>G5/'Output-Calculation-sheet'!G4*'Output-Calculation-sheet'!G94</f>
        <v>963850437.36943495</v>
      </c>
      <c r="H115" s="2">
        <f>H5/'Output-Calculation-sheet'!H4*'Output-Calculation-sheet'!H94</f>
        <v>0</v>
      </c>
      <c r="I115" s="2">
        <f>I5/'Output-Calculation-sheet'!I4*'Output-Calculation-sheet'!I94</f>
        <v>878143550.55746472</v>
      </c>
      <c r="J115" s="2">
        <f>J5/'Output-Calculation-sheet'!J4*'Output-Calculation-sheet'!J94</f>
        <v>854724249.25064814</v>
      </c>
      <c r="K115" s="2">
        <f>K5/'Output-Calculation-sheet'!K4*'Output-Calculation-sheet'!K94</f>
        <v>846530284.14460468</v>
      </c>
      <c r="L115" s="2">
        <f>L5/'Output-Calculation-sheet'!L4*'Output-Calculation-sheet'!L94</f>
        <v>679097653.18122363</v>
      </c>
      <c r="M115" s="2">
        <f>M5/'Output-Calculation-sheet'!M4*'Output-Calculation-sheet'!M94</f>
        <v>0</v>
      </c>
      <c r="N115" s="2">
        <f>N5/'Output-Calculation-sheet'!N4*'Output-Calculation-sheet'!N94</f>
        <v>636653396.54032588</v>
      </c>
      <c r="O115" s="2">
        <f>O5/'Output-Calculation-sheet'!O4*'Output-Calculation-sheet'!O94</f>
        <v>0</v>
      </c>
      <c r="P115" s="2">
        <f>P5/'Output-Calculation-sheet'!P4*'Output-Calculation-sheet'!P94</f>
        <v>579574744.24193037</v>
      </c>
      <c r="Q115" s="2">
        <f>Q5/'Output-Calculation-sheet'!Q4*'Output-Calculation-sheet'!Q94</f>
        <v>570207856.45738614</v>
      </c>
      <c r="R115" s="2">
        <f>R5/'Output-Calculation-sheet'!R4*'Output-Calculation-sheet'!R94</f>
        <v>548566142.90035653</v>
      </c>
      <c r="S115" s="2">
        <f>S5/'Output-Calculation-sheet'!S4*'Output-Calculation-sheet'!S94</f>
        <v>364605188.20745021</v>
      </c>
      <c r="T115" s="2">
        <f>T5/'Output-Calculation-sheet'!T4*'Output-Calculation-sheet'!T94</f>
        <v>201648189.18362486</v>
      </c>
      <c r="U115" s="2">
        <f>U5/'Output-Calculation-sheet'!U4*'Output-Calculation-sheet'!U94</f>
        <v>175628689.66640744</v>
      </c>
      <c r="V115" s="2">
        <f>V5/'Output-Calculation-sheet'!V4*'Output-Calculation-sheet'!V94</f>
        <v>135237603.60954285</v>
      </c>
      <c r="W115" s="2">
        <f>W5/'Output-Calculation-sheet'!W4*'Output-Calculation-sheet'!W94</f>
        <v>117085793.10376638</v>
      </c>
      <c r="X115" s="2">
        <f>X5/'Output-Calculation-sheet'!X4*'Output-Calculation-sheet'!X94</f>
        <v>0</v>
      </c>
      <c r="Y115" s="2">
        <f>Y5/'Output-Calculation-sheet'!Y4*'Output-Calculation-sheet'!Y94</f>
        <v>68318868.420539871</v>
      </c>
      <c r="AA115" s="2">
        <f>SUM(B115:Y115)/10^6</f>
        <v>20203.251625207195</v>
      </c>
    </row>
    <row r="116" spans="1:27" x14ac:dyDescent="0.25">
      <c r="A116" s="2">
        <v>2029</v>
      </c>
      <c r="B116" s="2">
        <f>B6/'Output-Calculation-sheet'!B5*'Output-Calculation-sheet'!B95</f>
        <v>17005156673.550066</v>
      </c>
      <c r="C116" s="2">
        <f>C6/'Output-Calculation-sheet'!C5*'Output-Calculation-sheet'!C95</f>
        <v>0</v>
      </c>
      <c r="D116" s="2">
        <f>D6/'Output-Calculation-sheet'!D5*'Output-Calculation-sheet'!D95</f>
        <v>7142361624.7451267</v>
      </c>
      <c r="E116" s="2">
        <f>E6/'Output-Calculation-sheet'!E5*'Output-Calculation-sheet'!E95</f>
        <v>5666736950.3936367</v>
      </c>
      <c r="F116" s="2">
        <f>F6/'Output-Calculation-sheet'!F5*'Output-Calculation-sheet'!F95</f>
        <v>3647881923.8552918</v>
      </c>
      <c r="G116" s="2">
        <f>G6/'Output-Calculation-sheet'!G5*'Output-Calculation-sheet'!G95</f>
        <v>2563101953.117949</v>
      </c>
      <c r="H116" s="2">
        <f>H6/'Output-Calculation-sheet'!H5*'Output-Calculation-sheet'!H95</f>
        <v>0</v>
      </c>
      <c r="I116" s="2">
        <f>I6/'Output-Calculation-sheet'!I5*'Output-Calculation-sheet'!I95</f>
        <v>2335188540.2078624</v>
      </c>
      <c r="J116" s="2">
        <f>J6/'Output-Calculation-sheet'!J5*'Output-Calculation-sheet'!J95</f>
        <v>2272910810.3667302</v>
      </c>
      <c r="K116" s="2">
        <f>K6/'Output-Calculation-sheet'!K5*'Output-Calculation-sheet'!K95</f>
        <v>2251120441.8546162</v>
      </c>
      <c r="L116" s="2">
        <f>L6/'Output-Calculation-sheet'!L5*'Output-Calculation-sheet'!L95</f>
        <v>1805878793.1700931</v>
      </c>
      <c r="M116" s="2">
        <f>M6/'Output-Calculation-sheet'!M5*'Output-Calculation-sheet'!M95</f>
        <v>0</v>
      </c>
      <c r="N116" s="2">
        <f>N6/'Output-Calculation-sheet'!N5*'Output-Calculation-sheet'!N95</f>
        <v>1693008842.4563909</v>
      </c>
      <c r="O116" s="2">
        <f>O6/'Output-Calculation-sheet'!O5*'Output-Calculation-sheet'!O95</f>
        <v>0</v>
      </c>
      <c r="P116" s="2">
        <f>P6/'Output-Calculation-sheet'!P5*'Output-Calculation-sheet'!P95</f>
        <v>1541224448.1580777</v>
      </c>
      <c r="Q116" s="2">
        <f>Q6/'Output-Calculation-sheet'!Q5*'Output-Calculation-sheet'!Q95</f>
        <v>1516315461.323051</v>
      </c>
      <c r="R116" s="2">
        <f>R6/'Output-Calculation-sheet'!R5*'Output-Calculation-sheet'!R95</f>
        <v>1458764656.5622144</v>
      </c>
      <c r="S116" s="2">
        <f>S6/'Output-Calculation-sheet'!S5*'Output-Calculation-sheet'!S95</f>
        <v>969570095.96065807</v>
      </c>
      <c r="T116" s="2">
        <f>T6/'Output-Calculation-sheet'!T5*'Output-Calculation-sheet'!T95</f>
        <v>536229238.12495881</v>
      </c>
      <c r="U116" s="2">
        <f>U6/'Output-Calculation-sheet'!U5*'Output-Calculation-sheet'!U95</f>
        <v>467037436.20039594</v>
      </c>
      <c r="V116" s="2">
        <f>V6/'Output-Calculation-sheet'!V5*'Output-Calculation-sheet'!V95</f>
        <v>359628166.52484632</v>
      </c>
      <c r="W116" s="2">
        <f>W6/'Output-Calculation-sheet'!W5*'Output-Calculation-sheet'!W95</f>
        <v>311358290.70490593</v>
      </c>
      <c r="X116" s="2">
        <f>X6/'Output-Calculation-sheet'!X5*'Output-Calculation-sheet'!X95</f>
        <v>0</v>
      </c>
      <c r="Y116" s="2">
        <f>Y6/'Output-Calculation-sheet'!Y5*'Output-Calculation-sheet'!Y95</f>
        <v>181675694.86967805</v>
      </c>
      <c r="AA116" s="2">
        <f t="shared" ref="AA116:AA122" si="10">SUM(B116:Y116)/10^6</f>
        <v>53725.150042146546</v>
      </c>
    </row>
    <row r="117" spans="1:27" x14ac:dyDescent="0.25">
      <c r="A117" s="2">
        <v>2030</v>
      </c>
      <c r="B117" s="2">
        <f>B7/'Output-Calculation-sheet'!B6*'Output-Calculation-sheet'!B96</f>
        <v>31137881645.223133</v>
      </c>
      <c r="C117" s="2">
        <f>C7/'Output-Calculation-sheet'!C6*'Output-Calculation-sheet'!C96</f>
        <v>0</v>
      </c>
      <c r="D117" s="2">
        <f>D7/'Output-Calculation-sheet'!D6*'Output-Calculation-sheet'!D96</f>
        <v>13078265446.182463</v>
      </c>
      <c r="E117" s="2">
        <f>E7/'Output-Calculation-sheet'!E6*'Output-Calculation-sheet'!E96</f>
        <v>10376275134.630383</v>
      </c>
      <c r="F117" s="2">
        <f>F7/'Output-Calculation-sheet'!F6*'Output-Calculation-sheet'!F96</f>
        <v>6679584099.9147682</v>
      </c>
      <c r="G117" s="2">
        <f>G7/'Output-Calculation-sheet'!G6*'Output-Calculation-sheet'!G96</f>
        <v>4693259130.4822874</v>
      </c>
      <c r="H117" s="2">
        <f>H7/'Output-Calculation-sheet'!H6*'Output-Calculation-sheet'!H96</f>
        <v>0</v>
      </c>
      <c r="I117" s="2">
        <f>I7/'Output-Calculation-sheet'!I6*'Output-Calculation-sheet'!I96</f>
        <v>4275927944.1091075</v>
      </c>
      <c r="J117" s="2">
        <f>J7/'Output-Calculation-sheet'!J6*'Output-Calculation-sheet'!J96</f>
        <v>4161892129.5722079</v>
      </c>
      <c r="K117" s="2">
        <f>K7/'Output-Calculation-sheet'!K6*'Output-Calculation-sheet'!K96</f>
        <v>4121993197.670814</v>
      </c>
      <c r="L117" s="2">
        <f>L7/'Output-Calculation-sheet'!L6*'Output-Calculation-sheet'!L96</f>
        <v>3306716970.1466045</v>
      </c>
      <c r="M117" s="2">
        <f>M7/'Output-Calculation-sheet'!M6*'Output-Calculation-sheet'!M96</f>
        <v>0</v>
      </c>
      <c r="N117" s="2">
        <f>N7/'Output-Calculation-sheet'!N6*'Output-Calculation-sheet'!N96</f>
        <v>2083827870.8758836</v>
      </c>
      <c r="O117" s="2">
        <f>O7/'Output-Calculation-sheet'!O6*'Output-Calculation-sheet'!O96</f>
        <v>0</v>
      </c>
      <c r="P117" s="2">
        <f>P7/'Output-Calculation-sheet'!P6*'Output-Calculation-sheet'!P96</f>
        <v>2822111710.3410563</v>
      </c>
      <c r="Q117" s="2">
        <f>Q7/'Output-Calculation-sheet'!Q6*'Output-Calculation-sheet'!Q96</f>
        <v>2776502714.3316026</v>
      </c>
      <c r="R117" s="2">
        <f>R7/'Output-Calculation-sheet'!R6*'Output-Calculation-sheet'!R96</f>
        <v>2671122986.5815244</v>
      </c>
      <c r="S117" s="2">
        <f>S7/'Output-Calculation-sheet'!S6*'Output-Calculation-sheet'!S96</f>
        <v>1560089502.6302314</v>
      </c>
      <c r="T117" s="2">
        <f>T7/'Output-Calculation-sheet'!T6*'Output-Calculation-sheet'!T96</f>
        <v>981881906.40956128</v>
      </c>
      <c r="U117" s="2">
        <f>U7/'Output-Calculation-sheet'!U6*'Output-Calculation-sheet'!U96</f>
        <v>855185310.95990944</v>
      </c>
      <c r="V117" s="2">
        <f>V7/'Output-Calculation-sheet'!V6*'Output-Calculation-sheet'!V96</f>
        <v>658509792.9655689</v>
      </c>
      <c r="W117" s="2">
        <f>W7/'Output-Calculation-sheet'!W6*'Output-Calculation-sheet'!W96</f>
        <v>570123689.95209694</v>
      </c>
      <c r="X117" s="2">
        <f>X7/'Output-Calculation-sheet'!X6*'Output-Calculation-sheet'!X96</f>
        <v>0</v>
      </c>
      <c r="Y117" s="2">
        <f>Y7/'Output-Calculation-sheet'!Y6*'Output-Calculation-sheet'!Y96</f>
        <v>332663752.10496932</v>
      </c>
      <c r="AA117" s="2">
        <f t="shared" si="10"/>
        <v>97143.81493508417</v>
      </c>
    </row>
    <row r="118" spans="1:27" x14ac:dyDescent="0.25">
      <c r="A118" s="2">
        <v>2031</v>
      </c>
      <c r="B118" s="2">
        <f>B8/'Output-Calculation-sheet'!B7*'Output-Calculation-sheet'!B97</f>
        <v>45897470261.574066</v>
      </c>
      <c r="C118" s="2">
        <f>C8/'Output-Calculation-sheet'!C7*'Output-Calculation-sheet'!C97</f>
        <v>0</v>
      </c>
      <c r="D118" s="2">
        <f>D8/'Output-Calculation-sheet'!D7*'Output-Calculation-sheet'!D97</f>
        <v>19845197620.393135</v>
      </c>
      <c r="E118" s="2">
        <f>E8/'Output-Calculation-sheet'!E7*'Output-Calculation-sheet'!E97</f>
        <v>15745150484.662485</v>
      </c>
      <c r="F118" s="2">
        <f>F8/'Output-Calculation-sheet'!F7*'Output-Calculation-sheet'!F97</f>
        <v>10135718376.232706</v>
      </c>
      <c r="G118" s="2">
        <f>G8/'Output-Calculation-sheet'!G7*'Output-Calculation-sheet'!G97</f>
        <v>7121633898.423872</v>
      </c>
      <c r="H118" s="2">
        <f>H8/'Output-Calculation-sheet'!H7*'Output-Calculation-sheet'!H97</f>
        <v>0</v>
      </c>
      <c r="I118" s="2">
        <f>I8/'Output-Calculation-sheet'!I7*'Output-Calculation-sheet'!I97</f>
        <v>6488369076.5523472</v>
      </c>
      <c r="J118" s="2">
        <f>J8/'Output-Calculation-sheet'!J7*'Output-Calculation-sheet'!J97</f>
        <v>6315331567.4824781</v>
      </c>
      <c r="K118" s="2">
        <f>K8/'Output-Calculation-sheet'!K7*'Output-Calculation-sheet'!K97</f>
        <v>6254786559.9511766</v>
      </c>
      <c r="L118" s="2">
        <f>L8/'Output-Calculation-sheet'!L7*'Output-Calculation-sheet'!L97</f>
        <v>5017671107.9531097</v>
      </c>
      <c r="M118" s="2">
        <f>M8/'Output-Calculation-sheet'!M7*'Output-Calculation-sheet'!M97</f>
        <v>0</v>
      </c>
      <c r="N118" s="2">
        <f>N8/'Output-Calculation-sheet'!N7*'Output-Calculation-sheet'!N97</f>
        <v>3100098407.4112291</v>
      </c>
      <c r="O118" s="2">
        <f>O8/'Output-Calculation-sheet'!O7*'Output-Calculation-sheet'!O97</f>
        <v>0</v>
      </c>
      <c r="P118" s="2">
        <f>P8/'Output-Calculation-sheet'!P7*'Output-Calculation-sheet'!P97</f>
        <v>4282323590.5245528</v>
      </c>
      <c r="Q118" s="2">
        <f>Q8/'Output-Calculation-sheet'!Q7*'Output-Calculation-sheet'!Q97</f>
        <v>4213113521.8106499</v>
      </c>
      <c r="R118" s="2">
        <f>R8/'Output-Calculation-sheet'!R7*'Output-Calculation-sheet'!R97</f>
        <v>4053208970.2317243</v>
      </c>
      <c r="S118" s="2">
        <f>S8/'Output-Calculation-sheet'!S7*'Output-Calculation-sheet'!S97</f>
        <v>2213062909.1121373</v>
      </c>
      <c r="T118" s="2">
        <f>T8/'Output-Calculation-sheet'!T7*'Output-Calculation-sheet'!T97</f>
        <v>1489925056.1645958</v>
      </c>
      <c r="U118" s="2">
        <f>U8/'Output-Calculation-sheet'!U7*'Output-Calculation-sheet'!U97</f>
        <v>1297673560.5197587</v>
      </c>
      <c r="V118" s="2">
        <f>V8/'Output-Calculation-sheet'!V7*'Output-Calculation-sheet'!V97</f>
        <v>999234987.73211777</v>
      </c>
      <c r="W118" s="2">
        <f>W8/'Output-Calculation-sheet'!W7*'Output-Calculation-sheet'!W97</f>
        <v>865115706.74821794</v>
      </c>
      <c r="X118" s="2">
        <f>X8/'Output-Calculation-sheet'!X7*'Output-Calculation-sheet'!X97</f>
        <v>0</v>
      </c>
      <c r="Y118" s="2">
        <f>Y8/'Output-Calculation-sheet'!Y7*'Output-Calculation-sheet'!Y97</f>
        <v>504790021.63541412</v>
      </c>
      <c r="AA118" s="2">
        <f t="shared" si="10"/>
        <v>145839.87568511578</v>
      </c>
    </row>
    <row r="119" spans="1:27" x14ac:dyDescent="0.25">
      <c r="A119" s="2">
        <v>2032</v>
      </c>
      <c r="B119" s="2">
        <f>B9/'Output-Calculation-sheet'!B8*'Output-Calculation-sheet'!B98</f>
        <v>56679653396.314407</v>
      </c>
      <c r="C119" s="2">
        <f>C9/'Output-Calculation-sheet'!C8*'Output-Calculation-sheet'!C98</f>
        <v>0</v>
      </c>
      <c r="D119" s="2">
        <f>D9/'Output-Calculation-sheet'!D8*'Output-Calculation-sheet'!D98</f>
        <v>26275767505.52758</v>
      </c>
      <c r="E119" s="2">
        <f>E9/'Output-Calculation-sheet'!E8*'Output-Calculation-sheet'!E98</f>
        <v>20847150240.509422</v>
      </c>
      <c r="F119" s="2">
        <f>F9/'Output-Calculation-sheet'!F8*'Output-Calculation-sheet'!F98</f>
        <v>13420062857.483471</v>
      </c>
      <c r="G119" s="2">
        <f>G9/'Output-Calculation-sheet'!G8*'Output-Calculation-sheet'!G98</f>
        <v>9429304498.2657032</v>
      </c>
      <c r="H119" s="2">
        <f>H9/'Output-Calculation-sheet'!H8*'Output-Calculation-sheet'!H98</f>
        <v>0</v>
      </c>
      <c r="I119" s="2">
        <f>I9/'Output-Calculation-sheet'!I8*'Output-Calculation-sheet'!I98</f>
        <v>8590839291.9430027</v>
      </c>
      <c r="J119" s="2">
        <f>J9/'Output-Calculation-sheet'!J8*'Output-Calculation-sheet'!J98</f>
        <v>8361728018.9569454</v>
      </c>
      <c r="K119" s="2">
        <f>K9/'Output-Calculation-sheet'!K8*'Output-Calculation-sheet'!K98</f>
        <v>8281565532.5027828</v>
      </c>
      <c r="L119" s="2">
        <f>L9/'Output-Calculation-sheet'!L8*'Output-Calculation-sheet'!L98</f>
        <v>6643581107.2304602</v>
      </c>
      <c r="M119" s="2">
        <f>M9/'Output-Calculation-sheet'!M8*'Output-Calculation-sheet'!M98</f>
        <v>0</v>
      </c>
      <c r="N119" s="2">
        <f>N9/'Output-Calculation-sheet'!N8*'Output-Calculation-sheet'!N98</f>
        <v>3250957632.8065782</v>
      </c>
      <c r="O119" s="2">
        <f>O9/'Output-Calculation-sheet'!O8*'Output-Calculation-sheet'!O98</f>
        <v>5.8340268177967464E-7</v>
      </c>
      <c r="P119" s="2">
        <f>P9/'Output-Calculation-sheet'!P8*'Output-Calculation-sheet'!P98</f>
        <v>5669915607.3312931</v>
      </c>
      <c r="Q119" s="2">
        <f>Q9/'Output-Calculation-sheet'!Q8*'Output-Calculation-sheet'!Q98</f>
        <v>5578316388.2038069</v>
      </c>
      <c r="R119" s="2">
        <f>R9/'Output-Calculation-sheet'!R8*'Output-Calculation-sheet'!R98</f>
        <v>5366597345.7083044</v>
      </c>
      <c r="S119" s="2">
        <f>S9/'Output-Calculation-sheet'!S8*'Output-Calculation-sheet'!S98</f>
        <v>2667222069.1361423</v>
      </c>
      <c r="T119" s="2">
        <f>T9/'Output-Calculation-sheet'!T8*'Output-Calculation-sheet'!T98</f>
        <v>1972714960.3476269</v>
      </c>
      <c r="U119" s="2">
        <f>U9/'Output-Calculation-sheet'!U8*'Output-Calculation-sheet'!U98</f>
        <v>1718167663.1712368</v>
      </c>
      <c r="V119" s="2">
        <f>V9/'Output-Calculation-sheet'!V8*'Output-Calculation-sheet'!V98</f>
        <v>1323023464.2118375</v>
      </c>
      <c r="W119" s="2">
        <f>W9/'Output-Calculation-sheet'!W8*'Output-Calculation-sheet'!W98</f>
        <v>1145444928.7894905</v>
      </c>
      <c r="X119" s="2">
        <f>X9/'Output-Calculation-sheet'!X8*'Output-Calculation-sheet'!X98</f>
        <v>0</v>
      </c>
      <c r="Y119" s="2">
        <f>Y9/'Output-Calculation-sheet'!Y8*'Output-Calculation-sheet'!Y98</f>
        <v>668360243.56833375</v>
      </c>
      <c r="AA119" s="2">
        <f t="shared" si="10"/>
        <v>187890.37275200844</v>
      </c>
    </row>
    <row r="120" spans="1:27" x14ac:dyDescent="0.25">
      <c r="A120" s="2">
        <v>2033</v>
      </c>
      <c r="B120" s="2">
        <f>B10/'Output-Calculation-sheet'!B9*'Output-Calculation-sheet'!B99</f>
        <v>60981337761.419266</v>
      </c>
      <c r="C120" s="2">
        <f>C10/'Output-Calculation-sheet'!C9*'Output-Calculation-sheet'!C99</f>
        <v>0</v>
      </c>
      <c r="D120" s="2">
        <f>D10/'Output-Calculation-sheet'!D9*'Output-Calculation-sheet'!D99</f>
        <v>31993184412.844173</v>
      </c>
      <c r="E120" s="2">
        <f>E10/'Output-Calculation-sheet'!E9*'Output-Calculation-sheet'!E99</f>
        <v>25383341958.62904</v>
      </c>
      <c r="F120" s="2">
        <f>F10/'Output-Calculation-sheet'!F9*'Output-Calculation-sheet'!F99</f>
        <v>16340168091.177828</v>
      </c>
      <c r="G120" s="2">
        <f>G10/'Output-Calculation-sheet'!G9*'Output-Calculation-sheet'!G99</f>
        <v>11481050544.670778</v>
      </c>
      <c r="H120" s="2">
        <f>H10/'Output-Calculation-sheet'!H9*'Output-Calculation-sheet'!H99</f>
        <v>0</v>
      </c>
      <c r="I120" s="2">
        <f>I10/'Output-Calculation-sheet'!I9*'Output-Calculation-sheet'!I99</f>
        <v>10460142147.22089</v>
      </c>
      <c r="J120" s="2">
        <f>J10/'Output-Calculation-sheet'!J9*'Output-Calculation-sheet'!J99</f>
        <v>10181177944.474339</v>
      </c>
      <c r="K120" s="2">
        <f>K10/'Output-Calculation-sheet'!K9*'Output-Calculation-sheet'!K99</f>
        <v>10083573750.796139</v>
      </c>
      <c r="L120" s="2">
        <f>L10/'Output-Calculation-sheet'!L9*'Output-Calculation-sheet'!L99</f>
        <v>8089175028.3148556</v>
      </c>
      <c r="M120" s="2">
        <f>M10/'Output-Calculation-sheet'!M9*'Output-Calculation-sheet'!M99</f>
        <v>0</v>
      </c>
      <c r="N120" s="2">
        <f>N10/'Output-Calculation-sheet'!N9*'Output-Calculation-sheet'!N99</f>
        <v>3031100001.5906601</v>
      </c>
      <c r="O120" s="2">
        <f>O10/'Output-Calculation-sheet'!O9*'Output-Calculation-sheet'!O99</f>
        <v>0</v>
      </c>
      <c r="P120" s="2">
        <f>P10/'Output-Calculation-sheet'!P9*'Output-Calculation-sheet'!P99</f>
        <v>6903284792.9103632</v>
      </c>
      <c r="Q120" s="2">
        <f>Q10/'Output-Calculation-sheet'!Q9*'Output-Calculation-sheet'!Q99</f>
        <v>6643905920.5729017</v>
      </c>
      <c r="R120" s="2">
        <f>R10/'Output-Calculation-sheet'!R9*'Output-Calculation-sheet'!R99</f>
        <v>6534018929.0268259</v>
      </c>
      <c r="S120" s="2">
        <f>S10/'Output-Calculation-sheet'!S9*'Output-Calculation-sheet'!S99</f>
        <v>2507668156.8757825</v>
      </c>
      <c r="T120" s="2">
        <f>T10/'Output-Calculation-sheet'!T9*'Output-Calculation-sheet'!T99</f>
        <v>2401942429.6735892</v>
      </c>
      <c r="U120" s="2">
        <f>U10/'Output-Calculation-sheet'!U9*'Output-Calculation-sheet'!U99</f>
        <v>2092482869.1048896</v>
      </c>
      <c r="V120" s="2">
        <f>V10/'Output-Calculation-sheet'!V9*'Output-Calculation-sheet'!V99</f>
        <v>1610903629.7038255</v>
      </c>
      <c r="W120" s="2">
        <f>W10/'Output-Calculation-sheet'!W9*'Output-Calculation-sheet'!W99</f>
        <v>1394685531.7365596</v>
      </c>
      <c r="X120" s="2">
        <f>X10/'Output-Calculation-sheet'!X9*'Output-Calculation-sheet'!X99</f>
        <v>0</v>
      </c>
      <c r="Y120" s="2">
        <f>Y10/'Output-Calculation-sheet'!Y9*'Output-Calculation-sheet'!Y99</f>
        <v>813791694.21084988</v>
      </c>
      <c r="AA120" s="2">
        <f t="shared" si="10"/>
        <v>218926.9355949536</v>
      </c>
    </row>
    <row r="121" spans="1:27" x14ac:dyDescent="0.25">
      <c r="A121" s="2">
        <v>2034</v>
      </c>
      <c r="B121" s="2">
        <f>B11/'Output-Calculation-sheet'!B10*'Output-Calculation-sheet'!B100</f>
        <v>52757262691.77211</v>
      </c>
      <c r="C121" s="2">
        <f>C11/'Output-Calculation-sheet'!C10*'Output-Calculation-sheet'!C100</f>
        <v>0</v>
      </c>
      <c r="D121" s="2">
        <f>D11/'Output-Calculation-sheet'!D10*'Output-Calculation-sheet'!D100</f>
        <v>36564559646.018204</v>
      </c>
      <c r="E121" s="2">
        <f>E11/'Output-Calculation-sheet'!E10*'Output-Calculation-sheet'!E100</f>
        <v>28291461861.527786</v>
      </c>
      <c r="F121" s="2">
        <f>F11/'Output-Calculation-sheet'!F10*'Output-Calculation-sheet'!F100</f>
        <v>18674847248.612675</v>
      </c>
      <c r="G121" s="2">
        <f>G11/'Output-Calculation-sheet'!G10*'Output-Calculation-sheet'!G100</f>
        <v>13120817070.221548</v>
      </c>
      <c r="H121" s="2">
        <f>H11/'Output-Calculation-sheet'!H10*'Output-Calculation-sheet'!H100</f>
        <v>1.5795986281734608E-7</v>
      </c>
      <c r="I121" s="2">
        <f>I11/'Output-Calculation-sheet'!I10*'Output-Calculation-sheet'!I100</f>
        <v>11954326193.593145</v>
      </c>
      <c r="J121" s="2">
        <f>J11/'Output-Calculation-sheet'!J10*'Output-Calculation-sheet'!J100</f>
        <v>11635623614.049437</v>
      </c>
      <c r="K121" s="2">
        <f>K11/'Output-Calculation-sheet'!K10*'Output-Calculation-sheet'!K100</f>
        <v>11524379085.656111</v>
      </c>
      <c r="L121" s="2">
        <f>L11/'Output-Calculation-sheet'!L10*'Output-Calculation-sheet'!L100</f>
        <v>8662096370.4032516</v>
      </c>
      <c r="M121" s="2">
        <f>M11/'Output-Calculation-sheet'!M10*'Output-Calculation-sheet'!M100</f>
        <v>-1.0258233161656414E-7</v>
      </c>
      <c r="N121" s="2">
        <f>N11/'Output-Calculation-sheet'!N10*'Output-Calculation-sheet'!N100</f>
        <v>2558392740.9681411</v>
      </c>
      <c r="O121" s="2">
        <f>O11/'Output-Calculation-sheet'!O10*'Output-Calculation-sheet'!O100</f>
        <v>0</v>
      </c>
      <c r="P121" s="2">
        <f>P11/'Output-Calculation-sheet'!P10*'Output-Calculation-sheet'!P100</f>
        <v>7889341850.933938</v>
      </c>
      <c r="Q121" s="2">
        <f>Q11/'Output-Calculation-sheet'!Q10*'Output-Calculation-sheet'!Q100</f>
        <v>6207542944.1141958</v>
      </c>
      <c r="R121" s="2">
        <f>R11/'Output-Calculation-sheet'!R10*'Output-Calculation-sheet'!R100</f>
        <v>7467315768.0673246</v>
      </c>
      <c r="S121" s="2">
        <f>S11/'Output-Calculation-sheet'!S10*'Output-Calculation-sheet'!S100</f>
        <v>1960046520.2074428</v>
      </c>
      <c r="T121" s="2">
        <f>T11/'Output-Calculation-sheet'!T10*'Output-Calculation-sheet'!T100</f>
        <v>2744982150.9804788</v>
      </c>
      <c r="U121" s="2">
        <f>U11/'Output-Calculation-sheet'!U10*'Output-Calculation-sheet'!U100</f>
        <v>2392237649.5719028</v>
      </c>
      <c r="V121" s="2">
        <f>V11/'Output-Calculation-sheet'!V10*'Output-Calculation-sheet'!V100</f>
        <v>1841079332.6820567</v>
      </c>
      <c r="W121" s="2">
        <f>W11/'Output-Calculation-sheet'!W10*'Output-Calculation-sheet'!W100</f>
        <v>1594013786.2172749</v>
      </c>
      <c r="X121" s="2">
        <f>X11/'Output-Calculation-sheet'!X10*'Output-Calculation-sheet'!X100</f>
        <v>84664037.618052751</v>
      </c>
      <c r="Y121" s="2">
        <f>Y11/'Output-Calculation-sheet'!Y10*'Output-Calculation-sheet'!Y100</f>
        <v>891764601.82865512</v>
      </c>
      <c r="AA121" s="2">
        <f t="shared" si="10"/>
        <v>228816.75516504367</v>
      </c>
    </row>
    <row r="122" spans="1:27" x14ac:dyDescent="0.25">
      <c r="A122" s="2">
        <v>2035</v>
      </c>
      <c r="B122" s="2">
        <f>B12/'Output-Calculation-sheet'!B11*'Output-Calculation-sheet'!B101</f>
        <v>45443966509.27504</v>
      </c>
      <c r="C122" s="2">
        <f>C12/'Output-Calculation-sheet'!C11*'Output-Calculation-sheet'!C101</f>
        <v>0</v>
      </c>
      <c r="D122" s="2">
        <f>D12/'Output-Calculation-sheet'!D11*'Output-Calculation-sheet'!D101</f>
        <v>38088986793.643471</v>
      </c>
      <c r="E122" s="2">
        <f>E12/'Output-Calculation-sheet'!E11*'Output-Calculation-sheet'!E101</f>
        <v>25647417266.114941</v>
      </c>
      <c r="F122" s="2">
        <f>F12/'Output-Calculation-sheet'!F11*'Output-Calculation-sheet'!F101</f>
        <v>19853967689.54805</v>
      </c>
      <c r="G122" s="2">
        <f>G12/'Output-Calculation-sheet'!G11*'Output-Calculation-sheet'!G101</f>
        <v>13529649846.571394</v>
      </c>
      <c r="H122" s="2">
        <f>H12/'Output-Calculation-sheet'!H11*'Output-Calculation-sheet'!H101</f>
        <v>0</v>
      </c>
      <c r="I122" s="2">
        <f>I12/'Output-Calculation-sheet'!I11*'Output-Calculation-sheet'!I101</f>
        <v>12668947149.27648</v>
      </c>
      <c r="J122" s="2">
        <f>J12/'Output-Calculation-sheet'!J11*'Output-Calculation-sheet'!J101</f>
        <v>12108562154.835531</v>
      </c>
      <c r="K122" s="2">
        <f>K12/'Output-Calculation-sheet'!K11*'Output-Calculation-sheet'!K101</f>
        <v>12226506387.004459</v>
      </c>
      <c r="L122" s="2">
        <f>L12/'Output-Calculation-sheet'!L11*'Output-Calculation-sheet'!L101</f>
        <v>8137172502.8000565</v>
      </c>
      <c r="M122" s="2">
        <f>M12/'Output-Calculation-sheet'!M11*'Output-Calculation-sheet'!M101</f>
        <v>0</v>
      </c>
      <c r="N122" s="2">
        <f>N12/'Output-Calculation-sheet'!N11*'Output-Calculation-sheet'!N101</f>
        <v>2397308236.5921025</v>
      </c>
      <c r="O122" s="2">
        <f>O12/'Output-Calculation-sheet'!O11*'Output-Calculation-sheet'!O101</f>
        <v>0</v>
      </c>
      <c r="P122" s="2">
        <f>P12/'Output-Calculation-sheet'!P11*'Output-Calculation-sheet'!P101</f>
        <v>8023810978.6100674</v>
      </c>
      <c r="Q122" s="2">
        <f>Q12/'Output-Calculation-sheet'!Q11*'Output-Calculation-sheet'!Q101</f>
        <v>5226196913.5431595</v>
      </c>
      <c r="R122" s="2">
        <f>R12/'Output-Calculation-sheet'!R11*'Output-Calculation-sheet'!R101</f>
        <v>7915954935.0152893</v>
      </c>
      <c r="S122" s="2">
        <f>S12/'Output-Calculation-sheet'!S11*'Output-Calculation-sheet'!S101</f>
        <v>1664506163.5588105</v>
      </c>
      <c r="T122" s="2">
        <f>T12/'Output-Calculation-sheet'!T11*'Output-Calculation-sheet'!T101</f>
        <v>2932863607.0123968</v>
      </c>
      <c r="U122" s="2">
        <f>U12/'Output-Calculation-sheet'!U11*'Output-Calculation-sheet'!U101</f>
        <v>2402946296.8584552</v>
      </c>
      <c r="V122" s="2">
        <f>V12/'Output-Calculation-sheet'!V11*'Output-Calculation-sheet'!V101</f>
        <v>1978192403.934412</v>
      </c>
      <c r="W122" s="2">
        <f>W12/'Output-Calculation-sheet'!W11*'Output-Calculation-sheet'!W101</f>
        <v>1706091190.0016739</v>
      </c>
      <c r="X122" s="2">
        <f>X12/'Output-Calculation-sheet'!X11*'Output-Calculation-sheet'!X101</f>
        <v>82458847.561599717</v>
      </c>
      <c r="Y122" s="2">
        <f>Y12/'Output-Calculation-sheet'!Y11*'Output-Calculation-sheet'!Y101</f>
        <v>770130168.36698043</v>
      </c>
      <c r="AA122" s="2">
        <f t="shared" si="10"/>
        <v>222805.63604012437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44763314004.245583</v>
      </c>
      <c r="C126" s="2">
        <f>C5/'Output-Calculation-sheet'!C4*'Output-Calculation-sheet'!C103</f>
        <v>21094726653.340385</v>
      </c>
      <c r="D126" s="2">
        <f>D5/'Output-Calculation-sheet'!D4*'Output-Calculation-sheet'!D103</f>
        <v>18801105245.118202</v>
      </c>
      <c r="E126" s="2">
        <f>E5/'Output-Calculation-sheet'!E4*'Output-Calculation-sheet'!E103</f>
        <v>14916768300.340132</v>
      </c>
      <c r="F126" s="2">
        <f>F5/'Output-Calculation-sheet'!F4*'Output-Calculation-sheet'!F103</f>
        <v>9602461161.5299625</v>
      </c>
      <c r="G126" s="2">
        <f>G5/'Output-Calculation-sheet'!G4*'Output-Calculation-sheet'!G103</f>
        <v>6746952760.3242254</v>
      </c>
      <c r="H126" s="2">
        <f>H5/'Output-Calculation-sheet'!H4*'Output-Calculation-sheet'!H103</f>
        <v>6581392689.2094793</v>
      </c>
      <c r="I126" s="2">
        <f>I5/'Output-Calculation-sheet'!I4*'Output-Calculation-sheet'!I103</f>
        <v>6147004718.4187431</v>
      </c>
      <c r="J126" s="2">
        <f>J5/'Output-Calculation-sheet'!J4*'Output-Calculation-sheet'!J103</f>
        <v>5983070012.922924</v>
      </c>
      <c r="K126" s="2">
        <f>K5/'Output-Calculation-sheet'!K4*'Output-Calculation-sheet'!K103</f>
        <v>5925712388.4891253</v>
      </c>
      <c r="L126" s="2">
        <f>L5/'Output-Calculation-sheet'!L4*'Output-Calculation-sheet'!L103</f>
        <v>4753683784.0318213</v>
      </c>
      <c r="M126" s="2">
        <f>M5/'Output-Calculation-sheet'!M4*'Output-Calculation-sheet'!M103</f>
        <v>4540587737.1858196</v>
      </c>
      <c r="N126" s="2">
        <f>N5/'Output-Calculation-sheet'!N4*'Output-Calculation-sheet'!N103</f>
        <v>4456573381.0424356</v>
      </c>
      <c r="O126" s="2">
        <f>O5/'Output-Calculation-sheet'!O4*'Output-Calculation-sheet'!O103</f>
        <v>4098723592.750361</v>
      </c>
      <c r="P126" s="2">
        <f>P5/'Output-Calculation-sheet'!P4*'Output-Calculation-sheet'!P103</f>
        <v>4057022662.6907754</v>
      </c>
      <c r="Q126" s="2">
        <f>Q5/'Output-Calculation-sheet'!Q4*'Output-Calculation-sheet'!Q103</f>
        <v>3991454735.8130865</v>
      </c>
      <c r="R126" s="2">
        <f>R5/'Output-Calculation-sheet'!R4*'Output-Calculation-sheet'!R103</f>
        <v>3839962828.8143768</v>
      </c>
      <c r="S126" s="2">
        <f>S5/'Output-Calculation-sheet'!S4*'Output-Calculation-sheet'!S103</f>
        <v>2552236430.5910974</v>
      </c>
      <c r="T126" s="2">
        <f>T5/'Output-Calculation-sheet'!T4*'Output-Calculation-sheet'!T103</f>
        <v>1411537197.3962164</v>
      </c>
      <c r="U126" s="2">
        <f>U5/'Output-Calculation-sheet'!U4*'Output-Calculation-sheet'!U103</f>
        <v>1229400910.4256697</v>
      </c>
      <c r="V126" s="2">
        <f>V5/'Output-Calculation-sheet'!V4*'Output-Calculation-sheet'!V103</f>
        <v>946663289.08289623</v>
      </c>
      <c r="W126" s="2">
        <f>W5/'Output-Calculation-sheet'!W4*'Output-Calculation-sheet'!W103</f>
        <v>819600514.8864044</v>
      </c>
      <c r="X126" s="2">
        <f>X5/'Output-Calculation-sheet'!X4*'Output-Calculation-sheet'!X103</f>
        <v>491760322.83928293</v>
      </c>
      <c r="Y126" s="2">
        <f>Y5/'Output-Calculation-sheet'!Y4*'Output-Calculation-sheet'!Y103</f>
        <v>478232089.57346439</v>
      </c>
      <c r="AA126" s="2">
        <f>SUM(B126:Y126)/10^6</f>
        <v>178229.94741106246</v>
      </c>
    </row>
    <row r="127" spans="1:27" x14ac:dyDescent="0.25">
      <c r="A127" s="2">
        <v>2029</v>
      </c>
      <c r="B127" s="2">
        <f>B6/'Output-Calculation-sheet'!B5*'Output-Calculation-sheet'!B104</f>
        <v>51015456741.087982</v>
      </c>
      <c r="C127" s="2">
        <f>C6/'Output-Calculation-sheet'!C5*'Output-Calculation-sheet'!C104</f>
        <v>24041051916.395721</v>
      </c>
      <c r="D127" s="2">
        <f>D6/'Output-Calculation-sheet'!D5*'Output-Calculation-sheet'!D104</f>
        <v>21427079291.037575</v>
      </c>
      <c r="E127" s="2">
        <f>E6/'Output-Calculation-sheet'!E5*'Output-Calculation-sheet'!E104</f>
        <v>17000210851.180912</v>
      </c>
      <c r="F127" s="2">
        <f>F6/'Output-Calculation-sheet'!F5*'Output-Calculation-sheet'!F104</f>
        <v>10943645771.565874</v>
      </c>
      <c r="G127" s="2">
        <f>G6/'Output-Calculation-sheet'!G5*'Output-Calculation-sheet'!G104</f>
        <v>7689305859.3538465</v>
      </c>
      <c r="H127" s="2">
        <f>H6/'Output-Calculation-sheet'!H5*'Output-Calculation-sheet'!H104</f>
        <v>7500622698.082036</v>
      </c>
      <c r="I127" s="2">
        <f>I6/'Output-Calculation-sheet'!I5*'Output-Calculation-sheet'!I104</f>
        <v>7005563819.2128611</v>
      </c>
      <c r="J127" s="2">
        <f>J6/'Output-Calculation-sheet'!J5*'Output-Calculation-sheet'!J104</f>
        <v>6818730648.2950058</v>
      </c>
      <c r="K127" s="2">
        <f>K6/'Output-Calculation-sheet'!K5*'Output-Calculation-sheet'!K104</f>
        <v>6753361325.5638475</v>
      </c>
      <c r="L127" s="2">
        <f>L6/'Output-Calculation-sheet'!L5*'Output-Calculation-sheet'!L104</f>
        <v>5417634971.6909838</v>
      </c>
      <c r="M127" s="2">
        <f>M6/'Output-Calculation-sheet'!M5*'Output-Calculation-sheet'!M104</f>
        <v>5174775809.1375484</v>
      </c>
      <c r="N127" s="2">
        <f>N6/'Output-Calculation-sheet'!N5*'Output-Calculation-sheet'!N104</f>
        <v>5079027839.5004272</v>
      </c>
      <c r="O127" s="2">
        <f>O6/'Output-Calculation-sheet'!O5*'Output-Calculation-sheet'!O104</f>
        <v>4671196958.9391279</v>
      </c>
      <c r="P127" s="2">
        <f>P6/'Output-Calculation-sheet'!P5*'Output-Calculation-sheet'!P104</f>
        <v>4623672132.3013792</v>
      </c>
      <c r="Q127" s="2">
        <f>Q6/'Output-Calculation-sheet'!Q5*'Output-Calculation-sheet'!Q104</f>
        <v>4548945234.34478</v>
      </c>
      <c r="R127" s="2">
        <f>R6/'Output-Calculation-sheet'!R5*'Output-Calculation-sheet'!R104</f>
        <v>4376293969.6866436</v>
      </c>
      <c r="S127" s="2">
        <f>S6/'Output-Calculation-sheet'!S5*'Output-Calculation-sheet'!S104</f>
        <v>2908709535.7250838</v>
      </c>
      <c r="T127" s="2">
        <f>T6/'Output-Calculation-sheet'!T5*'Output-Calculation-sheet'!T104</f>
        <v>1608688136.1595831</v>
      </c>
      <c r="U127" s="2">
        <f>U6/'Output-Calculation-sheet'!U5*'Output-Calculation-sheet'!U104</f>
        <v>1401112675.4016063</v>
      </c>
      <c r="V127" s="2">
        <f>V6/'Output-Calculation-sheet'!V5*'Output-Calculation-sheet'!V104</f>
        <v>1078884782.4109285</v>
      </c>
      <c r="W127" s="2">
        <f>W6/'Output-Calculation-sheet'!W5*'Output-Calculation-sheet'!W104</f>
        <v>934075117.02976143</v>
      </c>
      <c r="X127" s="2">
        <f>X6/'Output-Calculation-sheet'!X5*'Output-Calculation-sheet'!X104</f>
        <v>560444960.25194633</v>
      </c>
      <c r="Y127" s="2">
        <f>Y6/'Output-Calculation-sheet'!Y5*'Output-Calculation-sheet'!Y104</f>
        <v>545027225.94305325</v>
      </c>
      <c r="AA127" s="2">
        <f t="shared" ref="AA127:AA133" si="11">SUM(B127:Y127)/10^6</f>
        <v>203123.51827029852</v>
      </c>
    </row>
    <row r="128" spans="1:27" x14ac:dyDescent="0.25">
      <c r="A128" s="2">
        <v>2030</v>
      </c>
      <c r="B128" s="2">
        <f>B7/'Output-Calculation-sheet'!B6*'Output-Calculation-sheet'!B105</f>
        <v>51896474812.262794</v>
      </c>
      <c r="C128" s="2">
        <f>C7/'Output-Calculation-sheet'!C6*'Output-Calculation-sheet'!C105</f>
        <v>24456225598.630421</v>
      </c>
      <c r="D128" s="2">
        <f>D7/'Output-Calculation-sheet'!D6*'Output-Calculation-sheet'!D105</f>
        <v>21797113620.664352</v>
      </c>
      <c r="E128" s="2">
        <f>E7/'Output-Calculation-sheet'!E6*'Output-Calculation-sheet'!E105</f>
        <v>17293793696.562862</v>
      </c>
      <c r="F128" s="2">
        <f>F7/'Output-Calculation-sheet'!F6*'Output-Calculation-sheet'!F105</f>
        <v>11132639030.981236</v>
      </c>
      <c r="G128" s="2">
        <f>G7/'Output-Calculation-sheet'!G6*'Output-Calculation-sheet'!G105</f>
        <v>7822097735.8435564</v>
      </c>
      <c r="H128" s="2">
        <f>H7/'Output-Calculation-sheet'!H6*'Output-Calculation-sheet'!H105</f>
        <v>7630154883.7010937</v>
      </c>
      <c r="I128" s="2">
        <f>I7/'Output-Calculation-sheet'!I6*'Output-Calculation-sheet'!I105</f>
        <v>7126547306.5232725</v>
      </c>
      <c r="J128" s="2">
        <f>J7/'Output-Calculation-sheet'!J6*'Output-Calculation-sheet'!J105</f>
        <v>6936487608.0577002</v>
      </c>
      <c r="K128" s="2">
        <f>K7/'Output-Calculation-sheet'!K6*'Output-Calculation-sheet'!K105</f>
        <v>6869988662.7846899</v>
      </c>
      <c r="L128" s="2">
        <f>L7/'Output-Calculation-sheet'!L6*'Output-Calculation-sheet'!L105</f>
        <v>5511195523.0970068</v>
      </c>
      <c r="M128" s="2">
        <f>M7/'Output-Calculation-sheet'!M6*'Output-Calculation-sheet'!M105</f>
        <v>5264142540.350441</v>
      </c>
      <c r="N128" s="2">
        <f>N7/'Output-Calculation-sheet'!N6*'Output-Calculation-sheet'!N105</f>
        <v>5166740500.9294186</v>
      </c>
      <c r="O128" s="2">
        <f>O7/'Output-Calculation-sheet'!O6*'Output-Calculation-sheet'!O105</f>
        <v>4751866806.3680191</v>
      </c>
      <c r="P128" s="2">
        <f>P7/'Output-Calculation-sheet'!P6*'Output-Calculation-sheet'!P105</f>
        <v>4703520503.7202959</v>
      </c>
      <c r="Q128" s="2">
        <f>Q7/'Output-Calculation-sheet'!Q6*'Output-Calculation-sheet'!Q105</f>
        <v>4627503120.5125971</v>
      </c>
      <c r="R128" s="2">
        <f>R7/'Output-Calculation-sheet'!R6*'Output-Calculation-sheet'!R105</f>
        <v>4451871180.400404</v>
      </c>
      <c r="S128" s="2">
        <f>S7/'Output-Calculation-sheet'!S6*'Output-Calculation-sheet'!S105</f>
        <v>2958941871.664238</v>
      </c>
      <c r="T128" s="2">
        <f>T7/'Output-Calculation-sheet'!T6*'Output-Calculation-sheet'!T105</f>
        <v>1636469500.7609532</v>
      </c>
      <c r="U128" s="2">
        <f>U7/'Output-Calculation-sheet'!U6*'Output-Calculation-sheet'!U105</f>
        <v>1425309299.3617139</v>
      </c>
      <c r="V128" s="2">
        <f>V7/'Output-Calculation-sheet'!V6*'Output-Calculation-sheet'!V105</f>
        <v>1097516666.874289</v>
      </c>
      <c r="W128" s="2">
        <f>W7/'Output-Calculation-sheet'!W6*'Output-Calculation-sheet'!W105</f>
        <v>950206050.26231766</v>
      </c>
      <c r="X128" s="2">
        <f>X7/'Output-Calculation-sheet'!X6*'Output-Calculation-sheet'!X105</f>
        <v>570123697.27637279</v>
      </c>
      <c r="Y128" s="2">
        <f>Y7/'Output-Calculation-sheet'!Y6*'Output-Calculation-sheet'!Y105</f>
        <v>554439529.33169937</v>
      </c>
      <c r="AA128" s="2">
        <f t="shared" si="11"/>
        <v>206631.36974692179</v>
      </c>
    </row>
    <row r="129" spans="1:27" x14ac:dyDescent="0.25">
      <c r="A129" s="2">
        <v>2031</v>
      </c>
      <c r="B129" s="2">
        <f>B8/'Output-Calculation-sheet'!B7*'Output-Calculation-sheet'!B106</f>
        <v>47249175079.029663</v>
      </c>
      <c r="C129" s="2">
        <f>C8/'Output-Calculation-sheet'!C7*'Output-Calculation-sheet'!C106</f>
        <v>22266193257.652431</v>
      </c>
      <c r="D129" s="2">
        <f>D8/'Output-Calculation-sheet'!D7*'Output-Calculation-sheet'!D106</f>
        <v>19845197620.393135</v>
      </c>
      <c r="E129" s="2">
        <f>E8/'Output-Calculation-sheet'!E7*'Output-Calculation-sheet'!E106</f>
        <v>15745150484.662485</v>
      </c>
      <c r="F129" s="2">
        <f>F8/'Output-Calculation-sheet'!F7*'Output-Calculation-sheet'!F106</f>
        <v>10135718376.232706</v>
      </c>
      <c r="G129" s="2">
        <f>G8/'Output-Calculation-sheet'!G7*'Output-Calculation-sheet'!G106</f>
        <v>7121633898.423872</v>
      </c>
      <c r="H129" s="2">
        <f>H8/'Output-Calculation-sheet'!H7*'Output-Calculation-sheet'!H106</f>
        <v>6946880491.2953863</v>
      </c>
      <c r="I129" s="2">
        <f>I8/'Output-Calculation-sheet'!I7*'Output-Calculation-sheet'!I106</f>
        <v>6488369076.5523472</v>
      </c>
      <c r="J129" s="2">
        <f>J8/'Output-Calculation-sheet'!J7*'Output-Calculation-sheet'!J106</f>
        <v>6315331567.4824781</v>
      </c>
      <c r="K129" s="2">
        <f>K8/'Output-Calculation-sheet'!K7*'Output-Calculation-sheet'!K106</f>
        <v>6254786559.9511766</v>
      </c>
      <c r="L129" s="2">
        <f>L8/'Output-Calculation-sheet'!L7*'Output-Calculation-sheet'!L106</f>
        <v>5017671107.9531097</v>
      </c>
      <c r="M129" s="2">
        <f>M8/'Output-Calculation-sheet'!M7*'Output-Calculation-sheet'!M106</f>
        <v>4792741957.8800106</v>
      </c>
      <c r="N129" s="2">
        <f>N8/'Output-Calculation-sheet'!N7*'Output-Calculation-sheet'!N106</f>
        <v>4704063301.2514286</v>
      </c>
      <c r="O129" s="2">
        <f>O8/'Output-Calculation-sheet'!O7*'Output-Calculation-sheet'!O106</f>
        <v>4326339835.79284</v>
      </c>
      <c r="P129" s="2">
        <f>P8/'Output-Calculation-sheet'!P7*'Output-Calculation-sheet'!P106</f>
        <v>4282323590.5245528</v>
      </c>
      <c r="Q129" s="2">
        <f>Q8/'Output-Calculation-sheet'!Q7*'Output-Calculation-sheet'!Q106</f>
        <v>4213113521.8106499</v>
      </c>
      <c r="R129" s="2">
        <f>R8/'Output-Calculation-sheet'!R7*'Output-Calculation-sheet'!R106</f>
        <v>4053208970.2317243</v>
      </c>
      <c r="S129" s="2">
        <f>S8/'Output-Calculation-sheet'!S7*'Output-Calculation-sheet'!S106</f>
        <v>2693970318.1135044</v>
      </c>
      <c r="T129" s="2">
        <f>T8/'Output-Calculation-sheet'!T7*'Output-Calculation-sheet'!T106</f>
        <v>1489925056.1645958</v>
      </c>
      <c r="U129" s="2">
        <f>U8/'Output-Calculation-sheet'!U7*'Output-Calculation-sheet'!U106</f>
        <v>1297673560.5197587</v>
      </c>
      <c r="V129" s="2">
        <f>V8/'Output-Calculation-sheet'!V7*'Output-Calculation-sheet'!V106</f>
        <v>999234987.73211777</v>
      </c>
      <c r="W129" s="2">
        <f>W8/'Output-Calculation-sheet'!W7*'Output-Calculation-sheet'!W106</f>
        <v>865115706.74821794</v>
      </c>
      <c r="X129" s="2">
        <f>X8/'Output-Calculation-sheet'!X7*'Output-Calculation-sheet'!X106</f>
        <v>519069526.1241886</v>
      </c>
      <c r="Y129" s="2">
        <f>Y8/'Output-Calculation-sheet'!Y7*'Output-Calculation-sheet'!Y106</f>
        <v>504790021.63541412</v>
      </c>
      <c r="AA129" s="2">
        <f t="shared" si="11"/>
        <v>188127.67787415776</v>
      </c>
    </row>
    <row r="130" spans="1:27" x14ac:dyDescent="0.25">
      <c r="A130" s="2">
        <v>2032</v>
      </c>
      <c r="B130" s="2">
        <f>B9/'Output-Calculation-sheet'!B8*'Output-Calculation-sheet'!B107</f>
        <v>37535783542.866203</v>
      </c>
      <c r="C130" s="2">
        <f>C9/'Output-Calculation-sheet'!C8*'Output-Calculation-sheet'!C107</f>
        <v>17688746547.479061</v>
      </c>
      <c r="D130" s="2">
        <f>D9/'Output-Calculation-sheet'!D8*'Output-Calculation-sheet'!D107</f>
        <v>15765457216.944649</v>
      </c>
      <c r="E130" s="2">
        <f>E9/'Output-Calculation-sheet'!E8*'Output-Calculation-sheet'!E107</f>
        <v>12508288838.411114</v>
      </c>
      <c r="F130" s="2">
        <f>F9/'Output-Calculation-sheet'!F8*'Output-Calculation-sheet'!F107</f>
        <v>8052038535.808198</v>
      </c>
      <c r="G130" s="2">
        <f>G9/'Output-Calculation-sheet'!G8*'Output-Calculation-sheet'!G107</f>
        <v>5657583288.4055262</v>
      </c>
      <c r="H130" s="2">
        <f>H9/'Output-Calculation-sheet'!H8*'Output-Calculation-sheet'!H107</f>
        <v>5518753883.9608555</v>
      </c>
      <c r="I130" s="2">
        <f>I9/'Output-Calculation-sheet'!I8*'Output-Calculation-sheet'!I107</f>
        <v>5154503044.9942226</v>
      </c>
      <c r="J130" s="2">
        <f>J9/'Output-Calculation-sheet'!J8*'Output-Calculation-sheet'!J107</f>
        <v>5017036286.6783686</v>
      </c>
      <c r="K130" s="2">
        <f>K9/'Output-Calculation-sheet'!K8*'Output-Calculation-sheet'!K107</f>
        <v>4968939319.5016699</v>
      </c>
      <c r="L130" s="2">
        <f>L9/'Output-Calculation-sheet'!L8*'Output-Calculation-sheet'!L107</f>
        <v>3986148250.0042396</v>
      </c>
      <c r="M130" s="2">
        <f>M9/'Output-Calculation-sheet'!M8*'Output-Calculation-sheet'!M107</f>
        <v>3807460075.3309183</v>
      </c>
      <c r="N130" s="2">
        <f>N9/'Output-Calculation-sheet'!N8*'Output-Calculation-sheet'!N107</f>
        <v>3737009379.4780917</v>
      </c>
      <c r="O130" s="2">
        <f>O9/'Output-Calculation-sheet'!O8*'Output-Calculation-sheet'!O107</f>
        <v>3436939491.2349586</v>
      </c>
      <c r="P130" s="2">
        <f>P9/'Output-Calculation-sheet'!P8*'Output-Calculation-sheet'!P107</f>
        <v>3401971126.3627515</v>
      </c>
      <c r="Q130" s="2">
        <f>Q9/'Output-Calculation-sheet'!Q8*'Output-Calculation-sheet'!Q107</f>
        <v>3346990847.9570456</v>
      </c>
      <c r="R130" s="2">
        <f>R9/'Output-Calculation-sheet'!R8*'Output-Calculation-sheet'!R107</f>
        <v>3219958742.9570599</v>
      </c>
      <c r="S130" s="2">
        <f>S9/'Output-Calculation-sheet'!S8*'Output-Calculation-sheet'!S107</f>
        <v>2140149250.7684081</v>
      </c>
      <c r="T130" s="2">
        <f>T9/'Output-Calculation-sheet'!T8*'Output-Calculation-sheet'!T107</f>
        <v>1183629224.4787352</v>
      </c>
      <c r="U130" s="2">
        <f>U9/'Output-Calculation-sheet'!U8*'Output-Calculation-sheet'!U107</f>
        <v>1030900274.0446333</v>
      </c>
      <c r="V130" s="2">
        <f>V9/'Output-Calculation-sheet'!V8*'Output-Calculation-sheet'!V107</f>
        <v>793813828.80312824</v>
      </c>
      <c r="W130" s="2">
        <f>W9/'Output-Calculation-sheet'!W8*'Output-Calculation-sheet'!W107</f>
        <v>687267029.35442162</v>
      </c>
      <c r="X130" s="2">
        <f>X9/'Output-Calculation-sheet'!X8*'Output-Calculation-sheet'!X107</f>
        <v>412360136.70273131</v>
      </c>
      <c r="Y130" s="2">
        <f>Y9/'Output-Calculation-sheet'!Y8*'Output-Calculation-sheet'!Y107</f>
        <v>401016187.73688895</v>
      </c>
      <c r="AA130" s="2">
        <f t="shared" si="11"/>
        <v>149452.74435026388</v>
      </c>
    </row>
    <row r="131" spans="1:27" x14ac:dyDescent="0.25">
      <c r="A131" s="2">
        <v>2033</v>
      </c>
      <c r="B131" s="2">
        <f>B10/'Output-Calculation-sheet'!B9*'Output-Calculation-sheet'!B108</f>
        <v>25390726661.181374</v>
      </c>
      <c r="C131" s="2">
        <f>C10/'Output-Calculation-sheet'!C9*'Output-Calculation-sheet'!C108</f>
        <v>11965385746.899654</v>
      </c>
      <c r="D131" s="2">
        <f>D10/'Output-Calculation-sheet'!D9*'Output-Calculation-sheet'!D108</f>
        <v>10664397583.074753</v>
      </c>
      <c r="E131" s="2">
        <f>E10/'Output-Calculation-sheet'!E9*'Output-Calculation-sheet'!E108</f>
        <v>8461113986.2096806</v>
      </c>
      <c r="F131" s="2">
        <f>F10/'Output-Calculation-sheet'!F9*'Output-Calculation-sheet'!F108</f>
        <v>5446722697.0592766</v>
      </c>
      <c r="G131" s="2">
        <f>G10/'Output-Calculation-sheet'!G9*'Output-Calculation-sheet'!G108</f>
        <v>3827016848.2235928</v>
      </c>
      <c r="H131" s="2">
        <f>H10/'Output-Calculation-sheet'!H9*'Output-Calculation-sheet'!H108</f>
        <v>3733108028.5757298</v>
      </c>
      <c r="I131" s="2">
        <f>I10/'Output-Calculation-sheet'!I9*'Output-Calculation-sheet'!I108</f>
        <v>3486714945.6473031</v>
      </c>
      <c r="J131" s="2">
        <f>J10/'Output-Calculation-sheet'!J9*'Output-Calculation-sheet'!J108</f>
        <v>3393726868.8050227</v>
      </c>
      <c r="K131" s="2">
        <f>K10/'Output-Calculation-sheet'!K9*'Output-Calculation-sheet'!K108</f>
        <v>3361191250.2653794</v>
      </c>
      <c r="L131" s="2">
        <f>L10/'Output-Calculation-sheet'!L9*'Output-Calculation-sheet'!L108</f>
        <v>2696392376.7856455</v>
      </c>
      <c r="M131" s="2">
        <f>M10/'Output-Calculation-sheet'!M9*'Output-Calculation-sheet'!M108</f>
        <v>2575519113.1145163</v>
      </c>
      <c r="N131" s="2">
        <f>N10/'Output-Calculation-sheet'!N9*'Output-Calculation-sheet'!N108</f>
        <v>2527864081.407444</v>
      </c>
      <c r="O131" s="2">
        <f>O10/'Output-Calculation-sheet'!O9*'Output-Calculation-sheet'!O108</f>
        <v>2793915621.0787816</v>
      </c>
      <c r="P131" s="2">
        <f>P10/'Output-Calculation-sheet'!P9*'Output-Calculation-sheet'!P108</f>
        <v>2301231881.4785919</v>
      </c>
      <c r="Q131" s="2">
        <f>Q10/'Output-Calculation-sheet'!Q9*'Output-Calculation-sheet'!Q108</f>
        <v>2264039793.9091282</v>
      </c>
      <c r="R131" s="2">
        <f>R10/'Output-Calculation-sheet'!R9*'Output-Calculation-sheet'!R108</f>
        <v>2178109579.8649225</v>
      </c>
      <c r="S131" s="2">
        <f>S10/'Output-Calculation-sheet'!S9*'Output-Calculation-sheet'!S108</f>
        <v>1447683767.8116548</v>
      </c>
      <c r="T131" s="2">
        <f>T10/'Output-Calculation-sheet'!T9*'Output-Calculation-sheet'!T108</f>
        <v>800654194.156389</v>
      </c>
      <c r="U131" s="2">
        <f>U10/'Output-Calculation-sheet'!U9*'Output-Calculation-sheet'!U108</f>
        <v>697342583.23816872</v>
      </c>
      <c r="V131" s="2">
        <f>V10/'Output-Calculation-sheet'!V9*'Output-Calculation-sheet'!V108</f>
        <v>536967735.79845643</v>
      </c>
      <c r="W131" s="2">
        <f>W10/'Output-Calculation-sheet'!W9*'Output-Calculation-sheet'!W108</f>
        <v>464895055.34973168</v>
      </c>
      <c r="X131" s="2">
        <f>X10/'Output-Calculation-sheet'!X9*'Output-Calculation-sheet'!X108</f>
        <v>278936978.723831</v>
      </c>
      <c r="Y131" s="2">
        <f>Y10/'Output-Calculation-sheet'!Y9*'Output-Calculation-sheet'!Y108</f>
        <v>271263476.01319599</v>
      </c>
      <c r="AA131" s="2">
        <f t="shared" si="11"/>
        <v>101564.92085467225</v>
      </c>
    </row>
    <row r="132" spans="1:27" x14ac:dyDescent="0.25">
      <c r="A132" s="2">
        <v>2034</v>
      </c>
      <c r="B132" s="2">
        <f>B11/'Output-Calculation-sheet'!B10*'Output-Calculation-sheet'!B109</f>
        <v>12436585737.468653</v>
      </c>
      <c r="C132" s="2">
        <f>C11/'Output-Calculation-sheet'!C10*'Output-Calculation-sheet'!C109</f>
        <v>11314455294.065611</v>
      </c>
      <c r="D132" s="2">
        <f>D11/'Output-Calculation-sheet'!D10*'Output-Calculation-sheet'!D109</f>
        <v>5223509220.8417673</v>
      </c>
      <c r="E132" s="2">
        <f>E11/'Output-Calculation-sheet'!E10*'Output-Calculation-sheet'!E109</f>
        <v>4144324177.7827039</v>
      </c>
      <c r="F132" s="2">
        <f>F11/'Output-Calculation-sheet'!F10*'Output-Calculation-sheet'!F109</f>
        <v>2667850190.8721571</v>
      </c>
      <c r="G132" s="2">
        <f>G11/'Output-Calculation-sheet'!G10*'Output-Calculation-sheet'!G109</f>
        <v>1874505054.2274048</v>
      </c>
      <c r="H132" s="2">
        <f>H11/'Output-Calculation-sheet'!H10*'Output-Calculation-sheet'!H109</f>
        <v>1828507438.4196718</v>
      </c>
      <c r="I132" s="2">
        <f>I11/'Output-Calculation-sheet'!I10*'Output-Calculation-sheet'!I109</f>
        <v>1707821525.038368</v>
      </c>
      <c r="J132" s="2">
        <f>J11/'Output-Calculation-sheet'!J10*'Output-Calculation-sheet'!J109</f>
        <v>1662275455.8931231</v>
      </c>
      <c r="K132" s="2">
        <f>K11/'Output-Calculation-sheet'!K10*'Output-Calculation-sheet'!K109</f>
        <v>1646339758.3928337</v>
      </c>
      <c r="L132" s="2">
        <f>L11/'Output-Calculation-sheet'!L10*'Output-Calculation-sheet'!L109</f>
        <v>1320715262.2935984</v>
      </c>
      <c r="M132" s="2">
        <f>M11/'Output-Calculation-sheet'!M10*'Output-Calculation-sheet'!M109</f>
        <v>1261510735.8462007</v>
      </c>
      <c r="N132" s="2">
        <f>N11/'Output-Calculation-sheet'!N10*'Output-Calculation-sheet'!N109</f>
        <v>1238169287.8232954</v>
      </c>
      <c r="O132" s="2">
        <f>O11/'Output-Calculation-sheet'!O10*'Output-Calculation-sheet'!O109</f>
        <v>2548024943.5530233</v>
      </c>
      <c r="P132" s="2">
        <f>P11/'Output-Calculation-sheet'!P10*'Output-Calculation-sheet'!P109</f>
        <v>1127162208.2250929</v>
      </c>
      <c r="Q132" s="2">
        <f>Q11/'Output-Calculation-sheet'!Q10*'Output-Calculation-sheet'!Q109</f>
        <v>1108945400.0837493</v>
      </c>
      <c r="R132" s="2">
        <f>R11/'Output-Calculation-sheet'!R10*'Output-Calculation-sheet'!R109</f>
        <v>1066856399.6829075</v>
      </c>
      <c r="S132" s="2">
        <f>S11/'Output-Calculation-sheet'!S10*'Output-Calculation-sheet'!S109</f>
        <v>709087469.99970269</v>
      </c>
      <c r="T132" s="2">
        <f>T11/'Output-Calculation-sheet'!T10*'Output-Calculation-sheet'!T109</f>
        <v>392167223.40462923</v>
      </c>
      <c r="U132" s="2">
        <f>U11/'Output-Calculation-sheet'!U10*'Output-Calculation-sheet'!U109</f>
        <v>341564265.24588621</v>
      </c>
      <c r="V132" s="2">
        <f>V11/'Output-Calculation-sheet'!V10*'Output-Calculation-sheet'!V109</f>
        <v>263011315.51027641</v>
      </c>
      <c r="W132" s="2">
        <f>W11/'Output-Calculation-sheet'!W10*'Output-Calculation-sheet'!W109</f>
        <v>227709510.14997613</v>
      </c>
      <c r="X132" s="2">
        <f>X11/'Output-Calculation-sheet'!X10*'Output-Calculation-sheet'!X109</f>
        <v>136625700.75244555</v>
      </c>
      <c r="Y132" s="2">
        <f>Y11/'Output-Calculation-sheet'!Y10*'Output-Calculation-sheet'!Y109</f>
        <v>132867153.64565763</v>
      </c>
      <c r="AA132" s="2">
        <f t="shared" si="11"/>
        <v>56380.59072921874</v>
      </c>
    </row>
    <row r="133" spans="1:27" x14ac:dyDescent="0.25">
      <c r="A133" s="2">
        <v>2035</v>
      </c>
      <c r="B133" s="2">
        <f>B12/'Output-Calculation-sheet'!B11*'Output-Calculation-sheet'!B110</f>
        <v>5172264719.361125</v>
      </c>
      <c r="C133" s="2">
        <f>C12/'Output-Calculation-sheet'!C11*'Output-Calculation-sheet'!C110</f>
        <v>9933252139.8422089</v>
      </c>
      <c r="D133" s="2">
        <f>D12/'Output-Calculation-sheet'!D11*'Output-Calculation-sheet'!D110</f>
        <v>2567479597.9332085</v>
      </c>
      <c r="E133" s="2">
        <f>E12/'Output-Calculation-sheet'!E11*'Output-Calculation-sheet'!E110</f>
        <v>1304599194.4750664</v>
      </c>
      <c r="F133" s="2">
        <f>F12/'Output-Calculation-sheet'!F11*'Output-Calculation-sheet'!F110</f>
        <v>883128265.70995045</v>
      </c>
      <c r="G133" s="2">
        <f>G12/'Output-Calculation-sheet'!G11*'Output-Calculation-sheet'!G110</f>
        <v>1115985172.5965011</v>
      </c>
      <c r="H133" s="2">
        <f>H12/'Output-Calculation-sheet'!H11*'Output-Calculation-sheet'!H110</f>
        <v>1316479143.304961</v>
      </c>
      <c r="I133" s="2">
        <f>I12/'Output-Calculation-sheet'!I11*'Output-Calculation-sheet'!I110</f>
        <v>616718261.1365242</v>
      </c>
      <c r="J133" s="2">
        <f>J12/'Output-Calculation-sheet'!J11*'Output-Calculation-sheet'!J110</f>
        <v>746174709.72195125</v>
      </c>
      <c r="K133" s="2">
        <f>K12/'Output-Calculation-sheet'!K11*'Output-Calculation-sheet'!K110</f>
        <v>565797870.96727502</v>
      </c>
      <c r="L133" s="2">
        <f>L12/'Output-Calculation-sheet'!L11*'Output-Calculation-sheet'!L110</f>
        <v>363597742.6688202</v>
      </c>
      <c r="M133" s="2">
        <f>M12/'Output-Calculation-sheet'!M11*'Output-Calculation-sheet'!M110</f>
        <v>818836779.32128239</v>
      </c>
      <c r="N133" s="2">
        <f>N12/'Output-Calculation-sheet'!N11*'Output-Calculation-sheet'!N110</f>
        <v>681302129.5692209</v>
      </c>
      <c r="O133" s="2">
        <f>O12/'Output-Calculation-sheet'!O11*'Output-Calculation-sheet'!O110</f>
        <v>2406131468.8168802</v>
      </c>
      <c r="P133" s="2">
        <f>P12/'Output-Calculation-sheet'!P11*'Output-Calculation-sheet'!P110</f>
        <v>475997884.67632884</v>
      </c>
      <c r="Q133" s="2">
        <f>Q12/'Output-Calculation-sheet'!Q11*'Output-Calculation-sheet'!Q110</f>
        <v>592885362.64845026</v>
      </c>
      <c r="R133" s="2">
        <f>R12/'Output-Calculation-sheet'!R11*'Output-Calculation-sheet'!R110</f>
        <v>373093035.45493305</v>
      </c>
      <c r="S133" s="2">
        <f>S12/'Output-Calculation-sheet'!S11*'Output-Calculation-sheet'!S110</f>
        <v>358722971.97792113</v>
      </c>
      <c r="T133" s="2">
        <f>T12/'Output-Calculation-sheet'!T11*'Output-Calculation-sheet'!T110</f>
        <v>97049238.973770544</v>
      </c>
      <c r="U133" s="2">
        <f>U12/'Output-Calculation-sheet'!U11*'Output-Calculation-sheet'!U110</f>
        <v>157759834.11013249</v>
      </c>
      <c r="V133" s="2">
        <f>V12/'Output-Calculation-sheet'!V11*'Output-Calculation-sheet'!V110</f>
        <v>39810599.899728097</v>
      </c>
      <c r="W133" s="2">
        <f>W12/'Output-Calculation-sheet'!W11*'Output-Calculation-sheet'!W110</f>
        <v>64905008.967542052</v>
      </c>
      <c r="X133" s="2">
        <f>X12/'Output-Calculation-sheet'!X11*'Output-Calculation-sheet'!X110</f>
        <v>113666063.68087845</v>
      </c>
      <c r="Y133" s="2">
        <f>Y12/'Output-Calculation-sheet'!Y11*'Output-Calculation-sheet'!Y110</f>
        <v>59726911.675533943</v>
      </c>
      <c r="AA133" s="2">
        <f t="shared" si="11"/>
        <v>30825.36410749019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1272.5976104580825</v>
      </c>
      <c r="C19" s="2">
        <f>C8/'Output-Calculation-sheet'!C7*'Output-Calculation-sheet'!C25</f>
        <v>19184.605535193718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5710.7424890772363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3967.3359520919544</v>
      </c>
      <c r="N19" s="2">
        <f>N8/'Output-Calculation-sheet'!N7*'Output-Calculation-sheet'!N25</f>
        <v>1358.2698028684515</v>
      </c>
      <c r="O19" s="2">
        <f>O8/'Output-Calculation-sheet'!O7*'Output-Calculation-sheet'!O25</f>
        <v>3710.2190204594908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484.65210754987396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443.27058523163254</v>
      </c>
      <c r="Y19" s="2">
        <f>Y8/'Output-Calculation-sheet'!Y7*'Output-Calculation-sheet'!Y25</f>
        <v>0</v>
      </c>
      <c r="AA19" s="2">
        <f t="shared" si="0"/>
        <v>36.131693102930448</v>
      </c>
    </row>
    <row r="20" spans="1:27" x14ac:dyDescent="0.25">
      <c r="A20" s="2">
        <v>2032</v>
      </c>
      <c r="B20" s="2">
        <f>B9/'Output-Calculation-sheet'!B8*'Output-Calculation-sheet'!B26</f>
        <v>7258.6890158256656</v>
      </c>
      <c r="C20" s="2">
        <f>C9/'Output-Calculation-sheet'!C8*'Output-Calculation-sheet'!C26</f>
        <v>26582.34855294782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7897.2336734296096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5487.6715803217694</v>
      </c>
      <c r="N20" s="2">
        <f>N9/'Output-Calculation-sheet'!N8*'Output-Calculation-sheet'!N26</f>
        <v>2470.7970974537425</v>
      </c>
      <c r="O20" s="2">
        <f>O9/'Output-Calculation-sheet'!O8*'Output-Calculation-sheet'!O26</f>
        <v>5179.4547703925646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899.96593206929697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613.85328169922082</v>
      </c>
      <c r="Y20" s="2">
        <f>Y9/'Output-Calculation-sheet'!Y8*'Output-Calculation-sheet'!Y26</f>
        <v>0</v>
      </c>
      <c r="AA20" s="2">
        <f t="shared" si="0"/>
        <v>56.390013904139693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38662.293744716939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9898.3836954976687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6875.2494335585725</v>
      </c>
      <c r="N21" s="2">
        <f>N10/'Output-Calculation-sheet'!N9*'Output-Calculation-sheet'!N27</f>
        <v>3761.8544726887867</v>
      </c>
      <c r="O21" s="2">
        <f>O10/'Output-Calculation-sheet'!O9*'Output-Calculation-sheet'!O27</f>
        <v>6568.2493326191725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1637.1079919641977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808.43396629657946</v>
      </c>
      <c r="Y21" s="2">
        <f>Y10/'Output-Calculation-sheet'!Y9*'Output-Calculation-sheet'!Y27</f>
        <v>0</v>
      </c>
      <c r="AA21" s="2">
        <f t="shared" si="0"/>
        <v>85.589162728049146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39176.000427296116</v>
      </c>
      <c r="D22" s="2">
        <f>D11/'Output-Calculation-sheet'!D10*'Output-Calculation-sheet'!D28</f>
        <v>0</v>
      </c>
      <c r="E22" s="2">
        <f>E11/'Output-Calculation-sheet'!E10*'Output-Calculation-sheet'!E28</f>
        <v>1661.9832465572317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12918.864680101462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980.22385832552152</v>
      </c>
      <c r="M22" s="2">
        <f>M11/'Output-Calculation-sheet'!M10*'Output-Calculation-sheet'!M28</f>
        <v>8904.2999631481835</v>
      </c>
      <c r="N22" s="2">
        <f>N11/'Output-Calculation-sheet'!N10*'Output-Calculation-sheet'!N28</f>
        <v>5124.4742286236606</v>
      </c>
      <c r="O22" s="2">
        <f>O11/'Output-Calculation-sheet'!O10*'Output-Calculation-sheet'!O28</f>
        <v>6898.9280181263648</v>
      </c>
      <c r="P22" s="2">
        <f>P11/'Output-Calculation-sheet'!P10*'Output-Calculation-sheet'!P28</f>
        <v>0</v>
      </c>
      <c r="Q22" s="2">
        <f>Q11/'Output-Calculation-sheet'!Q10*'Output-Calculation-sheet'!Q28</f>
        <v>1921.9465725155219</v>
      </c>
      <c r="R22" s="2">
        <f>R11/'Output-Calculation-sheet'!R10*'Output-Calculation-sheet'!R28</f>
        <v>0</v>
      </c>
      <c r="S22" s="2">
        <f>S11/'Output-Calculation-sheet'!S10*'Output-Calculation-sheet'!S28</f>
        <v>2598.8365260917303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912.07546720522032</v>
      </c>
      <c r="Y22" s="2">
        <f>Y11/'Output-Calculation-sheet'!Y10*'Output-Calculation-sheet'!Y28</f>
        <v>89.488725191372168</v>
      </c>
      <c r="AA22" s="2">
        <f t="shared" si="0"/>
        <v>113.35677244503611</v>
      </c>
    </row>
    <row r="23" spans="1:27" x14ac:dyDescent="0.25">
      <c r="A23" s="2">
        <v>2035</v>
      </c>
      <c r="B23" s="2">
        <f>B12/'Output-Calculation-sheet'!B11*'Output-Calculation-sheet'!B29</f>
        <v>42021.710306631612</v>
      </c>
      <c r="C23" s="2">
        <f>C12/'Output-Calculation-sheet'!C11*'Output-Calculation-sheet'!C29</f>
        <v>39182.972862475137</v>
      </c>
      <c r="D23" s="2">
        <f>D12/'Output-Calculation-sheet'!D11*'Output-Calculation-sheet'!D29</f>
        <v>0</v>
      </c>
      <c r="E23" s="2">
        <f>E12/'Output-Calculation-sheet'!E11*'Output-Calculation-sheet'!E29</f>
        <v>7718.8857405569524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13485.432947967804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2238.0569807803813</v>
      </c>
      <c r="M23" s="2">
        <f>M12/'Output-Calculation-sheet'!M11*'Output-Calculation-sheet'!M29</f>
        <v>9585.0870371783531</v>
      </c>
      <c r="N23" s="2">
        <f>N12/'Output-Calculation-sheet'!N11*'Output-Calculation-sheet'!N29</f>
        <v>5566.9118926862166</v>
      </c>
      <c r="O23" s="2">
        <f>O12/'Output-Calculation-sheet'!O11*'Output-Calculation-sheet'!O29</f>
        <v>6477.8782018951961</v>
      </c>
      <c r="P23" s="2">
        <f>P12/'Output-Calculation-sheet'!P11*'Output-Calculation-sheet'!P29</f>
        <v>895.42798657597655</v>
      </c>
      <c r="Q23" s="2">
        <f>Q12/'Output-Calculation-sheet'!Q11*'Output-Calculation-sheet'!Q29</f>
        <v>2850.472498932862</v>
      </c>
      <c r="R23" s="2">
        <f>R12/'Output-Calculation-sheet'!R11*'Output-Calculation-sheet'!R29</f>
        <v>0</v>
      </c>
      <c r="S23" s="2">
        <f>S12/'Output-Calculation-sheet'!S11*'Output-Calculation-sheet'!S29</f>
        <v>3078.7213506421167</v>
      </c>
      <c r="T23" s="2">
        <f>T12/'Output-Calculation-sheet'!T11*'Output-Calculation-sheet'!T29</f>
        <v>0</v>
      </c>
      <c r="U23" s="2">
        <f>U12/'Output-Calculation-sheet'!U11*'Output-Calculation-sheet'!U29</f>
        <v>332.22515304282331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915.78485541139025</v>
      </c>
      <c r="Y23" s="2">
        <f>Y12/'Output-Calculation-sheet'!Y11*'Output-Calculation-sheet'!Y29</f>
        <v>282.56748289807558</v>
      </c>
      <c r="AA23" s="2">
        <f t="shared" si="0"/>
        <v>134.63213529767489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22180.962951587386</v>
      </c>
      <c r="C30" s="2">
        <f>C8/'Output-Calculation-sheet'!C7*'Output-Calculation-sheet'!C16</f>
        <v>0</v>
      </c>
      <c r="D30" s="2">
        <f>D8/'Output-Calculation-sheet'!D7*'Output-Calculation-sheet'!D16</f>
        <v>3734.9809363681638</v>
      </c>
      <c r="E30" s="2">
        <f>E8/'Output-Calculation-sheet'!E7*'Output-Calculation-sheet'!E16</f>
        <v>4018.6284691096216</v>
      </c>
      <c r="F30" s="2">
        <f>F8/'Output-Calculation-sheet'!F7*'Output-Calculation-sheet'!F16</f>
        <v>2027.419446881692</v>
      </c>
      <c r="G30" s="2">
        <f>G8/'Output-Calculation-sheet'!G7*'Output-Calculation-sheet'!G16</f>
        <v>1327.7189378245739</v>
      </c>
      <c r="H30" s="2">
        <f>H8/'Output-Calculation-sheet'!H7*'Output-Calculation-sheet'!H16</f>
        <v>0</v>
      </c>
      <c r="I30" s="2">
        <f>I8/'Output-Calculation-sheet'!I7*'Output-Calculation-sheet'!I16</f>
        <v>1294.3271632849362</v>
      </c>
      <c r="J30" s="2">
        <f>J8/'Output-Calculation-sheet'!J7*'Output-Calculation-sheet'!J16</f>
        <v>1152.200053481763</v>
      </c>
      <c r="K30" s="2">
        <f>K8/'Output-Calculation-sheet'!K7*'Output-Calculation-sheet'!K16</f>
        <v>1538.4073026955293</v>
      </c>
      <c r="L30" s="2">
        <f>L8/'Output-Calculation-sheet'!L7*'Output-Calculation-sheet'!L16</f>
        <v>1299.4540144956845</v>
      </c>
      <c r="M30" s="2">
        <f>M8/'Output-Calculation-sheet'!M7*'Output-Calculation-sheet'!M16</f>
        <v>0</v>
      </c>
      <c r="N30" s="2">
        <f>N8/'Output-Calculation-sheet'!N7*'Output-Calculation-sheet'!N16</f>
        <v>1845.7649501859823</v>
      </c>
      <c r="O30" s="2">
        <f>O8/'Output-Calculation-sheet'!O7*'Output-Calculation-sheet'!O16</f>
        <v>0</v>
      </c>
      <c r="P30" s="2">
        <f>P8/'Output-Calculation-sheet'!P7*'Output-Calculation-sheet'!P16</f>
        <v>1658.9129728426078</v>
      </c>
      <c r="Q30" s="2">
        <f>Q8/'Output-Calculation-sheet'!Q7*'Output-Calculation-sheet'!Q16</f>
        <v>1824.2563978023686</v>
      </c>
      <c r="R30" s="2">
        <f>R8/'Output-Calculation-sheet'!R7*'Output-Calculation-sheet'!R16</f>
        <v>1157.4986133246766</v>
      </c>
      <c r="S30" s="2">
        <f>S8/'Output-Calculation-sheet'!S7*'Output-Calculation-sheet'!S16</f>
        <v>1164.1041886529733</v>
      </c>
      <c r="T30" s="2">
        <f>T8/'Output-Calculation-sheet'!T7*'Output-Calculation-sheet'!T16</f>
        <v>347.46444555639681</v>
      </c>
      <c r="U30" s="2">
        <f>U8/'Output-Calculation-sheet'!U7*'Output-Calculation-sheet'!U16</f>
        <v>346.84336167086599</v>
      </c>
      <c r="V30" s="2">
        <f>V8/'Output-Calculation-sheet'!V7*'Output-Calculation-sheet'!V16</f>
        <v>269.94159542610441</v>
      </c>
      <c r="W30" s="2">
        <f>W8/'Output-Calculation-sheet'!W7*'Output-Calculation-sheet'!W16</f>
        <v>163.73318606630318</v>
      </c>
      <c r="X30" s="2">
        <f>X8/'Output-Calculation-sheet'!X7*'Output-Calculation-sheet'!X16</f>
        <v>0</v>
      </c>
      <c r="Y30" s="2">
        <f>Y8/'Output-Calculation-sheet'!Y7*'Output-Calculation-sheet'!Y16</f>
        <v>138.5815276135755</v>
      </c>
      <c r="AA30" s="2">
        <f t="shared" si="1"/>
        <v>47.491200514871203</v>
      </c>
    </row>
    <row r="31" spans="1:27" x14ac:dyDescent="0.25">
      <c r="A31" s="2">
        <v>2032</v>
      </c>
      <c r="B31" s="2">
        <f>B9/'Output-Calculation-sheet'!B8*'Output-Calculation-sheet'!B17</f>
        <v>30735.687473061404</v>
      </c>
      <c r="C31" s="2">
        <f>C9/'Output-Calculation-sheet'!C8*'Output-Calculation-sheet'!C17</f>
        <v>0</v>
      </c>
      <c r="D31" s="2">
        <f>D9/'Output-Calculation-sheet'!D8*'Output-Calculation-sheet'!D17</f>
        <v>5154.7783377291771</v>
      </c>
      <c r="E31" s="2">
        <f>E9/'Output-Calculation-sheet'!E8*'Output-Calculation-sheet'!E17</f>
        <v>6058.7376478477217</v>
      </c>
      <c r="F31" s="2">
        <f>F9/'Output-Calculation-sheet'!F8*'Output-Calculation-sheet'!F17</f>
        <v>2798.1809234319139</v>
      </c>
      <c r="G31" s="2">
        <f>G9/'Output-Calculation-sheet'!G8*'Output-Calculation-sheet'!G17</f>
        <v>1832.4591829467038</v>
      </c>
      <c r="H31" s="2">
        <f>H9/'Output-Calculation-sheet'!H8*'Output-Calculation-sheet'!H17</f>
        <v>0</v>
      </c>
      <c r="I31" s="2">
        <f>I9/'Output-Calculation-sheet'!I8*'Output-Calculation-sheet'!I17</f>
        <v>1786.3816941457412</v>
      </c>
      <c r="J31" s="2">
        <f>J9/'Output-Calculation-sheet'!J8*'Output-Calculation-sheet'!J17</f>
        <v>1590.2240324401334</v>
      </c>
      <c r="K31" s="2">
        <f>K9/'Output-Calculation-sheet'!K8*'Output-Calculation-sheet'!K17</f>
        <v>2264.0567947385898</v>
      </c>
      <c r="L31" s="2">
        <f>L9/'Output-Calculation-sheet'!L8*'Output-Calculation-sheet'!L17</f>
        <v>1930.8424347905511</v>
      </c>
      <c r="M31" s="2">
        <f>M9/'Output-Calculation-sheet'!M8*'Output-Calculation-sheet'!M17</f>
        <v>0</v>
      </c>
      <c r="N31" s="2">
        <f>N9/'Output-Calculation-sheet'!N8*'Output-Calculation-sheet'!N17</f>
        <v>2106.7024693743783</v>
      </c>
      <c r="O31" s="2">
        <f>O9/'Output-Calculation-sheet'!O8*'Output-Calculation-sheet'!O17</f>
        <v>0</v>
      </c>
      <c r="P31" s="2">
        <f>P9/'Output-Calculation-sheet'!P8*'Output-Calculation-sheet'!P17</f>
        <v>2605.2135894990374</v>
      </c>
      <c r="Q31" s="2">
        <f>Q9/'Output-Calculation-sheet'!Q8*'Output-Calculation-sheet'!Q17</f>
        <v>2777.397045483523</v>
      </c>
      <c r="R31" s="2">
        <f>R9/'Output-Calculation-sheet'!R8*'Output-Calculation-sheet'!R17</f>
        <v>1817.1199308873868</v>
      </c>
      <c r="S31" s="2">
        <f>S9/'Output-Calculation-sheet'!S8*'Output-Calculation-sheet'!S17</f>
        <v>1563.5510607076596</v>
      </c>
      <c r="T31" s="2">
        <f>T9/'Output-Calculation-sheet'!T8*'Output-Calculation-sheet'!T17</f>
        <v>493.08876925723712</v>
      </c>
      <c r="U31" s="2">
        <f>U9/'Output-Calculation-sheet'!U8*'Output-Calculation-sheet'!U17</f>
        <v>566.71619334625996</v>
      </c>
      <c r="V31" s="2">
        <f>V9/'Output-Calculation-sheet'!V8*'Output-Calculation-sheet'!V17</f>
        <v>405.91191922526656</v>
      </c>
      <c r="W31" s="2">
        <f>W9/'Output-Calculation-sheet'!W8*'Output-Calculation-sheet'!W17</f>
        <v>225.98074263112335</v>
      </c>
      <c r="X31" s="2">
        <f>X9/'Output-Calculation-sheet'!X8*'Output-Calculation-sheet'!X17</f>
        <v>0</v>
      </c>
      <c r="Y31" s="2">
        <f>Y9/'Output-Calculation-sheet'!Y8*'Output-Calculation-sheet'!Y17</f>
        <v>218.34635668699772</v>
      </c>
      <c r="AA31" s="2">
        <f t="shared" si="1"/>
        <v>66.931376598230784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2115.3605412050879</v>
      </c>
      <c r="O32" s="2">
        <f>O10/'Output-Calculation-sheet'!O9*'Output-Calculation-sheet'!O18</f>
        <v>0</v>
      </c>
      <c r="P32" s="2">
        <f>P10/'Output-Calculation-sheet'!P9*'Output-Calculation-sheet'!P18</f>
        <v>3405.9625978237564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2445.7073966495627</v>
      </c>
      <c r="S32" s="2">
        <f>S10/'Output-Calculation-sheet'!S9*'Output-Calculation-sheet'!S18</f>
        <v>1600.6508103783283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789.56985713787356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83.422255414049005</v>
      </c>
    </row>
    <row r="33" spans="1:27" x14ac:dyDescent="0.25">
      <c r="A33" s="2">
        <v>2034</v>
      </c>
      <c r="B33" s="2">
        <f>B11/'Output-Calculation-sheet'!B10*'Output-Calculation-sheet'!B19</f>
        <v>32447.691093605226</v>
      </c>
      <c r="C33" s="2">
        <f>C11/'Output-Calculation-sheet'!C10*'Output-Calculation-sheet'!C19</f>
        <v>0</v>
      </c>
      <c r="D33" s="2">
        <f>D11/'Output-Calculation-sheet'!D10*'Output-Calculation-sheet'!D19</f>
        <v>9678.3008109173807</v>
      </c>
      <c r="E33" s="2">
        <f>E11/'Output-Calculation-sheet'!E10*'Output-Calculation-sheet'!E19</f>
        <v>11991.579462205962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3294.6583890878851</v>
      </c>
      <c r="H33" s="2">
        <f>H11/'Output-Calculation-sheet'!H10*'Output-Calculation-sheet'!H19</f>
        <v>0</v>
      </c>
      <c r="I33" s="2">
        <f>I11/'Output-Calculation-sheet'!I10*'Output-Calculation-sheet'!I19</f>
        <v>3594.9269792860073</v>
      </c>
      <c r="J33" s="2">
        <f>J11/'Output-Calculation-sheet'!J10*'Output-Calculation-sheet'!J19</f>
        <v>3039.338316181761</v>
      </c>
      <c r="K33" s="2">
        <f>K11/'Output-Calculation-sheet'!K10*'Output-Calculation-sheet'!K19</f>
        <v>4218.0408444105096</v>
      </c>
      <c r="L33" s="2">
        <f>L11/'Output-Calculation-sheet'!L10*'Output-Calculation-sheet'!L19</f>
        <v>3431.9410156982863</v>
      </c>
      <c r="M33" s="2">
        <f>M11/'Output-Calculation-sheet'!M10*'Output-Calculation-sheet'!M19</f>
        <v>0</v>
      </c>
      <c r="N33" s="2">
        <f>N11/'Output-Calculation-sheet'!N10*'Output-Calculation-sheet'!N19</f>
        <v>1939.6479932185814</v>
      </c>
      <c r="O33" s="2">
        <f>O11/'Output-Calculation-sheet'!O10*'Output-Calculation-sheet'!O19</f>
        <v>0</v>
      </c>
      <c r="P33" s="2">
        <f>P11/'Output-Calculation-sheet'!P10*'Output-Calculation-sheet'!P19</f>
        <v>4267.9132660677806</v>
      </c>
      <c r="Q33" s="2">
        <f>Q11/'Output-Calculation-sheet'!Q10*'Output-Calculation-sheet'!Q19</f>
        <v>3417.267739527615</v>
      </c>
      <c r="R33" s="2">
        <f>R11/'Output-Calculation-sheet'!R10*'Output-Calculation-sheet'!R19</f>
        <v>3047.1776828510428</v>
      </c>
      <c r="S33" s="2">
        <f>S11/'Output-Calculation-sheet'!S10*'Output-Calculation-sheet'!S19</f>
        <v>1424.2321976211419</v>
      </c>
      <c r="T33" s="2">
        <f>T11/'Output-Calculation-sheet'!T10*'Output-Calculation-sheet'!T19</f>
        <v>894.09466938425351</v>
      </c>
      <c r="U33" s="2">
        <f>U11/'Output-Calculation-sheet'!U10*'Output-Calculation-sheet'!U19</f>
        <v>1028.2259794440442</v>
      </c>
      <c r="V33" s="2">
        <f>V11/'Output-Calculation-sheet'!V10*'Output-Calculation-sheet'!V19</f>
        <v>701.20430057224826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172.44620777487538</v>
      </c>
      <c r="Y33" s="2">
        <f>Y11/'Output-Calculation-sheet'!Y10*'Output-Calculation-sheet'!Y19</f>
        <v>393.50554943047939</v>
      </c>
      <c r="AA33" s="2">
        <f t="shared" si="1"/>
        <v>94.920418736131666</v>
      </c>
    </row>
    <row r="34" spans="1:27" x14ac:dyDescent="0.25">
      <c r="A34" s="2">
        <v>2035</v>
      </c>
      <c r="B34" s="2">
        <f>B12/'Output-Calculation-sheet'!B11*'Output-Calculation-sheet'!B20</f>
        <v>29164.768498465986</v>
      </c>
      <c r="C34" s="2">
        <f>C12/'Output-Calculation-sheet'!C11*'Output-Calculation-sheet'!C20</f>
        <v>0</v>
      </c>
      <c r="D34" s="2">
        <f>D12/'Output-Calculation-sheet'!D11*'Output-Calculation-sheet'!D20</f>
        <v>10807.727435892417</v>
      </c>
      <c r="E34" s="2">
        <f>E12/'Output-Calculation-sheet'!E11*'Output-Calculation-sheet'!E20</f>
        <v>9745.9731562533743</v>
      </c>
      <c r="F34" s="2">
        <f>F12/'Output-Calculation-sheet'!F11*'Output-Calculation-sheet'!F20</f>
        <v>6909.6586545951477</v>
      </c>
      <c r="G34" s="2">
        <f>G12/'Output-Calculation-sheet'!G11*'Output-Calculation-sheet'!G20</f>
        <v>3438.1612396856312</v>
      </c>
      <c r="H34" s="2">
        <f>H12/'Output-Calculation-sheet'!H11*'Output-Calculation-sheet'!H20</f>
        <v>0</v>
      </c>
      <c r="I34" s="2">
        <f>I12/'Output-Calculation-sheet'!I11*'Output-Calculation-sheet'!I20</f>
        <v>4224.3590741900507</v>
      </c>
      <c r="J34" s="2">
        <f>J12/'Output-Calculation-sheet'!J11*'Output-Calculation-sheet'!J20</f>
        <v>3519.2039003094537</v>
      </c>
      <c r="K34" s="2">
        <f>K12/'Output-Calculation-sheet'!K11*'Output-Calculation-sheet'!K20</f>
        <v>4952.7985569817201</v>
      </c>
      <c r="L34" s="2">
        <f>L12/'Output-Calculation-sheet'!L11*'Output-Calculation-sheet'!L20</f>
        <v>3369.8658695447793</v>
      </c>
      <c r="M34" s="2">
        <f>M12/'Output-Calculation-sheet'!M11*'Output-Calculation-sheet'!M20</f>
        <v>0</v>
      </c>
      <c r="N34" s="2">
        <f>N12/'Output-Calculation-sheet'!N11*'Output-Calculation-sheet'!N20</f>
        <v>1928.8071018251817</v>
      </c>
      <c r="O34" s="2">
        <f>O12/'Output-Calculation-sheet'!O11*'Output-Calculation-sheet'!O20</f>
        <v>0</v>
      </c>
      <c r="P34" s="2">
        <f>P12/'Output-Calculation-sheet'!P11*'Output-Calculation-sheet'!P20</f>
        <v>4097.0252721380311</v>
      </c>
      <c r="Q34" s="2">
        <f>Q12/'Output-Calculation-sheet'!Q11*'Output-Calculation-sheet'!Q20</f>
        <v>2920.9340794625405</v>
      </c>
      <c r="R34" s="2">
        <f>R12/'Output-Calculation-sheet'!R11*'Output-Calculation-sheet'!R20</f>
        <v>3554.5815129012208</v>
      </c>
      <c r="S34" s="2">
        <f>S12/'Output-Calculation-sheet'!S11*'Output-Calculation-sheet'!S20</f>
        <v>1272.8186484854862</v>
      </c>
      <c r="T34" s="2">
        <f>T12/'Output-Calculation-sheet'!T11*'Output-Calculation-sheet'!T20</f>
        <v>1028.8977826257546</v>
      </c>
      <c r="U34" s="2">
        <f>U12/'Output-Calculation-sheet'!U11*'Output-Calculation-sheet'!U20</f>
        <v>942.05770701902588</v>
      </c>
      <c r="V34" s="2">
        <f>V12/'Output-Calculation-sheet'!V11*'Output-Calculation-sheet'!V20</f>
        <v>929.963863077734</v>
      </c>
      <c r="W34" s="2">
        <f>W12/'Output-Calculation-sheet'!W11*'Output-Calculation-sheet'!W20</f>
        <v>549.31423707538852</v>
      </c>
      <c r="X34" s="2">
        <f>X12/'Output-Calculation-sheet'!X11*'Output-Calculation-sheet'!X20</f>
        <v>158.83936455269077</v>
      </c>
      <c r="Y34" s="2">
        <f>Y12/'Output-Calculation-sheet'!Y11*'Output-Calculation-sheet'!Y20</f>
        <v>296.2103472084504</v>
      </c>
      <c r="AA34" s="2">
        <f t="shared" si="1"/>
        <v>93.811966302290074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0.27020273815435508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0.27020273815435508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1.3738734149498901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0.2669066442003114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1.6407800591502015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2.5730976398541263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0.49988364923580347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12.32009915749984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37120.478184268635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8096.731824575827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5526.4136138993254</v>
      </c>
      <c r="N52" s="2">
        <f>N8/'Output-Calculation-sheet'!N7*'Output-Calculation-sheet'!N43</f>
        <v>176.636676413798</v>
      </c>
      <c r="O52" s="2">
        <f>O8/'Output-Calculation-sheet'!O7*'Output-Calculation-sheet'!O43</f>
        <v>7520.575012315845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714.69815926018225</v>
      </c>
      <c r="Y52" s="2">
        <f>Y8/'Output-Calculation-sheet'!Y7*'Output-Calculation-sheet'!Y43</f>
        <v>0</v>
      </c>
      <c r="AA52" s="2">
        <f t="shared" si="3"/>
        <v>59.155533470733616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67567.753213852266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15788.843922996233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10814.661108666605</v>
      </c>
      <c r="N53" s="2">
        <f>N9/'Output-Calculation-sheet'!N8*'Output-Calculation-sheet'!N44</f>
        <v>3827.4426922303437</v>
      </c>
      <c r="O53" s="2">
        <f>O9/'Output-Calculation-sheet'!O8*'Output-Calculation-sheet'!O44</f>
        <v>13399.593535238218</v>
      </c>
      <c r="P53" s="2">
        <f>P9/'Output-Calculation-sheet'!P8*'Output-Calculation-sheet'!P44</f>
        <v>180.17158740278794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1201.8178595956449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1352.3814381092895</v>
      </c>
      <c r="Y53" s="2">
        <f>Y9/'Output-Calculation-sheet'!Y8*'Output-Calculation-sheet'!Y44</f>
        <v>0</v>
      </c>
      <c r="AA53" s="2">
        <f t="shared" si="3"/>
        <v>114.1326653580914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85890.45203073803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15690.720408612549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589.31601509337349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195.77544139615284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86529.922099475531</v>
      </c>
      <c r="D55" s="2">
        <f>D11/'Output-Calculation-sheet'!D10*'Output-Calculation-sheet'!D46</f>
        <v>8540.4935568112069</v>
      </c>
      <c r="E55" s="2">
        <f>E11/'Output-Calculation-sheet'!E10*'Output-Calculation-sheet'!E46</f>
        <v>10435.649564885371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28454.423359181412</v>
      </c>
      <c r="I55" s="2">
        <f>I11/'Output-Calculation-sheet'!I10*'Output-Calculation-sheet'!I46</f>
        <v>2066.6834542882921</v>
      </c>
      <c r="J55" s="2">
        <f>J11/'Output-Calculation-sheet'!J10*'Output-Calculation-sheet'!J46</f>
        <v>1499.9146010161339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19502.845840474783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15990.98578849234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5847.1948610836725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7306.0412242024067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1683.2593367659399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2035.8952411103526</v>
      </c>
      <c r="Y55" s="2">
        <f>Y11/'Output-Calculation-sheet'!Y10*'Output-Calculation-sheet'!Y46</f>
        <v>516.16677271100093</v>
      </c>
      <c r="AA55" s="2">
        <f t="shared" si="3"/>
        <v>318.95252144920886</v>
      </c>
    </row>
    <row r="56" spans="1:27" x14ac:dyDescent="0.25">
      <c r="A56" s="2">
        <v>2035</v>
      </c>
      <c r="B56" s="2">
        <f>B12/'Output-Calculation-sheet'!B11*'Output-Calculation-sheet'!B47</f>
        <v>131016.16275451273</v>
      </c>
      <c r="C56" s="2">
        <f>C12/'Output-Calculation-sheet'!C11*'Output-Calculation-sheet'!C47</f>
        <v>82271.411379546407</v>
      </c>
      <c r="D56" s="2">
        <f>D12/'Output-Calculation-sheet'!D11*'Output-Calculation-sheet'!D47</f>
        <v>22793.30911749689</v>
      </c>
      <c r="E56" s="2">
        <f>E12/'Output-Calculation-sheet'!E11*'Output-Calculation-sheet'!E47</f>
        <v>33766.251927215606</v>
      </c>
      <c r="F56" s="2">
        <f>F12/'Output-Calculation-sheet'!F11*'Output-Calculation-sheet'!F47</f>
        <v>4896.9232582464883</v>
      </c>
      <c r="G56" s="2">
        <f>G12/'Output-Calculation-sheet'!G11*'Output-Calculation-sheet'!G47</f>
        <v>7889.5567337085395</v>
      </c>
      <c r="H56" s="2">
        <f>H12/'Output-Calculation-sheet'!H11*'Output-Calculation-sheet'!H47</f>
        <v>27792.266327237099</v>
      </c>
      <c r="I56" s="2">
        <f>I12/'Output-Calculation-sheet'!I11*'Output-Calculation-sheet'!I47</f>
        <v>7741.2929905900173</v>
      </c>
      <c r="J56" s="2">
        <f>J12/'Output-Calculation-sheet'!J11*'Output-Calculation-sheet'!J47</f>
        <v>6192.9152568420132</v>
      </c>
      <c r="K56" s="2">
        <f>K12/'Output-Calculation-sheet'!K11*'Output-Calculation-sheet'!K47</f>
        <v>8305.9157775664771</v>
      </c>
      <c r="L56" s="2">
        <f>L12/'Output-Calculation-sheet'!L11*'Output-Calculation-sheet'!L47</f>
        <v>6957.3766297461843</v>
      </c>
      <c r="M56" s="2">
        <f>M12/'Output-Calculation-sheet'!M11*'Output-Calculation-sheet'!M47</f>
        <v>19243.322605004298</v>
      </c>
      <c r="N56" s="2">
        <f>N12/'Output-Calculation-sheet'!N11*'Output-Calculation-sheet'!N47</f>
        <v>16117.248975005781</v>
      </c>
      <c r="O56" s="2">
        <f>O12/'Output-Calculation-sheet'!O11*'Output-Calculation-sheet'!O47</f>
        <v>15062.283641447237</v>
      </c>
      <c r="P56" s="2">
        <f>P12/'Output-Calculation-sheet'!P11*'Output-Calculation-sheet'!P47</f>
        <v>8616.7715590998105</v>
      </c>
      <c r="Q56" s="2">
        <f>Q12/'Output-Calculation-sheet'!Q11*'Output-Calculation-sheet'!Q47</f>
        <v>8707.3469366210556</v>
      </c>
      <c r="R56" s="2">
        <f>R12/'Output-Calculation-sheet'!R11*'Output-Calculation-sheet'!R47</f>
        <v>6797.7329538965969</v>
      </c>
      <c r="S56" s="2">
        <f>S12/'Output-Calculation-sheet'!S11*'Output-Calculation-sheet'!S47</f>
        <v>8511.6750523006231</v>
      </c>
      <c r="T56" s="2">
        <f>T12/'Output-Calculation-sheet'!T11*'Output-Calculation-sheet'!T47</f>
        <v>2567.7885881320403</v>
      </c>
      <c r="U56" s="2">
        <f>U12/'Output-Calculation-sheet'!U11*'Output-Calculation-sheet'!U47</f>
        <v>2679.6588336523782</v>
      </c>
      <c r="V56" s="2">
        <f>V12/'Output-Calculation-sheet'!V11*'Output-Calculation-sheet'!V47</f>
        <v>1392.6997497474629</v>
      </c>
      <c r="W56" s="2">
        <f>W12/'Output-Calculation-sheet'!W11*'Output-Calculation-sheet'!W47</f>
        <v>745.51073600574841</v>
      </c>
      <c r="X56" s="2">
        <f>X12/'Output-Calculation-sheet'!X11*'Output-Calculation-sheet'!X47</f>
        <v>1935.3384685469009</v>
      </c>
      <c r="Y56" s="2">
        <f>Y12/'Output-Calculation-sheet'!Y11*'Output-Calculation-sheet'!Y47</f>
        <v>1080.5978594936123</v>
      </c>
      <c r="AA56" s="2">
        <f t="shared" si="3"/>
        <v>433.0813581116621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8.6384664815673595</v>
      </c>
      <c r="C63" s="2">
        <f>C8*'Output-Calculation-sheet'!C52/10^9</f>
        <v>5.4477635248322418</v>
      </c>
      <c r="D63" s="2">
        <f>D8*'Output-Calculation-sheet'!D52/10^9</f>
        <v>2.9622952299255956</v>
      </c>
      <c r="E63" s="2">
        <f>E8*'Output-Calculation-sheet'!E52/10^9</f>
        <v>2.9453308629802843</v>
      </c>
      <c r="F63" s="2">
        <f>F8*'Output-Calculation-sheet'!F52/10^9</f>
        <v>1.2473483701184811</v>
      </c>
      <c r="G63" s="2">
        <f>G8*'Output-Calculation-sheet'!G52/10^9</f>
        <v>0.8967860395676388</v>
      </c>
      <c r="H63" s="2">
        <f>H8*'Output-Calculation-sheet'!H52/10^9</f>
        <v>1.5664590619247254</v>
      </c>
      <c r="I63" s="2">
        <f>I8*'Output-Calculation-sheet'!I52/10^9</f>
        <v>0.83421933065570564</v>
      </c>
      <c r="J63" s="2">
        <f>J8*'Output-Calculation-sheet'!J52/10^9</f>
        <v>1.1479434651632443</v>
      </c>
      <c r="K63" s="2">
        <f>K8*'Output-Calculation-sheet'!K52/10^9</f>
        <v>1.0085678234026911</v>
      </c>
      <c r="L63" s="2">
        <f>L8*'Output-Calculation-sheet'!L52/10^9</f>
        <v>1.3565703377880822</v>
      </c>
      <c r="M63" s="2">
        <f>M8*'Output-Calculation-sheet'!M52/10^9</f>
        <v>1.2714754091864315</v>
      </c>
      <c r="N63" s="2">
        <f>N8*'Output-Calculation-sheet'!N52/10^9</f>
        <v>1.0611713337918689</v>
      </c>
      <c r="O63" s="2">
        <f>O8*'Output-Calculation-sheet'!O52/10^9</f>
        <v>1.1315875356839129</v>
      </c>
      <c r="P63" s="2">
        <f>P8*'Output-Calculation-sheet'!P52/10^9</f>
        <v>0.69689444030551262</v>
      </c>
      <c r="Q63" s="2">
        <f>Q8*'Output-Calculation-sheet'!Q52/10^9</f>
        <v>0.78867598306471054</v>
      </c>
      <c r="R63" s="2">
        <f>R8*'Output-Calculation-sheet'!R52/10^9</f>
        <v>0.70807527276262783</v>
      </c>
      <c r="S63" s="2">
        <f>S8*'Output-Calculation-sheet'!S52/10^9</f>
        <v>0.52471198905349259</v>
      </c>
      <c r="T63" s="2">
        <f>T8*'Output-Calculation-sheet'!T52/10^9</f>
        <v>0.26920120267607206</v>
      </c>
      <c r="U63" s="2">
        <f>U8*'Output-Calculation-sheet'!U52/10^9</f>
        <v>0.18488439276152224</v>
      </c>
      <c r="V63" s="2">
        <f>V8*'Output-Calculation-sheet'!V52/10^9</f>
        <v>0.32812635667696094</v>
      </c>
      <c r="W63" s="2">
        <f>W8*'Output-Calculation-sheet'!W52/10^9</f>
        <v>0.1187665977241814</v>
      </c>
      <c r="X63" s="2">
        <f>X8*'Output-Calculation-sheet'!X52/10^9</f>
        <v>0.13669761399616559</v>
      </c>
      <c r="Y63" s="2">
        <f>Y8*'Output-Calculation-sheet'!Y52/10^9</f>
        <v>7.749182636659814E-2</v>
      </c>
      <c r="AA63" s="2">
        <f t="shared" si="4"/>
        <v>35.349510481976111</v>
      </c>
    </row>
    <row r="64" spans="1:27" x14ac:dyDescent="0.25">
      <c r="A64" s="2">
        <v>2032</v>
      </c>
      <c r="B64" s="2">
        <f>B9*'Output-Calculation-sheet'!B53/10^9</f>
        <v>9.1010338023233981</v>
      </c>
      <c r="C64" s="2">
        <f>C9*'Output-Calculation-sheet'!C53/10^9</f>
        <v>6.1444235692434912</v>
      </c>
      <c r="D64" s="2">
        <f>D9*'Output-Calculation-sheet'!D53/10^9</f>
        <v>2.6933578919622918</v>
      </c>
      <c r="E64" s="2">
        <f>E9*'Output-Calculation-sheet'!E53/10^9</f>
        <v>2.7581297958825135</v>
      </c>
      <c r="F64" s="2">
        <f>F9*'Output-Calculation-sheet'!F53/10^9</f>
        <v>1.163362829697308</v>
      </c>
      <c r="G64" s="2">
        <f>G9*'Output-Calculation-sheet'!G53/10^9</f>
        <v>0.82804519401286059</v>
      </c>
      <c r="H64" s="2">
        <f>H9*'Output-Calculation-sheet'!H53/10^9</f>
        <v>1.7015126915140166</v>
      </c>
      <c r="I64" s="2">
        <f>I9*'Output-Calculation-sheet'!I53/10^9</f>
        <v>0.7740870524366219</v>
      </c>
      <c r="J64" s="2">
        <f>J9*'Output-Calculation-sheet'!J53/10^9</f>
        <v>1.0247349753702195</v>
      </c>
      <c r="K64" s="2">
        <f>K9*'Output-Calculation-sheet'!K53/10^9</f>
        <v>0.95081219621683133</v>
      </c>
      <c r="L64" s="2">
        <f>L9*'Output-Calculation-sheet'!L53/10^9</f>
        <v>1.2232120141802143</v>
      </c>
      <c r="M64" s="2">
        <f>M9*'Output-Calculation-sheet'!M53/10^9</f>
        <v>1.3335037966424632</v>
      </c>
      <c r="N64" s="2">
        <f>N9*'Output-Calculation-sheet'!N53/10^9</f>
        <v>1.122566965986848</v>
      </c>
      <c r="O64" s="2">
        <f>O9*'Output-Calculation-sheet'!O53/10^9</f>
        <v>1.2708228325787603</v>
      </c>
      <c r="P64" s="2">
        <f>P9*'Output-Calculation-sheet'!P53/10^9</f>
        <v>0.72491749862551569</v>
      </c>
      <c r="Q64" s="2">
        <f>Q9*'Output-Calculation-sheet'!Q53/10^9</f>
        <v>0.80115548890957522</v>
      </c>
      <c r="R64" s="2">
        <f>R9*'Output-Calculation-sheet'!R53/10^9</f>
        <v>0.68677851242735588</v>
      </c>
      <c r="S64" s="2">
        <f>S9*'Output-Calculation-sheet'!S53/10^9</f>
        <v>0.56743163353109694</v>
      </c>
      <c r="T64" s="2">
        <f>T9*'Output-Calculation-sheet'!T53/10^9</f>
        <v>0.24687899931756671</v>
      </c>
      <c r="U64" s="2">
        <f>U9*'Output-Calculation-sheet'!U53/10^9</f>
        <v>0.18582058624690836</v>
      </c>
      <c r="V64" s="2">
        <f>V9*'Output-Calculation-sheet'!V53/10^9</f>
        <v>0.29302877949776496</v>
      </c>
      <c r="W64" s="2">
        <f>W9*'Output-Calculation-sheet'!W53/10^9</f>
        <v>0.10888421283521352</v>
      </c>
      <c r="X64" s="2">
        <f>X9*'Output-Calculation-sheet'!X53/10^9</f>
        <v>0.14779257157920278</v>
      </c>
      <c r="Y64" s="2">
        <f>Y9*'Output-Calculation-sheet'!Y53/10^9</f>
        <v>7.6287820344042051E-2</v>
      </c>
      <c r="AA64" s="2">
        <f t="shared" si="4"/>
        <v>35.928581711362071</v>
      </c>
    </row>
    <row r="65" spans="1:27" x14ac:dyDescent="0.25">
      <c r="A65" s="2">
        <v>2033</v>
      </c>
      <c r="B65" s="2">
        <f>B10*'Output-Calculation-sheet'!B54/10^9</f>
        <v>9.4324896971594772</v>
      </c>
      <c r="C65" s="2">
        <f>C10*'Output-Calculation-sheet'!C54/10^9</f>
        <v>6.7014701003988755</v>
      </c>
      <c r="D65" s="2">
        <f>D10*'Output-Calculation-sheet'!D54/10^9</f>
        <v>2.2284233079764291</v>
      </c>
      <c r="E65" s="2">
        <f>E10*'Output-Calculation-sheet'!E54/10^9</f>
        <v>2.5091791616179129</v>
      </c>
      <c r="F65" s="2">
        <f>F10*'Output-Calculation-sheet'!F54/10^9</f>
        <v>1.01868379999034</v>
      </c>
      <c r="G65" s="2">
        <f>G10*'Output-Calculation-sheet'!G54/10^9</f>
        <v>0.69941857344034752</v>
      </c>
      <c r="H65" s="2">
        <f>H10*'Output-Calculation-sheet'!H54/10^9</f>
        <v>1.7284655146291132</v>
      </c>
      <c r="I65" s="2">
        <f>I10*'Output-Calculation-sheet'!I54/10^9</f>
        <v>0.68104267683247788</v>
      </c>
      <c r="J65" s="2">
        <f>J10*'Output-Calculation-sheet'!J54/10^9</f>
        <v>0.81399789691326041</v>
      </c>
      <c r="K65" s="2">
        <f>K10*'Output-Calculation-sheet'!K54/10^9</f>
        <v>0.86842792926290913</v>
      </c>
      <c r="L65" s="2">
        <f>L10*'Output-Calculation-sheet'!L54/10^9</f>
        <v>1.0257960255936724</v>
      </c>
      <c r="M65" s="2">
        <f>M10*'Output-Calculation-sheet'!M54/10^9</f>
        <v>1.3051170132684051</v>
      </c>
      <c r="N65" s="2">
        <f>N10*'Output-Calculation-sheet'!N54/10^9</f>
        <v>1.1270028854865453</v>
      </c>
      <c r="O65" s="2">
        <f>O10*'Output-Calculation-sheet'!O54/10^9</f>
        <v>1.3820406867710737</v>
      </c>
      <c r="P65" s="2">
        <f>P10*'Output-Calculation-sheet'!P54/10^9</f>
        <v>0.73480361401626049</v>
      </c>
      <c r="Q65" s="2">
        <f>Q10*'Output-Calculation-sheet'!Q54/10^9</f>
        <v>0.80181260170470903</v>
      </c>
      <c r="R65" s="2">
        <f>R10*'Output-Calculation-sheet'!R54/10^9</f>
        <v>0.6469006517380782</v>
      </c>
      <c r="S65" s="2">
        <f>S10*'Output-Calculation-sheet'!S54/10^9</f>
        <v>0.58760635820047713</v>
      </c>
      <c r="T65" s="2">
        <f>T10*'Output-Calculation-sheet'!T54/10^9</f>
        <v>0.21628776618378659</v>
      </c>
      <c r="U65" s="2">
        <f>U10*'Output-Calculation-sheet'!U54/10^9</f>
        <v>0.18676576716108301</v>
      </c>
      <c r="V65" s="2">
        <f>V10*'Output-Calculation-sheet'!V54/10^9</f>
        <v>0.23935506090576336</v>
      </c>
      <c r="W65" s="2">
        <f>W10*'Output-Calculation-sheet'!W54/10^9</f>
        <v>9.1131474233307599E-2</v>
      </c>
      <c r="X65" s="2">
        <f>X10*'Output-Calculation-sheet'!X54/10^9</f>
        <v>0.15010034639005762</v>
      </c>
      <c r="Y65" s="2">
        <f>Y10*'Output-Calculation-sheet'!Y54/10^9</f>
        <v>7.5006088024013817E-2</v>
      </c>
      <c r="AA65" s="2">
        <f t="shared" si="4"/>
        <v>35.251324997898372</v>
      </c>
    </row>
    <row r="66" spans="1:27" x14ac:dyDescent="0.25">
      <c r="A66" s="2">
        <v>2034</v>
      </c>
      <c r="B66" s="2">
        <f>B11*'Output-Calculation-sheet'!B55/10^9</f>
        <v>9.5578696073769454</v>
      </c>
      <c r="C66" s="2">
        <f>C11*'Output-Calculation-sheet'!C55/10^9</f>
        <v>7.2488948389888073</v>
      </c>
      <c r="D66" s="2">
        <f>D11*'Output-Calculation-sheet'!D55/10^9</f>
        <v>1.999370345216549</v>
      </c>
      <c r="E66" s="2">
        <f>E11*'Output-Calculation-sheet'!E55/10^9</f>
        <v>2.4208870508248777</v>
      </c>
      <c r="F66" s="2">
        <f>F11*'Output-Calculation-sheet'!F55/10^9</f>
        <v>0.9303874396375813</v>
      </c>
      <c r="G66" s="2">
        <f>G11*'Output-Calculation-sheet'!G55/10^9</f>
        <v>0.66504325858875557</v>
      </c>
      <c r="H66" s="2">
        <f>H11*'Output-Calculation-sheet'!H55/10^9</f>
        <v>1.707798606418748</v>
      </c>
      <c r="I66" s="2">
        <f>I11*'Output-Calculation-sheet'!I55/10^9</f>
        <v>0.65037106148493884</v>
      </c>
      <c r="J66" s="2">
        <f>J11*'Output-Calculation-sheet'!J55/10^9</f>
        <v>0.66878459748940167</v>
      </c>
      <c r="K66" s="2">
        <f>K11*'Output-Calculation-sheet'!K55/10^9</f>
        <v>0.79985716540141649</v>
      </c>
      <c r="L66" s="2">
        <f>L11*'Output-Calculation-sheet'!L55/10^9</f>
        <v>0.84708575238044614</v>
      </c>
      <c r="M66" s="2">
        <f>M11*'Output-Calculation-sheet'!M55/10^9</f>
        <v>1.231735993367373</v>
      </c>
      <c r="N66" s="2">
        <f>N11*'Output-Calculation-sheet'!N55/10^9</f>
        <v>1.0762098073908359</v>
      </c>
      <c r="O66" s="2">
        <f>O11*'Output-Calculation-sheet'!O55/10^9</f>
        <v>1.4433283915313744</v>
      </c>
      <c r="P66" s="2">
        <f>P11*'Output-Calculation-sheet'!P55/10^9</f>
        <v>0.73978701659804846</v>
      </c>
      <c r="Q66" s="2">
        <f>Q11*'Output-Calculation-sheet'!Q55/10^9</f>
        <v>0.80762520840037144</v>
      </c>
      <c r="R66" s="2">
        <f>R11*'Output-Calculation-sheet'!R55/10^9</f>
        <v>0.59918971935772392</v>
      </c>
      <c r="S66" s="2">
        <f>S11*'Output-Calculation-sheet'!S55/10^9</f>
        <v>0.58957124196836186</v>
      </c>
      <c r="T66" s="2">
        <f>T11*'Output-Calculation-sheet'!T55/10^9</f>
        <v>0.18782151551620069</v>
      </c>
      <c r="U66" s="2">
        <f>U11*'Output-Calculation-sheet'!U55/10^9</f>
        <v>0.19176684462560317</v>
      </c>
      <c r="V66" s="2">
        <f>V11*'Output-Calculation-sheet'!V55/10^9</f>
        <v>0.17818094032639856</v>
      </c>
      <c r="W66" s="2">
        <f>W11*'Output-Calculation-sheet'!W55/10^9</f>
        <v>8.0673593866031484E-2</v>
      </c>
      <c r="X66" s="2">
        <f>X11*'Output-Calculation-sheet'!X55/10^9</f>
        <v>0.15310291363965212</v>
      </c>
      <c r="Y66" s="2">
        <f>Y11*'Output-Calculation-sheet'!Y55/10^9</f>
        <v>7.9165033582241265E-2</v>
      </c>
      <c r="AA66" s="2">
        <f t="shared" si="4"/>
        <v>34.854507943978689</v>
      </c>
    </row>
    <row r="67" spans="1:27" x14ac:dyDescent="0.25">
      <c r="A67" s="2">
        <v>2035</v>
      </c>
      <c r="B67" s="2">
        <f>B12*'Output-Calculation-sheet'!B56/10^9</f>
        <v>10.197566930947938</v>
      </c>
      <c r="C67" s="2">
        <f>C12*'Output-Calculation-sheet'!C56/10^9</f>
        <v>7.3912195272653314</v>
      </c>
      <c r="D67" s="2">
        <f>D12*'Output-Calculation-sheet'!D56/10^9</f>
        <v>2.3130497501666749</v>
      </c>
      <c r="E67" s="2">
        <f>E12*'Output-Calculation-sheet'!E56/10^9</f>
        <v>2.7532968046751951</v>
      </c>
      <c r="F67" s="2">
        <f>F12*'Output-Calculation-sheet'!F56/10^9</f>
        <v>1.1268433564397837</v>
      </c>
      <c r="G67" s="2">
        <f>G12*'Output-Calculation-sheet'!G56/10^9</f>
        <v>0.79205610489626421</v>
      </c>
      <c r="H67" s="2">
        <f>H12*'Output-Calculation-sheet'!H56/10^9</f>
        <v>1.8084404567505383</v>
      </c>
      <c r="I67" s="2">
        <f>I12*'Output-Calculation-sheet'!I56/10^9</f>
        <v>0.79318127793755322</v>
      </c>
      <c r="J67" s="2">
        <f>J12*'Output-Calculation-sheet'!J56/10^9</f>
        <v>0.71759141720123432</v>
      </c>
      <c r="K67" s="2">
        <f>K12*'Output-Calculation-sheet'!K56/10^9</f>
        <v>0.89059256324909064</v>
      </c>
      <c r="L67" s="2">
        <f>L12*'Output-Calculation-sheet'!L56/10^9</f>
        <v>0.82993601560531427</v>
      </c>
      <c r="M67" s="2">
        <f>M12*'Output-Calculation-sheet'!M56/10^9</f>
        <v>1.2755375522864789</v>
      </c>
      <c r="N67" s="2">
        <f>N12*'Output-Calculation-sheet'!N56/10^9</f>
        <v>1.0844857263865804</v>
      </c>
      <c r="O67" s="2">
        <f>O12*'Output-Calculation-sheet'!O56/10^9</f>
        <v>1.4277541415988253</v>
      </c>
      <c r="P67" s="2">
        <f>P12*'Output-Calculation-sheet'!P56/10^9</f>
        <v>0.83729794960308213</v>
      </c>
      <c r="Q67" s="2">
        <f>Q12*'Output-Calculation-sheet'!Q56/10^9</f>
        <v>0.84572383690857023</v>
      </c>
      <c r="R67" s="2">
        <f>R12*'Output-Calculation-sheet'!R56/10^9</f>
        <v>0.64578311481261552</v>
      </c>
      <c r="S67" s="2">
        <f>S12*'Output-Calculation-sheet'!S56/10^9</f>
        <v>0.61755601768867019</v>
      </c>
      <c r="T67" s="2">
        <f>T12*'Output-Calculation-sheet'!T56/10^9</f>
        <v>0.1964205497615257</v>
      </c>
      <c r="U67" s="2">
        <f>U12*'Output-Calculation-sheet'!U56/10^9</f>
        <v>0.2234096872099002</v>
      </c>
      <c r="V67" s="2">
        <f>V12*'Output-Calculation-sheet'!V56/10^9</f>
        <v>0.15058999112995106</v>
      </c>
      <c r="W67" s="2">
        <f>W12*'Output-Calculation-sheet'!W56/10^9</f>
        <v>9.7528980340728849E-2</v>
      </c>
      <c r="X67" s="2">
        <f>X12*'Output-Calculation-sheet'!X56/10^9</f>
        <v>0.1597378620270791</v>
      </c>
      <c r="Y67" s="2">
        <f>Y12*'Output-Calculation-sheet'!Y56/10^9</f>
        <v>9.1651072180189266E-2</v>
      </c>
      <c r="AA67" s="2">
        <f t="shared" si="4"/>
        <v>37.267250687069122</v>
      </c>
    </row>
    <row r="68" spans="1:27" x14ac:dyDescent="0.25">
      <c r="B68" s="2">
        <f>SUM(B60:B67)</f>
        <v>66.772164958900021</v>
      </c>
      <c r="C68" s="2">
        <f t="shared" ref="C68:Y68" si="5">SUM(C60:C67)</f>
        <v>43.438157015792882</v>
      </c>
      <c r="D68" s="2">
        <f t="shared" si="5"/>
        <v>19.981766515937835</v>
      </c>
      <c r="E68" s="2">
        <f t="shared" si="5"/>
        <v>21.062444613468234</v>
      </c>
      <c r="F68" s="2">
        <f t="shared" si="5"/>
        <v>8.6678115759708803</v>
      </c>
      <c r="G68" s="2">
        <f t="shared" si="5"/>
        <v>6.1961881029879926</v>
      </c>
      <c r="H68" s="2">
        <f t="shared" si="5"/>
        <v>11.784368762283142</v>
      </c>
      <c r="I68" s="2">
        <f t="shared" si="5"/>
        <v>5.8735996795343421</v>
      </c>
      <c r="J68" s="2">
        <f t="shared" si="5"/>
        <v>7.4529447764527603</v>
      </c>
      <c r="K68" s="2">
        <f t="shared" si="5"/>
        <v>7.111993601941685</v>
      </c>
      <c r="L68" s="2">
        <f t="shared" si="5"/>
        <v>8.9354875383843382</v>
      </c>
      <c r="M68" s="2">
        <f t="shared" si="5"/>
        <v>9.2221542072734444</v>
      </c>
      <c r="N68" s="2">
        <f t="shared" si="5"/>
        <v>7.9054149505187041</v>
      </c>
      <c r="O68" s="2">
        <f t="shared" si="5"/>
        <v>8.8508115716146936</v>
      </c>
      <c r="P68" s="2">
        <f t="shared" si="5"/>
        <v>5.3809067861548892</v>
      </c>
      <c r="Q68" s="2">
        <f t="shared" si="5"/>
        <v>5.9253282316867768</v>
      </c>
      <c r="R68" s="2">
        <f t="shared" si="5"/>
        <v>5.0896936402931843</v>
      </c>
      <c r="S68" s="2">
        <f t="shared" si="5"/>
        <v>4.0662635218439505</v>
      </c>
      <c r="T68" s="2">
        <f t="shared" si="5"/>
        <v>1.8223868042855984</v>
      </c>
      <c r="U68" s="2">
        <f t="shared" si="5"/>
        <v>1.4342859475235343</v>
      </c>
      <c r="V68" s="2">
        <f t="shared" si="5"/>
        <v>2.0823026749489633</v>
      </c>
      <c r="W68" s="2">
        <f t="shared" si="5"/>
        <v>0.80613382085660146</v>
      </c>
      <c r="X68" s="2">
        <f t="shared" si="5"/>
        <v>1.0330637994820937</v>
      </c>
      <c r="Y68" s="2">
        <f t="shared" si="5"/>
        <v>0.59452126017656837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7162.3432364000837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1728.7828369957224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1158.4576049916525</v>
      </c>
      <c r="N74" s="2">
        <f>N8/'Output-Calculation-sheet'!N7*'Output-Calculation-sheet'!N61</f>
        <v>48.553006429242721</v>
      </c>
      <c r="O74" s="2">
        <f>O8/'Output-Calculation-sheet'!O7*'Output-Calculation-sheet'!O61</f>
        <v>1431.67023056371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143.95499613346817</v>
      </c>
      <c r="Y74" s="2">
        <f>Y8/'Output-Calculation-sheet'!Y7*'Output-Calculation-sheet'!Y61</f>
        <v>0</v>
      </c>
      <c r="AA74" s="2">
        <f t="shared" si="6"/>
        <v>11.67376191151388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12136.55027874673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3007.6666245641868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2043.5492769718251</v>
      </c>
      <c r="N75" s="2">
        <f>N9/'Output-Calculation-sheet'!N8*'Output-Calculation-sheet'!N62</f>
        <v>786.94172041525792</v>
      </c>
      <c r="O75" s="2">
        <f>O9/'Output-Calculation-sheet'!O8*'Output-Calculation-sheet'!O62</f>
        <v>2399.0049872291011</v>
      </c>
      <c r="P75" s="2">
        <f>P9/'Output-Calculation-sheet'!P8*'Output-Calculation-sheet'!P62</f>
        <v>52.880360902718259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264.66544701025487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246.88716350320712</v>
      </c>
      <c r="Y75" s="2">
        <f>Y9/'Output-Calculation-sheet'!Y8*'Output-Calculation-sheet'!Y62</f>
        <v>0</v>
      </c>
      <c r="AA75" s="2">
        <f t="shared" si="6"/>
        <v>20.938145859343287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16012.591133065733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4310.9947232322475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2935.1426086087849</v>
      </c>
      <c r="N76" s="2">
        <f>N10/'Output-Calculation-sheet'!N9*'Output-Calculation-sheet'!N63</f>
        <v>1676.8712047895913</v>
      </c>
      <c r="O76" s="2">
        <f>O10/'Output-Calculation-sheet'!O9*'Output-Calculation-sheet'!O63</f>
        <v>2888.8702047778297</v>
      </c>
      <c r="P76" s="2">
        <f>P10/'Output-Calculation-sheet'!P9*'Output-Calculation-sheet'!P63</f>
        <v>582.28642169524051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442.02987759772924</v>
      </c>
      <c r="S76" s="2">
        <f>S10/'Output-Calculation-sheet'!S9*'Output-Calculation-sheet'!S63</f>
        <v>744.8534156355845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156.82906194436669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345.66737296414902</v>
      </c>
      <c r="Y76" s="2">
        <f>Y10/'Output-Calculation-sheet'!Y9*'Output-Calculation-sheet'!Y63</f>
        <v>6.5577532558606864</v>
      </c>
      <c r="AA76" s="2">
        <f t="shared" si="6"/>
        <v>37.117530791230827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15957.901260278484</v>
      </c>
      <c r="D77" s="2">
        <f>D11/'Output-Calculation-sheet'!D10*'Output-Calculation-sheet'!D64</f>
        <v>1975.309403520972</v>
      </c>
      <c r="E77" s="2">
        <f>E11/'Output-Calculation-sheet'!E10*'Output-Calculation-sheet'!E64</f>
        <v>2402.9143656640931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1030.1168868336786</v>
      </c>
      <c r="H77" s="2">
        <f>H11/'Output-Calculation-sheet'!H10*'Output-Calculation-sheet'!H64</f>
        <v>5473.1916388875516</v>
      </c>
      <c r="I77" s="2">
        <f>I11/'Output-Calculation-sheet'!I10*'Output-Calculation-sheet'!I64</f>
        <v>610.39495822404706</v>
      </c>
      <c r="J77" s="2">
        <f>J11/'Output-Calculation-sheet'!J10*'Output-Calculation-sheet'!J64</f>
        <v>438.75910976542411</v>
      </c>
      <c r="K77" s="2">
        <f>K11/'Output-Calculation-sheet'!K10*'Output-Calculation-sheet'!K64</f>
        <v>918.48587554738151</v>
      </c>
      <c r="L77" s="2">
        <f>L11/'Output-Calculation-sheet'!L10*'Output-Calculation-sheet'!L64</f>
        <v>401.54883546552986</v>
      </c>
      <c r="M77" s="2">
        <f>M11/'Output-Calculation-sheet'!M10*'Output-Calculation-sheet'!M64</f>
        <v>3668.117709687413</v>
      </c>
      <c r="N77" s="2">
        <f>N11/'Output-Calculation-sheet'!N10*'Output-Calculation-sheet'!N64</f>
        <v>2582.5593866505583</v>
      </c>
      <c r="O77" s="2">
        <f>O11/'Output-Calculation-sheet'!O10*'Output-Calculation-sheet'!O64</f>
        <v>2991.3913341702796</v>
      </c>
      <c r="P77" s="2">
        <f>P11/'Output-Calculation-sheet'!P10*'Output-Calculation-sheet'!P64</f>
        <v>1139.8902687955895</v>
      </c>
      <c r="Q77" s="2">
        <f>Q11/'Output-Calculation-sheet'!Q10*'Output-Calculation-sheet'!Q64</f>
        <v>1025.4572942464411</v>
      </c>
      <c r="R77" s="2">
        <f>R11/'Output-Calculation-sheet'!R10*'Output-Calculation-sheet'!R64</f>
        <v>975.44826142144746</v>
      </c>
      <c r="S77" s="2">
        <f>S11/'Output-Calculation-sheet'!S10*'Output-Calculation-sheet'!S64</f>
        <v>1298.6919735147192</v>
      </c>
      <c r="T77" s="2">
        <f>T11/'Output-Calculation-sheet'!T10*'Output-Calculation-sheet'!T64</f>
        <v>270.36076926059724</v>
      </c>
      <c r="U77" s="2">
        <f>U11/'Output-Calculation-sheet'!U10*'Output-Calculation-sheet'!U64</f>
        <v>369.94533431830428</v>
      </c>
      <c r="V77" s="2">
        <f>V11/'Output-Calculation-sheet'!V10*'Output-Calculation-sheet'!V64</f>
        <v>142.16830934800214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378.28725839739991</v>
      </c>
      <c r="Y77" s="2">
        <f>Y11/'Output-Calculation-sheet'!Y10*'Output-Calculation-sheet'!Y64</f>
        <v>89.296851679003169</v>
      </c>
      <c r="AA77" s="2">
        <f t="shared" si="6"/>
        <v>60.149129861399416</v>
      </c>
    </row>
    <row r="78" spans="1:27" x14ac:dyDescent="0.25">
      <c r="A78" s="2">
        <v>2035</v>
      </c>
      <c r="B78" s="2">
        <f>B12/'Output-Calculation-sheet'!B11*'Output-Calculation-sheet'!B65</f>
        <v>21809.792189350581</v>
      </c>
      <c r="C78" s="2">
        <f>C12/'Output-Calculation-sheet'!C11*'Output-Calculation-sheet'!C65</f>
        <v>15368.954205625196</v>
      </c>
      <c r="D78" s="2">
        <f>D12/'Output-Calculation-sheet'!D11*'Output-Calculation-sheet'!D65</f>
        <v>5009.5294731481099</v>
      </c>
      <c r="E78" s="2">
        <f>E12/'Output-Calculation-sheet'!E11*'Output-Calculation-sheet'!E65</f>
        <v>5010.9117859987955</v>
      </c>
      <c r="F78" s="2">
        <f>F12/'Output-Calculation-sheet'!F11*'Output-Calculation-sheet'!F65</f>
        <v>1163.2691168569211</v>
      </c>
      <c r="G78" s="2">
        <f>G12/'Output-Calculation-sheet'!G11*'Output-Calculation-sheet'!G65</f>
        <v>1733.9811235830696</v>
      </c>
      <c r="H78" s="2">
        <f>H12/'Output-Calculation-sheet'!H11*'Output-Calculation-sheet'!H65</f>
        <v>5557.1331327968755</v>
      </c>
      <c r="I78" s="2">
        <f>I12/'Output-Calculation-sheet'!I11*'Output-Calculation-sheet'!I65</f>
        <v>1539.3238557913642</v>
      </c>
      <c r="J78" s="2">
        <f>J12/'Output-Calculation-sheet'!J11*'Output-Calculation-sheet'!J65</f>
        <v>1369.4323278518841</v>
      </c>
      <c r="K78" s="2">
        <f>K12/'Output-Calculation-sheet'!K11*'Output-Calculation-sheet'!K65</f>
        <v>1825.4627568848584</v>
      </c>
      <c r="L78" s="2">
        <f>L12/'Output-Calculation-sheet'!L11*'Output-Calculation-sheet'!L65</f>
        <v>1202.4413862881258</v>
      </c>
      <c r="M78" s="2">
        <f>M12/'Output-Calculation-sheet'!M11*'Output-Calculation-sheet'!M65</f>
        <v>3880.8403125863701</v>
      </c>
      <c r="N78" s="2">
        <f>N12/'Output-Calculation-sheet'!N11*'Output-Calculation-sheet'!N65</f>
        <v>2771.2035478876192</v>
      </c>
      <c r="O78" s="2">
        <f>O12/'Output-Calculation-sheet'!O11*'Output-Calculation-sheet'!O65</f>
        <v>2808.1840984679566</v>
      </c>
      <c r="P78" s="2">
        <f>P12/'Output-Calculation-sheet'!P11*'Output-Calculation-sheet'!P65</f>
        <v>1534.7186402327166</v>
      </c>
      <c r="Q78" s="2">
        <f>Q12/'Output-Calculation-sheet'!Q11*'Output-Calculation-sheet'!Q65</f>
        <v>1487.8859194465876</v>
      </c>
      <c r="R78" s="2">
        <f>R12/'Output-Calculation-sheet'!R11*'Output-Calculation-sheet'!R65</f>
        <v>1349.7684704041947</v>
      </c>
      <c r="S78" s="2">
        <f>S12/'Output-Calculation-sheet'!S11*'Output-Calculation-sheet'!S65</f>
        <v>1509.9469121656396</v>
      </c>
      <c r="T78" s="2">
        <f>T12/'Output-Calculation-sheet'!T11*'Output-Calculation-sheet'!T65</f>
        <v>470.38110774890549</v>
      </c>
      <c r="U78" s="2">
        <f>U12/'Output-Calculation-sheet'!U11*'Output-Calculation-sheet'!U65</f>
        <v>430.09837838372465</v>
      </c>
      <c r="V78" s="2">
        <f>V12/'Output-Calculation-sheet'!V11*'Output-Calculation-sheet'!V65</f>
        <v>246.17360776536154</v>
      </c>
      <c r="W78" s="2">
        <f>W12/'Output-Calculation-sheet'!W11*'Output-Calculation-sheet'!W65</f>
        <v>163.85010370225163</v>
      </c>
      <c r="X78" s="2">
        <f>X12/'Output-Calculation-sheet'!X11*'Output-Calculation-sheet'!X65</f>
        <v>372.75982557334783</v>
      </c>
      <c r="Y78" s="2">
        <f>Y12/'Output-Calculation-sheet'!Y11*'Output-Calculation-sheet'!Y65</f>
        <v>172.37433864531127</v>
      </c>
      <c r="AA78" s="2">
        <f t="shared" si="6"/>
        <v>78.788416617185788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47.403989149886854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4.7403989149886853E-2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602.57605918854824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140.47718115805864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0.74305324034660691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1241.4067560699732</v>
      </c>
      <c r="D89" s="2">
        <f>D12/'Output-Calculation-sheet'!D11*'Output-Calculation-sheet'!D74</f>
        <v>99.970654024109166</v>
      </c>
      <c r="E89" s="2">
        <f>E12/'Output-Calculation-sheet'!E11*'Output-Calculation-sheet'!E74</f>
        <v>79.450004534624952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104.22099872713912</v>
      </c>
      <c r="I89" s="2">
        <f>I12/'Output-Calculation-sheet'!I11*'Output-Calculation-sheet'!I74</f>
        <v>32.255387460791738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31.701968616665944</v>
      </c>
      <c r="L89" s="2">
        <f>L12/'Output-Calculation-sheet'!L11*'Output-Calculation-sheet'!L74</f>
        <v>25.207886339660089</v>
      </c>
      <c r="M89" s="2">
        <f>M12/'Output-Calculation-sheet'!M11*'Output-Calculation-sheet'!M74</f>
        <v>71.714245732935268</v>
      </c>
      <c r="N89" s="2">
        <f>N12/'Output-Calculation-sheet'!N11*'Output-Calculation-sheet'!N74</f>
        <v>46.989064067072249</v>
      </c>
      <c r="O89" s="2">
        <f>O12/'Output-Calculation-sheet'!O11*'Output-Calculation-sheet'!O74</f>
        <v>285.02137895023884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41.169489062038089</v>
      </c>
      <c r="R89" s="2">
        <f>R12/'Output-Calculation-sheet'!R11*'Output-Calculation-sheet'!R74</f>
        <v>20.413612474163955</v>
      </c>
      <c r="S89" s="2">
        <f>S12/'Output-Calculation-sheet'!S11*'Output-Calculation-sheet'!S74</f>
        <v>26.935680545255135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13.135582517903815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10.489639395918163</v>
      </c>
      <c r="Y89" s="2">
        <f>Y12/'Output-Calculation-sheet'!Y11*'Output-Calculation-sheet'!Y74</f>
        <v>5.061348288026287</v>
      </c>
      <c r="AA89" s="2">
        <f t="shared" si="7"/>
        <v>2.8247270155358484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22561088639.936859</v>
      </c>
      <c r="C96" s="2">
        <f>C8/'Output-Calculation-sheet'!C7*'Output-Calculation-sheet'!C79</f>
        <v>9339995937.9634762</v>
      </c>
      <c r="D96" s="2">
        <f>D8/'Output-Calculation-sheet'!D7*'Output-Calculation-sheet'!D79</f>
        <v>7445441870.8602676</v>
      </c>
      <c r="E96" s="2">
        <f>E8/'Output-Calculation-sheet'!E7*'Output-Calculation-sheet'!E79</f>
        <v>8996689365.5234089</v>
      </c>
      <c r="F96" s="2">
        <f>F8/'Output-Calculation-sheet'!F7*'Output-Calculation-sheet'!F79</f>
        <v>5310694083.8704052</v>
      </c>
      <c r="G96" s="2">
        <f>G8/'Output-Calculation-sheet'!G7*'Output-Calculation-sheet'!G79</f>
        <v>2701294664.4079151</v>
      </c>
      <c r="H96" s="2">
        <f>H8/'Output-Calculation-sheet'!H7*'Output-Calculation-sheet'!H79</f>
        <v>3373020122.6490192</v>
      </c>
      <c r="I96" s="2">
        <f>I8/'Output-Calculation-sheet'!I7*'Output-Calculation-sheet'!I79</f>
        <v>3228451892.5989013</v>
      </c>
      <c r="J96" s="2">
        <f>J8/'Output-Calculation-sheet'!J7*'Output-Calculation-sheet'!J79</f>
        <v>1822254169.1516366</v>
      </c>
      <c r="K96" s="2">
        <f>K8/'Output-Calculation-sheet'!K7*'Output-Calculation-sheet'!K79</f>
        <v>3103923012.24511</v>
      </c>
      <c r="L96" s="2">
        <f>L8/'Output-Calculation-sheet'!L7*'Output-Calculation-sheet'!L79</f>
        <v>2232402440.8648562</v>
      </c>
      <c r="M96" s="2">
        <f>M8/'Output-Calculation-sheet'!M7*'Output-Calculation-sheet'!M79</f>
        <v>2256760422.4469705</v>
      </c>
      <c r="N96" s="2">
        <f>N8/'Output-Calculation-sheet'!N7*'Output-Calculation-sheet'!N79</f>
        <v>1606199912.2288501</v>
      </c>
      <c r="O96" s="2">
        <f>O8/'Output-Calculation-sheet'!O7*'Output-Calculation-sheet'!O79</f>
        <v>1262335109.1980472</v>
      </c>
      <c r="P96" s="2">
        <f>P8/'Output-Calculation-sheet'!P7*'Output-Calculation-sheet'!P79</f>
        <v>2683406826.7924252</v>
      </c>
      <c r="Q96" s="2">
        <f>Q8/'Output-Calculation-sheet'!Q7*'Output-Calculation-sheet'!Q79</f>
        <v>1461552997.7749646</v>
      </c>
      <c r="R96" s="2">
        <f>R8/'Output-Calculation-sheet'!R7*'Output-Calculation-sheet'!R79</f>
        <v>1949850691.3066409</v>
      </c>
      <c r="S96" s="2">
        <f>S8/'Output-Calculation-sheet'!S7*'Output-Calculation-sheet'!S79</f>
        <v>1227325899.2562945</v>
      </c>
      <c r="T96" s="2">
        <f>T8/'Output-Calculation-sheet'!T7*'Output-Calculation-sheet'!T79</f>
        <v>788116022.09525263</v>
      </c>
      <c r="U96" s="2">
        <f>U8/'Output-Calculation-sheet'!U7*'Output-Calculation-sheet'!U79</f>
        <v>730809097.87341249</v>
      </c>
      <c r="V96" s="2">
        <f>V8/'Output-Calculation-sheet'!V7*'Output-Calculation-sheet'!V79</f>
        <v>470519794.63789183</v>
      </c>
      <c r="W96" s="2">
        <f>W8/'Output-Calculation-sheet'!W7*'Output-Calculation-sheet'!W79</f>
        <v>562848333.3102864</v>
      </c>
      <c r="X96" s="2">
        <f>X8/'Output-Calculation-sheet'!X7*'Output-Calculation-sheet'!X79</f>
        <v>257618866.24871969</v>
      </c>
      <c r="Y96" s="2">
        <f>Y8/'Output-Calculation-sheet'!Y7*'Output-Calculation-sheet'!Y79</f>
        <v>288345659.36030751</v>
      </c>
      <c r="AA96" s="2">
        <f t="shared" si="8"/>
        <v>85.660945832601911</v>
      </c>
    </row>
    <row r="97" spans="1:27" x14ac:dyDescent="0.25">
      <c r="A97" s="2">
        <v>2032</v>
      </c>
      <c r="B97" s="2">
        <f>B9/'Output-Calculation-sheet'!B8*'Output-Calculation-sheet'!B80</f>
        <v>31445987942.39045</v>
      </c>
      <c r="C97" s="2">
        <f>C9/'Output-Calculation-sheet'!C8*'Output-Calculation-sheet'!C80</f>
        <v>13029580508.875254</v>
      </c>
      <c r="D97" s="2">
        <f>D9/'Output-Calculation-sheet'!D8*'Output-Calculation-sheet'!D80</f>
        <v>10298829699.266445</v>
      </c>
      <c r="E97" s="2">
        <f>E9/'Output-Calculation-sheet'!E8*'Output-Calculation-sheet'!E80</f>
        <v>12427118644.11388</v>
      </c>
      <c r="F97" s="2">
        <f>F9/'Output-Calculation-sheet'!F8*'Output-Calculation-sheet'!F80</f>
        <v>7363418699.6912575</v>
      </c>
      <c r="G97" s="2">
        <f>G9/'Output-Calculation-sheet'!G8*'Output-Calculation-sheet'!G80</f>
        <v>3686000298.0712624</v>
      </c>
      <c r="H97" s="2">
        <f>H9/'Output-Calculation-sheet'!H8*'Output-Calculation-sheet'!H80</f>
        <v>4691680205.0305367</v>
      </c>
      <c r="I97" s="2">
        <f>I9/'Output-Calculation-sheet'!I8*'Output-Calculation-sheet'!I80</f>
        <v>4478398060.333128</v>
      </c>
      <c r="J97" s="2">
        <f>J9/'Output-Calculation-sheet'!J8*'Output-Calculation-sheet'!J80</f>
        <v>2555440235.5758829</v>
      </c>
      <c r="K97" s="2">
        <f>K9/'Output-Calculation-sheet'!K8*'Output-Calculation-sheet'!K80</f>
        <v>4304684897.8122311</v>
      </c>
      <c r="L97" s="2">
        <f>L9/'Output-Calculation-sheet'!L8*'Output-Calculation-sheet'!L80</f>
        <v>3114586247.1100302</v>
      </c>
      <c r="M97" s="2">
        <f>M9/'Output-Calculation-sheet'!M8*'Output-Calculation-sheet'!M80</f>
        <v>3138975230.2053609</v>
      </c>
      <c r="N97" s="2">
        <f>N9/'Output-Calculation-sheet'!N8*'Output-Calculation-sheet'!N80</f>
        <v>2243661045.7826343</v>
      </c>
      <c r="O97" s="2">
        <f>O9/'Output-Calculation-sheet'!O8*'Output-Calculation-sheet'!O80</f>
        <v>1770111558.210103</v>
      </c>
      <c r="P97" s="2">
        <f>P9/'Output-Calculation-sheet'!P8*'Output-Calculation-sheet'!P80</f>
        <v>3699118625.9805369</v>
      </c>
      <c r="Q97" s="2">
        <f>Q9/'Output-Calculation-sheet'!Q8*'Output-Calculation-sheet'!Q80</f>
        <v>2048241039.0239019</v>
      </c>
      <c r="R97" s="2">
        <f>R9/'Output-Calculation-sheet'!R8*'Output-Calculation-sheet'!R80</f>
        <v>2715663040.4517899</v>
      </c>
      <c r="S97" s="2">
        <f>S9/'Output-Calculation-sheet'!S8*'Output-Calculation-sheet'!S80</f>
        <v>1713188563.9283369</v>
      </c>
      <c r="T97" s="2">
        <f>T9/'Output-Calculation-sheet'!T8*'Output-Calculation-sheet'!T80</f>
        <v>1088950209.016063</v>
      </c>
      <c r="U97" s="2">
        <f>U9/'Output-Calculation-sheet'!U8*'Output-Calculation-sheet'!U80</f>
        <v>1015488386.7961092</v>
      </c>
      <c r="V97" s="2">
        <f>V9/'Output-Calculation-sheet'!V8*'Output-Calculation-sheet'!V80</f>
        <v>657639947.92693651</v>
      </c>
      <c r="W97" s="2">
        <f>W9/'Output-Calculation-sheet'!W8*'Output-Calculation-sheet'!W80</f>
        <v>769295564.22824252</v>
      </c>
      <c r="X97" s="2">
        <f>X9/'Output-Calculation-sheet'!X8*'Output-Calculation-sheet'!X80</f>
        <v>358215094.64478731</v>
      </c>
      <c r="Y97" s="2">
        <f>Y9/'Output-Calculation-sheet'!Y8*'Output-Calculation-sheet'!Y80</f>
        <v>395844185.69996941</v>
      </c>
      <c r="AA97" s="2">
        <f t="shared" si="8"/>
        <v>119.01011793016509</v>
      </c>
    </row>
    <row r="98" spans="1:27" x14ac:dyDescent="0.25">
      <c r="A98" s="2">
        <v>2033</v>
      </c>
      <c r="B98" s="2">
        <f>B10/'Output-Calculation-sheet'!B9*'Output-Calculation-sheet'!B81</f>
        <v>39681477529.251015</v>
      </c>
      <c r="C98" s="2">
        <f>C10/'Output-Calculation-sheet'!C9*'Output-Calculation-sheet'!C81</f>
        <v>16458977476.659573</v>
      </c>
      <c r="D98" s="2">
        <f>D10/'Output-Calculation-sheet'!D9*'Output-Calculation-sheet'!D81</f>
        <v>12910961246.370287</v>
      </c>
      <c r="E98" s="2">
        <f>E10/'Output-Calculation-sheet'!E9*'Output-Calculation-sheet'!E81</f>
        <v>15549790943.140587</v>
      </c>
      <c r="F98" s="2">
        <f>F10/'Output-Calculation-sheet'!F9*'Output-Calculation-sheet'!F81</f>
        <v>9246269524.5822716</v>
      </c>
      <c r="G98" s="2">
        <f>G10/'Output-Calculation-sheet'!G9*'Output-Calculation-sheet'!G81</f>
        <v>4557736107.6767149</v>
      </c>
      <c r="H98" s="2">
        <f>H10/'Output-Calculation-sheet'!H9*'Output-Calculation-sheet'!H81</f>
        <v>5909191600.4900084</v>
      </c>
      <c r="I98" s="2">
        <f>I10/'Output-Calculation-sheet'!I9*'Output-Calculation-sheet'!I81</f>
        <v>5626909769.1093674</v>
      </c>
      <c r="J98" s="2">
        <f>J10/'Output-Calculation-sheet'!J9*'Output-Calculation-sheet'!J81</f>
        <v>3246849855.9177313</v>
      </c>
      <c r="K98" s="2">
        <f>K10/'Output-Calculation-sheet'!K9*'Output-Calculation-sheet'!K81</f>
        <v>5406864687.674468</v>
      </c>
      <c r="L98" s="2">
        <f>L10/'Output-Calculation-sheet'!L9*'Output-Calculation-sheet'!L81</f>
        <v>3934630052.3105536</v>
      </c>
      <c r="M98" s="2">
        <f>M10/'Output-Calculation-sheet'!M9*'Output-Calculation-sheet'!M81</f>
        <v>3954268530.1173172</v>
      </c>
      <c r="N98" s="2">
        <f>N10/'Output-Calculation-sheet'!N9*'Output-Calculation-sheet'!N81</f>
        <v>2839528321.797307</v>
      </c>
      <c r="O98" s="2">
        <f>O10/'Output-Calculation-sheet'!O9*'Output-Calculation-sheet'!O81</f>
        <v>2248159072.5276875</v>
      </c>
      <c r="P98" s="2">
        <f>P10/'Output-Calculation-sheet'!P9*'Output-Calculation-sheet'!P81</f>
        <v>4617714813.719985</v>
      </c>
      <c r="Q98" s="2">
        <f>Q10/'Output-Calculation-sheet'!Q9*'Output-Calculation-sheet'!Q81</f>
        <v>2599808591.4175353</v>
      </c>
      <c r="R98" s="2">
        <f>R10/'Output-Calculation-sheet'!R9*'Output-Calculation-sheet'!R81</f>
        <v>3424678889.1177278</v>
      </c>
      <c r="S98" s="2">
        <f>S10/'Output-Calculation-sheet'!S9*'Output-Calculation-sheet'!S81</f>
        <v>2165020793.7556233</v>
      </c>
      <c r="T98" s="2">
        <f>T10/'Output-Calculation-sheet'!T9*'Output-Calculation-sheet'!T81</f>
        <v>1362914689.9508526</v>
      </c>
      <c r="U98" s="2">
        <f>U10/'Output-Calculation-sheet'!U9*'Output-Calculation-sheet'!U81</f>
        <v>1276981772.9128783</v>
      </c>
      <c r="V98" s="2">
        <f>V10/'Output-Calculation-sheet'!V9*'Output-Calculation-sheet'!V81</f>
        <v>831710662.49246454</v>
      </c>
      <c r="W98" s="2">
        <f>W10/'Output-Calculation-sheet'!W9*'Output-Calculation-sheet'!W81</f>
        <v>952432042.39627612</v>
      </c>
      <c r="X98" s="2">
        <f>X10/'Output-Calculation-sheet'!X9*'Output-Calculation-sheet'!X81</f>
        <v>451080201.70424664</v>
      </c>
      <c r="Y98" s="2">
        <f>Y10/'Output-Calculation-sheet'!Y9*'Output-Calculation-sheet'!Y81</f>
        <v>492392610.24828202</v>
      </c>
      <c r="AA98" s="2">
        <f t="shared" si="8"/>
        <v>149.74634978534075</v>
      </c>
    </row>
    <row r="99" spans="1:27" x14ac:dyDescent="0.25">
      <c r="A99" s="2">
        <v>2034</v>
      </c>
      <c r="B99" s="2">
        <f>B11/'Output-Calculation-sheet'!B10*'Output-Calculation-sheet'!B82</f>
        <v>46132812307.199059</v>
      </c>
      <c r="C99" s="2">
        <f>C11/'Output-Calculation-sheet'!C10*'Output-Calculation-sheet'!C82</f>
        <v>19157531928.484943</v>
      </c>
      <c r="D99" s="2">
        <f>D11/'Output-Calculation-sheet'!D10*'Output-Calculation-sheet'!D82</f>
        <v>14926551533.364273</v>
      </c>
      <c r="E99" s="2">
        <f>E11/'Output-Calculation-sheet'!E10*'Output-Calculation-sheet'!E82</f>
        <v>17935343662.307419</v>
      </c>
      <c r="F99" s="2">
        <f>F11/'Output-Calculation-sheet'!F10*'Output-Calculation-sheet'!F82</f>
        <v>10700102280.391941</v>
      </c>
      <c r="G99" s="2">
        <f>G11/'Output-Calculation-sheet'!G10*'Output-Calculation-sheet'!G82</f>
        <v>5196749938.7253647</v>
      </c>
      <c r="H99" s="2">
        <f>H11/'Output-Calculation-sheet'!H10*'Output-Calculation-sheet'!H82</f>
        <v>6857957499.7556467</v>
      </c>
      <c r="I99" s="2">
        <f>I11/'Output-Calculation-sheet'!I10*'Output-Calculation-sheet'!I82</f>
        <v>6516290820.567647</v>
      </c>
      <c r="J99" s="2">
        <f>J11/'Output-Calculation-sheet'!J10*'Output-Calculation-sheet'!J82</f>
        <v>3803186871.2333298</v>
      </c>
      <c r="K99" s="2">
        <f>K11/'Output-Calculation-sheet'!K10*'Output-Calculation-sheet'!K82</f>
        <v>6258940766.8635826</v>
      </c>
      <c r="L99" s="2">
        <f>L11/'Output-Calculation-sheet'!L10*'Output-Calculation-sheet'!L82</f>
        <v>4579904450.2413015</v>
      </c>
      <c r="M99" s="2">
        <f>M11/'Output-Calculation-sheet'!M10*'Output-Calculation-sheet'!M82</f>
        <v>4590755481.6526594</v>
      </c>
      <c r="N99" s="2">
        <f>N11/'Output-Calculation-sheet'!N10*'Output-Calculation-sheet'!N82</f>
        <v>3312979488.3421021</v>
      </c>
      <c r="O99" s="2">
        <f>O11/'Output-Calculation-sheet'!O10*'Output-Calculation-sheet'!O82</f>
        <v>2631559034.6339126</v>
      </c>
      <c r="P99" s="2">
        <f>P11/'Output-Calculation-sheet'!P10*'Output-Calculation-sheet'!P82</f>
        <v>5312125067.4052935</v>
      </c>
      <c r="Q99" s="2">
        <f>Q11/'Output-Calculation-sheet'!Q10*'Output-Calculation-sheet'!Q82</f>
        <v>3041257938.8630261</v>
      </c>
      <c r="R99" s="2">
        <f>R11/'Output-Calculation-sheet'!R10*'Output-Calculation-sheet'!R82</f>
        <v>3979345836.5954142</v>
      </c>
      <c r="S99" s="2">
        <f>S11/'Output-Calculation-sheet'!S10*'Output-Calculation-sheet'!S82</f>
        <v>2520656132.2043991</v>
      </c>
      <c r="T99" s="2">
        <f>T11/'Output-Calculation-sheet'!T10*'Output-Calculation-sheet'!T82</f>
        <v>1572345101.2016978</v>
      </c>
      <c r="U99" s="2">
        <f>U11/'Output-Calculation-sheet'!U10*'Output-Calculation-sheet'!U82</f>
        <v>1478967060.5690565</v>
      </c>
      <c r="V99" s="2">
        <f>V11/'Output-Calculation-sheet'!V10*'Output-Calculation-sheet'!V82</f>
        <v>968612463.62609208</v>
      </c>
      <c r="W99" s="2">
        <f>W11/'Output-Calculation-sheet'!W10*'Output-Calculation-sheet'!W82</f>
        <v>1086897980.3425488</v>
      </c>
      <c r="X99" s="2">
        <f>X11/'Output-Calculation-sheet'!X10*'Output-Calculation-sheet'!X82</f>
        <v>523450229.61650956</v>
      </c>
      <c r="Y99" s="2">
        <f>Y11/'Output-Calculation-sheet'!Y10*'Output-Calculation-sheet'!Y82</f>
        <v>564735363.57927001</v>
      </c>
      <c r="AA99" s="2">
        <f t="shared" si="8"/>
        <v>173.64905923776655</v>
      </c>
    </row>
    <row r="100" spans="1:27" x14ac:dyDescent="0.25">
      <c r="A100" s="2">
        <v>2035</v>
      </c>
      <c r="B100" s="2">
        <f>B12/'Output-Calculation-sheet'!B11*'Output-Calculation-sheet'!B83</f>
        <v>49782361162.526459</v>
      </c>
      <c r="C100" s="2">
        <f>C12/'Output-Calculation-sheet'!C11*'Output-Calculation-sheet'!C83</f>
        <v>20700401229.886982</v>
      </c>
      <c r="D100" s="2">
        <f>D12/'Output-Calculation-sheet'!D11*'Output-Calculation-sheet'!D83</f>
        <v>16032793639.116507</v>
      </c>
      <c r="E100" s="2">
        <f>E12/'Output-Calculation-sheet'!E11*'Output-Calculation-sheet'!E83</f>
        <v>19211154106.480476</v>
      </c>
      <c r="F100" s="2">
        <f>F12/'Output-Calculation-sheet'!F11*'Output-Calculation-sheet'!F83</f>
        <v>11496911479.083157</v>
      </c>
      <c r="G100" s="2">
        <f>G12/'Output-Calculation-sheet'!G11*'Output-Calculation-sheet'!G83</f>
        <v>5504848556.8913412</v>
      </c>
      <c r="H100" s="2">
        <f>H12/'Output-Calculation-sheet'!H11*'Output-Calculation-sheet'!H83</f>
        <v>7388681698.1280003</v>
      </c>
      <c r="I100" s="2">
        <f>I12/'Output-Calculation-sheet'!I11*'Output-Calculation-sheet'!I83</f>
        <v>7007153920.9049053</v>
      </c>
      <c r="J100" s="2">
        <f>J12/'Output-Calculation-sheet'!J11*'Output-Calculation-sheet'!J83</f>
        <v>4137473914.1987119</v>
      </c>
      <c r="K100" s="2">
        <f>K12/'Output-Calculation-sheet'!K11*'Output-Calculation-sheet'!K83</f>
        <v>6727379654.2368298</v>
      </c>
      <c r="L100" s="2">
        <f>L12/'Output-Calculation-sheet'!L11*'Output-Calculation-sheet'!L83</f>
        <v>4948736622.5430498</v>
      </c>
      <c r="M100" s="2">
        <f>M12/'Output-Calculation-sheet'!M11*'Output-Calculation-sheet'!M83</f>
        <v>4948452679.2874346</v>
      </c>
      <c r="N100" s="2">
        <f>N12/'Output-Calculation-sheet'!N11*'Output-Calculation-sheet'!N83</f>
        <v>3589962145.2711163</v>
      </c>
      <c r="O100" s="2">
        <f>O12/'Output-Calculation-sheet'!O11*'Output-Calculation-sheet'!O83</f>
        <v>2860099646.40767</v>
      </c>
      <c r="P100" s="2">
        <f>P12/'Output-Calculation-sheet'!P11*'Output-Calculation-sheet'!P83</f>
        <v>5673838035.1962347</v>
      </c>
      <c r="Q100" s="2">
        <f>Q12/'Output-Calculation-sheet'!Q11*'Output-Calculation-sheet'!Q83</f>
        <v>3303217487.0970011</v>
      </c>
      <c r="R100" s="2">
        <f>R12/'Output-Calculation-sheet'!R11*'Output-Calculation-sheet'!R83</f>
        <v>4292321302.2725167</v>
      </c>
      <c r="S100" s="2">
        <f>S12/'Output-Calculation-sheet'!S11*'Output-Calculation-sheet'!S83</f>
        <v>2723986518.5652699</v>
      </c>
      <c r="T100" s="2">
        <f>T12/'Output-Calculation-sheet'!T11*'Output-Calculation-sheet'!T83</f>
        <v>1684549368.4000132</v>
      </c>
      <c r="U100" s="2">
        <f>U12/'Output-Calculation-sheet'!U11*'Output-Calculation-sheet'!U83</f>
        <v>1589558514.2026951</v>
      </c>
      <c r="V100" s="2">
        <f>V12/'Output-Calculation-sheet'!V11*'Output-Calculation-sheet'!V83</f>
        <v>1046643741.6753038</v>
      </c>
      <c r="W100" s="2">
        <f>W12/'Output-Calculation-sheet'!W11*'Output-Calculation-sheet'!W83</f>
        <v>1151851362.6656816</v>
      </c>
      <c r="X100" s="2">
        <f>X12/'Output-Calculation-sheet'!X11*'Output-Calculation-sheet'!X83</f>
        <v>563948451.30009556</v>
      </c>
      <c r="Y100" s="2">
        <f>Y12/'Output-Calculation-sheet'!Y11*'Output-Calculation-sheet'!Y83</f>
        <v>601668536.9413681</v>
      </c>
      <c r="AA100" s="2">
        <f t="shared" si="8"/>
        <v>186.96799377327886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1637236564.8655</v>
      </c>
      <c r="C107" s="2">
        <f>C8/'Output-Calculation-sheet'!C7*'Output-Calculation-sheet'!C88</f>
        <v>26963519914.234501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8412759021.0094118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5804102418.9401712</v>
      </c>
      <c r="N107" s="2">
        <f>N8/'Output-Calculation-sheet'!N7*'Output-Calculation-sheet'!N88</f>
        <v>1942739589.5163848</v>
      </c>
      <c r="O107" s="2">
        <f>O8/'Output-Calculation-sheet'!O7*'Output-Calculation-sheet'!O88</f>
        <v>5239036536.2987299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582494700.72471654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628586149.63205194</v>
      </c>
      <c r="Y107" s="2">
        <f>Y8/'Output-Calculation-sheet'!Y7*'Output-Calculation-sheet'!Y88</f>
        <v>0</v>
      </c>
      <c r="AA107" s="2">
        <f t="shared" si="9"/>
        <v>51210.474895221465</v>
      </c>
    </row>
    <row r="108" spans="1:27" x14ac:dyDescent="0.25">
      <c r="A108" s="2">
        <v>2032</v>
      </c>
      <c r="B108" s="2">
        <f>B9/'Output-Calculation-sheet'!B8*'Output-Calculation-sheet'!B89</f>
        <v>7423926582.3681116</v>
      </c>
      <c r="C108" s="2">
        <f>C9/'Output-Calculation-sheet'!C8*'Output-Calculation-sheet'!C89</f>
        <v>37215569018.507736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11611000468.687061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8010580710.9352417</v>
      </c>
      <c r="N108" s="2">
        <f>N9/'Output-Calculation-sheet'!N8*'Output-Calculation-sheet'!N89</f>
        <v>3758473150.0609879</v>
      </c>
      <c r="O108" s="2">
        <f>O9/'Output-Calculation-sheet'!O8*'Output-Calculation-sheet'!O89</f>
        <v>7231016714.6546507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1135692303.7518022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867569835.41040909</v>
      </c>
      <c r="Y108" s="2">
        <f>Y9/'Output-Calculation-sheet'!Y8*'Output-Calculation-sheet'!Y89</f>
        <v>0</v>
      </c>
      <c r="AA108" s="2">
        <f t="shared" si="9"/>
        <v>77253.828784376004</v>
      </c>
    </row>
    <row r="109" spans="1:27" x14ac:dyDescent="0.25">
      <c r="A109" s="2">
        <v>2033</v>
      </c>
      <c r="B109" s="2">
        <f>B10/'Output-Calculation-sheet'!B9*'Output-Calculation-sheet'!B90</f>
        <v>19687694052.712883</v>
      </c>
      <c r="C109" s="2">
        <f>C10/'Output-Calculation-sheet'!C9*'Output-Calculation-sheet'!C90</f>
        <v>46529419938.193756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14516853252.980331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10015367218.950735</v>
      </c>
      <c r="N109" s="2">
        <f>N10/'Output-Calculation-sheet'!N9*'Output-Calculation-sheet'!N90</f>
        <v>5900470391.3511276</v>
      </c>
      <c r="O109" s="2">
        <f>O10/'Output-Calculation-sheet'!O9*'Output-Calculation-sheet'!O90</f>
        <v>8620071747.9855881</v>
      </c>
      <c r="P109" s="2">
        <f>P10/'Output-Calculation-sheet'!P9*'Output-Calculation-sheet'!P90</f>
        <v>0</v>
      </c>
      <c r="Q109" s="2">
        <f>Q10/'Output-Calculation-sheet'!Q9*'Output-Calculation-sheet'!Q90</f>
        <v>192057294.04049689</v>
      </c>
      <c r="R109" s="2">
        <f>R10/'Output-Calculation-sheet'!R9*'Output-Calculation-sheet'!R90</f>
        <v>0</v>
      </c>
      <c r="S109" s="2">
        <f>S10/'Output-Calculation-sheet'!S9*'Output-Calculation-sheet'!S90</f>
        <v>2378749564.8450527</v>
      </c>
      <c r="T109" s="2">
        <f>T10/'Output-Calculation-sheet'!T9*'Output-Calculation-sheet'!T90</f>
        <v>-3.9533876027642057E-7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1084694571.7289445</v>
      </c>
      <c r="Y109" s="2">
        <f>Y10/'Output-Calculation-sheet'!Y9*'Output-Calculation-sheet'!Y90</f>
        <v>0</v>
      </c>
      <c r="AA109" s="2">
        <f t="shared" si="9"/>
        <v>108925.3780327889</v>
      </c>
    </row>
    <row r="110" spans="1:27" x14ac:dyDescent="0.25">
      <c r="A110" s="2">
        <v>2034</v>
      </c>
      <c r="B110" s="2">
        <f>B11/'Output-Calculation-sheet'!B10*'Output-Calculation-sheet'!B91</f>
        <v>44822823238.420937</v>
      </c>
      <c r="C110" s="2">
        <f>C11/'Output-Calculation-sheet'!C10*'Output-Calculation-sheet'!C91</f>
        <v>49651520082.822983</v>
      </c>
      <c r="D110" s="2">
        <f>D11/'Output-Calculation-sheet'!D10*'Output-Calculation-sheet'!D91</f>
        <v>0</v>
      </c>
      <c r="E110" s="2">
        <f>E11/'Output-Calculation-sheet'!E10*'Output-Calculation-sheet'!E91</f>
        <v>938051206.69281316</v>
      </c>
      <c r="F110" s="2">
        <f>F11/'Output-Calculation-sheet'!F10*'Output-Calculation-sheet'!F91</f>
        <v>0</v>
      </c>
      <c r="G110" s="2">
        <f>G11/'Output-Calculation-sheet'!G10*'Output-Calculation-sheet'!G91</f>
        <v>-2.1145830760873118E-6</v>
      </c>
      <c r="H110" s="2">
        <f>H11/'Output-Calculation-sheet'!H10*'Output-Calculation-sheet'!H91</f>
        <v>16730087985.132471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761644220.92859352</v>
      </c>
      <c r="M110" s="2">
        <f>M11/'Output-Calculation-sheet'!M10*'Output-Calculation-sheet'!M91</f>
        <v>11542304925.009661</v>
      </c>
      <c r="N110" s="2">
        <f>N11/'Output-Calculation-sheet'!N10*'Output-Calculation-sheet'!N91</f>
        <v>7984272061.6571531</v>
      </c>
      <c r="O110" s="2">
        <f>O11/'Output-Calculation-sheet'!O10*'Output-Calculation-sheet'!O91</f>
        <v>9153561021.5633278</v>
      </c>
      <c r="P110" s="2">
        <f>P11/'Output-Calculation-sheet'!P10*'Output-Calculation-sheet'!P91</f>
        <v>8.5214585374705263E-7</v>
      </c>
      <c r="Q110" s="2">
        <f>Q11/'Output-Calculation-sheet'!Q10*'Output-Calculation-sheet'!Q91</f>
        <v>2031941100.6267328</v>
      </c>
      <c r="R110" s="2">
        <f>R11/'Output-Calculation-sheet'!R10*'Output-Calculation-sheet'!R91</f>
        <v>0</v>
      </c>
      <c r="S110" s="2">
        <f>S11/'Output-Calculation-sheet'!S10*'Output-Calculation-sheet'!S91</f>
        <v>3925581972.0708771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1139389751.8295469</v>
      </c>
      <c r="Y110" s="2">
        <f>Y11/'Output-Calculation-sheet'!Y10*'Output-Calculation-sheet'!Y91</f>
        <v>50054097.220580578</v>
      </c>
      <c r="AA110" s="2">
        <f t="shared" si="9"/>
        <v>148731.23166397569</v>
      </c>
    </row>
    <row r="111" spans="1:27" x14ac:dyDescent="0.25">
      <c r="A111" s="2">
        <v>2035</v>
      </c>
      <c r="B111" s="2">
        <f>B12/'Output-Calculation-sheet'!B11*'Output-Calculation-sheet'!B92</f>
        <v>59872912149.757729</v>
      </c>
      <c r="C111" s="2">
        <f>C12/'Output-Calculation-sheet'!C11*'Output-Calculation-sheet'!C92</f>
        <v>50305808114.122635</v>
      </c>
      <c r="D111" s="2">
        <f>D12/'Output-Calculation-sheet'!D11*'Output-Calculation-sheet'!D92</f>
        <v>0</v>
      </c>
      <c r="E111" s="2">
        <f>E12/'Output-Calculation-sheet'!E11*'Output-Calculation-sheet'!E92</f>
        <v>6804583827.8729877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17075818561.851418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2190489447.1785793</v>
      </c>
      <c r="M111" s="2">
        <f>M12/'Output-Calculation-sheet'!M11*'Output-Calculation-sheet'!M92</f>
        <v>11821333238.069611</v>
      </c>
      <c r="N111" s="2">
        <f>N12/'Output-Calculation-sheet'!N11*'Output-Calculation-sheet'!N92</f>
        <v>8475913220.4037294</v>
      </c>
      <c r="O111" s="2">
        <f>O12/'Output-Calculation-sheet'!O11*'Output-Calculation-sheet'!O92</f>
        <v>9033875384.2679825</v>
      </c>
      <c r="P111" s="2">
        <f>P12/'Output-Calculation-sheet'!P11*'Output-Calculation-sheet'!P92</f>
        <v>464901956.50625306</v>
      </c>
      <c r="Q111" s="2">
        <f>Q12/'Output-Calculation-sheet'!Q11*'Output-Calculation-sheet'!Q92</f>
        <v>3641431015.1650033</v>
      </c>
      <c r="R111" s="2">
        <f>R12/'Output-Calculation-sheet'!R11*'Output-Calculation-sheet'!R92</f>
        <v>0</v>
      </c>
      <c r="S111" s="2">
        <f>S12/'Output-Calculation-sheet'!S11*'Output-Calculation-sheet'!S92</f>
        <v>4558832956.2518044</v>
      </c>
      <c r="T111" s="2">
        <f>T12/'Output-Calculation-sheet'!T11*'Output-Calculation-sheet'!T92</f>
        <v>0</v>
      </c>
      <c r="U111" s="2">
        <f>U12/'Output-Calculation-sheet'!U11*'Output-Calculation-sheet'!U92</f>
        <v>161924033.32392767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1161509378.5985014</v>
      </c>
      <c r="Y111" s="2">
        <f>Y12/'Output-Calculation-sheet'!Y11*'Output-Calculation-sheet'!Y92</f>
        <v>274802868.48941445</v>
      </c>
      <c r="AA111" s="2">
        <f t="shared" si="9"/>
        <v>175844.13615185957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55592806514.815842</v>
      </c>
      <c r="C118" s="2">
        <f>C8/'Output-Calculation-sheet'!C7*'Output-Calculation-sheet'!C97</f>
        <v>0</v>
      </c>
      <c r="D118" s="2">
        <f>D8/'Output-Calculation-sheet'!D7*'Output-Calculation-sheet'!D97</f>
        <v>24037277550.838226</v>
      </c>
      <c r="E118" s="2">
        <f>E8/'Output-Calculation-sheet'!E7*'Output-Calculation-sheet'!E97</f>
        <v>19071140510.620407</v>
      </c>
      <c r="F118" s="2">
        <f>F8/'Output-Calculation-sheet'!F7*'Output-Calculation-sheet'!F97</f>
        <v>12276777507.938492</v>
      </c>
      <c r="G118" s="2">
        <f>G8/'Output-Calculation-sheet'!G7*'Output-Calculation-sheet'!G97</f>
        <v>8626000804.1422291</v>
      </c>
      <c r="H118" s="2">
        <f>H8/'Output-Calculation-sheet'!H7*'Output-Calculation-sheet'!H97</f>
        <v>0</v>
      </c>
      <c r="I118" s="2">
        <f>I8/'Output-Calculation-sheet'!I7*'Output-Calculation-sheet'!I97</f>
        <v>7858965747.2141142</v>
      </c>
      <c r="J118" s="2">
        <f>J8/'Output-Calculation-sheet'!J7*'Output-Calculation-sheet'!J97</f>
        <v>7649375965.7576704</v>
      </c>
      <c r="K118" s="2">
        <f>K8/'Output-Calculation-sheet'!K7*'Output-Calculation-sheet'!K97</f>
        <v>7576041490.6778173</v>
      </c>
      <c r="L118" s="2">
        <f>L8/'Output-Calculation-sheet'!L7*'Output-Calculation-sheet'!L97</f>
        <v>6077598993.3579473</v>
      </c>
      <c r="M118" s="2">
        <f>M8/'Output-Calculation-sheet'!M7*'Output-Calculation-sheet'!M97</f>
        <v>0</v>
      </c>
      <c r="N118" s="2">
        <f>N8/'Output-Calculation-sheet'!N7*'Output-Calculation-sheet'!N97</f>
        <v>3754960130.8721595</v>
      </c>
      <c r="O118" s="2">
        <f>O8/'Output-Calculation-sheet'!O7*'Output-Calculation-sheet'!O97</f>
        <v>0</v>
      </c>
      <c r="P118" s="2">
        <f>P8/'Output-Calculation-sheet'!P7*'Output-Calculation-sheet'!P97</f>
        <v>5186917393.1613188</v>
      </c>
      <c r="Q118" s="2">
        <f>Q8/'Output-Calculation-sheet'!Q7*'Output-Calculation-sheet'!Q97</f>
        <v>5103087457.9391527</v>
      </c>
      <c r="R118" s="2">
        <f>R8/'Output-Calculation-sheet'!R7*'Output-Calculation-sheet'!R97</f>
        <v>4909404826.9334955</v>
      </c>
      <c r="S118" s="2">
        <f>S8/'Output-Calculation-sheet'!S7*'Output-Calculation-sheet'!S97</f>
        <v>2680548130.6534905</v>
      </c>
      <c r="T118" s="2">
        <f>T8/'Output-Calculation-sheet'!T7*'Output-Calculation-sheet'!T97</f>
        <v>1804655352.3948808</v>
      </c>
      <c r="U118" s="2">
        <f>U8/'Output-Calculation-sheet'!U7*'Output-Calculation-sheet'!U97</f>
        <v>1571792840.830374</v>
      </c>
      <c r="V118" s="2">
        <f>V8/'Output-Calculation-sheet'!V7*'Output-Calculation-sheet'!V97</f>
        <v>1210312398.9021547</v>
      </c>
      <c r="W118" s="2">
        <f>W8/'Output-Calculation-sheet'!W7*'Output-Calculation-sheet'!W97</f>
        <v>1047861893.5659927</v>
      </c>
      <c r="X118" s="2">
        <f>X8/'Output-Calculation-sheet'!X7*'Output-Calculation-sheet'!X97</f>
        <v>0</v>
      </c>
      <c r="Y118" s="2">
        <f>Y8/'Output-Calculation-sheet'!Y7*'Output-Calculation-sheet'!Y97</f>
        <v>611421366.87393248</v>
      </c>
      <c r="AA118" s="2">
        <f t="shared" si="10"/>
        <v>176646.94687748968</v>
      </c>
    </row>
    <row r="119" spans="1:27" x14ac:dyDescent="0.25">
      <c r="A119" s="2">
        <v>2032</v>
      </c>
      <c r="B119" s="2">
        <f>B9/'Output-Calculation-sheet'!B8*'Output-Calculation-sheet'!B98</f>
        <v>71562457708.813766</v>
      </c>
      <c r="C119" s="2">
        <f>C9/'Output-Calculation-sheet'!C8*'Output-Calculation-sheet'!C98</f>
        <v>0</v>
      </c>
      <c r="D119" s="2">
        <f>D9/'Output-Calculation-sheet'!D8*'Output-Calculation-sheet'!D98</f>
        <v>33175194063.611034</v>
      </c>
      <c r="E119" s="2">
        <f>E9/'Output-Calculation-sheet'!E8*'Output-Calculation-sheet'!E98</f>
        <v>26321143797.48045</v>
      </c>
      <c r="F119" s="2">
        <f>F9/'Output-Calculation-sheet'!F8*'Output-Calculation-sheet'!F98</f>
        <v>16943870033.452461</v>
      </c>
      <c r="G119" s="2">
        <f>G9/'Output-Calculation-sheet'!G8*'Output-Calculation-sheet'!G98</f>
        <v>11905228136.496414</v>
      </c>
      <c r="H119" s="2">
        <f>H9/'Output-Calculation-sheet'!H8*'Output-Calculation-sheet'!H98</f>
        <v>0</v>
      </c>
      <c r="I119" s="2">
        <f>I9/'Output-Calculation-sheet'!I8*'Output-Calculation-sheet'!I98</f>
        <v>10846600793.66087</v>
      </c>
      <c r="J119" s="2">
        <f>J9/'Output-Calculation-sheet'!J8*'Output-Calculation-sheet'!J98</f>
        <v>10557330044.790283</v>
      </c>
      <c r="K119" s="2">
        <f>K9/'Output-Calculation-sheet'!K8*'Output-Calculation-sheet'!K98</f>
        <v>10456118689.339714</v>
      </c>
      <c r="L119" s="2">
        <f>L9/'Output-Calculation-sheet'!L8*'Output-Calculation-sheet'!L98</f>
        <v>8388036332.8433657</v>
      </c>
      <c r="M119" s="2">
        <f>M9/'Output-Calculation-sheet'!M8*'Output-Calculation-sheet'!M98</f>
        <v>0</v>
      </c>
      <c r="N119" s="2">
        <f>N9/'Output-Calculation-sheet'!N8*'Output-Calculation-sheet'!N98</f>
        <v>4104586111.0716319</v>
      </c>
      <c r="O119" s="2">
        <f>O9/'Output-Calculation-sheet'!O8*'Output-Calculation-sheet'!O98</f>
        <v>7.3659112645140637E-7</v>
      </c>
      <c r="P119" s="2">
        <f>P9/'Output-Calculation-sheet'!P8*'Output-Calculation-sheet'!P98</f>
        <v>7158708135.0884371</v>
      </c>
      <c r="Q119" s="2">
        <f>Q9/'Output-Calculation-sheet'!Q8*'Output-Calculation-sheet'!Q98</f>
        <v>7043057017.7617855</v>
      </c>
      <c r="R119" s="2">
        <f>R9/'Output-Calculation-sheet'!R8*'Output-Calculation-sheet'!R98</f>
        <v>6775745308.5882053</v>
      </c>
      <c r="S119" s="2">
        <f>S9/'Output-Calculation-sheet'!S8*'Output-Calculation-sheet'!S98</f>
        <v>3367574695.4193883</v>
      </c>
      <c r="T119" s="2">
        <f>T9/'Output-Calculation-sheet'!T8*'Output-Calculation-sheet'!T98</f>
        <v>2490705614.1349134</v>
      </c>
      <c r="U119" s="2">
        <f>U9/'Output-Calculation-sheet'!U8*'Output-Calculation-sheet'!U98</f>
        <v>2169319912.2551141</v>
      </c>
      <c r="V119" s="2">
        <f>V9/'Output-Calculation-sheet'!V8*'Output-Calculation-sheet'!V98</f>
        <v>1670419719.1083109</v>
      </c>
      <c r="W119" s="2">
        <f>W9/'Output-Calculation-sheet'!W8*'Output-Calculation-sheet'!W98</f>
        <v>1446213047.5837259</v>
      </c>
      <c r="X119" s="2">
        <f>X9/'Output-Calculation-sheet'!X8*'Output-Calculation-sheet'!X98</f>
        <v>0</v>
      </c>
      <c r="Y119" s="2">
        <f>Y9/'Output-Calculation-sheet'!Y8*'Output-Calculation-sheet'!Y98</f>
        <v>843856636.352005</v>
      </c>
      <c r="AA119" s="2">
        <f t="shared" si="10"/>
        <v>237226.16579785186</v>
      </c>
    </row>
    <row r="120" spans="1:27" x14ac:dyDescent="0.25">
      <c r="A120" s="2">
        <v>2033</v>
      </c>
      <c r="B120" s="2">
        <f>B10/'Output-Calculation-sheet'!B9*'Output-Calculation-sheet'!B99</f>
        <v>79057446576.342484</v>
      </c>
      <c r="C120" s="2">
        <f>C10/'Output-Calculation-sheet'!C9*'Output-Calculation-sheet'!C99</f>
        <v>0</v>
      </c>
      <c r="D120" s="2">
        <f>D10/'Output-Calculation-sheet'!D9*'Output-Calculation-sheet'!D99</f>
        <v>41476614983.768021</v>
      </c>
      <c r="E120" s="2">
        <f>E10/'Output-Calculation-sheet'!E9*'Output-Calculation-sheet'!E99</f>
        <v>32907480788.211617</v>
      </c>
      <c r="F120" s="2">
        <f>F10/'Output-Calculation-sheet'!F9*'Output-Calculation-sheet'!F99</f>
        <v>21183726256.888233</v>
      </c>
      <c r="G120" s="2">
        <f>G10/'Output-Calculation-sheet'!G9*'Output-Calculation-sheet'!G99</f>
        <v>14884267439.764883</v>
      </c>
      <c r="H120" s="2">
        <f>H10/'Output-Calculation-sheet'!H9*'Output-Calculation-sheet'!H99</f>
        <v>0</v>
      </c>
      <c r="I120" s="2">
        <f>I10/'Output-Calculation-sheet'!I9*'Output-Calculation-sheet'!I99</f>
        <v>13560741029.004568</v>
      </c>
      <c r="J120" s="2">
        <f>J10/'Output-Calculation-sheet'!J9*'Output-Calculation-sheet'!J99</f>
        <v>13199086162.697254</v>
      </c>
      <c r="K120" s="2">
        <f>K10/'Output-Calculation-sheet'!K9*'Output-Calculation-sheet'!K99</f>
        <v>13072550100.836319</v>
      </c>
      <c r="L120" s="2">
        <f>L10/'Output-Calculation-sheet'!L9*'Output-Calculation-sheet'!L99</f>
        <v>10486971032.83753</v>
      </c>
      <c r="M120" s="2">
        <f>M10/'Output-Calculation-sheet'!M9*'Output-Calculation-sheet'!M99</f>
        <v>0</v>
      </c>
      <c r="N120" s="2">
        <f>N10/'Output-Calculation-sheet'!N9*'Output-Calculation-sheet'!N99</f>
        <v>3929579691.7546678</v>
      </c>
      <c r="O120" s="2">
        <f>O10/'Output-Calculation-sheet'!O9*'Output-Calculation-sheet'!O99</f>
        <v>0</v>
      </c>
      <c r="P120" s="2">
        <f>P10/'Output-Calculation-sheet'!P9*'Output-Calculation-sheet'!P99</f>
        <v>8949558811.7791214</v>
      </c>
      <c r="Q120" s="2">
        <f>Q10/'Output-Calculation-sheet'!Q9*'Output-Calculation-sheet'!Q99</f>
        <v>8613294766.1611481</v>
      </c>
      <c r="R120" s="2">
        <f>R10/'Output-Calculation-sheet'!R9*'Output-Calculation-sheet'!R99</f>
        <v>8470835035.3238688</v>
      </c>
      <c r="S120" s="2">
        <f>S10/'Output-Calculation-sheet'!S9*'Output-Calculation-sheet'!S99</f>
        <v>3250992002.1601768</v>
      </c>
      <c r="T120" s="2">
        <f>T10/'Output-Calculation-sheet'!T9*'Output-Calculation-sheet'!T99</f>
        <v>3113927019.0544691</v>
      </c>
      <c r="U120" s="2">
        <f>U10/'Output-Calculation-sheet'!U9*'Output-Calculation-sheet'!U99</f>
        <v>2712737350.6199312</v>
      </c>
      <c r="V120" s="2">
        <f>V10/'Output-Calculation-sheet'!V9*'Output-Calculation-sheet'!V99</f>
        <v>2088408229.7964721</v>
      </c>
      <c r="W120" s="2">
        <f>W10/'Output-Calculation-sheet'!W9*'Output-Calculation-sheet'!W99</f>
        <v>1808098689.9211421</v>
      </c>
      <c r="X120" s="2">
        <f>X10/'Output-Calculation-sheet'!X9*'Output-Calculation-sheet'!X99</f>
        <v>0</v>
      </c>
      <c r="Y120" s="2">
        <f>Y10/'Output-Calculation-sheet'!Y9*'Output-Calculation-sheet'!Y99</f>
        <v>1055016104.1243796</v>
      </c>
      <c r="AA120" s="2">
        <f t="shared" si="10"/>
        <v>283821.33207104634</v>
      </c>
    </row>
    <row r="121" spans="1:27" x14ac:dyDescent="0.25">
      <c r="A121" s="2">
        <v>2034</v>
      </c>
      <c r="B121" s="2">
        <f>B11/'Output-Calculation-sheet'!B10*'Output-Calculation-sheet'!B100</f>
        <v>68967035714.875717</v>
      </c>
      <c r="C121" s="2">
        <f>C11/'Output-Calculation-sheet'!C10*'Output-Calculation-sheet'!C100</f>
        <v>0</v>
      </c>
      <c r="D121" s="2">
        <f>D11/'Output-Calculation-sheet'!D10*'Output-Calculation-sheet'!D100</f>
        <v>47799092719.018692</v>
      </c>
      <c r="E121" s="2">
        <f>E11/'Output-Calculation-sheet'!E10*'Output-Calculation-sheet'!E100</f>
        <v>36984069321.972839</v>
      </c>
      <c r="F121" s="2">
        <f>F11/'Output-Calculation-sheet'!F10*'Output-Calculation-sheet'!F100</f>
        <v>24412730900.949188</v>
      </c>
      <c r="G121" s="2">
        <f>G11/'Output-Calculation-sheet'!G10*'Output-Calculation-sheet'!G100</f>
        <v>17152213995.20121</v>
      </c>
      <c r="H121" s="2">
        <f>H11/'Output-Calculation-sheet'!H10*'Output-Calculation-sheet'!H100</f>
        <v>2.0649334223588856E-7</v>
      </c>
      <c r="I121" s="2">
        <f>I11/'Output-Calculation-sheet'!I10*'Output-Calculation-sheet'!I100</f>
        <v>15627316495.88394</v>
      </c>
      <c r="J121" s="2">
        <f>J11/'Output-Calculation-sheet'!J10*'Output-Calculation-sheet'!J100</f>
        <v>15210691920.150562</v>
      </c>
      <c r="K121" s="2">
        <f>K11/'Output-Calculation-sheet'!K10*'Output-Calculation-sheet'!K100</f>
        <v>15065267290.984131</v>
      </c>
      <c r="L121" s="2">
        <f>L11/'Output-Calculation-sheet'!L10*'Output-Calculation-sheet'!L100</f>
        <v>11323542565.760622</v>
      </c>
      <c r="M121" s="2">
        <f>M11/'Output-Calculation-sheet'!M10*'Output-Calculation-sheet'!M100</f>
        <v>-1.3410095534426147E-7</v>
      </c>
      <c r="N121" s="2">
        <f>N11/'Output-Calculation-sheet'!N10*'Output-Calculation-sheet'!N100</f>
        <v>3344463956.9320645</v>
      </c>
      <c r="O121" s="2">
        <f>O11/'Output-Calculation-sheet'!O10*'Output-Calculation-sheet'!O100</f>
        <v>0</v>
      </c>
      <c r="P121" s="2">
        <f>P11/'Output-Calculation-sheet'!P10*'Output-Calculation-sheet'!P100</f>
        <v>10313357695.964798</v>
      </c>
      <c r="Q121" s="2">
        <f>Q11/'Output-Calculation-sheet'!Q10*'Output-Calculation-sheet'!Q100</f>
        <v>8114822757.7606363</v>
      </c>
      <c r="R121" s="2">
        <f>R11/'Output-Calculation-sheet'!R10*'Output-Calculation-sheet'!R100</f>
        <v>9761663266.712122</v>
      </c>
      <c r="S121" s="2">
        <f>S11/'Output-Calculation-sheet'!S10*'Output-Calculation-sheet'!S100</f>
        <v>2562274679.6347079</v>
      </c>
      <c r="T121" s="2">
        <f>T11/'Output-Calculation-sheet'!T10*'Output-Calculation-sheet'!T100</f>
        <v>3588383331.2089524</v>
      </c>
      <c r="U121" s="2">
        <f>U11/'Output-Calculation-sheet'!U10*'Output-Calculation-sheet'!U100</f>
        <v>3127257385.9717412</v>
      </c>
      <c r="V121" s="2">
        <f>V11/'Output-Calculation-sheet'!V10*'Output-Calculation-sheet'!V100</f>
        <v>2406754589.0853324</v>
      </c>
      <c r="W121" s="2">
        <f>W11/'Output-Calculation-sheet'!W10*'Output-Calculation-sheet'!W100</f>
        <v>2083777666.1448383</v>
      </c>
      <c r="X121" s="2">
        <f>X11/'Output-Calculation-sheet'!X10*'Output-Calculation-sheet'!X100</f>
        <v>110677230.17177054</v>
      </c>
      <c r="Y121" s="2">
        <f>Y11/'Output-Calculation-sheet'!Y10*'Output-Calculation-sheet'!Y100</f>
        <v>1165761034.701494</v>
      </c>
      <c r="AA121" s="2">
        <f t="shared" si="10"/>
        <v>299121.15451908531</v>
      </c>
    </row>
    <row r="122" spans="1:27" x14ac:dyDescent="0.25">
      <c r="A122" s="2">
        <v>2035</v>
      </c>
      <c r="B122" s="2">
        <f>B12/'Output-Calculation-sheet'!B11*'Output-Calculation-sheet'!B101</f>
        <v>58618153001.199539</v>
      </c>
      <c r="C122" s="2">
        <f>C12/'Output-Calculation-sheet'!C11*'Output-Calculation-sheet'!C101</f>
        <v>0</v>
      </c>
      <c r="D122" s="2">
        <f>D12/'Output-Calculation-sheet'!D11*'Output-Calculation-sheet'!D101</f>
        <v>49130967805.699142</v>
      </c>
      <c r="E122" s="2">
        <f>E12/'Output-Calculation-sheet'!E11*'Output-Calculation-sheet'!E101</f>
        <v>33082592583.19561</v>
      </c>
      <c r="F122" s="2">
        <f>F12/'Output-Calculation-sheet'!F11*'Output-Calculation-sheet'!F101</f>
        <v>25609624447.488964</v>
      </c>
      <c r="G122" s="2">
        <f>G12/'Output-Calculation-sheet'!G11*'Output-Calculation-sheet'!G101</f>
        <v>17451889561.557331</v>
      </c>
      <c r="H122" s="2">
        <f>H12/'Output-Calculation-sheet'!H11*'Output-Calculation-sheet'!H101</f>
        <v>0</v>
      </c>
      <c r="I122" s="2">
        <f>I12/'Output-Calculation-sheet'!I11*'Output-Calculation-sheet'!I101</f>
        <v>16341669519.733269</v>
      </c>
      <c r="J122" s="2">
        <f>J12/'Output-Calculation-sheet'!J11*'Output-Calculation-sheet'!J101</f>
        <v>15618829154.620962</v>
      </c>
      <c r="K122" s="2">
        <f>K12/'Output-Calculation-sheet'!K11*'Output-Calculation-sheet'!K101</f>
        <v>15770965369.347645</v>
      </c>
      <c r="L122" s="2">
        <f>L12/'Output-Calculation-sheet'!L11*'Output-Calculation-sheet'!L101</f>
        <v>10496135337.766687</v>
      </c>
      <c r="M122" s="2">
        <f>M12/'Output-Calculation-sheet'!M11*'Output-Calculation-sheet'!M101</f>
        <v>0</v>
      </c>
      <c r="N122" s="2">
        <f>N12/'Output-Calculation-sheet'!N11*'Output-Calculation-sheet'!N101</f>
        <v>3092286871.0175343</v>
      </c>
      <c r="O122" s="2">
        <f>O12/'Output-Calculation-sheet'!O11*'Output-Calculation-sheet'!O101</f>
        <v>0</v>
      </c>
      <c r="P122" s="2">
        <f>P12/'Output-Calculation-sheet'!P11*'Output-Calculation-sheet'!P101</f>
        <v>10349910356.105772</v>
      </c>
      <c r="Q122" s="2">
        <f>Q12/'Output-Calculation-sheet'!Q11*'Output-Calculation-sheet'!Q101</f>
        <v>6741269167.8210831</v>
      </c>
      <c r="R122" s="2">
        <f>R12/'Output-Calculation-sheet'!R11*'Output-Calculation-sheet'!R101</f>
        <v>10210786891.514439</v>
      </c>
      <c r="S122" s="2">
        <f>S12/'Output-Calculation-sheet'!S11*'Output-Calculation-sheet'!S101</f>
        <v>2147045789.8303413</v>
      </c>
      <c r="T122" s="2">
        <f>T12/'Output-Calculation-sheet'!T11*'Output-Calculation-sheet'!T101</f>
        <v>3783099514.7048669</v>
      </c>
      <c r="U122" s="2">
        <f>U12/'Output-Calculation-sheet'!U11*'Output-Calculation-sheet'!U101</f>
        <v>3099559402.5483284</v>
      </c>
      <c r="V122" s="2">
        <f>V12/'Output-Calculation-sheet'!V11*'Output-Calculation-sheet'!V101</f>
        <v>2551669537.3844895</v>
      </c>
      <c r="W122" s="2">
        <f>W12/'Output-Calculation-sheet'!W11*'Output-Calculation-sheet'!W101</f>
        <v>2200686297.6871805</v>
      </c>
      <c r="X122" s="2">
        <f>X12/'Output-Calculation-sheet'!X11*'Output-Calculation-sheet'!X101</f>
        <v>106363632.26968569</v>
      </c>
      <c r="Y122" s="2">
        <f>Y12/'Output-Calculation-sheet'!Y11*'Output-Calculation-sheet'!Y101</f>
        <v>993390575.42350495</v>
      </c>
      <c r="AA122" s="2">
        <f t="shared" si="10"/>
        <v>287396.89481691649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57230044121.892975</v>
      </c>
      <c r="C129" s="2">
        <f>C8/'Output-Calculation-sheet'!C7*'Output-Calculation-sheet'!C106</f>
        <v>26969681913.613091</v>
      </c>
      <c r="D129" s="2">
        <f>D8/'Output-Calculation-sheet'!D7*'Output-Calculation-sheet'!D106</f>
        <v>24037277550.838226</v>
      </c>
      <c r="E129" s="2">
        <f>E8/'Output-Calculation-sheet'!E7*'Output-Calculation-sheet'!E106</f>
        <v>19071140510.620407</v>
      </c>
      <c r="F129" s="2">
        <f>F8/'Output-Calculation-sheet'!F7*'Output-Calculation-sheet'!F106</f>
        <v>12276777507.938492</v>
      </c>
      <c r="G129" s="2">
        <f>G8/'Output-Calculation-sheet'!G7*'Output-Calculation-sheet'!G106</f>
        <v>8626000804.1422291</v>
      </c>
      <c r="H129" s="2">
        <f>H8/'Output-Calculation-sheet'!H7*'Output-Calculation-sheet'!H106</f>
        <v>8414332660.0172529</v>
      </c>
      <c r="I129" s="2">
        <f>I8/'Output-Calculation-sheet'!I7*'Output-Calculation-sheet'!I106</f>
        <v>7858965747.2141142</v>
      </c>
      <c r="J129" s="2">
        <f>J8/'Output-Calculation-sheet'!J7*'Output-Calculation-sheet'!J106</f>
        <v>7649375965.7576704</v>
      </c>
      <c r="K129" s="2">
        <f>K8/'Output-Calculation-sheet'!K7*'Output-Calculation-sheet'!K106</f>
        <v>7576041490.6778173</v>
      </c>
      <c r="L129" s="2">
        <f>L8/'Output-Calculation-sheet'!L7*'Output-Calculation-sheet'!L106</f>
        <v>6077598993.3579473</v>
      </c>
      <c r="M129" s="2">
        <f>M8/'Output-Calculation-sheet'!M7*'Output-Calculation-sheet'!M106</f>
        <v>5805156031.9421711</v>
      </c>
      <c r="N129" s="2">
        <f>N8/'Output-Calculation-sheet'!N7*'Output-Calculation-sheet'!N106</f>
        <v>5697744983.5368748</v>
      </c>
      <c r="O129" s="2">
        <f>O8/'Output-Calculation-sheet'!O7*'Output-Calculation-sheet'!O106</f>
        <v>5240231586.5746593</v>
      </c>
      <c r="P129" s="2">
        <f>P8/'Output-Calculation-sheet'!P7*'Output-Calculation-sheet'!P106</f>
        <v>5186917393.1613188</v>
      </c>
      <c r="Q129" s="2">
        <f>Q8/'Output-Calculation-sheet'!Q7*'Output-Calculation-sheet'!Q106</f>
        <v>5103087457.9391527</v>
      </c>
      <c r="R129" s="2">
        <f>R8/'Output-Calculation-sheet'!R7*'Output-Calculation-sheet'!R106</f>
        <v>4909404826.9334955</v>
      </c>
      <c r="S129" s="2">
        <f>S8/'Output-Calculation-sheet'!S7*'Output-Calculation-sheet'!S106</f>
        <v>3263041945.4060059</v>
      </c>
      <c r="T129" s="2">
        <f>T8/'Output-Calculation-sheet'!T7*'Output-Calculation-sheet'!T106</f>
        <v>1804655352.3948808</v>
      </c>
      <c r="U129" s="2">
        <f>U8/'Output-Calculation-sheet'!U7*'Output-Calculation-sheet'!U106</f>
        <v>1571792840.830374</v>
      </c>
      <c r="V129" s="2">
        <f>V8/'Output-Calculation-sheet'!V7*'Output-Calculation-sheet'!V106</f>
        <v>1210312398.9021547</v>
      </c>
      <c r="W129" s="2">
        <f>W8/'Output-Calculation-sheet'!W7*'Output-Calculation-sheet'!W106</f>
        <v>1047861893.5659927</v>
      </c>
      <c r="X129" s="2">
        <f>X8/'Output-Calculation-sheet'!X7*'Output-Calculation-sheet'!X106</f>
        <v>628717259.77713001</v>
      </c>
      <c r="Y129" s="2">
        <f>Y8/'Output-Calculation-sheet'!Y7*'Output-Calculation-sheet'!Y106</f>
        <v>611421366.87393248</v>
      </c>
      <c r="AA129" s="2">
        <f t="shared" si="11"/>
        <v>227867.58260390832</v>
      </c>
    </row>
    <row r="130" spans="1:27" x14ac:dyDescent="0.25">
      <c r="A130" s="2">
        <v>2032</v>
      </c>
      <c r="B130" s="2">
        <f>B9/'Output-Calculation-sheet'!B8*'Output-Calculation-sheet'!B107</f>
        <v>47391837483.046738</v>
      </c>
      <c r="C130" s="2">
        <f>C9/'Output-Calculation-sheet'!C8*'Output-Calculation-sheet'!C107</f>
        <v>22333414212.589523</v>
      </c>
      <c r="D130" s="2">
        <f>D9/'Output-Calculation-sheet'!D8*'Output-Calculation-sheet'!D107</f>
        <v>19905112288.867252</v>
      </c>
      <c r="E130" s="2">
        <f>E9/'Output-Calculation-sheet'!E8*'Output-Calculation-sheet'!E107</f>
        <v>15792684629.695148</v>
      </c>
      <c r="F130" s="2">
        <f>F9/'Output-Calculation-sheet'!F8*'Output-Calculation-sheet'!F107</f>
        <v>10166323057.049288</v>
      </c>
      <c r="G130" s="2">
        <f>G9/'Output-Calculation-sheet'!G8*'Output-Calculation-sheet'!G107</f>
        <v>7143137626.1192656</v>
      </c>
      <c r="H130" s="2">
        <f>H9/'Output-Calculation-sheet'!H8*'Output-Calculation-sheet'!H107</f>
        <v>6967854737.3047485</v>
      </c>
      <c r="I130" s="2">
        <f>I9/'Output-Calculation-sheet'!I8*'Output-Calculation-sheet'!I107</f>
        <v>6507959806.8137913</v>
      </c>
      <c r="J130" s="2">
        <f>J9/'Output-Calculation-sheet'!J8*'Output-Calculation-sheet'!J107</f>
        <v>6334397364.405036</v>
      </c>
      <c r="K130" s="2">
        <f>K9/'Output-Calculation-sheet'!K8*'Output-Calculation-sheet'!K107</f>
        <v>6273671213.6038284</v>
      </c>
      <c r="L130" s="2">
        <f>L9/'Output-Calculation-sheet'!L8*'Output-Calculation-sheet'!L107</f>
        <v>5032821276.5771675</v>
      </c>
      <c r="M130" s="2">
        <f>M9/'Output-Calculation-sheet'!M8*'Output-Calculation-sheet'!M107</f>
        <v>4807213599.4498377</v>
      </c>
      <c r="N130" s="2">
        <f>N9/'Output-Calculation-sheet'!N8*'Output-Calculation-sheet'!N107</f>
        <v>4718264132.7466383</v>
      </c>
      <c r="O130" s="2">
        <f>O9/'Output-Calculation-sheet'!O8*'Output-Calculation-sheet'!O107</f>
        <v>4339402629.5377264</v>
      </c>
      <c r="P130" s="2">
        <f>P9/'Output-Calculation-sheet'!P8*'Output-Calculation-sheet'!P107</f>
        <v>4295252357.2201414</v>
      </c>
      <c r="Q130" s="2">
        <f>Q9/'Output-Calculation-sheet'!Q8*'Output-Calculation-sheet'!Q107</f>
        <v>4225835492.2171698</v>
      </c>
      <c r="R130" s="2">
        <f>R9/'Output-Calculation-sheet'!R8*'Output-Calculation-sheet'!R107</f>
        <v>4065447608.7881899</v>
      </c>
      <c r="S130" s="2">
        <f>S9/'Output-Calculation-sheet'!S8*'Output-Calculation-sheet'!S107</f>
        <v>2702104389.6966133</v>
      </c>
      <c r="T130" s="2">
        <f>T9/'Output-Calculation-sheet'!T8*'Output-Calculation-sheet'!T107</f>
        <v>1494423681.9412761</v>
      </c>
      <c r="U130" s="2">
        <f>U9/'Output-Calculation-sheet'!U8*'Output-Calculation-sheet'!U107</f>
        <v>1301591538.457092</v>
      </c>
      <c r="V130" s="2">
        <f>V9/'Output-Calculation-sheet'!V8*'Output-Calculation-sheet'!V107</f>
        <v>1002251516.169104</v>
      </c>
      <c r="W130" s="2">
        <f>W9/'Output-Calculation-sheet'!W8*'Output-Calculation-sheet'!W107</f>
        <v>867727919.55774331</v>
      </c>
      <c r="X130" s="2">
        <f>X9/'Output-Calculation-sheet'!X8*'Output-Calculation-sheet'!X107</f>
        <v>520636649.57959551</v>
      </c>
      <c r="Y130" s="2">
        <f>Y9/'Output-Calculation-sheet'!Y8*'Output-Calculation-sheet'!Y107</f>
        <v>506314034.32923806</v>
      </c>
      <c r="AA130" s="2">
        <f t="shared" si="11"/>
        <v>188695.67924576212</v>
      </c>
    </row>
    <row r="131" spans="1:27" x14ac:dyDescent="0.25">
      <c r="A131" s="2">
        <v>2033</v>
      </c>
      <c r="B131" s="2">
        <f>B10/'Output-Calculation-sheet'!B9*'Output-Calculation-sheet'!B108</f>
        <v>32917054466.79829</v>
      </c>
      <c r="C131" s="2">
        <f>C10/'Output-Calculation-sheet'!C9*'Output-Calculation-sheet'!C108</f>
        <v>15512169446.851984</v>
      </c>
      <c r="D131" s="2">
        <f>D10/'Output-Calculation-sheet'!D9*'Output-Calculation-sheet'!D108</f>
        <v>13825541930.406904</v>
      </c>
      <c r="E131" s="2">
        <f>E10/'Output-Calculation-sheet'!E9*'Output-Calculation-sheet'!E108</f>
        <v>10969160262.737206</v>
      </c>
      <c r="F131" s="2">
        <f>F10/'Output-Calculation-sheet'!F9*'Output-Calculation-sheet'!F108</f>
        <v>7061242085.6294117</v>
      </c>
      <c r="G131" s="2">
        <f>G10/'Output-Calculation-sheet'!G9*'Output-Calculation-sheet'!G108</f>
        <v>4961422479.921628</v>
      </c>
      <c r="H131" s="2">
        <f>H10/'Output-Calculation-sheet'!H9*'Output-Calculation-sheet'!H108</f>
        <v>4839677176.1140223</v>
      </c>
      <c r="I131" s="2">
        <f>I10/'Output-Calculation-sheet'!I9*'Output-Calculation-sheet'!I108</f>
        <v>4520248172.0045347</v>
      </c>
      <c r="J131" s="2">
        <f>J10/'Output-Calculation-sheet'!J9*'Output-Calculation-sheet'!J108</f>
        <v>4399696537.8971186</v>
      </c>
      <c r="K131" s="2">
        <f>K10/'Output-Calculation-sheet'!K9*'Output-Calculation-sheet'!K108</f>
        <v>4357516700.2787733</v>
      </c>
      <c r="L131" s="2">
        <f>L10/'Output-Calculation-sheet'!L9*'Output-Calculation-sheet'!L108</f>
        <v>3495657919.322546</v>
      </c>
      <c r="M131" s="2">
        <f>M10/'Output-Calculation-sheet'!M9*'Output-Calculation-sheet'!M108</f>
        <v>3338955361.8520188</v>
      </c>
      <c r="N131" s="2">
        <f>N10/'Output-Calculation-sheet'!N9*'Output-Calculation-sheet'!N108</f>
        <v>3277174409.4889278</v>
      </c>
      <c r="O131" s="2">
        <f>O10/'Output-Calculation-sheet'!O9*'Output-Calculation-sheet'!O108</f>
        <v>3622089036.7542472</v>
      </c>
      <c r="P131" s="2">
        <f>P10/'Output-Calculation-sheet'!P9*'Output-Calculation-sheet'!P108</f>
        <v>2983363816.0176654</v>
      </c>
      <c r="Q131" s="2">
        <f>Q10/'Output-Calculation-sheet'!Q9*'Output-Calculation-sheet'!Q108</f>
        <v>2935147237.2409072</v>
      </c>
      <c r="R131" s="2">
        <f>R10/'Output-Calculation-sheet'!R9*'Output-Calculation-sheet'!R108</f>
        <v>2823745560.0151334</v>
      </c>
      <c r="S131" s="2">
        <f>S10/'Output-Calculation-sheet'!S9*'Output-Calculation-sheet'!S108</f>
        <v>1876806681.1026354</v>
      </c>
      <c r="T131" s="2">
        <f>T10/'Output-Calculation-sheet'!T9*'Output-Calculation-sheet'!T108</f>
        <v>1037984381.8495148</v>
      </c>
      <c r="U131" s="2">
        <f>U10/'Output-Calculation-sheet'!U9*'Output-Calculation-sheet'!U108</f>
        <v>904049108.19518077</v>
      </c>
      <c r="V131" s="2">
        <f>V10/'Output-Calculation-sheet'!V9*'Output-Calculation-sheet'!V108</f>
        <v>696135894.10240006</v>
      </c>
      <c r="W131" s="2">
        <f>W10/'Output-Calculation-sheet'!W9*'Output-Calculation-sheet'!W108</f>
        <v>602699405.27886832</v>
      </c>
      <c r="X131" s="2">
        <f>X10/'Output-Calculation-sheet'!X9*'Output-Calculation-sheet'!X108</f>
        <v>361619572.53055221</v>
      </c>
      <c r="Y131" s="2">
        <f>Y10/'Output-Calculation-sheet'!Y9*'Output-Calculation-sheet'!Y108</f>
        <v>351671487.5447343</v>
      </c>
      <c r="AA131" s="2">
        <f t="shared" si="11"/>
        <v>131670.82912993521</v>
      </c>
    </row>
    <row r="132" spans="1:27" x14ac:dyDescent="0.25">
      <c r="A132" s="2">
        <v>2034</v>
      </c>
      <c r="B132" s="2">
        <f>B11/'Output-Calculation-sheet'!B10*'Output-Calculation-sheet'!B109</f>
        <v>16257751235.847979</v>
      </c>
      <c r="C132" s="2">
        <f>C11/'Output-Calculation-sheet'!C10*'Output-Calculation-sheet'!C109</f>
        <v>14790844000.363291</v>
      </c>
      <c r="D132" s="2">
        <f>D11/'Output-Calculation-sheet'!D10*'Output-Calculation-sheet'!D109</f>
        <v>6828442732.0555515</v>
      </c>
      <c r="E132" s="2">
        <f>E11/'Output-Calculation-sheet'!E10*'Output-Calculation-sheet'!E109</f>
        <v>5417675955.8781786</v>
      </c>
      <c r="F132" s="2">
        <f>F11/'Output-Calculation-sheet'!F10*'Output-Calculation-sheet'!F109</f>
        <v>3487552424.2184238</v>
      </c>
      <c r="G132" s="2">
        <f>G11/'Output-Calculation-sheet'!G10*'Output-Calculation-sheet'!G109</f>
        <v>2450450429.5060492</v>
      </c>
      <c r="H132" s="2">
        <f>H11/'Output-Calculation-sheet'!H10*'Output-Calculation-sheet'!H109</f>
        <v>2390319955.5133986</v>
      </c>
      <c r="I132" s="2">
        <f>I11/'Output-Calculation-sheet'!I10*'Output-Calculation-sheet'!I109</f>
        <v>2232553057.1987739</v>
      </c>
      <c r="J132" s="2">
        <f>J11/'Output-Calculation-sheet'!J10*'Output-Calculation-sheet'!J109</f>
        <v>2173012868.4713135</v>
      </c>
      <c r="K132" s="2">
        <f>K11/'Output-Calculation-sheet'!K10*'Output-Calculation-sheet'!K109</f>
        <v>2152180896.4816957</v>
      </c>
      <c r="L132" s="2">
        <f>L11/'Output-Calculation-sheet'!L10*'Output-Calculation-sheet'!L109</f>
        <v>1726507631.6779711</v>
      </c>
      <c r="M132" s="2">
        <f>M11/'Output-Calculation-sheet'!M10*'Output-Calculation-sheet'!M109</f>
        <v>1649112397.7016492</v>
      </c>
      <c r="N132" s="2">
        <f>N11/'Output-Calculation-sheet'!N10*'Output-Calculation-sheet'!N109</f>
        <v>1618599243.7338696</v>
      </c>
      <c r="O132" s="2">
        <f>O11/'Output-Calculation-sheet'!O10*'Output-Calculation-sheet'!O109</f>
        <v>3330910633.3111916</v>
      </c>
      <c r="P132" s="2">
        <f>P11/'Output-Calculation-sheet'!P10*'Output-Calculation-sheet'!P109</f>
        <v>1473485019.9732182</v>
      </c>
      <c r="Q132" s="2">
        <f>Q11/'Output-Calculation-sheet'!Q10*'Output-Calculation-sheet'!Q109</f>
        <v>1449671061.598706</v>
      </c>
      <c r="R132" s="2">
        <f>R11/'Output-Calculation-sheet'!R10*'Output-Calculation-sheet'!R109</f>
        <v>1394650132.8062613</v>
      </c>
      <c r="S132" s="2">
        <f>S11/'Output-Calculation-sheet'!S10*'Output-Calculation-sheet'!S109</f>
        <v>926955993.79660833</v>
      </c>
      <c r="T132" s="2">
        <f>T11/'Output-Calculation-sheet'!T10*'Output-Calculation-sheet'!T109</f>
        <v>512661376.32589537</v>
      </c>
      <c r="U132" s="2">
        <f>U11/'Output-Calculation-sheet'!U10*'Output-Calculation-sheet'!U109</f>
        <v>446510559.46107972</v>
      </c>
      <c r="V132" s="2">
        <f>V11/'Output-Calculation-sheet'!V10*'Output-Calculation-sheet'!V109</f>
        <v>343822060.97744733</v>
      </c>
      <c r="W132" s="2">
        <f>W11/'Output-Calculation-sheet'!W10*'Output-Calculation-sheet'!W109</f>
        <v>297673706.28915292</v>
      </c>
      <c r="X132" s="2">
        <f>X11/'Output-Calculation-sheet'!X10*'Output-Calculation-sheet'!X109</f>
        <v>178604216.79598188</v>
      </c>
      <c r="Y132" s="2">
        <f>Y11/'Output-Calculation-sheet'!Y10*'Output-Calculation-sheet'!Y109</f>
        <v>173690848.6770876</v>
      </c>
      <c r="AA132" s="2">
        <f t="shared" si="11"/>
        <v>73703.638438660797</v>
      </c>
    </row>
    <row r="133" spans="1:27" x14ac:dyDescent="0.25">
      <c r="A133" s="2">
        <v>2035</v>
      </c>
      <c r="B133" s="2">
        <f>B12/'Output-Calculation-sheet'!B11*'Output-Calculation-sheet'!B110</f>
        <v>6671702053.568244</v>
      </c>
      <c r="C133" s="2">
        <f>C12/'Output-Calculation-sheet'!C11*'Output-Calculation-sheet'!C110</f>
        <v>12812897694.877123</v>
      </c>
      <c r="D133" s="2">
        <f>D12/'Output-Calculation-sheet'!D11*'Output-Calculation-sheet'!D110</f>
        <v>3311790837.3686996</v>
      </c>
      <c r="E133" s="2">
        <f>E12/'Output-Calculation-sheet'!E11*'Output-Calculation-sheet'!E110</f>
        <v>1682801944.0462587</v>
      </c>
      <c r="F133" s="2">
        <f>F12/'Output-Calculation-sheet'!F11*'Output-Calculation-sheet'!F110</f>
        <v>1139146772.9495895</v>
      </c>
      <c r="G133" s="2">
        <f>G12/'Output-Calculation-sheet'!G11*'Output-Calculation-sheet'!G110</f>
        <v>1439508797.7406259</v>
      </c>
      <c r="H133" s="2">
        <f>H12/'Output-Calculation-sheet'!H11*'Output-Calculation-sheet'!H110</f>
        <v>1698125884.9706285</v>
      </c>
      <c r="I133" s="2">
        <f>I12/'Output-Calculation-sheet'!I11*'Output-Calculation-sheet'!I110</f>
        <v>795504621.77539384</v>
      </c>
      <c r="J133" s="2">
        <f>J12/'Output-Calculation-sheet'!J11*'Output-Calculation-sheet'!J110</f>
        <v>962490439.54338479</v>
      </c>
      <c r="K133" s="2">
        <f>K12/'Output-Calculation-sheet'!K11*'Output-Calculation-sheet'!K110</f>
        <v>729822432.23296869</v>
      </c>
      <c r="L133" s="2">
        <f>L12/'Output-Calculation-sheet'!L11*'Output-Calculation-sheet'!L110</f>
        <v>469004573.05595559</v>
      </c>
      <c r="M133" s="2">
        <f>M12/'Output-Calculation-sheet'!M11*'Output-Calculation-sheet'!M110</f>
        <v>1056217212.1015875</v>
      </c>
      <c r="N133" s="2">
        <f>N12/'Output-Calculation-sheet'!N11*'Output-Calculation-sheet'!N110</f>
        <v>878811326.09717643</v>
      </c>
      <c r="O133" s="2">
        <f>O12/'Output-Calculation-sheet'!O11*'Output-Calculation-sheet'!O110</f>
        <v>3103667954.4978151</v>
      </c>
      <c r="P133" s="2">
        <f>P12/'Output-Calculation-sheet'!P11*'Output-Calculation-sheet'!P110</f>
        <v>613989468.25008357</v>
      </c>
      <c r="Q133" s="2">
        <f>Q12/'Output-Calculation-sheet'!Q11*'Output-Calculation-sheet'!Q110</f>
        <v>764762576.18941176</v>
      </c>
      <c r="R133" s="2">
        <f>R12/'Output-Calculation-sheet'!R11*'Output-Calculation-sheet'!R110</f>
        <v>481252547.16741318</v>
      </c>
      <c r="S133" s="2">
        <f>S12/'Output-Calculation-sheet'!S11*'Output-Calculation-sheet'!S110</f>
        <v>462716608.42270625</v>
      </c>
      <c r="T133" s="2">
        <f>T12/'Output-Calculation-sheet'!T11*'Output-Calculation-sheet'!T110</f>
        <v>125183771.92390047</v>
      </c>
      <c r="U133" s="2">
        <f>U12/'Output-Calculation-sheet'!U11*'Output-Calculation-sheet'!U110</f>
        <v>203494342.67416304</v>
      </c>
      <c r="V133" s="2">
        <f>V12/'Output-Calculation-sheet'!V11*'Output-Calculation-sheet'!V110</f>
        <v>51351675.816315718</v>
      </c>
      <c r="W133" s="2">
        <f>W12/'Output-Calculation-sheet'!W11*'Output-Calculation-sheet'!W110</f>
        <v>83720943.36059095</v>
      </c>
      <c r="X133" s="2">
        <f>X12/'Output-Calculation-sheet'!X11*'Output-Calculation-sheet'!X110</f>
        <v>146617807.02021107</v>
      </c>
      <c r="Y133" s="2">
        <f>Y12/'Output-Calculation-sheet'!Y11*'Output-Calculation-sheet'!Y110</f>
        <v>77041717.874055177</v>
      </c>
      <c r="AA133" s="2">
        <f t="shared" si="11"/>
        <v>39761.624003524295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1293.1357145888223</v>
      </c>
      <c r="C19" s="2">
        <f>C8/'Output-Calculation-sheet'!C7*'Output-Calculation-sheet'!C25</f>
        <v>19494.22062715287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5802.9065973080305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4031.3636999331306</v>
      </c>
      <c r="N19" s="2">
        <f>N8/'Output-Calculation-sheet'!N7*'Output-Calculation-sheet'!N25</f>
        <v>1380.190547037467</v>
      </c>
      <c r="O19" s="2">
        <f>O8/'Output-Calculation-sheet'!O7*'Output-Calculation-sheet'!O25</f>
        <v>3770.0972285936546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492.47377511410815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450.42440774612265</v>
      </c>
      <c r="Y19" s="2">
        <f>Y8/'Output-Calculation-sheet'!Y7*'Output-Calculation-sheet'!Y25</f>
        <v>0</v>
      </c>
      <c r="AA19" s="2">
        <f t="shared" si="0"/>
        <v>36.714812597474207</v>
      </c>
    </row>
    <row r="20" spans="1:27" x14ac:dyDescent="0.25">
      <c r="A20" s="2">
        <v>2032</v>
      </c>
      <c r="B20" s="2">
        <f>B9/'Output-Calculation-sheet'!B8*'Output-Calculation-sheet'!B26</f>
        <v>7661.374719675051</v>
      </c>
      <c r="C20" s="2">
        <f>C9/'Output-Calculation-sheet'!C8*'Output-Calculation-sheet'!C26</f>
        <v>28057.040706541324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8335.3435157599069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5792.1076689871215</v>
      </c>
      <c r="N20" s="2">
        <f>N9/'Output-Calculation-sheet'!N8*'Output-Calculation-sheet'!N26</f>
        <v>2607.8679467610941</v>
      </c>
      <c r="O20" s="2">
        <f>O9/'Output-Calculation-sheet'!O8*'Output-Calculation-sheet'!O26</f>
        <v>5466.7921098521101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949.89277340464912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647.90763232126449</v>
      </c>
      <c r="Y20" s="2">
        <f>Y9/'Output-Calculation-sheet'!Y8*'Output-Calculation-sheet'!Y26</f>
        <v>0</v>
      </c>
      <c r="AA20" s="2">
        <f t="shared" si="0"/>
        <v>59.518327073302522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43383.668940244228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11107.157897160765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7714.8434926436485</v>
      </c>
      <c r="N21" s="2">
        <f>N10/'Output-Calculation-sheet'!N9*'Output-Calculation-sheet'!N27</f>
        <v>4221.2459023285037</v>
      </c>
      <c r="O21" s="2">
        <f>O10/'Output-Calculation-sheet'!O9*'Output-Calculation-sheet'!O27</f>
        <v>7370.3530484987905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1837.0289050040617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907.15858157411901</v>
      </c>
      <c r="Y21" s="2">
        <f>Y10/'Output-Calculation-sheet'!Y9*'Output-Calculation-sheet'!Y27</f>
        <v>0</v>
      </c>
      <c r="AA21" s="2">
        <f t="shared" si="0"/>
        <v>96.041169341479247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48219.127649944348</v>
      </c>
      <c r="D22" s="2">
        <f>D11/'Output-Calculation-sheet'!D10*'Output-Calculation-sheet'!D28</f>
        <v>0</v>
      </c>
      <c r="E22" s="2">
        <f>E11/'Output-Calculation-sheet'!E10*'Output-Calculation-sheet'!E28</f>
        <v>2045.6243987064709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15900.969427908598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1206.492210398965</v>
      </c>
      <c r="M22" s="2">
        <f>M11/'Output-Calculation-sheet'!M10*'Output-Calculation-sheet'!M28</f>
        <v>10959.709308591888</v>
      </c>
      <c r="N22" s="2">
        <f>N11/'Output-Calculation-sheet'!N10*'Output-Calculation-sheet'!N28</f>
        <v>6307.3737562216174</v>
      </c>
      <c r="O22" s="2">
        <f>O11/'Output-Calculation-sheet'!O10*'Output-Calculation-sheet'!O28</f>
        <v>8491.4306495164728</v>
      </c>
      <c r="P22" s="2">
        <f>P11/'Output-Calculation-sheet'!P10*'Output-Calculation-sheet'!P28</f>
        <v>0</v>
      </c>
      <c r="Q22" s="2">
        <f>Q11/'Output-Calculation-sheet'!Q10*'Output-Calculation-sheet'!Q28</f>
        <v>2365.5959287749897</v>
      </c>
      <c r="R22" s="2">
        <f>R11/'Output-Calculation-sheet'!R10*'Output-Calculation-sheet'!R28</f>
        <v>0</v>
      </c>
      <c r="S22" s="2">
        <f>S11/'Output-Calculation-sheet'!S10*'Output-Calculation-sheet'!S28</f>
        <v>3198.7346545371706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1122.6128981994848</v>
      </c>
      <c r="Y22" s="2">
        <f>Y11/'Output-Calculation-sheet'!Y10*'Output-Calculation-sheet'!Y28</f>
        <v>110.14570696775405</v>
      </c>
      <c r="AA22" s="2">
        <f t="shared" si="0"/>
        <v>139.52329540777848</v>
      </c>
    </row>
    <row r="23" spans="1:27" x14ac:dyDescent="0.25">
      <c r="A23" s="2">
        <v>2035</v>
      </c>
      <c r="B23" s="2">
        <f>B12/'Output-Calculation-sheet'!B11*'Output-Calculation-sheet'!B29</f>
        <v>58939.61794875739</v>
      </c>
      <c r="C23" s="2">
        <f>C12/'Output-Calculation-sheet'!C11*'Output-Calculation-sheet'!C29</f>
        <v>54958.007033958202</v>
      </c>
      <c r="D23" s="2">
        <f>D12/'Output-Calculation-sheet'!D11*'Output-Calculation-sheet'!D29</f>
        <v>0</v>
      </c>
      <c r="E23" s="2">
        <f>E12/'Output-Calculation-sheet'!E11*'Output-Calculation-sheet'!E29</f>
        <v>10826.503091349448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18914.657685919388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3139.0969675484125</v>
      </c>
      <c r="M23" s="2">
        <f>M12/'Output-Calculation-sheet'!M11*'Output-Calculation-sheet'!M29</f>
        <v>13444.035567674724</v>
      </c>
      <c r="N23" s="2">
        <f>N12/'Output-Calculation-sheet'!N11*'Output-Calculation-sheet'!N29</f>
        <v>7808.1462585671807</v>
      </c>
      <c r="O23" s="2">
        <f>O12/'Output-Calculation-sheet'!O11*'Output-Calculation-sheet'!O29</f>
        <v>9085.8668900497487</v>
      </c>
      <c r="P23" s="2">
        <f>P12/'Output-Calculation-sheet'!P11*'Output-Calculation-sheet'!P29</f>
        <v>1255.9265923330186</v>
      </c>
      <c r="Q23" s="2">
        <f>Q12/'Output-Calculation-sheet'!Q11*'Output-Calculation-sheet'!Q29</f>
        <v>3998.0704934332243</v>
      </c>
      <c r="R23" s="2">
        <f>R12/'Output-Calculation-sheet'!R11*'Output-Calculation-sheet'!R29</f>
        <v>0</v>
      </c>
      <c r="S23" s="2">
        <f>S12/'Output-Calculation-sheet'!S11*'Output-Calculation-sheet'!S29</f>
        <v>4318.2121539896489</v>
      </c>
      <c r="T23" s="2">
        <f>T12/'Output-Calculation-sheet'!T11*'Output-Calculation-sheet'!T29</f>
        <v>0</v>
      </c>
      <c r="U23" s="2">
        <f>U12/'Output-Calculation-sheet'!U11*'Output-Calculation-sheet'!U29</f>
        <v>465.97873933325531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1284.4791206103575</v>
      </c>
      <c r="Y23" s="2">
        <f>Y12/'Output-Calculation-sheet'!Y11*'Output-Calculation-sheet'!Y29</f>
        <v>396.32893009893303</v>
      </c>
      <c r="AA23" s="2">
        <f t="shared" si="0"/>
        <v>188.83492747362291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22538.935434857889</v>
      </c>
      <c r="C30" s="2">
        <f>C8/'Output-Calculation-sheet'!C7*'Output-Calculation-sheet'!C16</f>
        <v>0</v>
      </c>
      <c r="D30" s="2">
        <f>D8/'Output-Calculation-sheet'!D7*'Output-Calculation-sheet'!D16</f>
        <v>3795.2587702781661</v>
      </c>
      <c r="E30" s="2">
        <f>E8/'Output-Calculation-sheet'!E7*'Output-Calculation-sheet'!E16</f>
        <v>4083.4840128282835</v>
      </c>
      <c r="F30" s="2">
        <f>F8/'Output-Calculation-sheet'!F7*'Output-Calculation-sheet'!F16</f>
        <v>2060.1394138017581</v>
      </c>
      <c r="G30" s="2">
        <f>G8/'Output-Calculation-sheet'!G7*'Output-Calculation-sheet'!G16</f>
        <v>1349.1466299538881</v>
      </c>
      <c r="H30" s="2">
        <f>H8/'Output-Calculation-sheet'!H7*'Output-Calculation-sheet'!H16</f>
        <v>0</v>
      </c>
      <c r="I30" s="2">
        <f>I8/'Output-Calculation-sheet'!I7*'Output-Calculation-sheet'!I16</f>
        <v>1315.2159547146343</v>
      </c>
      <c r="J30" s="2">
        <f>J8/'Output-Calculation-sheet'!J7*'Output-Calculation-sheet'!J16</f>
        <v>1170.7950944305942</v>
      </c>
      <c r="K30" s="2">
        <f>K8/'Output-Calculation-sheet'!K7*'Output-Calculation-sheet'!K16</f>
        <v>1563.2352366147816</v>
      </c>
      <c r="L30" s="2">
        <f>L8/'Output-Calculation-sheet'!L7*'Output-Calculation-sheet'!L16</f>
        <v>1320.4255467722649</v>
      </c>
      <c r="M30" s="2">
        <f>M8/'Output-Calculation-sheet'!M7*'Output-Calculation-sheet'!M16</f>
        <v>0</v>
      </c>
      <c r="N30" s="2">
        <f>N8/'Output-Calculation-sheet'!N7*'Output-Calculation-sheet'!N16</f>
        <v>1875.553244959021</v>
      </c>
      <c r="O30" s="2">
        <f>O8/'Output-Calculation-sheet'!O7*'Output-Calculation-sheet'!O16</f>
        <v>0</v>
      </c>
      <c r="P30" s="2">
        <f>P8/'Output-Calculation-sheet'!P7*'Output-Calculation-sheet'!P16</f>
        <v>1685.685714752608</v>
      </c>
      <c r="Q30" s="2">
        <f>Q8/'Output-Calculation-sheet'!Q7*'Output-Calculation-sheet'!Q16</f>
        <v>1853.6975719420461</v>
      </c>
      <c r="R30" s="2">
        <f>R8/'Output-Calculation-sheet'!R7*'Output-Calculation-sheet'!R16</f>
        <v>1176.1791662789542</v>
      </c>
      <c r="S30" s="2">
        <f>S8/'Output-Calculation-sheet'!S7*'Output-Calculation-sheet'!S16</f>
        <v>1182.8913471774808</v>
      </c>
      <c r="T30" s="2">
        <f>T8/'Output-Calculation-sheet'!T7*'Output-Calculation-sheet'!T16</f>
        <v>353.07207903450649</v>
      </c>
      <c r="U30" s="2">
        <f>U8/'Output-Calculation-sheet'!U7*'Output-Calculation-sheet'!U16</f>
        <v>352.44097164633024</v>
      </c>
      <c r="V30" s="2">
        <f>V8/'Output-Calculation-sheet'!V7*'Output-Calculation-sheet'!V16</f>
        <v>274.29810886799572</v>
      </c>
      <c r="W30" s="2">
        <f>W8/'Output-Calculation-sheet'!W7*'Output-Calculation-sheet'!W16</f>
        <v>166.37563109170057</v>
      </c>
      <c r="X30" s="2">
        <f>X8/'Output-Calculation-sheet'!X7*'Output-Calculation-sheet'!X16</f>
        <v>0</v>
      </c>
      <c r="Y30" s="2">
        <f>Y8/'Output-Calculation-sheet'!Y7*'Output-Calculation-sheet'!Y16</f>
        <v>140.81805691500969</v>
      </c>
      <c r="AA30" s="2">
        <f t="shared" si="1"/>
        <v>48.25764798691791</v>
      </c>
    </row>
    <row r="31" spans="1:27" x14ac:dyDescent="0.25">
      <c r="A31" s="2">
        <v>2032</v>
      </c>
      <c r="B31" s="2">
        <f>B9/'Output-Calculation-sheet'!B8*'Output-Calculation-sheet'!B17</f>
        <v>32440.791785479254</v>
      </c>
      <c r="C31" s="2">
        <f>C9/'Output-Calculation-sheet'!C8*'Output-Calculation-sheet'!C17</f>
        <v>0</v>
      </c>
      <c r="D31" s="2">
        <f>D9/'Output-Calculation-sheet'!D8*'Output-Calculation-sheet'!D17</f>
        <v>5440.7467183266081</v>
      </c>
      <c r="E31" s="2">
        <f>E9/'Output-Calculation-sheet'!E8*'Output-Calculation-sheet'!E17</f>
        <v>6394.8544078911746</v>
      </c>
      <c r="F31" s="2">
        <f>F9/'Output-Calculation-sheet'!F8*'Output-Calculation-sheet'!F17</f>
        <v>2953.4138383830068</v>
      </c>
      <c r="G31" s="2">
        <f>G9/'Output-Calculation-sheet'!G8*'Output-Calculation-sheet'!G17</f>
        <v>1934.1173631292891</v>
      </c>
      <c r="H31" s="2">
        <f>H9/'Output-Calculation-sheet'!H8*'Output-Calculation-sheet'!H17</f>
        <v>0</v>
      </c>
      <c r="I31" s="2">
        <f>I9/'Output-Calculation-sheet'!I8*'Output-Calculation-sheet'!I17</f>
        <v>1885.4836625979472</v>
      </c>
      <c r="J31" s="2">
        <f>J9/'Output-Calculation-sheet'!J8*'Output-Calculation-sheet'!J17</f>
        <v>1678.4438862436537</v>
      </c>
      <c r="K31" s="2">
        <f>K9/'Output-Calculation-sheet'!K8*'Output-Calculation-sheet'!K17</f>
        <v>2389.658442909018</v>
      </c>
      <c r="L31" s="2">
        <f>L9/'Output-Calculation-sheet'!L8*'Output-Calculation-sheet'!L17</f>
        <v>2037.9585604684396</v>
      </c>
      <c r="M31" s="2">
        <f>M9/'Output-Calculation-sheet'!M8*'Output-Calculation-sheet'!M17</f>
        <v>0</v>
      </c>
      <c r="N31" s="2">
        <f>N9/'Output-Calculation-sheet'!N8*'Output-Calculation-sheet'!N17</f>
        <v>2223.5746710669528</v>
      </c>
      <c r="O31" s="2">
        <f>O9/'Output-Calculation-sheet'!O8*'Output-Calculation-sheet'!O17</f>
        <v>0</v>
      </c>
      <c r="P31" s="2">
        <f>P9/'Output-Calculation-sheet'!P8*'Output-Calculation-sheet'!P17</f>
        <v>2749.7413775993609</v>
      </c>
      <c r="Q31" s="2">
        <f>Q9/'Output-Calculation-sheet'!Q8*'Output-Calculation-sheet'!Q17</f>
        <v>2931.4769463707648</v>
      </c>
      <c r="R31" s="2">
        <f>R9/'Output-Calculation-sheet'!R8*'Output-Calculation-sheet'!R17</f>
        <v>1917.9271450761728</v>
      </c>
      <c r="S31" s="2">
        <f>S9/'Output-Calculation-sheet'!S8*'Output-Calculation-sheet'!S17</f>
        <v>1650.2911949127199</v>
      </c>
      <c r="T31" s="2">
        <f>T9/'Output-Calculation-sheet'!T8*'Output-Calculation-sheet'!T17</f>
        <v>520.44354333223453</v>
      </c>
      <c r="U31" s="2">
        <f>U9/'Output-Calculation-sheet'!U8*'Output-Calculation-sheet'!U17</f>
        <v>598.15554950312685</v>
      </c>
      <c r="V31" s="2">
        <f>V9/'Output-Calculation-sheet'!V8*'Output-Calculation-sheet'!V17</f>
        <v>428.43043827708283</v>
      </c>
      <c r="W31" s="2">
        <f>W9/'Output-Calculation-sheet'!W8*'Output-Calculation-sheet'!W17</f>
        <v>238.51733349545438</v>
      </c>
      <c r="X31" s="2">
        <f>X9/'Output-Calculation-sheet'!X8*'Output-Calculation-sheet'!X17</f>
        <v>0</v>
      </c>
      <c r="Y31" s="2">
        <f>Y9/'Output-Calculation-sheet'!Y8*'Output-Calculation-sheet'!Y17</f>
        <v>230.45941954638658</v>
      </c>
      <c r="AA31" s="2">
        <f t="shared" si="1"/>
        <v>70.644486284608632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2373.684862436226</v>
      </c>
      <c r="O32" s="2">
        <f>O10/'Output-Calculation-sheet'!O9*'Output-Calculation-sheet'!O18</f>
        <v>0</v>
      </c>
      <c r="P32" s="2">
        <f>P10/'Output-Calculation-sheet'!P9*'Output-Calculation-sheet'!P18</f>
        <v>3821.8931019071078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2744.3731280286461</v>
      </c>
      <c r="S32" s="2">
        <f>S10/'Output-Calculation-sheet'!S9*'Output-Calculation-sheet'!S18</f>
        <v>1796.1196328626006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885.99081868871724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93.609642899838107</v>
      </c>
    </row>
    <row r="33" spans="1:27" x14ac:dyDescent="0.25">
      <c r="A33" s="2">
        <v>2034</v>
      </c>
      <c r="B33" s="2">
        <f>B11/'Output-Calculation-sheet'!B10*'Output-Calculation-sheet'!B19</f>
        <v>39937.700166512368</v>
      </c>
      <c r="C33" s="2">
        <f>C11/'Output-Calculation-sheet'!C10*'Output-Calculation-sheet'!C19</f>
        <v>0</v>
      </c>
      <c r="D33" s="2">
        <f>D11/'Output-Calculation-sheet'!D10*'Output-Calculation-sheet'!D19</f>
        <v>11912.375361090293</v>
      </c>
      <c r="E33" s="2">
        <f>E11/'Output-Calculation-sheet'!E10*'Output-Calculation-sheet'!E19</f>
        <v>14759.635861390265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4055.1754056980822</v>
      </c>
      <c r="H33" s="2">
        <f>H11/'Output-Calculation-sheet'!H10*'Output-Calculation-sheet'!H19</f>
        <v>0</v>
      </c>
      <c r="I33" s="2">
        <f>I11/'Output-Calculation-sheet'!I10*'Output-Calculation-sheet'!I19</f>
        <v>4424.7559989723231</v>
      </c>
      <c r="J33" s="2">
        <f>J11/'Output-Calculation-sheet'!J10*'Output-Calculation-sheet'!J19</f>
        <v>3740.9189463154762</v>
      </c>
      <c r="K33" s="2">
        <f>K11/'Output-Calculation-sheet'!K10*'Output-Calculation-sheet'!K19</f>
        <v>5191.7053219040708</v>
      </c>
      <c r="L33" s="2">
        <f>L11/'Output-Calculation-sheet'!L10*'Output-Calculation-sheet'!L19</f>
        <v>4224.1474402203785</v>
      </c>
      <c r="M33" s="2">
        <f>M11/'Output-Calculation-sheet'!M10*'Output-Calculation-sheet'!M19</f>
        <v>0</v>
      </c>
      <c r="N33" s="2">
        <f>N11/'Output-Calculation-sheet'!N10*'Output-Calculation-sheet'!N19</f>
        <v>2387.3834276303219</v>
      </c>
      <c r="O33" s="2">
        <f>O11/'Output-Calculation-sheet'!O10*'Output-Calculation-sheet'!O19</f>
        <v>0</v>
      </c>
      <c r="P33" s="2">
        <f>P11/'Output-Calculation-sheet'!P10*'Output-Calculation-sheet'!P19</f>
        <v>5253.0899614761147</v>
      </c>
      <c r="Q33" s="2">
        <f>Q11/'Output-Calculation-sheet'!Q10*'Output-Calculation-sheet'!Q19</f>
        <v>4206.0870826290111</v>
      </c>
      <c r="R33" s="2">
        <f>R11/'Output-Calculation-sheet'!R10*'Output-Calculation-sheet'!R19</f>
        <v>3750.567900215769</v>
      </c>
      <c r="S33" s="2">
        <f>S11/'Output-Calculation-sheet'!S10*'Output-Calculation-sheet'!S19</f>
        <v>1752.992479865421</v>
      </c>
      <c r="T33" s="2">
        <f>T11/'Output-Calculation-sheet'!T10*'Output-Calculation-sheet'!T19</f>
        <v>1100.4815326716005</v>
      </c>
      <c r="U33" s="2">
        <f>U11/'Output-Calculation-sheet'!U10*'Output-Calculation-sheet'!U19</f>
        <v>1265.5748217027315</v>
      </c>
      <c r="V33" s="2">
        <f>V11/'Output-Calculation-sheet'!V10*'Output-Calculation-sheet'!V19</f>
        <v>863.06563480698856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212.25254274940917</v>
      </c>
      <c r="Y33" s="2">
        <f>Y11/'Output-Calculation-sheet'!Y10*'Output-Calculation-sheet'!Y19</f>
        <v>484.33975168453327</v>
      </c>
      <c r="AA33" s="2">
        <f t="shared" si="1"/>
        <v>116.83121650250602</v>
      </c>
    </row>
    <row r="34" spans="1:27" x14ac:dyDescent="0.25">
      <c r="A34" s="2">
        <v>2035</v>
      </c>
      <c r="B34" s="2">
        <f>B12/'Output-Calculation-sheet'!B11*'Output-Calculation-sheet'!B20</f>
        <v>40906.481443052173</v>
      </c>
      <c r="C34" s="2">
        <f>C12/'Output-Calculation-sheet'!C11*'Output-Calculation-sheet'!C20</f>
        <v>0</v>
      </c>
      <c r="D34" s="2">
        <f>D12/'Output-Calculation-sheet'!D11*'Output-Calculation-sheet'!D20</f>
        <v>15158.910032875898</v>
      </c>
      <c r="E34" s="2">
        <f>E12/'Output-Calculation-sheet'!E11*'Output-Calculation-sheet'!E20</f>
        <v>13669.694312222391</v>
      </c>
      <c r="F34" s="2">
        <f>F12/'Output-Calculation-sheet'!F11*'Output-Calculation-sheet'!F20</f>
        <v>9691.4818146726629</v>
      </c>
      <c r="G34" s="2">
        <f>G12/'Output-Calculation-sheet'!G11*'Output-Calculation-sheet'!G20</f>
        <v>4822.3622607125799</v>
      </c>
      <c r="H34" s="2">
        <f>H12/'Output-Calculation-sheet'!H11*'Output-Calculation-sheet'!H20</f>
        <v>0</v>
      </c>
      <c r="I34" s="2">
        <f>I12/'Output-Calculation-sheet'!I11*'Output-Calculation-sheet'!I20</f>
        <v>5925.082727340473</v>
      </c>
      <c r="J34" s="2">
        <f>J12/'Output-Calculation-sheet'!J11*'Output-Calculation-sheet'!J20</f>
        <v>4936.032633000239</v>
      </c>
      <c r="K34" s="2">
        <f>K12/'Output-Calculation-sheet'!K11*'Output-Calculation-sheet'!K20</f>
        <v>6946.7913751142833</v>
      </c>
      <c r="L34" s="2">
        <f>L12/'Output-Calculation-sheet'!L11*'Output-Calculation-sheet'!L20</f>
        <v>4726.5712280678317</v>
      </c>
      <c r="M34" s="2">
        <f>M12/'Output-Calculation-sheet'!M11*'Output-Calculation-sheet'!M20</f>
        <v>0</v>
      </c>
      <c r="N34" s="2">
        <f>N12/'Output-Calculation-sheet'!N11*'Output-Calculation-sheet'!N20</f>
        <v>2705.3433296475187</v>
      </c>
      <c r="O34" s="2">
        <f>O12/'Output-Calculation-sheet'!O11*'Output-Calculation-sheet'!O20</f>
        <v>0</v>
      </c>
      <c r="P34" s="2">
        <f>P12/'Output-Calculation-sheet'!P11*'Output-Calculation-sheet'!P20</f>
        <v>5746.4844363583861</v>
      </c>
      <c r="Q34" s="2">
        <f>Q12/'Output-Calculation-sheet'!Q11*'Output-Calculation-sheet'!Q20</f>
        <v>4096.8998510719457</v>
      </c>
      <c r="R34" s="2">
        <f>R12/'Output-Calculation-sheet'!R11*'Output-Calculation-sheet'!R20</f>
        <v>4985.6532447003019</v>
      </c>
      <c r="S34" s="2">
        <f>S12/'Output-Calculation-sheet'!S11*'Output-Calculation-sheet'!S20</f>
        <v>1785.2544390119499</v>
      </c>
      <c r="T34" s="2">
        <f>T12/'Output-Calculation-sheet'!T11*'Output-Calculation-sheet'!T20</f>
        <v>1443.1312236883259</v>
      </c>
      <c r="U34" s="2">
        <f>U12/'Output-Calculation-sheet'!U11*'Output-Calculation-sheet'!U20</f>
        <v>1321.3294016883758</v>
      </c>
      <c r="V34" s="2">
        <f>V12/'Output-Calculation-sheet'!V11*'Output-Calculation-sheet'!V20</f>
        <v>1304.3665856528007</v>
      </c>
      <c r="W34" s="2">
        <f>W12/'Output-Calculation-sheet'!W11*'Output-Calculation-sheet'!W20</f>
        <v>770.46771849091306</v>
      </c>
      <c r="X34" s="2">
        <f>X12/'Output-Calculation-sheet'!X11*'Output-Calculation-sheet'!X20</f>
        <v>222.78796825843494</v>
      </c>
      <c r="Y34" s="2">
        <f>Y12/'Output-Calculation-sheet'!Y11*'Output-Calculation-sheet'!Y20</f>
        <v>415.46440089040465</v>
      </c>
      <c r="AA34" s="2">
        <f t="shared" si="1"/>
        <v>131.58059042651786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0.30319944844032587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0.30319944844032587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1.6910092109396579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0.32851759768579741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2.0195268086254554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3.6090247334344681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0.70113641471987498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17.280161424539948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37719.555410303146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8227.4027609073473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5615.602888921575</v>
      </c>
      <c r="N52" s="2">
        <f>N8/'Output-Calculation-sheet'!N7*'Output-Calculation-sheet'!N43</f>
        <v>179.48736733422851</v>
      </c>
      <c r="O52" s="2">
        <f>O8/'Output-Calculation-sheet'!O7*'Output-Calculation-sheet'!O43</f>
        <v>7641.9475117270176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726.23247701805565</v>
      </c>
      <c r="Y52" s="2">
        <f>Y8/'Output-Calculation-sheet'!Y7*'Output-Calculation-sheet'!Y43</f>
        <v>0</v>
      </c>
      <c r="AA52" s="2">
        <f t="shared" si="3"/>
        <v>60.11022841621137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71316.166763615925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16664.751640524559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11414.619229332915</v>
      </c>
      <c r="N53" s="2">
        <f>N9/'Output-Calculation-sheet'!N8*'Output-Calculation-sheet'!N44</f>
        <v>4039.7753119504673</v>
      </c>
      <c r="O53" s="2">
        <f>O9/'Output-Calculation-sheet'!O8*'Output-Calculation-sheet'!O44</f>
        <v>14142.954318744562</v>
      </c>
      <c r="P53" s="2">
        <f>P9/'Output-Calculation-sheet'!P8*'Output-Calculation-sheet'!P44</f>
        <v>190.16685270879159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1268.4903495776368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1427.4066485971002</v>
      </c>
      <c r="Y53" s="2">
        <f>Y9/'Output-Calculation-sheet'!Y8*'Output-Calculation-sheet'!Y44</f>
        <v>0</v>
      </c>
      <c r="AA53" s="2">
        <f t="shared" si="3"/>
        <v>120.46433111505196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96379.251594161906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17606.845163815411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661.28230954968831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219.68321363037288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106503.91346093635</v>
      </c>
      <c r="D55" s="2">
        <f>D11/'Output-Calculation-sheet'!D10*'Output-Calculation-sheet'!D46</f>
        <v>10511.924252544986</v>
      </c>
      <c r="E55" s="2">
        <f>E11/'Output-Calculation-sheet'!E10*'Output-Calculation-sheet'!E46</f>
        <v>12844.545461273976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35022.653083440957</v>
      </c>
      <c r="I55" s="2">
        <f>I11/'Output-Calculation-sheet'!I10*'Output-Calculation-sheet'!I46</f>
        <v>2543.7429091133245</v>
      </c>
      <c r="J55" s="2">
        <f>J11/'Output-Calculation-sheet'!J10*'Output-Calculation-sheet'!J46</f>
        <v>1846.144905594286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24004.752982997295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19682.238528017511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7196.9224097783126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8992.5191587477802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2071.811719986737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2505.847749700717</v>
      </c>
      <c r="Y55" s="2">
        <f>Y11/'Output-Calculation-sheet'!Y10*'Output-Calculation-sheet'!Y46</f>
        <v>635.31527543761024</v>
      </c>
      <c r="AA55" s="2">
        <f t="shared" si="3"/>
        <v>392.57739887390801</v>
      </c>
    </row>
    <row r="56" spans="1:27" x14ac:dyDescent="0.25">
      <c r="A56" s="2">
        <v>2035</v>
      </c>
      <c r="B56" s="2">
        <f>B12/'Output-Calculation-sheet'!B11*'Output-Calculation-sheet'!B47</f>
        <v>183763.16721798334</v>
      </c>
      <c r="C56" s="2">
        <f>C12/'Output-Calculation-sheet'!C11*'Output-Calculation-sheet'!C47</f>
        <v>115393.81713481259</v>
      </c>
      <c r="D56" s="2">
        <f>D12/'Output-Calculation-sheet'!D11*'Output-Calculation-sheet'!D47</f>
        <v>31969.877507845831</v>
      </c>
      <c r="E56" s="2">
        <f>E12/'Output-Calculation-sheet'!E11*'Output-Calculation-sheet'!E47</f>
        <v>47360.518494591219</v>
      </c>
      <c r="F56" s="2">
        <f>F12/'Output-Calculation-sheet'!F11*'Output-Calculation-sheet'!F47</f>
        <v>6868.4207248909524</v>
      </c>
      <c r="G56" s="2">
        <f>G12/'Output-Calculation-sheet'!G11*'Output-Calculation-sheet'!G47</f>
        <v>11065.886092609677</v>
      </c>
      <c r="H56" s="2">
        <f>H12/'Output-Calculation-sheet'!H11*'Output-Calculation-sheet'!H47</f>
        <v>38981.410973150232</v>
      </c>
      <c r="I56" s="2">
        <f>I12/'Output-Calculation-sheet'!I11*'Output-Calculation-sheet'!I47</f>
        <v>10857.931482687976</v>
      </c>
      <c r="J56" s="2">
        <f>J12/'Output-Calculation-sheet'!J11*'Output-Calculation-sheet'!J47</f>
        <v>8686.178086609094</v>
      </c>
      <c r="K56" s="2">
        <f>K12/'Output-Calculation-sheet'!K11*'Output-Calculation-sheet'!K47</f>
        <v>11649.870961274673</v>
      </c>
      <c r="L56" s="2">
        <f>L12/'Output-Calculation-sheet'!L11*'Output-Calculation-sheet'!L47</f>
        <v>9758.4110092287101</v>
      </c>
      <c r="M56" s="2">
        <f>M12/'Output-Calculation-sheet'!M11*'Output-Calculation-sheet'!M47</f>
        <v>26990.669207118121</v>
      </c>
      <c r="N56" s="2">
        <f>N12/'Output-Calculation-sheet'!N11*'Output-Calculation-sheet'!N47</f>
        <v>22606.040783207438</v>
      </c>
      <c r="O56" s="2">
        <f>O12/'Output-Calculation-sheet'!O11*'Output-Calculation-sheet'!O47</f>
        <v>21126.34723300676</v>
      </c>
      <c r="P56" s="2">
        <f>P12/'Output-Calculation-sheet'!P11*'Output-Calculation-sheet'!P47</f>
        <v>12085.877036873308</v>
      </c>
      <c r="Q56" s="2">
        <f>Q12/'Output-Calculation-sheet'!Q11*'Output-Calculation-sheet'!Q47</f>
        <v>12212.917990411655</v>
      </c>
      <c r="R56" s="2">
        <f>R12/'Output-Calculation-sheet'!R11*'Output-Calculation-sheet'!R47</f>
        <v>9534.4949145754872</v>
      </c>
      <c r="S56" s="2">
        <f>S12/'Output-Calculation-sheet'!S11*'Output-Calculation-sheet'!S47</f>
        <v>11938.468758788171</v>
      </c>
      <c r="T56" s="2">
        <f>T12/'Output-Calculation-sheet'!T11*'Output-Calculation-sheet'!T47</f>
        <v>3601.5782616491297</v>
      </c>
      <c r="U56" s="2">
        <f>U12/'Output-Calculation-sheet'!U11*'Output-Calculation-sheet'!U47</f>
        <v>3758.4873803567957</v>
      </c>
      <c r="V56" s="2">
        <f>V12/'Output-Calculation-sheet'!V11*'Output-Calculation-sheet'!V47</f>
        <v>1953.3995777057012</v>
      </c>
      <c r="W56" s="2">
        <f>W12/'Output-Calculation-sheet'!W11*'Output-Calculation-sheet'!W47</f>
        <v>1045.6527741552056</v>
      </c>
      <c r="X56" s="2">
        <f>X12/'Output-Calculation-sheet'!X11*'Output-Calculation-sheet'!X47</f>
        <v>2714.5042194935609</v>
      </c>
      <c r="Y56" s="2">
        <f>Y12/'Output-Calculation-sheet'!Y11*'Output-Calculation-sheet'!Y47</f>
        <v>1515.6457109920955</v>
      </c>
      <c r="AA56" s="2">
        <f t="shared" si="3"/>
        <v>607.43957353401754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8.7778803250873683</v>
      </c>
      <c r="C63" s="2">
        <f>C8*'Output-Calculation-sheet'!C52/10^9</f>
        <v>5.5356834876179475</v>
      </c>
      <c r="D63" s="2">
        <f>D8*'Output-Calculation-sheet'!D52/10^9</f>
        <v>3.0101029009429148</v>
      </c>
      <c r="E63" s="2">
        <f>E8*'Output-Calculation-sheet'!E52/10^9</f>
        <v>2.9928647507278785</v>
      </c>
      <c r="F63" s="2">
        <f>F8*'Output-Calculation-sheet'!F52/10^9</f>
        <v>1.2674789836779241</v>
      </c>
      <c r="G63" s="2">
        <f>G8*'Output-Calculation-sheet'!G52/10^9</f>
        <v>0.91125902373189815</v>
      </c>
      <c r="H63" s="2">
        <f>H8*'Output-Calculation-sheet'!H52/10^9</f>
        <v>1.5917397154997155</v>
      </c>
      <c r="I63" s="2">
        <f>I8*'Output-Calculation-sheet'!I52/10^9</f>
        <v>0.84768256784873774</v>
      </c>
      <c r="J63" s="2">
        <f>J8*'Output-Calculation-sheet'!J52/10^9</f>
        <v>1.1664698101995503</v>
      </c>
      <c r="K63" s="2">
        <f>K8*'Output-Calculation-sheet'!K52/10^9</f>
        <v>1.0248448231469403</v>
      </c>
      <c r="L63" s="2">
        <f>L8*'Output-Calculation-sheet'!L52/10^9</f>
        <v>1.378463654755836</v>
      </c>
      <c r="M63" s="2">
        <f>M8*'Output-Calculation-sheet'!M52/10^9</f>
        <v>1.2919954024183429</v>
      </c>
      <c r="N63" s="2">
        <f>N8*'Output-Calculation-sheet'!N52/10^9</f>
        <v>1.0782972871764021</v>
      </c>
      <c r="O63" s="2">
        <f>O8*'Output-Calculation-sheet'!O52/10^9</f>
        <v>1.1498499168560403</v>
      </c>
      <c r="P63" s="2">
        <f>P8*'Output-Calculation-sheet'!P52/10^9</f>
        <v>0.70814142872157326</v>
      </c>
      <c r="Q63" s="2">
        <f>Q8*'Output-Calculation-sheet'!Q52/10^9</f>
        <v>0.80140420865030326</v>
      </c>
      <c r="R63" s="2">
        <f>R8*'Output-Calculation-sheet'!R52/10^9</f>
        <v>0.71950270557005402</v>
      </c>
      <c r="S63" s="2">
        <f>S8*'Output-Calculation-sheet'!S52/10^9</f>
        <v>0.53318017206850654</v>
      </c>
      <c r="T63" s="2">
        <f>T8*'Output-Calculation-sheet'!T52/10^9</f>
        <v>0.27354576712224565</v>
      </c>
      <c r="U63" s="2">
        <f>U8*'Output-Calculation-sheet'!U52/10^9</f>
        <v>0.18786819131613205</v>
      </c>
      <c r="V63" s="2">
        <f>V8*'Output-Calculation-sheet'!V52/10^9</f>
        <v>0.33342189803747463</v>
      </c>
      <c r="W63" s="2">
        <f>W8*'Output-Calculation-sheet'!W52/10^9</f>
        <v>0.12068333930161917</v>
      </c>
      <c r="X63" s="2">
        <f>X8*'Output-Calculation-sheet'!X52/10^9</f>
        <v>0.13890373933193956</v>
      </c>
      <c r="Y63" s="2">
        <f>Y8*'Output-Calculation-sheet'!Y52/10^9</f>
        <v>7.8742445718795046E-2</v>
      </c>
      <c r="AA63" s="2">
        <f t="shared" si="4"/>
        <v>35.920006545526135</v>
      </c>
    </row>
    <row r="64" spans="1:27" x14ac:dyDescent="0.25">
      <c r="A64" s="2">
        <v>2032</v>
      </c>
      <c r="B64" s="2">
        <f>B9*'Output-Calculation-sheet'!B53/10^9</f>
        <v>9.6059261037369712</v>
      </c>
      <c r="C64" s="2">
        <f>C9*'Output-Calculation-sheet'!C53/10^9</f>
        <v>6.4852938730042746</v>
      </c>
      <c r="D64" s="2">
        <f>D9*'Output-Calculation-sheet'!D53/10^9</f>
        <v>2.8427756058330043</v>
      </c>
      <c r="E64" s="2">
        <f>E9*'Output-Calculation-sheet'!E53/10^9</f>
        <v>2.9111408197383923</v>
      </c>
      <c r="F64" s="2">
        <f>F9*'Output-Calculation-sheet'!F53/10^9</f>
        <v>1.227901974284918</v>
      </c>
      <c r="G64" s="2">
        <f>G9*'Output-Calculation-sheet'!G53/10^9</f>
        <v>0.87398213400893776</v>
      </c>
      <c r="H64" s="2">
        <f>H9*'Output-Calculation-sheet'!H53/10^9</f>
        <v>1.7959064359349632</v>
      </c>
      <c r="I64" s="2">
        <f>I9*'Output-Calculation-sheet'!I53/10^9</f>
        <v>0.8170305907079991</v>
      </c>
      <c r="J64" s="2">
        <f>J9*'Output-Calculation-sheet'!J53/10^9</f>
        <v>1.0815835500806625</v>
      </c>
      <c r="K64" s="2">
        <f>K9*'Output-Calculation-sheet'!K53/10^9</f>
        <v>1.0035598036191307</v>
      </c>
      <c r="L64" s="2">
        <f>L9*'Output-Calculation-sheet'!L53/10^9</f>
        <v>1.2910713741573756</v>
      </c>
      <c r="M64" s="2">
        <f>M9*'Output-Calculation-sheet'!M53/10^9</f>
        <v>1.4074817441431817</v>
      </c>
      <c r="N64" s="2">
        <f>N9*'Output-Calculation-sheet'!N53/10^9</f>
        <v>1.1848429042218269</v>
      </c>
      <c r="O64" s="2">
        <f>O9*'Output-Calculation-sheet'!O53/10^9</f>
        <v>1.3413234678434929</v>
      </c>
      <c r="P64" s="2">
        <f>P9*'Output-Calculation-sheet'!P53/10^9</f>
        <v>0.76513328862978625</v>
      </c>
      <c r="Q64" s="2">
        <f>Q9*'Output-Calculation-sheet'!Q53/10^9</f>
        <v>0.84560068572693081</v>
      </c>
      <c r="R64" s="2">
        <f>R9*'Output-Calculation-sheet'!R53/10^9</f>
        <v>0.72487848999389493</v>
      </c>
      <c r="S64" s="2">
        <f>S9*'Output-Calculation-sheet'!S53/10^9</f>
        <v>0.59891067971101986</v>
      </c>
      <c r="T64" s="2">
        <f>T9*'Output-Calculation-sheet'!T53/10^9</f>
        <v>0.26057494956272509</v>
      </c>
      <c r="U64" s="2">
        <f>U9*'Output-Calculation-sheet'!U53/10^9</f>
        <v>0.19612923749225034</v>
      </c>
      <c r="V64" s="2">
        <f>V9*'Output-Calculation-sheet'!V53/10^9</f>
        <v>0.3092849519364681</v>
      </c>
      <c r="W64" s="2">
        <f>W9*'Output-Calculation-sheet'!W53/10^9</f>
        <v>0.11492471350799877</v>
      </c>
      <c r="X64" s="2">
        <f>X9*'Output-Calculation-sheet'!X53/10^9</f>
        <v>0.15599156668428676</v>
      </c>
      <c r="Y64" s="2">
        <f>Y9*'Output-Calculation-sheet'!Y53/10^9</f>
        <v>8.0519991547877742E-2</v>
      </c>
      <c r="AA64" s="2">
        <f t="shared" si="4"/>
        <v>37.921768936108371</v>
      </c>
    </row>
    <row r="65" spans="1:27" x14ac:dyDescent="0.25">
      <c r="A65" s="2">
        <v>2033</v>
      </c>
      <c r="B65" s="2">
        <f>B10*'Output-Calculation-sheet'!B54/10^9</f>
        <v>10.584369696372427</v>
      </c>
      <c r="C65" s="2">
        <f>C10*'Output-Calculation-sheet'!C54/10^9</f>
        <v>7.5198425155097741</v>
      </c>
      <c r="D65" s="2">
        <f>D10*'Output-Calculation-sheet'!D54/10^9</f>
        <v>2.5005546667852281</v>
      </c>
      <c r="E65" s="2">
        <f>E10*'Output-Calculation-sheet'!E54/10^9</f>
        <v>2.8155959596749494</v>
      </c>
      <c r="F65" s="2">
        <f>F10*'Output-Calculation-sheet'!F54/10^9</f>
        <v>1.1430837762855146</v>
      </c>
      <c r="G65" s="2">
        <f>G10*'Output-Calculation-sheet'!G54/10^9</f>
        <v>0.78483040973067542</v>
      </c>
      <c r="H65" s="2">
        <f>H10*'Output-Calculation-sheet'!H54/10^9</f>
        <v>1.9395428568317943</v>
      </c>
      <c r="I65" s="2">
        <f>I10*'Output-Calculation-sheet'!I54/10^9</f>
        <v>0.76421047910317863</v>
      </c>
      <c r="J65" s="2">
        <f>J10*'Output-Calculation-sheet'!J54/10^9</f>
        <v>0.91340197017062619</v>
      </c>
      <c r="K65" s="2">
        <f>K10*'Output-Calculation-sheet'!K54/10^9</f>
        <v>0.97447890780541457</v>
      </c>
      <c r="L65" s="2">
        <f>L10*'Output-Calculation-sheet'!L54/10^9</f>
        <v>1.1510645350847895</v>
      </c>
      <c r="M65" s="2">
        <f>M10*'Output-Calculation-sheet'!M54/10^9</f>
        <v>1.4644957385554453</v>
      </c>
      <c r="N65" s="2">
        <f>N10*'Output-Calculation-sheet'!N54/10^9</f>
        <v>1.2646306088688641</v>
      </c>
      <c r="O65" s="2">
        <f>O10*'Output-Calculation-sheet'!O54/10^9</f>
        <v>1.5508132034979705</v>
      </c>
      <c r="P65" s="2">
        <f>P10*'Output-Calculation-sheet'!P54/10^9</f>
        <v>0.82453661278005563</v>
      </c>
      <c r="Q65" s="2">
        <f>Q10*'Output-Calculation-sheet'!Q54/10^9</f>
        <v>0.89972862691899436</v>
      </c>
      <c r="R65" s="2">
        <f>R10*'Output-Calculation-sheet'!R54/10^9</f>
        <v>0.72589908652452828</v>
      </c>
      <c r="S65" s="2">
        <f>S10*'Output-Calculation-sheet'!S54/10^9</f>
        <v>0.65936387219228343</v>
      </c>
      <c r="T65" s="2">
        <f>T10*'Output-Calculation-sheet'!T54/10^9</f>
        <v>0.24270046950394786</v>
      </c>
      <c r="U65" s="2">
        <f>U10*'Output-Calculation-sheet'!U54/10^9</f>
        <v>0.20957329291913387</v>
      </c>
      <c r="V65" s="2">
        <f>V10*'Output-Calculation-sheet'!V54/10^9</f>
        <v>0.26858470400314982</v>
      </c>
      <c r="W65" s="2">
        <f>W10*'Output-Calculation-sheet'!W54/10^9</f>
        <v>0.1022602987365296</v>
      </c>
      <c r="X65" s="2">
        <f>X10*'Output-Calculation-sheet'!X54/10^9</f>
        <v>0.16843035176856441</v>
      </c>
      <c r="Y65" s="2">
        <f>Y10*'Output-Calculation-sheet'!Y54/10^9</f>
        <v>8.41657071052926E-2</v>
      </c>
      <c r="AA65" s="2">
        <f t="shared" si="4"/>
        <v>39.556158346729127</v>
      </c>
    </row>
    <row r="66" spans="1:27" x14ac:dyDescent="0.25">
      <c r="A66" s="2">
        <v>2034</v>
      </c>
      <c r="B66" s="2">
        <f>B11*'Output-Calculation-sheet'!B55/10^9</f>
        <v>11.76414461999334</v>
      </c>
      <c r="C66" s="2">
        <f>C11*'Output-Calculation-sheet'!C55/10^9</f>
        <v>8.922181482280239</v>
      </c>
      <c r="D66" s="2">
        <f>D11*'Output-Calculation-sheet'!D55/10^9</f>
        <v>2.4608916899116959</v>
      </c>
      <c r="E66" s="2">
        <f>E11*'Output-Calculation-sheet'!E55/10^9</f>
        <v>2.9797085066521385</v>
      </c>
      <c r="F66" s="2">
        <f>F11*'Output-Calculation-sheet'!F55/10^9</f>
        <v>1.1451518844820929</v>
      </c>
      <c r="G66" s="2">
        <f>G11*'Output-Calculation-sheet'!G55/10^9</f>
        <v>0.81855741854348973</v>
      </c>
      <c r="H66" s="2">
        <f>H11*'Output-Calculation-sheet'!H55/10^9</f>
        <v>2.1020154713375439</v>
      </c>
      <c r="I66" s="2">
        <f>I11*'Output-Calculation-sheet'!I55/10^9</f>
        <v>0.80049838910358928</v>
      </c>
      <c r="J66" s="2">
        <f>J11*'Output-Calculation-sheet'!J55/10^9</f>
        <v>0.82316238321737845</v>
      </c>
      <c r="K66" s="2">
        <f>K11*'Output-Calculation-sheet'!K55/10^9</f>
        <v>0.98449087041924699</v>
      </c>
      <c r="L66" s="2">
        <f>L11*'Output-Calculation-sheet'!L55/10^9</f>
        <v>1.042621390110624</v>
      </c>
      <c r="M66" s="2">
        <f>M11*'Output-Calculation-sheet'!M55/10^9</f>
        <v>1.5160617328825063</v>
      </c>
      <c r="N66" s="2">
        <f>N11*'Output-Calculation-sheet'!N55/10^9</f>
        <v>1.3246349171607459</v>
      </c>
      <c r="O66" s="2">
        <f>O11*'Output-Calculation-sheet'!O55/10^9</f>
        <v>1.7764967120928643</v>
      </c>
      <c r="P66" s="2">
        <f>P11*'Output-Calculation-sheet'!P55/10^9</f>
        <v>0.91055452823249916</v>
      </c>
      <c r="Q66" s="2">
        <f>Q11*'Output-Calculation-sheet'!Q55/10^9</f>
        <v>0.99405203676781284</v>
      </c>
      <c r="R66" s="2">
        <f>R11*'Output-Calculation-sheet'!R55/10^9</f>
        <v>0.73750268657117579</v>
      </c>
      <c r="S66" s="2">
        <f>S11*'Output-Calculation-sheet'!S55/10^9</f>
        <v>0.72566394387214828</v>
      </c>
      <c r="T66" s="2">
        <f>T11*'Output-Calculation-sheet'!T55/10^9</f>
        <v>0.23117698420718441</v>
      </c>
      <c r="U66" s="2">
        <f>U11*'Output-Calculation-sheet'!U55/10^9</f>
        <v>0.23603302683206573</v>
      </c>
      <c r="V66" s="2">
        <f>V11*'Output-Calculation-sheet'!V55/10^9</f>
        <v>0.21931104279852387</v>
      </c>
      <c r="W66" s="2">
        <f>W11*'Output-Calculation-sheet'!W55/10^9</f>
        <v>9.9295749391904511E-2</v>
      </c>
      <c r="X66" s="2">
        <f>X11*'Output-Calculation-sheet'!X55/10^9</f>
        <v>0.18844417132548824</v>
      </c>
      <c r="Y66" s="2">
        <f>Y11*'Output-Calculation-sheet'!Y55/10^9</f>
        <v>9.7438963091661543E-2</v>
      </c>
      <c r="AA66" s="2">
        <f t="shared" si="4"/>
        <v>42.900090601277952</v>
      </c>
    </row>
    <row r="67" spans="1:27" x14ac:dyDescent="0.25">
      <c r="A67" s="2">
        <v>2035</v>
      </c>
      <c r="B67" s="2">
        <f>B12*'Output-Calculation-sheet'!B56/10^9</f>
        <v>14.303099386749647</v>
      </c>
      <c r="C67" s="2">
        <f>C12*'Output-Calculation-sheet'!C56/10^9</f>
        <v>10.36691871733894</v>
      </c>
      <c r="D67" s="2">
        <f>D12*'Output-Calculation-sheet'!D56/10^9</f>
        <v>3.2442817671268793</v>
      </c>
      <c r="E67" s="2">
        <f>E12*'Output-Calculation-sheet'!E56/10^9</f>
        <v>3.8617719408122415</v>
      </c>
      <c r="F67" s="2">
        <f>F12*'Output-Calculation-sheet'!F56/10^9</f>
        <v>1.5805096087718016</v>
      </c>
      <c r="G67" s="2">
        <f>G12*'Output-Calculation-sheet'!G56/10^9</f>
        <v>1.1109372720890756</v>
      </c>
      <c r="H67" s="2">
        <f>H12*'Output-Calculation-sheet'!H56/10^9</f>
        <v>2.5365171675825833</v>
      </c>
      <c r="I67" s="2">
        <f>I12*'Output-Calculation-sheet'!I56/10^9</f>
        <v>1.1125154389151259</v>
      </c>
      <c r="J67" s="2">
        <f>J12*'Output-Calculation-sheet'!J56/10^9</f>
        <v>1.0064931594769824</v>
      </c>
      <c r="K67" s="2">
        <f>K12*'Output-Calculation-sheet'!K56/10^9</f>
        <v>1.2491444313636637</v>
      </c>
      <c r="L67" s="2">
        <f>L12*'Output-Calculation-sheet'!L56/10^9</f>
        <v>1.1640676051676919</v>
      </c>
      <c r="M67" s="2">
        <f>M12*'Output-Calculation-sheet'!M56/10^9</f>
        <v>1.7890679713527466</v>
      </c>
      <c r="N67" s="2">
        <f>N12*'Output-Calculation-sheet'!N56/10^9</f>
        <v>1.5210988300497221</v>
      </c>
      <c r="O67" s="2">
        <f>O12*'Output-Calculation-sheet'!O56/10^9</f>
        <v>2.0025668402485413</v>
      </c>
      <c r="P67" s="2">
        <f>P12*'Output-Calculation-sheet'!P56/10^9</f>
        <v>1.174393448024305</v>
      </c>
      <c r="Q67" s="2">
        <f>Q12*'Output-Calculation-sheet'!Q56/10^9</f>
        <v>1.1862115909566355</v>
      </c>
      <c r="R67" s="2">
        <f>R12*'Output-Calculation-sheet'!R56/10^9</f>
        <v>0.90577489081417373</v>
      </c>
      <c r="S67" s="2">
        <f>S12*'Output-Calculation-sheet'!S56/10^9</f>
        <v>0.86618358650628491</v>
      </c>
      <c r="T67" s="2">
        <f>T12*'Output-Calculation-sheet'!T56/10^9</f>
        <v>0.27549930918452431</v>
      </c>
      <c r="U67" s="2">
        <f>U12*'Output-Calculation-sheet'!U56/10^9</f>
        <v>0.31335425222149665</v>
      </c>
      <c r="V67" s="2">
        <f>V12*'Output-Calculation-sheet'!V56/10^9</f>
        <v>0.21121740355973484</v>
      </c>
      <c r="W67" s="2">
        <f>W12*'Output-Calculation-sheet'!W56/10^9</f>
        <v>0.13679407140425853</v>
      </c>
      <c r="X67" s="2">
        <f>X12*'Output-Calculation-sheet'!X56/10^9</f>
        <v>0.22404820011196838</v>
      </c>
      <c r="Y67" s="2">
        <f>Y12*'Output-Calculation-sheet'!Y56/10^9</f>
        <v>0.12854972202409029</v>
      </c>
      <c r="AA67" s="2">
        <f t="shared" si="4"/>
        <v>52.271016611853106</v>
      </c>
    </row>
    <row r="68" spans="1:27" x14ac:dyDescent="0.25">
      <c r="B68" s="2">
        <f>SUM(B60:B67)</f>
        <v>74.880158571464648</v>
      </c>
      <c r="C68" s="2">
        <f t="shared" ref="C68:Y68" si="5">SUM(C60:C67)</f>
        <v>49.334305530815314</v>
      </c>
      <c r="D68" s="2">
        <f t="shared" si="5"/>
        <v>21.843876621290022</v>
      </c>
      <c r="E68" s="2">
        <f t="shared" si="5"/>
        <v>23.236702915093048</v>
      </c>
      <c r="F68" s="2">
        <f t="shared" si="5"/>
        <v>9.5453120075896383</v>
      </c>
      <c r="G68" s="2">
        <f t="shared" si="5"/>
        <v>6.8144051905862026</v>
      </c>
      <c r="H68" s="2">
        <f t="shared" si="5"/>
        <v>13.2374140782326</v>
      </c>
      <c r="I68" s="2">
        <f t="shared" si="5"/>
        <v>6.4826357458656751</v>
      </c>
      <c r="J68" s="2">
        <f t="shared" si="5"/>
        <v>8.0710032974605994</v>
      </c>
      <c r="K68" s="2">
        <f t="shared" si="5"/>
        <v>7.8302547607631414</v>
      </c>
      <c r="L68" s="2">
        <f t="shared" si="5"/>
        <v>9.6801759521129256</v>
      </c>
      <c r="M68" s="2">
        <f t="shared" si="5"/>
        <v>10.273887031874516</v>
      </c>
      <c r="N68" s="2">
        <f t="shared" si="5"/>
        <v>8.8074827789535863</v>
      </c>
      <c r="O68" s="2">
        <f t="shared" si="5"/>
        <v>10.016328123989656</v>
      </c>
      <c r="P68" s="2">
        <f t="shared" si="5"/>
        <v>6.0299655733946897</v>
      </c>
      <c r="Q68" s="2">
        <f t="shared" si="5"/>
        <v>6.6073322617195176</v>
      </c>
      <c r="R68" s="2">
        <f t="shared" si="5"/>
        <v>5.6165242286686095</v>
      </c>
      <c r="S68" s="2">
        <f t="shared" si="5"/>
        <v>4.5626885357520939</v>
      </c>
      <c r="T68" s="2">
        <f t="shared" si="5"/>
        <v>1.9892742504110741</v>
      </c>
      <c r="U68" s="2">
        <f t="shared" si="5"/>
        <v>1.604596670299596</v>
      </c>
      <c r="V68" s="2">
        <f t="shared" si="5"/>
        <v>2.2348415467474756</v>
      </c>
      <c r="W68" s="2">
        <f t="shared" si="5"/>
        <v>0.8831071341994492</v>
      </c>
      <c r="X68" s="2">
        <f t="shared" si="5"/>
        <v>1.1614505210721839</v>
      </c>
      <c r="Y68" s="2">
        <f t="shared" si="5"/>
        <v>0.66433624916720102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7277.9343313388345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1756.6831894982495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1177.1536348496702</v>
      </c>
      <c r="N74" s="2">
        <f>N8/'Output-Calculation-sheet'!N7*'Output-Calculation-sheet'!N61</f>
        <v>49.336590095996058</v>
      </c>
      <c r="O74" s="2">
        <f>O8/'Output-Calculation-sheet'!O7*'Output-Calculation-sheet'!O61</f>
        <v>1454.7755641228493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146.27824637096091</v>
      </c>
      <c r="Y74" s="2">
        <f>Y8/'Output-Calculation-sheet'!Y7*'Output-Calculation-sheet'!Y61</f>
        <v>0</v>
      </c>
      <c r="AA74" s="2">
        <f t="shared" si="6"/>
        <v>11.862161556276559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12809.842009615109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3174.5210453854047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2156.9179689152543</v>
      </c>
      <c r="N75" s="2">
        <f>N9/'Output-Calculation-sheet'!N8*'Output-Calculation-sheet'!N62</f>
        <v>830.59838897937004</v>
      </c>
      <c r="O75" s="2">
        <f>O9/'Output-Calculation-sheet'!O8*'Output-Calculation-sheet'!O62</f>
        <v>2532.0930710021248</v>
      </c>
      <c r="P75" s="2">
        <f>P9/'Output-Calculation-sheet'!P8*'Output-Calculation-sheet'!P62</f>
        <v>55.813971270030329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279.34812477501004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260.58356666773341</v>
      </c>
      <c r="Y75" s="2">
        <f>Y9/'Output-Calculation-sheet'!Y8*'Output-Calculation-sheet'!Y62</f>
        <v>0</v>
      </c>
      <c r="AA75" s="2">
        <f t="shared" si="6"/>
        <v>22.099718146610037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17968.022207356491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4837.4462495879225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3293.5773564052579</v>
      </c>
      <c r="N76" s="2">
        <f>N10/'Output-Calculation-sheet'!N9*'Output-Calculation-sheet'!N63</f>
        <v>1881.6479354373785</v>
      </c>
      <c r="O76" s="2">
        <f>O10/'Output-Calculation-sheet'!O9*'Output-Calculation-sheet'!O63</f>
        <v>3241.6542433554591</v>
      </c>
      <c r="P76" s="2">
        <f>P10/'Output-Calculation-sheet'!P9*'Output-Calculation-sheet'!P63</f>
        <v>653.39427386347643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496.00983319870954</v>
      </c>
      <c r="S76" s="2">
        <f>S10/'Output-Calculation-sheet'!S9*'Output-Calculation-sheet'!S63</f>
        <v>835.81367950679282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175.9807669076327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387.87969930443552</v>
      </c>
      <c r="Y76" s="2">
        <f>Y10/'Output-Calculation-sheet'!Y9*'Output-Calculation-sheet'!Y63</f>
        <v>7.3585752082529883</v>
      </c>
      <c r="AA76" s="2">
        <f t="shared" si="6"/>
        <v>41.650262096674503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19641.516987488056</v>
      </c>
      <c r="D77" s="2">
        <f>D11/'Output-Calculation-sheet'!D10*'Output-Calculation-sheet'!D64</f>
        <v>2431.2766805604983</v>
      </c>
      <c r="E77" s="2">
        <f>E11/'Output-Calculation-sheet'!E10*'Output-Calculation-sheet'!E64</f>
        <v>2957.5871264569232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1267.9022135702148</v>
      </c>
      <c r="H77" s="2">
        <f>H11/'Output-Calculation-sheet'!H10*'Output-Calculation-sheet'!H64</f>
        <v>6736.5867727590758</v>
      </c>
      <c r="I77" s="2">
        <f>I11/'Output-Calculation-sheet'!I10*'Output-Calculation-sheet'!I64</f>
        <v>751.29446820662031</v>
      </c>
      <c r="J77" s="2">
        <f>J11/'Output-Calculation-sheet'!J10*'Output-Calculation-sheet'!J64</f>
        <v>540.03934272509218</v>
      </c>
      <c r="K77" s="2">
        <f>K11/'Output-Calculation-sheet'!K10*'Output-Calculation-sheet'!K64</f>
        <v>1130.503042542131</v>
      </c>
      <c r="L77" s="2">
        <f>L11/'Output-Calculation-sheet'!L10*'Output-Calculation-sheet'!L64</f>
        <v>494.23969633990663</v>
      </c>
      <c r="M77" s="2">
        <f>M11/'Output-Calculation-sheet'!M10*'Output-Calculation-sheet'!M64</f>
        <v>4514.8415904958292</v>
      </c>
      <c r="N77" s="2">
        <f>N11/'Output-Calculation-sheet'!N10*'Output-Calculation-sheet'!N64</f>
        <v>3178.7002085516388</v>
      </c>
      <c r="O77" s="2">
        <f>O11/'Output-Calculation-sheet'!O10*'Output-Calculation-sheet'!O64</f>
        <v>3681.9042020632696</v>
      </c>
      <c r="P77" s="2">
        <f>P11/'Output-Calculation-sheet'!P10*'Output-Calculation-sheet'!P64</f>
        <v>1403.01495248318</v>
      </c>
      <c r="Q77" s="2">
        <f>Q11/'Output-Calculation-sheet'!Q10*'Output-Calculation-sheet'!Q64</f>
        <v>1262.1670316396928</v>
      </c>
      <c r="R77" s="2">
        <f>R11/'Output-Calculation-sheet'!R10*'Output-Calculation-sheet'!R64</f>
        <v>1200.6142464871159</v>
      </c>
      <c r="S77" s="2">
        <f>S11/'Output-Calculation-sheet'!S10*'Output-Calculation-sheet'!S64</f>
        <v>1598.4733858955208</v>
      </c>
      <c r="T77" s="2">
        <f>T11/'Output-Calculation-sheet'!T10*'Output-Calculation-sheet'!T64</f>
        <v>332.76904998782334</v>
      </c>
      <c r="U77" s="2">
        <f>U11/'Output-Calculation-sheet'!U10*'Output-Calculation-sheet'!U64</f>
        <v>455.34105330891839</v>
      </c>
      <c r="V77" s="2">
        <f>V11/'Output-Calculation-sheet'!V10*'Output-Calculation-sheet'!V64</f>
        <v>174.98549574886329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465.60857162699034</v>
      </c>
      <c r="Y77" s="2">
        <f>Y11/'Output-Calculation-sheet'!Y10*'Output-Calculation-sheet'!Y64</f>
        <v>109.90954265070657</v>
      </c>
      <c r="AA77" s="2">
        <f t="shared" si="6"/>
        <v>74.033554706597059</v>
      </c>
    </row>
    <row r="78" spans="1:27" x14ac:dyDescent="0.25">
      <c r="A78" s="2">
        <v>2035</v>
      </c>
      <c r="B78" s="2">
        <f>B12/'Output-Calculation-sheet'!B11*'Output-Calculation-sheet'!B65</f>
        <v>30590.397435090897</v>
      </c>
      <c r="C78" s="2">
        <f>C12/'Output-Calculation-sheet'!C11*'Output-Calculation-sheet'!C65</f>
        <v>21556.483126022198</v>
      </c>
      <c r="D78" s="2">
        <f>D12/'Output-Calculation-sheet'!D11*'Output-Calculation-sheet'!D65</f>
        <v>7026.3621136761167</v>
      </c>
      <c r="E78" s="2">
        <f>E12/'Output-Calculation-sheet'!E11*'Output-Calculation-sheet'!E65</f>
        <v>7028.3009445973375</v>
      </c>
      <c r="F78" s="2">
        <f>F12/'Output-Calculation-sheet'!F11*'Output-Calculation-sheet'!F65</f>
        <v>1631.6003517904221</v>
      </c>
      <c r="G78" s="2">
        <f>G12/'Output-Calculation-sheet'!G11*'Output-Calculation-sheet'!G65</f>
        <v>2432.0805652266504</v>
      </c>
      <c r="H78" s="2">
        <f>H12/'Output-Calculation-sheet'!H11*'Output-Calculation-sheet'!H65</f>
        <v>7794.4305776088204</v>
      </c>
      <c r="I78" s="2">
        <f>I12/'Output-Calculation-sheet'!I11*'Output-Calculation-sheet'!I65</f>
        <v>2159.0544339513262</v>
      </c>
      <c r="J78" s="2">
        <f>J12/'Output-Calculation-sheet'!J11*'Output-Calculation-sheet'!J65</f>
        <v>1920.7647099868223</v>
      </c>
      <c r="K78" s="2">
        <f>K12/'Output-Calculation-sheet'!K11*'Output-Calculation-sheet'!K65</f>
        <v>2560.3926324126651</v>
      </c>
      <c r="L78" s="2">
        <f>L12/'Output-Calculation-sheet'!L11*'Output-Calculation-sheet'!L65</f>
        <v>1686.5433462000678</v>
      </c>
      <c r="M78" s="2">
        <f>M12/'Output-Calculation-sheet'!M11*'Output-Calculation-sheet'!M65</f>
        <v>5443.263581489191</v>
      </c>
      <c r="N78" s="2">
        <f>N12/'Output-Calculation-sheet'!N11*'Output-Calculation-sheet'!N65</f>
        <v>3886.8879248106418</v>
      </c>
      <c r="O78" s="2">
        <f>O12/'Output-Calculation-sheet'!O11*'Output-Calculation-sheet'!O65</f>
        <v>3938.7568160774449</v>
      </c>
      <c r="P78" s="2">
        <f>P12/'Output-Calculation-sheet'!P11*'Output-Calculation-sheet'!P65</f>
        <v>2152.5951622173166</v>
      </c>
      <c r="Q78" s="2">
        <f>Q12/'Output-Calculation-sheet'!Q11*'Output-Calculation-sheet'!Q65</f>
        <v>2086.9076247398225</v>
      </c>
      <c r="R78" s="2">
        <f>R12/'Output-Calculation-sheet'!R11*'Output-Calculation-sheet'!R65</f>
        <v>1893.1841989388763</v>
      </c>
      <c r="S78" s="2">
        <f>S12/'Output-Calculation-sheet'!S11*'Output-Calculation-sheet'!S65</f>
        <v>2117.8503558410375</v>
      </c>
      <c r="T78" s="2">
        <f>T12/'Output-Calculation-sheet'!T11*'Output-Calculation-sheet'!T65</f>
        <v>659.75617314791987</v>
      </c>
      <c r="U78" s="2">
        <f>U12/'Output-Calculation-sheet'!U11*'Output-Calculation-sheet'!U65</f>
        <v>603.25564850501257</v>
      </c>
      <c r="V78" s="2">
        <f>V12/'Output-Calculation-sheet'!V11*'Output-Calculation-sheet'!V65</f>
        <v>345.28290935525973</v>
      </c>
      <c r="W78" s="2">
        <f>W12/'Output-Calculation-sheet'!W11*'Output-Calculation-sheet'!W65</f>
        <v>229.81602706329971</v>
      </c>
      <c r="X78" s="2">
        <f>X12/'Output-Calculation-sheet'!X11*'Output-Calculation-sheet'!X65</f>
        <v>522.83263926245627</v>
      </c>
      <c r="Y78" s="2">
        <f>Y12/'Output-Calculation-sheet'!Y11*'Output-Calculation-sheet'!Y65</f>
        <v>241.77211231502483</v>
      </c>
      <c r="AA78" s="2">
        <f t="shared" si="6"/>
        <v>110.50857141032662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53.192885691285234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5.3192885691285233E-2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741.67070655248153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172.90399878199861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0.91457470533448004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1741.1961433236468</v>
      </c>
      <c r="D89" s="2">
        <f>D12/'Output-Calculation-sheet'!D11*'Output-Calculation-sheet'!D74</f>
        <v>140.21876099932382</v>
      </c>
      <c r="E89" s="2">
        <f>E12/'Output-Calculation-sheet'!E11*'Output-Calculation-sheet'!E74</f>
        <v>111.43651410492052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146.18029114931335</v>
      </c>
      <c r="I89" s="2">
        <f>I12/'Output-Calculation-sheet'!I11*'Output-Calculation-sheet'!I74</f>
        <v>45.241381177866565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44.465156340743029</v>
      </c>
      <c r="L89" s="2">
        <f>L12/'Output-Calculation-sheet'!L11*'Output-Calculation-sheet'!L74</f>
        <v>35.356561627640254</v>
      </c>
      <c r="M89" s="2">
        <f>M12/'Output-Calculation-sheet'!M11*'Output-Calculation-sheet'!M74</f>
        <v>100.58634487124766</v>
      </c>
      <c r="N89" s="2">
        <f>N12/'Output-Calculation-sheet'!N11*'Output-Calculation-sheet'!N74</f>
        <v>65.906824440838008</v>
      </c>
      <c r="O89" s="2">
        <f>O12/'Output-Calculation-sheet'!O11*'Output-Calculation-sheet'!O74</f>
        <v>399.77076277887608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57.744293098873072</v>
      </c>
      <c r="R89" s="2">
        <f>R12/'Output-Calculation-sheet'!R11*'Output-Calculation-sheet'!R74</f>
        <v>28.63211686058705</v>
      </c>
      <c r="S89" s="2">
        <f>S12/'Output-Calculation-sheet'!S11*'Output-Calculation-sheet'!S74</f>
        <v>37.779964426544844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18.423957746847037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14.712759997255073</v>
      </c>
      <c r="Y89" s="2">
        <f>Y12/'Output-Calculation-sheet'!Y11*'Output-Calculation-sheet'!Y74</f>
        <v>7.0990431428201193</v>
      </c>
      <c r="AA89" s="2">
        <f t="shared" si="7"/>
        <v>3.9619598985941895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22925195867.533401</v>
      </c>
      <c r="C96" s="2">
        <f>C8/'Output-Calculation-sheet'!C7*'Output-Calculation-sheet'!C79</f>
        <v>9490731573.1541882</v>
      </c>
      <c r="D96" s="2">
        <f>D8/'Output-Calculation-sheet'!D7*'Output-Calculation-sheet'!D79</f>
        <v>7565601817.0887203</v>
      </c>
      <c r="E96" s="2">
        <f>E8/'Output-Calculation-sheet'!E7*'Output-Calculation-sheet'!E79</f>
        <v>9141884470.0109367</v>
      </c>
      <c r="F96" s="2">
        <f>F8/'Output-Calculation-sheet'!F7*'Output-Calculation-sheet'!F79</f>
        <v>5396401920.5068226</v>
      </c>
      <c r="G96" s="2">
        <f>G8/'Output-Calculation-sheet'!G7*'Output-Calculation-sheet'!G79</f>
        <v>2744890118.8151031</v>
      </c>
      <c r="H96" s="2">
        <f>H8/'Output-Calculation-sheet'!H7*'Output-Calculation-sheet'!H79</f>
        <v>3427456370.1672826</v>
      </c>
      <c r="I96" s="2">
        <f>I8/'Output-Calculation-sheet'!I7*'Output-Calculation-sheet'!I79</f>
        <v>3280554993.0655236</v>
      </c>
      <c r="J96" s="2">
        <f>J8/'Output-Calculation-sheet'!J7*'Output-Calculation-sheet'!J79</f>
        <v>1851663029.8717504</v>
      </c>
      <c r="K96" s="2">
        <f>K8/'Output-Calculation-sheet'!K7*'Output-Calculation-sheet'!K79</f>
        <v>3154016375.2338581</v>
      </c>
      <c r="L96" s="2">
        <f>L8/'Output-Calculation-sheet'!L7*'Output-Calculation-sheet'!L79</f>
        <v>2268430572.1574311</v>
      </c>
      <c r="M96" s="2">
        <f>M8/'Output-Calculation-sheet'!M7*'Output-Calculation-sheet'!M79</f>
        <v>2293181660.5299692</v>
      </c>
      <c r="N96" s="2">
        <f>N8/'Output-Calculation-sheet'!N7*'Output-Calculation-sheet'!N79</f>
        <v>1632121932.4975092</v>
      </c>
      <c r="O96" s="2">
        <f>O8/'Output-Calculation-sheet'!O7*'Output-Calculation-sheet'!O79</f>
        <v>1282707589.6329792</v>
      </c>
      <c r="P96" s="2">
        <f>P8/'Output-Calculation-sheet'!P7*'Output-Calculation-sheet'!P79</f>
        <v>2726713594.289783</v>
      </c>
      <c r="Q96" s="2">
        <f>Q8/'Output-Calculation-sheet'!Q7*'Output-Calculation-sheet'!Q79</f>
        <v>1485140601.1259503</v>
      </c>
      <c r="R96" s="2">
        <f>R8/'Output-Calculation-sheet'!R7*'Output-Calculation-sheet'!R79</f>
        <v>1981318797.3350942</v>
      </c>
      <c r="S96" s="2">
        <f>S8/'Output-Calculation-sheet'!S7*'Output-Calculation-sheet'!S79</f>
        <v>1247133375.6448495</v>
      </c>
      <c r="T96" s="2">
        <f>T8/'Output-Calculation-sheet'!T7*'Output-Calculation-sheet'!T79</f>
        <v>800835210.62419415</v>
      </c>
      <c r="U96" s="2">
        <f>U8/'Output-Calculation-sheet'!U7*'Output-Calculation-sheet'!U79</f>
        <v>742603425.65500677</v>
      </c>
      <c r="V96" s="2">
        <f>V8/'Output-Calculation-sheet'!V7*'Output-Calculation-sheet'!V79</f>
        <v>478113384.67643416</v>
      </c>
      <c r="W96" s="2">
        <f>W8/'Output-Calculation-sheet'!W7*'Output-Calculation-sheet'!W79</f>
        <v>571931988.33552194</v>
      </c>
      <c r="X96" s="2">
        <f>X8/'Output-Calculation-sheet'!X7*'Output-Calculation-sheet'!X79</f>
        <v>261776506.54096797</v>
      </c>
      <c r="Y96" s="2">
        <f>Y8/'Output-Calculation-sheet'!Y7*'Output-Calculation-sheet'!Y79</f>
        <v>292999190.94713581</v>
      </c>
      <c r="AA96" s="2">
        <f t="shared" si="8"/>
        <v>87.043404365440409</v>
      </c>
    </row>
    <row r="97" spans="1:27" x14ac:dyDescent="0.25">
      <c r="A97" s="2">
        <v>2032</v>
      </c>
      <c r="B97" s="2">
        <f>B9/'Output-Calculation-sheet'!B8*'Output-Calculation-sheet'!B80</f>
        <v>33190497145.114624</v>
      </c>
      <c r="C97" s="2">
        <f>C9/'Output-Calculation-sheet'!C8*'Output-Calculation-sheet'!C80</f>
        <v>13752414313.525007</v>
      </c>
      <c r="D97" s="2">
        <f>D9/'Output-Calculation-sheet'!D8*'Output-Calculation-sheet'!D80</f>
        <v>10870171366.781361</v>
      </c>
      <c r="E97" s="2">
        <f>E9/'Output-Calculation-sheet'!E8*'Output-Calculation-sheet'!E80</f>
        <v>13116530052.580946</v>
      </c>
      <c r="F97" s="2">
        <f>F9/'Output-Calculation-sheet'!F8*'Output-Calculation-sheet'!F80</f>
        <v>7771914426.034977</v>
      </c>
      <c r="G97" s="2">
        <f>G9/'Output-Calculation-sheet'!G8*'Output-Calculation-sheet'!G80</f>
        <v>3890486207.466435</v>
      </c>
      <c r="H97" s="2">
        <f>H9/'Output-Calculation-sheet'!H8*'Output-Calculation-sheet'!H80</f>
        <v>4951957583.146595</v>
      </c>
      <c r="I97" s="2">
        <f>I9/'Output-Calculation-sheet'!I8*'Output-Calculation-sheet'!I80</f>
        <v>4726843319.6783266</v>
      </c>
      <c r="J97" s="2">
        <f>J9/'Output-Calculation-sheet'!J8*'Output-Calculation-sheet'!J80</f>
        <v>2697206778.7718177</v>
      </c>
      <c r="K97" s="2">
        <f>K9/'Output-Calculation-sheet'!K8*'Output-Calculation-sheet'!K80</f>
        <v>4543493181.8075953</v>
      </c>
      <c r="L97" s="2">
        <f>L9/'Output-Calculation-sheet'!L8*'Output-Calculation-sheet'!L80</f>
        <v>3287372180.2699518</v>
      </c>
      <c r="M97" s="2">
        <f>M9/'Output-Calculation-sheet'!M8*'Output-Calculation-sheet'!M80</f>
        <v>3313114175.5693455</v>
      </c>
      <c r="N97" s="2">
        <f>N9/'Output-Calculation-sheet'!N8*'Output-Calculation-sheet'!N80</f>
        <v>2368131211.8760705</v>
      </c>
      <c r="O97" s="2">
        <f>O9/'Output-Calculation-sheet'!O8*'Output-Calculation-sheet'!O80</f>
        <v>1868310918.6119184</v>
      </c>
      <c r="P97" s="2">
        <f>P9/'Output-Calculation-sheet'!P8*'Output-Calculation-sheet'!P80</f>
        <v>3904332292.5638123</v>
      </c>
      <c r="Q97" s="2">
        <f>Q9/'Output-Calculation-sheet'!Q8*'Output-Calculation-sheet'!Q80</f>
        <v>2161870012.8860245</v>
      </c>
      <c r="R97" s="2">
        <f>R9/'Output-Calculation-sheet'!R8*'Output-Calculation-sheet'!R80</f>
        <v>2866318162.9508891</v>
      </c>
      <c r="S97" s="2">
        <f>S9/'Output-Calculation-sheet'!S8*'Output-Calculation-sheet'!S80</f>
        <v>1808230043.3453641</v>
      </c>
      <c r="T97" s="2">
        <f>T9/'Output-Calculation-sheet'!T8*'Output-Calculation-sheet'!T80</f>
        <v>1149361211.6666133</v>
      </c>
      <c r="U97" s="2">
        <f>U9/'Output-Calculation-sheet'!U8*'Output-Calculation-sheet'!U80</f>
        <v>1071823994.3550383</v>
      </c>
      <c r="V97" s="2">
        <f>V9/'Output-Calculation-sheet'!V8*'Output-Calculation-sheet'!V80</f>
        <v>694123423.76300728</v>
      </c>
      <c r="W97" s="2">
        <f>W9/'Output-Calculation-sheet'!W8*'Output-Calculation-sheet'!W80</f>
        <v>811973288.13596928</v>
      </c>
      <c r="X97" s="2">
        <f>X9/'Output-Calculation-sheet'!X8*'Output-Calculation-sheet'!X80</f>
        <v>378087567.0984239</v>
      </c>
      <c r="Y97" s="2">
        <f>Y9/'Output-Calculation-sheet'!Y8*'Output-Calculation-sheet'!Y80</f>
        <v>417804183.4606871</v>
      </c>
      <c r="AA97" s="2">
        <f t="shared" si="8"/>
        <v>125.6123670414608</v>
      </c>
    </row>
    <row r="98" spans="1:27" x14ac:dyDescent="0.25">
      <c r="A98" s="2">
        <v>2033</v>
      </c>
      <c r="B98" s="2">
        <f>B10/'Output-Calculation-sheet'!B9*'Output-Calculation-sheet'!B81</f>
        <v>44527313758.356789</v>
      </c>
      <c r="C98" s="2">
        <f>C10/'Output-Calculation-sheet'!C9*'Output-Calculation-sheet'!C81</f>
        <v>18468920510.954102</v>
      </c>
      <c r="D98" s="2">
        <f>D10/'Output-Calculation-sheet'!D9*'Output-Calculation-sheet'!D81</f>
        <v>14487626422.562952</v>
      </c>
      <c r="E98" s="2">
        <f>E10/'Output-Calculation-sheet'!E9*'Output-Calculation-sheet'!E81</f>
        <v>17448705625.733902</v>
      </c>
      <c r="F98" s="2">
        <f>F10/'Output-Calculation-sheet'!F9*'Output-Calculation-sheet'!F81</f>
        <v>10375408625.142954</v>
      </c>
      <c r="G98" s="2">
        <f>G10/'Output-Calculation-sheet'!G9*'Output-Calculation-sheet'!G81</f>
        <v>5114319282.711031</v>
      </c>
      <c r="H98" s="2">
        <f>H10/'Output-Calculation-sheet'!H9*'Output-Calculation-sheet'!H81</f>
        <v>6630812279.086813</v>
      </c>
      <c r="I98" s="2">
        <f>I10/'Output-Calculation-sheet'!I9*'Output-Calculation-sheet'!I81</f>
        <v>6314058658.5870752</v>
      </c>
      <c r="J98" s="2">
        <f>J10/'Output-Calculation-sheet'!J9*'Output-Calculation-sheet'!J81</f>
        <v>3643349775.8280959</v>
      </c>
      <c r="K98" s="2">
        <f>K10/'Output-Calculation-sheet'!K9*'Output-Calculation-sheet'!K81</f>
        <v>6067142036.7245846</v>
      </c>
      <c r="L98" s="2">
        <f>L10/'Output-Calculation-sheet'!L9*'Output-Calculation-sheet'!L81</f>
        <v>4415120549.206995</v>
      </c>
      <c r="M98" s="2">
        <f>M10/'Output-Calculation-sheet'!M9*'Output-Calculation-sheet'!M81</f>
        <v>4437157245.3555622</v>
      </c>
      <c r="N98" s="2">
        <f>N10/'Output-Calculation-sheet'!N9*'Output-Calculation-sheet'!N81</f>
        <v>3186286811.4526958</v>
      </c>
      <c r="O98" s="2">
        <f>O10/'Output-Calculation-sheet'!O9*'Output-Calculation-sheet'!O81</f>
        <v>2522700530.17419</v>
      </c>
      <c r="P98" s="2">
        <f>P10/'Output-Calculation-sheet'!P9*'Output-Calculation-sheet'!P81</f>
        <v>5181622488.8691225</v>
      </c>
      <c r="Q98" s="2">
        <f>Q10/'Output-Calculation-sheet'!Q9*'Output-Calculation-sheet'!Q81</f>
        <v>2917292905.1441298</v>
      </c>
      <c r="R98" s="2">
        <f>R10/'Output-Calculation-sheet'!R9*'Output-Calculation-sheet'!R81</f>
        <v>3842894995.655272</v>
      </c>
      <c r="S98" s="2">
        <f>S10/'Output-Calculation-sheet'!S9*'Output-Calculation-sheet'!S81</f>
        <v>2429409542.6729159</v>
      </c>
      <c r="T98" s="2">
        <f>T10/'Output-Calculation-sheet'!T9*'Output-Calculation-sheet'!T81</f>
        <v>1529351571.6641374</v>
      </c>
      <c r="U98" s="2">
        <f>U10/'Output-Calculation-sheet'!U9*'Output-Calculation-sheet'!U81</f>
        <v>1432924669.306478</v>
      </c>
      <c r="V98" s="2">
        <f>V10/'Output-Calculation-sheet'!V9*'Output-Calculation-sheet'!V81</f>
        <v>933277789.30795693</v>
      </c>
      <c r="W98" s="2">
        <f>W10/'Output-Calculation-sheet'!W9*'Output-Calculation-sheet'!W81</f>
        <v>1068741463.9243156</v>
      </c>
      <c r="X98" s="2">
        <f>X10/'Output-Calculation-sheet'!X9*'Output-Calculation-sheet'!X81</f>
        <v>506165367.87628442</v>
      </c>
      <c r="Y98" s="2">
        <f>Y10/'Output-Calculation-sheet'!Y9*'Output-Calculation-sheet'!Y81</f>
        <v>552522779.24025607</v>
      </c>
      <c r="AA98" s="2">
        <f t="shared" si="8"/>
        <v>168.03312568553861</v>
      </c>
    </row>
    <row r="99" spans="1:27" x14ac:dyDescent="0.25">
      <c r="A99" s="2">
        <v>2034</v>
      </c>
      <c r="B99" s="2">
        <f>B11/'Output-Calculation-sheet'!B10*'Output-Calculation-sheet'!B82</f>
        <v>56781803686.673233</v>
      </c>
      <c r="C99" s="2">
        <f>C11/'Output-Calculation-sheet'!C10*'Output-Calculation-sheet'!C82</f>
        <v>23579729105.62521</v>
      </c>
      <c r="D99" s="2">
        <f>D11/'Output-Calculation-sheet'!D10*'Output-Calculation-sheet'!D82</f>
        <v>18372097353.237659</v>
      </c>
      <c r="E99" s="2">
        <f>E11/'Output-Calculation-sheet'!E10*'Output-Calculation-sheet'!E82</f>
        <v>22075419033.736996</v>
      </c>
      <c r="F99" s="2">
        <f>F11/'Output-Calculation-sheet'!F10*'Output-Calculation-sheet'!F82</f>
        <v>13170042681.697254</v>
      </c>
      <c r="G99" s="2">
        <f>G11/'Output-Calculation-sheet'!G10*'Output-Calculation-sheet'!G82</f>
        <v>6396333110.2488909</v>
      </c>
      <c r="H99" s="2">
        <f>H11/'Output-Calculation-sheet'!H10*'Output-Calculation-sheet'!H82</f>
        <v>8441002769.3435507</v>
      </c>
      <c r="I99" s="2">
        <f>I11/'Output-Calculation-sheet'!I10*'Output-Calculation-sheet'!I82</f>
        <v>8020468027.7209787</v>
      </c>
      <c r="J99" s="2">
        <f>J11/'Output-Calculation-sheet'!J10*'Output-Calculation-sheet'!J82</f>
        <v>4681089218.4087477</v>
      </c>
      <c r="K99" s="2">
        <f>K11/'Output-Calculation-sheet'!K10*'Output-Calculation-sheet'!K82</f>
        <v>7703713000.2825451</v>
      </c>
      <c r="L99" s="2">
        <f>L11/'Output-Calculation-sheet'!L10*'Output-Calculation-sheet'!L82</f>
        <v>5637099114.3052626</v>
      </c>
      <c r="M99" s="2">
        <f>M11/'Output-Calculation-sheet'!M10*'Output-Calculation-sheet'!M82</f>
        <v>5650454925.5940857</v>
      </c>
      <c r="N99" s="2">
        <f>N11/'Output-Calculation-sheet'!N10*'Output-Calculation-sheet'!N82</f>
        <v>4077725625.5773635</v>
      </c>
      <c r="O99" s="2">
        <f>O11/'Output-Calculation-sheet'!O10*'Output-Calculation-sheet'!O82</f>
        <v>3239010609.1831803</v>
      </c>
      <c r="P99" s="2">
        <f>P11/'Output-Calculation-sheet'!P10*'Output-Calculation-sheet'!P82</f>
        <v>6538340665.8126783</v>
      </c>
      <c r="Q99" s="2">
        <f>Q11/'Output-Calculation-sheet'!Q10*'Output-Calculation-sheet'!Q82</f>
        <v>3743281681.9214101</v>
      </c>
      <c r="R99" s="2">
        <f>R11/'Output-Calculation-sheet'!R10*'Output-Calculation-sheet'!R82</f>
        <v>4897911546.9984236</v>
      </c>
      <c r="S99" s="2">
        <f>S11/'Output-Calculation-sheet'!S10*'Output-Calculation-sheet'!S82</f>
        <v>3102507618.8148222</v>
      </c>
      <c r="T99" s="2">
        <f>T11/'Output-Calculation-sheet'!T10*'Output-Calculation-sheet'!T82</f>
        <v>1935294780.4182508</v>
      </c>
      <c r="U99" s="2">
        <f>U11/'Output-Calculation-sheet'!U10*'Output-Calculation-sheet'!U82</f>
        <v>1820361974.3161299</v>
      </c>
      <c r="V99" s="2">
        <f>V11/'Output-Calculation-sheet'!V10*'Output-Calculation-sheet'!V82</f>
        <v>1192200518.6208637</v>
      </c>
      <c r="W99" s="2">
        <f>W11/'Output-Calculation-sheet'!W10*'Output-Calculation-sheet'!W82</f>
        <v>1337790276.8269215</v>
      </c>
      <c r="X99" s="2">
        <f>X11/'Output-Calculation-sheet'!X10*'Output-Calculation-sheet'!X82</f>
        <v>644279997.06383526</v>
      </c>
      <c r="Y99" s="2">
        <f>Y11/'Output-Calculation-sheet'!Y10*'Output-Calculation-sheet'!Y82</f>
        <v>695095116.59830272</v>
      </c>
      <c r="AA99" s="2">
        <f t="shared" si="8"/>
        <v>213.73305243902655</v>
      </c>
    </row>
    <row r="100" spans="1:27" x14ac:dyDescent="0.25">
      <c r="A100" s="2">
        <v>2035</v>
      </c>
      <c r="B100" s="2">
        <f>B12/'Output-Calculation-sheet'!B11*'Output-Calculation-sheet'!B83</f>
        <v>69824700758.153503</v>
      </c>
      <c r="C100" s="2">
        <f>C12/'Output-Calculation-sheet'!C11*'Output-Calculation-sheet'!C83</f>
        <v>29034366544.642567</v>
      </c>
      <c r="D100" s="2">
        <f>D12/'Output-Calculation-sheet'!D11*'Output-Calculation-sheet'!D83</f>
        <v>22487583795.266556</v>
      </c>
      <c r="E100" s="2">
        <f>E12/'Output-Calculation-sheet'!E11*'Output-Calculation-sheet'!E83</f>
        <v>26945549696.29517</v>
      </c>
      <c r="F100" s="2">
        <f>F12/'Output-Calculation-sheet'!F11*'Output-Calculation-sheet'!F83</f>
        <v>16125559031.825178</v>
      </c>
      <c r="G100" s="2">
        <f>G12/'Output-Calculation-sheet'!G11*'Output-Calculation-sheet'!G83</f>
        <v>7721096272.4128046</v>
      </c>
      <c r="H100" s="2">
        <f>H12/'Output-Calculation-sheet'!H11*'Output-Calculation-sheet'!H83</f>
        <v>10363359160.17951</v>
      </c>
      <c r="I100" s="2">
        <f>I12/'Output-Calculation-sheet'!I11*'Output-Calculation-sheet'!I83</f>
        <v>9828228598.8034973</v>
      </c>
      <c r="J100" s="2">
        <f>J12/'Output-Calculation-sheet'!J11*'Output-Calculation-sheet'!J83</f>
        <v>5803217670.0179958</v>
      </c>
      <c r="K100" s="2">
        <f>K12/'Output-Calculation-sheet'!K11*'Output-Calculation-sheet'!K83</f>
        <v>9435817431.6000557</v>
      </c>
      <c r="L100" s="2">
        <f>L12/'Output-Calculation-sheet'!L11*'Output-Calculation-sheet'!L83</f>
        <v>6941094109.0534515</v>
      </c>
      <c r="M100" s="2">
        <f>M12/'Output-Calculation-sheet'!M11*'Output-Calculation-sheet'!M83</f>
        <v>6940695850.4656172</v>
      </c>
      <c r="N100" s="2">
        <f>N12/'Output-Calculation-sheet'!N11*'Output-Calculation-sheet'!N83</f>
        <v>5035278091.9388018</v>
      </c>
      <c r="O100" s="2">
        <f>O12/'Output-Calculation-sheet'!O11*'Output-Calculation-sheet'!O83</f>
        <v>4011573522.9377604</v>
      </c>
      <c r="P100" s="2">
        <f>P12/'Output-Calculation-sheet'!P11*'Output-Calculation-sheet'!P83</f>
        <v>7958120782.2666655</v>
      </c>
      <c r="Q100" s="2">
        <f>Q12/'Output-Calculation-sheet'!Q11*'Output-Calculation-sheet'!Q83</f>
        <v>4633090259.0708418</v>
      </c>
      <c r="R100" s="2">
        <f>R12/'Output-Calculation-sheet'!R11*'Output-Calculation-sheet'!R83</f>
        <v>6020406495.1951733</v>
      </c>
      <c r="S100" s="2">
        <f>S12/'Output-Calculation-sheet'!S11*'Output-Calculation-sheet'!S83</f>
        <v>3820661356.4813814</v>
      </c>
      <c r="T100" s="2">
        <f>T12/'Output-Calculation-sheet'!T11*'Output-Calculation-sheet'!T83</f>
        <v>2362747624.1405749</v>
      </c>
      <c r="U100" s="2">
        <f>U12/'Output-Calculation-sheet'!U11*'Output-Calculation-sheet'!U83</f>
        <v>2229513526.4762421</v>
      </c>
      <c r="V100" s="2">
        <f>V12/'Output-Calculation-sheet'!V11*'Output-Calculation-sheet'!V83</f>
        <v>1468021691.9458652</v>
      </c>
      <c r="W100" s="2">
        <f>W12/'Output-Calculation-sheet'!W11*'Output-Calculation-sheet'!W83</f>
        <v>1615585818.7085006</v>
      </c>
      <c r="X100" s="2">
        <f>X12/'Output-Calculation-sheet'!X11*'Output-Calculation-sheet'!X83</f>
        <v>790993655.89542603</v>
      </c>
      <c r="Y100" s="2">
        <f>Y12/'Output-Calculation-sheet'!Y11*'Output-Calculation-sheet'!Y83</f>
        <v>843899818.45921314</v>
      </c>
      <c r="AA100" s="2">
        <f t="shared" si="8"/>
        <v>262.24116156223232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1663659477.1667097</v>
      </c>
      <c r="C107" s="2">
        <f>C8/'Output-Calculation-sheet'!C7*'Output-Calculation-sheet'!C88</f>
        <v>27398676773.856842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8548530233.66957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5897773237.4974718</v>
      </c>
      <c r="N107" s="2">
        <f>N8/'Output-Calculation-sheet'!N7*'Output-Calculation-sheet'!N88</f>
        <v>1974092931.4215581</v>
      </c>
      <c r="O107" s="2">
        <f>O8/'Output-Calculation-sheet'!O7*'Output-Calculation-sheet'!O88</f>
        <v>5323587911.4097691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591895423.09035277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638730729.26208675</v>
      </c>
      <c r="Y107" s="2">
        <f>Y8/'Output-Calculation-sheet'!Y7*'Output-Calculation-sheet'!Y88</f>
        <v>0</v>
      </c>
      <c r="AA107" s="2">
        <f t="shared" si="9"/>
        <v>52036.946717374361</v>
      </c>
    </row>
    <row r="108" spans="1:27" x14ac:dyDescent="0.25">
      <c r="A108" s="2">
        <v>2032</v>
      </c>
      <c r="B108" s="2">
        <f>B9/'Output-Calculation-sheet'!B8*'Output-Calculation-sheet'!B89</f>
        <v>7835779066.2848663</v>
      </c>
      <c r="C108" s="2">
        <f>C9/'Output-Calculation-sheet'!C8*'Output-Calculation-sheet'!C89</f>
        <v>39280153624.860161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12255136604.831602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8454978635.2425566</v>
      </c>
      <c r="N108" s="2">
        <f>N9/'Output-Calculation-sheet'!N8*'Output-Calculation-sheet'!N89</f>
        <v>3966979590.0712376</v>
      </c>
      <c r="O108" s="2">
        <f>O9/'Output-Calculation-sheet'!O8*'Output-Calculation-sheet'!O89</f>
        <v>7632167259.7377758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1198696388.0562189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915699458.96213472</v>
      </c>
      <c r="Y108" s="2">
        <f>Y9/'Output-Calculation-sheet'!Y8*'Output-Calculation-sheet'!Y89</f>
        <v>0</v>
      </c>
      <c r="AA108" s="2">
        <f t="shared" si="9"/>
        <v>81539.590628046542</v>
      </c>
    </row>
    <row r="109" spans="1:27" x14ac:dyDescent="0.25">
      <c r="A109" s="2">
        <v>2033</v>
      </c>
      <c r="B109" s="2">
        <f>B10/'Output-Calculation-sheet'!B9*'Output-Calculation-sheet'!B90</f>
        <v>22091922600.852509</v>
      </c>
      <c r="C109" s="2">
        <f>C10/'Output-Calculation-sheet'!C9*'Output-Calculation-sheet'!C90</f>
        <v>52211515537.823807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16289627297.849215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11238427254.49538</v>
      </c>
      <c r="N109" s="2">
        <f>N10/'Output-Calculation-sheet'!N9*'Output-Calculation-sheet'!N90</f>
        <v>6621026050.3509283</v>
      </c>
      <c r="O109" s="2">
        <f>O10/'Output-Calculation-sheet'!O9*'Output-Calculation-sheet'!O90</f>
        <v>9672740614.5389576</v>
      </c>
      <c r="P109" s="2">
        <f>P10/'Output-Calculation-sheet'!P9*'Output-Calculation-sheet'!P90</f>
        <v>0</v>
      </c>
      <c r="Q109" s="2">
        <f>Q10/'Output-Calculation-sheet'!Q9*'Output-Calculation-sheet'!Q90</f>
        <v>215511012.28572643</v>
      </c>
      <c r="R109" s="2">
        <f>R10/'Output-Calculation-sheet'!R9*'Output-Calculation-sheet'!R90</f>
        <v>0</v>
      </c>
      <c r="S109" s="2">
        <f>S10/'Output-Calculation-sheet'!S9*'Output-Calculation-sheet'!S90</f>
        <v>2669238516.8453569</v>
      </c>
      <c r="T109" s="2">
        <f>T10/'Output-Calculation-sheet'!T9*'Output-Calculation-sheet'!T90</f>
        <v>-4.4361687406149977E-7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1217155673.9982302</v>
      </c>
      <c r="Y109" s="2">
        <f>Y10/'Output-Calculation-sheet'!Y9*'Output-Calculation-sheet'!Y90</f>
        <v>0</v>
      </c>
      <c r="AA109" s="2">
        <f t="shared" si="9"/>
        <v>122227.16455904009</v>
      </c>
    </row>
    <row r="110" spans="1:27" x14ac:dyDescent="0.25">
      <c r="A110" s="2">
        <v>2034</v>
      </c>
      <c r="B110" s="2">
        <f>B11/'Output-Calculation-sheet'!B10*'Output-Calculation-sheet'!B91</f>
        <v>55169425459.225792</v>
      </c>
      <c r="C110" s="2">
        <f>C11/'Output-Calculation-sheet'!C10*'Output-Calculation-sheet'!C91</f>
        <v>61112746548.248352</v>
      </c>
      <c r="D110" s="2">
        <f>D11/'Output-Calculation-sheet'!D10*'Output-Calculation-sheet'!D91</f>
        <v>0</v>
      </c>
      <c r="E110" s="2">
        <f>E11/'Output-Calculation-sheet'!E10*'Output-Calculation-sheet'!E91</f>
        <v>1154584704.5220418</v>
      </c>
      <c r="F110" s="2">
        <f>F11/'Output-Calculation-sheet'!F10*'Output-Calculation-sheet'!F91</f>
        <v>0</v>
      </c>
      <c r="G110" s="2">
        <f>G11/'Output-Calculation-sheet'!G10*'Output-Calculation-sheet'!G91</f>
        <v>-2.6026993608368066E-6</v>
      </c>
      <c r="H110" s="2">
        <f>H11/'Output-Calculation-sheet'!H10*'Output-Calculation-sheet'!H91</f>
        <v>20591950157.010475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937457104.15117645</v>
      </c>
      <c r="M110" s="2">
        <f>M11/'Output-Calculation-sheet'!M10*'Output-Calculation-sheet'!M91</f>
        <v>14206653779.946247</v>
      </c>
      <c r="N110" s="2">
        <f>N11/'Output-Calculation-sheet'!N10*'Output-Calculation-sheet'!N91</f>
        <v>9827308289.0994473</v>
      </c>
      <c r="O110" s="2">
        <f>O11/'Output-Calculation-sheet'!O10*'Output-Calculation-sheet'!O91</f>
        <v>11266508130.901108</v>
      </c>
      <c r="P110" s="2">
        <f>P11/'Output-Calculation-sheet'!P10*'Output-Calculation-sheet'!P91</f>
        <v>1.0488495316017614E-6</v>
      </c>
      <c r="Q110" s="2">
        <f>Q11/'Output-Calculation-sheet'!Q10*'Output-Calculation-sheet'!Q91</f>
        <v>2500980861.7426338</v>
      </c>
      <c r="R110" s="2">
        <f>R11/'Output-Calculation-sheet'!R10*'Output-Calculation-sheet'!R91</f>
        <v>0</v>
      </c>
      <c r="S110" s="2">
        <f>S11/'Output-Calculation-sheet'!S10*'Output-Calculation-sheet'!S91</f>
        <v>4831737189.7851591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1402398899.5116329</v>
      </c>
      <c r="Y110" s="2">
        <f>Y11/'Output-Calculation-sheet'!Y10*'Output-Calculation-sheet'!Y91</f>
        <v>61608251.913338087</v>
      </c>
      <c r="AA110" s="2">
        <f t="shared" si="9"/>
        <v>183063.35937605743</v>
      </c>
    </row>
    <row r="111" spans="1:27" x14ac:dyDescent="0.25">
      <c r="A111" s="2">
        <v>2035</v>
      </c>
      <c r="B111" s="2">
        <f>B12/'Output-Calculation-sheet'!B11*'Output-Calculation-sheet'!B92</f>
        <v>83977699666.101593</v>
      </c>
      <c r="C111" s="2">
        <f>C12/'Output-Calculation-sheet'!C11*'Output-Calculation-sheet'!C92</f>
        <v>70558887042.300354</v>
      </c>
      <c r="D111" s="2">
        <f>D12/'Output-Calculation-sheet'!D11*'Output-Calculation-sheet'!D92</f>
        <v>0</v>
      </c>
      <c r="E111" s="2">
        <f>E12/'Output-Calculation-sheet'!E11*'Output-Calculation-sheet'!E92</f>
        <v>9544103945.0465736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23950529734.602261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3072378782.1914387</v>
      </c>
      <c r="M111" s="2">
        <f>M12/'Output-Calculation-sheet'!M11*'Output-Calculation-sheet'!M92</f>
        <v>16580592736.769541</v>
      </c>
      <c r="N111" s="2">
        <f>N12/'Output-Calculation-sheet'!N11*'Output-Calculation-sheet'!N92</f>
        <v>11888309241.391802</v>
      </c>
      <c r="O111" s="2">
        <f>O12/'Output-Calculation-sheet'!O11*'Output-Calculation-sheet'!O92</f>
        <v>12670906535.220444</v>
      </c>
      <c r="P111" s="2">
        <f>P12/'Output-Calculation-sheet'!P11*'Output-Calculation-sheet'!P92</f>
        <v>652071119.90832269</v>
      </c>
      <c r="Q111" s="2">
        <f>Q12/'Output-Calculation-sheet'!Q11*'Output-Calculation-sheet'!Q92</f>
        <v>5107468288.522049</v>
      </c>
      <c r="R111" s="2">
        <f>R12/'Output-Calculation-sheet'!R11*'Output-Calculation-sheet'!R92</f>
        <v>0</v>
      </c>
      <c r="S111" s="2">
        <f>S12/'Output-Calculation-sheet'!S11*'Output-Calculation-sheet'!S92</f>
        <v>6394215532.2336245</v>
      </c>
      <c r="T111" s="2">
        <f>T12/'Output-Calculation-sheet'!T11*'Output-Calculation-sheet'!T92</f>
        <v>0</v>
      </c>
      <c r="U111" s="2">
        <f>U12/'Output-Calculation-sheet'!U11*'Output-Calculation-sheet'!U92</f>
        <v>227114522.25989053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1629132144.2880564</v>
      </c>
      <c r="Y111" s="2">
        <f>Y12/'Output-Calculation-sheet'!Y11*'Output-Calculation-sheet'!Y92</f>
        <v>385438288.0135327</v>
      </c>
      <c r="AA111" s="2">
        <f t="shared" si="9"/>
        <v>246638.84757884947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56490003586.174782</v>
      </c>
      <c r="C118" s="2">
        <f>C8/'Output-Calculation-sheet'!C7*'Output-Calculation-sheet'!C97</f>
        <v>0</v>
      </c>
      <c r="D118" s="2">
        <f>D8/'Output-Calculation-sheet'!D7*'Output-Calculation-sheet'!D97</f>
        <v>24425208586.777317</v>
      </c>
      <c r="E118" s="2">
        <f>E8/'Output-Calculation-sheet'!E7*'Output-Calculation-sheet'!E97</f>
        <v>19378924421.638519</v>
      </c>
      <c r="F118" s="2">
        <f>F8/'Output-Calculation-sheet'!F7*'Output-Calculation-sheet'!F97</f>
        <v>12474909056.179579</v>
      </c>
      <c r="G118" s="2">
        <f>G8/'Output-Calculation-sheet'!G7*'Output-Calculation-sheet'!G97</f>
        <v>8765213467.5099926</v>
      </c>
      <c r="H118" s="2">
        <f>H8/'Output-Calculation-sheet'!H7*'Output-Calculation-sheet'!H97</f>
        <v>0</v>
      </c>
      <c r="I118" s="2">
        <f>I8/'Output-Calculation-sheet'!I7*'Output-Calculation-sheet'!I97</f>
        <v>7985799441.9733725</v>
      </c>
      <c r="J118" s="2">
        <f>J8/'Output-Calculation-sheet'!J7*'Output-Calculation-sheet'!J97</f>
        <v>7772827148.4636946</v>
      </c>
      <c r="K118" s="2">
        <f>K8/'Output-Calculation-sheet'!K7*'Output-Calculation-sheet'!K97</f>
        <v>7698309148.3849058</v>
      </c>
      <c r="L118" s="2">
        <f>L8/'Output-Calculation-sheet'!L7*'Output-Calculation-sheet'!L97</f>
        <v>6175683698.1889868</v>
      </c>
      <c r="M118" s="2">
        <f>M8/'Output-Calculation-sheet'!M7*'Output-Calculation-sheet'!M97</f>
        <v>0</v>
      </c>
      <c r="N118" s="2">
        <f>N8/'Output-Calculation-sheet'!N7*'Output-Calculation-sheet'!N97</f>
        <v>3815560403.5277629</v>
      </c>
      <c r="O118" s="2">
        <f>O8/'Output-Calculation-sheet'!O7*'Output-Calculation-sheet'!O97</f>
        <v>0</v>
      </c>
      <c r="P118" s="2">
        <f>P8/'Output-Calculation-sheet'!P7*'Output-Calculation-sheet'!P97</f>
        <v>5270627631.7024298</v>
      </c>
      <c r="Q118" s="2">
        <f>Q8/'Output-Calculation-sheet'!Q7*'Output-Calculation-sheet'!Q97</f>
        <v>5185444788.1259518</v>
      </c>
      <c r="R118" s="2">
        <f>R8/'Output-Calculation-sheet'!R7*'Output-Calculation-sheet'!R97</f>
        <v>4988636366.2094669</v>
      </c>
      <c r="S118" s="2">
        <f>S8/'Output-Calculation-sheet'!S7*'Output-Calculation-sheet'!S97</f>
        <v>2723808762.4371734</v>
      </c>
      <c r="T118" s="2">
        <f>T8/'Output-Calculation-sheet'!T7*'Output-Calculation-sheet'!T97</f>
        <v>1833780190.6336088</v>
      </c>
      <c r="U118" s="2">
        <f>U8/'Output-Calculation-sheet'!U7*'Output-Calculation-sheet'!U97</f>
        <v>1597159574.801614</v>
      </c>
      <c r="V118" s="2">
        <f>V8/'Output-Calculation-sheet'!V7*'Output-Calculation-sheet'!V97</f>
        <v>1229845299.0703626</v>
      </c>
      <c r="W118" s="2">
        <f>W8/'Output-Calculation-sheet'!W7*'Output-Calculation-sheet'!W97</f>
        <v>1064773049.5416402</v>
      </c>
      <c r="X118" s="2">
        <f>X8/'Output-Calculation-sheet'!X7*'Output-Calculation-sheet'!X97</f>
        <v>0</v>
      </c>
      <c r="Y118" s="2">
        <f>Y8/'Output-Calculation-sheet'!Y7*'Output-Calculation-sheet'!Y97</f>
        <v>621288928.77835572</v>
      </c>
      <c r="AA118" s="2">
        <f t="shared" si="10"/>
        <v>179497.80355011951</v>
      </c>
    </row>
    <row r="119" spans="1:27" x14ac:dyDescent="0.25">
      <c r="A119" s="2">
        <v>2032</v>
      </c>
      <c r="B119" s="2">
        <f>B9/'Output-Calculation-sheet'!B8*'Output-Calculation-sheet'!B98</f>
        <v>75532482955.636887</v>
      </c>
      <c r="C119" s="2">
        <f>C9/'Output-Calculation-sheet'!C8*'Output-Calculation-sheet'!C98</f>
        <v>0</v>
      </c>
      <c r="D119" s="2">
        <f>D9/'Output-Calculation-sheet'!D8*'Output-Calculation-sheet'!D98</f>
        <v>35015633341.656822</v>
      </c>
      <c r="E119" s="2">
        <f>E9/'Output-Calculation-sheet'!E8*'Output-Calculation-sheet'!E98</f>
        <v>27781345259.90715</v>
      </c>
      <c r="F119" s="2">
        <f>F9/'Output-Calculation-sheet'!F8*'Output-Calculation-sheet'!F98</f>
        <v>17883854404.662937</v>
      </c>
      <c r="G119" s="2">
        <f>G9/'Output-Calculation-sheet'!G8*'Output-Calculation-sheet'!G98</f>
        <v>12565686955.048958</v>
      </c>
      <c r="H119" s="2">
        <f>H9/'Output-Calculation-sheet'!H8*'Output-Calculation-sheet'!H98</f>
        <v>0</v>
      </c>
      <c r="I119" s="2">
        <f>I9/'Output-Calculation-sheet'!I8*'Output-Calculation-sheet'!I98</f>
        <v>11448330812.049288</v>
      </c>
      <c r="J119" s="2">
        <f>J9/'Output-Calculation-sheet'!J8*'Output-Calculation-sheet'!J98</f>
        <v>11143012372.630447</v>
      </c>
      <c r="K119" s="2">
        <f>K9/'Output-Calculation-sheet'!K8*'Output-Calculation-sheet'!K98</f>
        <v>11036186178.767832</v>
      </c>
      <c r="L119" s="2">
        <f>L9/'Output-Calculation-sheet'!L8*'Output-Calculation-sheet'!L98</f>
        <v>8853374124.1774426</v>
      </c>
      <c r="M119" s="2">
        <f>M9/'Output-Calculation-sheet'!M8*'Output-Calculation-sheet'!M98</f>
        <v>0</v>
      </c>
      <c r="N119" s="2">
        <f>N9/'Output-Calculation-sheet'!N8*'Output-Calculation-sheet'!N98</f>
        <v>4332293641.1150942</v>
      </c>
      <c r="O119" s="2">
        <f>O9/'Output-Calculation-sheet'!O8*'Output-Calculation-sheet'!O98</f>
        <v>7.7745452693014347E-7</v>
      </c>
      <c r="P119" s="2">
        <f>P9/'Output-Calculation-sheet'!P8*'Output-Calculation-sheet'!P98</f>
        <v>7555847262.7939215</v>
      </c>
      <c r="Q119" s="2">
        <f>Q9/'Output-Calculation-sheet'!Q8*'Output-Calculation-sheet'!Q98</f>
        <v>7433780241.5099421</v>
      </c>
      <c r="R119" s="2">
        <f>R9/'Output-Calculation-sheet'!R8*'Output-Calculation-sheet'!R98</f>
        <v>7151639049.5577135</v>
      </c>
      <c r="S119" s="2">
        <f>S9/'Output-Calculation-sheet'!S8*'Output-Calculation-sheet'!S98</f>
        <v>3554395508.865696</v>
      </c>
      <c r="T119" s="2">
        <f>T9/'Output-Calculation-sheet'!T8*'Output-Calculation-sheet'!T98</f>
        <v>2628880915.6422253</v>
      </c>
      <c r="U119" s="2">
        <f>U9/'Output-Calculation-sheet'!U8*'Output-Calculation-sheet'!U98</f>
        <v>2289665902.2591457</v>
      </c>
      <c r="V119" s="2">
        <f>V9/'Output-Calculation-sheet'!V8*'Output-Calculation-sheet'!V98</f>
        <v>1763088538.346395</v>
      </c>
      <c r="W119" s="2">
        <f>W9/'Output-Calculation-sheet'!W8*'Output-Calculation-sheet'!W98</f>
        <v>1526443694.9792416</v>
      </c>
      <c r="X119" s="2">
        <f>X9/'Output-Calculation-sheet'!X8*'Output-Calculation-sheet'!X98</f>
        <v>0</v>
      </c>
      <c r="Y119" s="2">
        <f>Y9/'Output-Calculation-sheet'!Y8*'Output-Calculation-sheet'!Y98</f>
        <v>890670737.74366331</v>
      </c>
      <c r="AA119" s="2">
        <f t="shared" si="10"/>
        <v>250386.61189735073</v>
      </c>
    </row>
    <row r="120" spans="1:27" x14ac:dyDescent="0.25">
      <c r="A120" s="2">
        <v>2033</v>
      </c>
      <c r="B120" s="2">
        <f>B10/'Output-Calculation-sheet'!B9*'Output-Calculation-sheet'!B99</f>
        <v>88711810845.360291</v>
      </c>
      <c r="C120" s="2">
        <f>C10/'Output-Calculation-sheet'!C9*'Output-Calculation-sheet'!C99</f>
        <v>0</v>
      </c>
      <c r="D120" s="2">
        <f>D10/'Output-Calculation-sheet'!D9*'Output-Calculation-sheet'!D99</f>
        <v>46541670421.808517</v>
      </c>
      <c r="E120" s="2">
        <f>E10/'Output-Calculation-sheet'!E9*'Output-Calculation-sheet'!E99</f>
        <v>36926087769.127831</v>
      </c>
      <c r="F120" s="2">
        <f>F10/'Output-Calculation-sheet'!F9*'Output-Calculation-sheet'!F99</f>
        <v>23770647776.8195</v>
      </c>
      <c r="G120" s="2">
        <f>G10/'Output-Calculation-sheet'!G9*'Output-Calculation-sheet'!G99</f>
        <v>16701909495.813435</v>
      </c>
      <c r="H120" s="2">
        <f>H10/'Output-Calculation-sheet'!H9*'Output-Calculation-sheet'!H99</f>
        <v>0</v>
      </c>
      <c r="I120" s="2">
        <f>I10/'Output-Calculation-sheet'!I9*'Output-Calculation-sheet'!I99</f>
        <v>15216756234.674049</v>
      </c>
      <c r="J120" s="2">
        <f>J10/'Output-Calculation-sheet'!J9*'Output-Calculation-sheet'!J99</f>
        <v>14810936675.852633</v>
      </c>
      <c r="K120" s="2">
        <f>K10/'Output-Calculation-sheet'!K9*'Output-Calculation-sheet'!K99</f>
        <v>14668948239.961473</v>
      </c>
      <c r="L120" s="2">
        <f>L10/'Output-Calculation-sheet'!L9*'Output-Calculation-sheet'!L99</f>
        <v>11767622544.038103</v>
      </c>
      <c r="M120" s="2">
        <f>M10/'Output-Calculation-sheet'!M9*'Output-Calculation-sheet'!M99</f>
        <v>0</v>
      </c>
      <c r="N120" s="2">
        <f>N10/'Output-Calculation-sheet'!N9*'Output-Calculation-sheet'!N99</f>
        <v>4409453446.9954166</v>
      </c>
      <c r="O120" s="2">
        <f>O10/'Output-Calculation-sheet'!O9*'Output-Calculation-sheet'!O99</f>
        <v>0</v>
      </c>
      <c r="P120" s="2">
        <f>P10/'Output-Calculation-sheet'!P9*'Output-Calculation-sheet'!P99</f>
        <v>10042464092.149879</v>
      </c>
      <c r="Q120" s="2">
        <f>Q10/'Output-Calculation-sheet'!Q9*'Output-Calculation-sheet'!Q99</f>
        <v>9665136038.9328938</v>
      </c>
      <c r="R120" s="2">
        <f>R10/'Output-Calculation-sheet'!R9*'Output-Calculation-sheet'!R99</f>
        <v>9505279362.0174084</v>
      </c>
      <c r="S120" s="2">
        <f>S10/'Output-Calculation-sheet'!S9*'Output-Calculation-sheet'!S99</f>
        <v>3647997754.1004381</v>
      </c>
      <c r="T120" s="2">
        <f>T10/'Output-Calculation-sheet'!T9*'Output-Calculation-sheet'!T99</f>
        <v>3494194622.5629902</v>
      </c>
      <c r="U120" s="2">
        <f>U10/'Output-Calculation-sheet'!U9*'Output-Calculation-sheet'!U99</f>
        <v>3044012337.1421027</v>
      </c>
      <c r="V120" s="2">
        <f>V10/'Output-Calculation-sheet'!V9*'Output-Calculation-sheet'!V99</f>
        <v>2343441179.4554262</v>
      </c>
      <c r="W120" s="2">
        <f>W10/'Output-Calculation-sheet'!W9*'Output-Calculation-sheet'!W99</f>
        <v>2028900703.4288266</v>
      </c>
      <c r="X120" s="2">
        <f>X10/'Output-Calculation-sheet'!X9*'Output-Calculation-sheet'!X99</f>
        <v>0</v>
      </c>
      <c r="Y120" s="2">
        <f>Y10/'Output-Calculation-sheet'!Y9*'Output-Calculation-sheet'!Y99</f>
        <v>1183852921.1478219</v>
      </c>
      <c r="AA120" s="2">
        <f t="shared" si="10"/>
        <v>318481.12246138911</v>
      </c>
    </row>
    <row r="121" spans="1:27" x14ac:dyDescent="0.25">
      <c r="A121" s="2">
        <v>2034</v>
      </c>
      <c r="B121" s="2">
        <f>B11/'Output-Calculation-sheet'!B10*'Output-Calculation-sheet'!B100</f>
        <v>84886927264.192566</v>
      </c>
      <c r="C121" s="2">
        <f>C11/'Output-Calculation-sheet'!C10*'Output-Calculation-sheet'!C100</f>
        <v>0</v>
      </c>
      <c r="D121" s="2">
        <f>D11/'Output-Calculation-sheet'!D10*'Output-Calculation-sheet'!D100</f>
        <v>58832717179.673676</v>
      </c>
      <c r="E121" s="2">
        <f>E11/'Output-Calculation-sheet'!E10*'Output-Calculation-sheet'!E100</f>
        <v>45521225755.553284</v>
      </c>
      <c r="F121" s="2">
        <f>F11/'Output-Calculation-sheet'!F10*'Output-Calculation-sheet'!F100</f>
        <v>30048003235.583385</v>
      </c>
      <c r="G121" s="2">
        <f>G11/'Output-Calculation-sheet'!G10*'Output-Calculation-sheet'!G100</f>
        <v>21111516925.998058</v>
      </c>
      <c r="H121" s="2">
        <f>H11/'Output-Calculation-sheet'!H10*'Output-Calculation-sheet'!H100</f>
        <v>2.5415889114597829E-7</v>
      </c>
      <c r="I121" s="2">
        <f>I11/'Output-Calculation-sheet'!I10*'Output-Calculation-sheet'!I100</f>
        <v>19234622236.119797</v>
      </c>
      <c r="J121" s="2">
        <f>J11/'Output-Calculation-sheet'!J10*'Output-Calculation-sheet'!J100</f>
        <v>18721826815.957554</v>
      </c>
      <c r="K121" s="2">
        <f>K11/'Output-Calculation-sheet'!K10*'Output-Calculation-sheet'!K100</f>
        <v>18542833333.194157</v>
      </c>
      <c r="L121" s="2">
        <f>L11/'Output-Calculation-sheet'!L10*'Output-Calculation-sheet'!L100</f>
        <v>13937393773.550018</v>
      </c>
      <c r="M121" s="2">
        <f>M11/'Output-Calculation-sheet'!M10*'Output-Calculation-sheet'!M100</f>
        <v>-1.650559274350795E-7</v>
      </c>
      <c r="N121" s="2">
        <f>N11/'Output-Calculation-sheet'!N10*'Output-Calculation-sheet'!N100</f>
        <v>4116477759.3677306</v>
      </c>
      <c r="O121" s="2">
        <f>O11/'Output-Calculation-sheet'!O10*'Output-Calculation-sheet'!O100</f>
        <v>0</v>
      </c>
      <c r="P121" s="2">
        <f>P11/'Output-Calculation-sheet'!P10*'Output-Calculation-sheet'!P100</f>
        <v>12694024551.183254</v>
      </c>
      <c r="Q121" s="2">
        <f>Q11/'Output-Calculation-sheet'!Q10*'Output-Calculation-sheet'!Q100</f>
        <v>9987994439.0775547</v>
      </c>
      <c r="R121" s="2">
        <f>R11/'Output-Calculation-sheet'!R10*'Output-Calculation-sheet'!R100</f>
        <v>12014980651.404175</v>
      </c>
      <c r="S121" s="2">
        <f>S11/'Output-Calculation-sheet'!S10*'Output-Calculation-sheet'!S100</f>
        <v>3153733114.7628231</v>
      </c>
      <c r="T121" s="2">
        <f>T11/'Output-Calculation-sheet'!T10*'Output-Calculation-sheet'!T100</f>
        <v>4416701858.7210913</v>
      </c>
      <c r="U121" s="2">
        <f>U11/'Output-Calculation-sheet'!U10*'Output-Calculation-sheet'!U100</f>
        <v>3849132669.0750256</v>
      </c>
      <c r="V121" s="2">
        <f>V11/'Output-Calculation-sheet'!V10*'Output-Calculation-sheet'!V100</f>
        <v>2962313801.4960642</v>
      </c>
      <c r="W121" s="2">
        <f>W11/'Output-Calculation-sheet'!W10*'Output-Calculation-sheet'!W100</f>
        <v>2564783035.0729847</v>
      </c>
      <c r="X121" s="2">
        <f>X11/'Output-Calculation-sheet'!X10*'Output-Calculation-sheet'!X100</f>
        <v>136225225.42848596</v>
      </c>
      <c r="Y121" s="2">
        <f>Y11/'Output-Calculation-sheet'!Y10*'Output-Calculation-sheet'!Y100</f>
        <v>1434857553.8210506</v>
      </c>
      <c r="AA121" s="2">
        <f t="shared" si="10"/>
        <v>368168.29117923271</v>
      </c>
    </row>
    <row r="122" spans="1:27" x14ac:dyDescent="0.25">
      <c r="A122" s="2">
        <v>2035</v>
      </c>
      <c r="B122" s="2">
        <f>B12/'Output-Calculation-sheet'!B11*'Output-Calculation-sheet'!B101</f>
        <v>82217775467.536621</v>
      </c>
      <c r="C122" s="2">
        <f>C12/'Output-Calculation-sheet'!C11*'Output-Calculation-sheet'!C101</f>
        <v>0</v>
      </c>
      <c r="D122" s="2">
        <f>D12/'Output-Calculation-sheet'!D11*'Output-Calculation-sheet'!D101</f>
        <v>68911056946.285583</v>
      </c>
      <c r="E122" s="2">
        <f>E12/'Output-Calculation-sheet'!E11*'Output-Calculation-sheet'!E101</f>
        <v>46401618434.369789</v>
      </c>
      <c r="F122" s="2">
        <f>F12/'Output-Calculation-sheet'!F11*'Output-Calculation-sheet'!F101</f>
        <v>35920039182.887543</v>
      </c>
      <c r="G122" s="2">
        <f>G12/'Output-Calculation-sheet'!G11*'Output-Calculation-sheet'!G101</f>
        <v>24478006624.108475</v>
      </c>
      <c r="H122" s="2">
        <f>H12/'Output-Calculation-sheet'!H11*'Output-Calculation-sheet'!H101</f>
        <v>0</v>
      </c>
      <c r="I122" s="2">
        <f>I12/'Output-Calculation-sheet'!I11*'Output-Calculation-sheet'!I101</f>
        <v>22920812863.391014</v>
      </c>
      <c r="J122" s="2">
        <f>J12/'Output-Calculation-sheet'!J11*'Output-Calculation-sheet'!J101</f>
        <v>21906957533.686924</v>
      </c>
      <c r="K122" s="2">
        <f>K12/'Output-Calculation-sheet'!K11*'Output-Calculation-sheet'!K101</f>
        <v>22120343669.251846</v>
      </c>
      <c r="L122" s="2">
        <f>L12/'Output-Calculation-sheet'!L11*'Output-Calculation-sheet'!L101</f>
        <v>14721871200.201733</v>
      </c>
      <c r="M122" s="2">
        <f>M12/'Output-Calculation-sheet'!M11*'Output-Calculation-sheet'!M101</f>
        <v>0</v>
      </c>
      <c r="N122" s="2">
        <f>N12/'Output-Calculation-sheet'!N11*'Output-Calculation-sheet'!N101</f>
        <v>4337239142.238554</v>
      </c>
      <c r="O122" s="2">
        <f>O12/'Output-Calculation-sheet'!O11*'Output-Calculation-sheet'!O101</f>
        <v>0</v>
      </c>
      <c r="P122" s="2">
        <f>P12/'Output-Calculation-sheet'!P11*'Output-Calculation-sheet'!P101</f>
        <v>14516776155.502937</v>
      </c>
      <c r="Q122" s="2">
        <f>Q12/'Output-Calculation-sheet'!Q11*'Output-Calculation-sheet'!Q101</f>
        <v>9455298852.4698029</v>
      </c>
      <c r="R122" s="2">
        <f>R12/'Output-Calculation-sheet'!R11*'Output-Calculation-sheet'!R101</f>
        <v>14321641693.081339</v>
      </c>
      <c r="S122" s="2">
        <f>S12/'Output-Calculation-sheet'!S11*'Output-Calculation-sheet'!S101</f>
        <v>3011444742.4363322</v>
      </c>
      <c r="T122" s="2">
        <f>T12/'Output-Calculation-sheet'!T11*'Output-Calculation-sheet'!T101</f>
        <v>5306172414.9682188</v>
      </c>
      <c r="U122" s="2">
        <f>U12/'Output-Calculation-sheet'!U11*'Output-Calculation-sheet'!U101</f>
        <v>4347439589.2650433</v>
      </c>
      <c r="V122" s="2">
        <f>V12/'Output-Calculation-sheet'!V11*'Output-Calculation-sheet'!V101</f>
        <v>3578969693.7011633</v>
      </c>
      <c r="W122" s="2">
        <f>W12/'Output-Calculation-sheet'!W11*'Output-Calculation-sheet'!W101</f>
        <v>3086680876.7247663</v>
      </c>
      <c r="X122" s="2">
        <f>X12/'Output-Calculation-sheet'!X11*'Output-Calculation-sheet'!X101</f>
        <v>149185547.27716678</v>
      </c>
      <c r="Y122" s="2">
        <f>Y12/'Output-Calculation-sheet'!Y11*'Output-Calculation-sheet'!Y101</f>
        <v>1393328842.6891477</v>
      </c>
      <c r="AA122" s="2">
        <f t="shared" si="10"/>
        <v>403102.65947207389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58153664122.373093</v>
      </c>
      <c r="C129" s="2">
        <f>C8/'Output-Calculation-sheet'!C7*'Output-Calculation-sheet'!C106</f>
        <v>27404938220.054951</v>
      </c>
      <c r="D129" s="2">
        <f>D8/'Output-Calculation-sheet'!D7*'Output-Calculation-sheet'!D106</f>
        <v>24425208586.777317</v>
      </c>
      <c r="E129" s="2">
        <f>E8/'Output-Calculation-sheet'!E7*'Output-Calculation-sheet'!E106</f>
        <v>19378924421.638519</v>
      </c>
      <c r="F129" s="2">
        <f>F8/'Output-Calculation-sheet'!F7*'Output-Calculation-sheet'!F106</f>
        <v>12474909056.179579</v>
      </c>
      <c r="G129" s="2">
        <f>G8/'Output-Calculation-sheet'!G7*'Output-Calculation-sheet'!G106</f>
        <v>8765213467.5099926</v>
      </c>
      <c r="H129" s="2">
        <f>H8/'Output-Calculation-sheet'!H7*'Output-Calculation-sheet'!H106</f>
        <v>8550129269.2061653</v>
      </c>
      <c r="I129" s="2">
        <f>I8/'Output-Calculation-sheet'!I7*'Output-Calculation-sheet'!I106</f>
        <v>7985799441.9733725</v>
      </c>
      <c r="J129" s="2">
        <f>J8/'Output-Calculation-sheet'!J7*'Output-Calculation-sheet'!J106</f>
        <v>7772827148.4636946</v>
      </c>
      <c r="K129" s="2">
        <f>K8/'Output-Calculation-sheet'!K7*'Output-Calculation-sheet'!K106</f>
        <v>7698309148.3849058</v>
      </c>
      <c r="L129" s="2">
        <f>L8/'Output-Calculation-sheet'!L7*'Output-Calculation-sheet'!L106</f>
        <v>6175683698.1889868</v>
      </c>
      <c r="M129" s="2">
        <f>M8/'Output-Calculation-sheet'!M7*'Output-Calculation-sheet'!M106</f>
        <v>5898843854.4710102</v>
      </c>
      <c r="N129" s="2">
        <f>N8/'Output-Calculation-sheet'!N7*'Output-Calculation-sheet'!N106</f>
        <v>5789699328.5872002</v>
      </c>
      <c r="O129" s="2">
        <f>O8/'Output-Calculation-sheet'!O7*'Output-Calculation-sheet'!O106</f>
        <v>5324802248.2746468</v>
      </c>
      <c r="P129" s="2">
        <f>P8/'Output-Calculation-sheet'!P7*'Output-Calculation-sheet'!P106</f>
        <v>5270627631.7024298</v>
      </c>
      <c r="Q129" s="2">
        <f>Q8/'Output-Calculation-sheet'!Q7*'Output-Calculation-sheet'!Q106</f>
        <v>5185444788.1259518</v>
      </c>
      <c r="R129" s="2">
        <f>R8/'Output-Calculation-sheet'!R7*'Output-Calculation-sheet'!R106</f>
        <v>4988636366.2094669</v>
      </c>
      <c r="S129" s="2">
        <f>S8/'Output-Calculation-sheet'!S7*'Output-Calculation-sheet'!S106</f>
        <v>3315703285.2568626</v>
      </c>
      <c r="T129" s="2">
        <f>T8/'Output-Calculation-sheet'!T7*'Output-Calculation-sheet'!T106</f>
        <v>1833780190.6336088</v>
      </c>
      <c r="U129" s="2">
        <f>U8/'Output-Calculation-sheet'!U7*'Output-Calculation-sheet'!U106</f>
        <v>1597159574.801614</v>
      </c>
      <c r="V129" s="2">
        <f>V8/'Output-Calculation-sheet'!V7*'Output-Calculation-sheet'!V106</f>
        <v>1229845299.0703626</v>
      </c>
      <c r="W129" s="2">
        <f>W8/'Output-Calculation-sheet'!W7*'Output-Calculation-sheet'!W106</f>
        <v>1064773049.5416402</v>
      </c>
      <c r="X129" s="2">
        <f>X8/'Output-Calculation-sheet'!X7*'Output-Calculation-sheet'!X106</f>
        <v>638863955.35787082</v>
      </c>
      <c r="Y129" s="2">
        <f>Y8/'Output-Calculation-sheet'!Y7*'Output-Calculation-sheet'!Y106</f>
        <v>621288928.77835572</v>
      </c>
      <c r="AA129" s="2">
        <f t="shared" si="11"/>
        <v>231545.07508156155</v>
      </c>
    </row>
    <row r="130" spans="1:27" x14ac:dyDescent="0.25">
      <c r="A130" s="2">
        <v>2032</v>
      </c>
      <c r="B130" s="2">
        <f>B9/'Output-Calculation-sheet'!B8*'Output-Calculation-sheet'!B107</f>
        <v>50020964504.740135</v>
      </c>
      <c r="C130" s="2">
        <f>C9/'Output-Calculation-sheet'!C8*'Output-Calculation-sheet'!C107</f>
        <v>23572390920.635399</v>
      </c>
      <c r="D130" s="2">
        <f>D9/'Output-Calculation-sheet'!D8*'Output-Calculation-sheet'!D107</f>
        <v>21009375625.506664</v>
      </c>
      <c r="E130" s="2">
        <f>E9/'Output-Calculation-sheet'!E8*'Output-Calculation-sheet'!E107</f>
        <v>16668805415.682114</v>
      </c>
      <c r="F130" s="2">
        <f>F9/'Output-Calculation-sheet'!F8*'Output-Calculation-sheet'!F107</f>
        <v>10730313737.303335</v>
      </c>
      <c r="G130" s="2">
        <f>G9/'Output-Calculation-sheet'!G8*'Output-Calculation-sheet'!G107</f>
        <v>7539412958.5374918</v>
      </c>
      <c r="H130" s="2">
        <f>H9/'Output-Calculation-sheet'!H8*'Output-Calculation-sheet'!H107</f>
        <v>7354406011.659441</v>
      </c>
      <c r="I130" s="2">
        <f>I9/'Output-Calculation-sheet'!I8*'Output-Calculation-sheet'!I107</f>
        <v>6868997780.7119188</v>
      </c>
      <c r="J130" s="2">
        <f>J9/'Output-Calculation-sheet'!J8*'Output-Calculation-sheet'!J107</f>
        <v>6685806724.3577528</v>
      </c>
      <c r="K130" s="2">
        <f>K9/'Output-Calculation-sheet'!K8*'Output-Calculation-sheet'!K107</f>
        <v>6621711707.2606993</v>
      </c>
      <c r="L130" s="2">
        <f>L9/'Output-Calculation-sheet'!L8*'Output-Calculation-sheet'!L107</f>
        <v>5312023922.3563251</v>
      </c>
      <c r="M130" s="2">
        <f>M9/'Output-Calculation-sheet'!M8*'Output-Calculation-sheet'!M107</f>
        <v>5073900350.6838808</v>
      </c>
      <c r="N130" s="2">
        <f>N9/'Output-Calculation-sheet'!N8*'Output-Calculation-sheet'!N107</f>
        <v>4980016290.6225262</v>
      </c>
      <c r="O130" s="2">
        <f>O9/'Output-Calculation-sheet'!O8*'Output-Calculation-sheet'!O107</f>
        <v>4580136927.1982937</v>
      </c>
      <c r="P130" s="2">
        <f>P9/'Output-Calculation-sheet'!P8*'Output-Calculation-sheet'!P107</f>
        <v>4533537358.1213913</v>
      </c>
      <c r="Q130" s="2">
        <f>Q9/'Output-Calculation-sheet'!Q8*'Output-Calculation-sheet'!Q107</f>
        <v>4460269497.5623636</v>
      </c>
      <c r="R130" s="2">
        <f>R9/'Output-Calculation-sheet'!R8*'Output-Calculation-sheet'!R107</f>
        <v>4290983876.8716407</v>
      </c>
      <c r="S130" s="2">
        <f>S9/'Output-Calculation-sheet'!S8*'Output-Calculation-sheet'!S107</f>
        <v>2852007327.4953227</v>
      </c>
      <c r="T130" s="2">
        <f>T9/'Output-Calculation-sheet'!T8*'Output-Calculation-sheet'!T107</f>
        <v>1577328880.2353041</v>
      </c>
      <c r="U130" s="2">
        <f>U9/'Output-Calculation-sheet'!U8*'Output-Calculation-sheet'!U107</f>
        <v>1373799109.7754474</v>
      </c>
      <c r="V130" s="2">
        <f>V9/'Output-Calculation-sheet'!V8*'Output-Calculation-sheet'!V107</f>
        <v>1057852790.220484</v>
      </c>
      <c r="W130" s="2">
        <f>W9/'Output-Calculation-sheet'!W8*'Output-Calculation-sheet'!W107</f>
        <v>915866313.04381883</v>
      </c>
      <c r="X130" s="2">
        <f>X9/'Output-Calculation-sheet'!X8*'Output-Calculation-sheet'!X107</f>
        <v>549519680.00404978</v>
      </c>
      <c r="Y130" s="2">
        <f>Y9/'Output-Calculation-sheet'!Y8*'Output-Calculation-sheet'!Y107</f>
        <v>534402498.07774287</v>
      </c>
      <c r="AA130" s="2">
        <f t="shared" si="11"/>
        <v>199163.83020866357</v>
      </c>
    </row>
    <row r="131" spans="1:27" x14ac:dyDescent="0.25">
      <c r="A131" s="2">
        <v>2033</v>
      </c>
      <c r="B131" s="2">
        <f>B10/'Output-Calculation-sheet'!B9*'Output-Calculation-sheet'!B108</f>
        <v>36936830569.466759</v>
      </c>
      <c r="C131" s="2">
        <f>C10/'Output-Calculation-sheet'!C9*'Output-Calculation-sheet'!C108</f>
        <v>17406489854.709084</v>
      </c>
      <c r="D131" s="2">
        <f>D10/'Output-Calculation-sheet'!D9*'Output-Calculation-sheet'!D108</f>
        <v>15513894183.01647</v>
      </c>
      <c r="E131" s="2">
        <f>E10/'Output-Calculation-sheet'!E9*'Output-Calculation-sheet'!E108</f>
        <v>12308695923.04261</v>
      </c>
      <c r="F131" s="2">
        <f>F10/'Output-Calculation-sheet'!F9*'Output-Calculation-sheet'!F108</f>
        <v>7923549258.9398327</v>
      </c>
      <c r="G131" s="2">
        <f>G10/'Output-Calculation-sheet'!G9*'Output-Calculation-sheet'!G108</f>
        <v>5567303165.2711449</v>
      </c>
      <c r="H131" s="2">
        <f>H10/'Output-Calculation-sheet'!H9*'Output-Calculation-sheet'!H108</f>
        <v>5430690526.8619099</v>
      </c>
      <c r="I131" s="2">
        <f>I10/'Output-Calculation-sheet'!I9*'Output-Calculation-sheet'!I108</f>
        <v>5072253382.5036163</v>
      </c>
      <c r="J131" s="2">
        <f>J10/'Output-Calculation-sheet'!J9*'Output-Calculation-sheet'!J108</f>
        <v>4936980182.7588043</v>
      </c>
      <c r="K131" s="2">
        <f>K10/'Output-Calculation-sheet'!K9*'Output-Calculation-sheet'!K108</f>
        <v>4889649413.3204918</v>
      </c>
      <c r="L131" s="2">
        <f>L10/'Output-Calculation-sheet'!L9*'Output-Calculation-sheet'!L108</f>
        <v>3922541867.3188596</v>
      </c>
      <c r="M131" s="2">
        <f>M10/'Output-Calculation-sheet'!M9*'Output-Calculation-sheet'!M108</f>
        <v>3746703053.4016204</v>
      </c>
      <c r="N131" s="2">
        <f>N10/'Output-Calculation-sheet'!N9*'Output-Calculation-sheet'!N108</f>
        <v>3677377513.5919299</v>
      </c>
      <c r="O131" s="2">
        <f>O10/'Output-Calculation-sheet'!O9*'Output-Calculation-sheet'!O108</f>
        <v>4064412543.141129</v>
      </c>
      <c r="P131" s="2">
        <f>P10/'Output-Calculation-sheet'!P9*'Output-Calculation-sheet'!P108</f>
        <v>3347687257.6940699</v>
      </c>
      <c r="Q131" s="2">
        <f>Q10/'Output-Calculation-sheet'!Q9*'Output-Calculation-sheet'!Q108</f>
        <v>3293582550.2782583</v>
      </c>
      <c r="R131" s="2">
        <f>R10/'Output-Calculation-sheet'!R9*'Output-Calculation-sheet'!R108</f>
        <v>3168576684.9754186</v>
      </c>
      <c r="S131" s="2">
        <f>S10/'Output-Calculation-sheet'!S9*'Output-Calculation-sheet'!S108</f>
        <v>2105999200.5497954</v>
      </c>
      <c r="T131" s="2">
        <f>T10/'Output-Calculation-sheet'!T9*'Output-Calculation-sheet'!T108</f>
        <v>1164741313.1937315</v>
      </c>
      <c r="U131" s="2">
        <f>U10/'Output-Calculation-sheet'!U9*'Output-Calculation-sheet'!U108</f>
        <v>1014450086.0356262</v>
      </c>
      <c r="V131" s="2">
        <f>V10/'Output-Calculation-sheet'!V9*'Output-Calculation-sheet'!V108</f>
        <v>781146855.03589094</v>
      </c>
      <c r="W131" s="2">
        <f>W10/'Output-Calculation-sheet'!W9*'Output-Calculation-sheet'!W108</f>
        <v>676300057.1499573</v>
      </c>
      <c r="X131" s="2">
        <f>X10/'Output-Calculation-sheet'!X9*'Output-Calculation-sheet'!X108</f>
        <v>405779955.02716047</v>
      </c>
      <c r="Y131" s="2">
        <f>Y10/'Output-Calculation-sheet'!Y9*'Output-Calculation-sheet'!Y108</f>
        <v>394617026.40052903</v>
      </c>
      <c r="AA131" s="2">
        <f t="shared" si="11"/>
        <v>147750.25242368475</v>
      </c>
    </row>
    <row r="132" spans="1:27" x14ac:dyDescent="0.25">
      <c r="A132" s="2">
        <v>2034</v>
      </c>
      <c r="B132" s="2">
        <f>B11/'Output-Calculation-sheet'!B10*'Output-Calculation-sheet'!B109</f>
        <v>20010582335.918674</v>
      </c>
      <c r="C132" s="2">
        <f>C11/'Output-Calculation-sheet'!C10*'Output-Calculation-sheet'!C109</f>
        <v>18205063996.451344</v>
      </c>
      <c r="D132" s="2">
        <f>D11/'Output-Calculation-sheet'!D10*'Output-Calculation-sheet'!D109</f>
        <v>8404675009.0881243</v>
      </c>
      <c r="E132" s="2">
        <f>E11/'Output-Calculation-sheet'!E10*'Output-Calculation-sheet'!E109</f>
        <v>6668256218.9402723</v>
      </c>
      <c r="F132" s="2">
        <f>F11/'Output-Calculation-sheet'!F10*'Output-Calculation-sheet'!F109</f>
        <v>4292595816.1897979</v>
      </c>
      <c r="G132" s="2">
        <f>G11/'Output-Calculation-sheet'!G10*'Output-Calculation-sheet'!G109</f>
        <v>3016096098.9240093</v>
      </c>
      <c r="H132" s="2">
        <f>H11/'Output-Calculation-sheet'!H10*'Output-Calculation-sheet'!H109</f>
        <v>2942085506.482748</v>
      </c>
      <c r="I132" s="2">
        <f>I11/'Output-Calculation-sheet'!I10*'Output-Calculation-sheet'!I109</f>
        <v>2747900747.2986989</v>
      </c>
      <c r="J132" s="2">
        <f>J11/'Output-Calculation-sheet'!J10*'Output-Calculation-sheet'!J109</f>
        <v>2674616697.6449018</v>
      </c>
      <c r="K132" s="2">
        <f>K11/'Output-Calculation-sheet'!K10*'Output-Calculation-sheet'!K109</f>
        <v>2648976011.8778172</v>
      </c>
      <c r="L132" s="2">
        <f>L11/'Output-Calculation-sheet'!L10*'Output-Calculation-sheet'!L109</f>
        <v>2125043163.4791837</v>
      </c>
      <c r="M132" s="2">
        <f>M11/'Output-Calculation-sheet'!M10*'Output-Calculation-sheet'!M109</f>
        <v>2029782528.7564688</v>
      </c>
      <c r="N132" s="2">
        <f>N11/'Output-Calculation-sheet'!N10*'Output-Calculation-sheet'!N109</f>
        <v>1992225921.3915772</v>
      </c>
      <c r="O132" s="2">
        <f>O11/'Output-Calculation-sheet'!O10*'Output-Calculation-sheet'!O109</f>
        <v>4099795876.7194819</v>
      </c>
      <c r="P132" s="2">
        <f>P11/'Output-Calculation-sheet'!P10*'Output-Calculation-sheet'!P109</f>
        <v>1813614495.9520872</v>
      </c>
      <c r="Q132" s="2">
        <f>Q11/'Output-Calculation-sheet'!Q10*'Output-Calculation-sheet'!Q109</f>
        <v>1784303481.9081166</v>
      </c>
      <c r="R132" s="2">
        <f>R11/'Output-Calculation-sheet'!R10*'Output-Calculation-sheet'!R109</f>
        <v>1716581888.0770924</v>
      </c>
      <c r="S132" s="2">
        <f>S11/'Output-Calculation-sheet'!S10*'Output-Calculation-sheet'!S109</f>
        <v>1140928346.5194361</v>
      </c>
      <c r="T132" s="2">
        <f>T11/'Output-Calculation-sheet'!T10*'Output-Calculation-sheet'!T109</f>
        <v>631000716.67935348</v>
      </c>
      <c r="U132" s="2">
        <f>U11/'Output-Calculation-sheet'!U10*'Output-Calculation-sheet'!U109</f>
        <v>549580085.48265338</v>
      </c>
      <c r="V132" s="2">
        <f>V11/'Output-Calculation-sheet'!V10*'Output-Calculation-sheet'!V109</f>
        <v>423187657.40024596</v>
      </c>
      <c r="W132" s="2">
        <f>W11/'Output-Calculation-sheet'!W10*'Output-Calculation-sheet'!W109</f>
        <v>366386723.63265979</v>
      </c>
      <c r="X132" s="2">
        <f>X11/'Output-Calculation-sheet'!X10*'Output-Calculation-sheet'!X109</f>
        <v>219832025.59144408</v>
      </c>
      <c r="Y132" s="2">
        <f>Y11/'Output-Calculation-sheet'!Y10*'Output-Calculation-sheet'!Y109</f>
        <v>213784488.27441221</v>
      </c>
      <c r="AA132" s="2">
        <f t="shared" si="11"/>
        <v>90716.895838680604</v>
      </c>
    </row>
    <row r="133" spans="1:27" x14ac:dyDescent="0.25">
      <c r="A133" s="2">
        <v>2035</v>
      </c>
      <c r="B133" s="2">
        <f>B12/'Output-Calculation-sheet'!B11*'Output-Calculation-sheet'!B110</f>
        <v>9357724072.5300903</v>
      </c>
      <c r="C133" s="2">
        <f>C12/'Output-Calculation-sheet'!C11*'Output-Calculation-sheet'!C110</f>
        <v>17971360266.918808</v>
      </c>
      <c r="D133" s="2">
        <f>D12/'Output-Calculation-sheet'!D11*'Output-Calculation-sheet'!D110</f>
        <v>4645115233.4440298</v>
      </c>
      <c r="E133" s="2">
        <f>E12/'Output-Calculation-sheet'!E11*'Output-Calculation-sheet'!E110</f>
        <v>2360296688.1112437</v>
      </c>
      <c r="F133" s="2">
        <f>F12/'Output-Calculation-sheet'!F11*'Output-Calculation-sheet'!F110</f>
        <v>1597766371.1277578</v>
      </c>
      <c r="G133" s="2">
        <f>G12/'Output-Calculation-sheet'!G11*'Output-Calculation-sheet'!G110</f>
        <v>2019053911.7423301</v>
      </c>
      <c r="H133" s="2">
        <f>H12/'Output-Calculation-sheet'!H11*'Output-Calculation-sheet'!H110</f>
        <v>2381790035.644249</v>
      </c>
      <c r="I133" s="2">
        <f>I12/'Output-Calculation-sheet'!I11*'Output-Calculation-sheet'!I110</f>
        <v>1115774159.1615579</v>
      </c>
      <c r="J133" s="2">
        <f>J12/'Output-Calculation-sheet'!J11*'Output-Calculation-sheet'!J110</f>
        <v>1349988336.3163846</v>
      </c>
      <c r="K133" s="2">
        <f>K12/'Output-Calculation-sheet'!K11*'Output-Calculation-sheet'!K110</f>
        <v>1023648371.576528</v>
      </c>
      <c r="L133" s="2">
        <f>L12/'Output-Calculation-sheet'!L11*'Output-Calculation-sheet'!L110</f>
        <v>657825446.66621196</v>
      </c>
      <c r="M133" s="2">
        <f>M12/'Output-Calculation-sheet'!M11*'Output-Calculation-sheet'!M110</f>
        <v>1481449434.0642011</v>
      </c>
      <c r="N133" s="2">
        <f>N12/'Output-Calculation-sheet'!N11*'Output-Calculation-sheet'!N110</f>
        <v>1232620077.3659174</v>
      </c>
      <c r="O133" s="2">
        <f>O12/'Output-Calculation-sheet'!O11*'Output-Calculation-sheet'!O110</f>
        <v>4353202241.0100193</v>
      </c>
      <c r="P133" s="2">
        <f>P12/'Output-Calculation-sheet'!P11*'Output-Calculation-sheet'!P110</f>
        <v>861181147.05839598</v>
      </c>
      <c r="Q133" s="2">
        <f>Q12/'Output-Calculation-sheet'!Q11*'Output-Calculation-sheet'!Q110</f>
        <v>1072655390.1114768</v>
      </c>
      <c r="R133" s="2">
        <f>R12/'Output-Calculation-sheet'!R11*'Output-Calculation-sheet'!R110</f>
        <v>675004445.55768859</v>
      </c>
      <c r="S133" s="2">
        <f>S12/'Output-Calculation-sheet'!S11*'Output-Calculation-sheet'!S110</f>
        <v>649005952.39873254</v>
      </c>
      <c r="T133" s="2">
        <f>T12/'Output-Calculation-sheet'!T11*'Output-Calculation-sheet'!T110</f>
        <v>175582660.40910476</v>
      </c>
      <c r="U133" s="2">
        <f>U12/'Output-Calculation-sheet'!U11*'Output-Calculation-sheet'!U110</f>
        <v>285421005.5809148</v>
      </c>
      <c r="V133" s="2">
        <f>V12/'Output-Calculation-sheet'!V11*'Output-Calculation-sheet'!V110</f>
        <v>72025820.261876523</v>
      </c>
      <c r="W133" s="2">
        <f>W12/'Output-Calculation-sheet'!W11*'Output-Calculation-sheet'!W110</f>
        <v>117426929.55560303</v>
      </c>
      <c r="X133" s="2">
        <f>X12/'Output-Calculation-sheet'!X11*'Output-Calculation-sheet'!X110</f>
        <v>205646021.23993307</v>
      </c>
      <c r="Y133" s="2">
        <f>Y12/'Output-Calculation-sheet'!Y11*'Output-Calculation-sheet'!Y110</f>
        <v>108058653.12188788</v>
      </c>
      <c r="AA133" s="2">
        <f t="shared" si="11"/>
        <v>55769.622670974954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1294.6230395991481</v>
      </c>
      <c r="C19" s="2">
        <f>C8/'Output-Calculation-sheet'!C7*'Output-Calculation-sheet'!C25</f>
        <v>19516.64228140653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5809.580922374912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4036.0004507311978</v>
      </c>
      <c r="N19" s="2">
        <f>N8/'Output-Calculation-sheet'!N7*'Output-Calculation-sheet'!N25</f>
        <v>1381.7779998442104</v>
      </c>
      <c r="O19" s="2">
        <f>O8/'Output-Calculation-sheet'!O7*'Output-Calculation-sheet'!O25</f>
        <v>3774.4334787151124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493.0402033353638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450.94247207560011</v>
      </c>
      <c r="Y19" s="2">
        <f>Y8/'Output-Calculation-sheet'!Y7*'Output-Calculation-sheet'!Y25</f>
        <v>0</v>
      </c>
      <c r="AA19" s="2">
        <f t="shared" si="0"/>
        <v>36.75704084808207</v>
      </c>
    </row>
    <row r="20" spans="1:27" x14ac:dyDescent="0.25">
      <c r="A20" s="2">
        <v>2032</v>
      </c>
      <c r="B20" s="2">
        <f>B9/'Output-Calculation-sheet'!B8*'Output-Calculation-sheet'!B26</f>
        <v>7672.4578833559808</v>
      </c>
      <c r="C20" s="2">
        <f>C9/'Output-Calculation-sheet'!C8*'Output-Calculation-sheet'!C26</f>
        <v>28097.628823678395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8347.4016619676277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5800.4866975168325</v>
      </c>
      <c r="N20" s="2">
        <f>N9/'Output-Calculation-sheet'!N8*'Output-Calculation-sheet'!N26</f>
        <v>2611.640563082547</v>
      </c>
      <c r="O20" s="2">
        <f>O9/'Output-Calculation-sheet'!O8*'Output-Calculation-sheet'!O26</f>
        <v>5474.7005275943611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951.26691544471169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648.84491402355468</v>
      </c>
      <c r="Y20" s="2">
        <f>Y9/'Output-Calculation-sheet'!Y8*'Output-Calculation-sheet'!Y26</f>
        <v>0</v>
      </c>
      <c r="AA20" s="2">
        <f t="shared" si="0"/>
        <v>59.604427986664007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43416.640924495412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11115.599438510462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7720.7068440925568</v>
      </c>
      <c r="N21" s="2">
        <f>N10/'Output-Calculation-sheet'!N9*'Output-Calculation-sheet'!N27</f>
        <v>4224.4540877312565</v>
      </c>
      <c r="O21" s="2">
        <f>O10/'Output-Calculation-sheet'!O9*'Output-Calculation-sheet'!O27</f>
        <v>7375.9545840668288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1838.4250637339326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907.84803037353208</v>
      </c>
      <c r="Y21" s="2">
        <f>Y10/'Output-Calculation-sheet'!Y9*'Output-Calculation-sheet'!Y27</f>
        <v>0</v>
      </c>
      <c r="AA21" s="2">
        <f t="shared" si="0"/>
        <v>96.114161506511522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48247.140659451936</v>
      </c>
      <c r="D22" s="2">
        <f>D11/'Output-Calculation-sheet'!D10*'Output-Calculation-sheet'!D28</f>
        <v>0</v>
      </c>
      <c r="E22" s="2">
        <f>E11/'Output-Calculation-sheet'!E10*'Output-Calculation-sheet'!E28</f>
        <v>2046.8128087529144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15910.207131481289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1207.1931247333366</v>
      </c>
      <c r="M22" s="2">
        <f>M11/'Output-Calculation-sheet'!M10*'Output-Calculation-sheet'!M28</f>
        <v>10966.076376102748</v>
      </c>
      <c r="N22" s="2">
        <f>N11/'Output-Calculation-sheet'!N10*'Output-Calculation-sheet'!N28</f>
        <v>6311.0380390407436</v>
      </c>
      <c r="O22" s="2">
        <f>O11/'Output-Calculation-sheet'!O10*'Output-Calculation-sheet'!O28</f>
        <v>8496.3637650478195</v>
      </c>
      <c r="P22" s="2">
        <f>P11/'Output-Calculation-sheet'!P10*'Output-Calculation-sheet'!P28</f>
        <v>0</v>
      </c>
      <c r="Q22" s="2">
        <f>Q11/'Output-Calculation-sheet'!Q10*'Output-Calculation-sheet'!Q28</f>
        <v>2366.9702269938416</v>
      </c>
      <c r="R22" s="2">
        <f>R11/'Output-Calculation-sheet'!R10*'Output-Calculation-sheet'!R28</f>
        <v>0</v>
      </c>
      <c r="S22" s="2">
        <f>S11/'Output-Calculation-sheet'!S10*'Output-Calculation-sheet'!S28</f>
        <v>3200.5929665526915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1123.2650826607821</v>
      </c>
      <c r="Y22" s="2">
        <f>Y11/'Output-Calculation-sheet'!Y10*'Output-Calculation-sheet'!Y28</f>
        <v>110.20969636131809</v>
      </c>
      <c r="AA22" s="2">
        <f t="shared" si="0"/>
        <v>139.60435177671906</v>
      </c>
    </row>
    <row r="23" spans="1:27" x14ac:dyDescent="0.25">
      <c r="A23" s="2">
        <v>2035</v>
      </c>
      <c r="B23" s="2">
        <f>B12/'Output-Calculation-sheet'!B11*'Output-Calculation-sheet'!B29</f>
        <v>59085.825678012399</v>
      </c>
      <c r="C23" s="2">
        <f>C12/'Output-Calculation-sheet'!C11*'Output-Calculation-sheet'!C29</f>
        <v>55094.337836438157</v>
      </c>
      <c r="D23" s="2">
        <f>D12/'Output-Calculation-sheet'!D11*'Output-Calculation-sheet'!D29</f>
        <v>0</v>
      </c>
      <c r="E23" s="2">
        <f>E12/'Output-Calculation-sheet'!E11*'Output-Calculation-sheet'!E29</f>
        <v>10853.359703045418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18961.578063861074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3146.883924021995</v>
      </c>
      <c r="M23" s="2">
        <f>M12/'Output-Calculation-sheet'!M11*'Output-Calculation-sheet'!M29</f>
        <v>13477.385324269386</v>
      </c>
      <c r="N23" s="2">
        <f>N12/'Output-Calculation-sheet'!N11*'Output-Calculation-sheet'!N29</f>
        <v>7827.5154260963736</v>
      </c>
      <c r="O23" s="2">
        <f>O12/'Output-Calculation-sheet'!O11*'Output-Calculation-sheet'!O29</f>
        <v>9108.4056171833781</v>
      </c>
      <c r="P23" s="2">
        <f>P12/'Output-Calculation-sheet'!P11*'Output-Calculation-sheet'!P29</f>
        <v>1259.0420888626302</v>
      </c>
      <c r="Q23" s="2">
        <f>Q12/'Output-Calculation-sheet'!Q11*'Output-Calculation-sheet'!Q29</f>
        <v>4007.988250429114</v>
      </c>
      <c r="R23" s="2">
        <f>R12/'Output-Calculation-sheet'!R11*'Output-Calculation-sheet'!R29</f>
        <v>0</v>
      </c>
      <c r="S23" s="2">
        <f>S12/'Output-Calculation-sheet'!S11*'Output-Calculation-sheet'!S29</f>
        <v>4328.9240658657172</v>
      </c>
      <c r="T23" s="2">
        <f>T12/'Output-Calculation-sheet'!T11*'Output-Calculation-sheet'!T29</f>
        <v>0</v>
      </c>
      <c r="U23" s="2">
        <f>U12/'Output-Calculation-sheet'!U11*'Output-Calculation-sheet'!U29</f>
        <v>467.13466289927277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1287.6654455652154</v>
      </c>
      <c r="Y23" s="2">
        <f>Y12/'Output-Calculation-sheet'!Y11*'Output-Calculation-sheet'!Y29</f>
        <v>397.31207785123456</v>
      </c>
      <c r="AA23" s="2">
        <f t="shared" si="0"/>
        <v>189.30335816440135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22564.859026635757</v>
      </c>
      <c r="C30" s="2">
        <f>C8/'Output-Calculation-sheet'!C7*'Output-Calculation-sheet'!C16</f>
        <v>0</v>
      </c>
      <c r="D30" s="2">
        <f>D8/'Output-Calculation-sheet'!D7*'Output-Calculation-sheet'!D16</f>
        <v>3799.623960432617</v>
      </c>
      <c r="E30" s="2">
        <f>E8/'Output-Calculation-sheet'!E7*'Output-Calculation-sheet'!E16</f>
        <v>4088.1807108105804</v>
      </c>
      <c r="F30" s="2">
        <f>F8/'Output-Calculation-sheet'!F7*'Output-Calculation-sheet'!F16</f>
        <v>2062.5089229262348</v>
      </c>
      <c r="G30" s="2">
        <f>G8/'Output-Calculation-sheet'!G7*'Output-Calculation-sheet'!G16</f>
        <v>1350.698376999994</v>
      </c>
      <c r="H30" s="2">
        <f>H8/'Output-Calculation-sheet'!H7*'Output-Calculation-sheet'!H16</f>
        <v>0</v>
      </c>
      <c r="I30" s="2">
        <f>I8/'Output-Calculation-sheet'!I7*'Output-Calculation-sheet'!I16</f>
        <v>1316.7286757394716</v>
      </c>
      <c r="J30" s="2">
        <f>J8/'Output-Calculation-sheet'!J7*'Output-Calculation-sheet'!J16</f>
        <v>1172.1417070144612</v>
      </c>
      <c r="K30" s="2">
        <f>K8/'Output-Calculation-sheet'!K7*'Output-Calculation-sheet'!K16</f>
        <v>1565.0332218055153</v>
      </c>
      <c r="L30" s="2">
        <f>L8/'Output-Calculation-sheet'!L7*'Output-Calculation-sheet'!L16</f>
        <v>1321.9442597099953</v>
      </c>
      <c r="M30" s="2">
        <f>M8/'Output-Calculation-sheet'!M7*'Output-Calculation-sheet'!M16</f>
        <v>0</v>
      </c>
      <c r="N30" s="2">
        <f>N8/'Output-Calculation-sheet'!N7*'Output-Calculation-sheet'!N16</f>
        <v>1877.7104487373672</v>
      </c>
      <c r="O30" s="2">
        <f>O8/'Output-Calculation-sheet'!O7*'Output-Calculation-sheet'!O16</f>
        <v>0</v>
      </c>
      <c r="P30" s="2">
        <f>P8/'Output-Calculation-sheet'!P7*'Output-Calculation-sheet'!P16</f>
        <v>1687.6245387250767</v>
      </c>
      <c r="Q30" s="2">
        <f>Q8/'Output-Calculation-sheet'!Q7*'Output-Calculation-sheet'!Q16</f>
        <v>1855.8296379960764</v>
      </c>
      <c r="R30" s="2">
        <f>R8/'Output-Calculation-sheet'!R7*'Output-Calculation-sheet'!R16</f>
        <v>1177.5319714570146</v>
      </c>
      <c r="S30" s="2">
        <f>S8/'Output-Calculation-sheet'!S7*'Output-Calculation-sheet'!S16</f>
        <v>1184.251872500002</v>
      </c>
      <c r="T30" s="2">
        <f>T8/'Output-Calculation-sheet'!T7*'Output-Calculation-sheet'!T16</f>
        <v>353.47817170341301</v>
      </c>
      <c r="U30" s="2">
        <f>U8/'Output-Calculation-sheet'!U7*'Output-Calculation-sheet'!U16</f>
        <v>352.84633843488865</v>
      </c>
      <c r="V30" s="2">
        <f>V8/'Output-Calculation-sheet'!V7*'Output-Calculation-sheet'!V16</f>
        <v>274.61359813412753</v>
      </c>
      <c r="W30" s="2">
        <f>W8/'Output-Calculation-sheet'!W7*'Output-Calculation-sheet'!W16</f>
        <v>166.56699123622346</v>
      </c>
      <c r="X30" s="2">
        <f>X8/'Output-Calculation-sheet'!X7*'Output-Calculation-sheet'!X16</f>
        <v>0</v>
      </c>
      <c r="Y30" s="2">
        <f>Y8/'Output-Calculation-sheet'!Y7*'Output-Calculation-sheet'!Y16</f>
        <v>140.98002152212112</v>
      </c>
      <c r="AA30" s="2">
        <f t="shared" si="1"/>
        <v>48.313152452520924</v>
      </c>
    </row>
    <row r="31" spans="1:27" x14ac:dyDescent="0.25">
      <c r="A31" s="2">
        <v>2032</v>
      </c>
      <c r="B31" s="2">
        <f>B9/'Output-Calculation-sheet'!B8*'Output-Calculation-sheet'!B17</f>
        <v>32487.721562242961</v>
      </c>
      <c r="C31" s="2">
        <f>C9/'Output-Calculation-sheet'!C8*'Output-Calculation-sheet'!C17</f>
        <v>0</v>
      </c>
      <c r="D31" s="2">
        <f>D9/'Output-Calculation-sheet'!D8*'Output-Calculation-sheet'!D17</f>
        <v>5448.617458060934</v>
      </c>
      <c r="E31" s="2">
        <f>E9/'Output-Calculation-sheet'!E8*'Output-Calculation-sheet'!E17</f>
        <v>6404.1053870837686</v>
      </c>
      <c r="F31" s="2">
        <f>F9/'Output-Calculation-sheet'!F8*'Output-Calculation-sheet'!F17</f>
        <v>2957.6863312692076</v>
      </c>
      <c r="G31" s="2">
        <f>G9/'Output-Calculation-sheet'!G8*'Output-Calculation-sheet'!G17</f>
        <v>1936.9153125963276</v>
      </c>
      <c r="H31" s="2">
        <f>H9/'Output-Calculation-sheet'!H8*'Output-Calculation-sheet'!H17</f>
        <v>0</v>
      </c>
      <c r="I31" s="2">
        <f>I9/'Output-Calculation-sheet'!I8*'Output-Calculation-sheet'!I17</f>
        <v>1888.2112571635323</v>
      </c>
      <c r="J31" s="2">
        <f>J9/'Output-Calculation-sheet'!J8*'Output-Calculation-sheet'!J17</f>
        <v>1680.871971150234</v>
      </c>
      <c r="K31" s="2">
        <f>K9/'Output-Calculation-sheet'!K8*'Output-Calculation-sheet'!K17</f>
        <v>2393.1153911243646</v>
      </c>
      <c r="L31" s="2">
        <f>L9/'Output-Calculation-sheet'!L8*'Output-Calculation-sheet'!L17</f>
        <v>2040.9067295799989</v>
      </c>
      <c r="M31" s="2">
        <f>M9/'Output-Calculation-sheet'!M8*'Output-Calculation-sheet'!M17</f>
        <v>0</v>
      </c>
      <c r="N31" s="2">
        <f>N9/'Output-Calculation-sheet'!N8*'Output-Calculation-sheet'!N17</f>
        <v>2226.7913577502086</v>
      </c>
      <c r="O31" s="2">
        <f>O9/'Output-Calculation-sheet'!O8*'Output-Calculation-sheet'!O17</f>
        <v>0</v>
      </c>
      <c r="P31" s="2">
        <f>P9/'Output-Calculation-sheet'!P8*'Output-Calculation-sheet'!P17</f>
        <v>2753.7192320815207</v>
      </c>
      <c r="Q31" s="2">
        <f>Q9/'Output-Calculation-sheet'!Q8*'Output-Calculation-sheet'!Q17</f>
        <v>2935.7177047218829</v>
      </c>
      <c r="R31" s="2">
        <f>R9/'Output-Calculation-sheet'!R8*'Output-Calculation-sheet'!R17</f>
        <v>1920.7016733109549</v>
      </c>
      <c r="S31" s="2">
        <f>S9/'Output-Calculation-sheet'!S8*'Output-Calculation-sheet'!S17</f>
        <v>1652.6785533312354</v>
      </c>
      <c r="T31" s="2">
        <f>T9/'Output-Calculation-sheet'!T8*'Output-Calculation-sheet'!T17</f>
        <v>521.19643183964854</v>
      </c>
      <c r="U31" s="2">
        <f>U9/'Output-Calculation-sheet'!U8*'Output-Calculation-sheet'!U17</f>
        <v>599.02085842017755</v>
      </c>
      <c r="V31" s="2">
        <f>V9/'Output-Calculation-sheet'!V8*'Output-Calculation-sheet'!V17</f>
        <v>429.05021799639673</v>
      </c>
      <c r="W31" s="2">
        <f>W9/'Output-Calculation-sheet'!W8*'Output-Calculation-sheet'!W17</f>
        <v>238.86237948845101</v>
      </c>
      <c r="X31" s="2">
        <f>X9/'Output-Calculation-sheet'!X8*'Output-Calculation-sheet'!X17</f>
        <v>0</v>
      </c>
      <c r="Y31" s="2">
        <f>Y9/'Output-Calculation-sheet'!Y8*'Output-Calculation-sheet'!Y17</f>
        <v>230.79280873071738</v>
      </c>
      <c r="AA31" s="2">
        <f t="shared" si="1"/>
        <v>70.746682617942525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2375.4888845904911</v>
      </c>
      <c r="O32" s="2">
        <f>O10/'Output-Calculation-sheet'!O9*'Output-Calculation-sheet'!O18</f>
        <v>0</v>
      </c>
      <c r="P32" s="2">
        <f>P10/'Output-Calculation-sheet'!P9*'Output-Calculation-sheet'!P18</f>
        <v>3824.7977755376246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2746.4588766471265</v>
      </c>
      <c r="S32" s="2">
        <f>S10/'Output-Calculation-sheet'!S9*'Output-Calculation-sheet'!S18</f>
        <v>1797.4847001723654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886.66417979519099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93.680787082588139</v>
      </c>
    </row>
    <row r="33" spans="1:27" x14ac:dyDescent="0.25">
      <c r="A33" s="2">
        <v>2034</v>
      </c>
      <c r="B33" s="2">
        <f>B11/'Output-Calculation-sheet'!B10*'Output-Calculation-sheet'!B19</f>
        <v>39960.902062295252</v>
      </c>
      <c r="C33" s="2">
        <f>C11/'Output-Calculation-sheet'!C10*'Output-Calculation-sheet'!C19</f>
        <v>0</v>
      </c>
      <c r="D33" s="2">
        <f>D11/'Output-Calculation-sheet'!D10*'Output-Calculation-sheet'!D19</f>
        <v>11919.295882064267</v>
      </c>
      <c r="E33" s="2">
        <f>E11/'Output-Calculation-sheet'!E10*'Output-Calculation-sheet'!E19</f>
        <v>14768.210504687742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4057.5312688737799</v>
      </c>
      <c r="H33" s="2">
        <f>H11/'Output-Calculation-sheet'!H10*'Output-Calculation-sheet'!H19</f>
        <v>0</v>
      </c>
      <c r="I33" s="2">
        <f>I11/'Output-Calculation-sheet'!I10*'Output-Calculation-sheet'!I19</f>
        <v>4427.3265708160916</v>
      </c>
      <c r="J33" s="2">
        <f>J11/'Output-Calculation-sheet'!J10*'Output-Calculation-sheet'!J19</f>
        <v>3743.0922415017981</v>
      </c>
      <c r="K33" s="2">
        <f>K11/'Output-Calculation-sheet'!K10*'Output-Calculation-sheet'!K19</f>
        <v>5194.7214546636451</v>
      </c>
      <c r="L33" s="2">
        <f>L11/'Output-Calculation-sheet'!L10*'Output-Calculation-sheet'!L19</f>
        <v>4226.6014680755361</v>
      </c>
      <c r="M33" s="2">
        <f>M11/'Output-Calculation-sheet'!M10*'Output-Calculation-sheet'!M19</f>
        <v>0</v>
      </c>
      <c r="N33" s="2">
        <f>N11/'Output-Calculation-sheet'!N10*'Output-Calculation-sheet'!N19</f>
        <v>2388.770383345116</v>
      </c>
      <c r="O33" s="2">
        <f>O11/'Output-Calculation-sheet'!O10*'Output-Calculation-sheet'!O19</f>
        <v>0</v>
      </c>
      <c r="P33" s="2">
        <f>P11/'Output-Calculation-sheet'!P10*'Output-Calculation-sheet'!P19</f>
        <v>5256.1417557786444</v>
      </c>
      <c r="Q33" s="2">
        <f>Q11/'Output-Calculation-sheet'!Q10*'Output-Calculation-sheet'!Q19</f>
        <v>4208.5306182792374</v>
      </c>
      <c r="R33" s="2">
        <f>R11/'Output-Calculation-sheet'!R10*'Output-Calculation-sheet'!R19</f>
        <v>3752.746800983331</v>
      </c>
      <c r="S33" s="2">
        <f>S11/'Output-Calculation-sheet'!S10*'Output-Calculation-sheet'!S19</f>
        <v>1754.0108847474362</v>
      </c>
      <c r="T33" s="2">
        <f>T11/'Output-Calculation-sheet'!T10*'Output-Calculation-sheet'!T19</f>
        <v>1101.1208598668468</v>
      </c>
      <c r="U33" s="2">
        <f>U11/'Output-Calculation-sheet'!U10*'Output-Calculation-sheet'!U19</f>
        <v>1266.3100602116133</v>
      </c>
      <c r="V33" s="2">
        <f>V11/'Output-Calculation-sheet'!V10*'Output-Calculation-sheet'!V19</f>
        <v>863.5670347080619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212.37585133643327</v>
      </c>
      <c r="Y33" s="2">
        <f>Y11/'Output-Calculation-sheet'!Y10*'Output-Calculation-sheet'!Y19</f>
        <v>484.62112994104876</v>
      </c>
      <c r="AA33" s="2">
        <f t="shared" si="1"/>
        <v>116.89908985771118</v>
      </c>
    </row>
    <row r="34" spans="1:27" x14ac:dyDescent="0.25">
      <c r="A34" s="2">
        <v>2035</v>
      </c>
      <c r="B34" s="2">
        <f>B12/'Output-Calculation-sheet'!B11*'Output-Calculation-sheet'!B20</f>
        <v>41007.955527407459</v>
      </c>
      <c r="C34" s="2">
        <f>C12/'Output-Calculation-sheet'!C11*'Output-Calculation-sheet'!C20</f>
        <v>0</v>
      </c>
      <c r="D34" s="2">
        <f>D12/'Output-Calculation-sheet'!D11*'Output-Calculation-sheet'!D20</f>
        <v>15196.513768546778</v>
      </c>
      <c r="E34" s="2">
        <f>E12/'Output-Calculation-sheet'!E11*'Output-Calculation-sheet'!E20</f>
        <v>13703.603845988589</v>
      </c>
      <c r="F34" s="2">
        <f>F12/'Output-Calculation-sheet'!F11*'Output-Calculation-sheet'!F20</f>
        <v>9715.5228518994645</v>
      </c>
      <c r="G34" s="2">
        <f>G12/'Output-Calculation-sheet'!G11*'Output-Calculation-sheet'!G20</f>
        <v>4834.3247854170477</v>
      </c>
      <c r="H34" s="2">
        <f>H12/'Output-Calculation-sheet'!H11*'Output-Calculation-sheet'!H20</f>
        <v>0</v>
      </c>
      <c r="I34" s="2">
        <f>I12/'Output-Calculation-sheet'!I11*'Output-Calculation-sheet'!I20</f>
        <v>5939.7806999667255</v>
      </c>
      <c r="J34" s="2">
        <f>J12/'Output-Calculation-sheet'!J11*'Output-Calculation-sheet'!J20</f>
        <v>4948.2771325052581</v>
      </c>
      <c r="K34" s="2">
        <f>K12/'Output-Calculation-sheet'!K11*'Output-Calculation-sheet'!K20</f>
        <v>6964.0238348402172</v>
      </c>
      <c r="L34" s="2">
        <f>L12/'Output-Calculation-sheet'!L11*'Output-Calculation-sheet'!L20</f>
        <v>4738.2961301026344</v>
      </c>
      <c r="M34" s="2">
        <f>M12/'Output-Calculation-sheet'!M11*'Output-Calculation-sheet'!M20</f>
        <v>0</v>
      </c>
      <c r="N34" s="2">
        <f>N12/'Output-Calculation-sheet'!N11*'Output-Calculation-sheet'!N20</f>
        <v>2712.0543012969588</v>
      </c>
      <c r="O34" s="2">
        <f>O12/'Output-Calculation-sheet'!O11*'Output-Calculation-sheet'!O20</f>
        <v>0</v>
      </c>
      <c r="P34" s="2">
        <f>P12/'Output-Calculation-sheet'!P11*'Output-Calculation-sheet'!P20</f>
        <v>5760.7393716613205</v>
      </c>
      <c r="Q34" s="2">
        <f>Q12/'Output-Calculation-sheet'!Q11*'Output-Calculation-sheet'!Q20</f>
        <v>4107.0627677154025</v>
      </c>
      <c r="R34" s="2">
        <f>R12/'Output-Calculation-sheet'!R11*'Output-Calculation-sheet'!R20</f>
        <v>4998.0208348735914</v>
      </c>
      <c r="S34" s="2">
        <f>S12/'Output-Calculation-sheet'!S11*'Output-Calculation-sheet'!S20</f>
        <v>1789.6830051743111</v>
      </c>
      <c r="T34" s="2">
        <f>T12/'Output-Calculation-sheet'!T11*'Output-Calculation-sheet'!T20</f>
        <v>1446.7111067377195</v>
      </c>
      <c r="U34" s="2">
        <f>U12/'Output-Calculation-sheet'!U11*'Output-Calculation-sheet'!U20</f>
        <v>1324.6071387715501</v>
      </c>
      <c r="V34" s="2">
        <f>V12/'Output-Calculation-sheet'!V11*'Output-Calculation-sheet'!V20</f>
        <v>1307.6022441664038</v>
      </c>
      <c r="W34" s="2">
        <f>W12/'Output-Calculation-sheet'!W11*'Output-Calculation-sheet'!W20</f>
        <v>772.37896833448656</v>
      </c>
      <c r="X34" s="2">
        <f>X12/'Output-Calculation-sheet'!X11*'Output-Calculation-sheet'!X20</f>
        <v>223.34062407939265</v>
      </c>
      <c r="Y34" s="2">
        <f>Y12/'Output-Calculation-sheet'!Y11*'Output-Calculation-sheet'!Y20</f>
        <v>416.49501677755364</v>
      </c>
      <c r="AA34" s="2">
        <f t="shared" si="1"/>
        <v>131.90699395626288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0.3034298827877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0.3034298827877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1.6919916065036622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0.32870845071520499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2.0207000572188671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3.6179774095709063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0.70287567884580326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17.323027212459358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37762.939285257016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8236.8656670495784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5622.061783011748</v>
      </c>
      <c r="N52" s="2">
        <f>N8/'Output-Calculation-sheet'!N7*'Output-Calculation-sheet'!N43</f>
        <v>179.69380819535547</v>
      </c>
      <c r="O52" s="2">
        <f>O8/'Output-Calculation-sheet'!O7*'Output-Calculation-sheet'!O43</f>
        <v>7650.737045210285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727.06776732377807</v>
      </c>
      <c r="Y52" s="2">
        <f>Y8/'Output-Calculation-sheet'!Y7*'Output-Calculation-sheet'!Y43</f>
        <v>0</v>
      </c>
      <c r="AA52" s="2">
        <f t="shared" si="3"/>
        <v>60.179365356047761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71419.334769131689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16688.859346633712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11431.131943813429</v>
      </c>
      <c r="N53" s="2">
        <f>N9/'Output-Calculation-sheet'!N8*'Output-Calculation-sheet'!N44</f>
        <v>4045.6193663995409</v>
      </c>
      <c r="O53" s="2">
        <f>O9/'Output-Calculation-sheet'!O8*'Output-Calculation-sheet'!O44</f>
        <v>14163.413920758809</v>
      </c>
      <c r="P53" s="2">
        <f>P9/'Output-Calculation-sheet'!P8*'Output-Calculation-sheet'!P44</f>
        <v>190.441953514114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1270.3253839789627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1429.4715758594389</v>
      </c>
      <c r="Y53" s="2">
        <f>Y9/'Output-Calculation-sheet'!Y8*'Output-Calculation-sheet'!Y44</f>
        <v>0</v>
      </c>
      <c r="AA53" s="2">
        <f t="shared" si="3"/>
        <v>120.63859826008968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96452.500704791077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17620.226526794508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661.78489013885167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219.85017487724312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106565.78714645872</v>
      </c>
      <c r="D55" s="2">
        <f>D11/'Output-Calculation-sheet'!D10*'Output-Calculation-sheet'!D46</f>
        <v>10518.031178331104</v>
      </c>
      <c r="E55" s="2">
        <f>E11/'Output-Calculation-sheet'!E10*'Output-Calculation-sheet'!E46</f>
        <v>12852.007528541963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35042.999571683758</v>
      </c>
      <c r="I55" s="2">
        <f>I11/'Output-Calculation-sheet'!I10*'Output-Calculation-sheet'!I46</f>
        <v>2545.2207022168241</v>
      </c>
      <c r="J55" s="2">
        <f>J11/'Output-Calculation-sheet'!J10*'Output-Calculation-sheet'!J46</f>
        <v>1847.2174275853151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24018.698597659215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19693.672968288156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7201.1034778671874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8997.7433827636105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2073.0153436157511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2507.3035275270299</v>
      </c>
      <c r="Y55" s="2">
        <f>Y11/'Output-Calculation-sheet'!Y10*'Output-Calculation-sheet'!Y46</f>
        <v>635.68436326060748</v>
      </c>
      <c r="AA55" s="2">
        <f t="shared" si="3"/>
        <v>392.80546758736455</v>
      </c>
    </row>
    <row r="56" spans="1:27" x14ac:dyDescent="0.25">
      <c r="A56" s="2">
        <v>2035</v>
      </c>
      <c r="B56" s="2">
        <f>B12/'Output-Calculation-sheet'!B11*'Output-Calculation-sheet'!B47</f>
        <v>184219.01671845021</v>
      </c>
      <c r="C56" s="2">
        <f>C12/'Output-Calculation-sheet'!C11*'Output-Calculation-sheet'!C47</f>
        <v>115680.06717443818</v>
      </c>
      <c r="D56" s="2">
        <f>D12/'Output-Calculation-sheet'!D11*'Output-Calculation-sheet'!D47</f>
        <v>32049.183132104317</v>
      </c>
      <c r="E56" s="2">
        <f>E12/'Output-Calculation-sheet'!E11*'Output-Calculation-sheet'!E47</f>
        <v>47478.002694632261</v>
      </c>
      <c r="F56" s="2">
        <f>F12/'Output-Calculation-sheet'!F11*'Output-Calculation-sheet'!F47</f>
        <v>6885.4587755723715</v>
      </c>
      <c r="G56" s="2">
        <f>G12/'Output-Calculation-sheet'!G11*'Output-Calculation-sheet'!G47</f>
        <v>11093.336526360399</v>
      </c>
      <c r="H56" s="2">
        <f>H12/'Output-Calculation-sheet'!H11*'Output-Calculation-sheet'!H47</f>
        <v>39078.109658684567</v>
      </c>
      <c r="I56" s="2">
        <f>I12/'Output-Calculation-sheet'!I11*'Output-Calculation-sheet'!I47</f>
        <v>10884.866056778203</v>
      </c>
      <c r="J56" s="2">
        <f>J12/'Output-Calculation-sheet'!J11*'Output-Calculation-sheet'!J47</f>
        <v>8707.7253313681613</v>
      </c>
      <c r="K56" s="2">
        <f>K12/'Output-Calculation-sheet'!K11*'Output-Calculation-sheet'!K47</f>
        <v>11678.770048826327</v>
      </c>
      <c r="L56" s="2">
        <f>L12/'Output-Calculation-sheet'!L11*'Output-Calculation-sheet'!L47</f>
        <v>9782.6180734149239</v>
      </c>
      <c r="M56" s="2">
        <f>M12/'Output-Calculation-sheet'!M11*'Output-Calculation-sheet'!M47</f>
        <v>27057.62322876239</v>
      </c>
      <c r="N56" s="2">
        <f>N12/'Output-Calculation-sheet'!N11*'Output-Calculation-sheet'!N47</f>
        <v>22662.118138395461</v>
      </c>
      <c r="O56" s="2">
        <f>O12/'Output-Calculation-sheet'!O11*'Output-Calculation-sheet'!O47</f>
        <v>21178.754007327494</v>
      </c>
      <c r="P56" s="2">
        <f>P12/'Output-Calculation-sheet'!P11*'Output-Calculation-sheet'!P47</f>
        <v>12115.8576967268</v>
      </c>
      <c r="Q56" s="2">
        <f>Q12/'Output-Calculation-sheet'!Q11*'Output-Calculation-sheet'!Q47</f>
        <v>12243.213792608884</v>
      </c>
      <c r="R56" s="2">
        <f>R12/'Output-Calculation-sheet'!R11*'Output-Calculation-sheet'!R47</f>
        <v>9558.1465244699648</v>
      </c>
      <c r="S56" s="2">
        <f>S12/'Output-Calculation-sheet'!S11*'Output-Calculation-sheet'!S47</f>
        <v>11968.083752382494</v>
      </c>
      <c r="T56" s="2">
        <f>T12/'Output-Calculation-sheet'!T11*'Output-Calculation-sheet'!T47</f>
        <v>3610.5124658007039</v>
      </c>
      <c r="U56" s="2">
        <f>U12/'Output-Calculation-sheet'!U11*'Output-Calculation-sheet'!U47</f>
        <v>3767.8108188933911</v>
      </c>
      <c r="V56" s="2">
        <f>V12/'Output-Calculation-sheet'!V11*'Output-Calculation-sheet'!V47</f>
        <v>1958.2452507270696</v>
      </c>
      <c r="W56" s="2">
        <f>W12/'Output-Calculation-sheet'!W11*'Output-Calculation-sheet'!W47</f>
        <v>1048.246657913179</v>
      </c>
      <c r="X56" s="2">
        <f>X12/'Output-Calculation-sheet'!X11*'Output-Calculation-sheet'!X47</f>
        <v>2721.2379159747693</v>
      </c>
      <c r="Y56" s="2">
        <f>Y12/'Output-Calculation-sheet'!Y11*'Output-Calculation-sheet'!Y47</f>
        <v>1519.4054760783217</v>
      </c>
      <c r="AA56" s="2">
        <f t="shared" si="3"/>
        <v>608.94640991669098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8.7879763736287995</v>
      </c>
      <c r="C63" s="2">
        <f>C8*'Output-Calculation-sheet'!C52/10^9</f>
        <v>5.5420504608656076</v>
      </c>
      <c r="D63" s="2">
        <f>D8*'Output-Calculation-sheet'!D52/10^9</f>
        <v>3.0135650289142624</v>
      </c>
      <c r="E63" s="2">
        <f>E8*'Output-Calculation-sheet'!E52/10^9</f>
        <v>2.9963070519079174</v>
      </c>
      <c r="F63" s="2">
        <f>F8*'Output-Calculation-sheet'!F52/10^9</f>
        <v>1.2689367991038061</v>
      </c>
      <c r="G63" s="2">
        <f>G8*'Output-Calculation-sheet'!G52/10^9</f>
        <v>0.912307125892863</v>
      </c>
      <c r="H63" s="2">
        <f>H8*'Output-Calculation-sheet'!H52/10^9</f>
        <v>1.5935704856672104</v>
      </c>
      <c r="I63" s="2">
        <f>I8*'Output-Calculation-sheet'!I52/10^9</f>
        <v>0.84865754632141832</v>
      </c>
      <c r="J63" s="2">
        <f>J8*'Output-Calculation-sheet'!J52/10^9</f>
        <v>1.1678114479742454</v>
      </c>
      <c r="K63" s="2">
        <f>K8*'Output-Calculation-sheet'!K52/10^9</f>
        <v>1.0260235682082457</v>
      </c>
      <c r="L63" s="2">
        <f>L8*'Output-Calculation-sheet'!L52/10^9</f>
        <v>1.3800491213440782</v>
      </c>
      <c r="M63" s="2">
        <f>M8*'Output-Calculation-sheet'!M52/10^9</f>
        <v>1.2934814158766081</v>
      </c>
      <c r="N63" s="2">
        <f>N8*'Output-Calculation-sheet'!N52/10^9</f>
        <v>1.0795375116212849</v>
      </c>
      <c r="O63" s="2">
        <f>O8*'Output-Calculation-sheet'!O52/10^9</f>
        <v>1.151172438939505</v>
      </c>
      <c r="P63" s="2">
        <f>P8*'Output-Calculation-sheet'!P52/10^9</f>
        <v>0.7089559112587912</v>
      </c>
      <c r="Q63" s="2">
        <f>Q8*'Output-Calculation-sheet'!Q52/10^9</f>
        <v>0.80232595917459737</v>
      </c>
      <c r="R63" s="2">
        <f>R8*'Output-Calculation-sheet'!R52/10^9</f>
        <v>0.72033025549920549</v>
      </c>
      <c r="S63" s="2">
        <f>S8*'Output-Calculation-sheet'!S52/10^9</f>
        <v>0.53379341953818871</v>
      </c>
      <c r="T63" s="2">
        <f>T8*'Output-Calculation-sheet'!T52/10^9</f>
        <v>0.27386039106799215</v>
      </c>
      <c r="U63" s="2">
        <f>U8*'Output-Calculation-sheet'!U52/10^9</f>
        <v>0.18808427154378085</v>
      </c>
      <c r="V63" s="2">
        <f>V8*'Output-Calculation-sheet'!V52/10^9</f>
        <v>0.33380538967129686</v>
      </c>
      <c r="W63" s="2">
        <f>W8*'Output-Calculation-sheet'!W52/10^9</f>
        <v>0.12082214557450136</v>
      </c>
      <c r="X63" s="2">
        <f>X8*'Output-Calculation-sheet'!X52/10^9</f>
        <v>0.13906350214972066</v>
      </c>
      <c r="Y63" s="2">
        <f>Y8*'Output-Calculation-sheet'!Y52/10^9</f>
        <v>7.8833012863117558E-2</v>
      </c>
      <c r="AA63" s="2">
        <f t="shared" si="4"/>
        <v>35.961320634607041</v>
      </c>
    </row>
    <row r="64" spans="1:27" x14ac:dyDescent="0.25">
      <c r="A64" s="2">
        <v>2032</v>
      </c>
      <c r="B64" s="2">
        <f>B9*'Output-Calculation-sheet'!B53/10^9</f>
        <v>9.6198223110378933</v>
      </c>
      <c r="C64" s="2">
        <f>C9*'Output-Calculation-sheet'!C53/10^9</f>
        <v>6.4946756845124458</v>
      </c>
      <c r="D64" s="2">
        <f>D9*'Output-Calculation-sheet'!D53/10^9</f>
        <v>2.8468880462892447</v>
      </c>
      <c r="E64" s="2">
        <f>E9*'Output-Calculation-sheet'!E53/10^9</f>
        <v>2.9153521592673859</v>
      </c>
      <c r="F64" s="2">
        <f>F9*'Output-Calculation-sheet'!F53/10^9</f>
        <v>1.2296782923822684</v>
      </c>
      <c r="G64" s="2">
        <f>G9*'Output-Calculation-sheet'!G53/10^9</f>
        <v>0.87524646154803543</v>
      </c>
      <c r="H64" s="2">
        <f>H9*'Output-Calculation-sheet'!H53/10^9</f>
        <v>1.7985044455237631</v>
      </c>
      <c r="I64" s="2">
        <f>I9*'Output-Calculation-sheet'!I53/10^9</f>
        <v>0.81821253051651555</v>
      </c>
      <c r="J64" s="2">
        <f>J9*'Output-Calculation-sheet'!J53/10^9</f>
        <v>1.0831481997628356</v>
      </c>
      <c r="K64" s="2">
        <f>K9*'Output-Calculation-sheet'!K53/10^9</f>
        <v>1.0050115819192507</v>
      </c>
      <c r="L64" s="2">
        <f>L9*'Output-Calculation-sheet'!L53/10^9</f>
        <v>1.2929390749143697</v>
      </c>
      <c r="M64" s="2">
        <f>M9*'Output-Calculation-sheet'!M53/10^9</f>
        <v>1.4095178474691559</v>
      </c>
      <c r="N64" s="2">
        <f>N9*'Output-Calculation-sheet'!N53/10^9</f>
        <v>1.1865569318375182</v>
      </c>
      <c r="O64" s="2">
        <f>O9*'Output-Calculation-sheet'!O53/10^9</f>
        <v>1.3432638647157416</v>
      </c>
      <c r="P64" s="2">
        <f>P9*'Output-Calculation-sheet'!P53/10^9</f>
        <v>0.76624015231755693</v>
      </c>
      <c r="Q64" s="2">
        <f>Q9*'Output-Calculation-sheet'!Q53/10^9</f>
        <v>0.84682395585161907</v>
      </c>
      <c r="R64" s="2">
        <f>R9*'Output-Calculation-sheet'!R53/10^9</f>
        <v>0.72592711993921766</v>
      </c>
      <c r="S64" s="2">
        <f>S9*'Output-Calculation-sheet'!S53/10^9</f>
        <v>0.59977708102101568</v>
      </c>
      <c r="T64" s="2">
        <f>T9*'Output-Calculation-sheet'!T53/10^9</f>
        <v>0.26095190473367341</v>
      </c>
      <c r="U64" s="2">
        <f>U9*'Output-Calculation-sheet'!U53/10^9</f>
        <v>0.19641296365384384</v>
      </c>
      <c r="V64" s="2">
        <f>V9*'Output-Calculation-sheet'!V53/10^9</f>
        <v>0.30973237238929602</v>
      </c>
      <c r="W64" s="2">
        <f>W9*'Output-Calculation-sheet'!W53/10^9</f>
        <v>0.11509096688384819</v>
      </c>
      <c r="X64" s="2">
        <f>X9*'Output-Calculation-sheet'!X53/10^9</f>
        <v>0.15621722854389622</v>
      </c>
      <c r="Y64" s="2">
        <f>Y9*'Output-Calculation-sheet'!Y53/10^9</f>
        <v>8.0636474069431016E-2</v>
      </c>
      <c r="AA64" s="2">
        <f t="shared" si="4"/>
        <v>37.976627651099818</v>
      </c>
    </row>
    <row r="65" spans="1:27" x14ac:dyDescent="0.25">
      <c r="A65" s="2">
        <v>2033</v>
      </c>
      <c r="B65" s="2">
        <f>B10*'Output-Calculation-sheet'!B54/10^9</f>
        <v>10.592413913919314</v>
      </c>
      <c r="C65" s="2">
        <f>C10*'Output-Calculation-sheet'!C54/10^9</f>
        <v>7.5255576644367634</v>
      </c>
      <c r="D65" s="2">
        <f>D10*'Output-Calculation-sheet'!D54/10^9</f>
        <v>2.502455111148429</v>
      </c>
      <c r="E65" s="2">
        <f>E10*'Output-Calculation-sheet'!E54/10^9</f>
        <v>2.817735838295357</v>
      </c>
      <c r="F65" s="2">
        <f>F10*'Output-Calculation-sheet'!F54/10^9</f>
        <v>1.1439525303856202</v>
      </c>
      <c r="G65" s="2">
        <f>G10*'Output-Calculation-sheet'!G54/10^9</f>
        <v>0.78542688800329774</v>
      </c>
      <c r="H65" s="2">
        <f>H10*'Output-Calculation-sheet'!H54/10^9</f>
        <v>1.9410169271004483</v>
      </c>
      <c r="I65" s="2">
        <f>I10*'Output-Calculation-sheet'!I54/10^9</f>
        <v>0.76479128604037616</v>
      </c>
      <c r="J65" s="2">
        <f>J10*'Output-Calculation-sheet'!J54/10^9</f>
        <v>0.91409616400234084</v>
      </c>
      <c r="K65" s="2">
        <f>K10*'Output-Calculation-sheet'!K54/10^9</f>
        <v>0.97521952066703133</v>
      </c>
      <c r="L65" s="2">
        <f>L10*'Output-Calculation-sheet'!L54/10^9</f>
        <v>1.1519393546344034</v>
      </c>
      <c r="M65" s="2">
        <f>M10*'Output-Calculation-sheet'!M54/10^9</f>
        <v>1.4656087686796166</v>
      </c>
      <c r="N65" s="2">
        <f>N10*'Output-Calculation-sheet'!N54/10^9</f>
        <v>1.2655917396707939</v>
      </c>
      <c r="O65" s="2">
        <f>O10*'Output-Calculation-sheet'!O54/10^9</f>
        <v>1.5519918356831066</v>
      </c>
      <c r="P65" s="2">
        <f>P10*'Output-Calculation-sheet'!P54/10^9</f>
        <v>0.82516326812929675</v>
      </c>
      <c r="Q65" s="2">
        <f>Q10*'Output-Calculation-sheet'!Q54/10^9</f>
        <v>0.90041242888507445</v>
      </c>
      <c r="R65" s="2">
        <f>R10*'Output-Calculation-sheet'!R54/10^9</f>
        <v>0.72645077645379175</v>
      </c>
      <c r="S65" s="2">
        <f>S10*'Output-Calculation-sheet'!S54/10^9</f>
        <v>0.65986499475155025</v>
      </c>
      <c r="T65" s="2">
        <f>T10*'Output-Calculation-sheet'!T54/10^9</f>
        <v>0.24288492407530424</v>
      </c>
      <c r="U65" s="2">
        <f>U10*'Output-Calculation-sheet'!U54/10^9</f>
        <v>0.20973257053401509</v>
      </c>
      <c r="V65" s="2">
        <f>V10*'Output-Calculation-sheet'!V54/10^9</f>
        <v>0.26878883082890759</v>
      </c>
      <c r="W65" s="2">
        <f>W10*'Output-Calculation-sheet'!W54/10^9</f>
        <v>0.10233801749664889</v>
      </c>
      <c r="X65" s="2">
        <f>X10*'Output-Calculation-sheet'!X54/10^9</f>
        <v>0.1685583603727602</v>
      </c>
      <c r="Y65" s="2">
        <f>Y10*'Output-Calculation-sheet'!Y54/10^9</f>
        <v>8.4229673810667094E-2</v>
      </c>
      <c r="AA65" s="2">
        <f t="shared" si="4"/>
        <v>39.586221388004923</v>
      </c>
    </row>
    <row r="66" spans="1:27" x14ac:dyDescent="0.25">
      <c r="A66" s="2">
        <v>2034</v>
      </c>
      <c r="B66" s="2">
        <f>B11*'Output-Calculation-sheet'!B55/10^9</f>
        <v>11.770979025988424</v>
      </c>
      <c r="C66" s="2">
        <f>C11*'Output-Calculation-sheet'!C55/10^9</f>
        <v>8.9273648434664032</v>
      </c>
      <c r="D66" s="2">
        <f>D11*'Output-Calculation-sheet'!D55/10^9</f>
        <v>2.4623213504150363</v>
      </c>
      <c r="E66" s="2">
        <f>E11*'Output-Calculation-sheet'!E55/10^9</f>
        <v>2.9814395749396589</v>
      </c>
      <c r="F66" s="2">
        <f>F11*'Output-Calculation-sheet'!F55/10^9</f>
        <v>1.1458171630176257</v>
      </c>
      <c r="G66" s="2">
        <f>G11*'Output-Calculation-sheet'!G55/10^9</f>
        <v>0.81903296129728309</v>
      </c>
      <c r="H66" s="2">
        <f>H11*'Output-Calculation-sheet'!H55/10^9</f>
        <v>2.1032366419031163</v>
      </c>
      <c r="I66" s="2">
        <f>I11*'Output-Calculation-sheet'!I55/10^9</f>
        <v>0.80096344042404388</v>
      </c>
      <c r="J66" s="2">
        <f>J11*'Output-Calculation-sheet'!J55/10^9</f>
        <v>0.8236406012356462</v>
      </c>
      <c r="K66" s="2">
        <f>K11*'Output-Calculation-sheet'!K55/10^9</f>
        <v>0.98506281258115003</v>
      </c>
      <c r="L66" s="2">
        <f>L11*'Output-Calculation-sheet'!L55/10^9</f>
        <v>1.0432271033272966</v>
      </c>
      <c r="M66" s="2">
        <f>M11*'Output-Calculation-sheet'!M55/10^9</f>
        <v>1.5169424923198325</v>
      </c>
      <c r="N66" s="2">
        <f>N11*'Output-Calculation-sheet'!N55/10^9</f>
        <v>1.3254044667635074</v>
      </c>
      <c r="O66" s="2">
        <f>O11*'Output-Calculation-sheet'!O55/10^9</f>
        <v>1.7775287718108945</v>
      </c>
      <c r="P66" s="2">
        <f>P11*'Output-Calculation-sheet'!P55/10^9</f>
        <v>0.91108351691188227</v>
      </c>
      <c r="Q66" s="2">
        <f>Q11*'Output-Calculation-sheet'!Q55/10^9</f>
        <v>0.99462953351058214</v>
      </c>
      <c r="R66" s="2">
        <f>R11*'Output-Calculation-sheet'!R55/10^9</f>
        <v>0.73793114039806329</v>
      </c>
      <c r="S66" s="2">
        <f>S11*'Output-Calculation-sheet'!S55/10^9</f>
        <v>0.72608551995512072</v>
      </c>
      <c r="T66" s="2">
        <f>T11*'Output-Calculation-sheet'!T55/10^9</f>
        <v>0.2313112869905849</v>
      </c>
      <c r="U66" s="2">
        <f>U11*'Output-Calculation-sheet'!U55/10^9</f>
        <v>0.23617015074423506</v>
      </c>
      <c r="V66" s="2">
        <f>V11*'Output-Calculation-sheet'!V55/10^9</f>
        <v>0.21943845203685838</v>
      </c>
      <c r="W66" s="2">
        <f>W11*'Output-Calculation-sheet'!W55/10^9</f>
        <v>9.9353435478471072E-2</v>
      </c>
      <c r="X66" s="2">
        <f>X11*'Output-Calculation-sheet'!X55/10^9</f>
        <v>0.18855364838615415</v>
      </c>
      <c r="Y66" s="2">
        <f>Y11*'Output-Calculation-sheet'!Y55/10^9</f>
        <v>9.7495570474095156E-2</v>
      </c>
      <c r="AA66" s="2">
        <f t="shared" si="4"/>
        <v>42.925013504375961</v>
      </c>
    </row>
    <row r="67" spans="1:27" x14ac:dyDescent="0.25">
      <c r="A67" s="2">
        <v>2035</v>
      </c>
      <c r="B67" s="2">
        <f>B12*'Output-Calculation-sheet'!B56/10^9</f>
        <v>14.338580167851138</v>
      </c>
      <c r="C67" s="2">
        <f>C12*'Output-Calculation-sheet'!C56/10^9</f>
        <v>10.392635267560747</v>
      </c>
      <c r="D67" s="2">
        <f>D12*'Output-Calculation-sheet'!D56/10^9</f>
        <v>3.2523296487851452</v>
      </c>
      <c r="E67" s="2">
        <f>E12*'Output-Calculation-sheet'!E56/10^9</f>
        <v>3.8713515907322287</v>
      </c>
      <c r="F67" s="2">
        <f>F12*'Output-Calculation-sheet'!F56/10^9</f>
        <v>1.5844302775682155</v>
      </c>
      <c r="G67" s="2">
        <f>G12*'Output-Calculation-sheet'!G56/10^9</f>
        <v>1.1136931029130577</v>
      </c>
      <c r="H67" s="2">
        <f>H12*'Output-Calculation-sheet'!H56/10^9</f>
        <v>2.5428093430020278</v>
      </c>
      <c r="I67" s="2">
        <f>I12*'Output-Calculation-sheet'!I56/10^9</f>
        <v>1.1152751845963136</v>
      </c>
      <c r="J67" s="2">
        <f>J12*'Output-Calculation-sheet'!J56/10^9</f>
        <v>1.0089899024909221</v>
      </c>
      <c r="K67" s="2">
        <f>K12*'Output-Calculation-sheet'!K56/10^9</f>
        <v>1.2522431038216362</v>
      </c>
      <c r="L67" s="2">
        <f>L12*'Output-Calculation-sheet'!L56/10^9</f>
        <v>1.1669552330006185</v>
      </c>
      <c r="M67" s="2">
        <f>M12*'Output-Calculation-sheet'!M56/10^9</f>
        <v>1.7935059975001468</v>
      </c>
      <c r="N67" s="2">
        <f>N12*'Output-Calculation-sheet'!N56/10^9</f>
        <v>1.5248721223385759</v>
      </c>
      <c r="O67" s="2">
        <f>O12*'Output-Calculation-sheet'!O56/10^9</f>
        <v>2.0075344793440077</v>
      </c>
      <c r="P67" s="2">
        <f>P12*'Output-Calculation-sheet'!P56/10^9</f>
        <v>1.1773066905132008</v>
      </c>
      <c r="Q67" s="2">
        <f>Q12*'Output-Calculation-sheet'!Q56/10^9</f>
        <v>1.1891541499545668</v>
      </c>
      <c r="R67" s="2">
        <f>R12*'Output-Calculation-sheet'!R56/10^9</f>
        <v>0.90802178848014237</v>
      </c>
      <c r="S67" s="2">
        <f>S12*'Output-Calculation-sheet'!S56/10^9</f>
        <v>0.86833227256344869</v>
      </c>
      <c r="T67" s="2">
        <f>T12*'Output-Calculation-sheet'!T56/10^9</f>
        <v>0.27618272264747235</v>
      </c>
      <c r="U67" s="2">
        <f>U12*'Output-Calculation-sheet'!U56/10^9</f>
        <v>0.314131570013233</v>
      </c>
      <c r="V67" s="2">
        <f>V12*'Output-Calculation-sheet'!V56/10^9</f>
        <v>0.21174135702309901</v>
      </c>
      <c r="W67" s="2">
        <f>W12*'Output-Calculation-sheet'!W56/10^9</f>
        <v>0.13713340768181892</v>
      </c>
      <c r="X67" s="2">
        <f>X12*'Output-Calculation-sheet'!X56/10^9</f>
        <v>0.22460398210924098</v>
      </c>
      <c r="Y67" s="2">
        <f>Y12*'Output-Calculation-sheet'!Y56/10^9</f>
        <v>0.12886860707302031</v>
      </c>
      <c r="AA67" s="2">
        <f t="shared" si="4"/>
        <v>52.400681969564033</v>
      </c>
    </row>
    <row r="68" spans="1:27" x14ac:dyDescent="0.25">
      <c r="B68" s="2">
        <f>SUM(B60:B67)</f>
        <v>74.954510231950465</v>
      </c>
      <c r="C68" s="2">
        <f t="shared" ref="C68:Y68" si="5">SUM(C60:C67)</f>
        <v>49.386669375906109</v>
      </c>
      <c r="D68" s="2">
        <f t="shared" si="5"/>
        <v>21.862829176242414</v>
      </c>
      <c r="E68" s="2">
        <f t="shared" si="5"/>
        <v>23.257807152629997</v>
      </c>
      <c r="F68" s="2">
        <f t="shared" si="5"/>
        <v>9.554000842544923</v>
      </c>
      <c r="G68" s="2">
        <f t="shared" si="5"/>
        <v>6.8205454721366632</v>
      </c>
      <c r="H68" s="2">
        <f t="shared" si="5"/>
        <v>13.250830274242563</v>
      </c>
      <c r="I68" s="2">
        <f t="shared" si="5"/>
        <v>6.4885982680857133</v>
      </c>
      <c r="J68" s="2">
        <f t="shared" si="5"/>
        <v>8.0775787397813907</v>
      </c>
      <c r="K68" s="2">
        <f t="shared" si="5"/>
        <v>7.8372965116060609</v>
      </c>
      <c r="L68" s="2">
        <f t="shared" si="5"/>
        <v>9.6879972800573739</v>
      </c>
      <c r="M68" s="2">
        <f t="shared" si="5"/>
        <v>10.283840964367652</v>
      </c>
      <c r="N68" s="2">
        <f t="shared" si="5"/>
        <v>8.8159410037077066</v>
      </c>
      <c r="O68" s="2">
        <f t="shared" si="5"/>
        <v>10.026769373944001</v>
      </c>
      <c r="P68" s="2">
        <f t="shared" si="5"/>
        <v>6.0359558061371983</v>
      </c>
      <c r="Q68" s="2">
        <f t="shared" si="5"/>
        <v>6.6136811400752809</v>
      </c>
      <c r="R68" s="2">
        <f t="shared" si="5"/>
        <v>5.6216274499652039</v>
      </c>
      <c r="S68" s="2">
        <f t="shared" si="5"/>
        <v>4.5672395692311749</v>
      </c>
      <c r="T68" s="2">
        <f t="shared" si="5"/>
        <v>1.9909680003454739</v>
      </c>
      <c r="U68" s="2">
        <f t="shared" si="5"/>
        <v>1.6061701960076253</v>
      </c>
      <c r="V68" s="2">
        <f t="shared" si="5"/>
        <v>2.2365279483615823</v>
      </c>
      <c r="W68" s="2">
        <f t="shared" si="5"/>
        <v>0.88388693497242699</v>
      </c>
      <c r="X68" s="2">
        <f t="shared" si="5"/>
        <v>1.1626292134117087</v>
      </c>
      <c r="Y68" s="2">
        <f t="shared" si="5"/>
        <v>0.66498275796981487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7286.3051880342182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1758.703672587134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1178.5075608315724</v>
      </c>
      <c r="N74" s="2">
        <f>N8/'Output-Calculation-sheet'!N7*'Output-Calculation-sheet'!N61</f>
        <v>49.393335527698333</v>
      </c>
      <c r="O74" s="2">
        <f>O8/'Output-Calculation-sheet'!O7*'Output-Calculation-sheet'!O61</f>
        <v>1456.4488023270997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146.44649112040182</v>
      </c>
      <c r="Y74" s="2">
        <f>Y8/'Output-Calculation-sheet'!Y7*'Output-Calculation-sheet'!Y61</f>
        <v>0</v>
      </c>
      <c r="AA74" s="2">
        <f t="shared" si="6"/>
        <v>11.875805050428124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12828.373093254035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3179.1133982779238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2160.0382281076991</v>
      </c>
      <c r="N75" s="2">
        <f>N9/'Output-Calculation-sheet'!N8*'Output-Calculation-sheet'!N62</f>
        <v>831.79995635272098</v>
      </c>
      <c r="O75" s="2">
        <f>O9/'Output-Calculation-sheet'!O8*'Output-Calculation-sheet'!O62</f>
        <v>2535.7560692221696</v>
      </c>
      <c r="P75" s="2">
        <f>P9/'Output-Calculation-sheet'!P8*'Output-Calculation-sheet'!P62</f>
        <v>55.894713356392458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279.75223775787879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260.96053430443209</v>
      </c>
      <c r="Y75" s="2">
        <f>Y9/'Output-Calculation-sheet'!Y8*'Output-Calculation-sheet'!Y62</f>
        <v>0</v>
      </c>
      <c r="AA75" s="2">
        <f t="shared" si="6"/>
        <v>22.131688230633252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17981.678068184257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4841.122752877146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3296.0805052485475</v>
      </c>
      <c r="N76" s="2">
        <f>N10/'Output-Calculation-sheet'!N9*'Output-Calculation-sheet'!N63</f>
        <v>1883.0780050375076</v>
      </c>
      <c r="O76" s="2">
        <f>O10/'Output-Calculation-sheet'!O9*'Output-Calculation-sheet'!O63</f>
        <v>3244.117930159056</v>
      </c>
      <c r="P76" s="2">
        <f>P10/'Output-Calculation-sheet'!P9*'Output-Calculation-sheet'!P63</f>
        <v>653.89085947354351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496.38680519780871</v>
      </c>
      <c r="S76" s="2">
        <f>S10/'Output-Calculation-sheet'!S9*'Output-Calculation-sheet'!S63</f>
        <v>836.44890552964421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176.11451389622837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388.17449141513589</v>
      </c>
      <c r="Y76" s="2">
        <f>Y10/'Output-Calculation-sheet'!Y9*'Output-Calculation-sheet'!Y63</f>
        <v>7.364167792554972</v>
      </c>
      <c r="AA76" s="2">
        <f t="shared" si="6"/>
        <v>41.681916675907992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19652.927770489114</v>
      </c>
      <c r="D77" s="2">
        <f>D11/'Output-Calculation-sheet'!D10*'Output-Calculation-sheet'!D64</f>
        <v>2432.6891361582552</v>
      </c>
      <c r="E77" s="2">
        <f>E11/'Output-Calculation-sheet'!E10*'Output-Calculation-sheet'!E64</f>
        <v>2959.305343279394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1268.638804182581</v>
      </c>
      <c r="H77" s="2">
        <f>H11/'Output-Calculation-sheet'!H10*'Output-Calculation-sheet'!H64</f>
        <v>6740.5004078352649</v>
      </c>
      <c r="I77" s="2">
        <f>I11/'Output-Calculation-sheet'!I10*'Output-Calculation-sheet'!I64</f>
        <v>751.730934399739</v>
      </c>
      <c r="J77" s="2">
        <f>J11/'Output-Calculation-sheet'!J10*'Output-Calculation-sheet'!J64</f>
        <v>540.35307978296794</v>
      </c>
      <c r="K77" s="2">
        <f>K11/'Output-Calculation-sheet'!K10*'Output-Calculation-sheet'!K64</f>
        <v>1131.1598108003416</v>
      </c>
      <c r="L77" s="2">
        <f>L11/'Output-Calculation-sheet'!L10*'Output-Calculation-sheet'!L64</f>
        <v>494.52682599129957</v>
      </c>
      <c r="M77" s="2">
        <f>M11/'Output-Calculation-sheet'!M10*'Output-Calculation-sheet'!M64</f>
        <v>4517.4644977644539</v>
      </c>
      <c r="N77" s="2">
        <f>N11/'Output-Calculation-sheet'!N10*'Output-Calculation-sheet'!N64</f>
        <v>3180.5468815111822</v>
      </c>
      <c r="O77" s="2">
        <f>O11/'Output-Calculation-sheet'!O10*'Output-Calculation-sheet'!O64</f>
        <v>3684.0432125025959</v>
      </c>
      <c r="P77" s="2">
        <f>P11/'Output-Calculation-sheet'!P10*'Output-Calculation-sheet'!P64</f>
        <v>1403.8300371418766</v>
      </c>
      <c r="Q77" s="2">
        <f>Q11/'Output-Calculation-sheet'!Q10*'Output-Calculation-sheet'!Q64</f>
        <v>1262.9002903853543</v>
      </c>
      <c r="R77" s="2">
        <f>R11/'Output-Calculation-sheet'!R10*'Output-Calculation-sheet'!R64</f>
        <v>1201.3117460052733</v>
      </c>
      <c r="S77" s="2">
        <f>S11/'Output-Calculation-sheet'!S10*'Output-Calculation-sheet'!S64</f>
        <v>1599.4020225660513</v>
      </c>
      <c r="T77" s="2">
        <f>T11/'Output-Calculation-sheet'!T10*'Output-Calculation-sheet'!T64</f>
        <v>332.96237290790629</v>
      </c>
      <c r="U77" s="2">
        <f>U11/'Output-Calculation-sheet'!U10*'Output-Calculation-sheet'!U64</f>
        <v>455.60558470708344</v>
      </c>
      <c r="V77" s="2">
        <f>V11/'Output-Calculation-sheet'!V10*'Output-Calculation-sheet'!V64</f>
        <v>175.08715396200415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465.87906796277002</v>
      </c>
      <c r="Y77" s="2">
        <f>Y11/'Output-Calculation-sheet'!Y10*'Output-Calculation-sheet'!Y64</f>
        <v>109.97339484408509</v>
      </c>
      <c r="AA77" s="2">
        <f t="shared" si="6"/>
        <v>74.076564664946602</v>
      </c>
    </row>
    <row r="78" spans="1:27" x14ac:dyDescent="0.25">
      <c r="A78" s="2">
        <v>2035</v>
      </c>
      <c r="B78" s="2">
        <f>B12/'Output-Calculation-sheet'!B11*'Output-Calculation-sheet'!B65</f>
        <v>30666.281071626876</v>
      </c>
      <c r="C78" s="2">
        <f>C12/'Output-Calculation-sheet'!C11*'Output-Calculation-sheet'!C65</f>
        <v>21609.956910859415</v>
      </c>
      <c r="D78" s="2">
        <f>D12/'Output-Calculation-sheet'!D11*'Output-Calculation-sheet'!D65</f>
        <v>7043.7919594287159</v>
      </c>
      <c r="E78" s="2">
        <f>E12/'Output-Calculation-sheet'!E11*'Output-Calculation-sheet'!E65</f>
        <v>7045.7355998834282</v>
      </c>
      <c r="F78" s="2">
        <f>F12/'Output-Calculation-sheet'!F11*'Output-Calculation-sheet'!F65</f>
        <v>1635.6477581155593</v>
      </c>
      <c r="G78" s="2">
        <f>G12/'Output-Calculation-sheet'!G11*'Output-Calculation-sheet'!G65</f>
        <v>2438.1136714662634</v>
      </c>
      <c r="H78" s="2">
        <f>H12/'Output-Calculation-sheet'!H11*'Output-Calculation-sheet'!H65</f>
        <v>7813.7657215281261</v>
      </c>
      <c r="I78" s="2">
        <f>I12/'Output-Calculation-sheet'!I11*'Output-Calculation-sheet'!I65</f>
        <v>2164.4102617817757</v>
      </c>
      <c r="J78" s="2">
        <f>J12/'Output-Calculation-sheet'!J11*'Output-Calculation-sheet'!J65</f>
        <v>1925.529427785375</v>
      </c>
      <c r="K78" s="2">
        <f>K12/'Output-Calculation-sheet'!K11*'Output-Calculation-sheet'!K65</f>
        <v>2566.7440341660977</v>
      </c>
      <c r="L78" s="2">
        <f>L12/'Output-Calculation-sheet'!L11*'Output-Calculation-sheet'!L65</f>
        <v>1690.7270460868308</v>
      </c>
      <c r="M78" s="2">
        <f>M12/'Output-Calculation-sheet'!M11*'Output-Calculation-sheet'!M65</f>
        <v>5456.766336269141</v>
      </c>
      <c r="N78" s="2">
        <f>N12/'Output-Calculation-sheet'!N11*'Output-Calculation-sheet'!N65</f>
        <v>3896.5298783409371</v>
      </c>
      <c r="O78" s="2">
        <f>O12/'Output-Calculation-sheet'!O11*'Output-Calculation-sheet'!O65</f>
        <v>3948.5274374389041</v>
      </c>
      <c r="P78" s="2">
        <f>P12/'Output-Calculation-sheet'!P11*'Output-Calculation-sheet'!P65</f>
        <v>2157.9349669467388</v>
      </c>
      <c r="Q78" s="2">
        <f>Q12/'Output-Calculation-sheet'!Q11*'Output-Calculation-sheet'!Q65</f>
        <v>2092.0844826088955</v>
      </c>
      <c r="R78" s="2">
        <f>R12/'Output-Calculation-sheet'!R11*'Output-Calculation-sheet'!R65</f>
        <v>1897.8804995329685</v>
      </c>
      <c r="S78" s="2">
        <f>S12/'Output-Calculation-sheet'!S11*'Output-Calculation-sheet'!S65</f>
        <v>2123.1039713581695</v>
      </c>
      <c r="T78" s="2">
        <f>T12/'Output-Calculation-sheet'!T11*'Output-Calculation-sheet'!T65</f>
        <v>661.39278796313306</v>
      </c>
      <c r="U78" s="2">
        <f>U12/'Output-Calculation-sheet'!U11*'Output-Calculation-sheet'!U65</f>
        <v>604.75210609326621</v>
      </c>
      <c r="V78" s="2">
        <f>V12/'Output-Calculation-sheet'!V11*'Output-Calculation-sheet'!V65</f>
        <v>346.1394305185168</v>
      </c>
      <c r="W78" s="2">
        <f>W12/'Output-Calculation-sheet'!W11*'Output-Calculation-sheet'!W65</f>
        <v>230.38611693888299</v>
      </c>
      <c r="X78" s="2">
        <f>X12/'Output-Calculation-sheet'!X11*'Output-Calculation-sheet'!X65</f>
        <v>524.1295966508369</v>
      </c>
      <c r="Y78" s="2">
        <f>Y12/'Output-Calculation-sheet'!Y11*'Output-Calculation-sheet'!Y65</f>
        <v>242.37186088430636</v>
      </c>
      <c r="AA78" s="2">
        <f t="shared" si="6"/>
        <v>110.78270293427315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53.233312769771928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5.3233312769771925E-2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742.10158179985183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173.00444774484473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0.91510602954469655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1745.5154168982442</v>
      </c>
      <c r="D89" s="2">
        <f>D12/'Output-Calculation-sheet'!D11*'Output-Calculation-sheet'!D74</f>
        <v>140.56659268466805</v>
      </c>
      <c r="E89" s="2">
        <f>E12/'Output-Calculation-sheet'!E11*'Output-Calculation-sheet'!E74</f>
        <v>111.7129475167818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146.54291122006714</v>
      </c>
      <c r="I89" s="2">
        <f>I12/'Output-Calculation-sheet'!I11*'Output-Calculation-sheet'!I74</f>
        <v>45.353608569909177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44.5754582016272</v>
      </c>
      <c r="L89" s="2">
        <f>L12/'Output-Calculation-sheet'!L11*'Output-Calculation-sheet'!L74</f>
        <v>35.44426838193813</v>
      </c>
      <c r="M89" s="2">
        <f>M12/'Output-Calculation-sheet'!M11*'Output-Calculation-sheet'!M74</f>
        <v>100.83586296433188</v>
      </c>
      <c r="N89" s="2">
        <f>N12/'Output-Calculation-sheet'!N11*'Output-Calculation-sheet'!N74</f>
        <v>66.070315272289974</v>
      </c>
      <c r="O89" s="2">
        <f>O12/'Output-Calculation-sheet'!O11*'Output-Calculation-sheet'!O74</f>
        <v>400.76244846471241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57.887535662453352</v>
      </c>
      <c r="R89" s="2">
        <f>R12/'Output-Calculation-sheet'!R11*'Output-Calculation-sheet'!R74</f>
        <v>28.70314271612602</v>
      </c>
      <c r="S89" s="2">
        <f>S12/'Output-Calculation-sheet'!S11*'Output-Calculation-sheet'!S74</f>
        <v>37.873682760704092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18.469660876928387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14.749256997153221</v>
      </c>
      <c r="Y89" s="2">
        <f>Y12/'Output-Calculation-sheet'!Y11*'Output-Calculation-sheet'!Y74</f>
        <v>7.116653283739212</v>
      </c>
      <c r="AA89" s="2">
        <f t="shared" si="7"/>
        <v>3.9717880783539661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22951563724.205925</v>
      </c>
      <c r="C96" s="2">
        <f>C8/'Output-Calculation-sheet'!C7*'Output-Calculation-sheet'!C79</f>
        <v>9501647521.3224945</v>
      </c>
      <c r="D96" s="2">
        <f>D8/'Output-Calculation-sheet'!D7*'Output-Calculation-sheet'!D79</f>
        <v>7574303540.0971966</v>
      </c>
      <c r="E96" s="2">
        <f>E8/'Output-Calculation-sheet'!E7*'Output-Calculation-sheet'!E79</f>
        <v>9152399184.947937</v>
      </c>
      <c r="F96" s="2">
        <f>F8/'Output-Calculation-sheet'!F7*'Output-Calculation-sheet'!F79</f>
        <v>5402608696.3707857</v>
      </c>
      <c r="G96" s="2">
        <f>G8/'Output-Calculation-sheet'!G7*'Output-Calculation-sheet'!G79</f>
        <v>2748047207.1842914</v>
      </c>
      <c r="H96" s="2">
        <f>H8/'Output-Calculation-sheet'!H7*'Output-Calculation-sheet'!H79</f>
        <v>3431398525.2896247</v>
      </c>
      <c r="I96" s="2">
        <f>I8/'Output-Calculation-sheet'!I7*'Output-Calculation-sheet'!I79</f>
        <v>3284328186.732583</v>
      </c>
      <c r="J96" s="2">
        <f>J8/'Output-Calculation-sheet'!J7*'Output-Calculation-sheet'!J79</f>
        <v>1853792755.8579352</v>
      </c>
      <c r="K96" s="2">
        <f>K8/'Output-Calculation-sheet'!K7*'Output-Calculation-sheet'!K79</f>
        <v>3157644028.0663795</v>
      </c>
      <c r="L96" s="2">
        <f>L8/'Output-Calculation-sheet'!L7*'Output-Calculation-sheet'!L79</f>
        <v>2271039651.3794289</v>
      </c>
      <c r="M96" s="2">
        <f>M8/'Output-Calculation-sheet'!M7*'Output-Calculation-sheet'!M79</f>
        <v>2295819207.6941586</v>
      </c>
      <c r="N96" s="2">
        <f>N8/'Output-Calculation-sheet'!N7*'Output-Calculation-sheet'!N79</f>
        <v>1633999149.0515945</v>
      </c>
      <c r="O96" s="2">
        <f>O8/'Output-Calculation-sheet'!O7*'Output-Calculation-sheet'!O79</f>
        <v>1284182920.5340381</v>
      </c>
      <c r="P96" s="2">
        <f>P8/'Output-Calculation-sheet'!P7*'Output-Calculation-sheet'!P79</f>
        <v>2729849776.5783315</v>
      </c>
      <c r="Q96" s="2">
        <f>Q8/'Output-Calculation-sheet'!Q7*'Output-Calculation-sheet'!Q79</f>
        <v>1486848764.2638052</v>
      </c>
      <c r="R96" s="2">
        <f>R8/'Output-Calculation-sheet'!R7*'Output-Calculation-sheet'!R79</f>
        <v>1983597649.405653</v>
      </c>
      <c r="S96" s="2">
        <f>S8/'Output-Calculation-sheet'!S7*'Output-Calculation-sheet'!S79</f>
        <v>1248567790.1768141</v>
      </c>
      <c r="T96" s="2">
        <f>T8/'Output-Calculation-sheet'!T7*'Output-Calculation-sheet'!T79</f>
        <v>801756306.70442247</v>
      </c>
      <c r="U96" s="2">
        <f>U8/'Output-Calculation-sheet'!U7*'Output-Calculation-sheet'!U79</f>
        <v>743457545.32339859</v>
      </c>
      <c r="V96" s="2">
        <f>V8/'Output-Calculation-sheet'!V7*'Output-Calculation-sheet'!V79</f>
        <v>478663296.01735395</v>
      </c>
      <c r="W96" s="2">
        <f>W8/'Output-Calculation-sheet'!W7*'Output-Calculation-sheet'!W79</f>
        <v>572589806.9549135</v>
      </c>
      <c r="X96" s="2">
        <f>X8/'Output-Calculation-sheet'!X7*'Output-Calculation-sheet'!X79</f>
        <v>262077593.84441298</v>
      </c>
      <c r="Y96" s="2">
        <f>Y8/'Output-Calculation-sheet'!Y7*'Output-Calculation-sheet'!Y79</f>
        <v>293336189.62390614</v>
      </c>
      <c r="AA96" s="2">
        <f t="shared" si="8"/>
        <v>87.143519017627369</v>
      </c>
    </row>
    <row r="97" spans="1:27" x14ac:dyDescent="0.25">
      <c r="A97" s="2">
        <v>2032</v>
      </c>
      <c r="B97" s="2">
        <f>B9/'Output-Calculation-sheet'!B8*'Output-Calculation-sheet'!B80</f>
        <v>33238511467.082985</v>
      </c>
      <c r="C97" s="2">
        <f>C9/'Output-Calculation-sheet'!C8*'Output-Calculation-sheet'!C80</f>
        <v>13772308949.203558</v>
      </c>
      <c r="D97" s="2">
        <f>D9/'Output-Calculation-sheet'!D8*'Output-Calculation-sheet'!D80</f>
        <v>10885896467.420078</v>
      </c>
      <c r="E97" s="2">
        <f>E9/'Output-Calculation-sheet'!E8*'Output-Calculation-sheet'!E80</f>
        <v>13135504799.909945</v>
      </c>
      <c r="F97" s="2">
        <f>F9/'Output-Calculation-sheet'!F8*'Output-Calculation-sheet'!F80</f>
        <v>7783157499.6150665</v>
      </c>
      <c r="G97" s="2">
        <f>G9/'Output-Calculation-sheet'!G8*'Output-Calculation-sheet'!G80</f>
        <v>3896114296.0293179</v>
      </c>
      <c r="H97" s="2">
        <f>H9/'Output-Calculation-sheet'!H8*'Output-Calculation-sheet'!H80</f>
        <v>4959121226.545228</v>
      </c>
      <c r="I97" s="2">
        <f>I9/'Output-Calculation-sheet'!I8*'Output-Calculation-sheet'!I80</f>
        <v>4733681306.3482094</v>
      </c>
      <c r="J97" s="2">
        <f>J9/'Output-Calculation-sheet'!J8*'Output-Calculation-sheet'!J80</f>
        <v>2701108635.2015362</v>
      </c>
      <c r="K97" s="2">
        <f>K9/'Output-Calculation-sheet'!K8*'Output-Calculation-sheet'!K80</f>
        <v>4550065928.9267063</v>
      </c>
      <c r="L97" s="2">
        <f>L9/'Output-Calculation-sheet'!L8*'Output-Calculation-sheet'!L80</f>
        <v>3292127786.8402066</v>
      </c>
      <c r="M97" s="2">
        <f>M9/'Output-Calculation-sheet'!M8*'Output-Calculation-sheet'!M80</f>
        <v>3317907021.245873</v>
      </c>
      <c r="N97" s="2">
        <f>N9/'Output-Calculation-sheet'!N8*'Output-Calculation-sheet'!N80</f>
        <v>2371557018.1836181</v>
      </c>
      <c r="O97" s="2">
        <f>O9/'Output-Calculation-sheet'!O8*'Output-Calculation-sheet'!O80</f>
        <v>1871013670.5951455</v>
      </c>
      <c r="P97" s="2">
        <f>P9/'Output-Calculation-sheet'!P8*'Output-Calculation-sheet'!P80</f>
        <v>3909980411.269207</v>
      </c>
      <c r="Q97" s="2">
        <f>Q9/'Output-Calculation-sheet'!Q8*'Output-Calculation-sheet'!Q80</f>
        <v>2164997435.8468394</v>
      </c>
      <c r="R97" s="2">
        <f>R9/'Output-Calculation-sheet'!R8*'Output-Calculation-sheet'!R80</f>
        <v>2870464660.7432542</v>
      </c>
      <c r="S97" s="2">
        <f>S9/'Output-Calculation-sheet'!S8*'Output-Calculation-sheet'!S80</f>
        <v>1810845880.6169324</v>
      </c>
      <c r="T97" s="2">
        <f>T9/'Output-Calculation-sheet'!T8*'Output-Calculation-sheet'!T80</f>
        <v>1151023910.4515591</v>
      </c>
      <c r="U97" s="2">
        <f>U9/'Output-Calculation-sheet'!U8*'Output-Calculation-sheet'!U80</f>
        <v>1073374525.5849078</v>
      </c>
      <c r="V97" s="2">
        <f>V9/'Output-Calculation-sheet'!V8*'Output-Calculation-sheet'!V80</f>
        <v>695127562.55034256</v>
      </c>
      <c r="W97" s="2">
        <f>W9/'Output-Calculation-sheet'!W8*'Output-Calculation-sheet'!W80</f>
        <v>813147911.9060148</v>
      </c>
      <c r="X97" s="2">
        <f>X9/'Output-Calculation-sheet'!X8*'Output-Calculation-sheet'!X80</f>
        <v>378634519.38116693</v>
      </c>
      <c r="Y97" s="2">
        <f>Y9/'Output-Calculation-sheet'!Y8*'Output-Calculation-sheet'!Y80</f>
        <v>418408590.93601668</v>
      </c>
      <c r="AA97" s="2">
        <f t="shared" si="8"/>
        <v>125.79408148243371</v>
      </c>
    </row>
    <row r="98" spans="1:27" x14ac:dyDescent="0.25">
      <c r="A98" s="2">
        <v>2033</v>
      </c>
      <c r="B98" s="2">
        <f>B10/'Output-Calculation-sheet'!B9*'Output-Calculation-sheet'!B81</f>
        <v>44561154923.104973</v>
      </c>
      <c r="C98" s="2">
        <f>C10/'Output-Calculation-sheet'!C9*'Output-Calculation-sheet'!C81</f>
        <v>18482957059.063076</v>
      </c>
      <c r="D98" s="2">
        <f>D10/'Output-Calculation-sheet'!D9*'Output-Calculation-sheet'!D81</f>
        <v>14498637150.837215</v>
      </c>
      <c r="E98" s="2">
        <f>E10/'Output-Calculation-sheet'!E9*'Output-Calculation-sheet'!E81</f>
        <v>17461966801.221104</v>
      </c>
      <c r="F98" s="2">
        <f>F10/'Output-Calculation-sheet'!F9*'Output-Calculation-sheet'!F81</f>
        <v>10383294030.369028</v>
      </c>
      <c r="G98" s="2">
        <f>G10/'Output-Calculation-sheet'!G9*'Output-Calculation-sheet'!G81</f>
        <v>5118206212.0317698</v>
      </c>
      <c r="H98" s="2">
        <f>H10/'Output-Calculation-sheet'!H9*'Output-Calculation-sheet'!H81</f>
        <v>6635851756.9221201</v>
      </c>
      <c r="I98" s="2">
        <f>I10/'Output-Calculation-sheet'!I9*'Output-Calculation-sheet'!I81</f>
        <v>6318857400.7805643</v>
      </c>
      <c r="J98" s="2">
        <f>J10/'Output-Calculation-sheet'!J9*'Output-Calculation-sheet'!J81</f>
        <v>3646118754.9016647</v>
      </c>
      <c r="K98" s="2">
        <f>K10/'Output-Calculation-sheet'!K9*'Output-Calculation-sheet'!K81</f>
        <v>6071753120.0324545</v>
      </c>
      <c r="L98" s="2">
        <f>L10/'Output-Calculation-sheet'!L9*'Output-Calculation-sheet'!L81</f>
        <v>4418476081.1103945</v>
      </c>
      <c r="M98" s="2">
        <f>M10/'Output-Calculation-sheet'!M9*'Output-Calculation-sheet'!M81</f>
        <v>4440529525.3491096</v>
      </c>
      <c r="N98" s="2">
        <f>N10/'Output-Calculation-sheet'!N9*'Output-Calculation-sheet'!N81</f>
        <v>3188708418.5028434</v>
      </c>
      <c r="O98" s="2">
        <f>O10/'Output-Calculation-sheet'!O9*'Output-Calculation-sheet'!O81</f>
        <v>2524617805.5956378</v>
      </c>
      <c r="P98" s="2">
        <f>P10/'Output-Calculation-sheet'!P9*'Output-Calculation-sheet'!P81</f>
        <v>5185560569.240653</v>
      </c>
      <c r="Q98" s="2">
        <f>Q10/'Output-Calculation-sheet'!Q9*'Output-Calculation-sheet'!Q81</f>
        <v>2919510074.3710337</v>
      </c>
      <c r="R98" s="2">
        <f>R10/'Output-Calculation-sheet'!R9*'Output-Calculation-sheet'!R81</f>
        <v>3845815630.9166698</v>
      </c>
      <c r="S98" s="2">
        <f>S10/'Output-Calculation-sheet'!S9*'Output-Calculation-sheet'!S81</f>
        <v>2431255916.0926237</v>
      </c>
      <c r="T98" s="2">
        <f>T10/'Output-Calculation-sheet'!T9*'Output-Calculation-sheet'!T81</f>
        <v>1530513892.813252</v>
      </c>
      <c r="U98" s="2">
        <f>U10/'Output-Calculation-sheet'!U9*'Output-Calculation-sheet'!U81</f>
        <v>1434013705.1299481</v>
      </c>
      <c r="V98" s="2">
        <f>V10/'Output-Calculation-sheet'!V9*'Output-Calculation-sheet'!V81</f>
        <v>933987088.94357383</v>
      </c>
      <c r="W98" s="2">
        <f>W10/'Output-Calculation-sheet'!W9*'Output-Calculation-sheet'!W81</f>
        <v>1069553717.1886864</v>
      </c>
      <c r="X98" s="2">
        <f>X10/'Output-Calculation-sheet'!X9*'Output-Calculation-sheet'!X81</f>
        <v>506550058.17440325</v>
      </c>
      <c r="Y98" s="2">
        <f>Y10/'Output-Calculation-sheet'!Y9*'Output-Calculation-sheet'!Y81</f>
        <v>552942701.59400225</v>
      </c>
      <c r="AA98" s="2">
        <f t="shared" si="8"/>
        <v>168.16083239428681</v>
      </c>
    </row>
    <row r="99" spans="1:27" x14ac:dyDescent="0.25">
      <c r="A99" s="2">
        <v>2034</v>
      </c>
      <c r="B99" s="2">
        <f>B11/'Output-Calculation-sheet'!B10*'Output-Calculation-sheet'!B82</f>
        <v>56814791201.87841</v>
      </c>
      <c r="C99" s="2">
        <f>C11/'Output-Calculation-sheet'!C10*'Output-Calculation-sheet'!C82</f>
        <v>23593427801.719788</v>
      </c>
      <c r="D99" s="2">
        <f>D11/'Output-Calculation-sheet'!D10*'Output-Calculation-sheet'!D82</f>
        <v>18382770664.077431</v>
      </c>
      <c r="E99" s="2">
        <f>E11/'Output-Calculation-sheet'!E10*'Output-Calculation-sheet'!E82</f>
        <v>22088243797.547859</v>
      </c>
      <c r="F99" s="2">
        <f>F11/'Output-Calculation-sheet'!F10*'Output-Calculation-sheet'!F82</f>
        <v>13177693847.299751</v>
      </c>
      <c r="G99" s="2">
        <f>G11/'Output-Calculation-sheet'!G10*'Output-Calculation-sheet'!G82</f>
        <v>6400049074.2026968</v>
      </c>
      <c r="H99" s="2">
        <f>H11/'Output-Calculation-sheet'!H10*'Output-Calculation-sheet'!H82</f>
        <v>8445906588.6856976</v>
      </c>
      <c r="I99" s="2">
        <f>I11/'Output-Calculation-sheet'!I10*'Output-Calculation-sheet'!I82</f>
        <v>8025127536.4691868</v>
      </c>
      <c r="J99" s="2">
        <f>J11/'Output-Calculation-sheet'!J10*'Output-Calculation-sheet'!J82</f>
        <v>4683808707.6067514</v>
      </c>
      <c r="K99" s="2">
        <f>K11/'Output-Calculation-sheet'!K10*'Output-Calculation-sheet'!K82</f>
        <v>7708188489.4927053</v>
      </c>
      <c r="L99" s="2">
        <f>L11/'Output-Calculation-sheet'!L10*'Output-Calculation-sheet'!L82</f>
        <v>5640373999.5796423</v>
      </c>
      <c r="M99" s="2">
        <f>M11/'Output-Calculation-sheet'!M10*'Output-Calculation-sheet'!M82</f>
        <v>5653737569.9567537</v>
      </c>
      <c r="N99" s="2">
        <f>N11/'Output-Calculation-sheet'!N10*'Output-Calculation-sheet'!N82</f>
        <v>4080094589.3534799</v>
      </c>
      <c r="O99" s="2">
        <f>O11/'Output-Calculation-sheet'!O10*'Output-Calculation-sheet'!O82</f>
        <v>3240892319.604176</v>
      </c>
      <c r="P99" s="2">
        <f>P11/'Output-Calculation-sheet'!P10*'Output-Calculation-sheet'!P82</f>
        <v>6542139129.3718901</v>
      </c>
      <c r="Q99" s="2">
        <f>Q11/'Output-Calculation-sheet'!Q10*'Output-Calculation-sheet'!Q82</f>
        <v>3745456349.7442398</v>
      </c>
      <c r="R99" s="2">
        <f>R11/'Output-Calculation-sheet'!R10*'Output-Calculation-sheet'!R82</f>
        <v>4900756999.6107054</v>
      </c>
      <c r="S99" s="2">
        <f>S11/'Output-Calculation-sheet'!S10*'Output-Calculation-sheet'!S82</f>
        <v>3104310027.5198116</v>
      </c>
      <c r="T99" s="2">
        <f>T11/'Output-Calculation-sheet'!T10*'Output-Calculation-sheet'!T82</f>
        <v>1936419094.2274392</v>
      </c>
      <c r="U99" s="2">
        <f>U11/'Output-Calculation-sheet'!U10*'Output-Calculation-sheet'!U82</f>
        <v>1821419517.6558597</v>
      </c>
      <c r="V99" s="2">
        <f>V11/'Output-Calculation-sheet'!V10*'Output-Calculation-sheet'!V82</f>
        <v>1192893130.1650944</v>
      </c>
      <c r="W99" s="2">
        <f>W11/'Output-Calculation-sheet'!W10*'Output-Calculation-sheet'!W82</f>
        <v>1338567469.0651546</v>
      </c>
      <c r="X99" s="2">
        <f>X11/'Output-Calculation-sheet'!X10*'Output-Calculation-sheet'!X82</f>
        <v>644654292.96181011</v>
      </c>
      <c r="Y99" s="2">
        <f>Y11/'Output-Calculation-sheet'!Y10*'Output-Calculation-sheet'!Y82</f>
        <v>695498933.65304708</v>
      </c>
      <c r="AA99" s="2">
        <f t="shared" si="8"/>
        <v>213.85722113144939</v>
      </c>
    </row>
    <row r="100" spans="1:27" x14ac:dyDescent="0.25">
      <c r="A100" s="2">
        <v>2035</v>
      </c>
      <c r="B100" s="2">
        <f>B12/'Output-Calculation-sheet'!B11*'Output-Calculation-sheet'!B83</f>
        <v>69997910414.053146</v>
      </c>
      <c r="C100" s="2">
        <f>C12/'Output-Calculation-sheet'!C11*'Output-Calculation-sheet'!C83</f>
        <v>29106390235.168362</v>
      </c>
      <c r="D100" s="2">
        <f>D12/'Output-Calculation-sheet'!D11*'Output-Calculation-sheet'!D83</f>
        <v>22543367301.803638</v>
      </c>
      <c r="E100" s="2">
        <f>E12/'Output-Calculation-sheet'!E11*'Output-Calculation-sheet'!E83</f>
        <v>27012391792.863369</v>
      </c>
      <c r="F100" s="2">
        <f>F12/'Output-Calculation-sheet'!F11*'Output-Calculation-sheet'!F83</f>
        <v>16165560671.656992</v>
      </c>
      <c r="G100" s="2">
        <f>G12/'Output-Calculation-sheet'!G11*'Output-Calculation-sheet'!G83</f>
        <v>7740249500.6256227</v>
      </c>
      <c r="H100" s="2">
        <f>H12/'Output-Calculation-sheet'!H11*'Output-Calculation-sheet'!H83</f>
        <v>10389066880.43622</v>
      </c>
      <c r="I100" s="2">
        <f>I12/'Output-Calculation-sheet'!I11*'Output-Calculation-sheet'!I83</f>
        <v>9852608855.0053558</v>
      </c>
      <c r="J100" s="2">
        <f>J12/'Output-Calculation-sheet'!J11*'Output-Calculation-sheet'!J83</f>
        <v>5817613339.8142204</v>
      </c>
      <c r="K100" s="2">
        <f>K12/'Output-Calculation-sheet'!K11*'Output-Calculation-sheet'!K83</f>
        <v>9459224258.5927029</v>
      </c>
      <c r="L100" s="2">
        <f>L12/'Output-Calculation-sheet'!L11*'Output-Calculation-sheet'!L83</f>
        <v>6958312435.9369478</v>
      </c>
      <c r="M100" s="2">
        <f>M12/'Output-Calculation-sheet'!M11*'Output-Calculation-sheet'!M83</f>
        <v>6957913189.4145823</v>
      </c>
      <c r="N100" s="2">
        <f>N12/'Output-Calculation-sheet'!N11*'Output-Calculation-sheet'!N83</f>
        <v>5047768783.2871904</v>
      </c>
      <c r="O100" s="2">
        <f>O12/'Output-Calculation-sheet'!O11*'Output-Calculation-sheet'!O83</f>
        <v>4021524776.0327191</v>
      </c>
      <c r="P100" s="2">
        <f>P12/'Output-Calculation-sheet'!P11*'Output-Calculation-sheet'!P83</f>
        <v>7977861981.9758978</v>
      </c>
      <c r="Q100" s="2">
        <f>Q12/'Output-Calculation-sheet'!Q11*'Output-Calculation-sheet'!Q83</f>
        <v>4644583268.8626795</v>
      </c>
      <c r="R100" s="2">
        <f>R12/'Output-Calculation-sheet'!R11*'Output-Calculation-sheet'!R83</f>
        <v>6035340931.3772993</v>
      </c>
      <c r="S100" s="2">
        <f>S12/'Output-Calculation-sheet'!S11*'Output-Calculation-sheet'!S83</f>
        <v>3830139026.0120726</v>
      </c>
      <c r="T100" s="2">
        <f>T12/'Output-Calculation-sheet'!T11*'Output-Calculation-sheet'!T83</f>
        <v>2368608740.6009603</v>
      </c>
      <c r="U100" s="2">
        <f>U12/'Output-Calculation-sheet'!U11*'Output-Calculation-sheet'!U83</f>
        <v>2235044137.6575508</v>
      </c>
      <c r="V100" s="2">
        <f>V12/'Output-Calculation-sheet'!V11*'Output-Calculation-sheet'!V83</f>
        <v>1471663319.1831355</v>
      </c>
      <c r="W100" s="2">
        <f>W12/'Output-Calculation-sheet'!W11*'Output-Calculation-sheet'!W83</f>
        <v>1619593498.8087573</v>
      </c>
      <c r="X100" s="2">
        <f>X12/'Output-Calculation-sheet'!X11*'Output-Calculation-sheet'!X83</f>
        <v>792955823.11517525</v>
      </c>
      <c r="Y100" s="2">
        <f>Y12/'Output-Calculation-sheet'!Y11*'Output-Calculation-sheet'!Y83</f>
        <v>845993226.60249138</v>
      </c>
      <c r="AA100" s="2">
        <f t="shared" si="8"/>
        <v>262.89168638888702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1665572967.2367306</v>
      </c>
      <c r="C107" s="2">
        <f>C8/'Output-Calculation-sheet'!C7*'Output-Calculation-sheet'!C88</f>
        <v>27430189890.968868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8558362490.7750072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5904556675.2622757</v>
      </c>
      <c r="N107" s="2">
        <f>N8/'Output-Calculation-sheet'!N7*'Output-Calculation-sheet'!N88</f>
        <v>1976363472.5229185</v>
      </c>
      <c r="O107" s="2">
        <f>O8/'Output-Calculation-sheet'!O7*'Output-Calculation-sheet'!O88</f>
        <v>5329710938.8352585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592576203.03968656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639465377.74312174</v>
      </c>
      <c r="Y107" s="2">
        <f>Y8/'Output-Calculation-sheet'!Y7*'Output-Calculation-sheet'!Y88</f>
        <v>0</v>
      </c>
      <c r="AA107" s="2">
        <f t="shared" si="9"/>
        <v>52096.798016383866</v>
      </c>
    </row>
    <row r="108" spans="1:27" x14ac:dyDescent="0.25">
      <c r="A108" s="2">
        <v>2032</v>
      </c>
      <c r="B108" s="2">
        <f>B9/'Output-Calculation-sheet'!B8*'Output-Calculation-sheet'!B89</f>
        <v>7847114528.2792015</v>
      </c>
      <c r="C108" s="2">
        <f>C9/'Output-Calculation-sheet'!C8*'Output-Calculation-sheet'!C89</f>
        <v>39336977417.973747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12272865235.774914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8467209849.0340624</v>
      </c>
      <c r="N108" s="2">
        <f>N9/'Output-Calculation-sheet'!N8*'Output-Calculation-sheet'!N89</f>
        <v>3972718336.1480699</v>
      </c>
      <c r="O108" s="2">
        <f>O9/'Output-Calculation-sheet'!O8*'Output-Calculation-sheet'!O89</f>
        <v>7643208171.0722246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1200430456.5176468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917024135.97605932</v>
      </c>
      <c r="Y108" s="2">
        <f>Y9/'Output-Calculation-sheet'!Y8*'Output-Calculation-sheet'!Y89</f>
        <v>0</v>
      </c>
      <c r="AA108" s="2">
        <f t="shared" si="9"/>
        <v>81657.548130775918</v>
      </c>
    </row>
    <row r="109" spans="1:27" x14ac:dyDescent="0.25">
      <c r="A109" s="2">
        <v>2033</v>
      </c>
      <c r="B109" s="2">
        <f>B10/'Output-Calculation-sheet'!B9*'Output-Calculation-sheet'!B90</f>
        <v>22108712663.608074</v>
      </c>
      <c r="C109" s="2">
        <f>C10/'Output-Calculation-sheet'!C9*'Output-Calculation-sheet'!C90</f>
        <v>52251196766.039307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16302007563.231153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11246968561.754423</v>
      </c>
      <c r="N109" s="2">
        <f>N10/'Output-Calculation-sheet'!N9*'Output-Calculation-sheet'!N90</f>
        <v>6626058090.5630999</v>
      </c>
      <c r="O109" s="2">
        <f>O10/'Output-Calculation-sheet'!O9*'Output-Calculation-sheet'!O90</f>
        <v>9680091985.6654434</v>
      </c>
      <c r="P109" s="2">
        <f>P10/'Output-Calculation-sheet'!P9*'Output-Calculation-sheet'!P90</f>
        <v>0</v>
      </c>
      <c r="Q109" s="2">
        <f>Q10/'Output-Calculation-sheet'!Q9*'Output-Calculation-sheet'!Q90</f>
        <v>215674802.62150526</v>
      </c>
      <c r="R109" s="2">
        <f>R10/'Output-Calculation-sheet'!R9*'Output-Calculation-sheet'!R90</f>
        <v>0</v>
      </c>
      <c r="S109" s="2">
        <f>S10/'Output-Calculation-sheet'!S9*'Output-Calculation-sheet'!S90</f>
        <v>2671267162.4737678</v>
      </c>
      <c r="T109" s="2">
        <f>T10/'Output-Calculation-sheet'!T9*'Output-Calculation-sheet'!T90</f>
        <v>-4.439540269335923E-7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1218080723.4164708</v>
      </c>
      <c r="Y109" s="2">
        <f>Y10/'Output-Calculation-sheet'!Y9*'Output-Calculation-sheet'!Y90</f>
        <v>0</v>
      </c>
      <c r="AA109" s="2">
        <f t="shared" si="9"/>
        <v>122320.05831937326</v>
      </c>
    </row>
    <row r="110" spans="1:27" x14ac:dyDescent="0.25">
      <c r="A110" s="2">
        <v>2034</v>
      </c>
      <c r="B110" s="2">
        <f>B11/'Output-Calculation-sheet'!B10*'Output-Calculation-sheet'!B91</f>
        <v>55201476259.7118</v>
      </c>
      <c r="C110" s="2">
        <f>C11/'Output-Calculation-sheet'!C10*'Output-Calculation-sheet'!C91</f>
        <v>61148250134.346359</v>
      </c>
      <c r="D110" s="2">
        <f>D11/'Output-Calculation-sheet'!D10*'Output-Calculation-sheet'!D91</f>
        <v>0</v>
      </c>
      <c r="E110" s="2">
        <f>E11/'Output-Calculation-sheet'!E10*'Output-Calculation-sheet'!E91</f>
        <v>1155255463.0753677</v>
      </c>
      <c r="F110" s="2">
        <f>F11/'Output-Calculation-sheet'!F10*'Output-Calculation-sheet'!F91</f>
        <v>0</v>
      </c>
      <c r="G110" s="2">
        <f>G11/'Output-Calculation-sheet'!G10*'Output-Calculation-sheet'!G91</f>
        <v>-2.6042114048221275E-6</v>
      </c>
      <c r="H110" s="2">
        <f>H11/'Output-Calculation-sheet'!H10*'Output-Calculation-sheet'!H91</f>
        <v>20603913096.276318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938001721.94190454</v>
      </c>
      <c r="M110" s="2">
        <f>M11/'Output-Calculation-sheet'!M10*'Output-Calculation-sheet'!M91</f>
        <v>14214907167.072985</v>
      </c>
      <c r="N110" s="2">
        <f>N11/'Output-Calculation-sheet'!N10*'Output-Calculation-sheet'!N91</f>
        <v>9833017485.7181644</v>
      </c>
      <c r="O110" s="2">
        <f>O11/'Output-Calculation-sheet'!O10*'Output-Calculation-sheet'!O91</f>
        <v>11273053433.870491</v>
      </c>
      <c r="P110" s="2">
        <f>P11/'Output-Calculation-sheet'!P10*'Output-Calculation-sheet'!P91</f>
        <v>1.0494588630710921E-6</v>
      </c>
      <c r="Q110" s="2">
        <f>Q11/'Output-Calculation-sheet'!Q10*'Output-Calculation-sheet'!Q91</f>
        <v>2502433812.1395574</v>
      </c>
      <c r="R110" s="2">
        <f>R11/'Output-Calculation-sheet'!R10*'Output-Calculation-sheet'!R91</f>
        <v>0</v>
      </c>
      <c r="S110" s="2">
        <f>S11/'Output-Calculation-sheet'!S10*'Output-Calculation-sheet'!S91</f>
        <v>4834544198.2573624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1403213626.2729847</v>
      </c>
      <c r="Y110" s="2">
        <f>Y11/'Output-Calculation-sheet'!Y10*'Output-Calculation-sheet'!Y91</f>
        <v>61644043.364380561</v>
      </c>
      <c r="AA110" s="2">
        <f t="shared" si="9"/>
        <v>183169.71044204768</v>
      </c>
    </row>
    <row r="111" spans="1:27" x14ac:dyDescent="0.25">
      <c r="A111" s="2">
        <v>2035</v>
      </c>
      <c r="B111" s="2">
        <f>B12/'Output-Calculation-sheet'!B11*'Output-Calculation-sheet'!B92</f>
        <v>84186017758.473938</v>
      </c>
      <c r="C111" s="2">
        <f>C12/'Output-Calculation-sheet'!C11*'Output-Calculation-sheet'!C92</f>
        <v>70733917947.016846</v>
      </c>
      <c r="D111" s="2">
        <f>D12/'Output-Calculation-sheet'!D11*'Output-Calculation-sheet'!D92</f>
        <v>0</v>
      </c>
      <c r="E111" s="2">
        <f>E12/'Output-Calculation-sheet'!E11*'Output-Calculation-sheet'!E92</f>
        <v>9567779391.4465199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24009942277.28273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3080000235.1425939</v>
      </c>
      <c r="M111" s="2">
        <f>M12/'Output-Calculation-sheet'!M11*'Output-Calculation-sheet'!M92</f>
        <v>16621723149.522688</v>
      </c>
      <c r="N111" s="2">
        <f>N12/'Output-Calculation-sheet'!N11*'Output-Calculation-sheet'!N92</f>
        <v>11917799807.489065</v>
      </c>
      <c r="O111" s="2">
        <f>O12/'Output-Calculation-sheet'!O11*'Output-Calculation-sheet'!O92</f>
        <v>12702338440.220705</v>
      </c>
      <c r="P111" s="2">
        <f>P12/'Output-Calculation-sheet'!P11*'Output-Calculation-sheet'!P92</f>
        <v>653688670.90496218</v>
      </c>
      <c r="Q111" s="2">
        <f>Q12/'Output-Calculation-sheet'!Q11*'Output-Calculation-sheet'!Q92</f>
        <v>5120138057.460083</v>
      </c>
      <c r="R111" s="2">
        <f>R12/'Output-Calculation-sheet'!R11*'Output-Calculation-sheet'!R92</f>
        <v>0</v>
      </c>
      <c r="S111" s="2">
        <f>S12/'Output-Calculation-sheet'!S11*'Output-Calculation-sheet'!S92</f>
        <v>6410077252.5139933</v>
      </c>
      <c r="T111" s="2">
        <f>T12/'Output-Calculation-sheet'!T11*'Output-Calculation-sheet'!T92</f>
        <v>0</v>
      </c>
      <c r="U111" s="2">
        <f>U12/'Output-Calculation-sheet'!U11*'Output-Calculation-sheet'!U92</f>
        <v>227677910.68581024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1633173427.8891785</v>
      </c>
      <c r="Y111" s="2">
        <f>Y12/'Output-Calculation-sheet'!Y11*'Output-Calculation-sheet'!Y92</f>
        <v>386394420.04865026</v>
      </c>
      <c r="AA111" s="2">
        <f t="shared" si="9"/>
        <v>247250.6687460978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56554976654.52269</v>
      </c>
      <c r="C118" s="2">
        <f>C8/'Output-Calculation-sheet'!C7*'Output-Calculation-sheet'!C97</f>
        <v>0</v>
      </c>
      <c r="D118" s="2">
        <f>D8/'Output-Calculation-sheet'!D7*'Output-Calculation-sheet'!D97</f>
        <v>24453301712.0415</v>
      </c>
      <c r="E118" s="2">
        <f>E8/'Output-Calculation-sheet'!E7*'Output-Calculation-sheet'!E97</f>
        <v>19401213465.735241</v>
      </c>
      <c r="F118" s="2">
        <f>F8/'Output-Calculation-sheet'!F7*'Output-Calculation-sheet'!F97</f>
        <v>12489257313.699242</v>
      </c>
      <c r="G118" s="2">
        <f>G8/'Output-Calculation-sheet'!G7*'Output-Calculation-sheet'!G97</f>
        <v>8775294947.020607</v>
      </c>
      <c r="H118" s="2">
        <f>H8/'Output-Calculation-sheet'!H7*'Output-Calculation-sheet'!H97</f>
        <v>0</v>
      </c>
      <c r="I118" s="2">
        <f>I8/'Output-Calculation-sheet'!I7*'Output-Calculation-sheet'!I97</f>
        <v>7994984463.3933926</v>
      </c>
      <c r="J118" s="2">
        <f>J8/'Output-Calculation-sheet'!J7*'Output-Calculation-sheet'!J97</f>
        <v>7781767215.6882114</v>
      </c>
      <c r="K118" s="2">
        <f>K8/'Output-Calculation-sheet'!K7*'Output-Calculation-sheet'!K97</f>
        <v>7707163507.2928209</v>
      </c>
      <c r="L118" s="2">
        <f>L8/'Output-Calculation-sheet'!L7*'Output-Calculation-sheet'!L97</f>
        <v>6182786780.0361214</v>
      </c>
      <c r="M118" s="2">
        <f>M8/'Output-Calculation-sheet'!M7*'Output-Calculation-sheet'!M97</f>
        <v>0</v>
      </c>
      <c r="N118" s="2">
        <f>N8/'Output-Calculation-sheet'!N7*'Output-Calculation-sheet'!N97</f>
        <v>3819948943.9976864</v>
      </c>
      <c r="O118" s="2">
        <f>O8/'Output-Calculation-sheet'!O7*'Output-Calculation-sheet'!O97</f>
        <v>0</v>
      </c>
      <c r="P118" s="2">
        <f>P8/'Output-Calculation-sheet'!P7*'Output-Calculation-sheet'!P97</f>
        <v>5276689745.8396435</v>
      </c>
      <c r="Q118" s="2">
        <f>Q8/'Output-Calculation-sheet'!Q7*'Output-Calculation-sheet'!Q97</f>
        <v>5191408927.5708923</v>
      </c>
      <c r="R118" s="2">
        <f>R8/'Output-Calculation-sheet'!R7*'Output-Calculation-sheet'!R97</f>
        <v>4994374142.6479139</v>
      </c>
      <c r="S118" s="2">
        <f>S8/'Output-Calculation-sheet'!S7*'Output-Calculation-sheet'!S97</f>
        <v>2726941603.677279</v>
      </c>
      <c r="T118" s="2">
        <f>T8/'Output-Calculation-sheet'!T7*'Output-Calculation-sheet'!T97</f>
        <v>1835889348.3269577</v>
      </c>
      <c r="U118" s="2">
        <f>U8/'Output-Calculation-sheet'!U7*'Output-Calculation-sheet'!U97</f>
        <v>1598996578.7249329</v>
      </c>
      <c r="V118" s="2">
        <f>V8/'Output-Calculation-sheet'!V7*'Output-Calculation-sheet'!V97</f>
        <v>1231259829.3872526</v>
      </c>
      <c r="W118" s="2">
        <f>W8/'Output-Calculation-sheet'!W7*'Output-Calculation-sheet'!W97</f>
        <v>1065997718.8234779</v>
      </c>
      <c r="X118" s="2">
        <f>X8/'Output-Calculation-sheet'!X7*'Output-Calculation-sheet'!X97</f>
        <v>0</v>
      </c>
      <c r="Y118" s="2">
        <f>Y8/'Output-Calculation-sheet'!Y7*'Output-Calculation-sheet'!Y97</f>
        <v>622003516.23579383</v>
      </c>
      <c r="AA118" s="2">
        <f t="shared" si="10"/>
        <v>179704.25641466165</v>
      </c>
    </row>
    <row r="119" spans="1:27" x14ac:dyDescent="0.25">
      <c r="A119" s="2">
        <v>2032</v>
      </c>
      <c r="B119" s="2">
        <f>B9/'Output-Calculation-sheet'!B8*'Output-Calculation-sheet'!B98</f>
        <v>75641750404.685486</v>
      </c>
      <c r="C119" s="2">
        <f>C9/'Output-Calculation-sheet'!C8*'Output-Calculation-sheet'!C98</f>
        <v>0</v>
      </c>
      <c r="D119" s="2">
        <f>D9/'Output-Calculation-sheet'!D8*'Output-Calculation-sheet'!D98</f>
        <v>35066287957.821266</v>
      </c>
      <c r="E119" s="2">
        <f>E9/'Output-Calculation-sheet'!E8*'Output-Calculation-sheet'!E98</f>
        <v>27821534548.129963</v>
      </c>
      <c r="F119" s="2">
        <f>F9/'Output-Calculation-sheet'!F8*'Output-Calculation-sheet'!F98</f>
        <v>17909725699.680504</v>
      </c>
      <c r="G119" s="2">
        <f>G9/'Output-Calculation-sheet'!G8*'Output-Calculation-sheet'!G98</f>
        <v>12583864837.006424</v>
      </c>
      <c r="H119" s="2">
        <f>H9/'Output-Calculation-sheet'!H8*'Output-Calculation-sheet'!H98</f>
        <v>0</v>
      </c>
      <c r="I119" s="2">
        <f>I9/'Output-Calculation-sheet'!I8*'Output-Calculation-sheet'!I98</f>
        <v>11464892294.669052</v>
      </c>
      <c r="J119" s="2">
        <f>J9/'Output-Calculation-sheet'!J8*'Output-Calculation-sheet'!J98</f>
        <v>11159132172.867781</v>
      </c>
      <c r="K119" s="2">
        <f>K9/'Output-Calculation-sheet'!K8*'Output-Calculation-sheet'!K98</f>
        <v>11052151441.179342</v>
      </c>
      <c r="L119" s="2">
        <f>L9/'Output-Calculation-sheet'!L8*'Output-Calculation-sheet'!L98</f>
        <v>8866181668.2719479</v>
      </c>
      <c r="M119" s="2">
        <f>M9/'Output-Calculation-sheet'!M8*'Output-Calculation-sheet'!M98</f>
        <v>0</v>
      </c>
      <c r="N119" s="2">
        <f>N9/'Output-Calculation-sheet'!N8*'Output-Calculation-sheet'!N98</f>
        <v>4338560860.9411964</v>
      </c>
      <c r="O119" s="2">
        <f>O9/'Output-Calculation-sheet'!O8*'Output-Calculation-sheet'!O98</f>
        <v>7.7857921487345988E-7</v>
      </c>
      <c r="P119" s="2">
        <f>P9/'Output-Calculation-sheet'!P8*'Output-Calculation-sheet'!P98</f>
        <v>7566777767.4390755</v>
      </c>
      <c r="Q119" s="2">
        <f>Q9/'Output-Calculation-sheet'!Q8*'Output-Calculation-sheet'!Q98</f>
        <v>7444534160.5126448</v>
      </c>
      <c r="R119" s="2">
        <f>R9/'Output-Calculation-sheet'!R8*'Output-Calculation-sheet'!R98</f>
        <v>7161984815.0467253</v>
      </c>
      <c r="S119" s="2">
        <f>S9/'Output-Calculation-sheet'!S8*'Output-Calculation-sheet'!S98</f>
        <v>3559537399.016345</v>
      </c>
      <c r="T119" s="2">
        <f>T9/'Output-Calculation-sheet'!T8*'Output-Calculation-sheet'!T98</f>
        <v>2632683929.9251475</v>
      </c>
      <c r="U119" s="2">
        <f>U9/'Output-Calculation-sheet'!U8*'Output-Calculation-sheet'!U98</f>
        <v>2292978198.4067574</v>
      </c>
      <c r="V119" s="2">
        <f>V9/'Output-Calculation-sheet'!V8*'Output-Calculation-sheet'!V98</f>
        <v>1765639072.6263969</v>
      </c>
      <c r="W119" s="2">
        <f>W9/'Output-Calculation-sheet'!W8*'Output-Calculation-sheet'!W98</f>
        <v>1528651892.0639939</v>
      </c>
      <c r="X119" s="2">
        <f>X9/'Output-Calculation-sheet'!X8*'Output-Calculation-sheet'!X98</f>
        <v>0</v>
      </c>
      <c r="Y119" s="2">
        <f>Y9/'Output-Calculation-sheet'!Y8*'Output-Calculation-sheet'!Y98</f>
        <v>891959207.49399126</v>
      </c>
      <c r="AA119" s="2">
        <f t="shared" si="10"/>
        <v>250748.82832778408</v>
      </c>
    </row>
    <row r="120" spans="1:27" x14ac:dyDescent="0.25">
      <c r="A120" s="2">
        <v>2033</v>
      </c>
      <c r="B120" s="2">
        <f>B10/'Output-Calculation-sheet'!B9*'Output-Calculation-sheet'!B99</f>
        <v>88779232631.058395</v>
      </c>
      <c r="C120" s="2">
        <f>C10/'Output-Calculation-sheet'!C9*'Output-Calculation-sheet'!C99</f>
        <v>0</v>
      </c>
      <c r="D120" s="2">
        <f>D10/'Output-Calculation-sheet'!D9*'Output-Calculation-sheet'!D99</f>
        <v>46577042516.001038</v>
      </c>
      <c r="E120" s="2">
        <f>E10/'Output-Calculation-sheet'!E9*'Output-Calculation-sheet'!E99</f>
        <v>36954151932.766426</v>
      </c>
      <c r="F120" s="2">
        <f>F10/'Output-Calculation-sheet'!F9*'Output-Calculation-sheet'!F99</f>
        <v>23788713686.026421</v>
      </c>
      <c r="G120" s="2">
        <f>G10/'Output-Calculation-sheet'!G9*'Output-Calculation-sheet'!G99</f>
        <v>16714603099.427715</v>
      </c>
      <c r="H120" s="2">
        <f>H10/'Output-Calculation-sheet'!H9*'Output-Calculation-sheet'!H99</f>
        <v>0</v>
      </c>
      <c r="I120" s="2">
        <f>I10/'Output-Calculation-sheet'!I9*'Output-Calculation-sheet'!I99</f>
        <v>15228321108.258501</v>
      </c>
      <c r="J120" s="2">
        <f>J10/'Output-Calculation-sheet'!J9*'Output-Calculation-sheet'!J99</f>
        <v>14822193122.869463</v>
      </c>
      <c r="K120" s="2">
        <f>K10/'Output-Calculation-sheet'!K9*'Output-Calculation-sheet'!K99</f>
        <v>14680096774.471441</v>
      </c>
      <c r="L120" s="2">
        <f>L10/'Output-Calculation-sheet'!L9*'Output-Calculation-sheet'!L99</f>
        <v>11776566044.54587</v>
      </c>
      <c r="M120" s="2">
        <f>M10/'Output-Calculation-sheet'!M9*'Output-Calculation-sheet'!M99</f>
        <v>0</v>
      </c>
      <c r="N120" s="2">
        <f>N10/'Output-Calculation-sheet'!N9*'Output-Calculation-sheet'!N99</f>
        <v>4412804671.8494263</v>
      </c>
      <c r="O120" s="2">
        <f>O10/'Output-Calculation-sheet'!O9*'Output-Calculation-sheet'!O99</f>
        <v>0</v>
      </c>
      <c r="P120" s="2">
        <f>P10/'Output-Calculation-sheet'!P9*'Output-Calculation-sheet'!P99</f>
        <v>10050096456.49291</v>
      </c>
      <c r="Q120" s="2">
        <f>Q10/'Output-Calculation-sheet'!Q9*'Output-Calculation-sheet'!Q99</f>
        <v>9672481630.5125313</v>
      </c>
      <c r="R120" s="2">
        <f>R10/'Output-Calculation-sheet'!R9*'Output-Calculation-sheet'!R99</f>
        <v>9512503461.0639706</v>
      </c>
      <c r="S120" s="2">
        <f>S10/'Output-Calculation-sheet'!S9*'Output-Calculation-sheet'!S99</f>
        <v>3650770265.6799035</v>
      </c>
      <c r="T120" s="2">
        <f>T10/'Output-Calculation-sheet'!T9*'Output-Calculation-sheet'!T99</f>
        <v>3496850242.3591032</v>
      </c>
      <c r="U120" s="2">
        <f>U10/'Output-Calculation-sheet'!U9*'Output-Calculation-sheet'!U99</f>
        <v>3046325814.2935829</v>
      </c>
      <c r="V120" s="2">
        <f>V10/'Output-Calculation-sheet'!V9*'Output-Calculation-sheet'!V99</f>
        <v>2345222216.1346664</v>
      </c>
      <c r="W120" s="2">
        <f>W10/'Output-Calculation-sheet'!W9*'Output-Calculation-sheet'!W99</f>
        <v>2030442686.4762449</v>
      </c>
      <c r="X120" s="2">
        <f>X10/'Output-Calculation-sheet'!X9*'Output-Calculation-sheet'!X99</f>
        <v>0</v>
      </c>
      <c r="Y120" s="2">
        <f>Y10/'Output-Calculation-sheet'!Y9*'Output-Calculation-sheet'!Y99</f>
        <v>1184752660.1700234</v>
      </c>
      <c r="AA120" s="2">
        <f t="shared" si="10"/>
        <v>318723.1710204577</v>
      </c>
    </row>
    <row r="121" spans="1:27" x14ac:dyDescent="0.25">
      <c r="A121" s="2">
        <v>2034</v>
      </c>
      <c r="B121" s="2">
        <f>B11/'Output-Calculation-sheet'!B10*'Output-Calculation-sheet'!B100</f>
        <v>84936242513.480881</v>
      </c>
      <c r="C121" s="2">
        <f>C11/'Output-Calculation-sheet'!C10*'Output-Calculation-sheet'!C100</f>
        <v>0</v>
      </c>
      <c r="D121" s="2">
        <f>D11/'Output-Calculation-sheet'!D10*'Output-Calculation-sheet'!D100</f>
        <v>58866896177.636398</v>
      </c>
      <c r="E121" s="2">
        <f>E11/'Output-Calculation-sheet'!E10*'Output-Calculation-sheet'!E100</f>
        <v>45547671412.951843</v>
      </c>
      <c r="F121" s="2">
        <f>F11/'Output-Calculation-sheet'!F10*'Output-Calculation-sheet'!F100</f>
        <v>30065459689.927254</v>
      </c>
      <c r="G121" s="2">
        <f>G11/'Output-Calculation-sheet'!G10*'Output-Calculation-sheet'!G100</f>
        <v>21123781708.734509</v>
      </c>
      <c r="H121" s="2">
        <f>H11/'Output-Calculation-sheet'!H10*'Output-Calculation-sheet'!H100</f>
        <v>2.5430654531935532E-7</v>
      </c>
      <c r="I121" s="2">
        <f>I11/'Output-Calculation-sheet'!I10*'Output-Calculation-sheet'!I100</f>
        <v>19245796632.70961</v>
      </c>
      <c r="J121" s="2">
        <f>J11/'Output-Calculation-sheet'!J10*'Output-Calculation-sheet'!J100</f>
        <v>18732703302.906929</v>
      </c>
      <c r="K121" s="2">
        <f>K11/'Output-Calculation-sheet'!K10*'Output-Calculation-sheet'!K100</f>
        <v>18553605833.481415</v>
      </c>
      <c r="L121" s="2">
        <f>L11/'Output-Calculation-sheet'!L10*'Output-Calculation-sheet'!L100</f>
        <v>13945490733.476873</v>
      </c>
      <c r="M121" s="2">
        <f>M11/'Output-Calculation-sheet'!M10*'Output-Calculation-sheet'!M100</f>
        <v>-1.6515181704341271E-7</v>
      </c>
      <c r="N121" s="2">
        <f>N11/'Output-Calculation-sheet'!N10*'Output-Calculation-sheet'!N100</f>
        <v>4118869236.2822056</v>
      </c>
      <c r="O121" s="2">
        <f>O11/'Output-Calculation-sheet'!O10*'Output-Calculation-sheet'!O100</f>
        <v>0</v>
      </c>
      <c r="P121" s="2">
        <f>P11/'Output-Calculation-sheet'!P10*'Output-Calculation-sheet'!P100</f>
        <v>12701399172.993574</v>
      </c>
      <c r="Q121" s="2">
        <f>Q11/'Output-Calculation-sheet'!Q10*'Output-Calculation-sheet'!Q100</f>
        <v>9993796986.6726685</v>
      </c>
      <c r="R121" s="2">
        <f>R11/'Output-Calculation-sheet'!R10*'Output-Calculation-sheet'!R100</f>
        <v>12021960781.149881</v>
      </c>
      <c r="S121" s="2">
        <f>S11/'Output-Calculation-sheet'!S10*'Output-Calculation-sheet'!S100</f>
        <v>3155565283.0336723</v>
      </c>
      <c r="T121" s="2">
        <f>T11/'Output-Calculation-sheet'!T10*'Output-Calculation-sheet'!T100</f>
        <v>4419267751.4941578</v>
      </c>
      <c r="U121" s="2">
        <f>U11/'Output-Calculation-sheet'!U10*'Output-Calculation-sheet'!U100</f>
        <v>3851368831.2643867</v>
      </c>
      <c r="V121" s="2">
        <f>V11/'Output-Calculation-sheet'!V10*'Output-Calculation-sheet'!V100</f>
        <v>2964034764.2909164</v>
      </c>
      <c r="W121" s="2">
        <f>W11/'Output-Calculation-sheet'!W10*'Output-Calculation-sheet'!W100</f>
        <v>2566273051.4844799</v>
      </c>
      <c r="X121" s="2">
        <f>X11/'Output-Calculation-sheet'!X10*'Output-Calculation-sheet'!X100</f>
        <v>136304365.77633309</v>
      </c>
      <c r="Y121" s="2">
        <f>Y11/'Output-Calculation-sheet'!Y10*'Output-Calculation-sheet'!Y100</f>
        <v>1435691137.5098519</v>
      </c>
      <c r="AA121" s="2">
        <f t="shared" si="10"/>
        <v>368382.17936725786</v>
      </c>
    </row>
    <row r="122" spans="1:27" x14ac:dyDescent="0.25">
      <c r="A122" s="2">
        <v>2035</v>
      </c>
      <c r="B122" s="2">
        <f>B12/'Output-Calculation-sheet'!B11*'Output-Calculation-sheet'!B101</f>
        <v>82421727828.849136</v>
      </c>
      <c r="C122" s="2">
        <f>C12/'Output-Calculation-sheet'!C11*'Output-Calculation-sheet'!C101</f>
        <v>0</v>
      </c>
      <c r="D122" s="2">
        <f>D12/'Output-Calculation-sheet'!D11*'Output-Calculation-sheet'!D101</f>
        <v>69082000184.591583</v>
      </c>
      <c r="E122" s="2">
        <f>E12/'Output-Calculation-sheet'!E11*'Output-Calculation-sheet'!E101</f>
        <v>46516723952.545105</v>
      </c>
      <c r="F122" s="2">
        <f>F12/'Output-Calculation-sheet'!F11*'Output-Calculation-sheet'!F101</f>
        <v>36009143719.809502</v>
      </c>
      <c r="G122" s="2">
        <f>G12/'Output-Calculation-sheet'!G11*'Output-Calculation-sheet'!G101</f>
        <v>24538727644.870972</v>
      </c>
      <c r="H122" s="2">
        <f>H12/'Output-Calculation-sheet'!H11*'Output-Calculation-sheet'!H101</f>
        <v>0</v>
      </c>
      <c r="I122" s="2">
        <f>I12/'Output-Calculation-sheet'!I11*'Output-Calculation-sheet'!I101</f>
        <v>22977671053.485653</v>
      </c>
      <c r="J122" s="2">
        <f>J12/'Output-Calculation-sheet'!J11*'Output-Calculation-sheet'!J101</f>
        <v>21961300717.904221</v>
      </c>
      <c r="K122" s="2">
        <f>K12/'Output-Calculation-sheet'!K11*'Output-Calculation-sheet'!K101</f>
        <v>22175216186.766872</v>
      </c>
      <c r="L122" s="2">
        <f>L12/'Output-Calculation-sheet'!L11*'Output-Calculation-sheet'!L101</f>
        <v>14758390801.676544</v>
      </c>
      <c r="M122" s="2">
        <f>M12/'Output-Calculation-sheet'!M11*'Output-Calculation-sheet'!M101</f>
        <v>0</v>
      </c>
      <c r="N122" s="2">
        <f>N12/'Output-Calculation-sheet'!N11*'Output-Calculation-sheet'!N101</f>
        <v>4347998253.1437855</v>
      </c>
      <c r="O122" s="2">
        <f>O12/'Output-Calculation-sheet'!O11*'Output-Calculation-sheet'!O101</f>
        <v>0</v>
      </c>
      <c r="P122" s="2">
        <f>P12/'Output-Calculation-sheet'!P11*'Output-Calculation-sheet'!P101</f>
        <v>14552786990.857258</v>
      </c>
      <c r="Q122" s="2">
        <f>Q12/'Output-Calculation-sheet'!Q11*'Output-Calculation-sheet'!Q101</f>
        <v>9478754005.7734604</v>
      </c>
      <c r="R122" s="2">
        <f>R12/'Output-Calculation-sheet'!R11*'Output-Calculation-sheet'!R101</f>
        <v>14357168470.892654</v>
      </c>
      <c r="S122" s="2">
        <f>S12/'Output-Calculation-sheet'!S11*'Output-Calculation-sheet'!S101</f>
        <v>3018915040.2239995</v>
      </c>
      <c r="T122" s="2">
        <f>T12/'Output-Calculation-sheet'!T11*'Output-Calculation-sheet'!T101</f>
        <v>5319335096.4858122</v>
      </c>
      <c r="U122" s="2">
        <f>U12/'Output-Calculation-sheet'!U11*'Output-Calculation-sheet'!U101</f>
        <v>4358224003.7648535</v>
      </c>
      <c r="V122" s="2">
        <f>V12/'Output-Calculation-sheet'!V11*'Output-Calculation-sheet'!V101</f>
        <v>3587847814.2285728</v>
      </c>
      <c r="W122" s="2">
        <f>W12/'Output-Calculation-sheet'!W11*'Output-Calculation-sheet'!W101</f>
        <v>3094337807.9643469</v>
      </c>
      <c r="X122" s="2">
        <f>X12/'Output-Calculation-sheet'!X11*'Output-Calculation-sheet'!X101</f>
        <v>149555622.29400903</v>
      </c>
      <c r="Y122" s="2">
        <f>Y12/'Output-Calculation-sheet'!Y11*'Output-Calculation-sheet'!Y101</f>
        <v>1396785184.166831</v>
      </c>
      <c r="AA122" s="2">
        <f t="shared" si="10"/>
        <v>404102.61038029514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58220550682.009087</v>
      </c>
      <c r="C129" s="2">
        <f>C8/'Output-Calculation-sheet'!C7*'Output-Calculation-sheet'!C106</f>
        <v>27436458538.890221</v>
      </c>
      <c r="D129" s="2">
        <f>D8/'Output-Calculation-sheet'!D7*'Output-Calculation-sheet'!D106</f>
        <v>24453301712.0415</v>
      </c>
      <c r="E129" s="2">
        <f>E8/'Output-Calculation-sheet'!E7*'Output-Calculation-sheet'!E106</f>
        <v>19401213465.735241</v>
      </c>
      <c r="F129" s="2">
        <f>F8/'Output-Calculation-sheet'!F7*'Output-Calculation-sheet'!F106</f>
        <v>12489257313.699242</v>
      </c>
      <c r="G129" s="2">
        <f>G8/'Output-Calculation-sheet'!G7*'Output-Calculation-sheet'!G106</f>
        <v>8775294947.020607</v>
      </c>
      <c r="H129" s="2">
        <f>H8/'Output-Calculation-sheet'!H7*'Output-Calculation-sheet'!H106</f>
        <v>8559963365.4731998</v>
      </c>
      <c r="I129" s="2">
        <f>I8/'Output-Calculation-sheet'!I7*'Output-Calculation-sheet'!I106</f>
        <v>7994984463.3933926</v>
      </c>
      <c r="J129" s="2">
        <f>J8/'Output-Calculation-sheet'!J7*'Output-Calculation-sheet'!J106</f>
        <v>7781767215.6882114</v>
      </c>
      <c r="K129" s="2">
        <f>K8/'Output-Calculation-sheet'!K7*'Output-Calculation-sheet'!K106</f>
        <v>7707163507.2928209</v>
      </c>
      <c r="L129" s="2">
        <f>L8/'Output-Calculation-sheet'!L7*'Output-Calculation-sheet'!L106</f>
        <v>6182786780.0361214</v>
      </c>
      <c r="M129" s="2">
        <f>M8/'Output-Calculation-sheet'!M7*'Output-Calculation-sheet'!M106</f>
        <v>5905628523.6265984</v>
      </c>
      <c r="N129" s="2">
        <f>N8/'Output-Calculation-sheet'!N7*'Output-Calculation-sheet'!N106</f>
        <v>5796358463.0589542</v>
      </c>
      <c r="O129" s="2">
        <f>O8/'Output-Calculation-sheet'!O7*'Output-Calculation-sheet'!O106</f>
        <v>5330926672.3931274</v>
      </c>
      <c r="P129" s="2">
        <f>P8/'Output-Calculation-sheet'!P7*'Output-Calculation-sheet'!P106</f>
        <v>5276689745.8396435</v>
      </c>
      <c r="Q129" s="2">
        <f>Q8/'Output-Calculation-sheet'!Q7*'Output-Calculation-sheet'!Q106</f>
        <v>5191408927.5708923</v>
      </c>
      <c r="R129" s="2">
        <f>R8/'Output-Calculation-sheet'!R7*'Output-Calculation-sheet'!R106</f>
        <v>4994374142.6479139</v>
      </c>
      <c r="S129" s="2">
        <f>S8/'Output-Calculation-sheet'!S7*'Output-Calculation-sheet'!S106</f>
        <v>3319516905.4108381</v>
      </c>
      <c r="T129" s="2">
        <f>T8/'Output-Calculation-sheet'!T7*'Output-Calculation-sheet'!T106</f>
        <v>1835889348.3269577</v>
      </c>
      <c r="U129" s="2">
        <f>U8/'Output-Calculation-sheet'!U7*'Output-Calculation-sheet'!U106</f>
        <v>1598996578.7249329</v>
      </c>
      <c r="V129" s="2">
        <f>V8/'Output-Calculation-sheet'!V7*'Output-Calculation-sheet'!V106</f>
        <v>1231259829.3872526</v>
      </c>
      <c r="W129" s="2">
        <f>W8/'Output-Calculation-sheet'!W7*'Output-Calculation-sheet'!W106</f>
        <v>1065997718.8234779</v>
      </c>
      <c r="X129" s="2">
        <f>X8/'Output-Calculation-sheet'!X7*'Output-Calculation-sheet'!X106</f>
        <v>639598757.07147229</v>
      </c>
      <c r="Y129" s="2">
        <f>Y8/'Output-Calculation-sheet'!Y7*'Output-Calculation-sheet'!Y106</f>
        <v>622003516.23579383</v>
      </c>
      <c r="AA129" s="2">
        <f t="shared" si="11"/>
        <v>231811.39112039749</v>
      </c>
    </row>
    <row r="130" spans="1:27" x14ac:dyDescent="0.25">
      <c r="A130" s="2">
        <v>2032</v>
      </c>
      <c r="B130" s="2">
        <f>B9/'Output-Calculation-sheet'!B8*'Output-Calculation-sheet'!B107</f>
        <v>50093326261.914124</v>
      </c>
      <c r="C130" s="2">
        <f>C9/'Output-Calculation-sheet'!C8*'Output-Calculation-sheet'!C107</f>
        <v>23606491415.191994</v>
      </c>
      <c r="D130" s="2">
        <f>D9/'Output-Calculation-sheet'!D8*'Output-Calculation-sheet'!D107</f>
        <v>21039768388.869839</v>
      </c>
      <c r="E130" s="2">
        <f>E9/'Output-Calculation-sheet'!E8*'Output-Calculation-sheet'!E107</f>
        <v>16692918986.098289</v>
      </c>
      <c r="F130" s="2">
        <f>F9/'Output-Calculation-sheet'!F8*'Output-Calculation-sheet'!F107</f>
        <v>10745836515.897219</v>
      </c>
      <c r="G130" s="2">
        <f>G9/'Output-Calculation-sheet'!G8*'Output-Calculation-sheet'!G107</f>
        <v>7550319688.8483105</v>
      </c>
      <c r="H130" s="2">
        <f>H9/'Output-Calculation-sheet'!H8*'Output-Calculation-sheet'!H107</f>
        <v>7365045105.6322155</v>
      </c>
      <c r="I130" s="2">
        <f>I9/'Output-Calculation-sheet'!I8*'Output-Calculation-sheet'!I107</f>
        <v>6878934669.2617092</v>
      </c>
      <c r="J130" s="2">
        <f>J9/'Output-Calculation-sheet'!J8*'Output-Calculation-sheet'!J107</f>
        <v>6695478603.4886408</v>
      </c>
      <c r="K130" s="2">
        <f>K9/'Output-Calculation-sheet'!K8*'Output-Calculation-sheet'!K107</f>
        <v>6631290864.7076054</v>
      </c>
      <c r="L130" s="2">
        <f>L9/'Output-Calculation-sheet'!L8*'Output-Calculation-sheet'!L107</f>
        <v>5319708448.0142727</v>
      </c>
      <c r="M130" s="2">
        <f>M9/'Output-Calculation-sheet'!M8*'Output-Calculation-sheet'!M107</f>
        <v>5081240399.9759426</v>
      </c>
      <c r="N130" s="2">
        <f>N9/'Output-Calculation-sheet'!N8*'Output-Calculation-sheet'!N107</f>
        <v>4987220524.5494919</v>
      </c>
      <c r="O130" s="2">
        <f>O9/'Output-Calculation-sheet'!O8*'Output-Calculation-sheet'!O107</f>
        <v>4586762684.2070007</v>
      </c>
      <c r="P130" s="2">
        <f>P9/'Output-Calculation-sheet'!P8*'Output-Calculation-sheet'!P107</f>
        <v>4540095702.8613558</v>
      </c>
      <c r="Q130" s="2">
        <f>Q9/'Output-Calculation-sheet'!Q8*'Output-Calculation-sheet'!Q107</f>
        <v>4466721850.9207764</v>
      </c>
      <c r="R130" s="2">
        <f>R9/'Output-Calculation-sheet'!R8*'Output-Calculation-sheet'!R107</f>
        <v>4297191336.8118887</v>
      </c>
      <c r="S130" s="2">
        <f>S9/'Output-Calculation-sheet'!S8*'Output-Calculation-sheet'!S107</f>
        <v>2856133122.8240218</v>
      </c>
      <c r="T130" s="2">
        <f>T9/'Output-Calculation-sheet'!T8*'Output-Calculation-sheet'!T107</f>
        <v>1579610689.2836742</v>
      </c>
      <c r="U130" s="2">
        <f>U9/'Output-Calculation-sheet'!U8*'Output-Calculation-sheet'!U107</f>
        <v>1375786486.8396783</v>
      </c>
      <c r="V130" s="2">
        <f>V9/'Output-Calculation-sheet'!V8*'Output-Calculation-sheet'!V107</f>
        <v>1059383110.3070654</v>
      </c>
      <c r="W130" s="2">
        <f>W9/'Output-Calculation-sheet'!W8*'Output-Calculation-sheet'!W107</f>
        <v>917191231.43362796</v>
      </c>
      <c r="X130" s="2">
        <f>X9/'Output-Calculation-sheet'!X8*'Output-Calculation-sheet'!X107</f>
        <v>550314630.88195634</v>
      </c>
      <c r="Y130" s="2">
        <f>Y9/'Output-Calculation-sheet'!Y8*'Output-Calculation-sheet'!Y107</f>
        <v>535175580.00812852</v>
      </c>
      <c r="AA130" s="2">
        <f t="shared" si="11"/>
        <v>199451.9462988289</v>
      </c>
    </row>
    <row r="131" spans="1:27" x14ac:dyDescent="0.25">
      <c r="A131" s="2">
        <v>2033</v>
      </c>
      <c r="B131" s="2">
        <f>B10/'Output-Calculation-sheet'!B9*'Output-Calculation-sheet'!B108</f>
        <v>36964902897.731621</v>
      </c>
      <c r="C131" s="2">
        <f>C10/'Output-Calculation-sheet'!C9*'Output-Calculation-sheet'!C108</f>
        <v>17419718945.825104</v>
      </c>
      <c r="D131" s="2">
        <f>D10/'Output-Calculation-sheet'!D9*'Output-Calculation-sheet'!D108</f>
        <v>15525684884.152914</v>
      </c>
      <c r="E131" s="2">
        <f>E10/'Output-Calculation-sheet'!E9*'Output-Calculation-sheet'!E108</f>
        <v>12318050644.255474</v>
      </c>
      <c r="F131" s="2">
        <f>F10/'Output-Calculation-sheet'!F9*'Output-Calculation-sheet'!F108</f>
        <v>7929571228.6754732</v>
      </c>
      <c r="G131" s="2">
        <f>G10/'Output-Calculation-sheet'!G9*'Output-Calculation-sheet'!G108</f>
        <v>5571534366.4759054</v>
      </c>
      <c r="H131" s="2">
        <f>H10/'Output-Calculation-sheet'!H9*'Output-Calculation-sheet'!H108</f>
        <v>5434817901.2149496</v>
      </c>
      <c r="I131" s="2">
        <f>I10/'Output-Calculation-sheet'!I9*'Output-Calculation-sheet'!I108</f>
        <v>5076108341.3563633</v>
      </c>
      <c r="J131" s="2">
        <f>J10/'Output-Calculation-sheet'!J9*'Output-Calculation-sheet'!J108</f>
        <v>4940732332.7454395</v>
      </c>
      <c r="K131" s="2">
        <f>K10/'Output-Calculation-sheet'!K9*'Output-Calculation-sheet'!K108</f>
        <v>4893365591.4904804</v>
      </c>
      <c r="L131" s="2">
        <f>L10/'Output-Calculation-sheet'!L9*'Output-Calculation-sheet'!L108</f>
        <v>3925523034.9294639</v>
      </c>
      <c r="M131" s="2">
        <f>M10/'Output-Calculation-sheet'!M9*'Output-Calculation-sheet'!M108</f>
        <v>3749550581.9091969</v>
      </c>
      <c r="N131" s="2">
        <f>N10/'Output-Calculation-sheet'!N9*'Output-Calculation-sheet'!N108</f>
        <v>3680172354.0566869</v>
      </c>
      <c r="O131" s="2">
        <f>O10/'Output-Calculation-sheet'!O9*'Output-Calculation-sheet'!O108</f>
        <v>4067501533.7598648</v>
      </c>
      <c r="P131" s="2">
        <f>P10/'Output-Calculation-sheet'!P9*'Output-Calculation-sheet'!P108</f>
        <v>3350231530.5560679</v>
      </c>
      <c r="Q131" s="2">
        <f>Q10/'Output-Calculation-sheet'!Q9*'Output-Calculation-sheet'!Q108</f>
        <v>3296085703.0689392</v>
      </c>
      <c r="R131" s="2">
        <f>R10/'Output-Calculation-sheet'!R9*'Output-Calculation-sheet'!R108</f>
        <v>3170984832.1678467</v>
      </c>
      <c r="S131" s="2">
        <f>S10/'Output-Calculation-sheet'!S9*'Output-Calculation-sheet'!S108</f>
        <v>2107599779.1585147</v>
      </c>
      <c r="T131" s="2">
        <f>T10/'Output-Calculation-sheet'!T9*'Output-Calculation-sheet'!T108</f>
        <v>1165626527.2195029</v>
      </c>
      <c r="U131" s="2">
        <f>U10/'Output-Calculation-sheet'!U9*'Output-Calculation-sheet'!U108</f>
        <v>1015221077.3574171</v>
      </c>
      <c r="V131" s="2">
        <f>V10/'Output-Calculation-sheet'!V9*'Output-Calculation-sheet'!V108</f>
        <v>781740533.77333415</v>
      </c>
      <c r="W131" s="2">
        <f>W10/'Output-Calculation-sheet'!W9*'Output-Calculation-sheet'!W108</f>
        <v>676814051.36432719</v>
      </c>
      <c r="X131" s="2">
        <f>X10/'Output-Calculation-sheet'!X9*'Output-Calculation-sheet'!X108</f>
        <v>406088351.49554193</v>
      </c>
      <c r="Y131" s="2">
        <f>Y10/'Output-Calculation-sheet'!Y9*'Output-Calculation-sheet'!Y108</f>
        <v>394916938.94129753</v>
      </c>
      <c r="AA131" s="2">
        <f t="shared" si="11"/>
        <v>147862.54396368173</v>
      </c>
    </row>
    <row r="132" spans="1:27" x14ac:dyDescent="0.25">
      <c r="A132" s="2">
        <v>2034</v>
      </c>
      <c r="B132" s="2">
        <f>B11/'Output-Calculation-sheet'!B10*'Output-Calculation-sheet'!B109</f>
        <v>20022207528.255165</v>
      </c>
      <c r="C132" s="2">
        <f>C11/'Output-Calculation-sheet'!C10*'Output-Calculation-sheet'!C109</f>
        <v>18215640268.8908</v>
      </c>
      <c r="D132" s="2">
        <f>D11/'Output-Calculation-sheet'!D10*'Output-Calculation-sheet'!D109</f>
        <v>8409557723.7371111</v>
      </c>
      <c r="E132" s="2">
        <f>E11/'Output-Calculation-sheet'!E10*'Output-Calculation-sheet'!E109</f>
        <v>6672130157.2291679</v>
      </c>
      <c r="F132" s="2">
        <f>F11/'Output-Calculation-sheet'!F10*'Output-Calculation-sheet'!F109</f>
        <v>4295089609.2812891</v>
      </c>
      <c r="G132" s="2">
        <f>G11/'Output-Calculation-sheet'!G10*'Output-Calculation-sheet'!G109</f>
        <v>3017848306.6642313</v>
      </c>
      <c r="H132" s="2">
        <f>H11/'Output-Calculation-sheet'!H10*'Output-Calculation-sheet'!H109</f>
        <v>2943794717.6045995</v>
      </c>
      <c r="I132" s="2">
        <f>I11/'Output-Calculation-sheet'!I10*'Output-Calculation-sheet'!I109</f>
        <v>2749497146.3525939</v>
      </c>
      <c r="J132" s="2">
        <f>J11/'Output-Calculation-sheet'!J10*'Output-Calculation-sheet'!J109</f>
        <v>2676170522.1670747</v>
      </c>
      <c r="K132" s="2">
        <f>K11/'Output-Calculation-sheet'!K10*'Output-Calculation-sheet'!K109</f>
        <v>2650514940.3865371</v>
      </c>
      <c r="L132" s="2">
        <f>L11/'Output-Calculation-sheet'!L10*'Output-Calculation-sheet'!L109</f>
        <v>2126277712.0337479</v>
      </c>
      <c r="M132" s="2">
        <f>M11/'Output-Calculation-sheet'!M10*'Output-Calculation-sheet'!M109</f>
        <v>2030961735.4333124</v>
      </c>
      <c r="N132" s="2">
        <f>N11/'Output-Calculation-sheet'!N10*'Output-Calculation-sheet'!N109</f>
        <v>1993383309.4737999</v>
      </c>
      <c r="O132" s="2">
        <f>O11/'Output-Calculation-sheet'!O10*'Output-Calculation-sheet'!O109</f>
        <v>4102177662.2571111</v>
      </c>
      <c r="P132" s="2">
        <f>P11/'Output-Calculation-sheet'!P10*'Output-Calculation-sheet'!P109</f>
        <v>1814668119.3292465</v>
      </c>
      <c r="Q132" s="2">
        <f>Q11/'Output-Calculation-sheet'!Q10*'Output-Calculation-sheet'!Q109</f>
        <v>1785340076.986443</v>
      </c>
      <c r="R132" s="2">
        <f>R11/'Output-Calculation-sheet'!R10*'Output-Calculation-sheet'!R109</f>
        <v>1717579140.1447859</v>
      </c>
      <c r="S132" s="2">
        <f>S11/'Output-Calculation-sheet'!S10*'Output-Calculation-sheet'!S109</f>
        <v>1141591171.3811915</v>
      </c>
      <c r="T132" s="2">
        <f>T11/'Output-Calculation-sheet'!T10*'Output-Calculation-sheet'!T109</f>
        <v>631367297.94983935</v>
      </c>
      <c r="U132" s="2">
        <f>U11/'Output-Calculation-sheet'!U10*'Output-Calculation-sheet'!U109</f>
        <v>549899365.25626469</v>
      </c>
      <c r="V132" s="2">
        <f>V11/'Output-Calculation-sheet'!V10*'Output-Calculation-sheet'!V109</f>
        <v>423433509.21150875</v>
      </c>
      <c r="W132" s="2">
        <f>W11/'Output-Calculation-sheet'!W10*'Output-Calculation-sheet'!W109</f>
        <v>366599576.8150543</v>
      </c>
      <c r="X132" s="2">
        <f>X11/'Output-Calculation-sheet'!X10*'Output-Calculation-sheet'!X109</f>
        <v>219959737.49589148</v>
      </c>
      <c r="Y132" s="2">
        <f>Y11/'Output-Calculation-sheet'!Y10*'Output-Calculation-sheet'!Y109</f>
        <v>213908686.848598</v>
      </c>
      <c r="AA132" s="2">
        <f t="shared" si="11"/>
        <v>90769.598021185389</v>
      </c>
    </row>
    <row r="133" spans="1:27" x14ac:dyDescent="0.25">
      <c r="A133" s="2">
        <v>2035</v>
      </c>
      <c r="B133" s="2">
        <f>B12/'Output-Calculation-sheet'!B11*'Output-Calculation-sheet'!B110</f>
        <v>9380937178.3365974</v>
      </c>
      <c r="C133" s="2">
        <f>C12/'Output-Calculation-sheet'!C11*'Output-Calculation-sheet'!C110</f>
        <v>18015940667.465931</v>
      </c>
      <c r="D133" s="2">
        <f>D12/'Output-Calculation-sheet'!D11*'Output-Calculation-sheet'!D110</f>
        <v>4656638072.8183899</v>
      </c>
      <c r="E133" s="2">
        <f>E12/'Output-Calculation-sheet'!E11*'Output-Calculation-sheet'!E110</f>
        <v>2366151724.6918492</v>
      </c>
      <c r="F133" s="2">
        <f>F12/'Output-Calculation-sheet'!F11*'Output-Calculation-sheet'!F110</f>
        <v>1601729847.6675229</v>
      </c>
      <c r="G133" s="2">
        <f>G12/'Output-Calculation-sheet'!G11*'Output-Calculation-sheet'!G110</f>
        <v>2024062449.2584023</v>
      </c>
      <c r="H133" s="2">
        <f>H12/'Output-Calculation-sheet'!H11*'Output-Calculation-sheet'!H110</f>
        <v>2387698389.3932762</v>
      </c>
      <c r="I133" s="2">
        <f>I12/'Output-Calculation-sheet'!I11*'Output-Calculation-sheet'!I110</f>
        <v>1118541988.5410135</v>
      </c>
      <c r="J133" s="2">
        <f>J12/'Output-Calculation-sheet'!J11*'Output-Calculation-sheet'!J110</f>
        <v>1353337165.7802126</v>
      </c>
      <c r="K133" s="2">
        <f>K12/'Output-Calculation-sheet'!K11*'Output-Calculation-sheet'!K110</f>
        <v>1026187670.4246124</v>
      </c>
      <c r="L133" s="2">
        <f>L12/'Output-Calculation-sheet'!L11*'Output-Calculation-sheet'!L110</f>
        <v>659457272.05209839</v>
      </c>
      <c r="M133" s="2">
        <f>M12/'Output-Calculation-sheet'!M11*'Output-Calculation-sheet'!M110</f>
        <v>1485124370.6399517</v>
      </c>
      <c r="N133" s="2">
        <f>N12/'Output-Calculation-sheet'!N11*'Output-Calculation-sheet'!N110</f>
        <v>1235677758.9189687</v>
      </c>
      <c r="O133" s="2">
        <f>O12/'Output-Calculation-sheet'!O11*'Output-Calculation-sheet'!O110</f>
        <v>4364000950.5503368</v>
      </c>
      <c r="P133" s="2">
        <f>P12/'Output-Calculation-sheet'!P11*'Output-Calculation-sheet'!P110</f>
        <v>863317423.88492882</v>
      </c>
      <c r="Q133" s="2">
        <f>Q12/'Output-Calculation-sheet'!Q11*'Output-Calculation-sheet'!Q110</f>
        <v>1075316257.5266287</v>
      </c>
      <c r="R133" s="2">
        <f>R12/'Output-Calculation-sheet'!R11*'Output-Calculation-sheet'!R110</f>
        <v>676678885.78408825</v>
      </c>
      <c r="S133" s="2">
        <f>S12/'Output-Calculation-sheet'!S11*'Output-Calculation-sheet'!S110</f>
        <v>650615899.8309623</v>
      </c>
      <c r="T133" s="2">
        <f>T12/'Output-Calculation-sheet'!T11*'Output-Calculation-sheet'!T110</f>
        <v>176018217.05111235</v>
      </c>
      <c r="U133" s="2">
        <f>U12/'Output-Calculation-sheet'!U11*'Output-Calculation-sheet'!U110</f>
        <v>286129031.15963429</v>
      </c>
      <c r="V133" s="2">
        <f>V12/'Output-Calculation-sheet'!V11*'Output-Calculation-sheet'!V110</f>
        <v>72204490.093726709</v>
      </c>
      <c r="W133" s="2">
        <f>W12/'Output-Calculation-sheet'!W11*'Output-Calculation-sheet'!W110</f>
        <v>117718223.00678624</v>
      </c>
      <c r="X133" s="2">
        <f>X12/'Output-Calculation-sheet'!X11*'Output-Calculation-sheet'!X110</f>
        <v>206156154.13258195</v>
      </c>
      <c r="Y133" s="2">
        <f>Y12/'Output-Calculation-sheet'!Y11*'Output-Calculation-sheet'!Y110</f>
        <v>108326707.29069911</v>
      </c>
      <c r="AA133" s="2">
        <f t="shared" si="11"/>
        <v>55907.966796300323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1258.9526257399841</v>
      </c>
      <c r="C19" s="2">
        <f>C8/'Output-Calculation-sheet'!C7*'Output-Calculation-sheet'!C25</f>
        <v>18978.905283048629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5649.5110414050969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3924.797573901561</v>
      </c>
      <c r="N19" s="2">
        <f>N8/'Output-Calculation-sheet'!N7*'Output-Calculation-sheet'!N25</f>
        <v>1343.7062279010879</v>
      </c>
      <c r="O19" s="2">
        <f>O8/'Output-Calculation-sheet'!O7*'Output-Calculation-sheet'!O25</f>
        <v>3670.4374890320164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479.45559409835829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438.51777074277692</v>
      </c>
      <c r="Y19" s="2">
        <f>Y8/'Output-Calculation-sheet'!Y7*'Output-Calculation-sheet'!Y25</f>
        <v>0</v>
      </c>
      <c r="AA19" s="2">
        <f t="shared" si="0"/>
        <v>35.744283605869512</v>
      </c>
    </row>
    <row r="20" spans="1:27" x14ac:dyDescent="0.25">
      <c r="A20" s="2">
        <v>2032</v>
      </c>
      <c r="B20" s="2">
        <f>B9/'Output-Calculation-sheet'!B8*'Output-Calculation-sheet'!B26</f>
        <v>6935.8683045560665</v>
      </c>
      <c r="C20" s="2">
        <f>C9/'Output-Calculation-sheet'!C8*'Output-Calculation-sheet'!C26</f>
        <v>25400.133328081505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7546.0145227041121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5243.6145558492944</v>
      </c>
      <c r="N20" s="2">
        <f>N9/'Output-Calculation-sheet'!N8*'Output-Calculation-sheet'!N26</f>
        <v>2360.9116243794901</v>
      </c>
      <c r="O20" s="2">
        <f>O9/'Output-Calculation-sheet'!O8*'Output-Calculation-sheet'!O26</f>
        <v>4949.1052858890389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859.94112295079094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586.55295893001619</v>
      </c>
      <c r="Y20" s="2">
        <f>Y9/'Output-Calculation-sheet'!Y8*'Output-Calculation-sheet'!Y26</f>
        <v>0</v>
      </c>
      <c r="AA20" s="2">
        <f t="shared" si="0"/>
        <v>53.882141703340309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34720.629776843169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8889.2324379351539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6174.3100857449026</v>
      </c>
      <c r="N21" s="2">
        <f>N10/'Output-Calculation-sheet'!N9*'Output-Calculation-sheet'!N27</f>
        <v>3378.3292135489723</v>
      </c>
      <c r="O21" s="2">
        <f>O10/'Output-Calculation-sheet'!O9*'Output-Calculation-sheet'!O27</f>
        <v>5898.6089874978024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1470.2030062938832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726.01322177487214</v>
      </c>
      <c r="Y21" s="2">
        <f>Y10/'Output-Calculation-sheet'!Y9*'Output-Calculation-sheet'!Y27</f>
        <v>0</v>
      </c>
      <c r="AA21" s="2">
        <f t="shared" si="0"/>
        <v>76.863252129127801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32126.379028917177</v>
      </c>
      <c r="D22" s="2">
        <f>D11/'Output-Calculation-sheet'!D10*'Output-Calculation-sheet'!D28</f>
        <v>0</v>
      </c>
      <c r="E22" s="2">
        <f>E11/'Output-Calculation-sheet'!E10*'Output-Calculation-sheet'!E28</f>
        <v>1362.9135985358444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10594.147917331838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803.83507408305366</v>
      </c>
      <c r="M22" s="2">
        <f>M11/'Output-Calculation-sheet'!M10*'Output-Calculation-sheet'!M28</f>
        <v>7301.9938861333003</v>
      </c>
      <c r="N22" s="2">
        <f>N11/'Output-Calculation-sheet'!N10*'Output-Calculation-sheet'!N28</f>
        <v>4202.3381559383024</v>
      </c>
      <c r="O22" s="2">
        <f>O11/'Output-Calculation-sheet'!O10*'Output-Calculation-sheet'!O28</f>
        <v>5657.4835099582197</v>
      </c>
      <c r="P22" s="2">
        <f>P11/'Output-Calculation-sheet'!P10*'Output-Calculation-sheet'!P28</f>
        <v>0</v>
      </c>
      <c r="Q22" s="2">
        <f>Q11/'Output-Calculation-sheet'!Q10*'Output-Calculation-sheet'!Q28</f>
        <v>1576.0971867597939</v>
      </c>
      <c r="R22" s="2">
        <f>R11/'Output-Calculation-sheet'!R10*'Output-Calculation-sheet'!R28</f>
        <v>0</v>
      </c>
      <c r="S22" s="2">
        <f>S11/'Output-Calculation-sheet'!S10*'Output-Calculation-sheet'!S28</f>
        <v>2131.1825189088045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747.9498122017452</v>
      </c>
      <c r="Y22" s="2">
        <f>Y11/'Output-Calculation-sheet'!Y10*'Output-Calculation-sheet'!Y28</f>
        <v>73.385457243090428</v>
      </c>
      <c r="AA22" s="2">
        <f t="shared" si="0"/>
        <v>92.958510244617472</v>
      </c>
    </row>
    <row r="23" spans="1:27" x14ac:dyDescent="0.25">
      <c r="A23" s="2">
        <v>2035</v>
      </c>
      <c r="B23" s="2">
        <f>B12/'Output-Calculation-sheet'!B11*'Output-Calculation-sheet'!B29</f>
        <v>30533.311287905522</v>
      </c>
      <c r="C23" s="2">
        <f>C12/'Output-Calculation-sheet'!C11*'Output-Calculation-sheet'!C29</f>
        <v>28470.661923693802</v>
      </c>
      <c r="D23" s="2">
        <f>D12/'Output-Calculation-sheet'!D11*'Output-Calculation-sheet'!D29</f>
        <v>0</v>
      </c>
      <c r="E23" s="2">
        <f>E12/'Output-Calculation-sheet'!E11*'Output-Calculation-sheet'!E29</f>
        <v>5608.6042046462471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9798.6235935641544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1626.1901282835961</v>
      </c>
      <c r="M23" s="2">
        <f>M12/'Output-Calculation-sheet'!M11*'Output-Calculation-sheet'!M29</f>
        <v>6964.6010143867989</v>
      </c>
      <c r="N23" s="2">
        <f>N12/'Output-Calculation-sheet'!N11*'Output-Calculation-sheet'!N29</f>
        <v>4044.9627702303915</v>
      </c>
      <c r="O23" s="2">
        <f>O12/'Output-Calculation-sheet'!O11*'Output-Calculation-sheet'!O29</f>
        <v>4706.8781870210923</v>
      </c>
      <c r="P23" s="2">
        <f>P12/'Output-Calculation-sheet'!P11*'Output-Calculation-sheet'!P29</f>
        <v>650.6251471090668</v>
      </c>
      <c r="Q23" s="2">
        <f>Q12/'Output-Calculation-sheet'!Q11*'Output-Calculation-sheet'!Q29</f>
        <v>2071.1761490059052</v>
      </c>
      <c r="R23" s="2">
        <f>R12/'Output-Calculation-sheet'!R11*'Output-Calculation-sheet'!R29</f>
        <v>0</v>
      </c>
      <c r="S23" s="2">
        <f>S12/'Output-Calculation-sheet'!S11*'Output-Calculation-sheet'!S29</f>
        <v>2237.0235928508037</v>
      </c>
      <c r="T23" s="2">
        <f>T12/'Output-Calculation-sheet'!T11*'Output-Calculation-sheet'!T29</f>
        <v>0</v>
      </c>
      <c r="U23" s="2">
        <f>U12/'Output-Calculation-sheet'!U11*'Output-Calculation-sheet'!U29</f>
        <v>241.39745720744082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665.41661105623166</v>
      </c>
      <c r="Y23" s="2">
        <f>Y12/'Output-Calculation-sheet'!Y11*'Output-Calculation-sheet'!Y29</f>
        <v>205.31579633980982</v>
      </c>
      <c r="AA23" s="2">
        <f t="shared" si="0"/>
        <v>97.82478786330087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21943.135300474503</v>
      </c>
      <c r="C30" s="2">
        <f>C8/'Output-Calculation-sheet'!C7*'Output-Calculation-sheet'!C16</f>
        <v>0</v>
      </c>
      <c r="D30" s="2">
        <f>D8/'Output-Calculation-sheet'!D7*'Output-Calculation-sheet'!D16</f>
        <v>3694.9339039202664</v>
      </c>
      <c r="E30" s="2">
        <f>E8/'Output-Calculation-sheet'!E7*'Output-Calculation-sheet'!E16</f>
        <v>3975.5401247672353</v>
      </c>
      <c r="F30" s="2">
        <f>F8/'Output-Calculation-sheet'!F7*'Output-Calculation-sheet'!F16</f>
        <v>2005.6811478761506</v>
      </c>
      <c r="G30" s="2">
        <f>G8/'Output-Calculation-sheet'!G7*'Output-Calculation-sheet'!G16</f>
        <v>1313.4829338688346</v>
      </c>
      <c r="H30" s="2">
        <f>H8/'Output-Calculation-sheet'!H7*'Output-Calculation-sheet'!H16</f>
        <v>0</v>
      </c>
      <c r="I30" s="2">
        <f>I8/'Output-Calculation-sheet'!I7*'Output-Calculation-sheet'!I16</f>
        <v>1280.4491910035917</v>
      </c>
      <c r="J30" s="2">
        <f>J8/'Output-Calculation-sheet'!J7*'Output-Calculation-sheet'!J16</f>
        <v>1139.8459896419831</v>
      </c>
      <c r="K30" s="2">
        <f>K8/'Output-Calculation-sheet'!K7*'Output-Calculation-sheet'!K16</f>
        <v>1521.9122661160286</v>
      </c>
      <c r="L30" s="2">
        <f>L8/'Output-Calculation-sheet'!L7*'Output-Calculation-sheet'!L16</f>
        <v>1285.5210713375698</v>
      </c>
      <c r="M30" s="2">
        <f>M8/'Output-Calculation-sheet'!M7*'Output-Calculation-sheet'!M16</f>
        <v>0</v>
      </c>
      <c r="N30" s="2">
        <f>N8/'Output-Calculation-sheet'!N7*'Output-Calculation-sheet'!N16</f>
        <v>1825.9743782632336</v>
      </c>
      <c r="O30" s="2">
        <f>O8/'Output-Calculation-sheet'!O7*'Output-Calculation-sheet'!O16</f>
        <v>0</v>
      </c>
      <c r="P30" s="2">
        <f>P8/'Output-Calculation-sheet'!P7*'Output-Calculation-sheet'!P16</f>
        <v>1641.1258561789639</v>
      </c>
      <c r="Q30" s="2">
        <f>Q8/'Output-Calculation-sheet'!Q7*'Output-Calculation-sheet'!Q16</f>
        <v>1804.6964438425723</v>
      </c>
      <c r="R30" s="2">
        <f>R8/'Output-Calculation-sheet'!R7*'Output-Calculation-sheet'!R16</f>
        <v>1145.0877375221125</v>
      </c>
      <c r="S30" s="2">
        <f>S8/'Output-Calculation-sheet'!S7*'Output-Calculation-sheet'!S16</f>
        <v>1151.6224868692286</v>
      </c>
      <c r="T30" s="2">
        <f>T8/'Output-Calculation-sheet'!T7*'Output-Calculation-sheet'!T16</f>
        <v>343.73887903738307</v>
      </c>
      <c r="U30" s="2">
        <f>U8/'Output-Calculation-sheet'!U7*'Output-Calculation-sheet'!U16</f>
        <v>343.12445450753313</v>
      </c>
      <c r="V30" s="2">
        <f>V8/'Output-Calculation-sheet'!V7*'Output-Calculation-sheet'!V16</f>
        <v>267.04724067162516</v>
      </c>
      <c r="W30" s="2">
        <f>W8/'Output-Calculation-sheet'!W7*'Output-Calculation-sheet'!W16</f>
        <v>161.97761399594856</v>
      </c>
      <c r="X30" s="2">
        <f>X8/'Output-Calculation-sheet'!X7*'Output-Calculation-sheet'!X16</f>
        <v>0</v>
      </c>
      <c r="Y30" s="2">
        <f>Y8/'Output-Calculation-sheet'!Y7*'Output-Calculation-sheet'!Y16</f>
        <v>137.09563544235158</v>
      </c>
      <c r="AA30" s="2">
        <f t="shared" si="1"/>
        <v>46.981992655337116</v>
      </c>
    </row>
    <row r="31" spans="1:27" x14ac:dyDescent="0.25">
      <c r="A31" s="2">
        <v>2032</v>
      </c>
      <c r="B31" s="2">
        <f>B9/'Output-Calculation-sheet'!B8*'Output-Calculation-sheet'!B17</f>
        <v>29368.757925620917</v>
      </c>
      <c r="C31" s="2">
        <f>C9/'Output-Calculation-sheet'!C8*'Output-Calculation-sheet'!C17</f>
        <v>0</v>
      </c>
      <c r="D31" s="2">
        <f>D9/'Output-Calculation-sheet'!D8*'Output-Calculation-sheet'!D17</f>
        <v>4925.5263053312074</v>
      </c>
      <c r="E31" s="2">
        <f>E9/'Output-Calculation-sheet'!E8*'Output-Calculation-sheet'!E17</f>
        <v>5789.283206059431</v>
      </c>
      <c r="F31" s="2">
        <f>F9/'Output-Calculation-sheet'!F8*'Output-Calculation-sheet'!F17</f>
        <v>2673.7354823896153</v>
      </c>
      <c r="G31" s="2">
        <f>G9/'Output-Calculation-sheet'!G8*'Output-Calculation-sheet'!G17</f>
        <v>1750.9629546992021</v>
      </c>
      <c r="H31" s="2">
        <f>H9/'Output-Calculation-sheet'!H8*'Output-Calculation-sheet'!H17</f>
        <v>0</v>
      </c>
      <c r="I31" s="2">
        <f>I9/'Output-Calculation-sheet'!I8*'Output-Calculation-sheet'!I17</f>
        <v>1706.9347020172975</v>
      </c>
      <c r="J31" s="2">
        <f>J9/'Output-Calculation-sheet'!J8*'Output-Calculation-sheet'!J17</f>
        <v>1519.500896056815</v>
      </c>
      <c r="K31" s="2">
        <f>K9/'Output-Calculation-sheet'!K8*'Output-Calculation-sheet'!K17</f>
        <v>2163.3658265432614</v>
      </c>
      <c r="L31" s="2">
        <f>L9/'Output-Calculation-sheet'!L8*'Output-Calculation-sheet'!L17</f>
        <v>1844.9707399446036</v>
      </c>
      <c r="M31" s="2">
        <f>M9/'Output-Calculation-sheet'!M8*'Output-Calculation-sheet'!M17</f>
        <v>0</v>
      </c>
      <c r="N31" s="2">
        <f>N9/'Output-Calculation-sheet'!N8*'Output-Calculation-sheet'!N17</f>
        <v>2013.0096292328444</v>
      </c>
      <c r="O31" s="2">
        <f>O9/'Output-Calculation-sheet'!O8*'Output-Calculation-sheet'!O17</f>
        <v>0</v>
      </c>
      <c r="P31" s="2">
        <f>P9/'Output-Calculation-sheet'!P8*'Output-Calculation-sheet'!P17</f>
        <v>2489.3501185419968</v>
      </c>
      <c r="Q31" s="2">
        <f>Q9/'Output-Calculation-sheet'!Q8*'Output-Calculation-sheet'!Q17</f>
        <v>2653.8759402610408</v>
      </c>
      <c r="R31" s="2">
        <f>R9/'Output-Calculation-sheet'!R8*'Output-Calculation-sheet'!R17</f>
        <v>1736.3058958361125</v>
      </c>
      <c r="S31" s="2">
        <f>S9/'Output-Calculation-sheet'!S8*'Output-Calculation-sheet'!S17</f>
        <v>1494.0141698967273</v>
      </c>
      <c r="T31" s="2">
        <f>T9/'Output-Calculation-sheet'!T8*'Output-Calculation-sheet'!T17</f>
        <v>471.15929041283084</v>
      </c>
      <c r="U31" s="2">
        <f>U9/'Output-Calculation-sheet'!U8*'Output-Calculation-sheet'!U17</f>
        <v>541.51223100193431</v>
      </c>
      <c r="V31" s="2">
        <f>V9/'Output-Calculation-sheet'!V8*'Output-Calculation-sheet'!V17</f>
        <v>387.85951689870063</v>
      </c>
      <c r="W31" s="2">
        <f>W9/'Output-Calculation-sheet'!W8*'Output-Calculation-sheet'!W17</f>
        <v>215.93054432253612</v>
      </c>
      <c r="X31" s="2">
        <f>X9/'Output-Calculation-sheet'!X8*'Output-Calculation-sheet'!X17</f>
        <v>0</v>
      </c>
      <c r="Y31" s="2">
        <f>Y9/'Output-Calculation-sheet'!Y8*'Output-Calculation-sheet'!Y17</f>
        <v>208.63568771975793</v>
      </c>
      <c r="AA31" s="2">
        <f t="shared" si="1"/>
        <v>63.954691062786843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1899.6971747378711</v>
      </c>
      <c r="O32" s="2">
        <f>O10/'Output-Calculation-sheet'!O9*'Output-Calculation-sheet'!O18</f>
        <v>0</v>
      </c>
      <c r="P32" s="2">
        <f>P10/'Output-Calculation-sheet'!P9*'Output-Calculation-sheet'!P18</f>
        <v>3058.7209122576437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2196.3647998292881</v>
      </c>
      <c r="S32" s="2">
        <f>S10/'Output-Calculation-sheet'!S9*'Output-Calculation-sheet'!S18</f>
        <v>1437.4626750319003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709.07232958430257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74.917263432572128</v>
      </c>
    </row>
    <row r="33" spans="1:27" x14ac:dyDescent="0.25">
      <c r="A33" s="2">
        <v>2034</v>
      </c>
      <c r="B33" s="2">
        <f>B11/'Output-Calculation-sheet'!B10*'Output-Calculation-sheet'!B19</f>
        <v>26608.811806119553</v>
      </c>
      <c r="C33" s="2">
        <f>C11/'Output-Calculation-sheet'!C10*'Output-Calculation-sheet'!C19</f>
        <v>0</v>
      </c>
      <c r="D33" s="2">
        <f>D11/'Output-Calculation-sheet'!D10*'Output-Calculation-sheet'!D19</f>
        <v>7936.71525464776</v>
      </c>
      <c r="E33" s="2">
        <f>E11/'Output-Calculation-sheet'!E10*'Output-Calculation-sheet'!E19</f>
        <v>9833.7253102995419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2701.7930116442067</v>
      </c>
      <c r="H33" s="2">
        <f>H11/'Output-Calculation-sheet'!H10*'Output-Calculation-sheet'!H19</f>
        <v>0</v>
      </c>
      <c r="I33" s="2">
        <f>I11/'Output-Calculation-sheet'!I10*'Output-Calculation-sheet'!I19</f>
        <v>2948.0290345655812</v>
      </c>
      <c r="J33" s="2">
        <f>J11/'Output-Calculation-sheet'!J10*'Output-Calculation-sheet'!J19</f>
        <v>2492.4171349235762</v>
      </c>
      <c r="K33" s="2">
        <f>K11/'Output-Calculation-sheet'!K10*'Output-Calculation-sheet'!K19</f>
        <v>3459.0151482785923</v>
      </c>
      <c r="L33" s="2">
        <f>L11/'Output-Calculation-sheet'!L10*'Output-Calculation-sheet'!L19</f>
        <v>2814.3719795956686</v>
      </c>
      <c r="M33" s="2">
        <f>M11/'Output-Calculation-sheet'!M10*'Output-Calculation-sheet'!M19</f>
        <v>0</v>
      </c>
      <c r="N33" s="2">
        <f>N11/'Output-Calculation-sheet'!N10*'Output-Calculation-sheet'!N19</f>
        <v>1590.613281936794</v>
      </c>
      <c r="O33" s="2">
        <f>O11/'Output-Calculation-sheet'!O10*'Output-Calculation-sheet'!O19</f>
        <v>0</v>
      </c>
      <c r="P33" s="2">
        <f>P11/'Output-Calculation-sheet'!P10*'Output-Calculation-sheet'!P19</f>
        <v>3499.9131548074856</v>
      </c>
      <c r="Q33" s="2">
        <f>Q11/'Output-Calculation-sheet'!Q10*'Output-Calculation-sheet'!Q19</f>
        <v>2802.339122062654</v>
      </c>
      <c r="R33" s="2">
        <f>R11/'Output-Calculation-sheet'!R10*'Output-Calculation-sheet'!R19</f>
        <v>2498.8458275470462</v>
      </c>
      <c r="S33" s="2">
        <f>S11/'Output-Calculation-sheet'!S10*'Output-Calculation-sheet'!S19</f>
        <v>1167.9452447137535</v>
      </c>
      <c r="T33" s="2">
        <f>T11/'Output-Calculation-sheet'!T10*'Output-Calculation-sheet'!T19</f>
        <v>733.20461310693861</v>
      </c>
      <c r="U33" s="2">
        <f>U11/'Output-Calculation-sheet'!U10*'Output-Calculation-sheet'!U19</f>
        <v>843.19933588684819</v>
      </c>
      <c r="V33" s="2">
        <f>V11/'Output-Calculation-sheet'!V10*'Output-Calculation-sheet'!V19</f>
        <v>575.02437439210553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141.41495233431155</v>
      </c>
      <c r="Y33" s="2">
        <f>Y11/'Output-Calculation-sheet'!Y10*'Output-Calculation-sheet'!Y19</f>
        <v>322.69522904583079</v>
      </c>
      <c r="AA33" s="2">
        <f t="shared" si="1"/>
        <v>77.83973138247606</v>
      </c>
    </row>
    <row r="34" spans="1:27" x14ac:dyDescent="0.25">
      <c r="A34" s="2">
        <v>2035</v>
      </c>
      <c r="B34" s="2">
        <f>B12/'Output-Calculation-sheet'!B11*'Output-Calculation-sheet'!B20</f>
        <v>21191.354390514422</v>
      </c>
      <c r="C34" s="2">
        <f>C12/'Output-Calculation-sheet'!C11*'Output-Calculation-sheet'!C20</f>
        <v>0</v>
      </c>
      <c r="D34" s="2">
        <f>D12/'Output-Calculation-sheet'!D11*'Output-Calculation-sheet'!D20</f>
        <v>7852.9813210116363</v>
      </c>
      <c r="E34" s="2">
        <f>E12/'Output-Calculation-sheet'!E11*'Output-Calculation-sheet'!E20</f>
        <v>7081.5021571478883</v>
      </c>
      <c r="F34" s="2">
        <f>F12/'Output-Calculation-sheet'!F11*'Output-Calculation-sheet'!F20</f>
        <v>5020.6133223623065</v>
      </c>
      <c r="G34" s="2">
        <f>G12/'Output-Calculation-sheet'!G11*'Output-Calculation-sheet'!G20</f>
        <v>2498.1954952168012</v>
      </c>
      <c r="H34" s="2">
        <f>H12/'Output-Calculation-sheet'!H11*'Output-Calculation-sheet'!H20</f>
        <v>0</v>
      </c>
      <c r="I34" s="2">
        <f>I12/'Output-Calculation-sheet'!I11*'Output-Calculation-sheet'!I20</f>
        <v>3069.4531389356089</v>
      </c>
      <c r="J34" s="2">
        <f>J12/'Output-Calculation-sheet'!J11*'Output-Calculation-sheet'!J20</f>
        <v>2557.0817415492543</v>
      </c>
      <c r="K34" s="2">
        <f>K12/'Output-Calculation-sheet'!K11*'Output-Calculation-sheet'!K20</f>
        <v>3598.7431016758665</v>
      </c>
      <c r="L34" s="2">
        <f>L12/'Output-Calculation-sheet'!L11*'Output-Calculation-sheet'!L20</f>
        <v>2448.5715322505853</v>
      </c>
      <c r="M34" s="2">
        <f>M12/'Output-Calculation-sheet'!M11*'Output-Calculation-sheet'!M20</f>
        <v>0</v>
      </c>
      <c r="N34" s="2">
        <f>N12/'Output-Calculation-sheet'!N11*'Output-Calculation-sheet'!N20</f>
        <v>1401.4866892520806</v>
      </c>
      <c r="O34" s="2">
        <f>O12/'Output-Calculation-sheet'!O11*'Output-Calculation-sheet'!O20</f>
        <v>0</v>
      </c>
      <c r="P34" s="2">
        <f>P12/'Output-Calculation-sheet'!P11*'Output-Calculation-sheet'!P20</f>
        <v>2976.9313784656811</v>
      </c>
      <c r="Q34" s="2">
        <f>Q12/'Output-Calculation-sheet'!Q11*'Output-Calculation-sheet'!Q20</f>
        <v>2122.3740977912257</v>
      </c>
      <c r="R34" s="2">
        <f>R12/'Output-Calculation-sheet'!R11*'Output-Calculation-sheet'!R20</f>
        <v>2582.7873982206547</v>
      </c>
      <c r="S34" s="2">
        <f>S12/'Output-Calculation-sheet'!S11*'Output-Calculation-sheet'!S20</f>
        <v>924.84022481886859</v>
      </c>
      <c r="T34" s="2">
        <f>T12/'Output-Calculation-sheet'!T11*'Output-Calculation-sheet'!T20</f>
        <v>747.60536996491783</v>
      </c>
      <c r="U34" s="2">
        <f>U12/'Output-Calculation-sheet'!U11*'Output-Calculation-sheet'!U20</f>
        <v>684.50667547063256</v>
      </c>
      <c r="V34" s="2">
        <f>V12/'Output-Calculation-sheet'!V11*'Output-Calculation-sheet'!V20</f>
        <v>675.71919159545735</v>
      </c>
      <c r="W34" s="2">
        <f>W12/'Output-Calculation-sheet'!W11*'Output-Calculation-sheet'!W20</f>
        <v>399.13612447264569</v>
      </c>
      <c r="X34" s="2">
        <f>X12/'Output-Calculation-sheet'!X11*'Output-Calculation-sheet'!X20</f>
        <v>115.41395453138026</v>
      </c>
      <c r="Y34" s="2">
        <f>Y12/'Output-Calculation-sheet'!Y11*'Output-Calculation-sheet'!Y20</f>
        <v>215.22881082226874</v>
      </c>
      <c r="AA34" s="2">
        <f t="shared" si="1"/>
        <v>68.164526116070192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0.24265526763860507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0.24265526763860507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1.1266483965953771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0.21887747405018498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1.3455258706455622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1.8696333547243169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0.36321946342679517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8.9518827274966934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36722.466783500313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8009.9174371331928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5467.1585684019483</v>
      </c>
      <c r="N52" s="2">
        <f>N8/'Output-Calculation-sheet'!N7*'Output-Calculation-sheet'!N43</f>
        <v>174.74275116160902</v>
      </c>
      <c r="O52" s="2">
        <f>O8/'Output-Calculation-sheet'!O7*'Output-Calculation-sheet'!O43</f>
        <v>7439.9382656560565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707.03505712874892</v>
      </c>
      <c r="Y52" s="2">
        <f>Y8/'Output-Calculation-sheet'!Y7*'Output-Calculation-sheet'!Y43</f>
        <v>0</v>
      </c>
      <c r="AA52" s="2">
        <f t="shared" si="3"/>
        <v>58.521258862981867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64562.765659787256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15086.655715975137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10333.69318406923</v>
      </c>
      <c r="N53" s="2">
        <f>N9/'Output-Calculation-sheet'!N8*'Output-Calculation-sheet'!N44</f>
        <v>3657.2221786423415</v>
      </c>
      <c r="O53" s="2">
        <f>O9/'Output-Calculation-sheet'!O8*'Output-Calculation-sheet'!O44</f>
        <v>12803.664117909808</v>
      </c>
      <c r="P53" s="2">
        <f>P9/'Output-Calculation-sheet'!P8*'Output-Calculation-sheet'!P44</f>
        <v>172.15869142816612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1148.3685803380126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1292.2360403926486</v>
      </c>
      <c r="Y53" s="2">
        <f>Y9/'Output-Calculation-sheet'!Y8*'Output-Calculation-sheet'!Y44</f>
        <v>0</v>
      </c>
      <c r="AA53" s="2">
        <f t="shared" si="3"/>
        <v>109.05676416854259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77133.82465137534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14091.03396287338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529.23459008216537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175.81591679471225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70959.083224164977</v>
      </c>
      <c r="D55" s="2">
        <f>D11/'Output-Calculation-sheet'!D10*'Output-Calculation-sheet'!D46</f>
        <v>7003.6535150987311</v>
      </c>
      <c r="E55" s="2">
        <f>E11/'Output-Calculation-sheet'!E10*'Output-Calculation-sheet'!E46</f>
        <v>8557.7810311863232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23334.122419740575</v>
      </c>
      <c r="I55" s="2">
        <f>I11/'Output-Calculation-sheet'!I10*'Output-Calculation-sheet'!I46</f>
        <v>1694.7890356616479</v>
      </c>
      <c r="J55" s="2">
        <f>J11/'Output-Calculation-sheet'!J10*'Output-Calculation-sheet'!J46</f>
        <v>1230.0087925687519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15993.358453638295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13113.448664585645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4795.0070531504707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5991.337732528722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1380.3611105545074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1669.5410829510793</v>
      </c>
      <c r="Y55" s="2">
        <f>Y11/'Output-Calculation-sheet'!Y10*'Output-Calculation-sheet'!Y46</f>
        <v>423.28387791961927</v>
      </c>
      <c r="AA55" s="2">
        <f t="shared" si="3"/>
        <v>261.55782837817731</v>
      </c>
    </row>
    <row r="56" spans="1:27" x14ac:dyDescent="0.25">
      <c r="A56" s="2">
        <v>2035</v>
      </c>
      <c r="B56" s="2">
        <f>B12/'Output-Calculation-sheet'!B11*'Output-Calculation-sheet'!B47</f>
        <v>95197.39325077206</v>
      </c>
      <c r="C56" s="2">
        <f>C12/'Output-Calculation-sheet'!C11*'Output-Calculation-sheet'!C47</f>
        <v>59779.066473422237</v>
      </c>
      <c r="D56" s="2">
        <f>D12/'Output-Calculation-sheet'!D11*'Output-Calculation-sheet'!D47</f>
        <v>16561.800971155528</v>
      </c>
      <c r="E56" s="2">
        <f>E12/'Output-Calculation-sheet'!E11*'Output-Calculation-sheet'!E47</f>
        <v>24534.829106106339</v>
      </c>
      <c r="F56" s="2">
        <f>F12/'Output-Calculation-sheet'!F11*'Output-Calculation-sheet'!F47</f>
        <v>3558.1436620733734</v>
      </c>
      <c r="G56" s="2">
        <f>G12/'Output-Calculation-sheet'!G11*'Output-Calculation-sheet'!G47</f>
        <v>5732.6151152847642</v>
      </c>
      <c r="H56" s="2">
        <f>H12/'Output-Calculation-sheet'!H11*'Output-Calculation-sheet'!H47</f>
        <v>20194.083319640275</v>
      </c>
      <c r="I56" s="2">
        <f>I12/'Output-Calculation-sheet'!I11*'Output-Calculation-sheet'!I47</f>
        <v>5624.885491994457</v>
      </c>
      <c r="J56" s="2">
        <f>J12/'Output-Calculation-sheet'!J11*'Output-Calculation-sheet'!J47</f>
        <v>4499.821828692573</v>
      </c>
      <c r="K56" s="2">
        <f>K12/'Output-Calculation-sheet'!K11*'Output-Calculation-sheet'!K47</f>
        <v>6035.1449314413176</v>
      </c>
      <c r="L56" s="2">
        <f>L12/'Output-Calculation-sheet'!L11*'Output-Calculation-sheet'!L47</f>
        <v>5055.2855853112333</v>
      </c>
      <c r="M56" s="2">
        <f>M12/'Output-Calculation-sheet'!M11*'Output-Calculation-sheet'!M47</f>
        <v>13982.352337036118</v>
      </c>
      <c r="N56" s="2">
        <f>N12/'Output-Calculation-sheet'!N11*'Output-Calculation-sheet'!N47</f>
        <v>11710.922198729868</v>
      </c>
      <c r="O56" s="2">
        <f>O12/'Output-Calculation-sheet'!O11*'Output-Calculation-sheet'!O47</f>
        <v>10944.375937465276</v>
      </c>
      <c r="P56" s="2">
        <f>P12/'Output-Calculation-sheet'!P11*'Output-Calculation-sheet'!P47</f>
        <v>6261.0152321488185</v>
      </c>
      <c r="Q56" s="2">
        <f>Q12/'Output-Calculation-sheet'!Q11*'Output-Calculation-sheet'!Q47</f>
        <v>6326.8280269326451</v>
      </c>
      <c r="R56" s="2">
        <f>R12/'Output-Calculation-sheet'!R11*'Output-Calculation-sheet'!R47</f>
        <v>4939.287211749277</v>
      </c>
      <c r="S56" s="2">
        <f>S12/'Output-Calculation-sheet'!S11*'Output-Calculation-sheet'!S47</f>
        <v>6184.6512685225052</v>
      </c>
      <c r="T56" s="2">
        <f>T12/'Output-Calculation-sheet'!T11*'Output-Calculation-sheet'!T47</f>
        <v>1865.7757552194139</v>
      </c>
      <c r="U56" s="2">
        <f>U12/'Output-Calculation-sheet'!U11*'Output-Calculation-sheet'!U47</f>
        <v>1947.0615716557775</v>
      </c>
      <c r="V56" s="2">
        <f>V12/'Output-Calculation-sheet'!V11*'Output-Calculation-sheet'!V47</f>
        <v>1011.9467932012415</v>
      </c>
      <c r="W56" s="2">
        <f>W12/'Output-Calculation-sheet'!W11*'Output-Calculation-sheet'!W47</f>
        <v>541.69407206033611</v>
      </c>
      <c r="X56" s="2">
        <f>X12/'Output-Calculation-sheet'!X11*'Output-Calculation-sheet'!X47</f>
        <v>1406.2324326260298</v>
      </c>
      <c r="Y56" s="2">
        <f>Y12/'Output-Calculation-sheet'!Y11*'Output-Calculation-sheet'!Y47</f>
        <v>785.17105991651931</v>
      </c>
      <c r="AA56" s="2">
        <f t="shared" si="3"/>
        <v>314.68038363315799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8.5458435329148319</v>
      </c>
      <c r="C63" s="2">
        <f>C8*'Output-Calculation-sheet'!C52/10^9</f>
        <v>5.3893517775263584</v>
      </c>
      <c r="D63" s="2">
        <f>D8*'Output-Calculation-sheet'!D52/10^9</f>
        <v>2.9305330508906375</v>
      </c>
      <c r="E63" s="2">
        <f>E8*'Output-Calculation-sheet'!E52/10^9</f>
        <v>2.9137505784623499</v>
      </c>
      <c r="F63" s="2">
        <f>F8*'Output-Calculation-sheet'!F52/10^9</f>
        <v>1.2339741115873144</v>
      </c>
      <c r="G63" s="2">
        <f>G8*'Output-Calculation-sheet'!G52/10^9</f>
        <v>0.88717056354855406</v>
      </c>
      <c r="H63" s="2">
        <f>H8*'Output-Calculation-sheet'!H52/10^9</f>
        <v>1.5496632501254279</v>
      </c>
      <c r="I63" s="2">
        <f>I8*'Output-Calculation-sheet'!I52/10^9</f>
        <v>0.82527470438515815</v>
      </c>
      <c r="J63" s="2">
        <f>J8*'Output-Calculation-sheet'!J52/10^9</f>
        <v>1.1356350411094265</v>
      </c>
      <c r="K63" s="2">
        <f>K8*'Output-Calculation-sheet'!K52/10^9</f>
        <v>0.99775380613250197</v>
      </c>
      <c r="L63" s="2">
        <f>L8*'Output-Calculation-sheet'!L52/10^9</f>
        <v>1.3420249847432335</v>
      </c>
      <c r="M63" s="2">
        <f>M8*'Output-Calculation-sheet'!M52/10^9</f>
        <v>1.2578424568806814</v>
      </c>
      <c r="N63" s="2">
        <f>N8*'Output-Calculation-sheet'!N52/10^9</f>
        <v>1.0497932936997916</v>
      </c>
      <c r="O63" s="2">
        <f>O8*'Output-Calculation-sheet'!O52/10^9</f>
        <v>1.1194544823882691</v>
      </c>
      <c r="P63" s="2">
        <f>P8*'Output-Calculation-sheet'!P52/10^9</f>
        <v>0.68942223235073474</v>
      </c>
      <c r="Q63" s="2">
        <f>Q8*'Output-Calculation-sheet'!Q52/10^9</f>
        <v>0.78021967947902671</v>
      </c>
      <c r="R63" s="2">
        <f>R8*'Output-Calculation-sheet'!R52/10^9</f>
        <v>0.70048318222535932</v>
      </c>
      <c r="S63" s="2">
        <f>S8*'Output-Calculation-sheet'!S52/10^9</f>
        <v>0.51908594747271319</v>
      </c>
      <c r="T63" s="2">
        <f>T8*'Output-Calculation-sheet'!T52/10^9</f>
        <v>0.26631478652502616</v>
      </c>
      <c r="U63" s="2">
        <f>U8*'Output-Calculation-sheet'!U52/10^9</f>
        <v>0.18290203424291884</v>
      </c>
      <c r="V63" s="2">
        <f>V8*'Output-Calculation-sheet'!V52/10^9</f>
        <v>0.324608136081803</v>
      </c>
      <c r="W63" s="2">
        <f>W8*'Output-Calculation-sheet'!W52/10^9</f>
        <v>0.11749316423849093</v>
      </c>
      <c r="X63" s="2">
        <f>X8*'Output-Calculation-sheet'!X52/10^9</f>
        <v>0.1352319214326641</v>
      </c>
      <c r="Y63" s="2">
        <f>Y8*'Output-Calculation-sheet'!Y52/10^9</f>
        <v>7.6660947243566369E-2</v>
      </c>
      <c r="AA63" s="2">
        <f t="shared" si="4"/>
        <v>34.970487665686839</v>
      </c>
    </row>
    <row r="64" spans="1:27" x14ac:dyDescent="0.25">
      <c r="A64" s="2">
        <v>2032</v>
      </c>
      <c r="B64" s="2">
        <f>B9*'Output-Calculation-sheet'!B53/10^9</f>
        <v>8.6962772135028619</v>
      </c>
      <c r="C64" s="2">
        <f>C9*'Output-Calculation-sheet'!C53/10^9</f>
        <v>5.8711583580407156</v>
      </c>
      <c r="D64" s="2">
        <f>D9*'Output-Calculation-sheet'!D53/10^9</f>
        <v>2.573574318304404</v>
      </c>
      <c r="E64" s="2">
        <f>E9*'Output-Calculation-sheet'!E53/10^9</f>
        <v>2.6354655764154136</v>
      </c>
      <c r="F64" s="2">
        <f>F9*'Output-Calculation-sheet'!F53/10^9</f>
        <v>1.1116237876569761</v>
      </c>
      <c r="G64" s="2">
        <f>G9*'Output-Calculation-sheet'!G53/10^9</f>
        <v>0.79121896576257944</v>
      </c>
      <c r="H64" s="2">
        <f>H9*'Output-Calculation-sheet'!H53/10^9</f>
        <v>1.625840137405246</v>
      </c>
      <c r="I64" s="2">
        <f>I9*'Output-Calculation-sheet'!I53/10^9</f>
        <v>0.73966054204234055</v>
      </c>
      <c r="J64" s="2">
        <f>J9*'Output-Calculation-sheet'!J53/10^9</f>
        <v>0.97916122604845979</v>
      </c>
      <c r="K64" s="2">
        <f>K9*'Output-Calculation-sheet'!K53/10^9</f>
        <v>0.90852606592562857</v>
      </c>
      <c r="L64" s="2">
        <f>L9*'Output-Calculation-sheet'!L53/10^9</f>
        <v>1.1688112578466325</v>
      </c>
      <c r="M64" s="2">
        <f>M9*'Output-Calculation-sheet'!M53/10^9</f>
        <v>1.2741979573684181</v>
      </c>
      <c r="N64" s="2">
        <f>N9*'Output-Calculation-sheet'!N53/10^9</f>
        <v>1.072642266689559</v>
      </c>
      <c r="O64" s="2">
        <f>O9*'Output-Calculation-sheet'!O53/10^9</f>
        <v>1.2143046472954007</v>
      </c>
      <c r="P64" s="2">
        <f>P9*'Output-Calculation-sheet'!P53/10^9</f>
        <v>0.69267773990216319</v>
      </c>
      <c r="Q64" s="2">
        <f>Q9*'Output-Calculation-sheet'!Q53/10^9</f>
        <v>0.76552514516520775</v>
      </c>
      <c r="R64" s="2">
        <f>R9*'Output-Calculation-sheet'!R53/10^9</f>
        <v>0.65623493529061616</v>
      </c>
      <c r="S64" s="2">
        <f>S9*'Output-Calculation-sheet'!S53/10^9</f>
        <v>0.5421958529191977</v>
      </c>
      <c r="T64" s="2">
        <f>T9*'Output-Calculation-sheet'!T53/10^9</f>
        <v>0.23589937834421132</v>
      </c>
      <c r="U64" s="2">
        <f>U9*'Output-Calculation-sheet'!U53/10^9</f>
        <v>0.17755645842851364</v>
      </c>
      <c r="V64" s="2">
        <f>V9*'Output-Calculation-sheet'!V53/10^9</f>
        <v>0.27999670734070037</v>
      </c>
      <c r="W64" s="2">
        <f>W9*'Output-Calculation-sheet'!W53/10^9</f>
        <v>0.10404172971507175</v>
      </c>
      <c r="X64" s="2">
        <f>X9*'Output-Calculation-sheet'!X53/10^9</f>
        <v>0.14121969003357637</v>
      </c>
      <c r="Y64" s="2">
        <f>Y9*'Output-Calculation-sheet'!Y53/10^9</f>
        <v>7.2895019196206987E-2</v>
      </c>
      <c r="AA64" s="2">
        <f t="shared" si="4"/>
        <v>34.330704976640099</v>
      </c>
    </row>
    <row r="65" spans="1:27" x14ac:dyDescent="0.25">
      <c r="A65" s="2">
        <v>2033</v>
      </c>
      <c r="B65" s="2">
        <f>B10*'Output-Calculation-sheet'!B54/10^9</f>
        <v>8.4708368523456681</v>
      </c>
      <c r="C65" s="2">
        <f>C10*'Output-Calculation-sheet'!C54/10^9</f>
        <v>6.0182477494193707</v>
      </c>
      <c r="D65" s="2">
        <f>D10*'Output-Calculation-sheet'!D54/10^9</f>
        <v>2.00123306633638</v>
      </c>
      <c r="E65" s="2">
        <f>E10*'Output-Calculation-sheet'!E54/10^9</f>
        <v>2.2533655475681629</v>
      </c>
      <c r="F65" s="2">
        <f>F10*'Output-Calculation-sheet'!F54/10^9</f>
        <v>0.91482785042895776</v>
      </c>
      <c r="G65" s="2">
        <f>G10*'Output-Calculation-sheet'!G54/10^9</f>
        <v>0.62811206980673384</v>
      </c>
      <c r="H65" s="2">
        <f>H10*'Output-Calculation-sheet'!H54/10^9</f>
        <v>1.5522465276307804</v>
      </c>
      <c r="I65" s="2">
        <f>I10*'Output-Calculation-sheet'!I54/10^9</f>
        <v>0.61160961635293243</v>
      </c>
      <c r="J65" s="2">
        <f>J10*'Output-Calculation-sheet'!J54/10^9</f>
        <v>0.73100990345965244</v>
      </c>
      <c r="K65" s="2">
        <f>K10*'Output-Calculation-sheet'!K54/10^9</f>
        <v>0.77989073330467407</v>
      </c>
      <c r="L65" s="2">
        <f>L10*'Output-Calculation-sheet'!L54/10^9</f>
        <v>0.92121497669966523</v>
      </c>
      <c r="M65" s="2">
        <f>M10*'Output-Calculation-sheet'!M54/10^9</f>
        <v>1.1720588781503336</v>
      </c>
      <c r="N65" s="2">
        <f>N10*'Output-Calculation-sheet'!N54/10^9</f>
        <v>1.0121036843490259</v>
      </c>
      <c r="O65" s="2">
        <f>O10*'Output-Calculation-sheet'!O54/10^9</f>
        <v>1.2411400973453506</v>
      </c>
      <c r="P65" s="2">
        <f>P10*'Output-Calculation-sheet'!P54/10^9</f>
        <v>0.65988956603049909</v>
      </c>
      <c r="Q65" s="2">
        <f>Q10*'Output-Calculation-sheet'!Q54/10^9</f>
        <v>0.72006691268804413</v>
      </c>
      <c r="R65" s="2">
        <f>R10*'Output-Calculation-sheet'!R54/10^9</f>
        <v>0.58094840879598741</v>
      </c>
      <c r="S65" s="2">
        <f>S10*'Output-Calculation-sheet'!S54/10^9</f>
        <v>0.52769923461630419</v>
      </c>
      <c r="T65" s="2">
        <f>T10*'Output-Calculation-sheet'!T54/10^9</f>
        <v>0.19423698719256247</v>
      </c>
      <c r="U65" s="2">
        <f>U10*'Output-Calculation-sheet'!U54/10^9</f>
        <v>0.16772478889652412</v>
      </c>
      <c r="V65" s="2">
        <f>V10*'Output-Calculation-sheet'!V54/10^9</f>
        <v>0.21495254549035553</v>
      </c>
      <c r="W65" s="2">
        <f>W10*'Output-Calculation-sheet'!W54/10^9</f>
        <v>8.1840518795007186E-2</v>
      </c>
      <c r="X65" s="2">
        <f>X10*'Output-Calculation-sheet'!X54/10^9</f>
        <v>0.13479744866656418</v>
      </c>
      <c r="Y65" s="2">
        <f>Y10*'Output-Calculation-sheet'!Y54/10^9</f>
        <v>6.735913369462089E-2</v>
      </c>
      <c r="AA65" s="2">
        <f t="shared" si="4"/>
        <v>31.657413098064161</v>
      </c>
    </row>
    <row r="66" spans="1:27" x14ac:dyDescent="0.25">
      <c r="A66" s="2">
        <v>2034</v>
      </c>
      <c r="B66" s="2">
        <f>B11*'Output-Calculation-sheet'!B55/10^9</f>
        <v>7.8379553391472241</v>
      </c>
      <c r="C66" s="2">
        <f>C11*'Output-Calculation-sheet'!C55/10^9</f>
        <v>5.9444746936406228</v>
      </c>
      <c r="D66" s="2">
        <f>D11*'Output-Calculation-sheet'!D55/10^9</f>
        <v>1.6395887489537964</v>
      </c>
      <c r="E66" s="2">
        <f>E11*'Output-Calculation-sheet'!E55/10^9</f>
        <v>1.9852545980372145</v>
      </c>
      <c r="F66" s="2">
        <f>F11*'Output-Calculation-sheet'!F55/10^9</f>
        <v>0.76296659188094951</v>
      </c>
      <c r="G66" s="2">
        <f>G11*'Output-Calculation-sheet'!G55/10^9</f>
        <v>0.54537041972161227</v>
      </c>
      <c r="H66" s="2">
        <f>H11*'Output-Calculation-sheet'!H55/10^9</f>
        <v>1.4004846011957224</v>
      </c>
      <c r="I66" s="2">
        <f>I11*'Output-Calculation-sheet'!I55/10^9</f>
        <v>0.5333384470801229</v>
      </c>
      <c r="J66" s="2">
        <f>J11*'Output-Calculation-sheet'!J55/10^9</f>
        <v>0.54843851422556367</v>
      </c>
      <c r="K66" s="2">
        <f>K11*'Output-Calculation-sheet'!K55/10^9</f>
        <v>0.65592490770898093</v>
      </c>
      <c r="L66" s="2">
        <f>L11*'Output-Calculation-sheet'!L55/10^9</f>
        <v>0.69465483086957269</v>
      </c>
      <c r="M66" s="2">
        <f>M11*'Output-Calculation-sheet'!M55/10^9</f>
        <v>1.0100882416498176</v>
      </c>
      <c r="N66" s="2">
        <f>N11*'Output-Calculation-sheet'!N55/10^9</f>
        <v>0.88254859632852667</v>
      </c>
      <c r="O66" s="2">
        <f>O11*'Output-Calculation-sheet'!O55/10^9</f>
        <v>1.183605127215245</v>
      </c>
      <c r="P66" s="2">
        <f>P11*'Output-Calculation-sheet'!P55/10^9</f>
        <v>0.60666422903500816</v>
      </c>
      <c r="Q66" s="2">
        <f>Q11*'Output-Calculation-sheet'!Q55/10^9</f>
        <v>0.66229511117476059</v>
      </c>
      <c r="R66" s="2">
        <f>R11*'Output-Calculation-sheet'!R55/10^9</f>
        <v>0.49136705698278321</v>
      </c>
      <c r="S66" s="2">
        <f>S11*'Output-Calculation-sheet'!S55/10^9</f>
        <v>0.48347940007750062</v>
      </c>
      <c r="T66" s="2">
        <f>T11*'Output-Calculation-sheet'!T55/10^9</f>
        <v>0.1540235126466577</v>
      </c>
      <c r="U66" s="2">
        <f>U11*'Output-Calculation-sheet'!U55/10^9</f>
        <v>0.15725888984136929</v>
      </c>
      <c r="V66" s="2">
        <f>V11*'Output-Calculation-sheet'!V55/10^9</f>
        <v>0.14611773438378631</v>
      </c>
      <c r="W66" s="2">
        <f>W11*'Output-Calculation-sheet'!W55/10^9</f>
        <v>6.6156586325724992E-2</v>
      </c>
      <c r="X66" s="2">
        <f>X11*'Output-Calculation-sheet'!X55/10^9</f>
        <v>0.12555243466333899</v>
      </c>
      <c r="Y66" s="2">
        <f>Y11*'Output-Calculation-sheet'!Y55/10^9</f>
        <v>6.4919487618955357E-2</v>
      </c>
      <c r="AA66" s="2">
        <f t="shared" si="4"/>
        <v>28.582528100404847</v>
      </c>
    </row>
    <row r="67" spans="1:27" x14ac:dyDescent="0.25">
      <c r="A67" s="2">
        <v>2035</v>
      </c>
      <c r="B67" s="2">
        <f>B12*'Output-Calculation-sheet'!B56/10^9</f>
        <v>7.4096338109481223</v>
      </c>
      <c r="C67" s="2">
        <f>C12*'Output-Calculation-sheet'!C56/10^9</f>
        <v>5.3705193095775314</v>
      </c>
      <c r="D67" s="2">
        <f>D12*'Output-Calculation-sheet'!D56/10^9</f>
        <v>1.680680475185361</v>
      </c>
      <c r="E67" s="2">
        <f>E12*'Output-Calculation-sheet'!E56/10^9</f>
        <v>2.0005675112151819</v>
      </c>
      <c r="F67" s="2">
        <f>F12*'Output-Calculation-sheet'!F56/10^9</f>
        <v>0.8187734084077587</v>
      </c>
      <c r="G67" s="2">
        <f>G12*'Output-Calculation-sheet'!G56/10^9</f>
        <v>0.57551430990820462</v>
      </c>
      <c r="H67" s="2">
        <f>H12*'Output-Calculation-sheet'!H56/10^9</f>
        <v>1.3140273208463893</v>
      </c>
      <c r="I67" s="2">
        <f>I12*'Output-Calculation-sheet'!I56/10^9</f>
        <v>0.57633186965224525</v>
      </c>
      <c r="J67" s="2">
        <f>J12*'Output-Calculation-sheet'!J56/10^9</f>
        <v>0.52140767139306088</v>
      </c>
      <c r="K67" s="2">
        <f>K12*'Output-Calculation-sheet'!K56/10^9</f>
        <v>0.6471116897897129</v>
      </c>
      <c r="L67" s="2">
        <f>L12*'Output-Calculation-sheet'!L56/10^9</f>
        <v>0.60303815643415071</v>
      </c>
      <c r="M67" s="2">
        <f>M12*'Output-Calculation-sheet'!M56/10^9</f>
        <v>0.92681580209813241</v>
      </c>
      <c r="N67" s="2">
        <f>N12*'Output-Calculation-sheet'!N56/10^9</f>
        <v>0.78799601514139517</v>
      </c>
      <c r="O67" s="2">
        <f>O12*'Output-Calculation-sheet'!O56/10^9</f>
        <v>1.0374175950937798</v>
      </c>
      <c r="P67" s="2">
        <f>P12*'Output-Calculation-sheet'!P56/10^9</f>
        <v>0.60838739664342856</v>
      </c>
      <c r="Q67" s="2">
        <f>Q12*'Output-Calculation-sheet'!Q56/10^9</f>
        <v>0.61450971384798736</v>
      </c>
      <c r="R67" s="2">
        <f>R12*'Output-Calculation-sheet'!R56/10^9</f>
        <v>0.46923118371826628</v>
      </c>
      <c r="S67" s="2">
        <f>S12*'Output-Calculation-sheet'!S56/10^9</f>
        <v>0.4487211488588963</v>
      </c>
      <c r="T67" s="2">
        <f>T12*'Output-Calculation-sheet'!T56/10^9</f>
        <v>0.14272074471618384</v>
      </c>
      <c r="U67" s="2">
        <f>U12*'Output-Calculation-sheet'!U56/10^9</f>
        <v>0.16233126815966295</v>
      </c>
      <c r="V67" s="2">
        <f>V12*'Output-Calculation-sheet'!V56/10^9</f>
        <v>0.10941989372784044</v>
      </c>
      <c r="W67" s="2">
        <f>W12*'Output-Calculation-sheet'!W56/10^9</f>
        <v>7.0865338288373797E-2</v>
      </c>
      <c r="X67" s="2">
        <f>X12*'Output-Calculation-sheet'!X56/10^9</f>
        <v>0.11606680999291928</v>
      </c>
      <c r="Y67" s="2">
        <f>Y12*'Output-Calculation-sheet'!Y56/10^9</f>
        <v>6.6594403138950514E-2</v>
      </c>
      <c r="AA67" s="2">
        <f t="shared" si="4"/>
        <v>27.078682846783533</v>
      </c>
    </row>
    <row r="68" spans="1:27" x14ac:dyDescent="0.25">
      <c r="B68" s="2">
        <f>SUM(B60:B67)</f>
        <v>60.805285188383607</v>
      </c>
      <c r="C68" s="2">
        <f t="shared" ref="C68:Y68" si="5">SUM(C60:C67)</f>
        <v>39.098137343268739</v>
      </c>
      <c r="D68" s="2">
        <f t="shared" si="5"/>
        <v>18.610879650360875</v>
      </c>
      <c r="E68" s="2">
        <f t="shared" si="5"/>
        <v>19.464024749185771</v>
      </c>
      <c r="F68" s="2">
        <f t="shared" si="5"/>
        <v>8.023351530049343</v>
      </c>
      <c r="G68" s="2">
        <f t="shared" si="5"/>
        <v>5.7422252612298106</v>
      </c>
      <c r="H68" s="2">
        <f t="shared" si="5"/>
        <v>10.713954268249566</v>
      </c>
      <c r="I68" s="2">
        <f t="shared" si="5"/>
        <v>5.4269134596998434</v>
      </c>
      <c r="J68" s="2">
        <f t="shared" si="5"/>
        <v>6.9955447805515627</v>
      </c>
      <c r="K68" s="2">
        <f t="shared" si="5"/>
        <v>6.5829431272702443</v>
      </c>
      <c r="L68" s="2">
        <f t="shared" si="5"/>
        <v>8.3826315994298639</v>
      </c>
      <c r="M68" s="2">
        <f t="shared" si="5"/>
        <v>8.4457877786696773</v>
      </c>
      <c r="N68" s="2">
        <f t="shared" si="5"/>
        <v>7.2390620876843244</v>
      </c>
      <c r="O68" s="2">
        <f t="shared" si="5"/>
        <v>7.9911999327887919</v>
      </c>
      <c r="P68" s="2">
        <f t="shared" si="5"/>
        <v>4.9042474309683044</v>
      </c>
      <c r="Q68" s="2">
        <f t="shared" si="5"/>
        <v>5.4229516750538664</v>
      </c>
      <c r="R68" s="2">
        <f t="shared" si="5"/>
        <v>4.7012311362077952</v>
      </c>
      <c r="S68" s="2">
        <f t="shared" si="5"/>
        <v>3.7005678653464629</v>
      </c>
      <c r="T68" s="2">
        <f t="shared" si="5"/>
        <v>1.6989721802550883</v>
      </c>
      <c r="U68" s="2">
        <f t="shared" si="5"/>
        <v>1.3094121090875062</v>
      </c>
      <c r="V68" s="2">
        <f t="shared" si="5"/>
        <v>1.9681165634366105</v>
      </c>
      <c r="W68" s="2">
        <f t="shared" si="5"/>
        <v>0.7495462992198072</v>
      </c>
      <c r="X68" s="2">
        <f t="shared" si="5"/>
        <v>0.93850079663899943</v>
      </c>
      <c r="Y68" s="2">
        <f t="shared" si="5"/>
        <v>0.54334841057178385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7085.5475052095508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1710.2465650446647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1146.0364467348913</v>
      </c>
      <c r="N74" s="2">
        <f>N8/'Output-Calculation-sheet'!N7*'Output-Calculation-sheet'!N61</f>
        <v>48.032413725547279</v>
      </c>
      <c r="O74" s="2">
        <f>O8/'Output-Calculation-sheet'!O7*'Output-Calculation-sheet'!O61</f>
        <v>1416.3196450708092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142.41148881725684</v>
      </c>
      <c r="Y74" s="2">
        <f>Y8/'Output-Calculation-sheet'!Y7*'Output-Calculation-sheet'!Y61</f>
        <v>0</v>
      </c>
      <c r="AA74" s="2">
        <f t="shared" si="6"/>
        <v>11.548594064602719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11596.793060218391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2873.904580634935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1952.6650925594304</v>
      </c>
      <c r="N75" s="2">
        <f>N9/'Output-Calculation-sheet'!N8*'Output-Calculation-sheet'!N62</f>
        <v>751.94351545589041</v>
      </c>
      <c r="O75" s="2">
        <f>O9/'Output-Calculation-sheet'!O8*'Output-Calculation-sheet'!O62</f>
        <v>2292.3123744682939</v>
      </c>
      <c r="P75" s="2">
        <f>P9/'Output-Calculation-sheet'!P8*'Output-Calculation-sheet'!P62</f>
        <v>50.528575934166753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252.89479701187932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235.90717943836097</v>
      </c>
      <c r="Y75" s="2">
        <f>Y9/'Output-Calculation-sheet'!Y8*'Output-Calculation-sheet'!Y62</f>
        <v>0</v>
      </c>
      <c r="AA75" s="2">
        <f t="shared" si="6"/>
        <v>20.006949175721342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14380.089607981621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3871.4840030856826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2635.9015460552941</v>
      </c>
      <c r="N76" s="2">
        <f>N10/'Output-Calculation-sheet'!N9*'Output-Calculation-sheet'!N63</f>
        <v>1505.9123152232576</v>
      </c>
      <c r="O76" s="2">
        <f>O10/'Output-Calculation-sheet'!O9*'Output-Calculation-sheet'!O63</f>
        <v>2594.3466654031663</v>
      </c>
      <c r="P76" s="2">
        <f>P10/'Output-Calculation-sheet'!P9*'Output-Calculation-sheet'!P63</f>
        <v>522.92167157117638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396.96443857450231</v>
      </c>
      <c r="S76" s="2">
        <f>S10/'Output-Calculation-sheet'!S9*'Output-Calculation-sheet'!S63</f>
        <v>668.91477916604799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140.84016416548036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310.42619876277212</v>
      </c>
      <c r="Y76" s="2">
        <f>Y10/'Output-Calculation-sheet'!Y9*'Output-Calculation-sheet'!Y63</f>
        <v>5.8891829974712673</v>
      </c>
      <c r="AA76" s="2">
        <f t="shared" si="6"/>
        <v>33.333357129360799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13086.31761287546</v>
      </c>
      <c r="D77" s="2">
        <f>D11/'Output-Calculation-sheet'!D10*'Output-Calculation-sheet'!D64</f>
        <v>1619.8575123733979</v>
      </c>
      <c r="E77" s="2">
        <f>E11/'Output-Calculation-sheet'!E10*'Output-Calculation-sheet'!E64</f>
        <v>1970.5160517500735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844.74997931255257</v>
      </c>
      <c r="H77" s="2">
        <f>H11/'Output-Calculation-sheet'!H10*'Output-Calculation-sheet'!H64</f>
        <v>4488.3047572740115</v>
      </c>
      <c r="I77" s="2">
        <f>I11/'Output-Calculation-sheet'!I10*'Output-Calculation-sheet'!I64</f>
        <v>500.55594168266771</v>
      </c>
      <c r="J77" s="2">
        <f>J11/'Output-Calculation-sheet'!J10*'Output-Calculation-sheet'!J64</f>
        <v>359.8055265716456</v>
      </c>
      <c r="K77" s="2">
        <f>K11/'Output-Calculation-sheet'!K10*'Output-Calculation-sheet'!K64</f>
        <v>753.20668390595597</v>
      </c>
      <c r="L77" s="2">
        <f>L11/'Output-Calculation-sheet'!L10*'Output-Calculation-sheet'!L64</f>
        <v>329.29114626508789</v>
      </c>
      <c r="M77" s="2">
        <f>M11/'Output-Calculation-sheet'!M10*'Output-Calculation-sheet'!M64</f>
        <v>3008.0492796297131</v>
      </c>
      <c r="N77" s="2">
        <f>N11/'Output-Calculation-sheet'!N10*'Output-Calculation-sheet'!N64</f>
        <v>2117.834409211795</v>
      </c>
      <c r="O77" s="2">
        <f>O11/'Output-Calculation-sheet'!O10*'Output-Calculation-sheet'!O64</f>
        <v>2453.0980900850864</v>
      </c>
      <c r="P77" s="2">
        <f>P11/'Output-Calculation-sheet'!P10*'Output-Calculation-sheet'!P64</f>
        <v>934.76992105569309</v>
      </c>
      <c r="Q77" s="2">
        <f>Q11/'Output-Calculation-sheet'!Q10*'Output-Calculation-sheet'!Q64</f>
        <v>840.92886853184007</v>
      </c>
      <c r="R77" s="2">
        <f>R11/'Output-Calculation-sheet'!R10*'Output-Calculation-sheet'!R64</f>
        <v>799.91883366656896</v>
      </c>
      <c r="S77" s="2">
        <f>S11/'Output-Calculation-sheet'!S10*'Output-Calculation-sheet'!S64</f>
        <v>1064.9956638727238</v>
      </c>
      <c r="T77" s="2">
        <f>T11/'Output-Calculation-sheet'!T10*'Output-Calculation-sheet'!T64</f>
        <v>221.7100381121025</v>
      </c>
      <c r="U77" s="2">
        <f>U11/'Output-Calculation-sheet'!U10*'Output-Calculation-sheet'!U64</f>
        <v>303.37461457674419</v>
      </c>
      <c r="V77" s="2">
        <f>V11/'Output-Calculation-sheet'!V10*'Output-Calculation-sheet'!V64</f>
        <v>116.58548453639322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310.2154306853929</v>
      </c>
      <c r="Y77" s="2">
        <f>Y11/'Output-Calculation-sheet'!Y10*'Output-Calculation-sheet'!Y64</f>
        <v>73.228110880094135</v>
      </c>
      <c r="AA77" s="2">
        <f t="shared" si="6"/>
        <v>49.325447291972267</v>
      </c>
    </row>
    <row r="78" spans="1:27" x14ac:dyDescent="0.25">
      <c r="A78" s="2">
        <v>2035</v>
      </c>
      <c r="B78" s="2">
        <f>B12/'Output-Calculation-sheet'!B11*'Output-Calculation-sheet'!B65</f>
        <v>15847.169693540045</v>
      </c>
      <c r="C78" s="2">
        <f>C12/'Output-Calculation-sheet'!C11*'Output-Calculation-sheet'!C65</f>
        <v>11167.205225720247</v>
      </c>
      <c r="D78" s="2">
        <f>D12/'Output-Calculation-sheet'!D11*'Output-Calculation-sheet'!D65</f>
        <v>3639.9642397570333</v>
      </c>
      <c r="E78" s="2">
        <f>E12/'Output-Calculation-sheet'!E11*'Output-Calculation-sheet'!E65</f>
        <v>3640.9686393461807</v>
      </c>
      <c r="F78" s="2">
        <f>F12/'Output-Calculation-sheet'!F11*'Output-Calculation-sheet'!F65</f>
        <v>845.24065768436867</v>
      </c>
      <c r="G78" s="2">
        <f>G12/'Output-Calculation-sheet'!G11*'Output-Calculation-sheet'!G65</f>
        <v>1259.9245729738586</v>
      </c>
      <c r="H78" s="2">
        <f>H12/'Output-Calculation-sheet'!H11*'Output-Calculation-sheet'!H65</f>
        <v>4037.8574449703719</v>
      </c>
      <c r="I78" s="2">
        <f>I12/'Output-Calculation-sheet'!I11*'Output-Calculation-sheet'!I65</f>
        <v>1118.4850430602144</v>
      </c>
      <c r="J78" s="2">
        <f>J12/'Output-Calculation-sheet'!J11*'Output-Calculation-sheet'!J65</f>
        <v>995.04049808805507</v>
      </c>
      <c r="K78" s="2">
        <f>K12/'Output-Calculation-sheet'!K11*'Output-Calculation-sheet'!K65</f>
        <v>1326.3958604666182</v>
      </c>
      <c r="L78" s="2">
        <f>L12/'Output-Calculation-sheet'!L11*'Output-Calculation-sheet'!L65</f>
        <v>873.70354240917072</v>
      </c>
      <c r="M78" s="2">
        <f>M12/'Output-Calculation-sheet'!M11*'Output-Calculation-sheet'!M65</f>
        <v>2819.8496552900197</v>
      </c>
      <c r="N78" s="2">
        <f>N12/'Output-Calculation-sheet'!N11*'Output-Calculation-sheet'!N65</f>
        <v>2013.5786942600389</v>
      </c>
      <c r="O78" s="2">
        <f>O12/'Output-Calculation-sheet'!O11*'Output-Calculation-sheet'!O65</f>
        <v>2040.4490585129038</v>
      </c>
      <c r="P78" s="2">
        <f>P12/'Output-Calculation-sheet'!P11*'Output-Calculation-sheet'!P65</f>
        <v>1115.1388565491457</v>
      </c>
      <c r="Q78" s="2">
        <f>Q12/'Output-Calculation-sheet'!Q11*'Output-Calculation-sheet'!Q65</f>
        <v>1081.1098265123369</v>
      </c>
      <c r="R78" s="2">
        <f>R12/'Output-Calculation-sheet'!R11*'Output-Calculation-sheet'!R65</f>
        <v>980.75258176598777</v>
      </c>
      <c r="S78" s="2">
        <f>S12/'Output-Calculation-sheet'!S11*'Output-Calculation-sheet'!S65</f>
        <v>1097.1395205227859</v>
      </c>
      <c r="T78" s="2">
        <f>T12/'Output-Calculation-sheet'!T11*'Output-Calculation-sheet'!T65</f>
        <v>341.78268047744342</v>
      </c>
      <c r="U78" s="2">
        <f>U12/'Output-Calculation-sheet'!U11*'Output-Calculation-sheet'!U65</f>
        <v>312.51292667022119</v>
      </c>
      <c r="V78" s="2">
        <f>V12/'Output-Calculation-sheet'!V11*'Output-Calculation-sheet'!V65</f>
        <v>178.87171516625145</v>
      </c>
      <c r="W78" s="2">
        <f>W12/'Output-Calculation-sheet'!W11*'Output-Calculation-sheet'!W65</f>
        <v>119.05479773170788</v>
      </c>
      <c r="X78" s="2">
        <f>X12/'Output-Calculation-sheet'!X11*'Output-Calculation-sheet'!X65</f>
        <v>270.85027493657776</v>
      </c>
      <c r="Y78" s="2">
        <f>Y12/'Output-Calculation-sheet'!Y11*'Output-Calculation-sheet'!Y65</f>
        <v>125.2485751174562</v>
      </c>
      <c r="AA78" s="2">
        <f t="shared" si="6"/>
        <v>57.248294581529052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42.571099585720184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4.2571099585720182E-2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494.14403359446362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115.19867055272894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0.60934270414719249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902.01609219155637</v>
      </c>
      <c r="D89" s="2">
        <f>D12/'Output-Calculation-sheet'!D11*'Output-Calculation-sheet'!D74</f>
        <v>72.639477943664602</v>
      </c>
      <c r="E89" s="2">
        <f>E12/'Output-Calculation-sheet'!E11*'Output-Calculation-sheet'!E74</f>
        <v>57.72900966142668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75.727812448651036</v>
      </c>
      <c r="I89" s="2">
        <f>I12/'Output-Calculation-sheet'!I11*'Output-Calculation-sheet'!I74</f>
        <v>23.437022883310238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23.034904318478311</v>
      </c>
      <c r="L89" s="2">
        <f>L12/'Output-Calculation-sheet'!L11*'Output-Calculation-sheet'!L74</f>
        <v>18.316252120692873</v>
      </c>
      <c r="M89" s="2">
        <f>M12/'Output-Calculation-sheet'!M11*'Output-Calculation-sheet'!M74</f>
        <v>52.108145355414109</v>
      </c>
      <c r="N89" s="2">
        <f>N12/'Output-Calculation-sheet'!N11*'Output-Calculation-sheet'!N74</f>
        <v>34.142630316996701</v>
      </c>
      <c r="O89" s="2">
        <f>O12/'Output-Calculation-sheet'!O11*'Output-Calculation-sheet'!O74</f>
        <v>207.09881686615515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29.914080505591702</v>
      </c>
      <c r="R89" s="2">
        <f>R12/'Output-Calculation-sheet'!R11*'Output-Calculation-sheet'!R74</f>
        <v>14.832694329577409</v>
      </c>
      <c r="S89" s="2">
        <f>S12/'Output-Calculation-sheet'!S11*'Output-Calculation-sheet'!S74</f>
        <v>19.5716812295016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9.5444194689008697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7.6218560033931153</v>
      </c>
      <c r="Y89" s="2">
        <f>Y12/'Output-Calculation-sheet'!Y11*'Output-Calculation-sheet'!Y74</f>
        <v>3.6776162056979826</v>
      </c>
      <c r="AA89" s="2">
        <f t="shared" si="7"/>
        <v>2.0524692745573772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22319185223.502827</v>
      </c>
      <c r="C96" s="2">
        <f>C8/'Output-Calculation-sheet'!C7*'Output-Calculation-sheet'!C79</f>
        <v>9239851084.0102005</v>
      </c>
      <c r="D96" s="2">
        <f>D8/'Output-Calculation-sheet'!D7*'Output-Calculation-sheet'!D79</f>
        <v>7365610713.1459236</v>
      </c>
      <c r="E96" s="2">
        <f>E8/'Output-Calculation-sheet'!E7*'Output-Calculation-sheet'!E79</f>
        <v>8900225496.7425632</v>
      </c>
      <c r="F96" s="2">
        <f>F8/'Output-Calculation-sheet'!F7*'Output-Calculation-sheet'!F79</f>
        <v>5253752015.9131813</v>
      </c>
      <c r="G96" s="2">
        <f>G8/'Output-Calculation-sheet'!G7*'Output-Calculation-sheet'!G79</f>
        <v>2672330973.047801</v>
      </c>
      <c r="H96" s="2">
        <f>H8/'Output-Calculation-sheet'!H7*'Output-Calculation-sheet'!H79</f>
        <v>3336854088.9796515</v>
      </c>
      <c r="I96" s="2">
        <f>I8/'Output-Calculation-sheet'!I7*'Output-Calculation-sheet'!I79</f>
        <v>3193835941.432868</v>
      </c>
      <c r="J96" s="2">
        <f>J8/'Output-Calculation-sheet'!J7*'Output-Calculation-sheet'!J79</f>
        <v>1802715683.3913069</v>
      </c>
      <c r="K96" s="2">
        <f>K8/'Output-Calculation-sheet'!K7*'Output-Calculation-sheet'!K79</f>
        <v>3070642278.6336489</v>
      </c>
      <c r="L96" s="2">
        <f>L8/'Output-Calculation-sheet'!L7*'Output-Calculation-sheet'!L79</f>
        <v>2208466283.0881009</v>
      </c>
      <c r="M96" s="2">
        <f>M8/'Output-Calculation-sheet'!M7*'Output-Calculation-sheet'!M79</f>
        <v>2232563094.6949458</v>
      </c>
      <c r="N96" s="2">
        <f>N8/'Output-Calculation-sheet'!N7*'Output-Calculation-sheet'!N79</f>
        <v>1588977993.0012286</v>
      </c>
      <c r="O96" s="2">
        <f>O8/'Output-Calculation-sheet'!O7*'Output-Calculation-sheet'!O79</f>
        <v>1248800160.5759718</v>
      </c>
      <c r="P96" s="2">
        <f>P8/'Output-Calculation-sheet'!P7*'Output-Calculation-sheet'!P79</f>
        <v>2654634931.5420141</v>
      </c>
      <c r="Q96" s="2">
        <f>Q8/'Output-Calculation-sheet'!Q7*'Output-Calculation-sheet'!Q79</f>
        <v>1445882004.7167959</v>
      </c>
      <c r="R96" s="2">
        <f>R8/'Output-Calculation-sheet'!R7*'Output-Calculation-sheet'!R79</f>
        <v>1928944096.2707791</v>
      </c>
      <c r="S96" s="2">
        <f>S8/'Output-Calculation-sheet'!S7*'Output-Calculation-sheet'!S79</f>
        <v>1214166324.6964695</v>
      </c>
      <c r="T96" s="2">
        <f>T8/'Output-Calculation-sheet'!T7*'Output-Calculation-sheet'!T79</f>
        <v>779665722.4960674</v>
      </c>
      <c r="U96" s="2">
        <f>U8/'Output-Calculation-sheet'!U7*'Output-Calculation-sheet'!U79</f>
        <v>722973251.81305361</v>
      </c>
      <c r="V96" s="2">
        <f>V8/'Output-Calculation-sheet'!V7*'Output-Calculation-sheet'!V79</f>
        <v>465474809.990242</v>
      </c>
      <c r="W96" s="2">
        <f>W8/'Output-Calculation-sheet'!W7*'Output-Calculation-sheet'!W79</f>
        <v>556813388.05853379</v>
      </c>
      <c r="X96" s="2">
        <f>X8/'Output-Calculation-sheet'!X7*'Output-Calculation-sheet'!X79</f>
        <v>254856637.6666683</v>
      </c>
      <c r="Y96" s="2">
        <f>Y8/'Output-Calculation-sheet'!Y7*'Output-Calculation-sheet'!Y79</f>
        <v>285253973.43918979</v>
      </c>
      <c r="AA96" s="2">
        <f t="shared" si="8"/>
        <v>84.74247617085004</v>
      </c>
    </row>
    <row r="97" spans="1:27" x14ac:dyDescent="0.25">
      <c r="A97" s="2">
        <v>2032</v>
      </c>
      <c r="B97" s="2">
        <f>B9/'Output-Calculation-sheet'!B8*'Output-Calculation-sheet'!B80</f>
        <v>30047468709.508968</v>
      </c>
      <c r="C97" s="2">
        <f>C9/'Output-Calculation-sheet'!C8*'Output-Calculation-sheet'!C80</f>
        <v>12450106937.511465</v>
      </c>
      <c r="D97" s="2">
        <f>D9/'Output-Calculation-sheet'!D8*'Output-Calculation-sheet'!D80</f>
        <v>9840802702.7229805</v>
      </c>
      <c r="E97" s="2">
        <f>E9/'Output-Calculation-sheet'!E8*'Output-Calculation-sheet'!E80</f>
        <v>11874438777.132664</v>
      </c>
      <c r="F97" s="2">
        <f>F9/'Output-Calculation-sheet'!F8*'Output-Calculation-sheet'!F80</f>
        <v>7035940272.5499878</v>
      </c>
      <c r="G97" s="2">
        <f>G9/'Output-Calculation-sheet'!G8*'Output-Calculation-sheet'!G80</f>
        <v>3522070250.1839628</v>
      </c>
      <c r="H97" s="2">
        <f>H9/'Output-Calculation-sheet'!H8*'Output-Calculation-sheet'!H80</f>
        <v>4483023857.0956221</v>
      </c>
      <c r="I97" s="2">
        <f>I9/'Output-Calculation-sheet'!I8*'Output-Calculation-sheet'!I80</f>
        <v>4279227157.1530728</v>
      </c>
      <c r="J97" s="2">
        <f>J9/'Output-Calculation-sheet'!J8*'Output-Calculation-sheet'!J80</f>
        <v>2441790369.5109539</v>
      </c>
      <c r="K97" s="2">
        <f>K9/'Output-Calculation-sheet'!K8*'Output-Calculation-sheet'!K80</f>
        <v>4113239660.597425</v>
      </c>
      <c r="L97" s="2">
        <f>L9/'Output-Calculation-sheet'!L8*'Output-Calculation-sheet'!L80</f>
        <v>2976069092.6472268</v>
      </c>
      <c r="M97" s="2">
        <f>M9/'Output-Calculation-sheet'!M8*'Output-Calculation-sheet'!M80</f>
        <v>2999373407.5810189</v>
      </c>
      <c r="N97" s="2">
        <f>N9/'Output-Calculation-sheet'!N8*'Output-Calculation-sheet'!N80</f>
        <v>2143877151.8772337</v>
      </c>
      <c r="O97" s="2">
        <f>O9/'Output-Calculation-sheet'!O8*'Output-Calculation-sheet'!O80</f>
        <v>1691388159.1221859</v>
      </c>
      <c r="P97" s="2">
        <f>P9/'Output-Calculation-sheet'!P8*'Output-Calculation-sheet'!P80</f>
        <v>3534605157.5971785</v>
      </c>
      <c r="Q97" s="2">
        <f>Q9/'Output-Calculation-sheet'!Q8*'Output-Calculation-sheet'!Q80</f>
        <v>1957148194.6235321</v>
      </c>
      <c r="R97" s="2">
        <f>R9/'Output-Calculation-sheet'!R8*'Output-Calculation-sheet'!R80</f>
        <v>2594887474.4541478</v>
      </c>
      <c r="S97" s="2">
        <f>S9/'Output-Calculation-sheet'!S8*'Output-Calculation-sheet'!S80</f>
        <v>1636996740.6472316</v>
      </c>
      <c r="T97" s="2">
        <f>T9/'Output-Calculation-sheet'!T8*'Output-Calculation-sheet'!T80</f>
        <v>1040520571.0683132</v>
      </c>
      <c r="U97" s="2">
        <f>U9/'Output-Calculation-sheet'!U8*'Output-Calculation-sheet'!U80</f>
        <v>970325867.42149317</v>
      </c>
      <c r="V97" s="2">
        <f>V9/'Output-Calculation-sheet'!V8*'Output-Calculation-sheet'!V80</f>
        <v>628392270.37990093</v>
      </c>
      <c r="W97" s="2">
        <f>W9/'Output-Calculation-sheet'!W8*'Output-Calculation-sheet'!W80</f>
        <v>735082149.0124563</v>
      </c>
      <c r="X97" s="2">
        <f>X9/'Output-Calculation-sheet'!X8*'Output-Calculation-sheet'!X80</f>
        <v>342283946.2805832</v>
      </c>
      <c r="Y97" s="2">
        <f>Y9/'Output-Calculation-sheet'!Y8*'Output-Calculation-sheet'!Y80</f>
        <v>378239532.66951245</v>
      </c>
      <c r="AA97" s="2">
        <f t="shared" si="8"/>
        <v>113.71729840934913</v>
      </c>
    </row>
    <row r="98" spans="1:27" x14ac:dyDescent="0.25">
      <c r="A98" s="2">
        <v>2033</v>
      </c>
      <c r="B98" s="2">
        <f>B10/'Output-Calculation-sheet'!B9*'Output-Calculation-sheet'!B81</f>
        <v>35635906637.833977</v>
      </c>
      <c r="C98" s="2">
        <f>C10/'Output-Calculation-sheet'!C9*'Output-Calculation-sheet'!C81</f>
        <v>14780966365.985102</v>
      </c>
      <c r="D98" s="2">
        <f>D10/'Output-Calculation-sheet'!D9*'Output-Calculation-sheet'!D81</f>
        <v>11594674347.526201</v>
      </c>
      <c r="E98" s="2">
        <f>E10/'Output-Calculation-sheet'!E9*'Output-Calculation-sheet'!E81</f>
        <v>13964472413.586899</v>
      </c>
      <c r="F98" s="2">
        <f>F10/'Output-Calculation-sheet'!F9*'Output-Calculation-sheet'!F81</f>
        <v>8303602034.0566845</v>
      </c>
      <c r="G98" s="2">
        <f>G10/'Output-Calculation-sheet'!G9*'Output-Calculation-sheet'!G81</f>
        <v>4093069828.1919026</v>
      </c>
      <c r="H98" s="2">
        <f>H10/'Output-Calculation-sheet'!H9*'Output-Calculation-sheet'!H81</f>
        <v>5306742926.2155638</v>
      </c>
      <c r="I98" s="2">
        <f>I10/'Output-Calculation-sheet'!I9*'Output-Calculation-sheet'!I81</f>
        <v>5053240042.3770761</v>
      </c>
      <c r="J98" s="2">
        <f>J10/'Output-Calculation-sheet'!J9*'Output-Calculation-sheet'!J81</f>
        <v>2915829891.8496161</v>
      </c>
      <c r="K98" s="2">
        <f>K10/'Output-Calculation-sheet'!K9*'Output-Calculation-sheet'!K81</f>
        <v>4855628802.4138374</v>
      </c>
      <c r="L98" s="2">
        <f>L10/'Output-Calculation-sheet'!L9*'Output-Calculation-sheet'!L81</f>
        <v>3533490130.1292653</v>
      </c>
      <c r="M98" s="2">
        <f>M10/'Output-Calculation-sheet'!M9*'Output-Calculation-sheet'!M81</f>
        <v>3551126443.2205601</v>
      </c>
      <c r="N98" s="2">
        <f>N10/'Output-Calculation-sheet'!N9*'Output-Calculation-sheet'!N81</f>
        <v>2550035242.4242048</v>
      </c>
      <c r="O98" s="2">
        <f>O10/'Output-Calculation-sheet'!O9*'Output-Calculation-sheet'!O81</f>
        <v>2018956747.6800623</v>
      </c>
      <c r="P98" s="2">
        <f>P10/'Output-Calculation-sheet'!P9*'Output-Calculation-sheet'!P81</f>
        <v>4146933638.258965</v>
      </c>
      <c r="Q98" s="2">
        <f>Q10/'Output-Calculation-sheet'!Q9*'Output-Calculation-sheet'!Q81</f>
        <v>2334755205.9194365</v>
      </c>
      <c r="R98" s="2">
        <f>R10/'Output-Calculation-sheet'!R9*'Output-Calculation-sheet'!R81</f>
        <v>3075529056.7796516</v>
      </c>
      <c r="S98" s="2">
        <f>S10/'Output-Calculation-sheet'!S9*'Output-Calculation-sheet'!S81</f>
        <v>1944294509.1541014</v>
      </c>
      <c r="T98" s="2">
        <f>T10/'Output-Calculation-sheet'!T9*'Output-Calculation-sheet'!T81</f>
        <v>1223964017.2324443</v>
      </c>
      <c r="U98" s="2">
        <f>U10/'Output-Calculation-sheet'!U9*'Output-Calculation-sheet'!U81</f>
        <v>1146792056.9286816</v>
      </c>
      <c r="V98" s="2">
        <f>V10/'Output-Calculation-sheet'!V9*'Output-Calculation-sheet'!V81</f>
        <v>746916832.83276021</v>
      </c>
      <c r="W98" s="2">
        <f>W10/'Output-Calculation-sheet'!W9*'Output-Calculation-sheet'!W81</f>
        <v>855330533.41312563</v>
      </c>
      <c r="X98" s="2">
        <f>X10/'Output-Calculation-sheet'!X9*'Output-Calculation-sheet'!X81</f>
        <v>405092072.04440653</v>
      </c>
      <c r="Y98" s="2">
        <f>Y10/'Output-Calculation-sheet'!Y9*'Output-Calculation-sheet'!Y81</f>
        <v>442192634.46106738</v>
      </c>
      <c r="AA98" s="2">
        <f t="shared" si="8"/>
        <v>134.47954241051562</v>
      </c>
    </row>
    <row r="99" spans="1:27" x14ac:dyDescent="0.25">
      <c r="A99" s="2">
        <v>2034</v>
      </c>
      <c r="B99" s="2">
        <f>B11/'Output-Calculation-sheet'!B10*'Output-Calculation-sheet'!B82</f>
        <v>37831330347.299149</v>
      </c>
      <c r="C99" s="2">
        <f>C11/'Output-Calculation-sheet'!C10*'Output-Calculation-sheet'!C82</f>
        <v>15710182899.739374</v>
      </c>
      <c r="D99" s="2">
        <f>D11/'Output-Calculation-sheet'!D10*'Output-Calculation-sheet'!D82</f>
        <v>12240556639.911762</v>
      </c>
      <c r="E99" s="2">
        <f>E11/'Output-Calculation-sheet'!E10*'Output-Calculation-sheet'!E82</f>
        <v>14707924296.11335</v>
      </c>
      <c r="F99" s="2">
        <f>F11/'Output-Calculation-sheet'!F10*'Output-Calculation-sheet'!F82</f>
        <v>8774646154.754961</v>
      </c>
      <c r="G99" s="2">
        <f>G11/'Output-Calculation-sheet'!G10*'Output-Calculation-sheet'!G82</f>
        <v>4261608036.2728367</v>
      </c>
      <c r="H99" s="2">
        <f>H11/'Output-Calculation-sheet'!H10*'Output-Calculation-sheet'!H82</f>
        <v>5623885531.9147081</v>
      </c>
      <c r="I99" s="2">
        <f>I11/'Output-Calculation-sheet'!I10*'Output-Calculation-sheet'!I82</f>
        <v>5343700900.5734968</v>
      </c>
      <c r="J99" s="2">
        <f>J11/'Output-Calculation-sheet'!J10*'Output-Calculation-sheet'!J82</f>
        <v>3118813089.9118557</v>
      </c>
      <c r="K99" s="2">
        <f>K11/'Output-Calculation-sheet'!K10*'Output-Calculation-sheet'!K82</f>
        <v>5132660332.9241152</v>
      </c>
      <c r="L99" s="2">
        <f>L11/'Output-Calculation-sheet'!L10*'Output-Calculation-sheet'!L82</f>
        <v>3755762320.8049297</v>
      </c>
      <c r="M99" s="2">
        <f>M11/'Output-Calculation-sheet'!M10*'Output-Calculation-sheet'!M82</f>
        <v>3764660736.7783256</v>
      </c>
      <c r="N99" s="2">
        <f>N11/'Output-Calculation-sheet'!N10*'Output-Calculation-sheet'!N82</f>
        <v>2716817275.7969418</v>
      </c>
      <c r="O99" s="2">
        <f>O11/'Output-Calculation-sheet'!O10*'Output-Calculation-sheet'!O82</f>
        <v>2158016695.4642711</v>
      </c>
      <c r="P99" s="2">
        <f>P11/'Output-Calculation-sheet'!P10*'Output-Calculation-sheet'!P82</f>
        <v>4356221704.6936407</v>
      </c>
      <c r="Q99" s="2">
        <f>Q11/'Output-Calculation-sheet'!Q10*'Output-Calculation-sheet'!Q82</f>
        <v>2493991326.3973904</v>
      </c>
      <c r="R99" s="2">
        <f>R11/'Output-Calculation-sheet'!R10*'Output-Calculation-sheet'!R82</f>
        <v>3263272698.5711675</v>
      </c>
      <c r="S99" s="2">
        <f>S11/'Output-Calculation-sheet'!S10*'Output-Calculation-sheet'!S82</f>
        <v>2067070487.5819814</v>
      </c>
      <c r="T99" s="2">
        <f>T11/'Output-Calculation-sheet'!T10*'Output-Calculation-sheet'!T82</f>
        <v>1289405608.9061892</v>
      </c>
      <c r="U99" s="2">
        <f>U11/'Output-Calculation-sheet'!U10*'Output-Calculation-sheet'!U82</f>
        <v>1212830708.619746</v>
      </c>
      <c r="V99" s="2">
        <f>V11/'Output-Calculation-sheet'!V10*'Output-Calculation-sheet'!V82</f>
        <v>794313120.25674319</v>
      </c>
      <c r="W99" s="2">
        <f>W11/'Output-Calculation-sheet'!W10*'Output-Calculation-sheet'!W82</f>
        <v>891313459.80688453</v>
      </c>
      <c r="X99" s="2">
        <f>X11/'Output-Calculation-sheet'!X10*'Output-Calculation-sheet'!X82</f>
        <v>429256695.32402468</v>
      </c>
      <c r="Y99" s="2">
        <f>Y11/'Output-Calculation-sheet'!Y10*'Output-Calculation-sheet'!Y82</f>
        <v>463112674.68589771</v>
      </c>
      <c r="AA99" s="2">
        <f t="shared" si="8"/>
        <v>142.40135374310373</v>
      </c>
    </row>
    <row r="100" spans="1:27" x14ac:dyDescent="0.25">
      <c r="A100" s="2">
        <v>2035</v>
      </c>
      <c r="B100" s="2">
        <f>B12/'Output-Calculation-sheet'!B11*'Output-Calculation-sheet'!B83</f>
        <v>36172262359.880157</v>
      </c>
      <c r="C100" s="2">
        <f>C12/'Output-Calculation-sheet'!C11*'Output-Calculation-sheet'!C83</f>
        <v>15041077336.56274</v>
      </c>
      <c r="D100" s="2">
        <f>D12/'Output-Calculation-sheet'!D11*'Output-Calculation-sheet'!D83</f>
        <v>11649556275.21521</v>
      </c>
      <c r="E100" s="2">
        <f>E12/'Output-Calculation-sheet'!E11*'Output-Calculation-sheet'!E83</f>
        <v>13958978448.350361</v>
      </c>
      <c r="F100" s="2">
        <f>F12/'Output-Calculation-sheet'!F11*'Output-Calculation-sheet'!F83</f>
        <v>8353747966.9156055</v>
      </c>
      <c r="G100" s="2">
        <f>G12/'Output-Calculation-sheet'!G11*'Output-Calculation-sheet'!G83</f>
        <v>3999867053.3363614</v>
      </c>
      <c r="H100" s="2">
        <f>H12/'Output-Calculation-sheet'!H11*'Output-Calculation-sheet'!H83</f>
        <v>5368675302.5992308</v>
      </c>
      <c r="I100" s="2">
        <f>I12/'Output-Calculation-sheet'!I11*'Output-Calculation-sheet'!I83</f>
        <v>5091454163.7657394</v>
      </c>
      <c r="J100" s="2">
        <f>J12/'Output-Calculation-sheet'!J11*'Output-Calculation-sheet'!J83</f>
        <v>3006321685.766356</v>
      </c>
      <c r="K100" s="2">
        <f>K12/'Output-Calculation-sheet'!K11*'Output-Calculation-sheet'!K83</f>
        <v>4888167940.7113266</v>
      </c>
      <c r="L100" s="2">
        <f>L12/'Output-Calculation-sheet'!L11*'Output-Calculation-sheet'!L83</f>
        <v>3595791667.5780625</v>
      </c>
      <c r="M100" s="2">
        <f>M12/'Output-Calculation-sheet'!M11*'Output-Calculation-sheet'!M83</f>
        <v>3595585352.1342478</v>
      </c>
      <c r="N100" s="2">
        <f>N12/'Output-Calculation-sheet'!N11*'Output-Calculation-sheet'!N83</f>
        <v>2608495249.0870323</v>
      </c>
      <c r="O100" s="2">
        <f>O12/'Output-Calculation-sheet'!O11*'Output-Calculation-sheet'!O83</f>
        <v>2078171311.471163</v>
      </c>
      <c r="P100" s="2">
        <f>P12/'Output-Calculation-sheet'!P11*'Output-Calculation-sheet'!P83</f>
        <v>4122656161.8189311</v>
      </c>
      <c r="Q100" s="2">
        <f>Q12/'Output-Calculation-sheet'!Q11*'Output-Calculation-sheet'!Q83</f>
        <v>2400144283.7339478</v>
      </c>
      <c r="R100" s="2">
        <f>R12/'Output-Calculation-sheet'!R11*'Output-Calculation-sheet'!R83</f>
        <v>3118835038.213851</v>
      </c>
      <c r="S100" s="2">
        <f>S12/'Output-Calculation-sheet'!S11*'Output-Calculation-sheet'!S83</f>
        <v>1979270422.5626361</v>
      </c>
      <c r="T100" s="2">
        <f>T12/'Output-Calculation-sheet'!T11*'Output-Calculation-sheet'!T83</f>
        <v>1224007063.7268922</v>
      </c>
      <c r="U100" s="2">
        <f>U12/'Output-Calculation-sheet'!U11*'Output-Calculation-sheet'!U83</f>
        <v>1154985948.2238178</v>
      </c>
      <c r="V100" s="2">
        <f>V12/'Output-Calculation-sheet'!V11*'Output-Calculation-sheet'!V83</f>
        <v>760499725.94920528</v>
      </c>
      <c r="W100" s="2">
        <f>W12/'Output-Calculation-sheet'!W11*'Output-Calculation-sheet'!W83</f>
        <v>836944426.03682232</v>
      </c>
      <c r="X100" s="2">
        <f>X12/'Output-Calculation-sheet'!X11*'Output-Calculation-sheet'!X83</f>
        <v>409769461.74322212</v>
      </c>
      <c r="Y100" s="2">
        <f>Y12/'Output-Calculation-sheet'!Y11*'Output-Calculation-sheet'!Y83</f>
        <v>437177178.09477854</v>
      </c>
      <c r="AA100" s="2">
        <f t="shared" si="8"/>
        <v>135.8524418234777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1619681865.9379578</v>
      </c>
      <c r="C107" s="2">
        <f>C8/'Output-Calculation-sheet'!C7*'Output-Calculation-sheet'!C88</f>
        <v>26674412961.53212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8322556142.0040073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5741869951.9310522</v>
      </c>
      <c r="N107" s="2">
        <f>N8/'Output-Calculation-sheet'!N7*'Output-Calculation-sheet'!N88</f>
        <v>1921909240.7931516</v>
      </c>
      <c r="O107" s="2">
        <f>O8/'Output-Calculation-sheet'!O7*'Output-Calculation-sheet'!O88</f>
        <v>5182862791.441844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576249104.13986921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621846353.53684294</v>
      </c>
      <c r="Y107" s="2">
        <f>Y8/'Output-Calculation-sheet'!Y7*'Output-Calculation-sheet'!Y88</f>
        <v>0</v>
      </c>
      <c r="AA107" s="2">
        <f t="shared" si="9"/>
        <v>50661.388411316839</v>
      </c>
    </row>
    <row r="108" spans="1:27" x14ac:dyDescent="0.25">
      <c r="A108" s="2">
        <v>2032</v>
      </c>
      <c r="B108" s="2">
        <f>B9/'Output-Calculation-sheet'!B8*'Output-Calculation-sheet'!B89</f>
        <v>7093757146.1919355</v>
      </c>
      <c r="C108" s="2">
        <f>C9/'Output-Calculation-sheet'!C8*'Output-Calculation-sheet'!C89</f>
        <v>35560455204.613213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11094616391.385899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7654320598.792594</v>
      </c>
      <c r="N108" s="2">
        <f>N9/'Output-Calculation-sheet'!N8*'Output-Calculation-sheet'!N89</f>
        <v>3591319966.7595577</v>
      </c>
      <c r="O108" s="2">
        <f>O9/'Output-Calculation-sheet'!O8*'Output-Calculation-sheet'!O89</f>
        <v>6909426692.8286982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1085183872.204282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828985800.36873412</v>
      </c>
      <c r="Y108" s="2">
        <f>Y9/'Output-Calculation-sheet'!Y8*'Output-Calculation-sheet'!Y89</f>
        <v>0</v>
      </c>
      <c r="AA108" s="2">
        <f t="shared" si="9"/>
        <v>73818.065673144913</v>
      </c>
    </row>
    <row r="109" spans="1:27" x14ac:dyDescent="0.25">
      <c r="A109" s="2">
        <v>2033</v>
      </c>
      <c r="B109" s="2">
        <f>B10/'Output-Calculation-sheet'!B9*'Output-Calculation-sheet'!B90</f>
        <v>17680511686.076775</v>
      </c>
      <c r="C109" s="2">
        <f>C10/'Output-Calculation-sheet'!C9*'Output-Calculation-sheet'!C90</f>
        <v>41785693680.578545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13036843872.988415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8994289360.6988106</v>
      </c>
      <c r="N109" s="2">
        <f>N10/'Output-Calculation-sheet'!N9*'Output-Calculation-sheet'!N90</f>
        <v>5298910854.0752802</v>
      </c>
      <c r="O109" s="2">
        <f>O10/'Output-Calculation-sheet'!O9*'Output-Calculation-sheet'!O90</f>
        <v>7741245819.1912193</v>
      </c>
      <c r="P109" s="2">
        <f>P10/'Output-Calculation-sheet'!P9*'Output-Calculation-sheet'!P90</f>
        <v>0</v>
      </c>
      <c r="Q109" s="2">
        <f>Q10/'Output-Calculation-sheet'!Q9*'Output-Calculation-sheet'!Q90</f>
        <v>172476838.70886743</v>
      </c>
      <c r="R109" s="2">
        <f>R10/'Output-Calculation-sheet'!R9*'Output-Calculation-sheet'!R90</f>
        <v>0</v>
      </c>
      <c r="S109" s="2">
        <f>S10/'Output-Calculation-sheet'!S9*'Output-Calculation-sheet'!S90</f>
        <v>2136233393.6562595</v>
      </c>
      <c r="T109" s="2">
        <f>T10/'Output-Calculation-sheet'!T9*'Output-Calculation-sheet'!T90</f>
        <v>-3.550335327393609E-7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974108750.36606944</v>
      </c>
      <c r="Y109" s="2">
        <f>Y10/'Output-Calculation-sheet'!Y9*'Output-Calculation-sheet'!Y90</f>
        <v>0</v>
      </c>
      <c r="AA109" s="2">
        <f t="shared" si="9"/>
        <v>97820.314256340251</v>
      </c>
    </row>
    <row r="110" spans="1:27" x14ac:dyDescent="0.25">
      <c r="A110" s="2">
        <v>2034</v>
      </c>
      <c r="B110" s="2">
        <f>B11/'Output-Calculation-sheet'!B10*'Output-Calculation-sheet'!B91</f>
        <v>36757070471.653931</v>
      </c>
      <c r="C110" s="2">
        <f>C11/'Output-Calculation-sheet'!C10*'Output-Calculation-sheet'!C91</f>
        <v>40716855629.582146</v>
      </c>
      <c r="D110" s="2">
        <f>D11/'Output-Calculation-sheet'!D10*'Output-Calculation-sheet'!D91</f>
        <v>0</v>
      </c>
      <c r="E110" s="2">
        <f>E11/'Output-Calculation-sheet'!E10*'Output-Calculation-sheet'!E91</f>
        <v>769251283.59322941</v>
      </c>
      <c r="F110" s="2">
        <f>F11/'Output-Calculation-sheet'!F10*'Output-Calculation-sheet'!F91</f>
        <v>0</v>
      </c>
      <c r="G110" s="2">
        <f>G11/'Output-Calculation-sheet'!G10*'Output-Calculation-sheet'!G91</f>
        <v>-1.7340692426371641E-6</v>
      </c>
      <c r="H110" s="2">
        <f>H11/'Output-Calculation-sheet'!H10*'Output-Calculation-sheet'!H91</f>
        <v>13719551305.268225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624588285.17082345</v>
      </c>
      <c r="M110" s="2">
        <f>M11/'Output-Calculation-sheet'!M10*'Output-Calculation-sheet'!M91</f>
        <v>9465296580.6543121</v>
      </c>
      <c r="N110" s="2">
        <f>N11/'Output-Calculation-sheet'!N10*'Output-Calculation-sheet'!N91</f>
        <v>6547522659.9208879</v>
      </c>
      <c r="O110" s="2">
        <f>O11/'Output-Calculation-sheet'!O10*'Output-Calculation-sheet'!O91</f>
        <v>7506401052.5732517</v>
      </c>
      <c r="P110" s="2">
        <f>P11/'Output-Calculation-sheet'!P10*'Output-Calculation-sheet'!P91</f>
        <v>6.9880437989589636E-7</v>
      </c>
      <c r="Q110" s="2">
        <f>Q11/'Output-Calculation-sheet'!Q10*'Output-Calculation-sheet'!Q91</f>
        <v>1666298479.9664762</v>
      </c>
      <c r="R110" s="2">
        <f>R11/'Output-Calculation-sheet'!R10*'Output-Calculation-sheet'!R91</f>
        <v>0</v>
      </c>
      <c r="S110" s="2">
        <f>S11/'Output-Calculation-sheet'!S10*'Output-Calculation-sheet'!S91</f>
        <v>3219183504.3978086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934359470.8416307</v>
      </c>
      <c r="Y110" s="2">
        <f>Y11/'Output-Calculation-sheet'!Y10*'Output-Calculation-sheet'!Y91</f>
        <v>41046990.037763476</v>
      </c>
      <c r="AA110" s="2">
        <f t="shared" si="9"/>
        <v>121967.42571366049</v>
      </c>
    </row>
    <row r="111" spans="1:27" x14ac:dyDescent="0.25">
      <c r="A111" s="2">
        <v>2035</v>
      </c>
      <c r="B111" s="2">
        <f>B12/'Output-Calculation-sheet'!B11*'Output-Calculation-sheet'!B92</f>
        <v>43504137528.963707</v>
      </c>
      <c r="C111" s="2">
        <f>C12/'Output-Calculation-sheet'!C11*'Output-Calculation-sheet'!C92</f>
        <v>36552603107.535759</v>
      </c>
      <c r="D111" s="2">
        <f>D12/'Output-Calculation-sheet'!D11*'Output-Calculation-sheet'!D92</f>
        <v>0</v>
      </c>
      <c r="E111" s="2">
        <f>E12/'Output-Calculation-sheet'!E11*'Output-Calculation-sheet'!E92</f>
        <v>4944265111.6536121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12407426538.336863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1591627177.3693273</v>
      </c>
      <c r="M111" s="2">
        <f>M12/'Output-Calculation-sheet'!M11*'Output-Calculation-sheet'!M92</f>
        <v>8589475415.4992476</v>
      </c>
      <c r="N111" s="2">
        <f>N12/'Output-Calculation-sheet'!N11*'Output-Calculation-sheet'!N92</f>
        <v>6158666435.0265398</v>
      </c>
      <c r="O111" s="2">
        <f>O12/'Output-Calculation-sheet'!O11*'Output-Calculation-sheet'!O92</f>
        <v>6564086212.370822</v>
      </c>
      <c r="P111" s="2">
        <f>P12/'Output-Calculation-sheet'!P11*'Output-Calculation-sheet'!P92</f>
        <v>337801485.29845947</v>
      </c>
      <c r="Q111" s="2">
        <f>Q12/'Output-Calculation-sheet'!Q11*'Output-Calculation-sheet'!Q92</f>
        <v>2645892942.1994596</v>
      </c>
      <c r="R111" s="2">
        <f>R12/'Output-Calculation-sheet'!R11*'Output-Calculation-sheet'!R92</f>
        <v>0</v>
      </c>
      <c r="S111" s="2">
        <f>S12/'Output-Calculation-sheet'!S11*'Output-Calculation-sheet'!S92</f>
        <v>3312484540.6597319</v>
      </c>
      <c r="T111" s="2">
        <f>T12/'Output-Calculation-sheet'!T11*'Output-Calculation-sheet'!T92</f>
        <v>0</v>
      </c>
      <c r="U111" s="2">
        <f>U12/'Output-Calculation-sheet'!U11*'Output-Calculation-sheet'!U92</f>
        <v>117655299.56767198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843962017.77091694</v>
      </c>
      <c r="Y111" s="2">
        <f>Y12/'Output-Calculation-sheet'!Y11*'Output-Calculation-sheet'!Y92</f>
        <v>199673965.31864855</v>
      </c>
      <c r="AA111" s="2">
        <f t="shared" si="9"/>
        <v>127769.75777757078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54996732006.191078</v>
      </c>
      <c r="C118" s="2">
        <f>C8/'Output-Calculation-sheet'!C7*'Output-Calculation-sheet'!C97</f>
        <v>0</v>
      </c>
      <c r="D118" s="2">
        <f>D8/'Output-Calculation-sheet'!D7*'Output-Calculation-sheet'!D97</f>
        <v>23779546212.864231</v>
      </c>
      <c r="E118" s="2">
        <f>E8/'Output-Calculation-sheet'!E7*'Output-Calculation-sheet'!E97</f>
        <v>18866656847.689079</v>
      </c>
      <c r="F118" s="2">
        <f>F8/'Output-Calculation-sheet'!F7*'Output-Calculation-sheet'!F97</f>
        <v>12145144036.284389</v>
      </c>
      <c r="G118" s="2">
        <f>G8/'Output-Calculation-sheet'!G7*'Output-Calculation-sheet'!G97</f>
        <v>8533511514.3749352</v>
      </c>
      <c r="H118" s="2">
        <f>H8/'Output-Calculation-sheet'!H7*'Output-Calculation-sheet'!H97</f>
        <v>0</v>
      </c>
      <c r="I118" s="2">
        <f>I8/'Output-Calculation-sheet'!I7*'Output-Calculation-sheet'!I97</f>
        <v>7774700723.73808</v>
      </c>
      <c r="J118" s="2">
        <f>J8/'Output-Calculation-sheet'!J7*'Output-Calculation-sheet'!J97</f>
        <v>7567358195.7272987</v>
      </c>
      <c r="K118" s="2">
        <f>K8/'Output-Calculation-sheet'!K7*'Output-Calculation-sheet'!K97</f>
        <v>7494810024.0190315</v>
      </c>
      <c r="L118" s="2">
        <f>L8/'Output-Calculation-sheet'!L7*'Output-Calculation-sheet'!L97</f>
        <v>6012434054.5700712</v>
      </c>
      <c r="M118" s="2">
        <f>M8/'Output-Calculation-sheet'!M7*'Output-Calculation-sheet'!M97</f>
        <v>0</v>
      </c>
      <c r="N118" s="2">
        <f>N8/'Output-Calculation-sheet'!N7*'Output-Calculation-sheet'!N97</f>
        <v>3714698878.4686007</v>
      </c>
      <c r="O118" s="2">
        <f>O8/'Output-Calculation-sheet'!O7*'Output-Calculation-sheet'!O97</f>
        <v>0</v>
      </c>
      <c r="P118" s="2">
        <f>P8/'Output-Calculation-sheet'!P7*'Output-Calculation-sheet'!P97</f>
        <v>5131302477.6671371</v>
      </c>
      <c r="Q118" s="2">
        <f>Q8/'Output-Calculation-sheet'!Q7*'Output-Calculation-sheet'!Q97</f>
        <v>5048371379.7330685</v>
      </c>
      <c r="R118" s="2">
        <f>R8/'Output-Calculation-sheet'!R7*'Output-Calculation-sheet'!R97</f>
        <v>4856765443.2917547</v>
      </c>
      <c r="S118" s="2">
        <f>S8/'Output-Calculation-sheet'!S7*'Output-Calculation-sheet'!S97</f>
        <v>2651806886.776938</v>
      </c>
      <c r="T118" s="2">
        <f>T8/'Output-Calculation-sheet'!T7*'Output-Calculation-sheet'!T97</f>
        <v>1785305563.8187428</v>
      </c>
      <c r="U118" s="2">
        <f>U8/'Output-Calculation-sheet'!U7*'Output-Calculation-sheet'!U97</f>
        <v>1554939839.4441566</v>
      </c>
      <c r="V118" s="2">
        <f>V8/'Output-Calculation-sheet'!V7*'Output-Calculation-sheet'!V97</f>
        <v>1197335245.6752205</v>
      </c>
      <c r="W118" s="2">
        <f>W8/'Output-Calculation-sheet'!W7*'Output-Calculation-sheet'!W97</f>
        <v>1036626559.3119558</v>
      </c>
      <c r="X118" s="2">
        <f>X8/'Output-Calculation-sheet'!X7*'Output-Calculation-sheet'!X97</f>
        <v>0</v>
      </c>
      <c r="Y118" s="2">
        <f>Y8/'Output-Calculation-sheet'!Y7*'Output-Calculation-sheet'!Y97</f>
        <v>604865614.18450975</v>
      </c>
      <c r="AA118" s="2">
        <f t="shared" si="10"/>
        <v>174752.91150383028</v>
      </c>
    </row>
    <row r="119" spans="1:27" x14ac:dyDescent="0.25">
      <c r="A119" s="2">
        <v>2032</v>
      </c>
      <c r="B119" s="2">
        <f>B9/'Output-Calculation-sheet'!B8*'Output-Calculation-sheet'!B98</f>
        <v>68379810890.994133</v>
      </c>
      <c r="C119" s="2">
        <f>C9/'Output-Calculation-sheet'!C8*'Output-Calculation-sheet'!C98</f>
        <v>0</v>
      </c>
      <c r="D119" s="2">
        <f>D9/'Output-Calculation-sheet'!D8*'Output-Calculation-sheet'!D98</f>
        <v>31699770647.513123</v>
      </c>
      <c r="E119" s="2">
        <f>E9/'Output-Calculation-sheet'!E8*'Output-Calculation-sheet'!E98</f>
        <v>25150545312.877163</v>
      </c>
      <c r="F119" s="2">
        <f>F9/'Output-Calculation-sheet'!F8*'Output-Calculation-sheet'!F98</f>
        <v>16190313549.088242</v>
      </c>
      <c r="G119" s="2">
        <f>G9/'Output-Calculation-sheet'!G8*'Output-Calculation-sheet'!G98</f>
        <v>11375758668.046755</v>
      </c>
      <c r="H119" s="2">
        <f>H9/'Output-Calculation-sheet'!H8*'Output-Calculation-sheet'!H98</f>
        <v>0</v>
      </c>
      <c r="I119" s="2">
        <f>I9/'Output-Calculation-sheet'!I8*'Output-Calculation-sheet'!I98</f>
        <v>10364212393.299192</v>
      </c>
      <c r="J119" s="2">
        <f>J9/'Output-Calculation-sheet'!J8*'Output-Calculation-sheet'!J98</f>
        <v>10087806583.082998</v>
      </c>
      <c r="K119" s="2">
        <f>K9/'Output-Calculation-sheet'!K8*'Output-Calculation-sheet'!K98</f>
        <v>9991096470.4441643</v>
      </c>
      <c r="L119" s="2">
        <f>L9/'Output-Calculation-sheet'!L8*'Output-Calculation-sheet'!L98</f>
        <v>8014989375.0221901</v>
      </c>
      <c r="M119" s="2">
        <f>M9/'Output-Calculation-sheet'!M8*'Output-Calculation-sheet'!M98</f>
        <v>0</v>
      </c>
      <c r="N119" s="2">
        <f>N9/'Output-Calculation-sheet'!N8*'Output-Calculation-sheet'!N98</f>
        <v>3922040005.9892187</v>
      </c>
      <c r="O119" s="2">
        <f>O9/'Output-Calculation-sheet'!O8*'Output-Calculation-sheet'!O98</f>
        <v>7.038321983808572E-7</v>
      </c>
      <c r="P119" s="2">
        <f>P9/'Output-Calculation-sheet'!P8*'Output-Calculation-sheet'!P98</f>
        <v>6840333942.8751822</v>
      </c>
      <c r="Q119" s="2">
        <f>Q9/'Output-Calculation-sheet'!Q8*'Output-Calculation-sheet'!Q98</f>
        <v>6729826257.9056835</v>
      </c>
      <c r="R119" s="2">
        <f>R9/'Output-Calculation-sheet'!R8*'Output-Calculation-sheet'!R98</f>
        <v>6474402887.7831316</v>
      </c>
      <c r="S119" s="2">
        <f>S9/'Output-Calculation-sheet'!S8*'Output-Calculation-sheet'!S98</f>
        <v>3217806210.2206688</v>
      </c>
      <c r="T119" s="2">
        <f>T9/'Output-Calculation-sheet'!T8*'Output-Calculation-sheet'!T98</f>
        <v>2379934735.7896366</v>
      </c>
      <c r="U119" s="2">
        <f>U9/'Output-Calculation-sheet'!U8*'Output-Calculation-sheet'!U98</f>
        <v>2072842243.1445241</v>
      </c>
      <c r="V119" s="2">
        <f>V9/'Output-Calculation-sheet'!V8*'Output-Calculation-sheet'!V98</f>
        <v>1596129984.3276048</v>
      </c>
      <c r="W119" s="2">
        <f>W9/'Output-Calculation-sheet'!W8*'Output-Calculation-sheet'!W98</f>
        <v>1381894611.61678</v>
      </c>
      <c r="X119" s="2">
        <f>X9/'Output-Calculation-sheet'!X8*'Output-Calculation-sheet'!X98</f>
        <v>0</v>
      </c>
      <c r="Y119" s="2">
        <f>Y9/'Output-Calculation-sheet'!Y8*'Output-Calculation-sheet'!Y98</f>
        <v>806327214.85966671</v>
      </c>
      <c r="AA119" s="2">
        <f t="shared" si="10"/>
        <v>226675.8419848801</v>
      </c>
    </row>
    <row r="120" spans="1:27" x14ac:dyDescent="0.25">
      <c r="A120" s="2">
        <v>2033</v>
      </c>
      <c r="B120" s="2">
        <f>B10/'Output-Calculation-sheet'!B9*'Output-Calculation-sheet'!B99</f>
        <v>70997451724.002472</v>
      </c>
      <c r="C120" s="2">
        <f>C10/'Output-Calculation-sheet'!C9*'Output-Calculation-sheet'!C99</f>
        <v>0</v>
      </c>
      <c r="D120" s="2">
        <f>D10/'Output-Calculation-sheet'!D9*'Output-Calculation-sheet'!D99</f>
        <v>37248027826.720932</v>
      </c>
      <c r="E120" s="2">
        <f>E10/'Output-Calculation-sheet'!E9*'Output-Calculation-sheet'!E99</f>
        <v>29552526419.677364</v>
      </c>
      <c r="F120" s="2">
        <f>F10/'Output-Calculation-sheet'!F9*'Output-Calculation-sheet'!F99</f>
        <v>19024021738.490696</v>
      </c>
      <c r="G120" s="2">
        <f>G10/'Output-Calculation-sheet'!G9*'Output-Calculation-sheet'!G99</f>
        <v>13366799773.648077</v>
      </c>
      <c r="H120" s="2">
        <f>H10/'Output-Calculation-sheet'!H9*'Output-Calculation-sheet'!H99</f>
        <v>0</v>
      </c>
      <c r="I120" s="2">
        <f>I10/'Output-Calculation-sheet'!I9*'Output-Calculation-sheet'!I99</f>
        <v>12178208356.612389</v>
      </c>
      <c r="J120" s="2">
        <f>J10/'Output-Calculation-sheet'!J9*'Output-Calculation-sheet'!J99</f>
        <v>11853424607.283861</v>
      </c>
      <c r="K120" s="2">
        <f>K10/'Output-Calculation-sheet'!K9*'Output-Calculation-sheet'!K99</f>
        <v>11739789038.0571</v>
      </c>
      <c r="L120" s="2">
        <f>L10/'Output-Calculation-sheet'!L9*'Output-Calculation-sheet'!L99</f>
        <v>9417812639.7734814</v>
      </c>
      <c r="M120" s="2">
        <f>M10/'Output-Calculation-sheet'!M9*'Output-Calculation-sheet'!M99</f>
        <v>0</v>
      </c>
      <c r="N120" s="2">
        <f>N10/'Output-Calculation-sheet'!N9*'Output-Calculation-sheet'!N99</f>
        <v>3528954659.4647913</v>
      </c>
      <c r="O120" s="2">
        <f>O10/'Output-Calculation-sheet'!O9*'Output-Calculation-sheet'!O99</f>
        <v>0</v>
      </c>
      <c r="P120" s="2">
        <f>P10/'Output-Calculation-sheet'!P9*'Output-Calculation-sheet'!P99</f>
        <v>8037141309.3494463</v>
      </c>
      <c r="Q120" s="2">
        <f>Q10/'Output-Calculation-sheet'!Q9*'Output-Calculation-sheet'!Q99</f>
        <v>7735159758.2222443</v>
      </c>
      <c r="R120" s="2">
        <f>R10/'Output-Calculation-sheet'!R9*'Output-Calculation-sheet'!R99</f>
        <v>7607223955.8311663</v>
      </c>
      <c r="S120" s="2">
        <f>S10/'Output-Calculation-sheet'!S9*'Output-Calculation-sheet'!S99</f>
        <v>2919549741.6628504</v>
      </c>
      <c r="T120" s="2">
        <f>T10/'Output-Calculation-sheet'!T9*'Output-Calculation-sheet'!T99</f>
        <v>2796458686.4552736</v>
      </c>
      <c r="U120" s="2">
        <f>U10/'Output-Calculation-sheet'!U9*'Output-Calculation-sheet'!U99</f>
        <v>2436170752.170115</v>
      </c>
      <c r="V120" s="2">
        <f>V10/'Output-Calculation-sheet'!V9*'Output-Calculation-sheet'!V99</f>
        <v>1875492681.5376556</v>
      </c>
      <c r="W120" s="2">
        <f>W10/'Output-Calculation-sheet'!W9*'Output-Calculation-sheet'!W99</f>
        <v>1623761011.8857872</v>
      </c>
      <c r="X120" s="2">
        <f>X10/'Output-Calculation-sheet'!X9*'Output-Calculation-sheet'!X99</f>
        <v>0</v>
      </c>
      <c r="Y120" s="2">
        <f>Y10/'Output-Calculation-sheet'!Y9*'Output-Calculation-sheet'!Y99</f>
        <v>947456035.63460255</v>
      </c>
      <c r="AA120" s="2">
        <f t="shared" si="10"/>
        <v>254885.43071648027</v>
      </c>
    </row>
    <row r="121" spans="1:27" x14ac:dyDescent="0.25">
      <c r="A121" s="2">
        <v>2034</v>
      </c>
      <c r="B121" s="2">
        <f>B11/'Output-Calculation-sheet'!B10*'Output-Calculation-sheet'!B100</f>
        <v>56556593468.208908</v>
      </c>
      <c r="C121" s="2">
        <f>C11/'Output-Calculation-sheet'!C10*'Output-Calculation-sheet'!C100</f>
        <v>0</v>
      </c>
      <c r="D121" s="2">
        <f>D11/'Output-Calculation-sheet'!D10*'Output-Calculation-sheet'!D100</f>
        <v>39197767847.163971</v>
      </c>
      <c r="E121" s="2">
        <f>E11/'Output-Calculation-sheet'!E10*'Output-Calculation-sheet'!E100</f>
        <v>30328880337.707634</v>
      </c>
      <c r="F121" s="2">
        <f>F11/'Output-Calculation-sheet'!F10*'Output-Calculation-sheet'!F100</f>
        <v>20019722215.144547</v>
      </c>
      <c r="G121" s="2">
        <f>G11/'Output-Calculation-sheet'!G10*'Output-Calculation-sheet'!G100</f>
        <v>14065716816.027817</v>
      </c>
      <c r="H121" s="2">
        <f>H11/'Output-Calculation-sheet'!H10*'Output-Calculation-sheet'!H100</f>
        <v>1.693353917516263E-7</v>
      </c>
      <c r="I121" s="2">
        <f>I11/'Output-Calculation-sheet'!I10*'Output-Calculation-sheet'!I100</f>
        <v>12815220734.013763</v>
      </c>
      <c r="J121" s="2">
        <f>J11/'Output-Calculation-sheet'!J10*'Output-Calculation-sheet'!J100</f>
        <v>12473566688.506699</v>
      </c>
      <c r="K121" s="2">
        <f>K11/'Output-Calculation-sheet'!K10*'Output-Calculation-sheet'!K100</f>
        <v>12354310850.601269</v>
      </c>
      <c r="L121" s="2">
        <f>L11/'Output-Calculation-sheet'!L10*'Output-Calculation-sheet'!L100</f>
        <v>9285899950.2214108</v>
      </c>
      <c r="M121" s="2">
        <f>M11/'Output-Calculation-sheet'!M10*'Output-Calculation-sheet'!M100</f>
        <v>-1.0996983031805084E-7</v>
      </c>
      <c r="N121" s="2">
        <f>N11/'Output-Calculation-sheet'!N10*'Output-Calculation-sheet'!N100</f>
        <v>2742636194.5332308</v>
      </c>
      <c r="O121" s="2">
        <f>O11/'Output-Calculation-sheet'!O10*'Output-Calculation-sheet'!O100</f>
        <v>0</v>
      </c>
      <c r="P121" s="2">
        <f>P11/'Output-Calculation-sheet'!P10*'Output-Calculation-sheet'!P100</f>
        <v>8457495272.2970743</v>
      </c>
      <c r="Q121" s="2">
        <f>Q11/'Output-Calculation-sheet'!Q10*'Output-Calculation-sheet'!Q100</f>
        <v>6654581091.0972137</v>
      </c>
      <c r="R121" s="2">
        <f>R11/'Output-Calculation-sheet'!R10*'Output-Calculation-sheet'!R100</f>
        <v>8005076849.0533304</v>
      </c>
      <c r="S121" s="2">
        <f>S11/'Output-Calculation-sheet'!S10*'Output-Calculation-sheet'!S100</f>
        <v>2101199883.5079491</v>
      </c>
      <c r="T121" s="2">
        <f>T11/'Output-Calculation-sheet'!T10*'Output-Calculation-sheet'!T100</f>
        <v>2942662899.2770782</v>
      </c>
      <c r="U121" s="2">
        <f>U11/'Output-Calculation-sheet'!U10*'Output-Calculation-sheet'!U100</f>
        <v>2564515392.2529464</v>
      </c>
      <c r="V121" s="2">
        <f>V11/'Output-Calculation-sheet'!V10*'Output-Calculation-sheet'!V100</f>
        <v>1973665236.757242</v>
      </c>
      <c r="W121" s="2">
        <f>W11/'Output-Calculation-sheet'!W10*'Output-Calculation-sheet'!W100</f>
        <v>1708807187.6759963</v>
      </c>
      <c r="X121" s="2">
        <f>X11/'Output-Calculation-sheet'!X10*'Output-Calculation-sheet'!X100</f>
        <v>90761144.771980897</v>
      </c>
      <c r="Y121" s="2">
        <f>Y11/'Output-Calculation-sheet'!Y10*'Output-Calculation-sheet'!Y100</f>
        <v>955985308.59388542</v>
      </c>
      <c r="AA121" s="2">
        <f t="shared" si="10"/>
        <v>245295.06536741389</v>
      </c>
    </row>
    <row r="122" spans="1:27" x14ac:dyDescent="0.25">
      <c r="A122" s="2">
        <v>2035</v>
      </c>
      <c r="B122" s="2">
        <f>B12/'Output-Calculation-sheet'!B11*'Output-Calculation-sheet'!B101</f>
        <v>42592419481.442253</v>
      </c>
      <c r="C122" s="2">
        <f>C12/'Output-Calculation-sheet'!C11*'Output-Calculation-sheet'!C101</f>
        <v>0</v>
      </c>
      <c r="D122" s="2">
        <f>D12/'Output-Calculation-sheet'!D11*'Output-Calculation-sheet'!D101</f>
        <v>35698954729.377953</v>
      </c>
      <c r="E122" s="2">
        <f>E12/'Output-Calculation-sheet'!E11*'Output-Calculation-sheet'!E101</f>
        <v>24038076750.870728</v>
      </c>
      <c r="F122" s="2">
        <f>F12/'Output-Calculation-sheet'!F11*'Output-Calculation-sheet'!F101</f>
        <v>18608158247.622158</v>
      </c>
      <c r="G122" s="2">
        <f>G12/'Output-Calculation-sheet'!G11*'Output-Calculation-sheet'!G101</f>
        <v>12680682738.919495</v>
      </c>
      <c r="H122" s="2">
        <f>H12/'Output-Calculation-sheet'!H11*'Output-Calculation-sheet'!H101</f>
        <v>0</v>
      </c>
      <c r="I122" s="2">
        <f>I12/'Output-Calculation-sheet'!I11*'Output-Calculation-sheet'!I101</f>
        <v>11873987964.058422</v>
      </c>
      <c r="J122" s="2">
        <f>J12/'Output-Calculation-sheet'!J11*'Output-Calculation-sheet'!J101</f>
        <v>11348766365.070951</v>
      </c>
      <c r="K122" s="2">
        <f>K12/'Output-Calculation-sheet'!K11*'Output-Calculation-sheet'!K101</f>
        <v>11459309757.248884</v>
      </c>
      <c r="L122" s="2">
        <f>L12/'Output-Calculation-sheet'!L11*'Output-Calculation-sheet'!L101</f>
        <v>7626576006.7704601</v>
      </c>
      <c r="M122" s="2">
        <f>M12/'Output-Calculation-sheet'!M11*'Output-Calculation-sheet'!M101</f>
        <v>0</v>
      </c>
      <c r="N122" s="2">
        <f>N12/'Output-Calculation-sheet'!N11*'Output-Calculation-sheet'!N101</f>
        <v>2246880408.6106248</v>
      </c>
      <c r="O122" s="2">
        <f>O12/'Output-Calculation-sheet'!O11*'Output-Calculation-sheet'!O101</f>
        <v>0</v>
      </c>
      <c r="P122" s="2">
        <f>P12/'Output-Calculation-sheet'!P11*'Output-Calculation-sheet'!P101</f>
        <v>7520327763.8850126</v>
      </c>
      <c r="Q122" s="2">
        <f>Q12/'Output-Calculation-sheet'!Q11*'Output-Calculation-sheet'!Q101</f>
        <v>4898260172.5317593</v>
      </c>
      <c r="R122" s="2">
        <f>R12/'Output-Calculation-sheet'!R11*'Output-Calculation-sheet'!R101</f>
        <v>7419239540.182972</v>
      </c>
      <c r="S122" s="2">
        <f>S12/'Output-Calculation-sheet'!S11*'Output-Calculation-sheet'!S101</f>
        <v>1560060667.9716954</v>
      </c>
      <c r="T122" s="2">
        <f>T12/'Output-Calculation-sheet'!T11*'Output-Calculation-sheet'!T101</f>
        <v>2748830408.6799355</v>
      </c>
      <c r="U122" s="2">
        <f>U12/'Output-Calculation-sheet'!U11*'Output-Calculation-sheet'!U101</f>
        <v>2252164688.2713175</v>
      </c>
      <c r="V122" s="2">
        <f>V12/'Output-Calculation-sheet'!V11*'Output-Calculation-sheet'!V101</f>
        <v>1854063523.8383217</v>
      </c>
      <c r="W122" s="2">
        <f>W12/'Output-Calculation-sheet'!W11*'Output-Calculation-sheet'!W101</f>
        <v>1599036290.6220603</v>
      </c>
      <c r="X122" s="2">
        <f>X12/'Output-Calculation-sheet'!X11*'Output-Calculation-sheet'!X101</f>
        <v>77284667.142405763</v>
      </c>
      <c r="Y122" s="2">
        <f>Y12/'Output-Calculation-sheet'!Y11*'Output-Calculation-sheet'!Y101</f>
        <v>721805548.81153274</v>
      </c>
      <c r="AA122" s="2">
        <f t="shared" si="10"/>
        <v>208824.88572192896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56616414903.165916</v>
      </c>
      <c r="C129" s="2">
        <f>C8/'Output-Calculation-sheet'!C7*'Output-Calculation-sheet'!C106</f>
        <v>26680508891.018181</v>
      </c>
      <c r="D129" s="2">
        <f>D8/'Output-Calculation-sheet'!D7*'Output-Calculation-sheet'!D106</f>
        <v>23779546212.864231</v>
      </c>
      <c r="E129" s="2">
        <f>E8/'Output-Calculation-sheet'!E7*'Output-Calculation-sheet'!E106</f>
        <v>18866656847.689079</v>
      </c>
      <c r="F129" s="2">
        <f>F8/'Output-Calculation-sheet'!F7*'Output-Calculation-sheet'!F106</f>
        <v>12145144036.284389</v>
      </c>
      <c r="G129" s="2">
        <f>G8/'Output-Calculation-sheet'!G7*'Output-Calculation-sheet'!G106</f>
        <v>8533511514.3749352</v>
      </c>
      <c r="H129" s="2">
        <f>H8/'Output-Calculation-sheet'!H7*'Output-Calculation-sheet'!H106</f>
        <v>8324112908.215579</v>
      </c>
      <c r="I129" s="2">
        <f>I8/'Output-Calculation-sheet'!I7*'Output-Calculation-sheet'!I106</f>
        <v>7774700723.73808</v>
      </c>
      <c r="J129" s="2">
        <f>J8/'Output-Calculation-sheet'!J7*'Output-Calculation-sheet'!J106</f>
        <v>7567358195.7272987</v>
      </c>
      <c r="K129" s="2">
        <f>K8/'Output-Calculation-sheet'!K7*'Output-Calculation-sheet'!K106</f>
        <v>7494810024.0190315</v>
      </c>
      <c r="L129" s="2">
        <f>L8/'Output-Calculation-sheet'!L7*'Output-Calculation-sheet'!L106</f>
        <v>6012434054.5700712</v>
      </c>
      <c r="M129" s="2">
        <f>M8/'Output-Calculation-sheet'!M7*'Output-Calculation-sheet'!M106</f>
        <v>5742912267.9345407</v>
      </c>
      <c r="N129" s="2">
        <f>N8/'Output-Calculation-sheet'!N7*'Output-Calculation-sheet'!N106</f>
        <v>5636652897.0917377</v>
      </c>
      <c r="O129" s="2">
        <f>O8/'Output-Calculation-sheet'!O7*'Output-Calculation-sheet'!O106</f>
        <v>5184045028.207346</v>
      </c>
      <c r="P129" s="2">
        <f>P8/'Output-Calculation-sheet'!P7*'Output-Calculation-sheet'!P106</f>
        <v>5131302477.6671371</v>
      </c>
      <c r="Q129" s="2">
        <f>Q8/'Output-Calculation-sheet'!Q7*'Output-Calculation-sheet'!Q106</f>
        <v>5048371379.7330685</v>
      </c>
      <c r="R129" s="2">
        <f>R8/'Output-Calculation-sheet'!R7*'Output-Calculation-sheet'!R106</f>
        <v>4856765443.2917547</v>
      </c>
      <c r="S129" s="2">
        <f>S8/'Output-Calculation-sheet'!S7*'Output-Calculation-sheet'!S106</f>
        <v>3228055114.4441347</v>
      </c>
      <c r="T129" s="2">
        <f>T8/'Output-Calculation-sheet'!T7*'Output-Calculation-sheet'!T106</f>
        <v>1785305563.8187428</v>
      </c>
      <c r="U129" s="2">
        <f>U8/'Output-Calculation-sheet'!U7*'Output-Calculation-sheet'!U106</f>
        <v>1554939839.4441566</v>
      </c>
      <c r="V129" s="2">
        <f>V8/'Output-Calculation-sheet'!V7*'Output-Calculation-sheet'!V106</f>
        <v>1197335245.6752205</v>
      </c>
      <c r="W129" s="2">
        <f>W8/'Output-Calculation-sheet'!W7*'Output-Calculation-sheet'!W106</f>
        <v>1036626559.3119558</v>
      </c>
      <c r="X129" s="2">
        <f>X8/'Output-Calculation-sheet'!X7*'Output-Calculation-sheet'!X106</f>
        <v>621976057.89904726</v>
      </c>
      <c r="Y129" s="2">
        <f>Y8/'Output-Calculation-sheet'!Y7*'Output-Calculation-sheet'!Y106</f>
        <v>604865614.18450975</v>
      </c>
      <c r="AA129" s="2">
        <f t="shared" si="11"/>
        <v>225424.35180037012</v>
      </c>
    </row>
    <row r="130" spans="1:27" x14ac:dyDescent="0.25">
      <c r="A130" s="2">
        <v>2032</v>
      </c>
      <c r="B130" s="2">
        <f>B9/'Output-Calculation-sheet'!B8*'Output-Calculation-sheet'!B107</f>
        <v>45284147423.409958</v>
      </c>
      <c r="C130" s="2">
        <f>C9/'Output-Calculation-sheet'!C8*'Output-Calculation-sheet'!C107</f>
        <v>21340164791.727451</v>
      </c>
      <c r="D130" s="2">
        <f>D9/'Output-Calculation-sheet'!D8*'Output-Calculation-sheet'!D107</f>
        <v>19019858423.743172</v>
      </c>
      <c r="E130" s="2">
        <f>E9/'Output-Calculation-sheet'!E8*'Output-Calculation-sheet'!E107</f>
        <v>15090325612.261095</v>
      </c>
      <c r="F130" s="2">
        <f>F9/'Output-Calculation-sheet'!F8*'Output-Calculation-sheet'!F107</f>
        <v>9714189120.3125229</v>
      </c>
      <c r="G130" s="2">
        <f>G9/'Output-Calculation-sheet'!G8*'Output-Calculation-sheet'!G107</f>
        <v>6825455911.9511938</v>
      </c>
      <c r="H130" s="2">
        <f>H9/'Output-Calculation-sheet'!H8*'Output-Calculation-sheet'!H107</f>
        <v>6657968500.6281509</v>
      </c>
      <c r="I130" s="2">
        <f>I9/'Output-Calculation-sheet'!I8*'Output-Calculation-sheet'!I107</f>
        <v>6218526796.3667068</v>
      </c>
      <c r="J130" s="2">
        <f>J9/'Output-Calculation-sheet'!J8*'Output-Calculation-sheet'!J107</f>
        <v>6052683316.8431139</v>
      </c>
      <c r="K130" s="2">
        <f>K9/'Output-Calculation-sheet'!K8*'Output-Calculation-sheet'!K107</f>
        <v>5994657882.2664986</v>
      </c>
      <c r="L130" s="2">
        <f>L9/'Output-Calculation-sheet'!L8*'Output-Calculation-sheet'!L107</f>
        <v>4808993125.1499348</v>
      </c>
      <c r="M130" s="2">
        <f>M9/'Output-Calculation-sheet'!M8*'Output-Calculation-sheet'!M107</f>
        <v>4593419054.7302818</v>
      </c>
      <c r="N130" s="2">
        <f>N9/'Output-Calculation-sheet'!N8*'Output-Calculation-sheet'!N107</f>
        <v>4508425499.3556385</v>
      </c>
      <c r="O130" s="2">
        <f>O9/'Output-Calculation-sheet'!O8*'Output-Calculation-sheet'!O107</f>
        <v>4146413366.5594735</v>
      </c>
      <c r="P130" s="2">
        <f>P9/'Output-Calculation-sheet'!P8*'Output-Calculation-sheet'!P107</f>
        <v>4104226619.9255519</v>
      </c>
      <c r="Q130" s="2">
        <f>Q9/'Output-Calculation-sheet'!Q8*'Output-Calculation-sheet'!Q107</f>
        <v>4037896979.3077974</v>
      </c>
      <c r="R130" s="2">
        <f>R9/'Output-Calculation-sheet'!R8*'Output-Calculation-sheet'!R107</f>
        <v>3884642137.4645205</v>
      </c>
      <c r="S130" s="2">
        <f>S9/'Output-Calculation-sheet'!S8*'Output-Calculation-sheet'!S107</f>
        <v>2581931826.9783649</v>
      </c>
      <c r="T130" s="2">
        <f>T9/'Output-Calculation-sheet'!T8*'Output-Calculation-sheet'!T107</f>
        <v>1427961140.9933717</v>
      </c>
      <c r="U130" s="2">
        <f>U9/'Output-Calculation-sheet'!U8*'Output-Calculation-sheet'!U107</f>
        <v>1243704955.1758525</v>
      </c>
      <c r="V130" s="2">
        <f>V9/'Output-Calculation-sheet'!V8*'Output-Calculation-sheet'!V107</f>
        <v>957677689.32305276</v>
      </c>
      <c r="W130" s="2">
        <f>W9/'Output-Calculation-sheet'!W8*'Output-Calculation-sheet'!W107</f>
        <v>829136853.93013585</v>
      </c>
      <c r="X130" s="2">
        <f>X9/'Output-Calculation-sheet'!X8*'Output-Calculation-sheet'!X107</f>
        <v>497482014.74624348</v>
      </c>
      <c r="Y130" s="2">
        <f>Y9/'Output-Calculation-sheet'!Y8*'Output-Calculation-sheet'!Y107</f>
        <v>483796379.09816414</v>
      </c>
      <c r="AA130" s="2">
        <f t="shared" si="11"/>
        <v>180303.68542224827</v>
      </c>
    </row>
    <row r="131" spans="1:27" x14ac:dyDescent="0.25">
      <c r="A131" s="2">
        <v>2033</v>
      </c>
      <c r="B131" s="2">
        <f>B10/'Output-Calculation-sheet'!B9*'Output-Calculation-sheet'!B108</f>
        <v>29561124051.05447</v>
      </c>
      <c r="C131" s="2">
        <f>C10/'Output-Calculation-sheet'!C9*'Output-Calculation-sheet'!C108</f>
        <v>13930686470.804707</v>
      </c>
      <c r="D131" s="2">
        <f>D10/'Output-Calculation-sheet'!D9*'Output-Calculation-sheet'!D108</f>
        <v>12416012510.78059</v>
      </c>
      <c r="E131" s="2">
        <f>E10/'Output-Calculation-sheet'!E9*'Output-Calculation-sheet'!E108</f>
        <v>9850842139.8924541</v>
      </c>
      <c r="F131" s="2">
        <f>F10/'Output-Calculation-sheet'!F9*'Output-Calculation-sheet'!F108</f>
        <v>6341340579.4968987</v>
      </c>
      <c r="G131" s="2">
        <f>G10/'Output-Calculation-sheet'!G9*'Output-Calculation-sheet'!G108</f>
        <v>4455599924.5493584</v>
      </c>
      <c r="H131" s="2">
        <f>H10/'Output-Calculation-sheet'!H9*'Output-Calculation-sheet'!H108</f>
        <v>4346266690.2491865</v>
      </c>
      <c r="I131" s="2">
        <f>I10/'Output-Calculation-sheet'!I9*'Output-Calculation-sheet'!I108</f>
        <v>4059403829.3723221</v>
      </c>
      <c r="J131" s="2">
        <f>J10/'Output-Calculation-sheet'!J9*'Output-Calculation-sheet'!J108</f>
        <v>3951142568.8150887</v>
      </c>
      <c r="K131" s="2">
        <f>K10/'Output-Calculation-sheet'!K9*'Output-Calculation-sheet'!K108</f>
        <v>3913263012.6856999</v>
      </c>
      <c r="L131" s="2">
        <f>L10/'Output-Calculation-sheet'!L9*'Output-Calculation-sheet'!L108</f>
        <v>3139271695.6911778</v>
      </c>
      <c r="M131" s="2">
        <f>M10/'Output-Calculation-sheet'!M9*'Output-Calculation-sheet'!M108</f>
        <v>2998545138.7273378</v>
      </c>
      <c r="N131" s="2">
        <f>N10/'Output-Calculation-sheet'!N9*'Output-Calculation-sheet'!N108</f>
        <v>2943062823.3628292</v>
      </c>
      <c r="O131" s="2">
        <f>O10/'Output-Calculation-sheet'!O9*'Output-Calculation-sheet'!O108</f>
        <v>3252813019.6903143</v>
      </c>
      <c r="P131" s="2">
        <f>P10/'Output-Calculation-sheet'!P9*'Output-Calculation-sheet'!P108</f>
        <v>2679206547.5870476</v>
      </c>
      <c r="Q131" s="2">
        <f>Q10/'Output-Calculation-sheet'!Q9*'Output-Calculation-sheet'!Q108</f>
        <v>2635905702.7932086</v>
      </c>
      <c r="R131" s="2">
        <f>R10/'Output-Calculation-sheet'!R9*'Output-Calculation-sheet'!R108</f>
        <v>2535861550.8084593</v>
      </c>
      <c r="S131" s="2">
        <f>S10/'Output-Calculation-sheet'!S9*'Output-Calculation-sheet'!S108</f>
        <v>1685464146.7353382</v>
      </c>
      <c r="T131" s="2">
        <f>T10/'Output-Calculation-sheet'!T9*'Output-Calculation-sheet'!T108</f>
        <v>932160716.44137967</v>
      </c>
      <c r="U131" s="2">
        <f>U10/'Output-Calculation-sheet'!U9*'Output-Calculation-sheet'!U108</f>
        <v>811880293.31599879</v>
      </c>
      <c r="V131" s="2">
        <f>V10/'Output-Calculation-sheet'!V9*'Output-Calculation-sheet'!V108</f>
        <v>625164063.28850853</v>
      </c>
      <c r="W131" s="2">
        <f>W10/'Output-Calculation-sheet'!W9*'Output-Calculation-sheet'!W108</f>
        <v>541253528.71156573</v>
      </c>
      <c r="X131" s="2">
        <f>X10/'Output-Calculation-sheet'!X9*'Output-Calculation-sheet'!X108</f>
        <v>324752053.79166794</v>
      </c>
      <c r="Y131" s="2">
        <f>Y10/'Output-Calculation-sheet'!Y9*'Output-Calculation-sheet'!Y108</f>
        <v>315818187.16539335</v>
      </c>
      <c r="AA131" s="2">
        <f t="shared" si="11"/>
        <v>118246.84124581103</v>
      </c>
    </row>
    <row r="132" spans="1:27" x14ac:dyDescent="0.25">
      <c r="A132" s="2">
        <v>2034</v>
      </c>
      <c r="B132" s="2">
        <f>B11/'Output-Calculation-sheet'!B10*'Output-Calculation-sheet'!B109</f>
        <v>13332210349.803377</v>
      </c>
      <c r="C132" s="2">
        <f>C11/'Output-Calculation-sheet'!C10*'Output-Calculation-sheet'!C109</f>
        <v>12129269331.490376</v>
      </c>
      <c r="D132" s="2">
        <f>D11/'Output-Calculation-sheet'!D10*'Output-Calculation-sheet'!D109</f>
        <v>5599681871.4148731</v>
      </c>
      <c r="E132" s="2">
        <f>E11/'Output-Calculation-sheet'!E10*'Output-Calculation-sheet'!E109</f>
        <v>4442778979.8859329</v>
      </c>
      <c r="F132" s="2">
        <f>F11/'Output-Calculation-sheet'!F10*'Output-Calculation-sheet'!F109</f>
        <v>2859976256.9329</v>
      </c>
      <c r="G132" s="2">
        <f>G11/'Output-Calculation-sheet'!G10*'Output-Calculation-sheet'!G109</f>
        <v>2009498122.0960152</v>
      </c>
      <c r="H132" s="2">
        <f>H11/'Output-Calculation-sheet'!H10*'Output-Calculation-sheet'!H109</f>
        <v>1960187973.5967729</v>
      </c>
      <c r="I132" s="2">
        <f>I11/'Output-Calculation-sheet'!I10*'Output-Calculation-sheet'!I109</f>
        <v>1830810826.409977</v>
      </c>
      <c r="J132" s="2">
        <f>J11/'Output-Calculation-sheet'!J10*'Output-Calculation-sheet'!J109</f>
        <v>1781984742.8473763</v>
      </c>
      <c r="K132" s="2">
        <f>K11/'Output-Calculation-sheet'!K10*'Output-Calculation-sheet'!K109</f>
        <v>1764901431.1065493</v>
      </c>
      <c r="L132" s="2">
        <f>L11/'Output-Calculation-sheet'!L10*'Output-Calculation-sheet'!L109</f>
        <v>1415826985.0578735</v>
      </c>
      <c r="M132" s="2">
        <f>M11/'Output-Calculation-sheet'!M10*'Output-Calculation-sheet'!M109</f>
        <v>1352358826.117825</v>
      </c>
      <c r="N132" s="2">
        <f>N11/'Output-Calculation-sheet'!N10*'Output-Calculation-sheet'!N109</f>
        <v>1327336436.4138064</v>
      </c>
      <c r="O132" s="2">
        <f>O11/'Output-Calculation-sheet'!O10*'Output-Calculation-sheet'!O109</f>
        <v>2731521756.9439769</v>
      </c>
      <c r="P132" s="2">
        <f>P11/'Output-Calculation-sheet'!P10*'Output-Calculation-sheet'!P109</f>
        <v>1208335147.2527642</v>
      </c>
      <c r="Q132" s="2">
        <f>Q11/'Output-Calculation-sheet'!Q10*'Output-Calculation-sheet'!Q109</f>
        <v>1188806449.9744837</v>
      </c>
      <c r="R132" s="2">
        <f>R11/'Output-Calculation-sheet'!R10*'Output-Calculation-sheet'!R109</f>
        <v>1143686397.0433652</v>
      </c>
      <c r="S132" s="2">
        <f>S11/'Output-Calculation-sheet'!S10*'Output-Calculation-sheet'!S109</f>
        <v>760152625.97064972</v>
      </c>
      <c r="T132" s="2">
        <f>T11/'Output-Calculation-sheet'!T10*'Output-Calculation-sheet'!T109</f>
        <v>420409268.67706788</v>
      </c>
      <c r="U132" s="2">
        <f>U11/'Output-Calculation-sheet'!U10*'Output-Calculation-sheet'!U109</f>
        <v>366162122.65675044</v>
      </c>
      <c r="V132" s="2">
        <f>V11/'Output-Calculation-sheet'!V10*'Output-Calculation-sheet'!V109</f>
        <v>281952157.67275584</v>
      </c>
      <c r="W132" s="2">
        <f>W11/'Output-Calculation-sheet'!W10*'Output-Calculation-sheet'!W109</f>
        <v>244108081.75621441</v>
      </c>
      <c r="X132" s="2">
        <f>X11/'Output-Calculation-sheet'!X10*'Output-Calculation-sheet'!X109</f>
        <v>146464843.33180392</v>
      </c>
      <c r="Y132" s="2">
        <f>Y11/'Output-Calculation-sheet'!Y10*'Output-Calculation-sheet'!Y109</f>
        <v>142435623.27936044</v>
      </c>
      <c r="AA132" s="2">
        <f t="shared" si="11"/>
        <v>60440.856607732851</v>
      </c>
    </row>
    <row r="133" spans="1:27" x14ac:dyDescent="0.25">
      <c r="A133" s="2">
        <v>2035</v>
      </c>
      <c r="B133" s="2">
        <f>B12/'Output-Calculation-sheet'!B11*'Output-Calculation-sheet'!B110</f>
        <v>4847712150.1075506</v>
      </c>
      <c r="C133" s="2">
        <f>C12/'Output-Calculation-sheet'!C11*'Output-Calculation-sheet'!C110</f>
        <v>9309954091.8978329</v>
      </c>
      <c r="D133" s="2">
        <f>D12/'Output-Calculation-sheet'!D11*'Output-Calculation-sheet'!D110</f>
        <v>2406373748.7108817</v>
      </c>
      <c r="E133" s="2">
        <f>E12/'Output-Calculation-sheet'!E11*'Output-Calculation-sheet'!E110</f>
        <v>1222737371.1952004</v>
      </c>
      <c r="F133" s="2">
        <f>F12/'Output-Calculation-sheet'!F11*'Output-Calculation-sheet'!F110</f>
        <v>827713169.38981843</v>
      </c>
      <c r="G133" s="2">
        <f>G12/'Output-Calculation-sheet'!G11*'Output-Calculation-sheet'!G110</f>
        <v>1045958622.3970699</v>
      </c>
      <c r="H133" s="2">
        <f>H12/'Output-Calculation-sheet'!H11*'Output-Calculation-sheet'!H110</f>
        <v>1233871869.4102201</v>
      </c>
      <c r="I133" s="2">
        <f>I12/'Output-Calculation-sheet'!I11*'Output-Calculation-sheet'!I110</f>
        <v>578020029.89398658</v>
      </c>
      <c r="J133" s="2">
        <f>J12/'Output-Calculation-sheet'!J11*'Output-Calculation-sheet'!J110</f>
        <v>699353262.58182657</v>
      </c>
      <c r="K133" s="2">
        <f>K12/'Output-Calculation-sheet'!K11*'Output-Calculation-sheet'!K110</f>
        <v>530294824.88124388</v>
      </c>
      <c r="L133" s="2">
        <f>L12/'Output-Calculation-sheet'!L11*'Output-Calculation-sheet'!L110</f>
        <v>340782479.34398764</v>
      </c>
      <c r="M133" s="2">
        <f>M12/'Output-Calculation-sheet'!M11*'Output-Calculation-sheet'!M110</f>
        <v>767455886.24107087</v>
      </c>
      <c r="N133" s="2">
        <f>N12/'Output-Calculation-sheet'!N11*'Output-Calculation-sheet'!N110</f>
        <v>638551348.51156974</v>
      </c>
      <c r="O133" s="2">
        <f>O12/'Output-Calculation-sheet'!O11*'Output-Calculation-sheet'!O110</f>
        <v>2255149995.0258689</v>
      </c>
      <c r="P133" s="2">
        <f>P12/'Output-Calculation-sheet'!P11*'Output-Calculation-sheet'!P110</f>
        <v>446129665.47001368</v>
      </c>
      <c r="Q133" s="2">
        <f>Q12/'Output-Calculation-sheet'!Q11*'Output-Calculation-sheet'!Q110</f>
        <v>555682613.33824873</v>
      </c>
      <c r="R133" s="2">
        <f>R12/'Output-Calculation-sheet'!R11*'Output-Calculation-sheet'!R110</f>
        <v>349681955.43533379</v>
      </c>
      <c r="S133" s="2">
        <f>S12/'Output-Calculation-sheet'!S11*'Output-Calculation-sheet'!S110</f>
        <v>336213593.87708545</v>
      </c>
      <c r="T133" s="2">
        <f>T12/'Output-Calculation-sheet'!T11*'Output-Calculation-sheet'!T110</f>
        <v>90959531.357851774</v>
      </c>
      <c r="U133" s="2">
        <f>U12/'Output-Calculation-sheet'!U11*'Output-Calculation-sheet'!U110</f>
        <v>147860619.30509725</v>
      </c>
      <c r="V133" s="2">
        <f>V12/'Output-Calculation-sheet'!V11*'Output-Calculation-sheet'!V110</f>
        <v>37312538.956981383</v>
      </c>
      <c r="W133" s="2">
        <f>W12/'Output-Calculation-sheet'!W11*'Output-Calculation-sheet'!W110</f>
        <v>60832308.021090113</v>
      </c>
      <c r="X133" s="2">
        <f>X12/'Output-Calculation-sheet'!X11*'Output-Calculation-sheet'!X110</f>
        <v>106533672.93790691</v>
      </c>
      <c r="Y133" s="2">
        <f>Y12/'Output-Calculation-sheet'!Y11*'Output-Calculation-sheet'!Y110</f>
        <v>55979129.284328297</v>
      </c>
      <c r="AA133" s="2">
        <f t="shared" si="11"/>
        <v>28891.114477572068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1283.4625279092991</v>
      </c>
      <c r="C19" s="2">
        <f>C8/'Output-Calculation-sheet'!C7*'Output-Calculation-sheet'!C25</f>
        <v>19348.395843898605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5759.4984707159601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4001.2074423937529</v>
      </c>
      <c r="N19" s="2">
        <f>N8/'Output-Calculation-sheet'!N7*'Output-Calculation-sheet'!N25</f>
        <v>1369.8661544279473</v>
      </c>
      <c r="O19" s="2">
        <f>O8/'Output-Calculation-sheet'!O7*'Output-Calculation-sheet'!O25</f>
        <v>3741.895351651654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488.78986884835086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447.05504803237648</v>
      </c>
      <c r="Y19" s="2">
        <f>Y8/'Output-Calculation-sheet'!Y7*'Output-Calculation-sheet'!Y25</f>
        <v>0</v>
      </c>
      <c r="AA19" s="2">
        <f t="shared" si="0"/>
        <v>36.440170707877947</v>
      </c>
    </row>
    <row r="20" spans="1:27" x14ac:dyDescent="0.25">
      <c r="A20" s="2">
        <v>2032</v>
      </c>
      <c r="B20" s="2">
        <f>B9/'Output-Calculation-sheet'!B8*'Output-Calculation-sheet'!B26</f>
        <v>7446.7596928291268</v>
      </c>
      <c r="C20" s="2">
        <f>C9/'Output-Calculation-sheet'!C8*'Output-Calculation-sheet'!C26</f>
        <v>27271.090043015116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8101.8488704959482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5629.8556726604265</v>
      </c>
      <c r="N20" s="2">
        <f>N9/'Output-Calculation-sheet'!N8*'Output-Calculation-sheet'!N26</f>
        <v>2534.8147846481088</v>
      </c>
      <c r="O20" s="2">
        <f>O9/'Output-Calculation-sheet'!O8*'Output-Calculation-sheet'!O26</f>
        <v>5313.653048215564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923.28380693007455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629.7580548639429</v>
      </c>
      <c r="Y20" s="2">
        <f>Y9/'Output-Calculation-sheet'!Y8*'Output-Calculation-sheet'!Y26</f>
        <v>0</v>
      </c>
      <c r="AA20" s="2">
        <f t="shared" si="0"/>
        <v>57.851063973658313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40729.06479192758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10427.521800213246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7242.7797866580149</v>
      </c>
      <c r="N21" s="2">
        <f>N10/'Output-Calculation-sheet'!N9*'Output-Calculation-sheet'!N27</f>
        <v>3962.9520060971727</v>
      </c>
      <c r="O21" s="2">
        <f>O10/'Output-Calculation-sheet'!O9*'Output-Calculation-sheet'!O27</f>
        <v>6919.3683748868834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1724.6229082102391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851.65043778054928</v>
      </c>
      <c r="Y21" s="2">
        <f>Y10/'Output-Calculation-sheet'!Y9*'Output-Calculation-sheet'!Y27</f>
        <v>0</v>
      </c>
      <c r="AA21" s="2">
        <f t="shared" si="0"/>
        <v>90.164504394255999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43080.093007675699</v>
      </c>
      <c r="D22" s="2">
        <f>D11/'Output-Calculation-sheet'!D10*'Output-Calculation-sheet'!D28</f>
        <v>0</v>
      </c>
      <c r="E22" s="2">
        <f>E11/'Output-Calculation-sheet'!E10*'Output-Calculation-sheet'!E28</f>
        <v>1827.6085373176004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14206.296862927609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1077.9082735455427</v>
      </c>
      <c r="M22" s="2">
        <f>M11/'Output-Calculation-sheet'!M10*'Output-Calculation-sheet'!M28</f>
        <v>9791.6598528877057</v>
      </c>
      <c r="N22" s="2">
        <f>N11/'Output-Calculation-sheet'!N10*'Output-Calculation-sheet'!N28</f>
        <v>5635.1547880504586</v>
      </c>
      <c r="O22" s="2">
        <f>O11/'Output-Calculation-sheet'!O10*'Output-Calculation-sheet'!O28</f>
        <v>7586.4421439781063</v>
      </c>
      <c r="P22" s="2">
        <f>P11/'Output-Calculation-sheet'!P10*'Output-Calculation-sheet'!P28</f>
        <v>0</v>
      </c>
      <c r="Q22" s="2">
        <f>Q11/'Output-Calculation-sheet'!Q10*'Output-Calculation-sheet'!Q28</f>
        <v>2113.4785633211918</v>
      </c>
      <c r="R22" s="2">
        <f>R11/'Output-Calculation-sheet'!R10*'Output-Calculation-sheet'!R28</f>
        <v>0</v>
      </c>
      <c r="S22" s="2">
        <f>S11/'Output-Calculation-sheet'!S10*'Output-Calculation-sheet'!S28</f>
        <v>2857.8241279007402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1002.9685401433428</v>
      </c>
      <c r="Y22" s="2">
        <f>Y11/'Output-Calculation-sheet'!Y10*'Output-Calculation-sheet'!Y28</f>
        <v>98.406742963391508</v>
      </c>
      <c r="AA22" s="2">
        <f t="shared" si="0"/>
        <v>124.65336549719694</v>
      </c>
    </row>
    <row r="23" spans="1:27" x14ac:dyDescent="0.25">
      <c r="A23" s="2">
        <v>2035</v>
      </c>
      <c r="B23" s="2">
        <f>B12/'Output-Calculation-sheet'!B11*'Output-Calculation-sheet'!B29</f>
        <v>49402.38394790364</v>
      </c>
      <c r="C23" s="2">
        <f>C12/'Output-Calculation-sheet'!C11*'Output-Calculation-sheet'!C29</f>
        <v>46065.051980209391</v>
      </c>
      <c r="D23" s="2">
        <f>D12/'Output-Calculation-sheet'!D11*'Output-Calculation-sheet'!D29</f>
        <v>0</v>
      </c>
      <c r="E23" s="2">
        <f>E12/'Output-Calculation-sheet'!E11*'Output-Calculation-sheet'!E29</f>
        <v>9074.6272396441163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15854.008114802455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2631.1482672886273</v>
      </c>
      <c r="M23" s="2">
        <f>M12/'Output-Calculation-sheet'!M11*'Output-Calculation-sheet'!M29</f>
        <v>11268.607263470427</v>
      </c>
      <c r="N23" s="2">
        <f>N12/'Output-Calculation-sheet'!N11*'Output-Calculation-sheet'!N29</f>
        <v>6544.6817066661297</v>
      </c>
      <c r="O23" s="2">
        <f>O12/'Output-Calculation-sheet'!O11*'Output-Calculation-sheet'!O29</f>
        <v>7615.6497144591021</v>
      </c>
      <c r="P23" s="2">
        <f>P12/'Output-Calculation-sheet'!P11*'Output-Calculation-sheet'!P29</f>
        <v>1052.7005414042749</v>
      </c>
      <c r="Q23" s="2">
        <f>Q12/'Output-Calculation-sheet'!Q11*'Output-Calculation-sheet'!Q29</f>
        <v>3351.1281620300501</v>
      </c>
      <c r="R23" s="2">
        <f>R12/'Output-Calculation-sheet'!R11*'Output-Calculation-sheet'!R29</f>
        <v>0</v>
      </c>
      <c r="S23" s="2">
        <f>S12/'Output-Calculation-sheet'!S11*'Output-Calculation-sheet'!S29</f>
        <v>3619.466535826064</v>
      </c>
      <c r="T23" s="2">
        <f>T12/'Output-Calculation-sheet'!T11*'Output-Calculation-sheet'!T29</f>
        <v>0</v>
      </c>
      <c r="U23" s="2">
        <f>U12/'Output-Calculation-sheet'!U11*'Output-Calculation-sheet'!U29</f>
        <v>390.57702430504008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1076.632881207815</v>
      </c>
      <c r="Y23" s="2">
        <f>Y12/'Output-Calculation-sheet'!Y11*'Output-Calculation-sheet'!Y29</f>
        <v>332.19750408684394</v>
      </c>
      <c r="AA23" s="2">
        <f t="shared" si="0"/>
        <v>158.27886088330399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22370.334933333248</v>
      </c>
      <c r="C30" s="2">
        <f>C8/'Output-Calculation-sheet'!C7*'Output-Calculation-sheet'!C16</f>
        <v>0</v>
      </c>
      <c r="D30" s="2">
        <f>D8/'Output-Calculation-sheet'!D7*'Output-Calculation-sheet'!D16</f>
        <v>3766.8686746618896</v>
      </c>
      <c r="E30" s="2">
        <f>E8/'Output-Calculation-sheet'!E7*'Output-Calculation-sheet'!E16</f>
        <v>4052.9378739247604</v>
      </c>
      <c r="F30" s="2">
        <f>F8/'Output-Calculation-sheet'!F7*'Output-Calculation-sheet'!F16</f>
        <v>2044.7287241806114</v>
      </c>
      <c r="G30" s="2">
        <f>G8/'Output-Calculation-sheet'!G7*'Output-Calculation-sheet'!G16</f>
        <v>1339.0544586045387</v>
      </c>
      <c r="H30" s="2">
        <f>H8/'Output-Calculation-sheet'!H7*'Output-Calculation-sheet'!H16</f>
        <v>0</v>
      </c>
      <c r="I30" s="2">
        <f>I8/'Output-Calculation-sheet'!I7*'Output-Calculation-sheet'!I16</f>
        <v>1305.3775987630415</v>
      </c>
      <c r="J30" s="2">
        <f>J8/'Output-Calculation-sheet'!J7*'Output-Calculation-sheet'!J16</f>
        <v>1162.0370658771112</v>
      </c>
      <c r="K30" s="2">
        <f>K8/'Output-Calculation-sheet'!K7*'Output-Calculation-sheet'!K16</f>
        <v>1551.5415944879833</v>
      </c>
      <c r="L30" s="2">
        <f>L8/'Output-Calculation-sheet'!L7*'Output-Calculation-sheet'!L16</f>
        <v>1310.5482209307145</v>
      </c>
      <c r="M30" s="2">
        <f>M8/'Output-Calculation-sheet'!M7*'Output-Calculation-sheet'!M16</f>
        <v>0</v>
      </c>
      <c r="N30" s="2">
        <f>N8/'Output-Calculation-sheet'!N7*'Output-Calculation-sheet'!N16</f>
        <v>1861.5233357536727</v>
      </c>
      <c r="O30" s="2">
        <f>O8/'Output-Calculation-sheet'!O7*'Output-Calculation-sheet'!O16</f>
        <v>0</v>
      </c>
      <c r="P30" s="2">
        <f>P8/'Output-Calculation-sheet'!P7*'Output-Calculation-sheet'!P16</f>
        <v>1673.0760927169249</v>
      </c>
      <c r="Q30" s="2">
        <f>Q8/'Output-Calculation-sheet'!Q7*'Output-Calculation-sheet'!Q16</f>
        <v>1839.8311521544861</v>
      </c>
      <c r="R30" s="2">
        <f>R8/'Output-Calculation-sheet'!R7*'Output-Calculation-sheet'!R16</f>
        <v>1167.3808626549608</v>
      </c>
      <c r="S30" s="2">
        <f>S8/'Output-Calculation-sheet'!S7*'Output-Calculation-sheet'!S16</f>
        <v>1174.0428336813711</v>
      </c>
      <c r="T30" s="2">
        <f>T8/'Output-Calculation-sheet'!T7*'Output-Calculation-sheet'!T16</f>
        <v>350.43095475551758</v>
      </c>
      <c r="U30" s="2">
        <f>U8/'Output-Calculation-sheet'!U7*'Output-Calculation-sheet'!U16</f>
        <v>349.80456831001715</v>
      </c>
      <c r="V30" s="2">
        <f>V8/'Output-Calculation-sheet'!V7*'Output-Calculation-sheet'!V16</f>
        <v>272.24624626534234</v>
      </c>
      <c r="W30" s="2">
        <f>W8/'Output-Calculation-sheet'!W7*'Output-Calculation-sheet'!W16</f>
        <v>165.13107298359415</v>
      </c>
      <c r="X30" s="2">
        <f>X8/'Output-Calculation-sheet'!X7*'Output-Calculation-sheet'!X16</f>
        <v>0</v>
      </c>
      <c r="Y30" s="2">
        <f>Y8/'Output-Calculation-sheet'!Y7*'Output-Calculation-sheet'!Y16</f>
        <v>139.76467996700717</v>
      </c>
      <c r="AA30" s="2">
        <f t="shared" si="1"/>
        <v>47.89666094400679</v>
      </c>
    </row>
    <row r="31" spans="1:27" x14ac:dyDescent="0.25">
      <c r="A31" s="2">
        <v>2032</v>
      </c>
      <c r="B31" s="2">
        <f>B9/'Output-Calculation-sheet'!B8*'Output-Calculation-sheet'!B17</f>
        <v>31532.040855693256</v>
      </c>
      <c r="C31" s="2">
        <f>C9/'Output-Calculation-sheet'!C8*'Output-Calculation-sheet'!C17</f>
        <v>0</v>
      </c>
      <c r="D31" s="2">
        <f>D9/'Output-Calculation-sheet'!D8*'Output-Calculation-sheet'!D17</f>
        <v>5288.3372558293795</v>
      </c>
      <c r="E31" s="2">
        <f>E9/'Output-Calculation-sheet'!E8*'Output-Calculation-sheet'!E17</f>
        <v>6215.7179081581935</v>
      </c>
      <c r="F31" s="2">
        <f>F9/'Output-Calculation-sheet'!F8*'Output-Calculation-sheet'!F17</f>
        <v>2870.6810373644221</v>
      </c>
      <c r="G31" s="2">
        <f>G9/'Output-Calculation-sheet'!G8*'Output-Calculation-sheet'!G17</f>
        <v>1879.9377067361395</v>
      </c>
      <c r="H31" s="2">
        <f>H9/'Output-Calculation-sheet'!H8*'Output-Calculation-sheet'!H17</f>
        <v>0</v>
      </c>
      <c r="I31" s="2">
        <f>I9/'Output-Calculation-sheet'!I8*'Output-Calculation-sheet'!I17</f>
        <v>1832.666362613021</v>
      </c>
      <c r="J31" s="2">
        <f>J9/'Output-Calculation-sheet'!J8*'Output-Calculation-sheet'!J17</f>
        <v>1631.4263087349484</v>
      </c>
      <c r="K31" s="2">
        <f>K9/'Output-Calculation-sheet'!K8*'Output-Calculation-sheet'!K17</f>
        <v>2322.7178963827596</v>
      </c>
      <c r="L31" s="2">
        <f>L9/'Output-Calculation-sheet'!L8*'Output-Calculation-sheet'!L17</f>
        <v>1980.8700421320898</v>
      </c>
      <c r="M31" s="2">
        <f>M9/'Output-Calculation-sheet'!M8*'Output-Calculation-sheet'!M17</f>
        <v>0</v>
      </c>
      <c r="N31" s="2">
        <f>N9/'Output-Calculation-sheet'!N8*'Output-Calculation-sheet'!N17</f>
        <v>2161.2865628375739</v>
      </c>
      <c r="O31" s="2">
        <f>O9/'Output-Calculation-sheet'!O8*'Output-Calculation-sheet'!O17</f>
        <v>0</v>
      </c>
      <c r="P31" s="2">
        <f>P9/'Output-Calculation-sheet'!P8*'Output-Calculation-sheet'!P17</f>
        <v>2672.7139717922396</v>
      </c>
      <c r="Q31" s="2">
        <f>Q9/'Output-Calculation-sheet'!Q8*'Output-Calculation-sheet'!Q17</f>
        <v>2849.3586547372952</v>
      </c>
      <c r="R31" s="2">
        <f>R9/'Output-Calculation-sheet'!R8*'Output-Calculation-sheet'!R17</f>
        <v>1864.2010187881606</v>
      </c>
      <c r="S31" s="2">
        <f>S9/'Output-Calculation-sheet'!S8*'Output-Calculation-sheet'!S17</f>
        <v>1604.0622474902389</v>
      </c>
      <c r="T31" s="2">
        <f>T9/'Output-Calculation-sheet'!T8*'Output-Calculation-sheet'!T17</f>
        <v>505.86456643697943</v>
      </c>
      <c r="U31" s="2">
        <f>U9/'Output-Calculation-sheet'!U8*'Output-Calculation-sheet'!U17</f>
        <v>581.39965724987655</v>
      </c>
      <c r="V31" s="2">
        <f>V9/'Output-Calculation-sheet'!V8*'Output-Calculation-sheet'!V17</f>
        <v>416.42898770499204</v>
      </c>
      <c r="W31" s="2">
        <f>W9/'Output-Calculation-sheet'!W8*'Output-Calculation-sheet'!W17</f>
        <v>231.8358427964175</v>
      </c>
      <c r="X31" s="2">
        <f>X9/'Output-Calculation-sheet'!X8*'Output-Calculation-sheet'!X17</f>
        <v>0</v>
      </c>
      <c r="Y31" s="2">
        <f>Y9/'Output-Calculation-sheet'!Y8*'Output-Calculation-sheet'!Y17</f>
        <v>224.00365196908407</v>
      </c>
      <c r="AA31" s="2">
        <f t="shared" si="1"/>
        <v>68.665550535447068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2228.4414140017757</v>
      </c>
      <c r="O32" s="2">
        <f>O10/'Output-Calculation-sheet'!O9*'Output-Calculation-sheet'!O18</f>
        <v>0</v>
      </c>
      <c r="P32" s="2">
        <f>P10/'Output-Calculation-sheet'!P9*'Output-Calculation-sheet'!P18</f>
        <v>3588.0352118167211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2576.4476282229921</v>
      </c>
      <c r="S32" s="2">
        <f>S10/'Output-Calculation-sheet'!S9*'Output-Calculation-sheet'!S18</f>
        <v>1686.2168343040614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831.77790954308784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87.881760670545219</v>
      </c>
    </row>
    <row r="33" spans="1:27" x14ac:dyDescent="0.25">
      <c r="A33" s="2">
        <v>2034</v>
      </c>
      <c r="B33" s="2">
        <f>B11/'Output-Calculation-sheet'!B10*'Output-Calculation-sheet'!B19</f>
        <v>35681.272589094711</v>
      </c>
      <c r="C33" s="2">
        <f>C11/'Output-Calculation-sheet'!C10*'Output-Calculation-sheet'!C19</f>
        <v>0</v>
      </c>
      <c r="D33" s="2">
        <f>D11/'Output-Calculation-sheet'!D10*'Output-Calculation-sheet'!D19</f>
        <v>10642.793918290774</v>
      </c>
      <c r="E33" s="2">
        <f>E11/'Output-Calculation-sheet'!E10*'Output-Calculation-sheet'!E19</f>
        <v>13186.602841182927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3622.9882653240834</v>
      </c>
      <c r="H33" s="2">
        <f>H11/'Output-Calculation-sheet'!H10*'Output-Calculation-sheet'!H19</f>
        <v>0</v>
      </c>
      <c r="I33" s="2">
        <f>I11/'Output-Calculation-sheet'!I10*'Output-Calculation-sheet'!I19</f>
        <v>3953.1801851711589</v>
      </c>
      <c r="J33" s="2">
        <f>J11/'Output-Calculation-sheet'!J10*'Output-Calculation-sheet'!J19</f>
        <v>3342.2242167343093</v>
      </c>
      <c r="K33" s="2">
        <f>K11/'Output-Calculation-sheet'!K10*'Output-Calculation-sheet'!K19</f>
        <v>4638.3905938690368</v>
      </c>
      <c r="L33" s="2">
        <f>L11/'Output-Calculation-sheet'!L10*'Output-Calculation-sheet'!L19</f>
        <v>3773.951821026757</v>
      </c>
      <c r="M33" s="2">
        <f>M11/'Output-Calculation-sheet'!M10*'Output-Calculation-sheet'!M19</f>
        <v>0</v>
      </c>
      <c r="N33" s="2">
        <f>N11/'Output-Calculation-sheet'!N10*'Output-Calculation-sheet'!N19</f>
        <v>2132.9440228356475</v>
      </c>
      <c r="O33" s="2">
        <f>O11/'Output-Calculation-sheet'!O10*'Output-Calculation-sheet'!O19</f>
        <v>0</v>
      </c>
      <c r="P33" s="2">
        <f>P11/'Output-Calculation-sheet'!P10*'Output-Calculation-sheet'!P19</f>
        <v>4693.2330622190302</v>
      </c>
      <c r="Q33" s="2">
        <f>Q11/'Output-Calculation-sheet'!Q10*'Output-Calculation-sheet'!Q19</f>
        <v>3757.8162764263589</v>
      </c>
      <c r="R33" s="2">
        <f>R11/'Output-Calculation-sheet'!R10*'Output-Calculation-sheet'!R19</f>
        <v>3350.8448171414561</v>
      </c>
      <c r="S33" s="2">
        <f>S11/'Output-Calculation-sheet'!S10*'Output-Calculation-sheet'!S19</f>
        <v>1566.1643574849193</v>
      </c>
      <c r="T33" s="2">
        <f>T11/'Output-Calculation-sheet'!T10*'Output-Calculation-sheet'!T19</f>
        <v>983.19586212540639</v>
      </c>
      <c r="U33" s="2">
        <f>U11/'Output-Calculation-sheet'!U10*'Output-Calculation-sheet'!U19</f>
        <v>1130.6940561623617</v>
      </c>
      <c r="V33" s="2">
        <f>V11/'Output-Calculation-sheet'!V10*'Output-Calculation-sheet'!V19</f>
        <v>771.08296295063019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189.63137096012485</v>
      </c>
      <c r="Y33" s="2">
        <f>Y11/'Output-Calculation-sheet'!Y10*'Output-Calculation-sheet'!Y19</f>
        <v>432.72042790488615</v>
      </c>
      <c r="AA33" s="2">
        <f t="shared" si="1"/>
        <v>104.37973307328515</v>
      </c>
    </row>
    <row r="34" spans="1:27" x14ac:dyDescent="0.25">
      <c r="A34" s="2">
        <v>2035</v>
      </c>
      <c r="B34" s="2">
        <f>B12/'Output-Calculation-sheet'!B11*'Output-Calculation-sheet'!B20</f>
        <v>34287.254864197239</v>
      </c>
      <c r="C34" s="2">
        <f>C12/'Output-Calculation-sheet'!C11*'Output-Calculation-sheet'!C20</f>
        <v>0</v>
      </c>
      <c r="D34" s="2">
        <f>D12/'Output-Calculation-sheet'!D11*'Output-Calculation-sheet'!D20</f>
        <v>12705.991652795437</v>
      </c>
      <c r="E34" s="2">
        <f>E12/'Output-Calculation-sheet'!E11*'Output-Calculation-sheet'!E20</f>
        <v>11457.751345623079</v>
      </c>
      <c r="F34" s="2">
        <f>F12/'Output-Calculation-sheet'!F11*'Output-Calculation-sheet'!F20</f>
        <v>8123.2678849198201</v>
      </c>
      <c r="G34" s="2">
        <f>G12/'Output-Calculation-sheet'!G11*'Output-Calculation-sheet'!G20</f>
        <v>4042.0382796971649</v>
      </c>
      <c r="H34" s="2">
        <f>H12/'Output-Calculation-sheet'!H11*'Output-Calculation-sheet'!H20</f>
        <v>0</v>
      </c>
      <c r="I34" s="2">
        <f>I12/'Output-Calculation-sheet'!I11*'Output-Calculation-sheet'!I20</f>
        <v>4966.3235359559594</v>
      </c>
      <c r="J34" s="2">
        <f>J12/'Output-Calculation-sheet'!J11*'Output-Calculation-sheet'!J20</f>
        <v>4137.3152355155471</v>
      </c>
      <c r="K34" s="2">
        <f>K12/'Output-Calculation-sheet'!K11*'Output-Calculation-sheet'!K20</f>
        <v>5822.7057904880212</v>
      </c>
      <c r="L34" s="2">
        <f>L12/'Output-Calculation-sheet'!L11*'Output-Calculation-sheet'!L20</f>
        <v>3961.747542529572</v>
      </c>
      <c r="M34" s="2">
        <f>M12/'Output-Calculation-sheet'!M11*'Output-Calculation-sheet'!M20</f>
        <v>0</v>
      </c>
      <c r="N34" s="2">
        <f>N12/'Output-Calculation-sheet'!N11*'Output-Calculation-sheet'!N20</f>
        <v>2267.5818835192244</v>
      </c>
      <c r="O34" s="2">
        <f>O12/'Output-Calculation-sheet'!O11*'Output-Calculation-sheet'!O20</f>
        <v>0</v>
      </c>
      <c r="P34" s="2">
        <f>P12/'Output-Calculation-sheet'!P11*'Output-Calculation-sheet'!P20</f>
        <v>4816.6248841729184</v>
      </c>
      <c r="Q34" s="2">
        <f>Q12/'Output-Calculation-sheet'!Q11*'Output-Calculation-sheet'!Q20</f>
        <v>3433.9655817710059</v>
      </c>
      <c r="R34" s="2">
        <f>R12/'Output-Calculation-sheet'!R11*'Output-Calculation-sheet'!R20</f>
        <v>4178.9065555181223</v>
      </c>
      <c r="S34" s="2">
        <f>S12/'Output-Calculation-sheet'!S11*'Output-Calculation-sheet'!S20</f>
        <v>1496.3759235332313</v>
      </c>
      <c r="T34" s="2">
        <f>T12/'Output-Calculation-sheet'!T11*'Output-Calculation-sheet'!T20</f>
        <v>1209.612910315137</v>
      </c>
      <c r="U34" s="2">
        <f>U12/'Output-Calculation-sheet'!U11*'Output-Calculation-sheet'!U20</f>
        <v>1107.52028424438</v>
      </c>
      <c r="V34" s="2">
        <f>V12/'Output-Calculation-sheet'!V11*'Output-Calculation-sheet'!V20</f>
        <v>1093.3022831817382</v>
      </c>
      <c r="W34" s="2">
        <f>W12/'Output-Calculation-sheet'!W11*'Output-Calculation-sheet'!W20</f>
        <v>645.79553402340787</v>
      </c>
      <c r="X34" s="2">
        <f>X12/'Output-Calculation-sheet'!X11*'Output-Calculation-sheet'!X20</f>
        <v>186.73783661857982</v>
      </c>
      <c r="Y34" s="2">
        <f>Y12/'Output-Calculation-sheet'!Y11*'Output-Calculation-sheet'!Y20</f>
        <v>348.23659473527778</v>
      </c>
      <c r="AA34" s="2">
        <f t="shared" si="1"/>
        <v>110.28905640335485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0.28464697159228369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0.28464697159228369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1.5107870597115798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0.29350528208858367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1.8042923418001635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3.025035311793518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0.58768298074076875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14.483995639725286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37437.397631474407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8165.858406439349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5573.5958710581153</v>
      </c>
      <c r="N52" s="2">
        <f>N8/'Output-Calculation-sheet'!N7*'Output-Calculation-sheet'!N43</f>
        <v>178.14472804954042</v>
      </c>
      <c r="O52" s="2">
        <f>O8/'Output-Calculation-sheet'!O7*'Output-Calculation-sheet'!O43</f>
        <v>7584.782603170177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720.79995957717597</v>
      </c>
      <c r="Y52" s="2">
        <f>Y8/'Output-Calculation-sheet'!Y7*'Output-Calculation-sheet'!Y43</f>
        <v>0</v>
      </c>
      <c r="AA52" s="2">
        <f t="shared" si="3"/>
        <v>59.660579199768769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69318.415497747686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16197.928615731498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11094.866064662858</v>
      </c>
      <c r="N53" s="2">
        <f>N9/'Output-Calculation-sheet'!N8*'Output-Calculation-sheet'!N44</f>
        <v>3926.610701322662</v>
      </c>
      <c r="O53" s="2">
        <f>O9/'Output-Calculation-sheet'!O8*'Output-Calculation-sheet'!O44</f>
        <v>13746.773394059706</v>
      </c>
      <c r="P53" s="2">
        <f>P9/'Output-Calculation-sheet'!P8*'Output-Calculation-sheet'!P44</f>
        <v>184.83978469650765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1232.9566365836397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1387.421276856699</v>
      </c>
      <c r="Y53" s="2">
        <f>Y9/'Output-Calculation-sheet'!Y8*'Output-Calculation-sheet'!Y44</f>
        <v>0</v>
      </c>
      <c r="AA53" s="2">
        <f t="shared" si="3"/>
        <v>117.08981197166125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90481.899725514828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16529.499578429106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620.81909366638149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206.24101327101712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95153.079725694231</v>
      </c>
      <c r="D55" s="2">
        <f>D11/'Output-Calculation-sheet'!D10*'Output-Calculation-sheet'!D46</f>
        <v>9391.5982424415051</v>
      </c>
      <c r="E55" s="2">
        <f>E11/'Output-Calculation-sheet'!E10*'Output-Calculation-sheet'!E46</f>
        <v>11475.616421974826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31290.054916867375</v>
      </c>
      <c r="I55" s="2">
        <f>I11/'Output-Calculation-sheet'!I10*'Output-Calculation-sheet'!I46</f>
        <v>2272.6392295557025</v>
      </c>
      <c r="J55" s="2">
        <f>J11/'Output-Calculation-sheet'!J10*'Output-Calculation-sheet'!J46</f>
        <v>1649.3889067431173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21446.406053656545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17584.57084793883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6429.8982974784922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8034.1263024198879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1851.0049007807838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2238.7828105037556</v>
      </c>
      <c r="Y55" s="2">
        <f>Y11/'Output-Calculation-sheet'!Y10*'Output-Calculation-sheet'!Y46</f>
        <v>567.6054812468376</v>
      </c>
      <c r="AA55" s="2">
        <f t="shared" si="3"/>
        <v>350.737802205322</v>
      </c>
    </row>
    <row r="56" spans="1:27" x14ac:dyDescent="0.25">
      <c r="A56" s="2">
        <v>2035</v>
      </c>
      <c r="B56" s="2">
        <f>B12/'Output-Calculation-sheet'!B11*'Output-Calculation-sheet'!B47</f>
        <v>154027.78060554137</v>
      </c>
      <c r="C56" s="2">
        <f>C12/'Output-Calculation-sheet'!C11*'Output-Calculation-sheet'!C47</f>
        <v>96721.523784976962</v>
      </c>
      <c r="D56" s="2">
        <f>D12/'Output-Calculation-sheet'!D11*'Output-Calculation-sheet'!D47</f>
        <v>26796.715322844168</v>
      </c>
      <c r="E56" s="2">
        <f>E12/'Output-Calculation-sheet'!E11*'Output-Calculation-sheet'!E47</f>
        <v>39696.940700833213</v>
      </c>
      <c r="F56" s="2">
        <f>F12/'Output-Calculation-sheet'!F11*'Output-Calculation-sheet'!F47</f>
        <v>5757.0165802874053</v>
      </c>
      <c r="G56" s="2">
        <f>G12/'Output-Calculation-sheet'!G11*'Output-Calculation-sheet'!G47</f>
        <v>9275.2748066022377</v>
      </c>
      <c r="H56" s="2">
        <f>H12/'Output-Calculation-sheet'!H11*'Output-Calculation-sheet'!H47</f>
        <v>32673.687050378856</v>
      </c>
      <c r="I56" s="2">
        <f>I12/'Output-Calculation-sheet'!I11*'Output-Calculation-sheet'!I47</f>
        <v>9100.9700886446117</v>
      </c>
      <c r="J56" s="2">
        <f>J12/'Output-Calculation-sheet'!J11*'Output-Calculation-sheet'!J47</f>
        <v>7280.6360103590814</v>
      </c>
      <c r="K56" s="2">
        <f>K12/'Output-Calculation-sheet'!K11*'Output-Calculation-sheet'!K47</f>
        <v>9764.7629591490859</v>
      </c>
      <c r="L56" s="2">
        <f>L12/'Output-Calculation-sheet'!L11*'Output-Calculation-sheet'!L47</f>
        <v>8179.3670230183488</v>
      </c>
      <c r="M56" s="2">
        <f>M12/'Output-Calculation-sheet'!M11*'Output-Calculation-sheet'!M47</f>
        <v>22623.210831467921</v>
      </c>
      <c r="N56" s="2">
        <f>N12/'Output-Calculation-sheet'!N11*'Output-Calculation-sheet'!N47</f>
        <v>18948.075083977146</v>
      </c>
      <c r="O56" s="2">
        <f>O12/'Output-Calculation-sheet'!O11*'Output-Calculation-sheet'!O47</f>
        <v>17707.816130215269</v>
      </c>
      <c r="P56" s="2">
        <f>P12/'Output-Calculation-sheet'!P11*'Output-Calculation-sheet'!P47</f>
        <v>10130.217305478054</v>
      </c>
      <c r="Q56" s="2">
        <f>Q12/'Output-Calculation-sheet'!Q11*'Output-Calculation-sheet'!Q47</f>
        <v>10236.701300153178</v>
      </c>
      <c r="R56" s="2">
        <f>R12/'Output-Calculation-sheet'!R11*'Output-Calculation-sheet'!R47</f>
        <v>7991.6836062410121</v>
      </c>
      <c r="S56" s="2">
        <f>S12/'Output-Calculation-sheet'!S11*'Output-Calculation-sheet'!S47</f>
        <v>10006.661697136775</v>
      </c>
      <c r="T56" s="2">
        <f>T12/'Output-Calculation-sheet'!T11*'Output-Calculation-sheet'!T47</f>
        <v>3018.793780697808</v>
      </c>
      <c r="U56" s="2">
        <f>U12/'Output-Calculation-sheet'!U11*'Output-Calculation-sheet'!U47</f>
        <v>3150.3128640767109</v>
      </c>
      <c r="V56" s="2">
        <f>V12/'Output-Calculation-sheet'!V11*'Output-Calculation-sheet'!V47</f>
        <v>1637.3128856279673</v>
      </c>
      <c r="W56" s="2">
        <f>W12/'Output-Calculation-sheet'!W11*'Output-Calculation-sheet'!W47</f>
        <v>876.45189471566835</v>
      </c>
      <c r="X56" s="2">
        <f>X12/'Output-Calculation-sheet'!X11*'Output-Calculation-sheet'!X47</f>
        <v>2275.2604164522354</v>
      </c>
      <c r="Y56" s="2">
        <f>Y12/'Output-Calculation-sheet'!Y11*'Output-Calculation-sheet'!Y47</f>
        <v>1270.3935646227496</v>
      </c>
      <c r="AA56" s="2">
        <f t="shared" si="3"/>
        <v>509.14756629349779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8.7122181721693455</v>
      </c>
      <c r="C63" s="2">
        <f>C8*'Output-Calculation-sheet'!C52/10^9</f>
        <v>5.494274299726551</v>
      </c>
      <c r="D63" s="2">
        <f>D8*'Output-Calculation-sheet'!D52/10^9</f>
        <v>2.9875860939620997</v>
      </c>
      <c r="E63" s="2">
        <f>E8*'Output-Calculation-sheet'!E52/10^9</f>
        <v>2.970476892196293</v>
      </c>
      <c r="F63" s="2">
        <f>F8*'Output-Calculation-sheet'!F52/10^9</f>
        <v>1.2579977198916343</v>
      </c>
      <c r="G63" s="2">
        <f>G8*'Output-Calculation-sheet'!G52/10^9</f>
        <v>0.90444243166772986</v>
      </c>
      <c r="H63" s="2">
        <f>H8*'Output-Calculation-sheet'!H52/10^9</f>
        <v>1.5798328481542907</v>
      </c>
      <c r="I63" s="2">
        <f>I8*'Output-Calculation-sheet'!I52/10^9</f>
        <v>0.8413415538072333</v>
      </c>
      <c r="J63" s="2">
        <f>J8*'Output-Calculation-sheet'!J52/10^9</f>
        <v>1.1577441365499934</v>
      </c>
      <c r="K63" s="2">
        <f>K8*'Output-Calculation-sheet'!K52/10^9</f>
        <v>1.0171785626144985</v>
      </c>
      <c r="L63" s="2">
        <f>L8*'Output-Calculation-sheet'!L52/10^9</f>
        <v>1.3681521800104097</v>
      </c>
      <c r="M63" s="2">
        <f>M8*'Output-Calculation-sheet'!M52/10^9</f>
        <v>1.2823307457425719</v>
      </c>
      <c r="N63" s="2">
        <f>N8*'Output-Calculation-sheet'!N52/10^9</f>
        <v>1.0702311802417581</v>
      </c>
      <c r="O63" s="2">
        <f>O8*'Output-Calculation-sheet'!O52/10^9</f>
        <v>1.1412485668401839</v>
      </c>
      <c r="P63" s="2">
        <f>P8*'Output-Calculation-sheet'!P52/10^9</f>
        <v>0.70284423975815025</v>
      </c>
      <c r="Q63" s="2">
        <f>Q8*'Output-Calculation-sheet'!Q52/10^9</f>
        <v>0.7954093757579993</v>
      </c>
      <c r="R63" s="2">
        <f>R8*'Output-Calculation-sheet'!R52/10^9</f>
        <v>0.71412052958583094</v>
      </c>
      <c r="S63" s="2">
        <f>S8*'Output-Calculation-sheet'!S52/10^9</f>
        <v>0.52919176522145028</v>
      </c>
      <c r="T63" s="2">
        <f>T8*'Output-Calculation-sheet'!T52/10^9</f>
        <v>0.27149953234509522</v>
      </c>
      <c r="U63" s="2">
        <f>U8*'Output-Calculation-sheet'!U52/10^9</f>
        <v>0.18646286002318019</v>
      </c>
      <c r="V63" s="2">
        <f>V8*'Output-Calculation-sheet'!V52/10^9</f>
        <v>0.33092776518941314</v>
      </c>
      <c r="W63" s="2">
        <f>W8*'Output-Calculation-sheet'!W52/10^9</f>
        <v>0.11978057831759978</v>
      </c>
      <c r="X63" s="2">
        <f>X8*'Output-Calculation-sheet'!X52/10^9</f>
        <v>0.13786468226632523</v>
      </c>
      <c r="Y63" s="2">
        <f>Y8*'Output-Calculation-sheet'!Y52/10^9</f>
        <v>7.8153419858286416E-2</v>
      </c>
      <c r="AA63" s="2">
        <f t="shared" si="4"/>
        <v>35.65131013189793</v>
      </c>
    </row>
    <row r="64" spans="1:27" x14ac:dyDescent="0.25">
      <c r="A64" s="2">
        <v>2032</v>
      </c>
      <c r="B64" s="2">
        <f>B9*'Output-Calculation-sheet'!B53/10^9</f>
        <v>9.3368391364412506</v>
      </c>
      <c r="C64" s="2">
        <f>C9*'Output-Calculation-sheet'!C53/10^9</f>
        <v>6.3036239286946527</v>
      </c>
      <c r="D64" s="2">
        <f>D9*'Output-Calculation-sheet'!D53/10^9</f>
        <v>2.7631420693873863</v>
      </c>
      <c r="E64" s="2">
        <f>E9*'Output-Calculation-sheet'!E53/10^9</f>
        <v>2.8295921958894708</v>
      </c>
      <c r="F64" s="2">
        <f>F9*'Output-Calculation-sheet'!F53/10^9</f>
        <v>1.1935052472199226</v>
      </c>
      <c r="G64" s="2">
        <f>G9*'Output-Calculation-sheet'!G53/10^9</f>
        <v>0.84949962192510886</v>
      </c>
      <c r="H64" s="2">
        <f>H9*'Output-Calculation-sheet'!H53/10^9</f>
        <v>1.7455984269857163</v>
      </c>
      <c r="I64" s="2">
        <f>I9*'Output-Calculation-sheet'!I53/10^9</f>
        <v>0.79414343943625254</v>
      </c>
      <c r="J64" s="2">
        <f>J9*'Output-Calculation-sheet'!J53/10^9</f>
        <v>1.0512855825317633</v>
      </c>
      <c r="K64" s="2">
        <f>K9*'Output-Calculation-sheet'!K53/10^9</f>
        <v>0.975447484084348</v>
      </c>
      <c r="L64" s="2">
        <f>L9*'Output-Calculation-sheet'!L53/10^9</f>
        <v>1.2549051079501874</v>
      </c>
      <c r="M64" s="2">
        <f>M9*'Output-Calculation-sheet'!M53/10^9</f>
        <v>1.3680545207848589</v>
      </c>
      <c r="N64" s="2">
        <f>N9*'Output-Calculation-sheet'!N53/10^9</f>
        <v>1.1516523736706006</v>
      </c>
      <c r="O64" s="2">
        <f>O9*'Output-Calculation-sheet'!O53/10^9</f>
        <v>1.3037495098277037</v>
      </c>
      <c r="P64" s="2">
        <f>P9*'Output-Calculation-sheet'!P53/10^9</f>
        <v>0.74369991573154015</v>
      </c>
      <c r="Q64" s="2">
        <f>Q9*'Output-Calculation-sheet'!Q53/10^9</f>
        <v>0.82191321180633481</v>
      </c>
      <c r="R64" s="2">
        <f>R9*'Output-Calculation-sheet'!R53/10^9</f>
        <v>0.70457275867513369</v>
      </c>
      <c r="S64" s="2">
        <f>S9*'Output-Calculation-sheet'!S53/10^9</f>
        <v>0.58213363429717258</v>
      </c>
      <c r="T64" s="2">
        <f>T9*'Output-Calculation-sheet'!T53/10^9</f>
        <v>0.25327556768388765</v>
      </c>
      <c r="U64" s="2">
        <f>U9*'Output-Calculation-sheet'!U53/10^9</f>
        <v>0.19063514757891228</v>
      </c>
      <c r="V64" s="2">
        <f>V9*'Output-Calculation-sheet'!V53/10^9</f>
        <v>0.30062107623640316</v>
      </c>
      <c r="W64" s="2">
        <f>W9*'Output-Calculation-sheet'!W53/10^9</f>
        <v>0.11170537345778056</v>
      </c>
      <c r="X64" s="2">
        <f>X9*'Output-Calculation-sheet'!X53/10^9</f>
        <v>0.15162183729541986</v>
      </c>
      <c r="Y64" s="2">
        <f>Y9*'Output-Calculation-sheet'!Y53/10^9</f>
        <v>7.8264417218207802E-2</v>
      </c>
      <c r="AA64" s="2">
        <f t="shared" si="4"/>
        <v>36.859481584810005</v>
      </c>
    </row>
    <row r="65" spans="1:27" x14ac:dyDescent="0.25">
      <c r="A65" s="2">
        <v>2033</v>
      </c>
      <c r="B65" s="2">
        <f>B10*'Output-Calculation-sheet'!B54/10^9</f>
        <v>9.9367224966390939</v>
      </c>
      <c r="C65" s="2">
        <f>C10*'Output-Calculation-sheet'!C54/10^9</f>
        <v>7.0597107280425675</v>
      </c>
      <c r="D65" s="2">
        <f>D10*'Output-Calculation-sheet'!D54/10^9</f>
        <v>2.3475481794666107</v>
      </c>
      <c r="E65" s="2">
        <f>E10*'Output-Calculation-sheet'!E54/10^9</f>
        <v>2.6433124046618488</v>
      </c>
      <c r="F65" s="2">
        <f>F10*'Output-Calculation-sheet'!F54/10^9</f>
        <v>1.0731396012416621</v>
      </c>
      <c r="G65" s="2">
        <f>G10*'Output-Calculation-sheet'!G54/10^9</f>
        <v>0.73680740678305146</v>
      </c>
      <c r="H65" s="2">
        <f>H10*'Output-Calculation-sheet'!H54/10^9</f>
        <v>1.8208641318794314</v>
      </c>
      <c r="I65" s="2">
        <f>I10*'Output-Calculation-sheet'!I54/10^9</f>
        <v>0.7174491894849907</v>
      </c>
      <c r="J65" s="2">
        <f>J10*'Output-Calculation-sheet'!J54/10^9</f>
        <v>0.85751179955284607</v>
      </c>
      <c r="K65" s="2">
        <f>K10*'Output-Calculation-sheet'!K54/10^9</f>
        <v>0.91485149928285703</v>
      </c>
      <c r="L65" s="2">
        <f>L10*'Output-Calculation-sheet'!L54/10^9</f>
        <v>1.0806320252381696</v>
      </c>
      <c r="M65" s="2">
        <f>M10*'Output-Calculation-sheet'!M54/10^9</f>
        <v>1.3748846808065927</v>
      </c>
      <c r="N65" s="2">
        <f>N10*'Output-Calculation-sheet'!N54/10^9</f>
        <v>1.1872491023619922</v>
      </c>
      <c r="O65" s="2">
        <f>O10*'Output-Calculation-sheet'!O54/10^9</f>
        <v>1.4559204647362878</v>
      </c>
      <c r="P65" s="2">
        <f>P10*'Output-Calculation-sheet'!P54/10^9</f>
        <v>0.77408402621482708</v>
      </c>
      <c r="Q65" s="2">
        <f>Q10*'Output-Calculation-sheet'!Q54/10^9</f>
        <v>0.84467511476288404</v>
      </c>
      <c r="R65" s="2">
        <f>R10*'Output-Calculation-sheet'!R54/10^9</f>
        <v>0.6814820334393813</v>
      </c>
      <c r="S65" s="2">
        <f>S10*'Output-Calculation-sheet'!S54/10^9</f>
        <v>0.61901804360912105</v>
      </c>
      <c r="T65" s="2">
        <f>T10*'Output-Calculation-sheet'!T54/10^9</f>
        <v>0.22784986583483482</v>
      </c>
      <c r="U65" s="2">
        <f>U10*'Output-Calculation-sheet'!U54/10^9</f>
        <v>0.19674970869148836</v>
      </c>
      <c r="V65" s="2">
        <f>V10*'Output-Calculation-sheet'!V54/10^9</f>
        <v>0.25215026941433688</v>
      </c>
      <c r="W65" s="2">
        <f>W10*'Output-Calculation-sheet'!W54/10^9</f>
        <v>9.6003091361837642E-2</v>
      </c>
      <c r="X65" s="2">
        <f>X10*'Output-Calculation-sheet'!X54/10^9</f>
        <v>0.15812426375366848</v>
      </c>
      <c r="Y65" s="2">
        <f>Y10*'Output-Calculation-sheet'!Y54/10^9</f>
        <v>7.9015690043908154E-2</v>
      </c>
      <c r="AA65" s="2">
        <f t="shared" si="4"/>
        <v>37.1357558173043</v>
      </c>
    </row>
    <row r="66" spans="1:27" x14ac:dyDescent="0.25">
      <c r="A66" s="2">
        <v>2034</v>
      </c>
      <c r="B66" s="2">
        <f>B11*'Output-Calculation-sheet'!B55/10^9</f>
        <v>10.510361117776167</v>
      </c>
      <c r="C66" s="2">
        <f>C11*'Output-Calculation-sheet'!C55/10^9</f>
        <v>7.9712849821421043</v>
      </c>
      <c r="D66" s="2">
        <f>D11*'Output-Calculation-sheet'!D55/10^9</f>
        <v>2.1986180184106763</v>
      </c>
      <c r="E66" s="2">
        <f>E11*'Output-Calculation-sheet'!E55/10^9</f>
        <v>2.6621410601667068</v>
      </c>
      <c r="F66" s="2">
        <f>F11*'Output-Calculation-sheet'!F55/10^9</f>
        <v>1.0231053960483791</v>
      </c>
      <c r="G66" s="2">
        <f>G11*'Output-Calculation-sheet'!G55/10^9</f>
        <v>0.7313182847059897</v>
      </c>
      <c r="H66" s="2">
        <f>H11*'Output-Calculation-sheet'!H55/10^9</f>
        <v>1.8779896365234054</v>
      </c>
      <c r="I66" s="2">
        <f>I11*'Output-Calculation-sheet'!I55/10^9</f>
        <v>0.71518392670708142</v>
      </c>
      <c r="J66" s="2">
        <f>J11*'Output-Calculation-sheet'!J55/10^9</f>
        <v>0.73543246752340574</v>
      </c>
      <c r="K66" s="2">
        <f>K11*'Output-Calculation-sheet'!K55/10^9</f>
        <v>0.87956709981910508</v>
      </c>
      <c r="L66" s="2">
        <f>L11*'Output-Calculation-sheet'!L55/10^9</f>
        <v>0.93150226158870919</v>
      </c>
      <c r="M66" s="2">
        <f>M11*'Output-Calculation-sheet'!M55/10^9</f>
        <v>1.3544849034205151</v>
      </c>
      <c r="N66" s="2">
        <f>N11*'Output-Calculation-sheet'!N55/10^9</f>
        <v>1.1834597225975656</v>
      </c>
      <c r="O66" s="2">
        <f>O11*'Output-Calculation-sheet'!O55/10^9</f>
        <v>1.5871635866245086</v>
      </c>
      <c r="P66" s="2">
        <f>P11*'Output-Calculation-sheet'!P55/10^9</f>
        <v>0.81351064767472236</v>
      </c>
      <c r="Q66" s="2">
        <f>Q11*'Output-Calculation-sheet'!Q55/10^9</f>
        <v>0.88810926878052432</v>
      </c>
      <c r="R66" s="2">
        <f>R11*'Output-Calculation-sheet'!R55/10^9</f>
        <v>0.6589020971418097</v>
      </c>
      <c r="S66" s="2">
        <f>S11*'Output-Calculation-sheet'!S55/10^9</f>
        <v>0.64832508836075942</v>
      </c>
      <c r="T66" s="2">
        <f>T11*'Output-Calculation-sheet'!T55/10^9</f>
        <v>0.20653890823532919</v>
      </c>
      <c r="U66" s="2">
        <f>U11*'Output-Calculation-sheet'!U55/10^9</f>
        <v>0.21087740994875387</v>
      </c>
      <c r="V66" s="2">
        <f>V11*'Output-Calculation-sheet'!V55/10^9</f>
        <v>0.19593759949287801</v>
      </c>
      <c r="W66" s="2">
        <f>W11*'Output-Calculation-sheet'!W55/10^9</f>
        <v>8.8713137867707598E-2</v>
      </c>
      <c r="X66" s="2">
        <f>X11*'Output-Calculation-sheet'!X55/10^9</f>
        <v>0.16836041677053809</v>
      </c>
      <c r="Y66" s="2">
        <f>Y11*'Output-Calculation-sheet'!Y55/10^9</f>
        <v>8.7054241690851172E-2</v>
      </c>
      <c r="AA66" s="2">
        <f t="shared" si="4"/>
        <v>38.327941280018194</v>
      </c>
    </row>
    <row r="67" spans="1:27" x14ac:dyDescent="0.25">
      <c r="A67" s="2">
        <v>2035</v>
      </c>
      <c r="B67" s="2">
        <f>B12*'Output-Calculation-sheet'!B56/10^9</f>
        <v>11.988662840732383</v>
      </c>
      <c r="C67" s="2">
        <f>C12*'Output-Calculation-sheet'!C56/10^9</f>
        <v>8.689409885146441</v>
      </c>
      <c r="D67" s="2">
        <f>D12*'Output-Calculation-sheet'!D56/10^9</f>
        <v>2.7193127317881505</v>
      </c>
      <c r="E67" s="2">
        <f>E12*'Output-Calculation-sheet'!E56/10^9</f>
        <v>3.2368845740587222</v>
      </c>
      <c r="F67" s="2">
        <f>F12*'Output-Calculation-sheet'!F56/10^9</f>
        <v>1.3247615991298034</v>
      </c>
      <c r="G67" s="2">
        <f>G12*'Output-Calculation-sheet'!G56/10^9</f>
        <v>0.9311724705358102</v>
      </c>
      <c r="H67" s="2">
        <f>H12*'Output-Calculation-sheet'!H56/10^9</f>
        <v>2.1260740969225385</v>
      </c>
      <c r="I67" s="2">
        <f>I12*'Output-Calculation-sheet'!I56/10^9</f>
        <v>0.93249526844641362</v>
      </c>
      <c r="J67" s="2">
        <f>J12*'Output-Calculation-sheet'!J56/10^9</f>
        <v>0.84362883975003444</v>
      </c>
      <c r="K67" s="2">
        <f>K12*'Output-Calculation-sheet'!K56/10^9</f>
        <v>1.0470158265746703</v>
      </c>
      <c r="L67" s="2">
        <f>L12*'Output-Calculation-sheet'!L56/10^9</f>
        <v>0.97570559113241473</v>
      </c>
      <c r="M67" s="2">
        <f>M12*'Output-Calculation-sheet'!M56/10^9</f>
        <v>1.4995723743324476</v>
      </c>
      <c r="N67" s="2">
        <f>N12*'Output-Calculation-sheet'!N56/10^9</f>
        <v>1.274964294647378</v>
      </c>
      <c r="O67" s="2">
        <f>O12*'Output-Calculation-sheet'!O56/10^9</f>
        <v>1.678524214549721</v>
      </c>
      <c r="P67" s="2">
        <f>P12*'Output-Calculation-sheet'!P56/10^9</f>
        <v>0.98436057179129222</v>
      </c>
      <c r="Q67" s="2">
        <f>Q12*'Output-Calculation-sheet'!Q56/10^9</f>
        <v>0.99426637802169204</v>
      </c>
      <c r="R67" s="2">
        <f>R12*'Output-Calculation-sheet'!R56/10^9</f>
        <v>0.75920816054960027</v>
      </c>
      <c r="S67" s="2">
        <f>S12*'Output-Calculation-sheet'!S56/10^9</f>
        <v>0.72602326922375071</v>
      </c>
      <c r="T67" s="2">
        <f>T12*'Output-Calculation-sheet'!T56/10^9</f>
        <v>0.23091976370713868</v>
      </c>
      <c r="U67" s="2">
        <f>U12*'Output-Calculation-sheet'!U56/10^9</f>
        <v>0.26264926069614924</v>
      </c>
      <c r="V67" s="2">
        <f>V12*'Output-Calculation-sheet'!V56/10^9</f>
        <v>0.17703954708714434</v>
      </c>
      <c r="W67" s="2">
        <f>W12*'Output-Calculation-sheet'!W56/10^9</f>
        <v>0.11465892505759956</v>
      </c>
      <c r="X67" s="2">
        <f>X12*'Output-Calculation-sheet'!X56/10^9</f>
        <v>0.18779414577120726</v>
      </c>
      <c r="Y67" s="2">
        <f>Y12*'Output-Calculation-sheet'!Y56/10^9</f>
        <v>0.10774862384333257</v>
      </c>
      <c r="AA67" s="2">
        <f t="shared" si="4"/>
        <v>43.812853253495838</v>
      </c>
    </row>
    <row r="68" spans="1:27" x14ac:dyDescent="0.25">
      <c r="B68" s="2">
        <f>SUM(B60:B67)</f>
        <v>70.32954220328314</v>
      </c>
      <c r="C68" s="2">
        <f t="shared" ref="C68:Y68" si="5">SUM(C60:C67)</f>
        <v>46.022689278816451</v>
      </c>
      <c r="D68" s="2">
        <f t="shared" si="5"/>
        <v>20.801477083705219</v>
      </c>
      <c r="E68" s="2">
        <f t="shared" si="5"/>
        <v>22.018028064460488</v>
      </c>
      <c r="F68" s="2">
        <f t="shared" si="5"/>
        <v>9.0536953436187897</v>
      </c>
      <c r="G68" s="2">
        <f t="shared" si="5"/>
        <v>6.4680791480998163</v>
      </c>
      <c r="H68" s="2">
        <f t="shared" si="5"/>
        <v>12.422051571511382</v>
      </c>
      <c r="I68" s="2">
        <f t="shared" si="5"/>
        <v>6.1413116580690161</v>
      </c>
      <c r="J68" s="2">
        <f t="shared" si="5"/>
        <v>7.7254952502234433</v>
      </c>
      <c r="K68" s="2">
        <f t="shared" si="5"/>
        <v>7.4277963967842249</v>
      </c>
      <c r="L68" s="2">
        <f t="shared" si="5"/>
        <v>9.2637845587565</v>
      </c>
      <c r="M68" s="2">
        <f t="shared" si="5"/>
        <v>9.6841116676092796</v>
      </c>
      <c r="N68" s="2">
        <f t="shared" si="5"/>
        <v>8.3015349049953198</v>
      </c>
      <c r="O68" s="2">
        <f t="shared" si="5"/>
        <v>9.3618843260291502</v>
      </c>
      <c r="P68" s="2">
        <f t="shared" si="5"/>
        <v>5.6657056681770026</v>
      </c>
      <c r="Q68" s="2">
        <f t="shared" si="5"/>
        <v>6.2247084618282749</v>
      </c>
      <c r="R68" s="2">
        <f t="shared" si="5"/>
        <v>5.3212519485865393</v>
      </c>
      <c r="S68" s="2">
        <f t="shared" si="5"/>
        <v>4.2840780821141049</v>
      </c>
      <c r="T68" s="2">
        <f t="shared" si="5"/>
        <v>1.8958604086367326</v>
      </c>
      <c r="U68" s="2">
        <f t="shared" si="5"/>
        <v>1.5090130564570015</v>
      </c>
      <c r="V68" s="2">
        <f t="shared" si="5"/>
        <v>2.1496978038323</v>
      </c>
      <c r="W68" s="2">
        <f t="shared" si="5"/>
        <v>0.84001006791966371</v>
      </c>
      <c r="X68" s="2">
        <f t="shared" si="5"/>
        <v>1.0893978377070956</v>
      </c>
      <c r="Y68" s="2">
        <f t="shared" si="5"/>
        <v>0.62515581233406992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7223.49239099637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1743.5424771684532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1168.3480418002189</v>
      </c>
      <c r="N74" s="2">
        <f>N8/'Output-Calculation-sheet'!N7*'Output-Calculation-sheet'!N61</f>
        <v>48.96753212261742</v>
      </c>
      <c r="O74" s="2">
        <f>O8/'Output-Calculation-sheet'!O7*'Output-Calculation-sheet'!O61</f>
        <v>1443.8932449278809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145.18402496145518</v>
      </c>
      <c r="Y74" s="2">
        <f>Y8/'Output-Calculation-sheet'!Y7*'Output-Calculation-sheet'!Y61</f>
        <v>0</v>
      </c>
      <c r="AA74" s="2">
        <f t="shared" si="6"/>
        <v>11.773427711976995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12451.005027039981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3085.5944565803047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2096.4970882325206</v>
      </c>
      <c r="N75" s="2">
        <f>N9/'Output-Calculation-sheet'!N8*'Output-Calculation-sheet'!N62</f>
        <v>807.3311683993345</v>
      </c>
      <c r="O75" s="2">
        <f>O9/'Output-Calculation-sheet'!O8*'Output-Calculation-sheet'!O62</f>
        <v>2461.1625601874093</v>
      </c>
      <c r="P75" s="2">
        <f>P9/'Output-Calculation-sheet'!P8*'Output-Calculation-sheet'!P62</f>
        <v>54.250476808424992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271.52285744485528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253.28394340137859</v>
      </c>
      <c r="Y75" s="2">
        <f>Y9/'Output-Calculation-sheet'!Y8*'Output-Calculation-sheet'!Y62</f>
        <v>0</v>
      </c>
      <c r="AA75" s="2">
        <f t="shared" si="6"/>
        <v>21.480647578094214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16868.576552946939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4541.447658525869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3092.0465885682224</v>
      </c>
      <c r="N76" s="2">
        <f>N10/'Output-Calculation-sheet'!N9*'Output-Calculation-sheet'!N63</f>
        <v>1766.5117439372184</v>
      </c>
      <c r="O76" s="2">
        <f>O10/'Output-Calculation-sheet'!O9*'Output-Calculation-sheet'!O63</f>
        <v>3043.3005998756412</v>
      </c>
      <c r="P76" s="2">
        <f>P10/'Output-Calculation-sheet'!P9*'Output-Calculation-sheet'!P63</f>
        <v>613.41371914659908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465.6594780309909</v>
      </c>
      <c r="S76" s="2">
        <f>S10/'Output-Calculation-sheet'!S9*'Output-Calculation-sheet'!S63</f>
        <v>784.67106028999513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165.21267639642213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364.14572096711214</v>
      </c>
      <c r="Y76" s="2">
        <f>Y10/'Output-Calculation-sheet'!Y9*'Output-Calculation-sheet'!Y63</f>
        <v>6.9083112091330845</v>
      </c>
      <c r="AA76" s="2">
        <f t="shared" si="6"/>
        <v>39.101723412853232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17548.189274092027</v>
      </c>
      <c r="D77" s="2">
        <f>D11/'Output-Calculation-sheet'!D10*'Output-Calculation-sheet'!D64</f>
        <v>2172.1592784986897</v>
      </c>
      <c r="E77" s="2">
        <f>E11/'Output-Calculation-sheet'!E10*'Output-Calculation-sheet'!E64</f>
        <v>2642.3773032778131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1132.7734023264893</v>
      </c>
      <c r="H77" s="2">
        <f>H11/'Output-Calculation-sheet'!H10*'Output-Calculation-sheet'!H64</f>
        <v>6018.6237053393452</v>
      </c>
      <c r="I77" s="2">
        <f>I11/'Output-Calculation-sheet'!I10*'Output-Calculation-sheet'!I64</f>
        <v>671.22399644927668</v>
      </c>
      <c r="J77" s="2">
        <f>J11/'Output-Calculation-sheet'!J10*'Output-Calculation-sheet'!J64</f>
        <v>482.48374133387875</v>
      </c>
      <c r="K77" s="2">
        <f>K11/'Output-Calculation-sheet'!K10*'Output-Calculation-sheet'!K64</f>
        <v>1010.0177790800735</v>
      </c>
      <c r="L77" s="2">
        <f>L11/'Output-Calculation-sheet'!L10*'Output-Calculation-sheet'!L64</f>
        <v>441.56526930518095</v>
      </c>
      <c r="M77" s="2">
        <f>M11/'Output-Calculation-sheet'!M10*'Output-Calculation-sheet'!M64</f>
        <v>4033.6647532383809</v>
      </c>
      <c r="N77" s="2">
        <f>N11/'Output-Calculation-sheet'!N10*'Output-Calculation-sheet'!N64</f>
        <v>2839.9248866975472</v>
      </c>
      <c r="O77" s="2">
        <f>O11/'Output-Calculation-sheet'!O10*'Output-Calculation-sheet'!O64</f>
        <v>3289.4990681238655</v>
      </c>
      <c r="P77" s="2">
        <f>P11/'Output-Calculation-sheet'!P10*'Output-Calculation-sheet'!P64</f>
        <v>1253.4862738066324</v>
      </c>
      <c r="Q77" s="2">
        <f>Q11/'Output-Calculation-sheet'!Q10*'Output-Calculation-sheet'!Q64</f>
        <v>1127.6494570577881</v>
      </c>
      <c r="R77" s="2">
        <f>R11/'Output-Calculation-sheet'!R10*'Output-Calculation-sheet'!R64</f>
        <v>1072.6567635253587</v>
      </c>
      <c r="S77" s="2">
        <f>S11/'Output-Calculation-sheet'!S10*'Output-Calculation-sheet'!S64</f>
        <v>1428.1133958829053</v>
      </c>
      <c r="T77" s="2">
        <f>T11/'Output-Calculation-sheet'!T10*'Output-Calculation-sheet'!T64</f>
        <v>297.30362870983748</v>
      </c>
      <c r="U77" s="2">
        <f>U11/'Output-Calculation-sheet'!U10*'Output-Calculation-sheet'!U64</f>
        <v>406.81231458951669</v>
      </c>
      <c r="V77" s="2">
        <f>V11/'Output-Calculation-sheet'!V10*'Output-Calculation-sheet'!V64</f>
        <v>156.33612218332976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415.98555487108501</v>
      </c>
      <c r="Y77" s="2">
        <f>Y11/'Output-Calculation-sheet'!Y10*'Output-Calculation-sheet'!Y64</f>
        <v>98.195748255702895</v>
      </c>
      <c r="AA77" s="2">
        <f t="shared" si="6"/>
        <v>66.143304076400653</v>
      </c>
    </row>
    <row r="78" spans="1:27" x14ac:dyDescent="0.25">
      <c r="A78" s="2">
        <v>2035</v>
      </c>
      <c r="B78" s="2">
        <f>B12/'Output-Calculation-sheet'!B11*'Output-Calculation-sheet'!B65</f>
        <v>25640.453939168914</v>
      </c>
      <c r="C78" s="2">
        <f>C12/'Output-Calculation-sheet'!C11*'Output-Calculation-sheet'!C65</f>
        <v>18068.350169560381</v>
      </c>
      <c r="D78" s="2">
        <f>D12/'Output-Calculation-sheet'!D11*'Output-Calculation-sheet'!D65</f>
        <v>5889.4008983671984</v>
      </c>
      <c r="E78" s="2">
        <f>E12/'Output-Calculation-sheet'!E11*'Output-Calculation-sheet'!E65</f>
        <v>5891.0260000036487</v>
      </c>
      <c r="F78" s="2">
        <f>F12/'Output-Calculation-sheet'!F11*'Output-Calculation-sheet'!F65</f>
        <v>1367.5851631539877</v>
      </c>
      <c r="G78" s="2">
        <f>G12/'Output-Calculation-sheet'!G11*'Output-Calculation-sheet'!G65</f>
        <v>2038.5367611310514</v>
      </c>
      <c r="H78" s="2">
        <f>H12/'Output-Calculation-sheet'!H11*'Output-Calculation-sheet'!H65</f>
        <v>6533.1854099408774</v>
      </c>
      <c r="I78" s="2">
        <f>I12/'Output-Calculation-sheet'!I11*'Output-Calculation-sheet'!I65</f>
        <v>1809.6899814182782</v>
      </c>
      <c r="J78" s="2">
        <f>J12/'Output-Calculation-sheet'!J11*'Output-Calculation-sheet'!J65</f>
        <v>1609.9587845793517</v>
      </c>
      <c r="K78" s="2">
        <f>K12/'Output-Calculation-sheet'!K11*'Output-Calculation-sheet'!K65</f>
        <v>2146.086185930239</v>
      </c>
      <c r="L78" s="2">
        <f>L12/'Output-Calculation-sheet'!L11*'Output-Calculation-sheet'!L65</f>
        <v>1413.6376317572401</v>
      </c>
      <c r="M78" s="2">
        <f>M12/'Output-Calculation-sheet'!M11*'Output-Calculation-sheet'!M65</f>
        <v>4562.4692989384985</v>
      </c>
      <c r="N78" s="2">
        <f>N12/'Output-Calculation-sheet'!N11*'Output-Calculation-sheet'!N65</f>
        <v>3257.9364493151434</v>
      </c>
      <c r="O78" s="2">
        <f>O12/'Output-Calculation-sheet'!O11*'Output-Calculation-sheet'!O65</f>
        <v>3301.4122465885912</v>
      </c>
      <c r="P78" s="2">
        <f>P12/'Output-Calculation-sheet'!P11*'Output-Calculation-sheet'!P65</f>
        <v>1804.2759079421858</v>
      </c>
      <c r="Q78" s="2">
        <f>Q12/'Output-Calculation-sheet'!Q11*'Output-Calculation-sheet'!Q65</f>
        <v>1749.2175098732196</v>
      </c>
      <c r="R78" s="2">
        <f>R12/'Output-Calculation-sheet'!R11*'Output-Calculation-sheet'!R65</f>
        <v>1586.8411763611468</v>
      </c>
      <c r="S78" s="2">
        <f>S12/'Output-Calculation-sheet'!S11*'Output-Calculation-sheet'!S65</f>
        <v>1775.1532850862175</v>
      </c>
      <c r="T78" s="2">
        <f>T12/'Output-Calculation-sheet'!T11*'Output-Calculation-sheet'!T65</f>
        <v>552.99862659765176</v>
      </c>
      <c r="U78" s="2">
        <f>U12/'Output-Calculation-sheet'!U11*'Output-Calculation-sheet'!U65</f>
        <v>505.64065739443015</v>
      </c>
      <c r="V78" s="2">
        <f>V12/'Output-Calculation-sheet'!V11*'Output-Calculation-sheet'!V65</f>
        <v>289.41142566359952</v>
      </c>
      <c r="W78" s="2">
        <f>W12/'Output-Calculation-sheet'!W11*'Output-Calculation-sheet'!W65</f>
        <v>192.62865966036188</v>
      </c>
      <c r="X78" s="2">
        <f>X12/'Output-Calculation-sheet'!X11*'Output-Calculation-sheet'!X65</f>
        <v>438.23118785391136</v>
      </c>
      <c r="Y78" s="2">
        <f>Y12/'Output-Calculation-sheet'!Y11*'Output-Calculation-sheet'!Y65</f>
        <v>202.65008726162523</v>
      </c>
      <c r="AA78" s="2">
        <f t="shared" si="6"/>
        <v>92.626777443547752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49.938065191628716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4.9938065191628717E-2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662.62590338227187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154.4764642571493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0.81710236763942112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1459.4468609530131</v>
      </c>
      <c r="D89" s="2">
        <f>D12/'Output-Calculation-sheet'!D11*'Output-Calculation-sheet'!D74</f>
        <v>117.52945317036915</v>
      </c>
      <c r="E89" s="2">
        <f>E12/'Output-Calculation-sheet'!E11*'Output-Calculation-sheet'!E74</f>
        <v>93.404566354901675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122.52632643892071</v>
      </c>
      <c r="I89" s="2">
        <f>I12/'Output-Calculation-sheet'!I11*'Output-Calculation-sheet'!I74</f>
        <v>37.920708702685879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37.270087630340022</v>
      </c>
      <c r="L89" s="2">
        <f>L12/'Output-Calculation-sheet'!L11*'Output-Calculation-sheet'!L74</f>
        <v>29.635387764559233</v>
      </c>
      <c r="M89" s="2">
        <f>M12/'Output-Calculation-sheet'!M11*'Output-Calculation-sheet'!M74</f>
        <v>84.310102477520203</v>
      </c>
      <c r="N89" s="2">
        <f>N12/'Output-Calculation-sheet'!N11*'Output-Calculation-sheet'!N74</f>
        <v>55.24220141101209</v>
      </c>
      <c r="O89" s="2">
        <f>O12/'Output-Calculation-sheet'!O11*'Output-Calculation-sheet'!O74</f>
        <v>335.08240129956113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48.400478960535118</v>
      </c>
      <c r="R89" s="2">
        <f>R12/'Output-Calculation-sheet'!R11*'Output-Calculation-sheet'!R74</f>
        <v>23.999049868591626</v>
      </c>
      <c r="S89" s="2">
        <f>S12/'Output-Calculation-sheet'!S11*'Output-Calculation-sheet'!S74</f>
        <v>31.666650940306248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15.442710118023092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12.332034777518892</v>
      </c>
      <c r="Y89" s="2">
        <f>Y12/'Output-Calculation-sheet'!Y11*'Output-Calculation-sheet'!Y74</f>
        <v>5.9503211457740033</v>
      </c>
      <c r="AA89" s="2">
        <f t="shared" si="7"/>
        <v>3.3208607539111834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22753705979.202694</v>
      </c>
      <c r="C96" s="2">
        <f>C8/'Output-Calculation-sheet'!C7*'Output-Calculation-sheet'!C79</f>
        <v>9419736999.8881016</v>
      </c>
      <c r="D96" s="2">
        <f>D8/'Output-Calculation-sheet'!D7*'Output-Calculation-sheet'!D79</f>
        <v>7509008005.7091389</v>
      </c>
      <c r="E96" s="2">
        <f>E8/'Output-Calculation-sheet'!E7*'Output-Calculation-sheet'!E79</f>
        <v>9073499416.4675274</v>
      </c>
      <c r="F96" s="2">
        <f>F8/'Output-Calculation-sheet'!F7*'Output-Calculation-sheet'!F79</f>
        <v>5356034615.9881325</v>
      </c>
      <c r="G96" s="2">
        <f>G8/'Output-Calculation-sheet'!G7*'Output-Calculation-sheet'!G79</f>
        <v>2724357212.4584646</v>
      </c>
      <c r="H96" s="2">
        <f>H8/'Output-Calculation-sheet'!H7*'Output-Calculation-sheet'!H79</f>
        <v>3401817587.6864414</v>
      </c>
      <c r="I96" s="2">
        <f>I8/'Output-Calculation-sheet'!I7*'Output-Calculation-sheet'!I79</f>
        <v>3256015093.268188</v>
      </c>
      <c r="J96" s="2">
        <f>J8/'Output-Calculation-sheet'!J7*'Output-Calculation-sheet'!J79</f>
        <v>1837811829.2951608</v>
      </c>
      <c r="K96" s="2">
        <f>K8/'Output-Calculation-sheet'!K7*'Output-Calculation-sheet'!K79</f>
        <v>3130423036.310719</v>
      </c>
      <c r="L96" s="2">
        <f>L8/'Output-Calculation-sheet'!L7*'Output-Calculation-sheet'!L79</f>
        <v>2251461779.0551586</v>
      </c>
      <c r="M96" s="2">
        <f>M8/'Output-Calculation-sheet'!M7*'Output-Calculation-sheet'!M79</f>
        <v>2276027719.1129079</v>
      </c>
      <c r="N96" s="2">
        <f>N8/'Output-Calculation-sheet'!N7*'Output-Calculation-sheet'!N79</f>
        <v>1619912989.5701129</v>
      </c>
      <c r="O96" s="2">
        <f>O8/'Output-Calculation-sheet'!O7*'Output-Calculation-sheet'!O79</f>
        <v>1273112409.6145334</v>
      </c>
      <c r="P96" s="2">
        <f>P8/'Output-Calculation-sheet'!P7*'Output-Calculation-sheet'!P79</f>
        <v>2706316655.8079271</v>
      </c>
      <c r="Q96" s="2">
        <f>Q8/'Output-Calculation-sheet'!Q7*'Output-Calculation-sheet'!Q79</f>
        <v>1474031138.972862</v>
      </c>
      <c r="R96" s="2">
        <f>R8/'Output-Calculation-sheet'!R7*'Output-Calculation-sheet'!R79</f>
        <v>1966497718.323782</v>
      </c>
      <c r="S96" s="2">
        <f>S8/'Output-Calculation-sheet'!S7*'Output-Calculation-sheet'!S79</f>
        <v>1237804305.3695672</v>
      </c>
      <c r="T96" s="2">
        <f>T8/'Output-Calculation-sheet'!T7*'Output-Calculation-sheet'!T79</f>
        <v>794844634.07100821</v>
      </c>
      <c r="U96" s="2">
        <f>U8/'Output-Calculation-sheet'!U7*'Output-Calculation-sheet'!U79</f>
        <v>737048446.78915858</v>
      </c>
      <c r="V96" s="2">
        <f>V8/'Output-Calculation-sheet'!V7*'Output-Calculation-sheet'!V79</f>
        <v>474536900.03388882</v>
      </c>
      <c r="W96" s="2">
        <f>W8/'Output-Calculation-sheet'!W7*'Output-Calculation-sheet'!W79</f>
        <v>567653701.97412515</v>
      </c>
      <c r="X96" s="2">
        <f>X8/'Output-Calculation-sheet'!X7*'Output-Calculation-sheet'!X79</f>
        <v>259818310.67063785</v>
      </c>
      <c r="Y96" s="2">
        <f>Y8/'Output-Calculation-sheet'!Y7*'Output-Calculation-sheet'!Y79</f>
        <v>290807436.56358129</v>
      </c>
      <c r="AA96" s="2">
        <f t="shared" si="8"/>
        <v>86.392283922203816</v>
      </c>
    </row>
    <row r="97" spans="1:27" x14ac:dyDescent="0.25">
      <c r="A97" s="2">
        <v>2032</v>
      </c>
      <c r="B97" s="2">
        <f>B9/'Output-Calculation-sheet'!B8*'Output-Calculation-sheet'!B80</f>
        <v>32260745018.836891</v>
      </c>
      <c r="C97" s="2">
        <f>C9/'Output-Calculation-sheet'!C8*'Output-Calculation-sheet'!C80</f>
        <v>13367173429.860384</v>
      </c>
      <c r="D97" s="2">
        <f>D9/'Output-Calculation-sheet'!D8*'Output-Calculation-sheet'!D80</f>
        <v>10565669602.403427</v>
      </c>
      <c r="E97" s="2">
        <f>E9/'Output-Calculation-sheet'!E8*'Output-Calculation-sheet'!E80</f>
        <v>12749101940.478447</v>
      </c>
      <c r="F97" s="2">
        <f>F9/'Output-Calculation-sheet'!F8*'Output-Calculation-sheet'!F80</f>
        <v>7554202894.5908575</v>
      </c>
      <c r="G97" s="2">
        <f>G9/'Output-Calculation-sheet'!G8*'Output-Calculation-sheet'!G80</f>
        <v>3781503572.8336635</v>
      </c>
      <c r="H97" s="2">
        <f>H9/'Output-Calculation-sheet'!H8*'Output-Calculation-sheet'!H80</f>
        <v>4813240375.2651424</v>
      </c>
      <c r="I97" s="2">
        <f>I9/'Output-Calculation-sheet'!I8*'Output-Calculation-sheet'!I80</f>
        <v>4594432147.6540632</v>
      </c>
      <c r="J97" s="2">
        <f>J9/'Output-Calculation-sheet'!J8*'Output-Calculation-sheet'!J80</f>
        <v>2621651003.6772308</v>
      </c>
      <c r="K97" s="2">
        <f>K9/'Output-Calculation-sheet'!K8*'Output-Calculation-sheet'!K80</f>
        <v>4416218123.8883209</v>
      </c>
      <c r="L97" s="2">
        <f>L9/'Output-Calculation-sheet'!L8*'Output-Calculation-sheet'!L80</f>
        <v>3195284337.7435513</v>
      </c>
      <c r="M97" s="2">
        <f>M9/'Output-Calculation-sheet'!M8*'Output-Calculation-sheet'!M80</f>
        <v>3220305232.820807</v>
      </c>
      <c r="N97" s="2">
        <f>N9/'Output-Calculation-sheet'!N8*'Output-Calculation-sheet'!N80</f>
        <v>2301793699.0657058</v>
      </c>
      <c r="O97" s="2">
        <f>O9/'Output-Calculation-sheet'!O8*'Output-Calculation-sheet'!O80</f>
        <v>1815974671.838254</v>
      </c>
      <c r="P97" s="2">
        <f>P9/'Output-Calculation-sheet'!P8*'Output-Calculation-sheet'!P80</f>
        <v>3794961793.0851593</v>
      </c>
      <c r="Q97" s="2">
        <f>Q9/'Output-Calculation-sheet'!Q8*'Output-Calculation-sheet'!Q80</f>
        <v>2101310412.5754671</v>
      </c>
      <c r="R97" s="2">
        <f>R9/'Output-Calculation-sheet'!R8*'Output-Calculation-sheet'!R80</f>
        <v>2786025138.2655296</v>
      </c>
      <c r="S97" s="2">
        <f>S9/'Output-Calculation-sheet'!S8*'Output-Calculation-sheet'!S80</f>
        <v>1757576818.1089633</v>
      </c>
      <c r="T97" s="2">
        <f>T9/'Output-Calculation-sheet'!T8*'Output-Calculation-sheet'!T80</f>
        <v>1117164615.5826206</v>
      </c>
      <c r="U97" s="2">
        <f>U9/'Output-Calculation-sheet'!U8*'Output-Calculation-sheet'!U80</f>
        <v>1041799417.3386087</v>
      </c>
      <c r="V97" s="2">
        <f>V9/'Output-Calculation-sheet'!V8*'Output-Calculation-sheet'!V80</f>
        <v>674679221.81805944</v>
      </c>
      <c r="W97" s="2">
        <f>W9/'Output-Calculation-sheet'!W8*'Output-Calculation-sheet'!W80</f>
        <v>789227805.05915856</v>
      </c>
      <c r="X97" s="2">
        <f>X9/'Output-Calculation-sheet'!X8*'Output-Calculation-sheet'!X80</f>
        <v>367496351.24853784</v>
      </c>
      <c r="Y97" s="2">
        <f>Y9/'Output-Calculation-sheet'!Y8*'Output-Calculation-sheet'!Y80</f>
        <v>406100401.91617119</v>
      </c>
      <c r="AA97" s="2">
        <f t="shared" si="8"/>
        <v>122.093638025955</v>
      </c>
    </row>
    <row r="98" spans="1:27" x14ac:dyDescent="0.25">
      <c r="A98" s="2">
        <v>2033</v>
      </c>
      <c r="B98" s="2">
        <f>B10/'Output-Calculation-sheet'!B9*'Output-Calculation-sheet'!B81</f>
        <v>41802731105.397217</v>
      </c>
      <c r="C98" s="2">
        <f>C10/'Output-Calculation-sheet'!C9*'Output-Calculation-sheet'!C81</f>
        <v>17338825380.668121</v>
      </c>
      <c r="D98" s="2">
        <f>D10/'Output-Calculation-sheet'!D9*'Output-Calculation-sheet'!D81</f>
        <v>13601142772.377213</v>
      </c>
      <c r="E98" s="2">
        <f>E10/'Output-Calculation-sheet'!E9*'Output-Calculation-sheet'!E81</f>
        <v>16381036443.567024</v>
      </c>
      <c r="F98" s="2">
        <f>F10/'Output-Calculation-sheet'!F9*'Output-Calculation-sheet'!F81</f>
        <v>9740547548.3925896</v>
      </c>
      <c r="G98" s="2">
        <f>G10/'Output-Calculation-sheet'!G9*'Output-Calculation-sheet'!G81</f>
        <v>4801379102.3311634</v>
      </c>
      <c r="H98" s="2">
        <f>H10/'Output-Calculation-sheet'!H9*'Output-Calculation-sheet'!H81</f>
        <v>6225079379.7550936</v>
      </c>
      <c r="I98" s="2">
        <f>I10/'Output-Calculation-sheet'!I9*'Output-Calculation-sheet'!I81</f>
        <v>5927707602.5967073</v>
      </c>
      <c r="J98" s="2">
        <f>J10/'Output-Calculation-sheet'!J9*'Output-Calculation-sheet'!J81</f>
        <v>3420416776.7310557</v>
      </c>
      <c r="K98" s="2">
        <f>K10/'Output-Calculation-sheet'!K9*'Output-Calculation-sheet'!K81</f>
        <v>5695899566.6306133</v>
      </c>
      <c r="L98" s="2">
        <f>L10/'Output-Calculation-sheet'!L9*'Output-Calculation-sheet'!L81</f>
        <v>4144963653.500771</v>
      </c>
      <c r="M98" s="2">
        <f>M10/'Output-Calculation-sheet'!M9*'Output-Calculation-sheet'!M81</f>
        <v>4165651945.827343</v>
      </c>
      <c r="N98" s="2">
        <f>N10/'Output-Calculation-sheet'!N9*'Output-Calculation-sheet'!N81</f>
        <v>2991321046.822248</v>
      </c>
      <c r="O98" s="2">
        <f>O10/'Output-Calculation-sheet'!O9*'Output-Calculation-sheet'!O81</f>
        <v>2368338959.1972175</v>
      </c>
      <c r="P98" s="2">
        <f>P10/'Output-Calculation-sheet'!P9*'Output-Calculation-sheet'!P81</f>
        <v>4864564091.3207531</v>
      </c>
      <c r="Q98" s="2">
        <f>Q10/'Output-Calculation-sheet'!Q9*'Output-Calculation-sheet'!Q81</f>
        <v>2738786613.7901845</v>
      </c>
      <c r="R98" s="2">
        <f>R10/'Output-Calculation-sheet'!R9*'Output-Calculation-sheet'!R81</f>
        <v>3607752020.2867551</v>
      </c>
      <c r="S98" s="2">
        <f>S10/'Output-Calculation-sheet'!S9*'Output-Calculation-sheet'!S81</f>
        <v>2280756355.7139606</v>
      </c>
      <c r="T98" s="2">
        <f>T10/'Output-Calculation-sheet'!T9*'Output-Calculation-sheet'!T81</f>
        <v>1435772049.1030991</v>
      </c>
      <c r="U98" s="2">
        <f>U10/'Output-Calculation-sheet'!U9*'Output-Calculation-sheet'!U81</f>
        <v>1345245414.3175657</v>
      </c>
      <c r="V98" s="2">
        <f>V10/'Output-Calculation-sheet'!V9*'Output-Calculation-sheet'!V81</f>
        <v>876171436.81294036</v>
      </c>
      <c r="W98" s="2">
        <f>W10/'Output-Calculation-sheet'!W9*'Output-Calculation-sheet'!W81</f>
        <v>1003346222.05302</v>
      </c>
      <c r="X98" s="2">
        <f>X10/'Output-Calculation-sheet'!X9*'Output-Calculation-sheet'!X81</f>
        <v>475193605.50299722</v>
      </c>
      <c r="Y98" s="2">
        <f>Y10/'Output-Calculation-sheet'!Y9*'Output-Calculation-sheet'!Y81</f>
        <v>518714452.33662641</v>
      </c>
      <c r="AA98" s="2">
        <f t="shared" si="8"/>
        <v>157.75134354503226</v>
      </c>
    </row>
    <row r="99" spans="1:27" x14ac:dyDescent="0.25">
      <c r="A99" s="2">
        <v>2034</v>
      </c>
      <c r="B99" s="2">
        <f>B11/'Output-Calculation-sheet'!B10*'Output-Calculation-sheet'!B82</f>
        <v>50730187441.8769</v>
      </c>
      <c r="C99" s="2">
        <f>C11/'Output-Calculation-sheet'!C10*'Output-Calculation-sheet'!C82</f>
        <v>21066679810.979622</v>
      </c>
      <c r="D99" s="2">
        <f>D11/'Output-Calculation-sheet'!D10*'Output-Calculation-sheet'!D82</f>
        <v>16414060172.746914</v>
      </c>
      <c r="E99" s="2">
        <f>E11/'Output-Calculation-sheet'!E10*'Output-Calculation-sheet'!E82</f>
        <v>19722694115.514591</v>
      </c>
      <c r="F99" s="2">
        <f>F11/'Output-Calculation-sheet'!F10*'Output-Calculation-sheet'!F82</f>
        <v>11766423228.58844</v>
      </c>
      <c r="G99" s="2">
        <f>G11/'Output-Calculation-sheet'!G10*'Output-Calculation-sheet'!G82</f>
        <v>5714633149.2771387</v>
      </c>
      <c r="H99" s="2">
        <f>H11/'Output-Calculation-sheet'!H10*'Output-Calculation-sheet'!H82</f>
        <v>7541388699.9630957</v>
      </c>
      <c r="I99" s="2">
        <f>I11/'Output-Calculation-sheet'!I10*'Output-Calculation-sheet'!I82</f>
        <v>7165673155.841671</v>
      </c>
      <c r="J99" s="2">
        <f>J11/'Output-Calculation-sheet'!J10*'Output-Calculation-sheet'!J82</f>
        <v>4182194260.5490003</v>
      </c>
      <c r="K99" s="2">
        <f>K11/'Output-Calculation-sheet'!K10*'Output-Calculation-sheet'!K82</f>
        <v>6882676828.2896442</v>
      </c>
      <c r="L99" s="2">
        <f>L11/'Output-Calculation-sheet'!L10*'Output-Calculation-sheet'!L82</f>
        <v>5036315793.6150942</v>
      </c>
      <c r="M99" s="2">
        <f>M11/'Output-Calculation-sheet'!M10*'Output-Calculation-sheet'!M82</f>
        <v>5048248186.8490086</v>
      </c>
      <c r="N99" s="2">
        <f>N11/'Output-Calculation-sheet'!N10*'Output-Calculation-sheet'!N82</f>
        <v>3643135157.5863314</v>
      </c>
      <c r="O99" s="2">
        <f>O11/'Output-Calculation-sheet'!O10*'Output-Calculation-sheet'!O82</f>
        <v>2893807604.9291778</v>
      </c>
      <c r="P99" s="2">
        <f>P11/'Output-Calculation-sheet'!P10*'Output-Calculation-sheet'!P82</f>
        <v>5841506010.7252598</v>
      </c>
      <c r="Q99" s="2">
        <f>Q11/'Output-Calculation-sheet'!Q10*'Output-Calculation-sheet'!Q82</f>
        <v>3344335139.8185067</v>
      </c>
      <c r="R99" s="2">
        <f>R11/'Output-Calculation-sheet'!R10*'Output-Calculation-sheet'!R82</f>
        <v>4375908384.736289</v>
      </c>
      <c r="S99" s="2">
        <f>S11/'Output-Calculation-sheet'!S10*'Output-Calculation-sheet'!S82</f>
        <v>2771852650.381145</v>
      </c>
      <c r="T99" s="2">
        <f>T11/'Output-Calculation-sheet'!T10*'Output-Calculation-sheet'!T82</f>
        <v>1729037483.6920922</v>
      </c>
      <c r="U99" s="2">
        <f>U11/'Output-Calculation-sheet'!U10*'Output-Calculation-sheet'!U82</f>
        <v>1626353834.7373142</v>
      </c>
      <c r="V99" s="2">
        <f>V11/'Output-Calculation-sheet'!V10*'Output-Calculation-sheet'!V82</f>
        <v>1065139742.8598088</v>
      </c>
      <c r="W99" s="2">
        <f>W11/'Output-Calculation-sheet'!W10*'Output-Calculation-sheet'!W82</f>
        <v>1195213027.6777108</v>
      </c>
      <c r="X99" s="2">
        <f>X11/'Output-Calculation-sheet'!X10*'Output-Calculation-sheet'!X82</f>
        <v>575614772.58552361</v>
      </c>
      <c r="Y99" s="2">
        <f>Y11/'Output-Calculation-sheet'!Y10*'Output-Calculation-sheet'!Y82</f>
        <v>621014185.27571869</v>
      </c>
      <c r="AA99" s="2">
        <f t="shared" si="8"/>
        <v>190.95409283909592</v>
      </c>
    </row>
    <row r="100" spans="1:27" x14ac:dyDescent="0.25">
      <c r="A100" s="2">
        <v>2035</v>
      </c>
      <c r="B100" s="2">
        <f>B12/'Output-Calculation-sheet'!B11*'Output-Calculation-sheet'!B83</f>
        <v>58526111908.30603</v>
      </c>
      <c r="C100" s="2">
        <f>C12/'Output-Calculation-sheet'!C11*'Output-Calculation-sheet'!C83</f>
        <v>24336210067.897816</v>
      </c>
      <c r="D100" s="2">
        <f>D12/'Output-Calculation-sheet'!D11*'Output-Calculation-sheet'!D83</f>
        <v>18848786052.197952</v>
      </c>
      <c r="E100" s="2">
        <f>E12/'Output-Calculation-sheet'!E11*'Output-Calculation-sheet'!E83</f>
        <v>22585392272.834663</v>
      </c>
      <c r="F100" s="2">
        <f>F12/'Output-Calculation-sheet'!F11*'Output-Calculation-sheet'!F83</f>
        <v>13516223660.584621</v>
      </c>
      <c r="G100" s="2">
        <f>G12/'Output-Calculation-sheet'!G11*'Output-Calculation-sheet'!G83</f>
        <v>6471717595.4566355</v>
      </c>
      <c r="H100" s="2">
        <f>H12/'Output-Calculation-sheet'!H11*'Output-Calculation-sheet'!H83</f>
        <v>8686426312.8805389</v>
      </c>
      <c r="I100" s="2">
        <f>I12/'Output-Calculation-sheet'!I11*'Output-Calculation-sheet'!I83</f>
        <v>8237887174.42974</v>
      </c>
      <c r="J100" s="2">
        <f>J12/'Output-Calculation-sheet'!J11*'Output-Calculation-sheet'!J83</f>
        <v>4864177906.9002619</v>
      </c>
      <c r="K100" s="2">
        <f>K12/'Output-Calculation-sheet'!K11*'Output-Calculation-sheet'!K83</f>
        <v>7908973485.7715654</v>
      </c>
      <c r="L100" s="2">
        <f>L12/'Output-Calculation-sheet'!L11*'Output-Calculation-sheet'!L83</f>
        <v>5817930419.7749748</v>
      </c>
      <c r="M100" s="2">
        <f>M12/'Output-Calculation-sheet'!M11*'Output-Calculation-sheet'!M83</f>
        <v>5817596604.8580904</v>
      </c>
      <c r="N100" s="2">
        <f>N12/'Output-Calculation-sheet'!N11*'Output-Calculation-sheet'!N83</f>
        <v>4220501425.6912532</v>
      </c>
      <c r="O100" s="2">
        <f>O12/'Output-Calculation-sheet'!O11*'Output-Calculation-sheet'!O83</f>
        <v>3362446217.20684</v>
      </c>
      <c r="P100" s="2">
        <f>P12/'Output-Calculation-sheet'!P11*'Output-Calculation-sheet'!P83</f>
        <v>6670388307.0829735</v>
      </c>
      <c r="Q100" s="2">
        <f>Q12/'Output-Calculation-sheet'!Q11*'Output-Calculation-sheet'!Q83</f>
        <v>3883393069.2069511</v>
      </c>
      <c r="R100" s="2">
        <f>R12/'Output-Calculation-sheet'!R11*'Output-Calculation-sheet'!R83</f>
        <v>5046222618.1490765</v>
      </c>
      <c r="S100" s="2">
        <f>S12/'Output-Calculation-sheet'!S11*'Output-Calculation-sheet'!S83</f>
        <v>3202426242.9375124</v>
      </c>
      <c r="T100" s="2">
        <f>T12/'Output-Calculation-sheet'!T11*'Output-Calculation-sheet'!T83</f>
        <v>1980422835.473278</v>
      </c>
      <c r="U100" s="2">
        <f>U12/'Output-Calculation-sheet'!U11*'Output-Calculation-sheet'!U83</f>
        <v>1868747831.8536692</v>
      </c>
      <c r="V100" s="2">
        <f>V12/'Output-Calculation-sheet'!V11*'Output-Calculation-sheet'!V83</f>
        <v>1230475761.3531454</v>
      </c>
      <c r="W100" s="2">
        <f>W12/'Output-Calculation-sheet'!W11*'Output-Calculation-sheet'!W83</f>
        <v>1354161999.9304435</v>
      </c>
      <c r="X100" s="2">
        <f>X12/'Output-Calculation-sheet'!X11*'Output-Calculation-sheet'!X83</f>
        <v>663000094.82375109</v>
      </c>
      <c r="Y100" s="2">
        <f>Y12/'Output-Calculation-sheet'!Y11*'Output-Calculation-sheet'!Y83</f>
        <v>707345318.75205648</v>
      </c>
      <c r="AA100" s="2">
        <f t="shared" si="8"/>
        <v>219.80696518435386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1651214620.4419003</v>
      </c>
      <c r="C107" s="2">
        <f>C8/'Output-Calculation-sheet'!C7*'Output-Calculation-sheet'!C88</f>
        <v>27193723409.553764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8484583713.7081051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5853655469.4425144</v>
      </c>
      <c r="N107" s="2">
        <f>N8/'Output-Calculation-sheet'!N7*'Output-Calculation-sheet'!N88</f>
        <v>1959325904.8574207</v>
      </c>
      <c r="O107" s="2">
        <f>O8/'Output-Calculation-sheet'!O7*'Output-Calculation-sheet'!O88</f>
        <v>5283765285.6088152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587467802.03115952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633952760.86140358</v>
      </c>
      <c r="Y107" s="2">
        <f>Y8/'Output-Calculation-sheet'!Y7*'Output-Calculation-sheet'!Y88</f>
        <v>0</v>
      </c>
      <c r="AA107" s="2">
        <f t="shared" si="9"/>
        <v>51647.688966505091</v>
      </c>
    </row>
    <row r="108" spans="1:27" x14ac:dyDescent="0.25">
      <c r="A108" s="2">
        <v>2032</v>
      </c>
      <c r="B108" s="2">
        <f>B9/'Output-Calculation-sheet'!B8*'Output-Calculation-sheet'!B89</f>
        <v>7616278520.2078314</v>
      </c>
      <c r="C108" s="2">
        <f>C9/'Output-Calculation-sheet'!C8*'Output-Calculation-sheet'!C89</f>
        <v>38179814386.386139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11911838362.977962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8218132699.2091284</v>
      </c>
      <c r="N108" s="2">
        <f>N9/'Output-Calculation-sheet'!N8*'Output-Calculation-sheet'!N89</f>
        <v>3855854176.8951969</v>
      </c>
      <c r="O108" s="2">
        <f>O9/'Output-Calculation-sheet'!O8*'Output-Calculation-sheet'!O89</f>
        <v>7418370409.7893286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1165117785.4012494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890048336.13384247</v>
      </c>
      <c r="Y108" s="2">
        <f>Y9/'Output-Calculation-sheet'!Y8*'Output-Calculation-sheet'!Y89</f>
        <v>0</v>
      </c>
      <c r="AA108" s="2">
        <f t="shared" si="9"/>
        <v>79255.454677000671</v>
      </c>
    </row>
    <row r="109" spans="1:27" x14ac:dyDescent="0.25">
      <c r="A109" s="2">
        <v>2033</v>
      </c>
      <c r="B109" s="2">
        <f>B10/'Output-Calculation-sheet'!B9*'Output-Calculation-sheet'!B90</f>
        <v>20740139526.412907</v>
      </c>
      <c r="C109" s="2">
        <f>C10/'Output-Calculation-sheet'!C9*'Output-Calculation-sheet'!C90</f>
        <v>49016744115.25206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15292880981.64982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10550758914.331932</v>
      </c>
      <c r="N109" s="2">
        <f>N10/'Output-Calculation-sheet'!N9*'Output-Calculation-sheet'!N90</f>
        <v>6215891960.7564497</v>
      </c>
      <c r="O109" s="2">
        <f>O10/'Output-Calculation-sheet'!O9*'Output-Calculation-sheet'!O90</f>
        <v>9080875104.125042</v>
      </c>
      <c r="P109" s="2">
        <f>P10/'Output-Calculation-sheet'!P9*'Output-Calculation-sheet'!P90</f>
        <v>0</v>
      </c>
      <c r="Q109" s="2">
        <f>Q10/'Output-Calculation-sheet'!Q9*'Output-Calculation-sheet'!Q90</f>
        <v>202324104.83422425</v>
      </c>
      <c r="R109" s="2">
        <f>R10/'Output-Calculation-sheet'!R9*'Output-Calculation-sheet'!R90</f>
        <v>0</v>
      </c>
      <c r="S109" s="2">
        <f>S10/'Output-Calculation-sheet'!S9*'Output-Calculation-sheet'!S90</f>
        <v>2505910430.2000337</v>
      </c>
      <c r="T109" s="2">
        <f>T10/'Output-Calculation-sheet'!T9*'Output-Calculation-sheet'!T90</f>
        <v>-4.1647239267222495E-7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1142679112.1889179</v>
      </c>
      <c r="Y109" s="2">
        <f>Y10/'Output-Calculation-sheet'!Y9*'Output-Calculation-sheet'!Y90</f>
        <v>0</v>
      </c>
      <c r="AA109" s="2">
        <f t="shared" si="9"/>
        <v>114748.2042497514</v>
      </c>
    </row>
    <row r="110" spans="1:27" x14ac:dyDescent="0.25">
      <c r="A110" s="2">
        <v>2034</v>
      </c>
      <c r="B110" s="2">
        <f>B11/'Output-Calculation-sheet'!B10*'Output-Calculation-sheet'!B91</f>
        <v>49289651136.320839</v>
      </c>
      <c r="C110" s="2">
        <f>C11/'Output-Calculation-sheet'!C10*'Output-Calculation-sheet'!C91</f>
        <v>54599552782.579002</v>
      </c>
      <c r="D110" s="2">
        <f>D11/'Output-Calculation-sheet'!D10*'Output-Calculation-sheet'!D91</f>
        <v>0</v>
      </c>
      <c r="E110" s="2">
        <f>E11/'Output-Calculation-sheet'!E10*'Output-Calculation-sheet'!E91</f>
        <v>1031532897.4249234</v>
      </c>
      <c r="F110" s="2">
        <f>F11/'Output-Calculation-sheet'!F10*'Output-Calculation-sheet'!F91</f>
        <v>0</v>
      </c>
      <c r="G110" s="2">
        <f>G11/'Output-Calculation-sheet'!G10*'Output-Calculation-sheet'!G91</f>
        <v>-2.325312298261728E-6</v>
      </c>
      <c r="H110" s="2">
        <f>H11/'Output-Calculation-sheet'!H10*'Output-Calculation-sheet'!H91</f>
        <v>18397328429.778374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837546036.31004548</v>
      </c>
      <c r="M110" s="2">
        <f>M11/'Output-Calculation-sheet'!M10*'Output-Calculation-sheet'!M91</f>
        <v>12692555755.281029</v>
      </c>
      <c r="N110" s="2">
        <f>N11/'Output-Calculation-sheet'!N10*'Output-Calculation-sheet'!N91</f>
        <v>8779946376.9435329</v>
      </c>
      <c r="O110" s="2">
        <f>O11/'Output-Calculation-sheet'!O10*'Output-Calculation-sheet'!O91</f>
        <v>10065761074.620239</v>
      </c>
      <c r="P110" s="2">
        <f>P11/'Output-Calculation-sheet'!P10*'Output-Calculation-sheet'!P91</f>
        <v>9.3706662842360918E-7</v>
      </c>
      <c r="Q110" s="2">
        <f>Q11/'Output-Calculation-sheet'!Q10*'Output-Calculation-sheet'!Q91</f>
        <v>2234434619.3167582</v>
      </c>
      <c r="R110" s="2">
        <f>R11/'Output-Calculation-sheet'!R10*'Output-Calculation-sheet'!R91</f>
        <v>0</v>
      </c>
      <c r="S110" s="2">
        <f>S11/'Output-Calculation-sheet'!S10*'Output-Calculation-sheet'!S91</f>
        <v>4316786670.9598274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1252935877.7168362</v>
      </c>
      <c r="Y110" s="2">
        <f>Y11/'Output-Calculation-sheet'!Y10*'Output-Calculation-sheet'!Y91</f>
        <v>55042248.829857923</v>
      </c>
      <c r="AA110" s="2">
        <f t="shared" si="9"/>
        <v>163553.07390608129</v>
      </c>
    </row>
    <row r="111" spans="1:27" x14ac:dyDescent="0.25">
      <c r="A111" s="2">
        <v>2035</v>
      </c>
      <c r="B111" s="2">
        <f>B12/'Output-Calculation-sheet'!B11*'Output-Calculation-sheet'!B92</f>
        <v>70388962574.772781</v>
      </c>
      <c r="C111" s="2">
        <f>C12/'Output-Calculation-sheet'!C11*'Output-Calculation-sheet'!C92</f>
        <v>59141496838.867348</v>
      </c>
      <c r="D111" s="2">
        <f>D12/'Output-Calculation-sheet'!D11*'Output-Calculation-sheet'!D92</f>
        <v>0</v>
      </c>
      <c r="E111" s="2">
        <f>E12/'Output-Calculation-sheet'!E11*'Output-Calculation-sheet'!E92</f>
        <v>7999737764.5342083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20075007386.936222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2575225994.2230263</v>
      </c>
      <c r="M111" s="2">
        <f>M12/'Output-Calculation-sheet'!M11*'Output-Calculation-sheet'!M92</f>
        <v>13897626706.332943</v>
      </c>
      <c r="N111" s="2">
        <f>N12/'Output-Calculation-sheet'!N11*'Output-Calculation-sheet'!N92</f>
        <v>9964618673.7291374</v>
      </c>
      <c r="O111" s="2">
        <f>O12/'Output-Calculation-sheet'!O11*'Output-Calculation-sheet'!O92</f>
        <v>10620581052.377842</v>
      </c>
      <c r="P111" s="2">
        <f>P12/'Output-Calculation-sheet'!P11*'Output-Calculation-sheet'!P92</f>
        <v>546557119.78074718</v>
      </c>
      <c r="Q111" s="2">
        <f>Q12/'Output-Calculation-sheet'!Q11*'Output-Calculation-sheet'!Q92</f>
        <v>4281010263.9395909</v>
      </c>
      <c r="R111" s="2">
        <f>R12/'Output-Calculation-sheet'!R11*'Output-Calculation-sheet'!R92</f>
        <v>0</v>
      </c>
      <c r="S111" s="2">
        <f>S12/'Output-Calculation-sheet'!S11*'Output-Calculation-sheet'!S92</f>
        <v>5359544254.998251</v>
      </c>
      <c r="T111" s="2">
        <f>T12/'Output-Calculation-sheet'!T11*'Output-Calculation-sheet'!T92</f>
        <v>0</v>
      </c>
      <c r="U111" s="2">
        <f>U12/'Output-Calculation-sheet'!U11*'Output-Calculation-sheet'!U92</f>
        <v>190364295.17718598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1365516345.286845</v>
      </c>
      <c r="Y111" s="2">
        <f>Y12/'Output-Calculation-sheet'!Y11*'Output-Calculation-sheet'!Y92</f>
        <v>323069116.41711205</v>
      </c>
      <c r="AA111" s="2">
        <f t="shared" si="9"/>
        <v>206729.31838737326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56067435139.528976</v>
      </c>
      <c r="C118" s="2">
        <f>C8/'Output-Calculation-sheet'!C7*'Output-Calculation-sheet'!C97</f>
        <v>0</v>
      </c>
      <c r="D118" s="2">
        <f>D8/'Output-Calculation-sheet'!D7*'Output-Calculation-sheet'!D97</f>
        <v>24242497986.736919</v>
      </c>
      <c r="E118" s="2">
        <f>E8/'Output-Calculation-sheet'!E7*'Output-Calculation-sheet'!E97</f>
        <v>19233962101.393204</v>
      </c>
      <c r="F118" s="2">
        <f>F8/'Output-Calculation-sheet'!F7*'Output-Calculation-sheet'!F97</f>
        <v>12381591608.715164</v>
      </c>
      <c r="G118" s="2">
        <f>G8/'Output-Calculation-sheet'!G7*'Output-Calculation-sheet'!G97</f>
        <v>8699646067.8932743</v>
      </c>
      <c r="H118" s="2">
        <f>H8/'Output-Calculation-sheet'!H7*'Output-Calculation-sheet'!H97</f>
        <v>0</v>
      </c>
      <c r="I118" s="2">
        <f>I8/'Output-Calculation-sheet'!I7*'Output-Calculation-sheet'!I97</f>
        <v>7926062379.6403561</v>
      </c>
      <c r="J118" s="2">
        <f>J8/'Output-Calculation-sheet'!J7*'Output-Calculation-sheet'!J97</f>
        <v>7714683206.4269037</v>
      </c>
      <c r="K118" s="2">
        <f>K8/'Output-Calculation-sheet'!K7*'Output-Calculation-sheet'!K97</f>
        <v>7640722631.6188087</v>
      </c>
      <c r="L118" s="2">
        <f>L8/'Output-Calculation-sheet'!L7*'Output-Calculation-sheet'!L97</f>
        <v>6129487045.6549053</v>
      </c>
      <c r="M118" s="2">
        <f>M8/'Output-Calculation-sheet'!M7*'Output-Calculation-sheet'!M97</f>
        <v>0</v>
      </c>
      <c r="N118" s="2">
        <f>N8/'Output-Calculation-sheet'!N7*'Output-Calculation-sheet'!N97</f>
        <v>3787018443.3499351</v>
      </c>
      <c r="O118" s="2">
        <f>O8/'Output-Calculation-sheet'!O7*'Output-Calculation-sheet'!O97</f>
        <v>0</v>
      </c>
      <c r="P118" s="2">
        <f>P8/'Output-Calculation-sheet'!P7*'Output-Calculation-sheet'!P97</f>
        <v>5231201170.5626392</v>
      </c>
      <c r="Q118" s="2">
        <f>Q8/'Output-Calculation-sheet'!Q7*'Output-Calculation-sheet'!Q97</f>
        <v>5146655529.6699247</v>
      </c>
      <c r="R118" s="2">
        <f>R8/'Output-Calculation-sheet'!R7*'Output-Calculation-sheet'!R97</f>
        <v>4951319315.6461039</v>
      </c>
      <c r="S118" s="2">
        <f>S8/'Output-Calculation-sheet'!S7*'Output-Calculation-sheet'!S97</f>
        <v>2703433553.2915859</v>
      </c>
      <c r="T118" s="2">
        <f>T8/'Output-Calculation-sheet'!T7*'Output-Calculation-sheet'!T97</f>
        <v>1820062761.0451365</v>
      </c>
      <c r="U118" s="2">
        <f>U8/'Output-Calculation-sheet'!U7*'Output-Calculation-sheet'!U97</f>
        <v>1585212164.6808157</v>
      </c>
      <c r="V118" s="2">
        <f>V8/'Output-Calculation-sheet'!V7*'Output-Calculation-sheet'!V97</f>
        <v>1220645550.7140007</v>
      </c>
      <c r="W118" s="2">
        <f>W8/'Output-Calculation-sheet'!W7*'Output-Calculation-sheet'!W97</f>
        <v>1056808109.4635476</v>
      </c>
      <c r="X118" s="2">
        <f>X8/'Output-Calculation-sheet'!X7*'Output-Calculation-sheet'!X97</f>
        <v>0</v>
      </c>
      <c r="Y118" s="2">
        <f>Y8/'Output-Calculation-sheet'!Y7*'Output-Calculation-sheet'!Y97</f>
        <v>616641432.21462107</v>
      </c>
      <c r="AA118" s="2">
        <f t="shared" si="10"/>
        <v>178155.08619824689</v>
      </c>
    </row>
    <row r="119" spans="1:27" x14ac:dyDescent="0.25">
      <c r="A119" s="2">
        <v>2032</v>
      </c>
      <c r="B119" s="2">
        <f>B9/'Output-Calculation-sheet'!B8*'Output-Calculation-sheet'!B98</f>
        <v>73416621710.052109</v>
      </c>
      <c r="C119" s="2">
        <f>C9/'Output-Calculation-sheet'!C8*'Output-Calculation-sheet'!C98</f>
        <v>0</v>
      </c>
      <c r="D119" s="2">
        <f>D9/'Output-Calculation-sheet'!D8*'Output-Calculation-sheet'!D98</f>
        <v>34034754404.832626</v>
      </c>
      <c r="E119" s="2">
        <f>E9/'Output-Calculation-sheet'!E8*'Output-Calculation-sheet'!E98</f>
        <v>27003117542.698753</v>
      </c>
      <c r="F119" s="2">
        <f>F9/'Output-Calculation-sheet'!F8*'Output-Calculation-sheet'!F98</f>
        <v>17382881141.560608</v>
      </c>
      <c r="G119" s="2">
        <f>G9/'Output-Calculation-sheet'!G8*'Output-Calculation-sheet'!G98</f>
        <v>12213689390.399141</v>
      </c>
      <c r="H119" s="2">
        <f>H9/'Output-Calculation-sheet'!H8*'Output-Calculation-sheet'!H98</f>
        <v>0</v>
      </c>
      <c r="I119" s="2">
        <f>I9/'Output-Calculation-sheet'!I8*'Output-Calculation-sheet'!I98</f>
        <v>11127633298.291185</v>
      </c>
      <c r="J119" s="2">
        <f>J9/'Output-Calculation-sheet'!J8*'Output-Calculation-sheet'!J98</f>
        <v>10830867622.243149</v>
      </c>
      <c r="K119" s="2">
        <f>K9/'Output-Calculation-sheet'!K8*'Output-Calculation-sheet'!K98</f>
        <v>10727033907.837879</v>
      </c>
      <c r="L119" s="2">
        <f>L9/'Output-Calculation-sheet'!L8*'Output-Calculation-sheet'!L98</f>
        <v>8605368094.599247</v>
      </c>
      <c r="M119" s="2">
        <f>M9/'Output-Calculation-sheet'!M8*'Output-Calculation-sheet'!M98</f>
        <v>0</v>
      </c>
      <c r="N119" s="2">
        <f>N9/'Output-Calculation-sheet'!N8*'Output-Calculation-sheet'!N98</f>
        <v>4210934831.4872885</v>
      </c>
      <c r="O119" s="2">
        <f>O9/'Output-Calculation-sheet'!O8*'Output-Calculation-sheet'!O98</f>
        <v>7.5567600410967585E-7</v>
      </c>
      <c r="P119" s="2">
        <f>P9/'Output-Calculation-sheet'!P8*'Output-Calculation-sheet'!P98</f>
        <v>7344188334.4055471</v>
      </c>
      <c r="Q119" s="2">
        <f>Q9/'Output-Calculation-sheet'!Q8*'Output-Calculation-sheet'!Q98</f>
        <v>7225540727.7838707</v>
      </c>
      <c r="R119" s="2">
        <f>R9/'Output-Calculation-sheet'!R8*'Output-Calculation-sheet'!R98</f>
        <v>6951303044.2359076</v>
      </c>
      <c r="S119" s="2">
        <f>S9/'Output-Calculation-sheet'!S8*'Output-Calculation-sheet'!S98</f>
        <v>3454827648.5968027</v>
      </c>
      <c r="T119" s="2">
        <f>T9/'Output-Calculation-sheet'!T8*'Output-Calculation-sheet'!T98</f>
        <v>2555239125.6333928</v>
      </c>
      <c r="U119" s="2">
        <f>U9/'Output-Calculation-sheet'!U8*'Output-Calculation-sheet'!U98</f>
        <v>2225526406.7950234</v>
      </c>
      <c r="V119" s="2">
        <f>V9/'Output-Calculation-sheet'!V8*'Output-Calculation-sheet'!V98</f>
        <v>1713699844.0410216</v>
      </c>
      <c r="W119" s="2">
        <f>W9/'Output-Calculation-sheet'!W8*'Output-Calculation-sheet'!W98</f>
        <v>1483684038.0556006</v>
      </c>
      <c r="X119" s="2">
        <f>X9/'Output-Calculation-sheet'!X8*'Output-Calculation-sheet'!X98</f>
        <v>0</v>
      </c>
      <c r="Y119" s="2">
        <f>Y9/'Output-Calculation-sheet'!Y8*'Output-Calculation-sheet'!Y98</f>
        <v>865720734.47586322</v>
      </c>
      <c r="AA119" s="2">
        <f t="shared" si="10"/>
        <v>243372.63184802499</v>
      </c>
    </row>
    <row r="120" spans="1:27" x14ac:dyDescent="0.25">
      <c r="A120" s="2">
        <v>2033</v>
      </c>
      <c r="B120" s="2">
        <f>B10/'Output-Calculation-sheet'!B9*'Output-Calculation-sheet'!B99</f>
        <v>83283622155.29953</v>
      </c>
      <c r="C120" s="2">
        <f>C10/'Output-Calculation-sheet'!C9*'Output-Calculation-sheet'!C99</f>
        <v>0</v>
      </c>
      <c r="D120" s="2">
        <f>D10/'Output-Calculation-sheet'!D9*'Output-Calculation-sheet'!D99</f>
        <v>43693831260.452812</v>
      </c>
      <c r="E120" s="2">
        <f>E10/'Output-Calculation-sheet'!E9*'Output-Calculation-sheet'!E99</f>
        <v>34666616678.564987</v>
      </c>
      <c r="F120" s="2">
        <f>F10/'Output-Calculation-sheet'!F9*'Output-Calculation-sheet'!F99</f>
        <v>22316145155.489021</v>
      </c>
      <c r="G120" s="2">
        <f>G10/'Output-Calculation-sheet'!G9*'Output-Calculation-sheet'!G99</f>
        <v>15679936036.31963</v>
      </c>
      <c r="H120" s="2">
        <f>H10/'Output-Calculation-sheet'!H9*'Output-Calculation-sheet'!H99</f>
        <v>0</v>
      </c>
      <c r="I120" s="2">
        <f>I10/'Output-Calculation-sheet'!I9*'Output-Calculation-sheet'!I99</f>
        <v>14285657846.473473</v>
      </c>
      <c r="J120" s="2">
        <f>J10/'Output-Calculation-sheet'!J9*'Output-Calculation-sheet'!J99</f>
        <v>13904669988.396389</v>
      </c>
      <c r="K120" s="2">
        <f>K10/'Output-Calculation-sheet'!K9*'Output-Calculation-sheet'!K99</f>
        <v>13771369685.623911</v>
      </c>
      <c r="L120" s="2">
        <f>L10/'Output-Calculation-sheet'!L9*'Output-Calculation-sheet'!L99</f>
        <v>11047573263.184172</v>
      </c>
      <c r="M120" s="2">
        <f>M10/'Output-Calculation-sheet'!M9*'Output-Calculation-sheet'!M99</f>
        <v>0</v>
      </c>
      <c r="N120" s="2">
        <f>N10/'Output-Calculation-sheet'!N9*'Output-Calculation-sheet'!N99</f>
        <v>4139643315.714776</v>
      </c>
      <c r="O120" s="2">
        <f>O10/'Output-Calculation-sheet'!O9*'Output-Calculation-sheet'!O99</f>
        <v>0</v>
      </c>
      <c r="P120" s="2">
        <f>P10/'Output-Calculation-sheet'!P9*'Output-Calculation-sheet'!P99</f>
        <v>9427975564.7950058</v>
      </c>
      <c r="Q120" s="2">
        <f>Q10/'Output-Calculation-sheet'!Q9*'Output-Calculation-sheet'!Q99</f>
        <v>9073735845.0411415</v>
      </c>
      <c r="R120" s="2">
        <f>R10/'Output-Calculation-sheet'!R9*'Output-Calculation-sheet'!R99</f>
        <v>8923660641.386034</v>
      </c>
      <c r="S120" s="2">
        <f>S10/'Output-Calculation-sheet'!S9*'Output-Calculation-sheet'!S99</f>
        <v>3424780349.7720184</v>
      </c>
      <c r="T120" s="2">
        <f>T10/'Output-Calculation-sheet'!T9*'Output-Calculation-sheet'!T99</f>
        <v>3280388280.9910593</v>
      </c>
      <c r="U120" s="2">
        <f>U10/'Output-Calculation-sheet'!U9*'Output-Calculation-sheet'!U99</f>
        <v>2857752208.0406523</v>
      </c>
      <c r="V120" s="2">
        <f>V10/'Output-Calculation-sheet'!V9*'Output-Calculation-sheet'!V99</f>
        <v>2200048312.317173</v>
      </c>
      <c r="W120" s="2">
        <f>W10/'Output-Calculation-sheet'!W9*'Output-Calculation-sheet'!W99</f>
        <v>1904754259.4924417</v>
      </c>
      <c r="X120" s="2">
        <f>X10/'Output-Calculation-sheet'!X9*'Output-Calculation-sheet'!X99</f>
        <v>0</v>
      </c>
      <c r="Y120" s="2">
        <f>Y10/'Output-Calculation-sheet'!Y9*'Output-Calculation-sheet'!Y99</f>
        <v>1111414122.1194501</v>
      </c>
      <c r="AA120" s="2">
        <f t="shared" si="10"/>
        <v>298993.57496947376</v>
      </c>
    </row>
    <row r="121" spans="1:27" x14ac:dyDescent="0.25">
      <c r="A121" s="2">
        <v>2034</v>
      </c>
      <c r="B121" s="2">
        <f>B11/'Output-Calculation-sheet'!B10*'Output-Calculation-sheet'!B100</f>
        <v>75839960196.406387</v>
      </c>
      <c r="C121" s="2">
        <f>C11/'Output-Calculation-sheet'!C10*'Output-Calculation-sheet'!C100</f>
        <v>0</v>
      </c>
      <c r="D121" s="2">
        <f>D11/'Output-Calculation-sheet'!D10*'Output-Calculation-sheet'!D100</f>
        <v>52562521379.36692</v>
      </c>
      <c r="E121" s="2">
        <f>E11/'Output-Calculation-sheet'!E10*'Output-Calculation-sheet'!E100</f>
        <v>40669724546.020515</v>
      </c>
      <c r="F121" s="2">
        <f>F11/'Output-Calculation-sheet'!F10*'Output-Calculation-sheet'!F100</f>
        <v>26845586744.773193</v>
      </c>
      <c r="G121" s="2">
        <f>G11/'Output-Calculation-sheet'!G10*'Output-Calculation-sheet'!G100</f>
        <v>18861521496.359253</v>
      </c>
      <c r="H121" s="2">
        <f>H11/'Output-Calculation-sheet'!H10*'Output-Calculation-sheet'!H100</f>
        <v>2.2707147978254867E-7</v>
      </c>
      <c r="I121" s="2">
        <f>I11/'Output-Calculation-sheet'!I10*'Output-Calculation-sheet'!I100</f>
        <v>17184660015.318726</v>
      </c>
      <c r="J121" s="2">
        <f>J11/'Output-Calculation-sheet'!J10*'Output-Calculation-sheet'!J100</f>
        <v>16726516629.671532</v>
      </c>
      <c r="K121" s="2">
        <f>K11/'Output-Calculation-sheet'!K10*'Output-Calculation-sheet'!K100</f>
        <v>16566599678.431873</v>
      </c>
      <c r="L121" s="2">
        <f>L11/'Output-Calculation-sheet'!L10*'Output-Calculation-sheet'!L100</f>
        <v>12451992587.008736</v>
      </c>
      <c r="M121" s="2">
        <f>M11/'Output-Calculation-sheet'!M10*'Output-Calculation-sheet'!M100</f>
        <v>-1.4746481431585172E-7</v>
      </c>
      <c r="N121" s="2">
        <f>N11/'Output-Calculation-sheet'!N10*'Output-Calculation-sheet'!N100</f>
        <v>3677757217.530148</v>
      </c>
      <c r="O121" s="2">
        <f>O11/'Output-Calculation-sheet'!O10*'Output-Calculation-sheet'!O100</f>
        <v>0</v>
      </c>
      <c r="P121" s="2">
        <f>P11/'Output-Calculation-sheet'!P10*'Output-Calculation-sheet'!P100</f>
        <v>11341137531.079424</v>
      </c>
      <c r="Q121" s="2">
        <f>Q11/'Output-Calculation-sheet'!Q10*'Output-Calculation-sheet'!Q100</f>
        <v>8923507130.1856136</v>
      </c>
      <c r="R121" s="2">
        <f>R11/'Output-Calculation-sheet'!R10*'Output-Calculation-sheet'!R100</f>
        <v>10734463877.189476</v>
      </c>
      <c r="S121" s="2">
        <f>S11/'Output-Calculation-sheet'!S10*'Output-Calculation-sheet'!S100</f>
        <v>2817618702.9282761</v>
      </c>
      <c r="T121" s="2">
        <f>T11/'Output-Calculation-sheet'!T10*'Output-Calculation-sheet'!T100</f>
        <v>3945984428.4656682</v>
      </c>
      <c r="U121" s="2">
        <f>U11/'Output-Calculation-sheet'!U10*'Output-Calculation-sheet'!U100</f>
        <v>3438904879.9564195</v>
      </c>
      <c r="V121" s="2">
        <f>V11/'Output-Calculation-sheet'!V10*'Output-Calculation-sheet'!V100</f>
        <v>2646600224.973567</v>
      </c>
      <c r="W121" s="2">
        <f>W11/'Output-Calculation-sheet'!W10*'Output-Calculation-sheet'!W100</f>
        <v>2291436968.6980534</v>
      </c>
      <c r="X121" s="2">
        <f>X11/'Output-Calculation-sheet'!X10*'Output-Calculation-sheet'!X100</f>
        <v>121706792.87387599</v>
      </c>
      <c r="Y121" s="2">
        <f>Y11/'Output-Calculation-sheet'!Y10*'Output-Calculation-sheet'!Y100</f>
        <v>1281935196.3421149</v>
      </c>
      <c r="AA121" s="2">
        <f t="shared" si="10"/>
        <v>328930.13622357982</v>
      </c>
    </row>
    <row r="122" spans="1:27" x14ac:dyDescent="0.25">
      <c r="A122" s="2">
        <v>2035</v>
      </c>
      <c r="B122" s="2">
        <f>B12/'Output-Calculation-sheet'!B11*'Output-Calculation-sheet'!B101</f>
        <v>68913818113.329147</v>
      </c>
      <c r="C122" s="2">
        <f>C12/'Output-Calculation-sheet'!C11*'Output-Calculation-sheet'!C101</f>
        <v>0</v>
      </c>
      <c r="D122" s="2">
        <f>D12/'Output-Calculation-sheet'!D11*'Output-Calculation-sheet'!D101</f>
        <v>57760308125.445282</v>
      </c>
      <c r="E122" s="2">
        <f>E12/'Output-Calculation-sheet'!E11*'Output-Calculation-sheet'!E101</f>
        <v>38893203747.805916</v>
      </c>
      <c r="F122" s="2">
        <f>F12/'Output-Calculation-sheet'!F11*'Output-Calculation-sheet'!F101</f>
        <v>30107686966.677483</v>
      </c>
      <c r="G122" s="2">
        <f>G12/'Output-Calculation-sheet'!G11*'Output-Calculation-sheet'!G101</f>
        <v>20517131322.006306</v>
      </c>
      <c r="H122" s="2">
        <f>H12/'Output-Calculation-sheet'!H11*'Output-Calculation-sheet'!H101</f>
        <v>0</v>
      </c>
      <c r="I122" s="2">
        <f>I12/'Output-Calculation-sheet'!I11*'Output-Calculation-sheet'!I101</f>
        <v>19211912748.734818</v>
      </c>
      <c r="J122" s="2">
        <f>J12/'Output-Calculation-sheet'!J11*'Output-Calculation-sheet'!J101</f>
        <v>18362113038.305481</v>
      </c>
      <c r="K122" s="2">
        <f>K12/'Output-Calculation-sheet'!K11*'Output-Calculation-sheet'!K101</f>
        <v>18540970386.982269</v>
      </c>
      <c r="L122" s="2">
        <f>L12/'Output-Calculation-sheet'!L11*'Output-Calculation-sheet'!L101</f>
        <v>12339671663.570467</v>
      </c>
      <c r="M122" s="2">
        <f>M12/'Output-Calculation-sheet'!M11*'Output-Calculation-sheet'!M101</f>
        <v>0</v>
      </c>
      <c r="N122" s="2">
        <f>N12/'Output-Calculation-sheet'!N11*'Output-Calculation-sheet'!N101</f>
        <v>3635414697.8868008</v>
      </c>
      <c r="O122" s="2">
        <f>O12/'Output-Calculation-sheet'!O11*'Output-Calculation-sheet'!O101</f>
        <v>0</v>
      </c>
      <c r="P122" s="2">
        <f>P12/'Output-Calculation-sheet'!P11*'Output-Calculation-sheet'!P101</f>
        <v>12167763794.184017</v>
      </c>
      <c r="Q122" s="2">
        <f>Q12/'Output-Calculation-sheet'!Q11*'Output-Calculation-sheet'!Q101</f>
        <v>7925302547.0575504</v>
      </c>
      <c r="R122" s="2">
        <f>R12/'Output-Calculation-sheet'!R11*'Output-Calculation-sheet'!R101</f>
        <v>12004204749.020189</v>
      </c>
      <c r="S122" s="2">
        <f>S12/'Output-Calculation-sheet'!S11*'Output-Calculation-sheet'!S101</f>
        <v>2524151913.1169052</v>
      </c>
      <c r="T122" s="2">
        <f>T12/'Output-Calculation-sheet'!T11*'Output-Calculation-sheet'!T101</f>
        <v>4447561352.8058453</v>
      </c>
      <c r="U122" s="2">
        <f>U12/'Output-Calculation-sheet'!U11*'Output-Calculation-sheet'!U101</f>
        <v>3643964573.4710135</v>
      </c>
      <c r="V122" s="2">
        <f>V12/'Output-Calculation-sheet'!V11*'Output-Calculation-sheet'!V101</f>
        <v>2999843587.3787947</v>
      </c>
      <c r="W122" s="2">
        <f>W12/'Output-Calculation-sheet'!W11*'Output-Calculation-sheet'!W101</f>
        <v>2587213814.8093238</v>
      </c>
      <c r="X122" s="2">
        <f>X12/'Output-Calculation-sheet'!X11*'Output-Calculation-sheet'!X101</f>
        <v>125045291.13969438</v>
      </c>
      <c r="Y122" s="2">
        <f>Y12/'Output-Calculation-sheet'!Y11*'Output-Calculation-sheet'!Y101</f>
        <v>1167869233.7650063</v>
      </c>
      <c r="AA122" s="2">
        <f t="shared" si="10"/>
        <v>337875.15166749229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57718650811.08049</v>
      </c>
      <c r="C129" s="2">
        <f>C8/'Output-Calculation-sheet'!C7*'Output-Calculation-sheet'!C106</f>
        <v>27199938017.560589</v>
      </c>
      <c r="D129" s="2">
        <f>D8/'Output-Calculation-sheet'!D7*'Output-Calculation-sheet'!D106</f>
        <v>24242497986.736919</v>
      </c>
      <c r="E129" s="2">
        <f>E8/'Output-Calculation-sheet'!E7*'Output-Calculation-sheet'!E106</f>
        <v>19233962101.393204</v>
      </c>
      <c r="F129" s="2">
        <f>F8/'Output-Calculation-sheet'!F7*'Output-Calculation-sheet'!F106</f>
        <v>12381591608.715164</v>
      </c>
      <c r="G129" s="2">
        <f>G8/'Output-Calculation-sheet'!G7*'Output-Calculation-sheet'!G106</f>
        <v>8699646067.8932743</v>
      </c>
      <c r="H129" s="2">
        <f>H8/'Output-Calculation-sheet'!H7*'Output-Calculation-sheet'!H106</f>
        <v>8486170787.8016148</v>
      </c>
      <c r="I129" s="2">
        <f>I8/'Output-Calculation-sheet'!I7*'Output-Calculation-sheet'!I106</f>
        <v>7926062379.6403561</v>
      </c>
      <c r="J129" s="2">
        <f>J8/'Output-Calculation-sheet'!J7*'Output-Calculation-sheet'!J106</f>
        <v>7714683206.4269037</v>
      </c>
      <c r="K129" s="2">
        <f>K8/'Output-Calculation-sheet'!K7*'Output-Calculation-sheet'!K106</f>
        <v>7640722631.6188087</v>
      </c>
      <c r="L129" s="2">
        <f>L8/'Output-Calculation-sheet'!L7*'Output-Calculation-sheet'!L106</f>
        <v>6129487045.6549053</v>
      </c>
      <c r="M129" s="2">
        <f>M8/'Output-Calculation-sheet'!M7*'Output-Calculation-sheet'!M106</f>
        <v>5854718077.7610216</v>
      </c>
      <c r="N129" s="2">
        <f>N8/'Output-Calculation-sheet'!N7*'Output-Calculation-sheet'!N106</f>
        <v>5746389997.7939186</v>
      </c>
      <c r="O129" s="2">
        <f>O8/'Output-Calculation-sheet'!O7*'Output-Calculation-sheet'!O106</f>
        <v>5284970538.7347984</v>
      </c>
      <c r="P129" s="2">
        <f>P8/'Output-Calculation-sheet'!P7*'Output-Calculation-sheet'!P106</f>
        <v>5231201170.5626392</v>
      </c>
      <c r="Q129" s="2">
        <f>Q8/'Output-Calculation-sheet'!Q7*'Output-Calculation-sheet'!Q106</f>
        <v>5146655529.6699247</v>
      </c>
      <c r="R129" s="2">
        <f>R8/'Output-Calculation-sheet'!R7*'Output-Calculation-sheet'!R106</f>
        <v>4951319315.6461039</v>
      </c>
      <c r="S129" s="2">
        <f>S8/'Output-Calculation-sheet'!S7*'Output-Calculation-sheet'!S106</f>
        <v>3290900461.7864761</v>
      </c>
      <c r="T129" s="2">
        <f>T8/'Output-Calculation-sheet'!T7*'Output-Calculation-sheet'!T106</f>
        <v>1820062761.0451365</v>
      </c>
      <c r="U129" s="2">
        <f>U8/'Output-Calculation-sheet'!U7*'Output-Calculation-sheet'!U106</f>
        <v>1585212164.6808157</v>
      </c>
      <c r="V129" s="2">
        <f>V8/'Output-Calculation-sheet'!V7*'Output-Calculation-sheet'!V106</f>
        <v>1220645550.7140007</v>
      </c>
      <c r="W129" s="2">
        <f>W8/'Output-Calculation-sheet'!W7*'Output-Calculation-sheet'!W106</f>
        <v>1056808109.4635476</v>
      </c>
      <c r="X129" s="2">
        <f>X8/'Output-Calculation-sheet'!X7*'Output-Calculation-sheet'!X106</f>
        <v>634084990.37122941</v>
      </c>
      <c r="Y129" s="2">
        <f>Y8/'Output-Calculation-sheet'!Y7*'Output-Calculation-sheet'!Y106</f>
        <v>616641432.21462107</v>
      </c>
      <c r="AA129" s="2">
        <f t="shared" si="11"/>
        <v>229813.0227449665</v>
      </c>
    </row>
    <row r="130" spans="1:27" x14ac:dyDescent="0.25">
      <c r="A130" s="2">
        <v>2032</v>
      </c>
      <c r="B130" s="2">
        <f>B9/'Output-Calculation-sheet'!B8*'Output-Calculation-sheet'!B107</f>
        <v>48619747225.48674</v>
      </c>
      <c r="C130" s="2">
        <f>C9/'Output-Calculation-sheet'!C8*'Output-Calculation-sheet'!C107</f>
        <v>22912066958.505882</v>
      </c>
      <c r="D130" s="2">
        <f>D9/'Output-Calculation-sheet'!D8*'Output-Calculation-sheet'!D107</f>
        <v>20420848386.092979</v>
      </c>
      <c r="E130" s="2">
        <f>E9/'Output-Calculation-sheet'!E8*'Output-Calculation-sheet'!E107</f>
        <v>16201868834.106344</v>
      </c>
      <c r="F130" s="2">
        <f>F9/'Output-Calculation-sheet'!F8*'Output-Calculation-sheet'!F107</f>
        <v>10429729748.78199</v>
      </c>
      <c r="G130" s="2">
        <f>G9/'Output-Calculation-sheet'!G8*'Output-Calculation-sheet'!G107</f>
        <v>7328214397.7434778</v>
      </c>
      <c r="H130" s="2">
        <f>H9/'Output-Calculation-sheet'!H8*'Output-Calculation-sheet'!H107</f>
        <v>7148389976.4987116</v>
      </c>
      <c r="I130" s="2">
        <f>I9/'Output-Calculation-sheet'!I8*'Output-Calculation-sheet'!I107</f>
        <v>6676579292.2484541</v>
      </c>
      <c r="J130" s="2">
        <f>J9/'Output-Calculation-sheet'!J8*'Output-Calculation-sheet'!J107</f>
        <v>6498519893.7123585</v>
      </c>
      <c r="K130" s="2">
        <f>K9/'Output-Calculation-sheet'!K8*'Output-Calculation-sheet'!K107</f>
        <v>6436220344.7027273</v>
      </c>
      <c r="L130" s="2">
        <f>L9/'Output-Calculation-sheet'!L8*'Output-Calculation-sheet'!L107</f>
        <v>5163220320.0765696</v>
      </c>
      <c r="M130" s="2">
        <f>M9/'Output-Calculation-sheet'!M8*'Output-Calculation-sheet'!M107</f>
        <v>4931767208.8106499</v>
      </c>
      <c r="N130" s="2">
        <f>N9/'Output-Calculation-sheet'!N8*'Output-Calculation-sheet'!N107</f>
        <v>4840513085.3870029</v>
      </c>
      <c r="O130" s="2">
        <f>O9/'Output-Calculation-sheet'!O8*'Output-Calculation-sheet'!O107</f>
        <v>4451835382.6903181</v>
      </c>
      <c r="P130" s="2">
        <f>P9/'Output-Calculation-sheet'!P8*'Output-Calculation-sheet'!P107</f>
        <v>4406541188.710494</v>
      </c>
      <c r="Q130" s="2">
        <f>Q9/'Output-Calculation-sheet'!Q8*'Output-Calculation-sheet'!Q107</f>
        <v>4335325751.435298</v>
      </c>
      <c r="R130" s="2">
        <f>R9/'Output-Calculation-sheet'!R8*'Output-Calculation-sheet'!R107</f>
        <v>4170782261.1530867</v>
      </c>
      <c r="S130" s="2">
        <f>S9/'Output-Calculation-sheet'!S8*'Output-Calculation-sheet'!S107</f>
        <v>2772115186.521811</v>
      </c>
      <c r="T130" s="2">
        <f>T9/'Output-Calculation-sheet'!T8*'Output-Calculation-sheet'!T107</f>
        <v>1533143796.9620366</v>
      </c>
      <c r="U130" s="2">
        <f>U9/'Output-Calculation-sheet'!U8*'Output-Calculation-sheet'!U107</f>
        <v>1335315424.586653</v>
      </c>
      <c r="V130" s="2">
        <f>V9/'Output-Calculation-sheet'!V8*'Output-Calculation-sheet'!V107</f>
        <v>1028219582.959499</v>
      </c>
      <c r="W130" s="2">
        <f>W9/'Output-Calculation-sheet'!W8*'Output-Calculation-sheet'!W107</f>
        <v>890210516.19884825</v>
      </c>
      <c r="X130" s="2">
        <f>X9/'Output-Calculation-sheet'!X8*'Output-Calculation-sheet'!X107</f>
        <v>534126204.91744864</v>
      </c>
      <c r="Y130" s="2">
        <f>Y9/'Output-Calculation-sheet'!Y8*'Output-Calculation-sheet'!Y107</f>
        <v>519432494.56428111</v>
      </c>
      <c r="AA130" s="2">
        <f t="shared" si="11"/>
        <v>193584.73346285365</v>
      </c>
    </row>
    <row r="131" spans="1:27" x14ac:dyDescent="0.25">
      <c r="A131" s="2">
        <v>2033</v>
      </c>
      <c r="B131" s="2">
        <f>B10/'Output-Calculation-sheet'!B9*'Output-Calculation-sheet'!B108</f>
        <v>34676702137.488564</v>
      </c>
      <c r="C131" s="2">
        <f>C10/'Output-Calculation-sheet'!C9*'Output-Calculation-sheet'!C108</f>
        <v>16341403814.162642</v>
      </c>
      <c r="D131" s="2">
        <f>D10/'Output-Calculation-sheet'!D9*'Output-Calculation-sheet'!D108</f>
        <v>14564614215.213243</v>
      </c>
      <c r="E131" s="2">
        <f>E10/'Output-Calculation-sheet'!E9*'Output-Calculation-sheet'!E108</f>
        <v>11555538892.854996</v>
      </c>
      <c r="F131" s="2">
        <f>F10/'Output-Calculation-sheet'!F9*'Output-Calculation-sheet'!F108</f>
        <v>7438715051.8296738</v>
      </c>
      <c r="G131" s="2">
        <f>G10/'Output-Calculation-sheet'!G9*'Output-Calculation-sheet'!G108</f>
        <v>5226645345.4398766</v>
      </c>
      <c r="H131" s="2">
        <f>H10/'Output-Calculation-sheet'!H9*'Output-Calculation-sheet'!H108</f>
        <v>5098391900.3744106</v>
      </c>
      <c r="I131" s="2">
        <f>I10/'Output-Calculation-sheet'!I9*'Output-Calculation-sheet'!I108</f>
        <v>4761887173.2958746</v>
      </c>
      <c r="J131" s="2">
        <f>J10/'Output-Calculation-sheet'!J9*'Output-Calculation-sheet'!J108</f>
        <v>4634891207.9567852</v>
      </c>
      <c r="K131" s="2">
        <f>K10/'Output-Calculation-sheet'!K9*'Output-Calculation-sheet'!K108</f>
        <v>4590456561.8746367</v>
      </c>
      <c r="L131" s="2">
        <f>L10/'Output-Calculation-sheet'!L9*'Output-Calculation-sheet'!L108</f>
        <v>3682525377.9972053</v>
      </c>
      <c r="M131" s="2">
        <f>M10/'Output-Calculation-sheet'!M9*'Output-Calculation-sheet'!M108</f>
        <v>3517445968.6269321</v>
      </c>
      <c r="N131" s="2">
        <f>N10/'Output-Calculation-sheet'!N9*'Output-Calculation-sheet'!N108</f>
        <v>3452362390.5982194</v>
      </c>
      <c r="O131" s="2">
        <f>O10/'Output-Calculation-sheet'!O9*'Output-Calculation-sheet'!O108</f>
        <v>3815715126.3238988</v>
      </c>
      <c r="P131" s="2">
        <f>P10/'Output-Calculation-sheet'!P9*'Output-Calculation-sheet'!P108</f>
        <v>3142845558.0724463</v>
      </c>
      <c r="Q131" s="2">
        <f>Q10/'Output-Calculation-sheet'!Q9*'Output-Calculation-sheet'!Q108</f>
        <v>3092051464.6332283</v>
      </c>
      <c r="R131" s="2">
        <f>R10/'Output-Calculation-sheet'!R9*'Output-Calculation-sheet'!R108</f>
        <v>2974694585.6126218</v>
      </c>
      <c r="S131" s="2">
        <f>S10/'Output-Calculation-sheet'!S9*'Output-Calculation-sheet'!S108</f>
        <v>1977135175.1988878</v>
      </c>
      <c r="T131" s="2">
        <f>T10/'Output-Calculation-sheet'!T9*'Output-Calculation-sheet'!T108</f>
        <v>1093471934.709892</v>
      </c>
      <c r="U131" s="2">
        <f>U10/'Output-Calculation-sheet'!U9*'Output-Calculation-sheet'!U108</f>
        <v>952376880.32405818</v>
      </c>
      <c r="V131" s="2">
        <f>V10/'Output-Calculation-sheet'!V9*'Output-Calculation-sheet'!V108</f>
        <v>733349245.1869185</v>
      </c>
      <c r="W131" s="2">
        <f>W10/'Output-Calculation-sheet'!W9*'Output-Calculation-sheet'!W108</f>
        <v>634917920.02158582</v>
      </c>
      <c r="X131" s="2">
        <f>X10/'Output-Calculation-sheet'!X9*'Output-Calculation-sheet'!X108</f>
        <v>380950677.60015136</v>
      </c>
      <c r="Y131" s="2">
        <f>Y10/'Output-Calculation-sheet'!Y9*'Output-Calculation-sheet'!Y108</f>
        <v>370470797.62669951</v>
      </c>
      <c r="AA131" s="2">
        <f t="shared" si="11"/>
        <v>138709.55940302348</v>
      </c>
    </row>
    <row r="132" spans="1:27" x14ac:dyDescent="0.25">
      <c r="A132" s="2">
        <v>2034</v>
      </c>
      <c r="B132" s="2">
        <f>B11/'Output-Calculation-sheet'!B10*'Output-Calculation-sheet'!B109</f>
        <v>17877920862.181419</v>
      </c>
      <c r="C132" s="2">
        <f>C11/'Output-Calculation-sheet'!C10*'Output-Calculation-sheet'!C109</f>
        <v>16264828676.939312</v>
      </c>
      <c r="D132" s="2">
        <f>D11/'Output-Calculation-sheet'!D10*'Output-Calculation-sheet'!D109</f>
        <v>7508932631.8665142</v>
      </c>
      <c r="E132" s="2">
        <f>E11/'Output-Calculation-sheet'!E10*'Output-Calculation-sheet'!E109</f>
        <v>5957575595.2376795</v>
      </c>
      <c r="F132" s="2">
        <f>F11/'Output-Calculation-sheet'!F10*'Output-Calculation-sheet'!F109</f>
        <v>3835105196.1851387</v>
      </c>
      <c r="G132" s="2">
        <f>G11/'Output-Calculation-sheet'!G10*'Output-Calculation-sheet'!G109</f>
        <v>2694650583.5819316</v>
      </c>
      <c r="H132" s="2">
        <f>H11/'Output-Calculation-sheet'!H10*'Output-Calculation-sheet'!H109</f>
        <v>2628527794.5288119</v>
      </c>
      <c r="I132" s="2">
        <f>I11/'Output-Calculation-sheet'!I10*'Output-Calculation-sheet'!I109</f>
        <v>2455038602.7074084</v>
      </c>
      <c r="J132" s="2">
        <f>J11/'Output-Calculation-sheet'!J10*'Output-Calculation-sheet'!J109</f>
        <v>2389564923.9220071</v>
      </c>
      <c r="K132" s="2">
        <f>K11/'Output-Calculation-sheet'!K10*'Output-Calculation-sheet'!K109</f>
        <v>2366656937.3726511</v>
      </c>
      <c r="L132" s="2">
        <f>L11/'Output-Calculation-sheet'!L10*'Output-Calculation-sheet'!L109</f>
        <v>1898563113.6384585</v>
      </c>
      <c r="M132" s="2">
        <f>M11/'Output-Calculation-sheet'!M10*'Output-Calculation-sheet'!M109</f>
        <v>1813455041.3063054</v>
      </c>
      <c r="N132" s="2">
        <f>N11/'Output-Calculation-sheet'!N10*'Output-Calculation-sheet'!N109</f>
        <v>1779901092.5480864</v>
      </c>
      <c r="O132" s="2">
        <f>O11/'Output-Calculation-sheet'!O10*'Output-Calculation-sheet'!O109</f>
        <v>3662853234.5869699</v>
      </c>
      <c r="P132" s="2">
        <f>P11/'Output-Calculation-sheet'!P10*'Output-Calculation-sheet'!P109</f>
        <v>1620325480.2303541</v>
      </c>
      <c r="Q132" s="2">
        <f>Q11/'Output-Calculation-sheet'!Q10*'Output-Calculation-sheet'!Q109</f>
        <v>1594138336.814353</v>
      </c>
      <c r="R132" s="2">
        <f>R11/'Output-Calculation-sheet'!R10*'Output-Calculation-sheet'!R109</f>
        <v>1533634285.765393</v>
      </c>
      <c r="S132" s="2">
        <f>S11/'Output-Calculation-sheet'!S10*'Output-Calculation-sheet'!S109</f>
        <v>1019331988.7488192</v>
      </c>
      <c r="T132" s="2">
        <f>T11/'Output-Calculation-sheet'!T10*'Output-Calculation-sheet'!T109</f>
        <v>563750753.84608173</v>
      </c>
      <c r="U132" s="2">
        <f>U11/'Output-Calculation-sheet'!U10*'Output-Calculation-sheet'!U109</f>
        <v>491007663.38286084</v>
      </c>
      <c r="V132" s="2">
        <f>V11/'Output-Calculation-sheet'!V10*'Output-Calculation-sheet'!V109</f>
        <v>378085720.93742645</v>
      </c>
      <c r="W132" s="2">
        <f>W11/'Output-Calculation-sheet'!W10*'Output-Calculation-sheet'!W109</f>
        <v>327338442.23518997</v>
      </c>
      <c r="X132" s="2">
        <f>X11/'Output-Calculation-sheet'!X10*'Output-Calculation-sheet'!X109</f>
        <v>196403057.66825888</v>
      </c>
      <c r="Y132" s="2">
        <f>Y11/'Output-Calculation-sheet'!Y10*'Output-Calculation-sheet'!Y109</f>
        <v>191000046.81380135</v>
      </c>
      <c r="AA132" s="2">
        <f t="shared" si="11"/>
        <v>81048.590063045209</v>
      </c>
    </row>
    <row r="133" spans="1:27" x14ac:dyDescent="0.25">
      <c r="A133" s="2">
        <v>2035</v>
      </c>
      <c r="B133" s="2">
        <f>B12/'Output-Calculation-sheet'!B11*'Output-Calculation-sheet'!B110</f>
        <v>7843516697.2340107</v>
      </c>
      <c r="C133" s="2">
        <f>C12/'Output-Calculation-sheet'!C11*'Output-Calculation-sheet'!C110</f>
        <v>15063349082.858126</v>
      </c>
      <c r="D133" s="2">
        <f>D12/'Output-Calculation-sheet'!D11*'Output-Calculation-sheet'!D110</f>
        <v>3893472238.7303162</v>
      </c>
      <c r="E133" s="2">
        <f>E12/'Output-Calculation-sheet'!E11*'Output-Calculation-sheet'!E110</f>
        <v>1978368494.3192847</v>
      </c>
      <c r="F133" s="2">
        <f>F12/'Output-Calculation-sheet'!F11*'Output-Calculation-sheet'!F110</f>
        <v>1339225981.9893575</v>
      </c>
      <c r="G133" s="2">
        <f>G12/'Output-Calculation-sheet'!G11*'Output-Calculation-sheet'!G110</f>
        <v>1692343453.0256276</v>
      </c>
      <c r="H133" s="2">
        <f>H12/'Output-Calculation-sheet'!H11*'Output-Calculation-sheet'!H110</f>
        <v>1996383925.095819</v>
      </c>
      <c r="I133" s="2">
        <f>I12/'Output-Calculation-sheet'!I11*'Output-Calculation-sheet'!I110</f>
        <v>935226683.31464398</v>
      </c>
      <c r="J133" s="2">
        <f>J12/'Output-Calculation-sheet'!J11*'Output-Calculation-sheet'!J110</f>
        <v>1131541812.3998845</v>
      </c>
      <c r="K133" s="2">
        <f>K12/'Output-Calculation-sheet'!K11*'Output-Calculation-sheet'!K110</f>
        <v>858008104.56960452</v>
      </c>
      <c r="L133" s="2">
        <f>L12/'Output-Calculation-sheet'!L11*'Output-Calculation-sheet'!L110</f>
        <v>551380317.99187386</v>
      </c>
      <c r="M133" s="2">
        <f>M12/'Output-Calculation-sheet'!M11*'Output-Calculation-sheet'!M110</f>
        <v>1241730711.6695895</v>
      </c>
      <c r="N133" s="2">
        <f>N12/'Output-Calculation-sheet'!N11*'Output-Calculation-sheet'!N110</f>
        <v>1033165338.4124042</v>
      </c>
      <c r="O133" s="2">
        <f>O12/'Output-Calculation-sheet'!O11*'Output-Calculation-sheet'!O110</f>
        <v>3648794749.5727797</v>
      </c>
      <c r="P133" s="2">
        <f>P12/'Output-Calculation-sheet'!P11*'Output-Calculation-sheet'!P110</f>
        <v>721830292.70164955</v>
      </c>
      <c r="Q133" s="2">
        <f>Q12/'Output-Calculation-sheet'!Q11*'Output-Calculation-sheet'!Q110</f>
        <v>899085119.14934707</v>
      </c>
      <c r="R133" s="2">
        <f>R12/'Output-Calculation-sheet'!R11*'Output-Calculation-sheet'!R110</f>
        <v>565779520.57603705</v>
      </c>
      <c r="S133" s="2">
        <f>S12/'Output-Calculation-sheet'!S11*'Output-Calculation-sheet'!S110</f>
        <v>543987938.17687142</v>
      </c>
      <c r="T133" s="2">
        <f>T12/'Output-Calculation-sheet'!T11*'Output-Calculation-sheet'!T110</f>
        <v>147170991.3638463</v>
      </c>
      <c r="U133" s="2">
        <f>U12/'Output-Calculation-sheet'!U11*'Output-Calculation-sheet'!U110</f>
        <v>239235994.31479484</v>
      </c>
      <c r="V133" s="2">
        <f>V12/'Output-Calculation-sheet'!V11*'Output-Calculation-sheet'!V110</f>
        <v>60371060.257524796</v>
      </c>
      <c r="W133" s="2">
        <f>W12/'Output-Calculation-sheet'!W11*'Output-Calculation-sheet'!W110</f>
        <v>98425650.888557181</v>
      </c>
      <c r="X133" s="2">
        <f>X12/'Output-Calculation-sheet'!X11*'Output-Calculation-sheet'!X110</f>
        <v>172369690.40903172</v>
      </c>
      <c r="Y133" s="2">
        <f>Y12/'Output-Calculation-sheet'!Y11*'Output-Calculation-sheet'!Y110</f>
        <v>90573289.346090659</v>
      </c>
      <c r="AA133" s="2">
        <f t="shared" si="11"/>
        <v>46745.337138367075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1286.9931981545024</v>
      </c>
      <c r="C19" s="2">
        <f>C8/'Output-Calculation-sheet'!C7*'Output-Calculation-sheet'!C25</f>
        <v>19401.621243170488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5775.3422444418502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4012.2143426768166</v>
      </c>
      <c r="N19" s="2">
        <f>N8/'Output-Calculation-sheet'!N7*'Output-Calculation-sheet'!N25</f>
        <v>1373.6345119500234</v>
      </c>
      <c r="O19" s="2">
        <f>O8/'Output-Calculation-sheet'!O7*'Output-Calculation-sheet'!O25</f>
        <v>3752.1889116827856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490.13447830018333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448.28484938748653</v>
      </c>
      <c r="Y19" s="2">
        <f>Y8/'Output-Calculation-sheet'!Y7*'Output-Calculation-sheet'!Y25</f>
        <v>0</v>
      </c>
      <c r="AA19" s="2">
        <f t="shared" si="0"/>
        <v>36.54041377976413</v>
      </c>
    </row>
    <row r="20" spans="1:27" x14ac:dyDescent="0.25">
      <c r="A20" s="2">
        <v>2032</v>
      </c>
      <c r="B20" s="2">
        <f>B9/'Output-Calculation-sheet'!B8*'Output-Calculation-sheet'!B26</f>
        <v>7509.4264849270749</v>
      </c>
      <c r="C20" s="2">
        <f>C9/'Output-Calculation-sheet'!C8*'Output-Calculation-sheet'!C26</f>
        <v>27500.584722648156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8170.0284411708662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5677.2326539963242</v>
      </c>
      <c r="N20" s="2">
        <f>N9/'Output-Calculation-sheet'!N8*'Output-Calculation-sheet'!N26</f>
        <v>2556.1460371214916</v>
      </c>
      <c r="O20" s="2">
        <f>O9/'Output-Calculation-sheet'!O8*'Output-Calculation-sheet'!O26</f>
        <v>5358.3690864105138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931.05352648098267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635.05766418719952</v>
      </c>
      <c r="Y20" s="2">
        <f>Y9/'Output-Calculation-sheet'!Y8*'Output-Calculation-sheet'!Y26</f>
        <v>0</v>
      </c>
      <c r="AA20" s="2">
        <f t="shared" si="0"/>
        <v>58.33789861694261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41446.280192526385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10611.144460428977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7370.3209721154917</v>
      </c>
      <c r="N21" s="2">
        <f>N10/'Output-Calculation-sheet'!N9*'Output-Calculation-sheet'!N27</f>
        <v>4032.7373111398283</v>
      </c>
      <c r="O21" s="2">
        <f>O10/'Output-Calculation-sheet'!O9*'Output-Calculation-sheet'!O27</f>
        <v>7041.2144714333663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1754.992525492466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866.64751205719665</v>
      </c>
      <c r="Y21" s="2">
        <f>Y10/'Output-Calculation-sheet'!Y9*'Output-Calculation-sheet'!Y27</f>
        <v>0</v>
      </c>
      <c r="AA21" s="2">
        <f t="shared" si="0"/>
        <v>91.752249447310476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44471.082902827395</v>
      </c>
      <c r="D22" s="2">
        <f>D11/'Output-Calculation-sheet'!D10*'Output-Calculation-sheet'!D28</f>
        <v>0</v>
      </c>
      <c r="E22" s="2">
        <f>E11/'Output-Calculation-sheet'!E10*'Output-Calculation-sheet'!E28</f>
        <v>1886.6192039670154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14664.996322567511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1112.7122726022558</v>
      </c>
      <c r="M22" s="2">
        <f>M11/'Output-Calculation-sheet'!M10*'Output-Calculation-sheet'!M28</f>
        <v>10107.817478399393</v>
      </c>
      <c r="N22" s="2">
        <f>N11/'Output-Calculation-sheet'!N10*'Output-Calculation-sheet'!N28</f>
        <v>5817.1052626327046</v>
      </c>
      <c r="O22" s="2">
        <f>O11/'Output-Calculation-sheet'!O10*'Output-Calculation-sheet'!O28</f>
        <v>7831.3966838985816</v>
      </c>
      <c r="P22" s="2">
        <f>P11/'Output-Calculation-sheet'!P10*'Output-Calculation-sheet'!P28</f>
        <v>0</v>
      </c>
      <c r="Q22" s="2">
        <f>Q11/'Output-Calculation-sheet'!Q10*'Output-Calculation-sheet'!Q28</f>
        <v>2181.7195331045136</v>
      </c>
      <c r="R22" s="2">
        <f>R11/'Output-Calculation-sheet'!R10*'Output-Calculation-sheet'!R28</f>
        <v>0</v>
      </c>
      <c r="S22" s="2">
        <f>S11/'Output-Calculation-sheet'!S10*'Output-Calculation-sheet'!S28</f>
        <v>2950.0988702816903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1035.3528505543225</v>
      </c>
      <c r="Y22" s="2">
        <f>Y11/'Output-Calculation-sheet'!Y10*'Output-Calculation-sheet'!Y28</f>
        <v>101.58414522787777</v>
      </c>
      <c r="AA22" s="2">
        <f t="shared" si="0"/>
        <v>128.67823080499369</v>
      </c>
    </row>
    <row r="23" spans="1:27" x14ac:dyDescent="0.25">
      <c r="A23" s="2">
        <v>2035</v>
      </c>
      <c r="B23" s="2">
        <f>B12/'Output-Calculation-sheet'!B11*'Output-Calculation-sheet'!B29</f>
        <v>52070.895071143328</v>
      </c>
      <c r="C23" s="2">
        <f>C12/'Output-Calculation-sheet'!C11*'Output-Calculation-sheet'!C29</f>
        <v>48553.294323563343</v>
      </c>
      <c r="D23" s="2">
        <f>D12/'Output-Calculation-sheet'!D11*'Output-Calculation-sheet'!D29</f>
        <v>0</v>
      </c>
      <c r="E23" s="2">
        <f>E12/'Output-Calculation-sheet'!E11*'Output-Calculation-sheet'!E29</f>
        <v>9564.8008262827789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16710.375634371885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2773.2719434568999</v>
      </c>
      <c r="M23" s="2">
        <f>M12/'Output-Calculation-sheet'!M11*'Output-Calculation-sheet'!M29</f>
        <v>11877.290517657118</v>
      </c>
      <c r="N23" s="2">
        <f>N12/'Output-Calculation-sheet'!N11*'Output-Calculation-sheet'!N29</f>
        <v>6898.198167546213</v>
      </c>
      <c r="O23" s="2">
        <f>O12/'Output-Calculation-sheet'!O11*'Output-Calculation-sheet'!O29</f>
        <v>8027.0154087778619</v>
      </c>
      <c r="P23" s="2">
        <f>P12/'Output-Calculation-sheet'!P11*'Output-Calculation-sheet'!P29</f>
        <v>1109.5630423544333</v>
      </c>
      <c r="Q23" s="2">
        <f>Q12/'Output-Calculation-sheet'!Q11*'Output-Calculation-sheet'!Q29</f>
        <v>3532.1421549015104</v>
      </c>
      <c r="R23" s="2">
        <f>R12/'Output-Calculation-sheet'!R11*'Output-Calculation-sheet'!R29</f>
        <v>0</v>
      </c>
      <c r="S23" s="2">
        <f>S12/'Output-Calculation-sheet'!S11*'Output-Calculation-sheet'!S29</f>
        <v>3814.9750505817683</v>
      </c>
      <c r="T23" s="2">
        <f>T12/'Output-Calculation-sheet'!T11*'Output-Calculation-sheet'!T29</f>
        <v>0</v>
      </c>
      <c r="U23" s="2">
        <f>U12/'Output-Calculation-sheet'!U11*'Output-Calculation-sheet'!U29</f>
        <v>411.67436922140996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1134.7881075260088</v>
      </c>
      <c r="Y23" s="2">
        <f>Y12/'Output-Calculation-sheet'!Y11*'Output-Calculation-sheet'!Y29</f>
        <v>350.14143034965383</v>
      </c>
      <c r="AA23" s="2">
        <f t="shared" si="0"/>
        <v>166.82842604773421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22431.873368781777</v>
      </c>
      <c r="C30" s="2">
        <f>C8/'Output-Calculation-sheet'!C7*'Output-Calculation-sheet'!C16</f>
        <v>0</v>
      </c>
      <c r="D30" s="2">
        <f>D8/'Output-Calculation-sheet'!D7*'Output-Calculation-sheet'!D16</f>
        <v>3777.2309336745325</v>
      </c>
      <c r="E30" s="2">
        <f>E8/'Output-Calculation-sheet'!E7*'Output-Calculation-sheet'!E16</f>
        <v>4064.0870791769262</v>
      </c>
      <c r="F30" s="2">
        <f>F8/'Output-Calculation-sheet'!F7*'Output-Calculation-sheet'!F16</f>
        <v>2050.3535575582846</v>
      </c>
      <c r="G30" s="2">
        <f>G8/'Output-Calculation-sheet'!G7*'Output-Calculation-sheet'!G16</f>
        <v>1342.7380563963677</v>
      </c>
      <c r="H30" s="2">
        <f>H8/'Output-Calculation-sheet'!H7*'Output-Calculation-sheet'!H16</f>
        <v>0</v>
      </c>
      <c r="I30" s="2">
        <f>I8/'Output-Calculation-sheet'!I7*'Output-Calculation-sheet'!I16</f>
        <v>1308.9685550601573</v>
      </c>
      <c r="J30" s="2">
        <f>J8/'Output-Calculation-sheet'!J7*'Output-Calculation-sheet'!J16</f>
        <v>1165.2337074643019</v>
      </c>
      <c r="K30" s="2">
        <f>K8/'Output-Calculation-sheet'!K7*'Output-Calculation-sheet'!K16</f>
        <v>1555.8097220123432</v>
      </c>
      <c r="L30" s="2">
        <f>L8/'Output-Calculation-sheet'!L7*'Output-Calculation-sheet'!L16</f>
        <v>1314.1534010648643</v>
      </c>
      <c r="M30" s="2">
        <f>M8/'Output-Calculation-sheet'!M7*'Output-Calculation-sheet'!M16</f>
        <v>0</v>
      </c>
      <c r="N30" s="2">
        <f>N8/'Output-Calculation-sheet'!N7*'Output-Calculation-sheet'!N16</f>
        <v>1866.6441904022327</v>
      </c>
      <c r="O30" s="2">
        <f>O8/'Output-Calculation-sheet'!O7*'Output-Calculation-sheet'!O16</f>
        <v>0</v>
      </c>
      <c r="P30" s="2">
        <f>P8/'Output-Calculation-sheet'!P7*'Output-Calculation-sheet'!P16</f>
        <v>1677.6785488463913</v>
      </c>
      <c r="Q30" s="2">
        <f>Q8/'Output-Calculation-sheet'!Q7*'Output-Calculation-sheet'!Q16</f>
        <v>1844.8923338904979</v>
      </c>
      <c r="R30" s="2">
        <f>R8/'Output-Calculation-sheet'!R7*'Output-Calculation-sheet'!R16</f>
        <v>1170.5922044643</v>
      </c>
      <c r="S30" s="2">
        <f>S8/'Output-Calculation-sheet'!S7*'Output-Calculation-sheet'!S16</f>
        <v>1177.2725018713925</v>
      </c>
      <c r="T30" s="2">
        <f>T8/'Output-Calculation-sheet'!T7*'Output-Calculation-sheet'!T16</f>
        <v>351.39495340608119</v>
      </c>
      <c r="U30" s="2">
        <f>U8/'Output-Calculation-sheet'!U7*'Output-Calculation-sheet'!U16</f>
        <v>350.7668438374377</v>
      </c>
      <c r="V30" s="2">
        <f>V8/'Output-Calculation-sheet'!V7*'Output-Calculation-sheet'!V16</f>
        <v>272.99516701694625</v>
      </c>
      <c r="W30" s="2">
        <f>W8/'Output-Calculation-sheet'!W7*'Output-Calculation-sheet'!W16</f>
        <v>165.58533117443622</v>
      </c>
      <c r="X30" s="2">
        <f>X8/'Output-Calculation-sheet'!X7*'Output-Calculation-sheet'!X16</f>
        <v>0</v>
      </c>
      <c r="Y30" s="2">
        <f>Y8/'Output-Calculation-sheet'!Y7*'Output-Calculation-sheet'!Y16</f>
        <v>140.14915788214643</v>
      </c>
      <c r="AA30" s="2">
        <f t="shared" si="1"/>
        <v>48.028419613981413</v>
      </c>
    </row>
    <row r="31" spans="1:27" x14ac:dyDescent="0.25">
      <c r="A31" s="2">
        <v>2032</v>
      </c>
      <c r="B31" s="2">
        <f>B9/'Output-Calculation-sheet'!B8*'Output-Calculation-sheet'!B17</f>
        <v>31797.392757760212</v>
      </c>
      <c r="C31" s="2">
        <f>C9/'Output-Calculation-sheet'!C8*'Output-Calculation-sheet'!C17</f>
        <v>0</v>
      </c>
      <c r="D31" s="2">
        <f>D9/'Output-Calculation-sheet'!D8*'Output-Calculation-sheet'!D17</f>
        <v>5332.8402537808279</v>
      </c>
      <c r="E31" s="2">
        <f>E9/'Output-Calculation-sheet'!E8*'Output-Calculation-sheet'!E17</f>
        <v>6268.025101885034</v>
      </c>
      <c r="F31" s="2">
        <f>F9/'Output-Calculation-sheet'!F8*'Output-Calculation-sheet'!F17</f>
        <v>2894.8387085084601</v>
      </c>
      <c r="G31" s="2">
        <f>G9/'Output-Calculation-sheet'!G8*'Output-Calculation-sheet'!G17</f>
        <v>1895.7579655177644</v>
      </c>
      <c r="H31" s="2">
        <f>H9/'Output-Calculation-sheet'!H8*'Output-Calculation-sheet'!H17</f>
        <v>0</v>
      </c>
      <c r="I31" s="2">
        <f>I9/'Output-Calculation-sheet'!I8*'Output-Calculation-sheet'!I17</f>
        <v>1848.0888183747356</v>
      </c>
      <c r="J31" s="2">
        <f>J9/'Output-Calculation-sheet'!J8*'Output-Calculation-sheet'!J17</f>
        <v>1645.155267037587</v>
      </c>
      <c r="K31" s="2">
        <f>K9/'Output-Calculation-sheet'!K8*'Output-Calculation-sheet'!K17</f>
        <v>2342.2642877689314</v>
      </c>
      <c r="L31" s="2">
        <f>L9/'Output-Calculation-sheet'!L8*'Output-Calculation-sheet'!L17</f>
        <v>1997.5396778157665</v>
      </c>
      <c r="M31" s="2">
        <f>M9/'Output-Calculation-sheet'!M8*'Output-Calculation-sheet'!M17</f>
        <v>0</v>
      </c>
      <c r="N31" s="2">
        <f>N9/'Output-Calculation-sheet'!N8*'Output-Calculation-sheet'!N17</f>
        <v>2179.4744594911822</v>
      </c>
      <c r="O31" s="2">
        <f>O9/'Output-Calculation-sheet'!O8*'Output-Calculation-sheet'!O17</f>
        <v>0</v>
      </c>
      <c r="P31" s="2">
        <f>P9/'Output-Calculation-sheet'!P8*'Output-Calculation-sheet'!P17</f>
        <v>2695.2056886887676</v>
      </c>
      <c r="Q31" s="2">
        <f>Q9/'Output-Calculation-sheet'!Q8*'Output-Calculation-sheet'!Q17</f>
        <v>2873.3368914193325</v>
      </c>
      <c r="R31" s="2">
        <f>R9/'Output-Calculation-sheet'!R8*'Output-Calculation-sheet'!R17</f>
        <v>1879.8888484606662</v>
      </c>
      <c r="S31" s="2">
        <f>S9/'Output-Calculation-sheet'!S8*'Output-Calculation-sheet'!S17</f>
        <v>1617.5609287317507</v>
      </c>
      <c r="T31" s="2">
        <f>T9/'Output-Calculation-sheet'!T8*'Output-Calculation-sheet'!T17</f>
        <v>510.12157363504321</v>
      </c>
      <c r="U31" s="2">
        <f>U9/'Output-Calculation-sheet'!U8*'Output-Calculation-sheet'!U17</f>
        <v>586.29231566099486</v>
      </c>
      <c r="V31" s="2">
        <f>V9/'Output-Calculation-sheet'!V8*'Output-Calculation-sheet'!V17</f>
        <v>419.93336677354148</v>
      </c>
      <c r="W31" s="2">
        <f>W9/'Output-Calculation-sheet'!W8*'Output-Calculation-sheet'!W17</f>
        <v>233.78681330717083</v>
      </c>
      <c r="X31" s="2">
        <f>X9/'Output-Calculation-sheet'!X8*'Output-Calculation-sheet'!X17</f>
        <v>0</v>
      </c>
      <c r="Y31" s="2">
        <f>Y9/'Output-Calculation-sheet'!Y8*'Output-Calculation-sheet'!Y17</f>
        <v>225.88871216521812</v>
      </c>
      <c r="AA31" s="2">
        <f t="shared" si="1"/>
        <v>69.243392436782983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2267.6829853371182</v>
      </c>
      <c r="O32" s="2">
        <f>O10/'Output-Calculation-sheet'!O9*'Output-Calculation-sheet'!O18</f>
        <v>0</v>
      </c>
      <c r="P32" s="2">
        <f>P10/'Output-Calculation-sheet'!P9*'Output-Calculation-sheet'!P18</f>
        <v>3651.218447792121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2621.8173887917151</v>
      </c>
      <c r="S32" s="2">
        <f>S10/'Output-Calculation-sheet'!S9*'Output-Calculation-sheet'!S18</f>
        <v>1715.9101427188307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846.42504002962937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89.429307919829128</v>
      </c>
    </row>
    <row r="33" spans="1:27" x14ac:dyDescent="0.25">
      <c r="A33" s="2">
        <v>2034</v>
      </c>
      <c r="B33" s="2">
        <f>B11/'Output-Calculation-sheet'!B10*'Output-Calculation-sheet'!B19</f>
        <v>36833.365961055184</v>
      </c>
      <c r="C33" s="2">
        <f>C11/'Output-Calculation-sheet'!C10*'Output-Calculation-sheet'!C19</f>
        <v>0</v>
      </c>
      <c r="D33" s="2">
        <f>D11/'Output-Calculation-sheet'!D10*'Output-Calculation-sheet'!D19</f>
        <v>10986.433352724835</v>
      </c>
      <c r="E33" s="2">
        <f>E11/'Output-Calculation-sheet'!E10*'Output-Calculation-sheet'!E19</f>
        <v>13612.377950354485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3739.9689799762336</v>
      </c>
      <c r="H33" s="2">
        <f>H11/'Output-Calculation-sheet'!H10*'Output-Calculation-sheet'!H19</f>
        <v>0</v>
      </c>
      <c r="I33" s="2">
        <f>I11/'Output-Calculation-sheet'!I10*'Output-Calculation-sheet'!I19</f>
        <v>4080.822288689998</v>
      </c>
      <c r="J33" s="2">
        <f>J11/'Output-Calculation-sheet'!J10*'Output-Calculation-sheet'!J19</f>
        <v>3450.1394924042206</v>
      </c>
      <c r="K33" s="2">
        <f>K11/'Output-Calculation-sheet'!K10*'Output-Calculation-sheet'!K19</f>
        <v>4788.1570868218023</v>
      </c>
      <c r="L33" s="2">
        <f>L11/'Output-Calculation-sheet'!L10*'Output-Calculation-sheet'!L19</f>
        <v>3895.8069165322895</v>
      </c>
      <c r="M33" s="2">
        <f>M11/'Output-Calculation-sheet'!M10*'Output-Calculation-sheet'!M19</f>
        <v>0</v>
      </c>
      <c r="N33" s="2">
        <f>N11/'Output-Calculation-sheet'!N10*'Output-Calculation-sheet'!N19</f>
        <v>2201.8135023458231</v>
      </c>
      <c r="O33" s="2">
        <f>O11/'Output-Calculation-sheet'!O10*'Output-Calculation-sheet'!O19</f>
        <v>0</v>
      </c>
      <c r="P33" s="2">
        <f>P11/'Output-Calculation-sheet'!P10*'Output-Calculation-sheet'!P19</f>
        <v>4844.7703340623229</v>
      </c>
      <c r="Q33" s="2">
        <f>Q11/'Output-Calculation-sheet'!Q10*'Output-Calculation-sheet'!Q19</f>
        <v>3879.1503800322703</v>
      </c>
      <c r="R33" s="2">
        <f>R11/'Output-Calculation-sheet'!R10*'Output-Calculation-sheet'!R19</f>
        <v>3459.0384387298482</v>
      </c>
      <c r="S33" s="2">
        <f>S11/'Output-Calculation-sheet'!S10*'Output-Calculation-sheet'!S19</f>
        <v>1616.7333939774851</v>
      </c>
      <c r="T33" s="2">
        <f>T11/'Output-Calculation-sheet'!T10*'Output-Calculation-sheet'!T19</f>
        <v>1014.9417431969197</v>
      </c>
      <c r="U33" s="2">
        <f>U11/'Output-Calculation-sheet'!U10*'Output-Calculation-sheet'!U19</f>
        <v>1167.2024268928917</v>
      </c>
      <c r="V33" s="2">
        <f>V11/'Output-Calculation-sheet'!V10*'Output-Calculation-sheet'!V19</f>
        <v>795.98004498796126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195.75427605139981</v>
      </c>
      <c r="Y33" s="2">
        <f>Y11/'Output-Calculation-sheet'!Y10*'Output-Calculation-sheet'!Y19</f>
        <v>446.69230448681856</v>
      </c>
      <c r="AA33" s="2">
        <f t="shared" si="1"/>
        <v>107.74999399490626</v>
      </c>
    </row>
    <row r="34" spans="1:27" x14ac:dyDescent="0.25">
      <c r="A34" s="2">
        <v>2035</v>
      </c>
      <c r="B34" s="2">
        <f>B12/'Output-Calculation-sheet'!B11*'Output-Calculation-sheet'!B20</f>
        <v>36139.309637241182</v>
      </c>
      <c r="C34" s="2">
        <f>C12/'Output-Calculation-sheet'!C11*'Output-Calculation-sheet'!C20</f>
        <v>0</v>
      </c>
      <c r="D34" s="2">
        <f>D12/'Output-Calculation-sheet'!D11*'Output-Calculation-sheet'!D20</f>
        <v>13392.316427993137</v>
      </c>
      <c r="E34" s="2">
        <f>E12/'Output-Calculation-sheet'!E11*'Output-Calculation-sheet'!E20</f>
        <v>12076.651375738065</v>
      </c>
      <c r="F34" s="2">
        <f>F12/'Output-Calculation-sheet'!F11*'Output-Calculation-sheet'!F20</f>
        <v>8562.0529996386449</v>
      </c>
      <c r="G34" s="2">
        <f>G12/'Output-Calculation-sheet'!G11*'Output-Calculation-sheet'!G20</f>
        <v>4260.3723609290937</v>
      </c>
      <c r="H34" s="2">
        <f>H12/'Output-Calculation-sheet'!H11*'Output-Calculation-sheet'!H20</f>
        <v>0</v>
      </c>
      <c r="I34" s="2">
        <f>I12/'Output-Calculation-sheet'!I11*'Output-Calculation-sheet'!I20</f>
        <v>5234.5836590156268</v>
      </c>
      <c r="J34" s="2">
        <f>J12/'Output-Calculation-sheet'!J11*'Output-Calculation-sheet'!J20</f>
        <v>4360.7957812714931</v>
      </c>
      <c r="K34" s="2">
        <f>K12/'Output-Calculation-sheet'!K11*'Output-Calculation-sheet'!K20</f>
        <v>6137.2241178961622</v>
      </c>
      <c r="L34" s="2">
        <f>L12/'Output-Calculation-sheet'!L11*'Output-Calculation-sheet'!L20</f>
        <v>4175.7446523827348</v>
      </c>
      <c r="M34" s="2">
        <f>M12/'Output-Calculation-sheet'!M11*'Output-Calculation-sheet'!M20</f>
        <v>0</v>
      </c>
      <c r="N34" s="2">
        <f>N12/'Output-Calculation-sheet'!N11*'Output-Calculation-sheet'!N20</f>
        <v>2390.0672171300257</v>
      </c>
      <c r="O34" s="2">
        <f>O12/'Output-Calculation-sheet'!O11*'Output-Calculation-sheet'!O20</f>
        <v>0</v>
      </c>
      <c r="P34" s="2">
        <f>P12/'Output-Calculation-sheet'!P11*'Output-Calculation-sheet'!P20</f>
        <v>5076.7989092451216</v>
      </c>
      <c r="Q34" s="2">
        <f>Q12/'Output-Calculation-sheet'!Q11*'Output-Calculation-sheet'!Q20</f>
        <v>3619.454107212237</v>
      </c>
      <c r="R34" s="2">
        <f>R12/'Output-Calculation-sheet'!R11*'Output-Calculation-sheet'!R20</f>
        <v>4404.6336912397292</v>
      </c>
      <c r="S34" s="2">
        <f>S12/'Output-Calculation-sheet'!S11*'Output-Calculation-sheet'!S20</f>
        <v>1577.2039216457788</v>
      </c>
      <c r="T34" s="2">
        <f>T12/'Output-Calculation-sheet'!T11*'Output-Calculation-sheet'!T20</f>
        <v>1274.9511642219557</v>
      </c>
      <c r="U34" s="2">
        <f>U12/'Output-Calculation-sheet'!U11*'Output-Calculation-sheet'!U20</f>
        <v>1167.343919493163</v>
      </c>
      <c r="V34" s="2">
        <f>V12/'Output-Calculation-sheet'!V11*'Output-Calculation-sheet'!V20</f>
        <v>1152.3579212013608</v>
      </c>
      <c r="W34" s="2">
        <f>W12/'Output-Calculation-sheet'!W11*'Output-Calculation-sheet'!W20</f>
        <v>680.67872038334701</v>
      </c>
      <c r="X34" s="2">
        <f>X12/'Output-Calculation-sheet'!X11*'Output-Calculation-sheet'!X20</f>
        <v>196.82463718010499</v>
      </c>
      <c r="Y34" s="2">
        <f>Y12/'Output-Calculation-sheet'!Y11*'Output-Calculation-sheet'!Y20</f>
        <v>367.04688590564211</v>
      </c>
      <c r="AA34" s="2">
        <f t="shared" si="1"/>
        <v>116.24641210696458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0.28965944101191687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0.28965944101191687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1.5595680484947358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0.30298211588943286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1.8625501643841686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3.1884351263900443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0.61942716888964755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15.266360788628232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37540.383969603514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8188.3218229203321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5588.9282463108548</v>
      </c>
      <c r="N52" s="2">
        <f>N8/'Output-Calculation-sheet'!N7*'Output-Calculation-sheet'!N43</f>
        <v>178.63478543492346</v>
      </c>
      <c r="O52" s="2">
        <f>O8/'Output-Calculation-sheet'!O7*'Output-Calculation-sheet'!O43</f>
        <v>7605.6475413129165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722.7828043542404</v>
      </c>
      <c r="Y52" s="2">
        <f>Y8/'Output-Calculation-sheet'!Y7*'Output-Calculation-sheet'!Y43</f>
        <v>0</v>
      </c>
      <c r="AA52" s="2">
        <f t="shared" si="3"/>
        <v>59.824699169936778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69901.751460198531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16334.239208103229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11188.232803178451</v>
      </c>
      <c r="N53" s="2">
        <f>N9/'Output-Calculation-sheet'!N8*'Output-Calculation-sheet'!N44</f>
        <v>3959.6543480387386</v>
      </c>
      <c r="O53" s="2">
        <f>O9/'Output-Calculation-sheet'!O8*'Output-Calculation-sheet'!O44</f>
        <v>13862.456755123809</v>
      </c>
      <c r="P53" s="2">
        <f>P9/'Output-Calculation-sheet'!P8*'Output-Calculation-sheet'!P44</f>
        <v>186.39526880460369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1243.3323490273992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1399.0968571487253</v>
      </c>
      <c r="Y53" s="2">
        <f>Y9/'Output-Calculation-sheet'!Y8*'Output-Calculation-sheet'!Y44</f>
        <v>0</v>
      </c>
      <c r="AA53" s="2">
        <f t="shared" si="3"/>
        <v>118.07515904962349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92075.233927763387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16820.574557007803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631.75136076453407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209.87279886955105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98225.426212212318</v>
      </c>
      <c r="D55" s="2">
        <f>D11/'Output-Calculation-sheet'!D10*'Output-Calculation-sheet'!D46</f>
        <v>9694.8384943191631</v>
      </c>
      <c r="E55" s="2">
        <f>E11/'Output-Calculation-sheet'!E10*'Output-Calculation-sheet'!E46</f>
        <v>11846.146413188162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32300.362629070998</v>
      </c>
      <c r="I55" s="2">
        <f>I11/'Output-Calculation-sheet'!I10*'Output-Calculation-sheet'!I46</f>
        <v>2346.0192522746424</v>
      </c>
      <c r="J55" s="2">
        <f>J11/'Output-Calculation-sheet'!J10*'Output-Calculation-sheet'!J46</f>
        <v>1702.6451358335748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22138.877495225654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18152.349574779179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6637.5098167259575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8293.5358747494411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1910.7709999951844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2311.0696615626703</v>
      </c>
      <c r="Y55" s="2">
        <f>Y11/'Output-Calculation-sheet'!Y10*'Output-Calculation-sheet'!Y46</f>
        <v>585.93258858865295</v>
      </c>
      <c r="AA55" s="2">
        <f t="shared" si="3"/>
        <v>362.06258598952587</v>
      </c>
    </row>
    <row r="56" spans="1:27" x14ac:dyDescent="0.25">
      <c r="A56" s="2">
        <v>2035</v>
      </c>
      <c r="B56" s="2">
        <f>B12/'Output-Calculation-sheet'!B11*'Output-Calculation-sheet'!B47</f>
        <v>162347.720110227</v>
      </c>
      <c r="C56" s="2">
        <f>C12/'Output-Calculation-sheet'!C11*'Output-Calculation-sheet'!C47</f>
        <v>101946.01785694483</v>
      </c>
      <c r="D56" s="2">
        <f>D12/'Output-Calculation-sheet'!D11*'Output-Calculation-sheet'!D47</f>
        <v>28244.162332298285</v>
      </c>
      <c r="E56" s="2">
        <f>E12/'Output-Calculation-sheet'!E11*'Output-Calculation-sheet'!E47</f>
        <v>41841.204182742666</v>
      </c>
      <c r="F56" s="2">
        <f>F12/'Output-Calculation-sheet'!F11*'Output-Calculation-sheet'!F47</f>
        <v>6067.98665001871</v>
      </c>
      <c r="G56" s="2">
        <f>G12/'Output-Calculation-sheet'!G11*'Output-Calculation-sheet'!G47</f>
        <v>9776.286539530427</v>
      </c>
      <c r="H56" s="2">
        <f>H12/'Output-Calculation-sheet'!H11*'Output-Calculation-sheet'!H47</f>
        <v>34438.583607256223</v>
      </c>
      <c r="I56" s="2">
        <f>I12/'Output-Calculation-sheet'!I11*'Output-Calculation-sheet'!I47</f>
        <v>9592.5666063233984</v>
      </c>
      <c r="J56" s="2">
        <f>J12/'Output-Calculation-sheet'!J11*'Output-Calculation-sheet'!J47</f>
        <v>7673.9056590139026</v>
      </c>
      <c r="K56" s="2">
        <f>K12/'Output-Calculation-sheet'!K11*'Output-Calculation-sheet'!K47</f>
        <v>10292.214804383248</v>
      </c>
      <c r="L56" s="2">
        <f>L12/'Output-Calculation-sheet'!L11*'Output-Calculation-sheet'!L47</f>
        <v>8621.1823796416502</v>
      </c>
      <c r="M56" s="2">
        <f>M12/'Output-Calculation-sheet'!M11*'Output-Calculation-sheet'!M47</f>
        <v>23845.222502217071</v>
      </c>
      <c r="N56" s="2">
        <f>N12/'Output-Calculation-sheet'!N11*'Output-Calculation-sheet'!N47</f>
        <v>19971.571220902326</v>
      </c>
      <c r="O56" s="2">
        <f>O12/'Output-Calculation-sheet'!O11*'Output-Calculation-sheet'!O47</f>
        <v>18664.318641543327</v>
      </c>
      <c r="P56" s="2">
        <f>P12/'Output-Calculation-sheet'!P11*'Output-Calculation-sheet'!P47</f>
        <v>10677.409473147738</v>
      </c>
      <c r="Q56" s="2">
        <f>Q12/'Output-Calculation-sheet'!Q11*'Output-Calculation-sheet'!Q47</f>
        <v>10789.645289932037</v>
      </c>
      <c r="R56" s="2">
        <f>R12/'Output-Calculation-sheet'!R11*'Output-Calculation-sheet'!R47</f>
        <v>8423.3610859989767</v>
      </c>
      <c r="S56" s="2">
        <f>S12/'Output-Calculation-sheet'!S11*'Output-Calculation-sheet'!S47</f>
        <v>10547.179905194609</v>
      </c>
      <c r="T56" s="2">
        <f>T12/'Output-Calculation-sheet'!T11*'Output-Calculation-sheet'!T47</f>
        <v>3181.8564537674692</v>
      </c>
      <c r="U56" s="2">
        <f>U12/'Output-Calculation-sheet'!U11*'Output-Calculation-sheet'!U47</f>
        <v>3320.4796505285317</v>
      </c>
      <c r="V56" s="2">
        <f>V12/'Output-Calculation-sheet'!V11*'Output-Calculation-sheet'!V47</f>
        <v>1725.7537117251318</v>
      </c>
      <c r="W56" s="2">
        <f>W12/'Output-Calculation-sheet'!W11*'Output-Calculation-sheet'!W47</f>
        <v>923.79417747877631</v>
      </c>
      <c r="X56" s="2">
        <f>X12/'Output-Calculation-sheet'!X11*'Output-Calculation-sheet'!X47</f>
        <v>2398.1605124470443</v>
      </c>
      <c r="Y56" s="2">
        <f>Y12/'Output-Calculation-sheet'!Y11*'Output-Calculation-sheet'!Y47</f>
        <v>1339.0149364509361</v>
      </c>
      <c r="AA56" s="2">
        <f t="shared" si="3"/>
        <v>536.64959828971428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8.7361845668254521</v>
      </c>
      <c r="C63" s="2">
        <f>C8*'Output-Calculation-sheet'!C52/10^9</f>
        <v>5.5093884696903839</v>
      </c>
      <c r="D63" s="2">
        <f>D8*'Output-Calculation-sheet'!D52/10^9</f>
        <v>2.9958046286661224</v>
      </c>
      <c r="E63" s="2">
        <f>E8*'Output-Calculation-sheet'!E52/10^9</f>
        <v>2.9786483612881298</v>
      </c>
      <c r="F63" s="2">
        <f>F8*'Output-Calculation-sheet'!F52/10^9</f>
        <v>1.2614583391318315</v>
      </c>
      <c r="G63" s="2">
        <f>G8*'Output-Calculation-sheet'!G52/10^9</f>
        <v>0.9069304575450341</v>
      </c>
      <c r="H63" s="2">
        <f>H8*'Output-Calculation-sheet'!H52/10^9</f>
        <v>1.5841788019379666</v>
      </c>
      <c r="I63" s="2">
        <f>I8*'Output-Calculation-sheet'!I52/10^9</f>
        <v>0.84365599581507233</v>
      </c>
      <c r="J63" s="2">
        <f>J8*'Output-Calculation-sheet'!J52/10^9</f>
        <v>1.1609289687407194</v>
      </c>
      <c r="K63" s="2">
        <f>K8*'Output-Calculation-sheet'!K52/10^9</f>
        <v>1.0199767137151245</v>
      </c>
      <c r="L63" s="2">
        <f>L8*'Output-Calculation-sheet'!L52/10^9</f>
        <v>1.3719158225693724</v>
      </c>
      <c r="M63" s="2">
        <f>M8*'Output-Calculation-sheet'!M52/10^9</f>
        <v>1.2858583025742294</v>
      </c>
      <c r="N63" s="2">
        <f>N8*'Output-Calculation-sheet'!N52/10^9</f>
        <v>1.0731752735061899</v>
      </c>
      <c r="O63" s="2">
        <f>O8*'Output-Calculation-sheet'!O52/10^9</f>
        <v>1.1443880214558846</v>
      </c>
      <c r="P63" s="2">
        <f>P8*'Output-Calculation-sheet'!P52/10^9</f>
        <v>0.70477769024101611</v>
      </c>
      <c r="Q63" s="2">
        <f>Q8*'Output-Calculation-sheet'!Q52/10^9</f>
        <v>0.79759746318141556</v>
      </c>
      <c r="R63" s="2">
        <f>R8*'Output-Calculation-sheet'!R52/10^9</f>
        <v>0.71608499995443964</v>
      </c>
      <c r="S63" s="2">
        <f>S8*'Output-Calculation-sheet'!S52/10^9</f>
        <v>0.53064751603524107</v>
      </c>
      <c r="T63" s="2">
        <f>T8*'Output-Calculation-sheet'!T52/10^9</f>
        <v>0.27224639896534553</v>
      </c>
      <c r="U63" s="2">
        <f>U8*'Output-Calculation-sheet'!U52/10^9</f>
        <v>0.18697579971359074</v>
      </c>
      <c r="V63" s="2">
        <f>V8*'Output-Calculation-sheet'!V52/10^9</f>
        <v>0.33183811261947732</v>
      </c>
      <c r="W63" s="2">
        <f>W8*'Output-Calculation-sheet'!W52/10^9</f>
        <v>0.12011008207374611</v>
      </c>
      <c r="X63" s="2">
        <f>X8*'Output-Calculation-sheet'!X52/10^9</f>
        <v>0.13824393348788996</v>
      </c>
      <c r="Y63" s="2">
        <f>Y8*'Output-Calculation-sheet'!Y52/10^9</f>
        <v>7.8368411685514922E-2</v>
      </c>
      <c r="AA63" s="2">
        <f t="shared" si="4"/>
        <v>35.749383131419194</v>
      </c>
    </row>
    <row r="64" spans="1:27" x14ac:dyDescent="0.25">
      <c r="A64" s="2">
        <v>2032</v>
      </c>
      <c r="B64" s="2">
        <f>B9*'Output-Calculation-sheet'!B53/10^9</f>
        <v>9.4154115331816453</v>
      </c>
      <c r="C64" s="2">
        <f>C9*'Output-Calculation-sheet'!C53/10^9</f>
        <v>6.3566708788444695</v>
      </c>
      <c r="D64" s="2">
        <f>D9*'Output-Calculation-sheet'!D53/10^9</f>
        <v>2.7863947667674474</v>
      </c>
      <c r="E64" s="2">
        <f>E9*'Output-Calculation-sheet'!E53/10^9</f>
        <v>2.8534040916906114</v>
      </c>
      <c r="F64" s="2">
        <f>F9*'Output-Calculation-sheet'!F53/10^9</f>
        <v>1.2035489639880848</v>
      </c>
      <c r="G64" s="2">
        <f>G9*'Output-Calculation-sheet'!G53/10^9</f>
        <v>0.85664842467830238</v>
      </c>
      <c r="H64" s="2">
        <f>H9*'Output-Calculation-sheet'!H53/10^9</f>
        <v>1.760288179068862</v>
      </c>
      <c r="I64" s="2">
        <f>I9*'Output-Calculation-sheet'!I53/10^9</f>
        <v>0.80082640274753347</v>
      </c>
      <c r="J64" s="2">
        <f>J9*'Output-Calculation-sheet'!J53/10^9</f>
        <v>1.0601324767184432</v>
      </c>
      <c r="K64" s="2">
        <f>K9*'Output-Calculation-sheet'!K53/10^9</f>
        <v>0.98365617715476428</v>
      </c>
      <c r="L64" s="2">
        <f>L9*'Output-Calculation-sheet'!L53/10^9</f>
        <v>1.2654655235868433</v>
      </c>
      <c r="M64" s="2">
        <f>M9*'Output-Calculation-sheet'!M53/10^9</f>
        <v>1.379567123818799</v>
      </c>
      <c r="N64" s="2">
        <f>N9*'Output-Calculation-sheet'!N53/10^9</f>
        <v>1.1613438855290297</v>
      </c>
      <c r="O64" s="2">
        <f>O9*'Output-Calculation-sheet'!O53/10^9</f>
        <v>1.314720966253087</v>
      </c>
      <c r="P64" s="2">
        <f>P9*'Output-Calculation-sheet'!P53/10^9</f>
        <v>0.74995838114802049</v>
      </c>
      <c r="Q64" s="2">
        <f>Q9*'Output-Calculation-sheet'!Q53/10^9</f>
        <v>0.82882986636367528</v>
      </c>
      <c r="R64" s="2">
        <f>R9*'Output-Calculation-sheet'!R53/10^9</f>
        <v>0.71050195693142915</v>
      </c>
      <c r="S64" s="2">
        <f>S9*'Output-Calculation-sheet'!S53/10^9</f>
        <v>0.58703246935275422</v>
      </c>
      <c r="T64" s="2">
        <f>T9*'Output-Calculation-sheet'!T53/10^9</f>
        <v>0.2554069601281504</v>
      </c>
      <c r="U64" s="2">
        <f>U9*'Output-Calculation-sheet'!U53/10^9</f>
        <v>0.19223940146283894</v>
      </c>
      <c r="V64" s="2">
        <f>V9*'Output-Calculation-sheet'!V53/10^9</f>
        <v>0.30315089581724841</v>
      </c>
      <c r="W64" s="2">
        <f>W9*'Output-Calculation-sheet'!W53/10^9</f>
        <v>0.11264540881590329</v>
      </c>
      <c r="X64" s="2">
        <f>X9*'Output-Calculation-sheet'!X53/10^9</f>
        <v>0.15289778207506019</v>
      </c>
      <c r="Y64" s="2">
        <f>Y9*'Output-Calculation-sheet'!Y53/10^9</f>
        <v>7.8923036559342644E-2</v>
      </c>
      <c r="AA64" s="2">
        <f t="shared" si="4"/>
        <v>37.169665552682339</v>
      </c>
    </row>
    <row r="65" spans="1:27" x14ac:dyDescent="0.25">
      <c r="A65" s="2">
        <v>2033</v>
      </c>
      <c r="B65" s="2">
        <f>B10*'Output-Calculation-sheet'!B54/10^9</f>
        <v>10.111702463463144</v>
      </c>
      <c r="C65" s="2">
        <f>C10*'Output-Calculation-sheet'!C54/10^9</f>
        <v>7.1840281726927637</v>
      </c>
      <c r="D65" s="2">
        <f>D10*'Output-Calculation-sheet'!D54/10^9</f>
        <v>2.3888871524227193</v>
      </c>
      <c r="E65" s="2">
        <f>E10*'Output-Calculation-sheet'!E54/10^9</f>
        <v>2.6898596154780678</v>
      </c>
      <c r="F65" s="2">
        <f>F10*'Output-Calculation-sheet'!F54/10^9</f>
        <v>1.0920369722698209</v>
      </c>
      <c r="G65" s="2">
        <f>G10*'Output-Calculation-sheet'!G54/10^9</f>
        <v>0.74978216135008491</v>
      </c>
      <c r="H65" s="2">
        <f>H10*'Output-Calculation-sheet'!H54/10^9</f>
        <v>1.8529285017453643</v>
      </c>
      <c r="I65" s="2">
        <f>I10*'Output-Calculation-sheet'!I54/10^9</f>
        <v>0.73008305698169151</v>
      </c>
      <c r="J65" s="2">
        <f>J10*'Output-Calculation-sheet'!J54/10^9</f>
        <v>0.87261208903841248</v>
      </c>
      <c r="K65" s="2">
        <f>K10*'Output-Calculation-sheet'!K54/10^9</f>
        <v>0.93096150789460941</v>
      </c>
      <c r="L65" s="2">
        <f>L10*'Output-Calculation-sheet'!L54/10^9</f>
        <v>1.0996613335427072</v>
      </c>
      <c r="M65" s="2">
        <f>M10*'Output-Calculation-sheet'!M54/10^9</f>
        <v>1.3990956090996798</v>
      </c>
      <c r="N65" s="2">
        <f>N10*'Output-Calculation-sheet'!N54/10^9</f>
        <v>1.2081558760606084</v>
      </c>
      <c r="O65" s="2">
        <f>O10*'Output-Calculation-sheet'!O54/10^9</f>
        <v>1.4815583865665671</v>
      </c>
      <c r="P65" s="2">
        <f>P10*'Output-Calculation-sheet'!P54/10^9</f>
        <v>0.78771520060577049</v>
      </c>
      <c r="Q65" s="2">
        <f>Q10*'Output-Calculation-sheet'!Q54/10^9</f>
        <v>0.8595493576139146</v>
      </c>
      <c r="R65" s="2">
        <f>R10*'Output-Calculation-sheet'!R54/10^9</f>
        <v>0.69348254000910203</v>
      </c>
      <c r="S65" s="2">
        <f>S10*'Output-Calculation-sheet'!S54/10^9</f>
        <v>0.62991859525186322</v>
      </c>
      <c r="T65" s="2">
        <f>T10*'Output-Calculation-sheet'!T54/10^9</f>
        <v>0.23186217089599845</v>
      </c>
      <c r="U65" s="2">
        <f>U10*'Output-Calculation-sheet'!U54/10^9</f>
        <v>0.2002143578764809</v>
      </c>
      <c r="V65" s="2">
        <f>V10*'Output-Calculation-sheet'!V54/10^9</f>
        <v>0.25659049060313621</v>
      </c>
      <c r="W65" s="2">
        <f>W10*'Output-Calculation-sheet'!W54/10^9</f>
        <v>9.7693650572601792E-2</v>
      </c>
      <c r="X65" s="2">
        <f>X10*'Output-Calculation-sheet'!X54/10^9</f>
        <v>0.16090874107353456</v>
      </c>
      <c r="Y65" s="2">
        <f>Y10*'Output-Calculation-sheet'!Y54/10^9</f>
        <v>8.0407110889880132E-2</v>
      </c>
      <c r="AA65" s="2">
        <f t="shared" si="4"/>
        <v>37.789695113998519</v>
      </c>
    </row>
    <row r="66" spans="1:27" x14ac:dyDescent="0.25">
      <c r="A66" s="2">
        <v>2034</v>
      </c>
      <c r="B66" s="2">
        <f>B11*'Output-Calculation-sheet'!B55/10^9</f>
        <v>10.849724500919677</v>
      </c>
      <c r="C66" s="2">
        <f>C11*'Output-Calculation-sheet'!C55/10^9</f>
        <v>8.2286655049640611</v>
      </c>
      <c r="D66" s="2">
        <f>D11*'Output-Calculation-sheet'!D55/10^9</f>
        <v>2.2696080101537954</v>
      </c>
      <c r="E66" s="2">
        <f>E11*'Output-Calculation-sheet'!E55/10^9</f>
        <v>2.7480974974822097</v>
      </c>
      <c r="F66" s="2">
        <f>F11*'Output-Calculation-sheet'!F55/10^9</f>
        <v>1.0561398945422638</v>
      </c>
      <c r="G66" s="2">
        <f>G11*'Output-Calculation-sheet'!G55/10^9</f>
        <v>0.75493142648784373</v>
      </c>
      <c r="H66" s="2">
        <f>H11*'Output-Calculation-sheet'!H55/10^9</f>
        <v>1.9386270313205392</v>
      </c>
      <c r="I66" s="2">
        <f>I11*'Output-Calculation-sheet'!I55/10^9</f>
        <v>0.73827611490284994</v>
      </c>
      <c r="J66" s="2">
        <f>J11*'Output-Calculation-sheet'!J55/10^9</f>
        <v>0.75917844993596162</v>
      </c>
      <c r="K66" s="2">
        <f>K11*'Output-Calculation-sheet'!K55/10^9</f>
        <v>0.90796696765918306</v>
      </c>
      <c r="L66" s="2">
        <f>L11*'Output-Calculation-sheet'!L55/10^9</f>
        <v>0.96157903586470672</v>
      </c>
      <c r="M66" s="2">
        <f>M11*'Output-Calculation-sheet'!M55/10^9</f>
        <v>1.3982191361543619</v>
      </c>
      <c r="N66" s="2">
        <f>N11*'Output-Calculation-sheet'!N55/10^9</f>
        <v>1.2216718154813699</v>
      </c>
      <c r="O66" s="2">
        <f>O11*'Output-Calculation-sheet'!O55/10^9</f>
        <v>1.6384106559043741</v>
      </c>
      <c r="P66" s="2">
        <f>P11*'Output-Calculation-sheet'!P55/10^9</f>
        <v>0.83977765434790252</v>
      </c>
      <c r="Q66" s="2">
        <f>Q11*'Output-Calculation-sheet'!Q55/10^9</f>
        <v>0.9167849501084212</v>
      </c>
      <c r="R66" s="2">
        <f>R11*'Output-Calculation-sheet'!R55/10^9</f>
        <v>0.68017703168884558</v>
      </c>
      <c r="S66" s="2">
        <f>S11*'Output-Calculation-sheet'!S55/10^9</f>
        <v>0.66925850757418748</v>
      </c>
      <c r="T66" s="2">
        <f>T11*'Output-Calculation-sheet'!T55/10^9</f>
        <v>0.21320773168145823</v>
      </c>
      <c r="U66" s="2">
        <f>U11*'Output-Calculation-sheet'!U55/10^9</f>
        <v>0.2176863169374694</v>
      </c>
      <c r="V66" s="2">
        <f>V11*'Output-Calculation-sheet'!V55/10^9</f>
        <v>0.20226412299704763</v>
      </c>
      <c r="W66" s="2">
        <f>W11*'Output-Calculation-sheet'!W55/10^9</f>
        <v>9.1577548543868265E-2</v>
      </c>
      <c r="X66" s="2">
        <f>X11*'Output-Calculation-sheet'!X55/10^9</f>
        <v>0.17379651549088254</v>
      </c>
      <c r="Y66" s="2">
        <f>Y11*'Output-Calculation-sheet'!Y55/10^9</f>
        <v>8.9865089162802822E-2</v>
      </c>
      <c r="AA66" s="2">
        <f t="shared" si="4"/>
        <v>39.565491510306082</v>
      </c>
    </row>
    <row r="67" spans="1:27" x14ac:dyDescent="0.25">
      <c r="A67" s="2">
        <v>2035</v>
      </c>
      <c r="B67" s="2">
        <f>B12*'Output-Calculation-sheet'!B56/10^9</f>
        <v>12.636240499676964</v>
      </c>
      <c r="C67" s="2">
        <f>C12*'Output-Calculation-sheet'!C56/10^9</f>
        <v>9.1587756339199089</v>
      </c>
      <c r="D67" s="2">
        <f>D12*'Output-Calculation-sheet'!D56/10^9</f>
        <v>2.8661986853080497</v>
      </c>
      <c r="E67" s="2">
        <f>E12*'Output-Calculation-sheet'!E56/10^9</f>
        <v>3.4117276038936253</v>
      </c>
      <c r="F67" s="2">
        <f>F12*'Output-Calculation-sheet'!F56/10^9</f>
        <v>1.3963197058528838</v>
      </c>
      <c r="G67" s="2">
        <f>G12*'Output-Calculation-sheet'!G56/10^9</f>
        <v>0.98147053100794757</v>
      </c>
      <c r="H67" s="2">
        <f>H12*'Output-Calculation-sheet'!H56/10^9</f>
        <v>2.2409157689854178</v>
      </c>
      <c r="I67" s="2">
        <f>I12*'Output-Calculation-sheet'!I56/10^9</f>
        <v>0.98286478095499441</v>
      </c>
      <c r="J67" s="2">
        <f>J12*'Output-Calculation-sheet'!J56/10^9</f>
        <v>0.8891981577232877</v>
      </c>
      <c r="K67" s="2">
        <f>K12*'Output-Calculation-sheet'!K56/10^9</f>
        <v>1.1035712628946837</v>
      </c>
      <c r="L67" s="2">
        <f>L12*'Output-Calculation-sheet'!L56/10^9</f>
        <v>1.0284091453918542</v>
      </c>
      <c r="M67" s="2">
        <f>M12*'Output-Calculation-sheet'!M56/10^9</f>
        <v>1.580573031410635</v>
      </c>
      <c r="N67" s="2">
        <f>N12*'Output-Calculation-sheet'!N56/10^9</f>
        <v>1.3438325582839621</v>
      </c>
      <c r="O67" s="2">
        <f>O12*'Output-Calculation-sheet'!O56/10^9</f>
        <v>1.769191105076229</v>
      </c>
      <c r="P67" s="2">
        <f>P12*'Output-Calculation-sheet'!P56/10^9</f>
        <v>1.0375316320760279</v>
      </c>
      <c r="Q67" s="2">
        <f>Q12*'Output-Calculation-sheet'!Q56/10^9</f>
        <v>1.0479725087220246</v>
      </c>
      <c r="R67" s="2">
        <f>R12*'Output-Calculation-sheet'!R56/10^9</f>
        <v>0.80021742486804659</v>
      </c>
      <c r="S67" s="2">
        <f>S12*'Output-Calculation-sheet'!S56/10^9</f>
        <v>0.76524002385845569</v>
      </c>
      <c r="T67" s="2">
        <f>T12*'Output-Calculation-sheet'!T56/10^9</f>
        <v>0.24339308804464829</v>
      </c>
      <c r="U67" s="2">
        <f>U12*'Output-Calculation-sheet'!U56/10^9</f>
        <v>0.27683648037399838</v>
      </c>
      <c r="V67" s="2">
        <f>V12*'Output-Calculation-sheet'!V56/10^9</f>
        <v>0.18660248642127761</v>
      </c>
      <c r="W67" s="2">
        <f>W12*'Output-Calculation-sheet'!W56/10^9</f>
        <v>0.12085232287454634</v>
      </c>
      <c r="X67" s="2">
        <f>X12*'Output-Calculation-sheet'!X56/10^9</f>
        <v>0.19793800375583853</v>
      </c>
      <c r="Y67" s="2">
        <f>Y12*'Output-Calculation-sheet'!Y56/10^9</f>
        <v>0.11356875595563935</v>
      </c>
      <c r="AA67" s="2">
        <f t="shared" si="4"/>
        <v>46.179441197330952</v>
      </c>
    </row>
    <row r="68" spans="1:27" x14ac:dyDescent="0.25">
      <c r="B68" s="2">
        <f>SUM(B60:B67)</f>
        <v>71.594002003591783</v>
      </c>
      <c r="C68" s="2">
        <f t="shared" ref="C68:Y68" si="5">SUM(C60:C67)</f>
        <v>46.941914115175727</v>
      </c>
      <c r="D68" s="2">
        <f t="shared" si="5"/>
        <v>21.092163234008432</v>
      </c>
      <c r="E68" s="2">
        <f t="shared" si="5"/>
        <v>22.357358107320092</v>
      </c>
      <c r="F68" s="2">
        <f t="shared" si="5"/>
        <v>9.190689655872271</v>
      </c>
      <c r="G68" s="2">
        <f t="shared" si="5"/>
        <v>6.5646019335513381</v>
      </c>
      <c r="H68" s="2">
        <f t="shared" si="5"/>
        <v>12.648630714104151</v>
      </c>
      <c r="I68" s="2">
        <f t="shared" si="5"/>
        <v>6.2364046315891857</v>
      </c>
      <c r="J68" s="2">
        <f t="shared" si="5"/>
        <v>7.8219425664722255</v>
      </c>
      <c r="K68" s="2">
        <f t="shared" si="5"/>
        <v>7.5398685537271115</v>
      </c>
      <c r="L68" s="2">
        <f t="shared" si="5"/>
        <v>9.3799182537920931</v>
      </c>
      <c r="M68" s="2">
        <f t="shared" si="5"/>
        <v>9.8480976455799976</v>
      </c>
      <c r="N68" s="2">
        <f t="shared" si="5"/>
        <v>8.4421576403371859</v>
      </c>
      <c r="O68" s="2">
        <f t="shared" si="5"/>
        <v>9.5435471187068881</v>
      </c>
      <c r="P68" s="2">
        <f t="shared" si="5"/>
        <v>5.7669668254252073</v>
      </c>
      <c r="Q68" s="2">
        <f t="shared" si="5"/>
        <v>6.3310692586882915</v>
      </c>
      <c r="R68" s="2">
        <f t="shared" si="5"/>
        <v>5.4034303226466465</v>
      </c>
      <c r="S68" s="2">
        <f t="shared" si="5"/>
        <v>4.3614833934743533</v>
      </c>
      <c r="T68" s="2">
        <f t="shared" si="5"/>
        <v>1.9218931205460477</v>
      </c>
      <c r="U68" s="2">
        <f t="shared" si="5"/>
        <v>1.5355910258828958</v>
      </c>
      <c r="V68" s="2">
        <f t="shared" si="5"/>
        <v>2.1734676548703118</v>
      </c>
      <c r="W68" s="2">
        <f t="shared" si="5"/>
        <v>0.85202797473780434</v>
      </c>
      <c r="X68" s="2">
        <f t="shared" si="5"/>
        <v>1.1094174677331423</v>
      </c>
      <c r="Y68" s="2">
        <f t="shared" si="5"/>
        <v>0.63605182393266357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7243.3634578150413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1748.3387789003123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1171.5620442175277</v>
      </c>
      <c r="N74" s="2">
        <f>N8/'Output-Calculation-sheet'!N7*'Output-Calculation-sheet'!N61</f>
        <v>49.102236646424579</v>
      </c>
      <c r="O74" s="2">
        <f>O8/'Output-Calculation-sheet'!O7*'Output-Calculation-sheet'!O61</f>
        <v>1447.8652431796893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145.58341092393064</v>
      </c>
      <c r="Y74" s="2">
        <f>Y8/'Output-Calculation-sheet'!Y7*'Output-Calculation-sheet'!Y61</f>
        <v>0</v>
      </c>
      <c r="AA74" s="2">
        <f t="shared" si="6"/>
        <v>11.805815171682925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12555.784095470426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3111.560690792925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2114.1397613657409</v>
      </c>
      <c r="N75" s="2">
        <f>N9/'Output-Calculation-sheet'!N8*'Output-Calculation-sheet'!N62</f>
        <v>814.12511053942978</v>
      </c>
      <c r="O75" s="2">
        <f>O9/'Output-Calculation-sheet'!O8*'Output-Calculation-sheet'!O62</f>
        <v>2481.8740063519795</v>
      </c>
      <c r="P75" s="2">
        <f>P9/'Output-Calculation-sheet'!P8*'Output-Calculation-sheet'!P62</f>
        <v>54.707011394151181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273.80780649104548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255.4154063299014</v>
      </c>
      <c r="Y75" s="2">
        <f>Y9/'Output-Calculation-sheet'!Y8*'Output-Calculation-sheet'!Y62</f>
        <v>0</v>
      </c>
      <c r="AA75" s="2">
        <f t="shared" si="6"/>
        <v>21.661413888735602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17165.622481984607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4621.4199392140736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3146.495750217759</v>
      </c>
      <c r="N76" s="2">
        <f>N10/'Output-Calculation-sheet'!N9*'Output-Calculation-sheet'!N63</f>
        <v>1797.6189995190236</v>
      </c>
      <c r="O76" s="2">
        <f>O10/'Output-Calculation-sheet'!O9*'Output-Calculation-sheet'!O63</f>
        <v>3096.8913727066192</v>
      </c>
      <c r="P76" s="2">
        <f>P10/'Output-Calculation-sheet'!P9*'Output-Calculation-sheet'!P63</f>
        <v>624.21558185958054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473.85947355715422</v>
      </c>
      <c r="S76" s="2">
        <f>S10/'Output-Calculation-sheet'!S9*'Output-Calculation-sheet'!S63</f>
        <v>798.4886662605528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168.12197658514492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370.55811762964316</v>
      </c>
      <c r="Y76" s="2">
        <f>Y10/'Output-Calculation-sheet'!Y9*'Output-Calculation-sheet'!Y63</f>
        <v>7.0299625953515461</v>
      </c>
      <c r="AA76" s="2">
        <f t="shared" si="6"/>
        <v>39.790282267934302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18114.793295910695</v>
      </c>
      <c r="D77" s="2">
        <f>D11/'Output-Calculation-sheet'!D10*'Output-Calculation-sheet'!D64</f>
        <v>2242.2949582548436</v>
      </c>
      <c r="E77" s="2">
        <f>E11/'Output-Calculation-sheet'!E10*'Output-Calculation-sheet'!E64</f>
        <v>2727.6955993033753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1169.3489119441688</v>
      </c>
      <c r="H77" s="2">
        <f>H11/'Output-Calculation-sheet'!H10*'Output-Calculation-sheet'!H64</f>
        <v>6212.9558010327282</v>
      </c>
      <c r="I77" s="2">
        <f>I11/'Output-Calculation-sheet'!I10*'Output-Calculation-sheet'!I64</f>
        <v>692.89678615931575</v>
      </c>
      <c r="J77" s="2">
        <f>J11/'Output-Calculation-sheet'!J10*'Output-Calculation-sheet'!J64</f>
        <v>498.06239871168049</v>
      </c>
      <c r="K77" s="2">
        <f>K11/'Output-Calculation-sheet'!K10*'Output-Calculation-sheet'!K64</f>
        <v>1042.6296985662646</v>
      </c>
      <c r="L77" s="2">
        <f>L11/'Output-Calculation-sheet'!L10*'Output-Calculation-sheet'!L64</f>
        <v>455.8227322021159</v>
      </c>
      <c r="M77" s="2">
        <f>M11/'Output-Calculation-sheet'!M10*'Output-Calculation-sheet'!M64</f>
        <v>4163.905579579784</v>
      </c>
      <c r="N77" s="2">
        <f>N11/'Output-Calculation-sheet'!N10*'Output-Calculation-sheet'!N64</f>
        <v>2931.62169013022</v>
      </c>
      <c r="O77" s="2">
        <f>O11/'Output-Calculation-sheet'!O10*'Output-Calculation-sheet'!O64</f>
        <v>3395.7119298986986</v>
      </c>
      <c r="P77" s="2">
        <f>P11/'Output-Calculation-sheet'!P10*'Output-Calculation-sheet'!P64</f>
        <v>1293.9594162454316</v>
      </c>
      <c r="Q77" s="2">
        <f>Q11/'Output-Calculation-sheet'!Q10*'Output-Calculation-sheet'!Q64</f>
        <v>1164.0595223694206</v>
      </c>
      <c r="R77" s="2">
        <f>R11/'Output-Calculation-sheet'!R10*'Output-Calculation-sheet'!R64</f>
        <v>1107.2911994065453</v>
      </c>
      <c r="S77" s="2">
        <f>S11/'Output-Calculation-sheet'!S10*'Output-Calculation-sheet'!S64</f>
        <v>1474.2249793107767</v>
      </c>
      <c r="T77" s="2">
        <f>T11/'Output-Calculation-sheet'!T10*'Output-Calculation-sheet'!T64</f>
        <v>306.90310527674353</v>
      </c>
      <c r="U77" s="2">
        <f>U11/'Output-Calculation-sheet'!U10*'Output-Calculation-sheet'!U64</f>
        <v>419.94765806977495</v>
      </c>
      <c r="V77" s="2">
        <f>V11/'Output-Calculation-sheet'!V10*'Output-Calculation-sheet'!V64</f>
        <v>161.38397493902056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429.41708816075675</v>
      </c>
      <c r="Y77" s="2">
        <f>Y11/'Output-Calculation-sheet'!Y10*'Output-Calculation-sheet'!Y64</f>
        <v>101.36633782583696</v>
      </c>
      <c r="AA77" s="2">
        <f t="shared" si="6"/>
        <v>68.278969558502268</v>
      </c>
    </row>
    <row r="78" spans="1:27" x14ac:dyDescent="0.25">
      <c r="A78" s="2">
        <v>2035</v>
      </c>
      <c r="B78" s="2">
        <f>B12/'Output-Calculation-sheet'!B11*'Output-Calculation-sheet'!B65</f>
        <v>27025.44452208775</v>
      </c>
      <c r="C78" s="2">
        <f>C12/'Output-Calculation-sheet'!C11*'Output-Calculation-sheet'!C65</f>
        <v>19044.32722882348</v>
      </c>
      <c r="D78" s="2">
        <f>D12/'Output-Calculation-sheet'!D11*'Output-Calculation-sheet'!D65</f>
        <v>6207.5218178573123</v>
      </c>
      <c r="E78" s="2">
        <f>E12/'Output-Calculation-sheet'!E11*'Output-Calculation-sheet'!E65</f>
        <v>6209.2347007190119</v>
      </c>
      <c r="F78" s="2">
        <f>F12/'Output-Calculation-sheet'!F11*'Output-Calculation-sheet'!F65</f>
        <v>1441.4564205350568</v>
      </c>
      <c r="G78" s="2">
        <f>G12/'Output-Calculation-sheet'!G11*'Output-Calculation-sheet'!G65</f>
        <v>2148.6500307244328</v>
      </c>
      <c r="H78" s="2">
        <f>H12/'Output-Calculation-sheet'!H11*'Output-Calculation-sheet'!H65</f>
        <v>6886.0808887298999</v>
      </c>
      <c r="I78" s="2">
        <f>I12/'Output-Calculation-sheet'!I11*'Output-Calculation-sheet'!I65</f>
        <v>1907.4419006398814</v>
      </c>
      <c r="J78" s="2">
        <f>J12/'Output-Calculation-sheet'!J11*'Output-Calculation-sheet'!J65</f>
        <v>1696.9220560105023</v>
      </c>
      <c r="K78" s="2">
        <f>K12/'Output-Calculation-sheet'!K11*'Output-Calculation-sheet'!K65</f>
        <v>2262.0088277328096</v>
      </c>
      <c r="L78" s="2">
        <f>L12/'Output-Calculation-sheet'!L11*'Output-Calculation-sheet'!L65</f>
        <v>1489.9964517800231</v>
      </c>
      <c r="M78" s="2">
        <f>M12/'Output-Calculation-sheet'!M11*'Output-Calculation-sheet'!M65</f>
        <v>4808.9148973228985</v>
      </c>
      <c r="N78" s="2">
        <f>N12/'Output-Calculation-sheet'!N11*'Output-Calculation-sheet'!N65</f>
        <v>3433.9166138143592</v>
      </c>
      <c r="O78" s="2">
        <f>O12/'Output-Calculation-sheet'!O11*'Output-Calculation-sheet'!O65</f>
        <v>3479.7407926707333</v>
      </c>
      <c r="P78" s="2">
        <f>P12/'Output-Calculation-sheet'!P11*'Output-Calculation-sheet'!P65</f>
        <v>1901.7353814529056</v>
      </c>
      <c r="Q78" s="2">
        <f>Q12/'Output-Calculation-sheet'!Q11*'Output-Calculation-sheet'!Q65</f>
        <v>1843.7029579233515</v>
      </c>
      <c r="R78" s="2">
        <f>R12/'Output-Calculation-sheet'!R11*'Output-Calculation-sheet'!R65</f>
        <v>1672.5557308328478</v>
      </c>
      <c r="S78" s="2">
        <f>S12/'Output-Calculation-sheet'!S11*'Output-Calculation-sheet'!S65</f>
        <v>1871.0396757450849</v>
      </c>
      <c r="T78" s="2">
        <f>T12/'Output-Calculation-sheet'!T11*'Output-Calculation-sheet'!T65</f>
        <v>582.86931032352732</v>
      </c>
      <c r="U78" s="2">
        <f>U12/'Output-Calculation-sheet'!U11*'Output-Calculation-sheet'!U65</f>
        <v>532.95326077086145</v>
      </c>
      <c r="V78" s="2">
        <f>V12/'Output-Calculation-sheet'!V11*'Output-Calculation-sheet'!V65</f>
        <v>305.04422608453427</v>
      </c>
      <c r="W78" s="2">
        <f>W12/'Output-Calculation-sheet'!W11*'Output-Calculation-sheet'!W65</f>
        <v>203.03365795964424</v>
      </c>
      <c r="X78" s="2">
        <f>X12/'Output-Calculation-sheet'!X11*'Output-Calculation-sheet'!X65</f>
        <v>461.90261230524754</v>
      </c>
      <c r="Y78" s="2">
        <f>Y12/'Output-Calculation-sheet'!Y11*'Output-Calculation-sheet'!Y65</f>
        <v>213.59640136163716</v>
      </c>
      <c r="AA78" s="2">
        <f t="shared" si="6"/>
        <v>97.630090364207788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50.81744579156436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5.0817445791564358E-2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684.0210739012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159.46427152075412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0.84348534542195408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1538.2801048373019</v>
      </c>
      <c r="D89" s="2">
        <f>D12/'Output-Calculation-sheet'!D11*'Output-Calculation-sheet'!D74</f>
        <v>123.87790496622056</v>
      </c>
      <c r="E89" s="2">
        <f>E12/'Output-Calculation-sheet'!E11*'Output-Calculation-sheet'!E74</f>
        <v>98.44989219468863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129.14468852721086</v>
      </c>
      <c r="I89" s="2">
        <f>I12/'Output-Calculation-sheet'!I11*'Output-Calculation-sheet'!I74</f>
        <v>39.969027526347496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39.283262612149798</v>
      </c>
      <c r="L89" s="2">
        <f>L12/'Output-Calculation-sheet'!L11*'Output-Calculation-sheet'!L74</f>
        <v>31.236168042179894</v>
      </c>
      <c r="M89" s="2">
        <f>M12/'Output-Calculation-sheet'!M11*'Output-Calculation-sheet'!M74</f>
        <v>88.864183238076052</v>
      </c>
      <c r="N89" s="2">
        <f>N12/'Output-Calculation-sheet'!N11*'Output-Calculation-sheet'!N74</f>
        <v>58.226155162980547</v>
      </c>
      <c r="O89" s="2">
        <f>O12/'Output-Calculation-sheet'!O11*'Output-Calculation-sheet'!O74</f>
        <v>353.18215770023761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51.014871347196397</v>
      </c>
      <c r="R89" s="2">
        <f>R12/'Output-Calculation-sheet'!R11*'Output-Calculation-sheet'!R74</f>
        <v>25.295378636633565</v>
      </c>
      <c r="S89" s="2">
        <f>S12/'Output-Calculation-sheet'!S11*'Output-Calculation-sheet'!S74</f>
        <v>33.37715159871712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16.276861032002607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12.998159959062571</v>
      </c>
      <c r="Y89" s="2">
        <f>Y12/'Output-Calculation-sheet'!Y11*'Output-Calculation-sheet'!Y74</f>
        <v>6.2717327234235887</v>
      </c>
      <c r="AA89" s="2">
        <f t="shared" si="7"/>
        <v>3.5002398273965265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22816299028.023327</v>
      </c>
      <c r="C96" s="2">
        <f>C8/'Output-Calculation-sheet'!C7*'Output-Calculation-sheet'!C79</f>
        <v>9445649704.3262482</v>
      </c>
      <c r="D96" s="2">
        <f>D8/'Output-Calculation-sheet'!D7*'Output-Calculation-sheet'!D79</f>
        <v>7529664495.9145346</v>
      </c>
      <c r="E96" s="2">
        <f>E8/'Output-Calculation-sheet'!E7*'Output-Calculation-sheet'!E79</f>
        <v>9098459657.7780209</v>
      </c>
      <c r="F96" s="2">
        <f>F8/'Output-Calculation-sheet'!F7*'Output-Calculation-sheet'!F79</f>
        <v>5370768503.1408434</v>
      </c>
      <c r="G96" s="2">
        <f>G8/'Output-Calculation-sheet'!G7*'Output-Calculation-sheet'!G79</f>
        <v>2731851632.2316704</v>
      </c>
      <c r="H96" s="2">
        <f>H8/'Output-Calculation-sheet'!H7*'Output-Calculation-sheet'!H79</f>
        <v>3411175629.6045175</v>
      </c>
      <c r="I96" s="2">
        <f>I8/'Output-Calculation-sheet'!I7*'Output-Calculation-sheet'!I79</f>
        <v>3264972047.8794475</v>
      </c>
      <c r="J96" s="2">
        <f>J8/'Output-Calculation-sheet'!J7*'Output-Calculation-sheet'!J79</f>
        <v>1842867456.0866535</v>
      </c>
      <c r="K96" s="2">
        <f>K8/'Output-Calculation-sheet'!K7*'Output-Calculation-sheet'!K79</f>
        <v>3139034500.4001346</v>
      </c>
      <c r="L96" s="2">
        <f>L8/'Output-Calculation-sheet'!L7*'Output-Calculation-sheet'!L79</f>
        <v>2257655313.2945037</v>
      </c>
      <c r="M96" s="2">
        <f>M8/'Output-Calculation-sheet'!M7*'Output-Calculation-sheet'!M79</f>
        <v>2282288831.6661673</v>
      </c>
      <c r="N96" s="2">
        <f>N8/'Output-Calculation-sheet'!N7*'Output-Calculation-sheet'!N79</f>
        <v>1624369199.6017451</v>
      </c>
      <c r="O96" s="2">
        <f>O8/'Output-Calculation-sheet'!O7*'Output-Calculation-sheet'!O79</f>
        <v>1276614607.7743406</v>
      </c>
      <c r="P96" s="2">
        <f>P8/'Output-Calculation-sheet'!P7*'Output-Calculation-sheet'!P79</f>
        <v>2713761447.9097457</v>
      </c>
      <c r="Q96" s="2">
        <f>Q8/'Output-Calculation-sheet'!Q7*'Output-Calculation-sheet'!Q79</f>
        <v>1478086043.397187</v>
      </c>
      <c r="R96" s="2">
        <f>R8/'Output-Calculation-sheet'!R7*'Output-Calculation-sheet'!R79</f>
        <v>1971907346.4433153</v>
      </c>
      <c r="S96" s="2">
        <f>S8/'Output-Calculation-sheet'!S7*'Output-Calculation-sheet'!S79</f>
        <v>1241209374.6531026</v>
      </c>
      <c r="T96" s="2">
        <f>T8/'Output-Calculation-sheet'!T7*'Output-Calculation-sheet'!T79</f>
        <v>797031167.94952011</v>
      </c>
      <c r="U96" s="2">
        <f>U8/'Output-Calculation-sheet'!U7*'Output-Calculation-sheet'!U79</f>
        <v>739075989.44331837</v>
      </c>
      <c r="V96" s="2">
        <f>V8/'Output-Calculation-sheet'!V7*'Output-Calculation-sheet'!V79</f>
        <v>475842301.06957769</v>
      </c>
      <c r="W96" s="2">
        <f>W8/'Output-Calculation-sheet'!W7*'Output-Calculation-sheet'!W79</f>
        <v>569215257.52526712</v>
      </c>
      <c r="X96" s="2">
        <f>X8/'Output-Calculation-sheet'!X7*'Output-Calculation-sheet'!X79</f>
        <v>260533043.48028061</v>
      </c>
      <c r="Y96" s="2">
        <f>Y8/'Output-Calculation-sheet'!Y7*'Output-Calculation-sheet'!Y79</f>
        <v>291607417.19490641</v>
      </c>
      <c r="AA96" s="2">
        <f t="shared" si="8"/>
        <v>86.62993999678838</v>
      </c>
    </row>
    <row r="97" spans="1:27" x14ac:dyDescent="0.25">
      <c r="A97" s="2">
        <v>2032</v>
      </c>
      <c r="B97" s="2">
        <f>B9/'Output-Calculation-sheet'!B8*'Output-Calculation-sheet'!B80</f>
        <v>32532229192.412033</v>
      </c>
      <c r="C97" s="2">
        <f>C9/'Output-Calculation-sheet'!C8*'Output-Calculation-sheet'!C80</f>
        <v>13479662339.509628</v>
      </c>
      <c r="D97" s="2">
        <f>D9/'Output-Calculation-sheet'!D8*'Output-Calculation-sheet'!D80</f>
        <v>10654582988.582253</v>
      </c>
      <c r="E97" s="2">
        <f>E9/'Output-Calculation-sheet'!E8*'Output-Calculation-sheet'!E80</f>
        <v>12856389586.877035</v>
      </c>
      <c r="F97" s="2">
        <f>F9/'Output-Calculation-sheet'!F8*'Output-Calculation-sheet'!F80</f>
        <v>7617773854.5503836</v>
      </c>
      <c r="G97" s="2">
        <f>G9/'Output-Calculation-sheet'!G8*'Output-Calculation-sheet'!G80</f>
        <v>3813326098.0649552</v>
      </c>
      <c r="H97" s="2">
        <f>H9/'Output-Calculation-sheet'!H8*'Output-Calculation-sheet'!H80</f>
        <v>4853745285.6363811</v>
      </c>
      <c r="I97" s="2">
        <f>I9/'Output-Calculation-sheet'!I8*'Output-Calculation-sheet'!I80</f>
        <v>4633095718.9362717</v>
      </c>
      <c r="J97" s="2">
        <f>J9/'Output-Calculation-sheet'!J8*'Output-Calculation-sheet'!J80</f>
        <v>2643713009.8621531</v>
      </c>
      <c r="K97" s="2">
        <f>K9/'Output-Calculation-sheet'!K8*'Output-Calculation-sheet'!K80</f>
        <v>4453381968.8953514</v>
      </c>
      <c r="L97" s="2">
        <f>L9/'Output-Calculation-sheet'!L8*'Output-Calculation-sheet'!L80</f>
        <v>3222173646.3216209</v>
      </c>
      <c r="M97" s="2">
        <f>M9/'Output-Calculation-sheet'!M8*'Output-Calculation-sheet'!M80</f>
        <v>3247405099.9900742</v>
      </c>
      <c r="N97" s="2">
        <f>N9/'Output-Calculation-sheet'!N8*'Output-Calculation-sheet'!N80</f>
        <v>2321164006.8427405</v>
      </c>
      <c r="O97" s="2">
        <f>O9/'Output-Calculation-sheet'!O8*'Output-Calculation-sheet'!O80</f>
        <v>1831256661.8459098</v>
      </c>
      <c r="P97" s="2">
        <f>P9/'Output-Calculation-sheet'!P8*'Output-Calculation-sheet'!P80</f>
        <v>3826897573.4133387</v>
      </c>
      <c r="Q97" s="2">
        <f>Q9/'Output-Calculation-sheet'!Q8*'Output-Calculation-sheet'!Q80</f>
        <v>2118993591.3256724</v>
      </c>
      <c r="R97" s="2">
        <f>R9/'Output-Calculation-sheet'!R8*'Output-Calculation-sheet'!R80</f>
        <v>2809470403.7663713</v>
      </c>
      <c r="S97" s="2">
        <f>S9/'Output-Calculation-sheet'!S8*'Output-Calculation-sheet'!S80</f>
        <v>1772367372.0679784</v>
      </c>
      <c r="T97" s="2">
        <f>T9/'Output-Calculation-sheet'!T8*'Output-Calculation-sheet'!T80</f>
        <v>1126565902.261888</v>
      </c>
      <c r="U97" s="2">
        <f>U9/'Output-Calculation-sheet'!U8*'Output-Calculation-sheet'!U80</f>
        <v>1050566482.5034738</v>
      </c>
      <c r="V97" s="2">
        <f>V9/'Output-Calculation-sheet'!V8*'Output-Calculation-sheet'!V80</f>
        <v>680356856.69154561</v>
      </c>
      <c r="W97" s="2">
        <f>W9/'Output-Calculation-sheet'!W8*'Output-Calculation-sheet'!W80</f>
        <v>795869401.78278995</v>
      </c>
      <c r="X97" s="2">
        <f>X9/'Output-Calculation-sheet'!X8*'Output-Calculation-sheet'!X80</f>
        <v>370588947.00701571</v>
      </c>
      <c r="Y97" s="2">
        <f>Y9/'Output-Calculation-sheet'!Y8*'Output-Calculation-sheet'!Y80</f>
        <v>409517862.7323541</v>
      </c>
      <c r="AA97" s="2">
        <f t="shared" si="8"/>
        <v>123.12109385187925</v>
      </c>
    </row>
    <row r="98" spans="1:27" x14ac:dyDescent="0.25">
      <c r="A98" s="2">
        <v>2033</v>
      </c>
      <c r="B98" s="2">
        <f>B10/'Output-Calculation-sheet'!B9*'Output-Calculation-sheet'!B81</f>
        <v>42538853152.123497</v>
      </c>
      <c r="C98" s="2">
        <f>C10/'Output-Calculation-sheet'!C9*'Output-Calculation-sheet'!C81</f>
        <v>17644152121.03986</v>
      </c>
      <c r="D98" s="2">
        <f>D10/'Output-Calculation-sheet'!D9*'Output-Calculation-sheet'!D81</f>
        <v>13840651072.209948</v>
      </c>
      <c r="E98" s="2">
        <f>E10/'Output-Calculation-sheet'!E9*'Output-Calculation-sheet'!E81</f>
        <v>16669497071.747833</v>
      </c>
      <c r="F98" s="2">
        <f>F10/'Output-Calculation-sheet'!F9*'Output-Calculation-sheet'!F81</f>
        <v>9912072987.2324371</v>
      </c>
      <c r="G98" s="2">
        <f>G10/'Output-Calculation-sheet'!G9*'Output-Calculation-sheet'!G81</f>
        <v>4885928626.2128811</v>
      </c>
      <c r="H98" s="2">
        <f>H10/'Output-Calculation-sheet'!H9*'Output-Calculation-sheet'!H81</f>
        <v>6334699446.5039692</v>
      </c>
      <c r="I98" s="2">
        <f>I10/'Output-Calculation-sheet'!I9*'Output-Calculation-sheet'!I81</f>
        <v>6032091123.4201832</v>
      </c>
      <c r="J98" s="2">
        <f>J10/'Output-Calculation-sheet'!J9*'Output-Calculation-sheet'!J81</f>
        <v>3480648348.4911876</v>
      </c>
      <c r="K98" s="2">
        <f>K10/'Output-Calculation-sheet'!K9*'Output-Calculation-sheet'!K81</f>
        <v>5796201081.2939491</v>
      </c>
      <c r="L98" s="2">
        <f>L10/'Output-Calculation-sheet'!L9*'Output-Calculation-sheet'!L81</f>
        <v>4217954078.9475684</v>
      </c>
      <c r="M98" s="2">
        <f>M10/'Output-Calculation-sheet'!M9*'Output-Calculation-sheet'!M81</f>
        <v>4239006680.2005682</v>
      </c>
      <c r="N98" s="2">
        <f>N10/'Output-Calculation-sheet'!N9*'Output-Calculation-sheet'!N81</f>
        <v>3043996489.6264596</v>
      </c>
      <c r="O98" s="2">
        <f>O10/'Output-Calculation-sheet'!O9*'Output-Calculation-sheet'!O81</f>
        <v>2410044045.8239803</v>
      </c>
      <c r="P98" s="2">
        <f>P10/'Output-Calculation-sheet'!P9*'Output-Calculation-sheet'!P81</f>
        <v>4950226266.5098734</v>
      </c>
      <c r="Q98" s="2">
        <f>Q10/'Output-Calculation-sheet'!Q9*'Output-Calculation-sheet'!Q81</f>
        <v>2787015070.5052886</v>
      </c>
      <c r="R98" s="2">
        <f>R10/'Output-Calculation-sheet'!R9*'Output-Calculation-sheet'!R81</f>
        <v>3671282457.916738</v>
      </c>
      <c r="S98" s="2">
        <f>S10/'Output-Calculation-sheet'!S9*'Output-Calculation-sheet'!S81</f>
        <v>2320919163.0774097</v>
      </c>
      <c r="T98" s="2">
        <f>T10/'Output-Calculation-sheet'!T9*'Output-Calculation-sheet'!T81</f>
        <v>1461055168.9249451</v>
      </c>
      <c r="U98" s="2">
        <f>U10/'Output-Calculation-sheet'!U9*'Output-Calculation-sheet'!U81</f>
        <v>1368934412.1784909</v>
      </c>
      <c r="V98" s="2">
        <f>V10/'Output-Calculation-sheet'!V9*'Output-Calculation-sheet'!V81</f>
        <v>891600311.77624583</v>
      </c>
      <c r="W98" s="2">
        <f>W10/'Output-Calculation-sheet'!W9*'Output-Calculation-sheet'!W81</f>
        <v>1021014571.8240087</v>
      </c>
      <c r="X98" s="2">
        <f>X10/'Output-Calculation-sheet'!X9*'Output-Calculation-sheet'!X81</f>
        <v>483561491.52920347</v>
      </c>
      <c r="Y98" s="2">
        <f>Y10/'Output-Calculation-sheet'!Y9*'Output-Calculation-sheet'!Y81</f>
        <v>527848715.43914515</v>
      </c>
      <c r="AA98" s="2">
        <f t="shared" si="8"/>
        <v>160.52925395455568</v>
      </c>
    </row>
    <row r="99" spans="1:27" x14ac:dyDescent="0.25">
      <c r="A99" s="2">
        <v>2034</v>
      </c>
      <c r="B99" s="2">
        <f>B11/'Output-Calculation-sheet'!B10*'Output-Calculation-sheet'!B82</f>
        <v>52368187111.427971</v>
      </c>
      <c r="C99" s="2">
        <f>C11/'Output-Calculation-sheet'!C10*'Output-Calculation-sheet'!C82</f>
        <v>21746890476.640156</v>
      </c>
      <c r="D99" s="2">
        <f>D11/'Output-Calculation-sheet'!D10*'Output-Calculation-sheet'!D82</f>
        <v>16944044911.513258</v>
      </c>
      <c r="E99" s="2">
        <f>E11/'Output-Calculation-sheet'!E10*'Output-Calculation-sheet'!E82</f>
        <v>20359509551.705982</v>
      </c>
      <c r="F99" s="2">
        <f>F11/'Output-Calculation-sheet'!F10*'Output-Calculation-sheet'!F82</f>
        <v>12146342923.982985</v>
      </c>
      <c r="G99" s="2">
        <f>G11/'Output-Calculation-sheet'!G10*'Output-Calculation-sheet'!G82</f>
        <v>5899149857.8118019</v>
      </c>
      <c r="H99" s="2">
        <f>H11/'Output-Calculation-sheet'!H10*'Output-Calculation-sheet'!H82</f>
        <v>7784888533.5217381</v>
      </c>
      <c r="I99" s="2">
        <f>I11/'Output-Calculation-sheet'!I10*'Output-Calculation-sheet'!I82</f>
        <v>7397041712.7749062</v>
      </c>
      <c r="J99" s="2">
        <f>J11/'Output-Calculation-sheet'!J10*'Output-Calculation-sheet'!J82</f>
        <v>4317230876.0676479</v>
      </c>
      <c r="K99" s="2">
        <f>K11/'Output-Calculation-sheet'!K10*'Output-Calculation-sheet'!K82</f>
        <v>7104907869.388833</v>
      </c>
      <c r="L99" s="2">
        <f>L11/'Output-Calculation-sheet'!L10*'Output-Calculation-sheet'!L82</f>
        <v>5198930678.7887011</v>
      </c>
      <c r="M99" s="2">
        <f>M11/'Output-Calculation-sheet'!M10*'Output-Calculation-sheet'!M82</f>
        <v>5211248350.6340246</v>
      </c>
      <c r="N99" s="2">
        <f>N11/'Output-Calculation-sheet'!N10*'Output-Calculation-sheet'!N82</f>
        <v>3760766384.3799124</v>
      </c>
      <c r="O99" s="2">
        <f>O11/'Output-Calculation-sheet'!O10*'Output-Calculation-sheet'!O82</f>
        <v>2987244198.3982868</v>
      </c>
      <c r="P99" s="2">
        <f>P11/'Output-Calculation-sheet'!P10*'Output-Calculation-sheet'!P82</f>
        <v>6030119248.6757669</v>
      </c>
      <c r="Q99" s="2">
        <f>Q11/'Output-Calculation-sheet'!Q10*'Output-Calculation-sheet'!Q82</f>
        <v>3452318573.945713</v>
      </c>
      <c r="R99" s="2">
        <f>R11/'Output-Calculation-sheet'!R10*'Output-Calculation-sheet'!R82</f>
        <v>4517199731.1638203</v>
      </c>
      <c r="S99" s="2">
        <f>S11/'Output-Calculation-sheet'!S10*'Output-Calculation-sheet'!S82</f>
        <v>2861351506.0786633</v>
      </c>
      <c r="T99" s="2">
        <f>T11/'Output-Calculation-sheet'!T10*'Output-Calculation-sheet'!T82</f>
        <v>1784865442.7386453</v>
      </c>
      <c r="U99" s="2">
        <f>U11/'Output-Calculation-sheet'!U10*'Output-Calculation-sheet'!U82</f>
        <v>1678866296.8078523</v>
      </c>
      <c r="V99" s="2">
        <f>V11/'Output-Calculation-sheet'!V10*'Output-Calculation-sheet'!V82</f>
        <v>1099531465.7137611</v>
      </c>
      <c r="W99" s="2">
        <f>W11/'Output-Calculation-sheet'!W10*'Output-Calculation-sheet'!W82</f>
        <v>1233804616.6920877</v>
      </c>
      <c r="X99" s="2">
        <f>X11/'Output-Calculation-sheet'!X10*'Output-Calculation-sheet'!X82</f>
        <v>594200487.61691523</v>
      </c>
      <c r="Y99" s="2">
        <f>Y11/'Output-Calculation-sheet'!Y10*'Output-Calculation-sheet'!Y82</f>
        <v>641065777.46495736</v>
      </c>
      <c r="AA99" s="2">
        <f t="shared" si="8"/>
        <v>197.11970658393446</v>
      </c>
    </row>
    <row r="100" spans="1:27" x14ac:dyDescent="0.25">
      <c r="A100" s="2">
        <v>2035</v>
      </c>
      <c r="B100" s="2">
        <f>B12/'Output-Calculation-sheet'!B11*'Output-Calculation-sheet'!B83</f>
        <v>61687448834.717918</v>
      </c>
      <c r="C100" s="2">
        <f>C12/'Output-Calculation-sheet'!C11*'Output-Calculation-sheet'!C83</f>
        <v>25650750826.339062</v>
      </c>
      <c r="D100" s="2">
        <f>D12/'Output-Calculation-sheet'!D11*'Output-Calculation-sheet'!D83</f>
        <v>19866919008.957623</v>
      </c>
      <c r="E100" s="2">
        <f>E12/'Output-Calculation-sheet'!E11*'Output-Calculation-sheet'!E83</f>
        <v>23805361142.481663</v>
      </c>
      <c r="F100" s="2">
        <f>F12/'Output-Calculation-sheet'!F11*'Output-Calculation-sheet'!F83</f>
        <v>14246313795.921019</v>
      </c>
      <c r="G100" s="2">
        <f>G12/'Output-Calculation-sheet'!G11*'Output-Calculation-sheet'!G83</f>
        <v>6821292838.7921333</v>
      </c>
      <c r="H100" s="2">
        <f>H12/'Output-Calculation-sheet'!H11*'Output-Calculation-sheet'!H83</f>
        <v>9155630901.5005455</v>
      </c>
      <c r="I100" s="2">
        <f>I12/'Output-Calculation-sheet'!I11*'Output-Calculation-sheet'!I83</f>
        <v>8682863546.0182247</v>
      </c>
      <c r="J100" s="2">
        <f>J12/'Output-Calculation-sheet'!J11*'Output-Calculation-sheet'!J83</f>
        <v>5126920548.3012934</v>
      </c>
      <c r="K100" s="2">
        <f>K12/'Output-Calculation-sheet'!K11*'Output-Calculation-sheet'!K83</f>
        <v>8336183309.1364717</v>
      </c>
      <c r="L100" s="2">
        <f>L12/'Output-Calculation-sheet'!L11*'Output-Calculation-sheet'!L83</f>
        <v>6132190801.5366306</v>
      </c>
      <c r="M100" s="2">
        <f>M12/'Output-Calculation-sheet'!M11*'Output-Calculation-sheet'!M83</f>
        <v>6131838955.3275776</v>
      </c>
      <c r="N100" s="2">
        <f>N12/'Output-Calculation-sheet'!N11*'Output-Calculation-sheet'!N83</f>
        <v>4448475343.1439552</v>
      </c>
      <c r="O100" s="2">
        <f>O12/'Output-Calculation-sheet'!O11*'Output-Calculation-sheet'!O83</f>
        <v>3544071564.3029175</v>
      </c>
      <c r="P100" s="2">
        <f>P12/'Output-Calculation-sheet'!P11*'Output-Calculation-sheet'!P83</f>
        <v>7030694915.2124424</v>
      </c>
      <c r="Q100" s="2">
        <f>Q12/'Output-Calculation-sheet'!Q11*'Output-Calculation-sheet'!Q83</f>
        <v>4093157796.5937638</v>
      </c>
      <c r="R100" s="2">
        <f>R12/'Output-Calculation-sheet'!R11*'Output-Calculation-sheet'!R83</f>
        <v>5318798557.0162115</v>
      </c>
      <c r="S100" s="2">
        <f>S12/'Output-Calculation-sheet'!S11*'Output-Calculation-sheet'!S83</f>
        <v>3375407977.1721435</v>
      </c>
      <c r="T100" s="2">
        <f>T12/'Output-Calculation-sheet'!T11*'Output-Calculation-sheet'!T83</f>
        <v>2087397032.7256067</v>
      </c>
      <c r="U100" s="2">
        <f>U12/'Output-Calculation-sheet'!U11*'Output-Calculation-sheet'!U83</f>
        <v>1969689810.3033383</v>
      </c>
      <c r="V100" s="2">
        <f>V12/'Output-Calculation-sheet'!V11*'Output-Calculation-sheet'!V83</f>
        <v>1296940939.6228881</v>
      </c>
      <c r="W100" s="2">
        <f>W12/'Output-Calculation-sheet'!W11*'Output-Calculation-sheet'!W83</f>
        <v>1427308193.9135833</v>
      </c>
      <c r="X100" s="2">
        <f>X12/'Output-Calculation-sheet'!X11*'Output-Calculation-sheet'!X83</f>
        <v>698812599.93710458</v>
      </c>
      <c r="Y100" s="2">
        <f>Y12/'Output-Calculation-sheet'!Y11*'Output-Calculation-sheet'!Y83</f>
        <v>745553168.25688767</v>
      </c>
      <c r="AA100" s="2">
        <f t="shared" si="8"/>
        <v>231.68002240723098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1655756937.9634998</v>
      </c>
      <c r="C107" s="2">
        <f>C8/'Output-Calculation-sheet'!C7*'Output-Calculation-sheet'!C88</f>
        <v>27268530478.720646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8507923909.9425268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5869758259.1556673</v>
      </c>
      <c r="N107" s="2">
        <f>N8/'Output-Calculation-sheet'!N7*'Output-Calculation-sheet'!N88</f>
        <v>1964715804.0734146</v>
      </c>
      <c r="O107" s="2">
        <f>O8/'Output-Calculation-sheet'!O7*'Output-Calculation-sheet'!O88</f>
        <v>5298300367.444766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589083864.08481765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635696698.14119625</v>
      </c>
      <c r="Y107" s="2">
        <f>Y8/'Output-Calculation-sheet'!Y7*'Output-Calculation-sheet'!Y88</f>
        <v>0</v>
      </c>
      <c r="AA107" s="2">
        <f t="shared" si="9"/>
        <v>51789.766319526534</v>
      </c>
    </row>
    <row r="108" spans="1:27" x14ac:dyDescent="0.25">
      <c r="A108" s="2">
        <v>2032</v>
      </c>
      <c r="B108" s="2">
        <f>B9/'Output-Calculation-sheet'!B8*'Output-Calculation-sheet'!B89</f>
        <v>7680371865.8069305</v>
      </c>
      <c r="C108" s="2">
        <f>C9/'Output-Calculation-sheet'!C8*'Output-Calculation-sheet'!C89</f>
        <v>38501109364.226486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12012080176.731659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8287290834.3629494</v>
      </c>
      <c r="N108" s="2">
        <f>N9/'Output-Calculation-sheet'!N8*'Output-Calculation-sheet'!N89</f>
        <v>3888302385.5162134</v>
      </c>
      <c r="O108" s="2">
        <f>O9/'Output-Calculation-sheet'!O8*'Output-Calculation-sheet'!O89</f>
        <v>7480798297.266818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1174922612.8750932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897538368.89149094</v>
      </c>
      <c r="Y108" s="2">
        <f>Y9/'Output-Calculation-sheet'!Y8*'Output-Calculation-sheet'!Y89</f>
        <v>0</v>
      </c>
      <c r="AA108" s="2">
        <f t="shared" si="9"/>
        <v>79922.413905677648</v>
      </c>
    </row>
    <row r="109" spans="1:27" x14ac:dyDescent="0.25">
      <c r="A109" s="2">
        <v>2033</v>
      </c>
      <c r="B109" s="2">
        <f>B10/'Output-Calculation-sheet'!B9*'Output-Calculation-sheet'!B90</f>
        <v>21105361452.202358</v>
      </c>
      <c r="C109" s="2">
        <f>C10/'Output-Calculation-sheet'!C9*'Output-Calculation-sheet'!C90</f>
        <v>49879900781.045113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15562179818.134218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10736551709.232141</v>
      </c>
      <c r="N109" s="2">
        <f>N10/'Output-Calculation-sheet'!N9*'Output-Calculation-sheet'!N90</f>
        <v>6325350242.3420439</v>
      </c>
      <c r="O109" s="2">
        <f>O10/'Output-Calculation-sheet'!O9*'Output-Calculation-sheet'!O90</f>
        <v>9240784090.7139893</v>
      </c>
      <c r="P109" s="2">
        <f>P10/'Output-Calculation-sheet'!P9*'Output-Calculation-sheet'!P90</f>
        <v>0</v>
      </c>
      <c r="Q109" s="2">
        <f>Q10/'Output-Calculation-sheet'!Q9*'Output-Calculation-sheet'!Q90</f>
        <v>205886915.92848319</v>
      </c>
      <c r="R109" s="2">
        <f>R10/'Output-Calculation-sheet'!R9*'Output-Calculation-sheet'!R90</f>
        <v>0</v>
      </c>
      <c r="S109" s="2">
        <f>S10/'Output-Calculation-sheet'!S9*'Output-Calculation-sheet'!S90</f>
        <v>2550038071.2898145</v>
      </c>
      <c r="T109" s="2">
        <f>T10/'Output-Calculation-sheet'!T9*'Output-Calculation-sheet'!T90</f>
        <v>-4.2380623192128996E-7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1162801034.0005596</v>
      </c>
      <c r="Y109" s="2">
        <f>Y10/'Output-Calculation-sheet'!Y9*'Output-Calculation-sheet'!Y90</f>
        <v>0</v>
      </c>
      <c r="AA109" s="2">
        <f t="shared" si="9"/>
        <v>116768.85411488872</v>
      </c>
    </row>
    <row r="110" spans="1:27" x14ac:dyDescent="0.25">
      <c r="A110" s="2">
        <v>2034</v>
      </c>
      <c r="B110" s="2">
        <f>B11/'Output-Calculation-sheet'!B10*'Output-Calculation-sheet'!B91</f>
        <v>50881138105.811798</v>
      </c>
      <c r="C110" s="2">
        <f>C11/'Output-Calculation-sheet'!C10*'Output-Calculation-sheet'!C91</f>
        <v>56362488303.32724</v>
      </c>
      <c r="D110" s="2">
        <f>D11/'Output-Calculation-sheet'!D10*'Output-Calculation-sheet'!D91</f>
        <v>0</v>
      </c>
      <c r="E110" s="2">
        <f>E11/'Output-Calculation-sheet'!E10*'Output-Calculation-sheet'!E91</f>
        <v>1064839506.9668055</v>
      </c>
      <c r="F110" s="2">
        <f>F11/'Output-Calculation-sheet'!F10*'Output-Calculation-sheet'!F91</f>
        <v>0</v>
      </c>
      <c r="G110" s="2">
        <f>G11/'Output-Calculation-sheet'!G10*'Output-Calculation-sheet'!G91</f>
        <v>-2.4003930532957937E-6</v>
      </c>
      <c r="H110" s="2">
        <f>H11/'Output-Calculation-sheet'!H10*'Output-Calculation-sheet'!H91</f>
        <v>18991349847.955193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864589108.68744385</v>
      </c>
      <c r="M110" s="2">
        <f>M11/'Output-Calculation-sheet'!M10*'Output-Calculation-sheet'!M91</f>
        <v>13102378844.47677</v>
      </c>
      <c r="N110" s="2">
        <f>N11/'Output-Calculation-sheet'!N10*'Output-Calculation-sheet'!N91</f>
        <v>9063437331.5272694</v>
      </c>
      <c r="O110" s="2">
        <f>O11/'Output-Calculation-sheet'!O10*'Output-Calculation-sheet'!O91</f>
        <v>10390769006.690241</v>
      </c>
      <c r="P110" s="2">
        <f>P11/'Output-Calculation-sheet'!P10*'Output-Calculation-sheet'!P91</f>
        <v>9.673230675401372E-7</v>
      </c>
      <c r="Q110" s="2">
        <f>Q11/'Output-Calculation-sheet'!Q10*'Output-Calculation-sheet'!Q91</f>
        <v>2306581073.9748983</v>
      </c>
      <c r="R110" s="2">
        <f>R11/'Output-Calculation-sheet'!R10*'Output-Calculation-sheet'!R91</f>
        <v>0</v>
      </c>
      <c r="S110" s="2">
        <f>S11/'Output-Calculation-sheet'!S10*'Output-Calculation-sheet'!S91</f>
        <v>4456169068.2485428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1293391248.7130554</v>
      </c>
      <c r="Y110" s="2">
        <f>Y11/'Output-Calculation-sheet'!Y10*'Output-Calculation-sheet'!Y91</f>
        <v>56819478.324583389</v>
      </c>
      <c r="AA110" s="2">
        <f t="shared" si="9"/>
        <v>168833.95092470382</v>
      </c>
    </row>
    <row r="111" spans="1:27" x14ac:dyDescent="0.25">
      <c r="A111" s="2">
        <v>2035</v>
      </c>
      <c r="B111" s="2">
        <f>B12/'Output-Calculation-sheet'!B11*'Output-Calculation-sheet'!B92</f>
        <v>74191081310.220047</v>
      </c>
      <c r="C111" s="2">
        <f>C12/'Output-Calculation-sheet'!C11*'Output-Calculation-sheet'!C92</f>
        <v>62336074297.436722</v>
      </c>
      <c r="D111" s="2">
        <f>D12/'Output-Calculation-sheet'!D11*'Output-Calculation-sheet'!D92</f>
        <v>0</v>
      </c>
      <c r="E111" s="2">
        <f>E12/'Output-Calculation-sheet'!E11*'Output-Calculation-sheet'!E92</f>
        <v>8431850296.3944435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21159375715.55069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2714328981.9996257</v>
      </c>
      <c r="M111" s="2">
        <f>M12/'Output-Calculation-sheet'!M11*'Output-Calculation-sheet'!M92</f>
        <v>14648318646.454514</v>
      </c>
      <c r="N111" s="2">
        <f>N12/'Output-Calculation-sheet'!N11*'Output-Calculation-sheet'!N92</f>
        <v>10502865892.683771</v>
      </c>
      <c r="O111" s="2">
        <f>O12/'Output-Calculation-sheet'!O11*'Output-Calculation-sheet'!O92</f>
        <v>11194260628.315426</v>
      </c>
      <c r="P111" s="2">
        <f>P12/'Output-Calculation-sheet'!P11*'Output-Calculation-sheet'!P92</f>
        <v>576079860.12378001</v>
      </c>
      <c r="Q111" s="2">
        <f>Q12/'Output-Calculation-sheet'!Q11*'Output-Calculation-sheet'!Q92</f>
        <v>4512252616.9416847</v>
      </c>
      <c r="R111" s="2">
        <f>R12/'Output-Calculation-sheet'!R11*'Output-Calculation-sheet'!R92</f>
        <v>0</v>
      </c>
      <c r="S111" s="2">
        <f>S12/'Output-Calculation-sheet'!S11*'Output-Calculation-sheet'!S92</f>
        <v>5649044524.3585339</v>
      </c>
      <c r="T111" s="2">
        <f>T12/'Output-Calculation-sheet'!T11*'Output-Calculation-sheet'!T92</f>
        <v>0</v>
      </c>
      <c r="U111" s="2">
        <f>U12/'Output-Calculation-sheet'!U11*'Output-Calculation-sheet'!U92</f>
        <v>200646981.93343028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1439275853.7390313</v>
      </c>
      <c r="Y111" s="2">
        <f>Y12/'Output-Calculation-sheet'!Y11*'Output-Calculation-sheet'!Y92</f>
        <v>340519965.17864966</v>
      </c>
      <c r="AA111" s="2">
        <f t="shared" si="9"/>
        <v>217895.97557133035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56221670748.802635</v>
      </c>
      <c r="C118" s="2">
        <f>C8/'Output-Calculation-sheet'!C7*'Output-Calculation-sheet'!C97</f>
        <v>0</v>
      </c>
      <c r="D118" s="2">
        <f>D8/'Output-Calculation-sheet'!D7*'Output-Calculation-sheet'!D97</f>
        <v>24309186545.576733</v>
      </c>
      <c r="E118" s="2">
        <f>E8/'Output-Calculation-sheet'!E7*'Output-Calculation-sheet'!E97</f>
        <v>19286872705.49115</v>
      </c>
      <c r="F118" s="2">
        <f>F8/'Output-Calculation-sheet'!F7*'Output-Calculation-sheet'!F97</f>
        <v>12415652063.251659</v>
      </c>
      <c r="G118" s="2">
        <f>G8/'Output-Calculation-sheet'!G7*'Output-Calculation-sheet'!G97</f>
        <v>8723577878.0145607</v>
      </c>
      <c r="H118" s="2">
        <f>H8/'Output-Calculation-sheet'!H7*'Output-Calculation-sheet'!H97</f>
        <v>0</v>
      </c>
      <c r="I118" s="2">
        <f>I8/'Output-Calculation-sheet'!I7*'Output-Calculation-sheet'!I97</f>
        <v>7947866142.5059605</v>
      </c>
      <c r="J118" s="2">
        <f>J8/'Output-Calculation-sheet'!J7*'Output-Calculation-sheet'!J97</f>
        <v>7735905487.448595</v>
      </c>
      <c r="K118" s="2">
        <f>K8/'Output-Calculation-sheet'!K7*'Output-Calculation-sheet'!K97</f>
        <v>7661741454.8884315</v>
      </c>
      <c r="L118" s="2">
        <f>L8/'Output-Calculation-sheet'!L7*'Output-Calculation-sheet'!L97</f>
        <v>6146348618.9847517</v>
      </c>
      <c r="M118" s="2">
        <f>M8/'Output-Calculation-sheet'!M7*'Output-Calculation-sheet'!M97</f>
        <v>0</v>
      </c>
      <c r="N118" s="2">
        <f>N8/'Output-Calculation-sheet'!N7*'Output-Calculation-sheet'!N97</f>
        <v>3797436132.2541466</v>
      </c>
      <c r="O118" s="2">
        <f>O8/'Output-Calculation-sheet'!O7*'Output-Calculation-sheet'!O97</f>
        <v>0</v>
      </c>
      <c r="P118" s="2">
        <f>P8/'Output-Calculation-sheet'!P7*'Output-Calculation-sheet'!P97</f>
        <v>5245591654.053937</v>
      </c>
      <c r="Q118" s="2">
        <f>Q8/'Output-Calculation-sheet'!Q7*'Output-Calculation-sheet'!Q97</f>
        <v>5160813437.0071316</v>
      </c>
      <c r="R118" s="2">
        <f>R8/'Output-Calculation-sheet'!R7*'Output-Calculation-sheet'!R97</f>
        <v>4964939873.6305485</v>
      </c>
      <c r="S118" s="2">
        <f>S8/'Output-Calculation-sheet'!S7*'Output-Calculation-sheet'!S97</f>
        <v>2710870414.2820187</v>
      </c>
      <c r="T118" s="2">
        <f>T8/'Output-Calculation-sheet'!T7*'Output-Calculation-sheet'!T97</f>
        <v>1825069562.0191336</v>
      </c>
      <c r="U118" s="2">
        <f>U8/'Output-Calculation-sheet'!U7*'Output-Calculation-sheet'!U97</f>
        <v>1589572916.397728</v>
      </c>
      <c r="V118" s="2">
        <f>V8/'Output-Calculation-sheet'!V7*'Output-Calculation-sheet'!V97</f>
        <v>1224003418.0705693</v>
      </c>
      <c r="W118" s="2">
        <f>W8/'Output-Calculation-sheet'!W7*'Output-Calculation-sheet'!W97</f>
        <v>1059715277.2739319</v>
      </c>
      <c r="X118" s="2">
        <f>X8/'Output-Calculation-sheet'!X7*'Output-Calculation-sheet'!X97</f>
        <v>0</v>
      </c>
      <c r="Y118" s="2">
        <f>Y8/'Output-Calculation-sheet'!Y7*'Output-Calculation-sheet'!Y97</f>
        <v>618337747.85246551</v>
      </c>
      <c r="AA118" s="2">
        <f t="shared" si="10"/>
        <v>178645.17207780608</v>
      </c>
    </row>
    <row r="119" spans="1:27" x14ac:dyDescent="0.25">
      <c r="A119" s="2">
        <v>2032</v>
      </c>
      <c r="B119" s="2">
        <f>B9/'Output-Calculation-sheet'!B8*'Output-Calculation-sheet'!B98</f>
        <v>74034445348.656693</v>
      </c>
      <c r="C119" s="2">
        <f>C9/'Output-Calculation-sheet'!C8*'Output-Calculation-sheet'!C98</f>
        <v>0</v>
      </c>
      <c r="D119" s="2">
        <f>D9/'Output-Calculation-sheet'!D8*'Output-Calculation-sheet'!D98</f>
        <v>34321167417.521381</v>
      </c>
      <c r="E119" s="2">
        <f>E9/'Output-Calculation-sheet'!E8*'Output-Calculation-sheet'!E98</f>
        <v>27230357150.641823</v>
      </c>
      <c r="F119" s="2">
        <f>F9/'Output-Calculation-sheet'!F8*'Output-Calculation-sheet'!F98</f>
        <v>17529163476.897747</v>
      </c>
      <c r="G119" s="2">
        <f>G9/'Output-Calculation-sheet'!G8*'Output-Calculation-sheet'!G98</f>
        <v>12316471374.15432</v>
      </c>
      <c r="H119" s="2">
        <f>H9/'Output-Calculation-sheet'!H8*'Output-Calculation-sheet'!H98</f>
        <v>0</v>
      </c>
      <c r="I119" s="2">
        <f>I9/'Output-Calculation-sheet'!I8*'Output-Calculation-sheet'!I98</f>
        <v>11221275783.239069</v>
      </c>
      <c r="J119" s="2">
        <f>J9/'Output-Calculation-sheet'!J8*'Output-Calculation-sheet'!J98</f>
        <v>10922012731.998352</v>
      </c>
      <c r="K119" s="2">
        <f>K9/'Output-Calculation-sheet'!K8*'Output-Calculation-sheet'!K98</f>
        <v>10817305224.686934</v>
      </c>
      <c r="L119" s="2">
        <f>L9/'Output-Calculation-sheet'!L8*'Output-Calculation-sheet'!L98</f>
        <v>8677784935.689188</v>
      </c>
      <c r="M119" s="2">
        <f>M9/'Output-Calculation-sheet'!M8*'Output-Calculation-sheet'!M98</f>
        <v>0</v>
      </c>
      <c r="N119" s="2">
        <f>N9/'Output-Calculation-sheet'!N8*'Output-Calculation-sheet'!N98</f>
        <v>4246371153.9292402</v>
      </c>
      <c r="O119" s="2">
        <f>O9/'Output-Calculation-sheet'!O8*'Output-Calculation-sheet'!O98</f>
        <v>7.6203525202371168E-7</v>
      </c>
      <c r="P119" s="2">
        <f>P9/'Output-Calculation-sheet'!P8*'Output-Calculation-sheet'!P98</f>
        <v>7405991956.7143974</v>
      </c>
      <c r="Q119" s="2">
        <f>Q9/'Output-Calculation-sheet'!Q8*'Output-Calculation-sheet'!Q98</f>
        <v>7286345893.6896963</v>
      </c>
      <c r="R119" s="2">
        <f>R9/'Output-Calculation-sheet'!R8*'Output-Calculation-sheet'!R98</f>
        <v>7009800414.9920025</v>
      </c>
      <c r="S119" s="2">
        <f>S9/'Output-Calculation-sheet'!S8*'Output-Calculation-sheet'!S98</f>
        <v>3483901094.6215672</v>
      </c>
      <c r="T119" s="2">
        <f>T9/'Output-Calculation-sheet'!T8*'Output-Calculation-sheet'!T98</f>
        <v>2576742255.2698717</v>
      </c>
      <c r="U119" s="2">
        <f>U9/'Output-Calculation-sheet'!U8*'Output-Calculation-sheet'!U98</f>
        <v>2244254901.6566768</v>
      </c>
      <c r="V119" s="2">
        <f>V9/'Output-Calculation-sheet'!V8*'Output-Calculation-sheet'!V98</f>
        <v>1728121159.6567545</v>
      </c>
      <c r="W119" s="2">
        <f>W9/'Output-Calculation-sheet'!W8*'Output-Calculation-sheet'!W98</f>
        <v>1496169699.3347487</v>
      </c>
      <c r="X119" s="2">
        <f>X9/'Output-Calculation-sheet'!X8*'Output-Calculation-sheet'!X98</f>
        <v>0</v>
      </c>
      <c r="Y119" s="2">
        <f>Y9/'Output-Calculation-sheet'!Y8*'Output-Calculation-sheet'!Y98</f>
        <v>873006042.92143095</v>
      </c>
      <c r="AA119" s="2">
        <f t="shared" si="10"/>
        <v>245420.68801627186</v>
      </c>
    </row>
    <row r="120" spans="1:27" x14ac:dyDescent="0.25">
      <c r="A120" s="2">
        <v>2033</v>
      </c>
      <c r="B120" s="2">
        <f>B10/'Output-Calculation-sheet'!B9*'Output-Calculation-sheet'!B99</f>
        <v>84750198830.521164</v>
      </c>
      <c r="C120" s="2">
        <f>C10/'Output-Calculation-sheet'!C9*'Output-Calculation-sheet'!C99</f>
        <v>0</v>
      </c>
      <c r="D120" s="2">
        <f>D10/'Output-Calculation-sheet'!D9*'Output-Calculation-sheet'!D99</f>
        <v>44463254493.008171</v>
      </c>
      <c r="E120" s="2">
        <f>E10/'Output-Calculation-sheet'!E9*'Output-Calculation-sheet'!E99</f>
        <v>35277075855.458473</v>
      </c>
      <c r="F120" s="2">
        <f>F10/'Output-Calculation-sheet'!F9*'Output-Calculation-sheet'!F99</f>
        <v>22709119633.770859</v>
      </c>
      <c r="G120" s="2">
        <f>G10/'Output-Calculation-sheet'!G9*'Output-Calculation-sheet'!G99</f>
        <v>15956050689.653906</v>
      </c>
      <c r="H120" s="2">
        <f>H10/'Output-Calculation-sheet'!H9*'Output-Calculation-sheet'!H99</f>
        <v>0</v>
      </c>
      <c r="I120" s="2">
        <f>I10/'Output-Calculation-sheet'!I9*'Output-Calculation-sheet'!I99</f>
        <v>14537220062.977062</v>
      </c>
      <c r="J120" s="2">
        <f>J10/'Output-Calculation-sheet'!J9*'Output-Calculation-sheet'!J99</f>
        <v>14149523227.8918</v>
      </c>
      <c r="K120" s="2">
        <f>K10/'Output-Calculation-sheet'!K9*'Output-Calculation-sheet'!K99</f>
        <v>14013875583.471741</v>
      </c>
      <c r="L120" s="2">
        <f>L10/'Output-Calculation-sheet'!L9*'Output-Calculation-sheet'!L99</f>
        <v>11242114672.963104</v>
      </c>
      <c r="M120" s="2">
        <f>M10/'Output-Calculation-sheet'!M9*'Output-Calculation-sheet'!M99</f>
        <v>0</v>
      </c>
      <c r="N120" s="2">
        <f>N10/'Output-Calculation-sheet'!N9*'Output-Calculation-sheet'!N99</f>
        <v>4212540053.0738163</v>
      </c>
      <c r="O120" s="2">
        <f>O10/'Output-Calculation-sheet'!O9*'Output-Calculation-sheet'!O99</f>
        <v>0</v>
      </c>
      <c r="P120" s="2">
        <f>P10/'Output-Calculation-sheet'!P9*'Output-Calculation-sheet'!P99</f>
        <v>9593996790.8183517</v>
      </c>
      <c r="Q120" s="2">
        <f>Q10/'Output-Calculation-sheet'!Q9*'Output-Calculation-sheet'!Q99</f>
        <v>9233519113.3846531</v>
      </c>
      <c r="R120" s="2">
        <f>R10/'Output-Calculation-sheet'!R9*'Output-Calculation-sheet'!R99</f>
        <v>9080801171.7275982</v>
      </c>
      <c r="S120" s="2">
        <f>S10/'Output-Calculation-sheet'!S9*'Output-Calculation-sheet'!S99</f>
        <v>3485088761.543149</v>
      </c>
      <c r="T120" s="2">
        <f>T10/'Output-Calculation-sheet'!T9*'Output-Calculation-sheet'!T99</f>
        <v>3338154031.4960136</v>
      </c>
      <c r="U120" s="2">
        <f>U10/'Output-Calculation-sheet'!U9*'Output-Calculation-sheet'!U99</f>
        <v>2908075580.4326496</v>
      </c>
      <c r="V120" s="2">
        <f>V10/'Output-Calculation-sheet'!V9*'Output-Calculation-sheet'!V99</f>
        <v>2238789897.4656734</v>
      </c>
      <c r="W120" s="2">
        <f>W10/'Output-Calculation-sheet'!W9*'Output-Calculation-sheet'!W99</f>
        <v>1938295886.2457986</v>
      </c>
      <c r="X120" s="2">
        <f>X10/'Output-Calculation-sheet'!X9*'Output-Calculation-sheet'!X99</f>
        <v>0</v>
      </c>
      <c r="Y120" s="2">
        <f>Y10/'Output-Calculation-sheet'!Y9*'Output-Calculation-sheet'!Y99</f>
        <v>1130985485.4419155</v>
      </c>
      <c r="AA120" s="2">
        <f t="shared" si="10"/>
        <v>304258.67982134596</v>
      </c>
    </row>
    <row r="121" spans="1:27" x14ac:dyDescent="0.25">
      <c r="A121" s="2">
        <v>2034</v>
      </c>
      <c r="B121" s="2">
        <f>B11/'Output-Calculation-sheet'!B10*'Output-Calculation-sheet'!B100</f>
        <v>78288715779.71286</v>
      </c>
      <c r="C121" s="2">
        <f>C11/'Output-Calculation-sheet'!C10*'Output-Calculation-sheet'!C100</f>
        <v>0</v>
      </c>
      <c r="D121" s="2">
        <f>D11/'Output-Calculation-sheet'!D10*'Output-Calculation-sheet'!D100</f>
        <v>54259684291.465721</v>
      </c>
      <c r="E121" s="2">
        <f>E11/'Output-Calculation-sheet'!E10*'Output-Calculation-sheet'!E100</f>
        <v>41982887353.539009</v>
      </c>
      <c r="F121" s="2">
        <f>F11/'Output-Calculation-sheet'!F10*'Output-Calculation-sheet'!F100</f>
        <v>27712389420.541431</v>
      </c>
      <c r="G121" s="2">
        <f>G11/'Output-Calculation-sheet'!G10*'Output-Calculation-sheet'!G100</f>
        <v>19470530994.178764</v>
      </c>
      <c r="H121" s="2">
        <f>H11/'Output-Calculation-sheet'!H10*'Output-Calculation-sheet'!H100</f>
        <v>2.3440326836059074E-7</v>
      </c>
      <c r="I121" s="2">
        <f>I11/'Output-Calculation-sheet'!I10*'Output-Calculation-sheet'!I100</f>
        <v>17739526236.908974</v>
      </c>
      <c r="J121" s="2">
        <f>J11/'Output-Calculation-sheet'!J10*'Output-Calculation-sheet'!J100</f>
        <v>17266590106.504894</v>
      </c>
      <c r="K121" s="2">
        <f>K11/'Output-Calculation-sheet'!K10*'Output-Calculation-sheet'!K100</f>
        <v>17101509683.050859</v>
      </c>
      <c r="L121" s="2">
        <f>L11/'Output-Calculation-sheet'!L10*'Output-Calculation-sheet'!L100</f>
        <v>12854048261.77125</v>
      </c>
      <c r="M121" s="2">
        <f>M11/'Output-Calculation-sheet'!M10*'Output-Calculation-sheet'!M100</f>
        <v>-1.5222622619505133E-7</v>
      </c>
      <c r="N121" s="2">
        <f>N11/'Output-Calculation-sheet'!N10*'Output-Calculation-sheet'!N100</f>
        <v>3796506337.3496933</v>
      </c>
      <c r="O121" s="2">
        <f>O11/'Output-Calculation-sheet'!O10*'Output-Calculation-sheet'!O100</f>
        <v>0</v>
      </c>
      <c r="P121" s="2">
        <f>P11/'Output-Calculation-sheet'!P10*'Output-Calculation-sheet'!P100</f>
        <v>11707325405.893118</v>
      </c>
      <c r="Q121" s="2">
        <f>Q11/'Output-Calculation-sheet'!Q10*'Output-Calculation-sheet'!Q100</f>
        <v>9211633440.5255356</v>
      </c>
      <c r="R121" s="2">
        <f>R11/'Output-Calculation-sheet'!R10*'Output-Calculation-sheet'!R100</f>
        <v>11081063193.499706</v>
      </c>
      <c r="S121" s="2">
        <f>S11/'Output-Calculation-sheet'!S10*'Output-Calculation-sheet'!S100</f>
        <v>2908595274.0202971</v>
      </c>
      <c r="T121" s="2">
        <f>T11/'Output-Calculation-sheet'!T10*'Output-Calculation-sheet'!T100</f>
        <v>4073394192.0760612</v>
      </c>
      <c r="U121" s="2">
        <f>U11/'Output-Calculation-sheet'!U10*'Output-Calculation-sheet'!U100</f>
        <v>3549941825.4327197</v>
      </c>
      <c r="V121" s="2">
        <f>V11/'Output-Calculation-sheet'!V10*'Output-Calculation-sheet'!V100</f>
        <v>2732054872.6408434</v>
      </c>
      <c r="W121" s="2">
        <f>W11/'Output-Calculation-sheet'!W10*'Output-Calculation-sheet'!W100</f>
        <v>2365423941.4807749</v>
      </c>
      <c r="X121" s="2">
        <f>X11/'Output-Calculation-sheet'!X10*'Output-Calculation-sheet'!X100</f>
        <v>125636517.88697471</v>
      </c>
      <c r="Y121" s="2">
        <f>Y11/'Output-Calculation-sheet'!Y10*'Output-Calculation-sheet'!Y100</f>
        <v>1323326910.70154</v>
      </c>
      <c r="AA121" s="2">
        <f t="shared" si="10"/>
        <v>339550.78403918102</v>
      </c>
    </row>
    <row r="122" spans="1:27" x14ac:dyDescent="0.25">
      <c r="A122" s="2">
        <v>2035</v>
      </c>
      <c r="B122" s="2">
        <f>B12/'Output-Calculation-sheet'!B11*'Output-Calculation-sheet'!B101</f>
        <v>72636255685.861298</v>
      </c>
      <c r="C122" s="2">
        <f>C12/'Output-Calculation-sheet'!C11*'Output-Calculation-sheet'!C101</f>
        <v>0</v>
      </c>
      <c r="D122" s="2">
        <f>D12/'Output-Calculation-sheet'!D11*'Output-Calculation-sheet'!D101</f>
        <v>60880279519.478462</v>
      </c>
      <c r="E122" s="2">
        <f>E12/'Output-Calculation-sheet'!E11*'Output-Calculation-sheet'!E101</f>
        <v>40994052705.396591</v>
      </c>
      <c r="F122" s="2">
        <f>F12/'Output-Calculation-sheet'!F11*'Output-Calculation-sheet'!F101</f>
        <v>31733978881.057999</v>
      </c>
      <c r="G122" s="2">
        <f>G12/'Output-Calculation-sheet'!G11*'Output-Calculation-sheet'!G101</f>
        <v>21625381345.071575</v>
      </c>
      <c r="H122" s="2">
        <f>H12/'Output-Calculation-sheet'!H11*'Output-Calculation-sheet'!H101</f>
        <v>0</v>
      </c>
      <c r="I122" s="2">
        <f>I12/'Output-Calculation-sheet'!I11*'Output-Calculation-sheet'!I101</f>
        <v>20249660297.978031</v>
      </c>
      <c r="J122" s="2">
        <f>J12/'Output-Calculation-sheet'!J11*'Output-Calculation-sheet'!J101</f>
        <v>19353957944.83012</v>
      </c>
      <c r="K122" s="2">
        <f>K12/'Output-Calculation-sheet'!K11*'Output-Calculation-sheet'!K101</f>
        <v>19542476422.915573</v>
      </c>
      <c r="L122" s="2">
        <f>L12/'Output-Calculation-sheet'!L11*'Output-Calculation-sheet'!L101</f>
        <v>13006209357.90699</v>
      </c>
      <c r="M122" s="2">
        <f>M12/'Output-Calculation-sheet'!M11*'Output-Calculation-sheet'!M101</f>
        <v>0</v>
      </c>
      <c r="N122" s="2">
        <f>N12/'Output-Calculation-sheet'!N11*'Output-Calculation-sheet'!N101</f>
        <v>3831784665.96628</v>
      </c>
      <c r="O122" s="2">
        <f>O12/'Output-Calculation-sheet'!O11*'Output-Calculation-sheet'!O101</f>
        <v>0</v>
      </c>
      <c r="P122" s="2">
        <f>P12/'Output-Calculation-sheet'!P11*'Output-Calculation-sheet'!P101</f>
        <v>12825015741.053093</v>
      </c>
      <c r="Q122" s="2">
        <f>Q12/'Output-Calculation-sheet'!Q11*'Output-Calculation-sheet'!Q101</f>
        <v>8353394398.336731</v>
      </c>
      <c r="R122" s="2">
        <f>R12/'Output-Calculation-sheet'!R11*'Output-Calculation-sheet'!R101</f>
        <v>12652621917.150927</v>
      </c>
      <c r="S122" s="2">
        <f>S12/'Output-Calculation-sheet'!S11*'Output-Calculation-sheet'!S101</f>
        <v>2660496091.6489015</v>
      </c>
      <c r="T122" s="2">
        <f>T12/'Output-Calculation-sheet'!T11*'Output-Calculation-sheet'!T101</f>
        <v>4687800102.2914753</v>
      </c>
      <c r="U122" s="2">
        <f>U12/'Output-Calculation-sheet'!U11*'Output-Calculation-sheet'!U101</f>
        <v>3840796370.2371979</v>
      </c>
      <c r="V122" s="2">
        <f>V12/'Output-Calculation-sheet'!V11*'Output-Calculation-sheet'!V101</f>
        <v>3161882649.893292</v>
      </c>
      <c r="W122" s="2">
        <f>W12/'Output-Calculation-sheet'!W11*'Output-Calculation-sheet'!W101</f>
        <v>2726964334.7497907</v>
      </c>
      <c r="X122" s="2">
        <f>X12/'Output-Calculation-sheet'!X11*'Output-Calculation-sheet'!X101</f>
        <v>131799717.21489958</v>
      </c>
      <c r="Y122" s="2">
        <f>Y12/'Output-Calculation-sheet'!Y11*'Output-Calculation-sheet'!Y101</f>
        <v>1230952668.0397115</v>
      </c>
      <c r="AA122" s="2">
        <f t="shared" si="10"/>
        <v>356125.76081707905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57877428740.767235</v>
      </c>
      <c r="C129" s="2">
        <f>C8/'Output-Calculation-sheet'!C7*'Output-Calculation-sheet'!C106</f>
        <v>27274762182.459599</v>
      </c>
      <c r="D129" s="2">
        <f>D8/'Output-Calculation-sheet'!D7*'Output-Calculation-sheet'!D106</f>
        <v>24309186545.576733</v>
      </c>
      <c r="E129" s="2">
        <f>E8/'Output-Calculation-sheet'!E7*'Output-Calculation-sheet'!E106</f>
        <v>19286872705.49115</v>
      </c>
      <c r="F129" s="2">
        <f>F8/'Output-Calculation-sheet'!F7*'Output-Calculation-sheet'!F106</f>
        <v>12415652063.251659</v>
      </c>
      <c r="G129" s="2">
        <f>G8/'Output-Calculation-sheet'!G7*'Output-Calculation-sheet'!G106</f>
        <v>8723577878.0145607</v>
      </c>
      <c r="H129" s="2">
        <f>H8/'Output-Calculation-sheet'!H7*'Output-Calculation-sheet'!H106</f>
        <v>8509515349.9097233</v>
      </c>
      <c r="I129" s="2">
        <f>I8/'Output-Calculation-sheet'!I7*'Output-Calculation-sheet'!I106</f>
        <v>7947866142.5059605</v>
      </c>
      <c r="J129" s="2">
        <f>J8/'Output-Calculation-sheet'!J7*'Output-Calculation-sheet'!J106</f>
        <v>7735905487.448595</v>
      </c>
      <c r="K129" s="2">
        <f>K8/'Output-Calculation-sheet'!K7*'Output-Calculation-sheet'!K106</f>
        <v>7661741454.8884315</v>
      </c>
      <c r="L129" s="2">
        <f>L8/'Output-Calculation-sheet'!L7*'Output-Calculation-sheet'!L106</f>
        <v>6146348618.9847517</v>
      </c>
      <c r="M129" s="2">
        <f>M8/'Output-Calculation-sheet'!M7*'Output-Calculation-sheet'!M106</f>
        <v>5870823790.5977478</v>
      </c>
      <c r="N129" s="2">
        <f>N8/'Output-Calculation-sheet'!N7*'Output-Calculation-sheet'!N106</f>
        <v>5762197711.4913282</v>
      </c>
      <c r="O129" s="2">
        <f>O8/'Output-Calculation-sheet'!O7*'Output-Calculation-sheet'!O106</f>
        <v>5299508936.0951672</v>
      </c>
      <c r="P129" s="2">
        <f>P8/'Output-Calculation-sheet'!P7*'Output-Calculation-sheet'!P106</f>
        <v>5245591654.053937</v>
      </c>
      <c r="Q129" s="2">
        <f>Q8/'Output-Calculation-sheet'!Q7*'Output-Calculation-sheet'!Q106</f>
        <v>5160813437.0071316</v>
      </c>
      <c r="R129" s="2">
        <f>R8/'Output-Calculation-sheet'!R7*'Output-Calculation-sheet'!R106</f>
        <v>4964939873.6305485</v>
      </c>
      <c r="S129" s="2">
        <f>S8/'Output-Calculation-sheet'!S7*'Output-Calculation-sheet'!S106</f>
        <v>3299953382.3725429</v>
      </c>
      <c r="T129" s="2">
        <f>T8/'Output-Calculation-sheet'!T7*'Output-Calculation-sheet'!T106</f>
        <v>1825069562.0191336</v>
      </c>
      <c r="U129" s="2">
        <f>U8/'Output-Calculation-sheet'!U7*'Output-Calculation-sheet'!U106</f>
        <v>1589572916.397728</v>
      </c>
      <c r="V129" s="2">
        <f>V8/'Output-Calculation-sheet'!V7*'Output-Calculation-sheet'!V106</f>
        <v>1224003418.0705693</v>
      </c>
      <c r="W129" s="2">
        <f>W8/'Output-Calculation-sheet'!W7*'Output-Calculation-sheet'!W106</f>
        <v>1059715277.2739319</v>
      </c>
      <c r="X129" s="2">
        <f>X8/'Output-Calculation-sheet'!X7*'Output-Calculation-sheet'!X106</f>
        <v>635829291.40047777</v>
      </c>
      <c r="Y129" s="2">
        <f>Y8/'Output-Calculation-sheet'!Y7*'Output-Calculation-sheet'!Y106</f>
        <v>618337747.85246551</v>
      </c>
      <c r="AA129" s="2">
        <f t="shared" si="11"/>
        <v>230445.21416756109</v>
      </c>
    </row>
    <row r="130" spans="1:27" x14ac:dyDescent="0.25">
      <c r="A130" s="2">
        <v>2032</v>
      </c>
      <c r="B130" s="2">
        <f>B9/'Output-Calculation-sheet'!B8*'Output-Calculation-sheet'!B107</f>
        <v>49028897475.651031</v>
      </c>
      <c r="C130" s="2">
        <f>C9/'Output-Calculation-sheet'!C8*'Output-Calculation-sheet'!C107</f>
        <v>23104879107.124775</v>
      </c>
      <c r="D130" s="2">
        <f>D9/'Output-Calculation-sheet'!D8*'Output-Calculation-sheet'!D107</f>
        <v>20592696157.883884</v>
      </c>
      <c r="E130" s="2">
        <f>E9/'Output-Calculation-sheet'!E8*'Output-Calculation-sheet'!E107</f>
        <v>16338212584.637581</v>
      </c>
      <c r="F130" s="2">
        <f>F9/'Output-Calculation-sheet'!F8*'Output-Calculation-sheet'!F107</f>
        <v>10517499158.936867</v>
      </c>
      <c r="G130" s="2">
        <f>G9/'Output-Calculation-sheet'!G8*'Output-Calculation-sheet'!G107</f>
        <v>7389883594.4217072</v>
      </c>
      <c r="H130" s="2">
        <f>H9/'Output-Calculation-sheet'!H8*'Output-Calculation-sheet'!H107</f>
        <v>7208545894.9075842</v>
      </c>
      <c r="I130" s="2">
        <f>I9/'Output-Calculation-sheet'!I8*'Output-Calculation-sheet'!I107</f>
        <v>6732764777.4381695</v>
      </c>
      <c r="J130" s="2">
        <f>J9/'Output-Calculation-sheet'!J8*'Output-Calculation-sheet'!J107</f>
        <v>6553206953.8461533</v>
      </c>
      <c r="K130" s="2">
        <f>K9/'Output-Calculation-sheet'!K8*'Output-Calculation-sheet'!K107</f>
        <v>6490383134.8121605</v>
      </c>
      <c r="L130" s="2">
        <f>L9/'Output-Calculation-sheet'!L8*'Output-Calculation-sheet'!L107</f>
        <v>5206670420.21418</v>
      </c>
      <c r="M130" s="2">
        <f>M9/'Output-Calculation-sheet'!M8*'Output-Calculation-sheet'!M107</f>
        <v>4973269559.2420244</v>
      </c>
      <c r="N130" s="2">
        <f>N9/'Output-Calculation-sheet'!N8*'Output-Calculation-sheet'!N107</f>
        <v>4881247504.0713396</v>
      </c>
      <c r="O130" s="2">
        <f>O9/'Output-Calculation-sheet'!O8*'Output-Calculation-sheet'!O107</f>
        <v>4489298957.9752836</v>
      </c>
      <c r="P130" s="2">
        <f>P9/'Output-Calculation-sheet'!P8*'Output-Calculation-sheet'!P107</f>
        <v>4443623599.3071308</v>
      </c>
      <c r="Q130" s="2">
        <f>Q9/'Output-Calculation-sheet'!Q8*'Output-Calculation-sheet'!Q107</f>
        <v>4371808862.0429478</v>
      </c>
      <c r="R130" s="2">
        <f>R9/'Output-Calculation-sheet'!R8*'Output-Calculation-sheet'!R107</f>
        <v>4205880687.2641344</v>
      </c>
      <c r="S130" s="2">
        <f>S9/'Output-Calculation-sheet'!S8*'Output-Calculation-sheet'!S107</f>
        <v>2795443395.4651737</v>
      </c>
      <c r="T130" s="2">
        <f>T9/'Output-Calculation-sheet'!T8*'Output-Calculation-sheet'!T107</f>
        <v>1546045677.4501362</v>
      </c>
      <c r="U130" s="2">
        <f>U9/'Output-Calculation-sheet'!U8*'Output-Calculation-sheet'!U107</f>
        <v>1346552517.9735038</v>
      </c>
      <c r="V130" s="2">
        <f>V9/'Output-Calculation-sheet'!V8*'Output-Calculation-sheet'!V107</f>
        <v>1036872369.6068795</v>
      </c>
      <c r="W130" s="2">
        <f>W9/'Output-Calculation-sheet'!W8*'Output-Calculation-sheet'!W107</f>
        <v>897701913.75203669</v>
      </c>
      <c r="X130" s="2">
        <f>X9/'Output-Calculation-sheet'!X8*'Output-Calculation-sheet'!X107</f>
        <v>538621042.56742156</v>
      </c>
      <c r="Y130" s="2">
        <f>Y9/'Output-Calculation-sheet'!Y8*'Output-Calculation-sheet'!Y107</f>
        <v>523803680.08502829</v>
      </c>
      <c r="AA130" s="2">
        <f t="shared" si="11"/>
        <v>195213.80902667713</v>
      </c>
    </row>
    <row r="131" spans="1:27" x14ac:dyDescent="0.25">
      <c r="A131" s="2">
        <v>2033</v>
      </c>
      <c r="B131" s="2">
        <f>B10/'Output-Calculation-sheet'!B9*'Output-Calculation-sheet'!B108</f>
        <v>35287338913.511795</v>
      </c>
      <c r="C131" s="2">
        <f>C10/'Output-Calculation-sheet'!C9*'Output-Calculation-sheet'!C108</f>
        <v>16629166534.539282</v>
      </c>
      <c r="D131" s="2">
        <f>D10/'Output-Calculation-sheet'!D9*'Output-Calculation-sheet'!D108</f>
        <v>14821088692.893894</v>
      </c>
      <c r="E131" s="2">
        <f>E10/'Output-Calculation-sheet'!E9*'Output-Calculation-sheet'!E108</f>
        <v>11759025285.152824</v>
      </c>
      <c r="F131" s="2">
        <f>F10/'Output-Calculation-sheet'!F9*'Output-Calculation-sheet'!F108</f>
        <v>7569706544.5902863</v>
      </c>
      <c r="G131" s="2">
        <f>G10/'Output-Calculation-sheet'!G9*'Output-Calculation-sheet'!G108</f>
        <v>5318683563.2179689</v>
      </c>
      <c r="H131" s="2">
        <f>H10/'Output-Calculation-sheet'!H9*'Output-Calculation-sheet'!H108</f>
        <v>5188171648.7658215</v>
      </c>
      <c r="I131" s="2">
        <f>I10/'Output-Calculation-sheet'!I9*'Output-Calculation-sheet'!I108</f>
        <v>4845741267.0259752</v>
      </c>
      <c r="J131" s="2">
        <f>J10/'Output-Calculation-sheet'!J9*'Output-Calculation-sheet'!J108</f>
        <v>4716508975.7947903</v>
      </c>
      <c r="K131" s="2">
        <f>K10/'Output-Calculation-sheet'!K9*'Output-Calculation-sheet'!K108</f>
        <v>4671291861.1572475</v>
      </c>
      <c r="L131" s="2">
        <f>L10/'Output-Calculation-sheet'!L9*'Output-Calculation-sheet'!L108</f>
        <v>3747372531.4412723</v>
      </c>
      <c r="M131" s="2">
        <f>M10/'Output-Calculation-sheet'!M9*'Output-Calculation-sheet'!M108</f>
        <v>3579386168.6379428</v>
      </c>
      <c r="N131" s="2">
        <f>N10/'Output-Calculation-sheet'!N9*'Output-Calculation-sheet'!N108</f>
        <v>3513156506.2410579</v>
      </c>
      <c r="O131" s="2">
        <f>O10/'Output-Calculation-sheet'!O9*'Output-Calculation-sheet'!O108</f>
        <v>3882907674.6153517</v>
      </c>
      <c r="P131" s="2">
        <f>P10/'Output-Calculation-sheet'!P9*'Output-Calculation-sheet'!P108</f>
        <v>3198189260.3516068</v>
      </c>
      <c r="Q131" s="2">
        <f>Q10/'Output-Calculation-sheet'!Q9*'Output-Calculation-sheet'!Q108</f>
        <v>3146500712.1474638</v>
      </c>
      <c r="R131" s="2">
        <f>R10/'Output-Calculation-sheet'!R9*'Output-Calculation-sheet'!R108</f>
        <v>3027077245.9997091</v>
      </c>
      <c r="S131" s="2">
        <f>S10/'Output-Calculation-sheet'!S9*'Output-Calculation-sheet'!S108</f>
        <v>2011951388.23895</v>
      </c>
      <c r="T131" s="2">
        <f>T10/'Output-Calculation-sheet'!T9*'Output-Calculation-sheet'!T108</f>
        <v>1112727346.4337561</v>
      </c>
      <c r="U131" s="2">
        <f>U10/'Output-Calculation-sheet'!U9*'Output-Calculation-sheet'!U108</f>
        <v>969147689.30855584</v>
      </c>
      <c r="V131" s="2">
        <f>V10/'Output-Calculation-sheet'!V9*'Output-Calculation-sheet'!V108</f>
        <v>746263103.51763582</v>
      </c>
      <c r="W131" s="2">
        <f>W10/'Output-Calculation-sheet'!W9*'Output-Calculation-sheet'!W108</f>
        <v>646098459.34116006</v>
      </c>
      <c r="X131" s="2">
        <f>X10/'Output-Calculation-sheet'!X9*'Output-Calculation-sheet'!X108</f>
        <v>387658999.88152939</v>
      </c>
      <c r="Y131" s="2">
        <f>Y10/'Output-Calculation-sheet'!Y9*'Output-Calculation-sheet'!Y108</f>
        <v>376994575.25055134</v>
      </c>
      <c r="AA131" s="2">
        <f t="shared" si="11"/>
        <v>141152.15494805641</v>
      </c>
    </row>
    <row r="132" spans="1:27" x14ac:dyDescent="0.25">
      <c r="A132" s="2">
        <v>2034</v>
      </c>
      <c r="B132" s="2">
        <f>B11/'Output-Calculation-sheet'!B10*'Output-Calculation-sheet'!B109</f>
        <v>18455171409.462856</v>
      </c>
      <c r="C132" s="2">
        <f>C11/'Output-Calculation-sheet'!C10*'Output-Calculation-sheet'!C109</f>
        <v>16789994960.400331</v>
      </c>
      <c r="D132" s="2">
        <f>D11/'Output-Calculation-sheet'!D10*'Output-Calculation-sheet'!D109</f>
        <v>7751384508.9420853</v>
      </c>
      <c r="E132" s="2">
        <f>E11/'Output-Calculation-sheet'!E10*'Output-Calculation-sheet'!E109</f>
        <v>6149936541.4199791</v>
      </c>
      <c r="F132" s="2">
        <f>F11/'Output-Calculation-sheet'!F10*'Output-Calculation-sheet'!F109</f>
        <v>3958934840.0484152</v>
      </c>
      <c r="G132" s="2">
        <f>G11/'Output-Calculation-sheet'!G10*'Output-Calculation-sheet'!G109</f>
        <v>2781656703.3704677</v>
      </c>
      <c r="H132" s="2">
        <f>H11/'Output-Calculation-sheet'!H10*'Output-Calculation-sheet'!H109</f>
        <v>2713398911.2337713</v>
      </c>
      <c r="I132" s="2">
        <f>I11/'Output-Calculation-sheet'!I10*'Output-Calculation-sheet'!I109</f>
        <v>2534308020.4397445</v>
      </c>
      <c r="J132" s="2">
        <f>J11/'Output-Calculation-sheet'!J10*'Output-Calculation-sheet'!J109</f>
        <v>2466720297.3422136</v>
      </c>
      <c r="K132" s="2">
        <f>K11/'Output-Calculation-sheet'!K10*'Output-Calculation-sheet'!K109</f>
        <v>2443072647.1667194</v>
      </c>
      <c r="L132" s="2">
        <f>L11/'Output-Calculation-sheet'!L10*'Output-Calculation-sheet'!L109</f>
        <v>1959864794.3453293</v>
      </c>
      <c r="M132" s="2">
        <f>M11/'Output-Calculation-sheet'!M10*'Output-Calculation-sheet'!M109</f>
        <v>1872008713.35431</v>
      </c>
      <c r="N132" s="2">
        <f>N11/'Output-Calculation-sheet'!N10*'Output-Calculation-sheet'!N109</f>
        <v>1837371359.2362926</v>
      </c>
      <c r="O132" s="2">
        <f>O11/'Output-Calculation-sheet'!O10*'Output-Calculation-sheet'!O109</f>
        <v>3781121127.7372093</v>
      </c>
      <c r="P132" s="2">
        <f>P11/'Output-Calculation-sheet'!P10*'Output-Calculation-sheet'!P109</f>
        <v>1672643296.0125914</v>
      </c>
      <c r="Q132" s="2">
        <f>Q11/'Output-Calculation-sheet'!Q10*'Output-Calculation-sheet'!Q109</f>
        <v>1645610610.0424447</v>
      </c>
      <c r="R132" s="2">
        <f>R11/'Output-Calculation-sheet'!R10*'Output-Calculation-sheet'!R109</f>
        <v>1583152976.3118076</v>
      </c>
      <c r="S132" s="2">
        <f>S11/'Output-Calculation-sheet'!S10*'Output-Calculation-sheet'!S109</f>
        <v>1052244649.7289584</v>
      </c>
      <c r="T132" s="2">
        <f>T11/'Output-Calculation-sheet'!T10*'Output-Calculation-sheet'!T109</f>
        <v>581953397.97325051</v>
      </c>
      <c r="U132" s="2">
        <f>U11/'Output-Calculation-sheet'!U10*'Output-Calculation-sheet'!U109</f>
        <v>506861545.08376426</v>
      </c>
      <c r="V132" s="2">
        <f>V11/'Output-Calculation-sheet'!V10*'Output-Calculation-sheet'!V109</f>
        <v>390293526.92408943</v>
      </c>
      <c r="W132" s="2">
        <f>W11/'Output-Calculation-sheet'!W10*'Output-Calculation-sheet'!W109</f>
        <v>337907696.70181143</v>
      </c>
      <c r="X132" s="2">
        <f>X11/'Output-Calculation-sheet'!X10*'Output-Calculation-sheet'!X109</f>
        <v>202744610.10048711</v>
      </c>
      <c r="Y132" s="2">
        <f>Y11/'Output-Calculation-sheet'!Y10*'Output-Calculation-sheet'!Y109</f>
        <v>197167144.34175146</v>
      </c>
      <c r="AA132" s="2">
        <f t="shared" si="11"/>
        <v>83665.52428772072</v>
      </c>
    </row>
    <row r="133" spans="1:27" x14ac:dyDescent="0.25">
      <c r="A133" s="2">
        <v>2035</v>
      </c>
      <c r="B133" s="2">
        <f>B12/'Output-Calculation-sheet'!B11*'Output-Calculation-sheet'!B110</f>
        <v>8267190817.3727703</v>
      </c>
      <c r="C133" s="2">
        <f>C12/'Output-Calculation-sheet'!C11*'Output-Calculation-sheet'!C110</f>
        <v>15877008492.963476</v>
      </c>
      <c r="D133" s="2">
        <f>D12/'Output-Calculation-sheet'!D11*'Output-Calculation-sheet'!D110</f>
        <v>4103781400.8961172</v>
      </c>
      <c r="E133" s="2">
        <f>E12/'Output-Calculation-sheet'!E11*'Output-Calculation-sheet'!E110</f>
        <v>2085231724.6145098</v>
      </c>
      <c r="F133" s="2">
        <f>F12/'Output-Calculation-sheet'!F11*'Output-Calculation-sheet'!F110</f>
        <v>1411565394.4606023</v>
      </c>
      <c r="G133" s="2">
        <f>G12/'Output-Calculation-sheet'!G11*'Output-Calculation-sheet'!G110</f>
        <v>1783756801.2863729</v>
      </c>
      <c r="H133" s="2">
        <f>H12/'Output-Calculation-sheet'!H11*'Output-Calculation-sheet'!H110</f>
        <v>2104220273.9649951</v>
      </c>
      <c r="I133" s="2">
        <f>I12/'Output-Calculation-sheet'!I11*'Output-Calculation-sheet'!I110</f>
        <v>985743735.48377514</v>
      </c>
      <c r="J133" s="2">
        <f>J12/'Output-Calculation-sheet'!J11*'Output-Calculation-sheet'!J110</f>
        <v>1192662990.6001933</v>
      </c>
      <c r="K133" s="2">
        <f>K12/'Output-Calculation-sheet'!K11*'Output-Calculation-sheet'!K110</f>
        <v>904354130.56884086</v>
      </c>
      <c r="L133" s="2">
        <f>L12/'Output-Calculation-sheet'!L11*'Output-Calculation-sheet'!L110</f>
        <v>581163587.42373681</v>
      </c>
      <c r="M133" s="2">
        <f>M12/'Output-Calculation-sheet'!M11*'Output-Calculation-sheet'!M110</f>
        <v>1308803835.5020933</v>
      </c>
      <c r="N133" s="2">
        <f>N12/'Output-Calculation-sheet'!N11*'Output-Calculation-sheet'!N110</f>
        <v>1088972629.0202129</v>
      </c>
      <c r="O133" s="2">
        <f>O12/'Output-Calculation-sheet'!O11*'Output-Calculation-sheet'!O110</f>
        <v>3845887452.3443985</v>
      </c>
      <c r="P133" s="2">
        <f>P12/'Output-Calculation-sheet'!P11*'Output-Calculation-sheet'!P110</f>
        <v>760820560.19960999</v>
      </c>
      <c r="Q133" s="2">
        <f>Q12/'Output-Calculation-sheet'!Q11*'Output-Calculation-sheet'!Q110</f>
        <v>947649954.47630966</v>
      </c>
      <c r="R133" s="2">
        <f>R12/'Output-Calculation-sheet'!R11*'Output-Calculation-sheet'!R110</f>
        <v>596340574.98892725</v>
      </c>
      <c r="S133" s="2">
        <f>S12/'Output-Calculation-sheet'!S11*'Output-Calculation-sheet'!S110</f>
        <v>573371902.02493191</v>
      </c>
      <c r="T133" s="2">
        <f>T12/'Output-Calculation-sheet'!T11*'Output-Calculation-sheet'!T110</f>
        <v>155120555.65788481</v>
      </c>
      <c r="U133" s="2">
        <f>U12/'Output-Calculation-sheet'!U11*'Output-Calculation-sheet'!U110</f>
        <v>252158526.81001925</v>
      </c>
      <c r="V133" s="2">
        <f>V12/'Output-Calculation-sheet'!V11*'Output-Calculation-sheet'!V110</f>
        <v>63632053.613409482</v>
      </c>
      <c r="W133" s="2">
        <f>W12/'Output-Calculation-sheet'!W11*'Output-Calculation-sheet'!W110</f>
        <v>103742194.81253453</v>
      </c>
      <c r="X133" s="2">
        <f>X12/'Output-Calculation-sheet'!X11*'Output-Calculation-sheet'!X110</f>
        <v>181680383.52560148</v>
      </c>
      <c r="Y133" s="2">
        <f>Y12/'Output-Calculation-sheet'!Y11*'Output-Calculation-sheet'!Y110</f>
        <v>95465681.388210028</v>
      </c>
      <c r="AA133" s="2">
        <f t="shared" si="11"/>
        <v>49270.325653999535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1245.2060664341511</v>
      </c>
      <c r="C19" s="2">
        <f>C8/'Output-Calculation-sheet'!C7*'Output-Calculation-sheet'!C25</f>
        <v>18771.673778304863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5587.8237809063266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3881.9425359041506</v>
      </c>
      <c r="N19" s="2">
        <f>N8/'Output-Calculation-sheet'!N7*'Output-Calculation-sheet'!N25</f>
        <v>1329.0342402712099</v>
      </c>
      <c r="O19" s="2">
        <f>O8/'Output-Calculation-sheet'!O7*'Output-Calculation-sheet'!O25</f>
        <v>3630.3598200318224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474.22039729743619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433.7295758425646</v>
      </c>
      <c r="Y19" s="2">
        <f>Y8/'Output-Calculation-sheet'!Y7*'Output-Calculation-sheet'!Y25</f>
        <v>0</v>
      </c>
      <c r="AA19" s="2">
        <f t="shared" si="0"/>
        <v>35.353990194992527</v>
      </c>
    </row>
    <row r="20" spans="1:27" x14ac:dyDescent="0.25">
      <c r="A20" s="2">
        <v>2032</v>
      </c>
      <c r="B20" s="2">
        <f>B9/'Output-Calculation-sheet'!B8*'Output-Calculation-sheet'!B26</f>
        <v>6641.5939850749764</v>
      </c>
      <c r="C20" s="2">
        <f>C9/'Output-Calculation-sheet'!C8*'Output-Calculation-sheet'!C26</f>
        <v>24322.459038196244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7225.8529811413209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5021.1390073977655</v>
      </c>
      <c r="N20" s="2">
        <f>N9/'Output-Calculation-sheet'!N8*'Output-Calculation-sheet'!N26</f>
        <v>2260.7431045760077</v>
      </c>
      <c r="O20" s="2">
        <f>O9/'Output-Calculation-sheet'!O8*'Output-Calculation-sheet'!O26</f>
        <v>4739.1251469800309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823.4556278925993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561.66674926606299</v>
      </c>
      <c r="Y20" s="2">
        <f>Y9/'Output-Calculation-sheet'!Y8*'Output-Calculation-sheet'!Y26</f>
        <v>0</v>
      </c>
      <c r="AA20" s="2">
        <f t="shared" si="0"/>
        <v>51.596035640525002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31585.402833841337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8086.5465068001222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5616.7780519168164</v>
      </c>
      <c r="N21" s="2">
        <f>N10/'Output-Calculation-sheet'!N9*'Output-Calculation-sheet'!N27</f>
        <v>3073.2705541662122</v>
      </c>
      <c r="O21" s="2">
        <f>O10/'Output-Calculation-sheet'!O9*'Output-Calculation-sheet'!O27</f>
        <v>5365.9723981646803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1337.4456194999054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660.45518816448362</v>
      </c>
      <c r="Y21" s="2">
        <f>Y10/'Output-Calculation-sheet'!Y9*'Output-Calculation-sheet'!Y27</f>
        <v>0</v>
      </c>
      <c r="AA21" s="2">
        <f t="shared" si="0"/>
        <v>69.922602130817339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27291.276974458029</v>
      </c>
      <c r="D22" s="2">
        <f>D11/'Output-Calculation-sheet'!D10*'Output-Calculation-sheet'!D28</f>
        <v>0</v>
      </c>
      <c r="E22" s="2">
        <f>E11/'Output-Calculation-sheet'!E10*'Output-Calculation-sheet'!E28</f>
        <v>1157.7916227788062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8999.7016115645965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682.85584344374274</v>
      </c>
      <c r="M22" s="2">
        <f>M11/'Output-Calculation-sheet'!M10*'Output-Calculation-sheet'!M28</f>
        <v>6203.025166106926</v>
      </c>
      <c r="N22" s="2">
        <f>N11/'Output-Calculation-sheet'!N10*'Output-Calculation-sheet'!N28</f>
        <v>3569.8755359517713</v>
      </c>
      <c r="O22" s="2">
        <f>O11/'Output-Calculation-sheet'!O10*'Output-Calculation-sheet'!O28</f>
        <v>4806.0177995697022</v>
      </c>
      <c r="P22" s="2">
        <f>P11/'Output-Calculation-sheet'!P10*'Output-Calculation-sheet'!P28</f>
        <v>0</v>
      </c>
      <c r="Q22" s="2">
        <f>Q11/'Output-Calculation-sheet'!Q10*'Output-Calculation-sheet'!Q28</f>
        <v>1338.890536770693</v>
      </c>
      <c r="R22" s="2">
        <f>R11/'Output-Calculation-sheet'!R10*'Output-Calculation-sheet'!R28</f>
        <v>0</v>
      </c>
      <c r="S22" s="2">
        <f>S11/'Output-Calculation-sheet'!S10*'Output-Calculation-sheet'!S28</f>
        <v>1810.434109437316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635.38145613666154</v>
      </c>
      <c r="Y22" s="2">
        <f>Y11/'Output-Calculation-sheet'!Y10*'Output-Calculation-sheet'!Y28</f>
        <v>62.34075859329522</v>
      </c>
      <c r="AA22" s="2">
        <f t="shared" si="0"/>
        <v>78.968017152985666</v>
      </c>
    </row>
    <row r="23" spans="1:27" x14ac:dyDescent="0.25">
      <c r="A23" s="2">
        <v>2035</v>
      </c>
      <c r="B23" s="2">
        <f>B12/'Output-Calculation-sheet'!B11*'Output-Calculation-sheet'!B29</f>
        <v>23639.215448190695</v>
      </c>
      <c r="C23" s="2">
        <f>C12/'Output-Calculation-sheet'!C11*'Output-Calculation-sheet'!C29</f>
        <v>22042.29029798635</v>
      </c>
      <c r="D23" s="2">
        <f>D12/'Output-Calculation-sheet'!D11*'Output-Calculation-sheet'!D29</f>
        <v>0</v>
      </c>
      <c r="E23" s="2">
        <f>E12/'Output-Calculation-sheet'!E11*'Output-Calculation-sheet'!E29</f>
        <v>4342.2412298196432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7586.1989562769322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1259.0137518901827</v>
      </c>
      <c r="M23" s="2">
        <f>M12/'Output-Calculation-sheet'!M11*'Output-Calculation-sheet'!M29</f>
        <v>5392.068431011975</v>
      </c>
      <c r="N23" s="2">
        <f>N12/'Output-Calculation-sheet'!N11*'Output-Calculation-sheet'!N29</f>
        <v>3131.6533442366008</v>
      </c>
      <c r="O23" s="2">
        <f>O12/'Output-Calculation-sheet'!O11*'Output-Calculation-sheet'!O29</f>
        <v>3644.1153238251786</v>
      </c>
      <c r="P23" s="2">
        <f>P12/'Output-Calculation-sheet'!P11*'Output-Calculation-sheet'!P29</f>
        <v>503.72093231218707</v>
      </c>
      <c r="Q23" s="2">
        <f>Q12/'Output-Calculation-sheet'!Q11*'Output-Calculation-sheet'!Q29</f>
        <v>1603.5266779891745</v>
      </c>
      <c r="R23" s="2">
        <f>R12/'Output-Calculation-sheet'!R11*'Output-Calculation-sheet'!R29</f>
        <v>0</v>
      </c>
      <c r="S23" s="2">
        <f>S12/'Output-Calculation-sheet'!S11*'Output-Calculation-sheet'!S29</f>
        <v>1731.9275389247589</v>
      </c>
      <c r="T23" s="2">
        <f>T12/'Output-Calculation-sheet'!T11*'Output-Calculation-sheet'!T29</f>
        <v>0</v>
      </c>
      <c r="U23" s="2">
        <f>U12/'Output-Calculation-sheet'!U11*'Output-Calculation-sheet'!U29</f>
        <v>186.89248754465928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515.17264155342082</v>
      </c>
      <c r="Y23" s="2">
        <f>Y12/'Output-Calculation-sheet'!Y11*'Output-Calculation-sheet'!Y29</f>
        <v>158.95768064029517</v>
      </c>
      <c r="AA23" s="2">
        <f t="shared" si="0"/>
        <v>75.736994742202043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21703.537237293542</v>
      </c>
      <c r="C30" s="2">
        <f>C8/'Output-Calculation-sheet'!C7*'Output-Calculation-sheet'!C16</f>
        <v>0</v>
      </c>
      <c r="D30" s="2">
        <f>D8/'Output-Calculation-sheet'!D7*'Output-Calculation-sheet'!D16</f>
        <v>3654.5887574843405</v>
      </c>
      <c r="E30" s="2">
        <f>E8/'Output-Calculation-sheet'!E7*'Output-Calculation-sheet'!E16</f>
        <v>3932.1310266165328</v>
      </c>
      <c r="F30" s="2">
        <f>F8/'Output-Calculation-sheet'!F7*'Output-Calculation-sheet'!F16</f>
        <v>1983.7810268674946</v>
      </c>
      <c r="G30" s="2">
        <f>G8/'Output-Calculation-sheet'!G7*'Output-Calculation-sheet'!G16</f>
        <v>1299.1409557209163</v>
      </c>
      <c r="H30" s="2">
        <f>H8/'Output-Calculation-sheet'!H7*'Output-Calculation-sheet'!H16</f>
        <v>0</v>
      </c>
      <c r="I30" s="2">
        <f>I8/'Output-Calculation-sheet'!I7*'Output-Calculation-sheet'!I16</f>
        <v>1266.4679097525275</v>
      </c>
      <c r="J30" s="2">
        <f>J8/'Output-Calculation-sheet'!J7*'Output-Calculation-sheet'!J16</f>
        <v>1127.3999609545099</v>
      </c>
      <c r="K30" s="2">
        <f>K8/'Output-Calculation-sheet'!K7*'Output-Calculation-sheet'!K16</f>
        <v>1505.2944388867145</v>
      </c>
      <c r="L30" s="2">
        <f>L8/'Output-Calculation-sheet'!L7*'Output-Calculation-sheet'!L16</f>
        <v>1271.4844100012049</v>
      </c>
      <c r="M30" s="2">
        <f>M8/'Output-Calculation-sheet'!M7*'Output-Calculation-sheet'!M16</f>
        <v>0</v>
      </c>
      <c r="N30" s="2">
        <f>N8/'Output-Calculation-sheet'!N7*'Output-Calculation-sheet'!N16</f>
        <v>1806.0364834064092</v>
      </c>
      <c r="O30" s="2">
        <f>O8/'Output-Calculation-sheet'!O7*'Output-Calculation-sheet'!O16</f>
        <v>0</v>
      </c>
      <c r="P30" s="2">
        <f>P8/'Output-Calculation-sheet'!P7*'Output-Calculation-sheet'!P16</f>
        <v>1623.2063304962246</v>
      </c>
      <c r="Q30" s="2">
        <f>Q8/'Output-Calculation-sheet'!Q7*'Output-Calculation-sheet'!Q16</f>
        <v>1784.9908836911525</v>
      </c>
      <c r="R30" s="2">
        <f>R8/'Output-Calculation-sheet'!R7*'Output-Calculation-sheet'!R16</f>
        <v>1132.5844739581023</v>
      </c>
      <c r="S30" s="2">
        <f>S8/'Output-Calculation-sheet'!S7*'Output-Calculation-sheet'!S16</f>
        <v>1139.0478700885742</v>
      </c>
      <c r="T30" s="2">
        <f>T8/'Output-Calculation-sheet'!T7*'Output-Calculation-sheet'!T16</f>
        <v>339.98557904038717</v>
      </c>
      <c r="U30" s="2">
        <f>U8/'Output-Calculation-sheet'!U7*'Output-Calculation-sheet'!U16</f>
        <v>339.37786343910676</v>
      </c>
      <c r="V30" s="2">
        <f>V8/'Output-Calculation-sheet'!V7*'Output-Calculation-sheet'!V16</f>
        <v>264.13134006004032</v>
      </c>
      <c r="W30" s="2">
        <f>W8/'Output-Calculation-sheet'!W7*'Output-Calculation-sheet'!W16</f>
        <v>160.20897327707809</v>
      </c>
      <c r="X30" s="2">
        <f>X8/'Output-Calculation-sheet'!X7*'Output-Calculation-sheet'!X16</f>
        <v>0</v>
      </c>
      <c r="Y30" s="2">
        <f>Y8/'Output-Calculation-sheet'!Y7*'Output-Calculation-sheet'!Y16</f>
        <v>135.59868214589898</v>
      </c>
      <c r="AA30" s="2">
        <f t="shared" si="1"/>
        <v>46.468994203180742</v>
      </c>
    </row>
    <row r="31" spans="1:27" x14ac:dyDescent="0.25">
      <c r="A31" s="2">
        <v>2032</v>
      </c>
      <c r="B31" s="2">
        <f>B9/'Output-Calculation-sheet'!B8*'Output-Calculation-sheet'!B17</f>
        <v>28122.703232383756</v>
      </c>
      <c r="C31" s="2">
        <f>C9/'Output-Calculation-sheet'!C8*'Output-Calculation-sheet'!C17</f>
        <v>0</v>
      </c>
      <c r="D31" s="2">
        <f>D9/'Output-Calculation-sheet'!D8*'Output-Calculation-sheet'!D17</f>
        <v>4716.5465730263959</v>
      </c>
      <c r="E31" s="2">
        <f>E9/'Output-Calculation-sheet'!E8*'Output-Calculation-sheet'!E17</f>
        <v>5543.6560832625137</v>
      </c>
      <c r="F31" s="2">
        <f>F9/'Output-Calculation-sheet'!F8*'Output-Calculation-sheet'!F17</f>
        <v>2560.2945035527182</v>
      </c>
      <c r="G31" s="2">
        <f>G9/'Output-Calculation-sheet'!G8*'Output-Calculation-sheet'!G17</f>
        <v>1676.6732754109948</v>
      </c>
      <c r="H31" s="2">
        <f>H9/'Output-Calculation-sheet'!H8*'Output-Calculation-sheet'!H17</f>
        <v>0</v>
      </c>
      <c r="I31" s="2">
        <f>I9/'Output-Calculation-sheet'!I8*'Output-Calculation-sheet'!I17</f>
        <v>1634.5130489843473</v>
      </c>
      <c r="J31" s="2">
        <f>J9/'Output-Calculation-sheet'!J8*'Output-Calculation-sheet'!J17</f>
        <v>1455.0316656009397</v>
      </c>
      <c r="K31" s="2">
        <f>K9/'Output-Calculation-sheet'!K8*'Output-Calculation-sheet'!K17</f>
        <v>2071.5787598862325</v>
      </c>
      <c r="L31" s="2">
        <f>L9/'Output-Calculation-sheet'!L8*'Output-Calculation-sheet'!L17</f>
        <v>1766.6925078445104</v>
      </c>
      <c r="M31" s="2">
        <f>M9/'Output-Calculation-sheet'!M8*'Output-Calculation-sheet'!M17</f>
        <v>0</v>
      </c>
      <c r="N31" s="2">
        <f>N9/'Output-Calculation-sheet'!N8*'Output-Calculation-sheet'!N17</f>
        <v>1927.6018601201793</v>
      </c>
      <c r="O31" s="2">
        <f>O9/'Output-Calculation-sheet'!O8*'Output-Calculation-sheet'!O17</f>
        <v>0</v>
      </c>
      <c r="P31" s="2">
        <f>P9/'Output-Calculation-sheet'!P8*'Output-Calculation-sheet'!P17</f>
        <v>2383.7322232882889</v>
      </c>
      <c r="Q31" s="2">
        <f>Q9/'Output-Calculation-sheet'!Q8*'Output-Calculation-sheet'!Q17</f>
        <v>2541.2775600705536</v>
      </c>
      <c r="R31" s="2">
        <f>R9/'Output-Calculation-sheet'!R8*'Output-Calculation-sheet'!R17</f>
        <v>1662.6380847600949</v>
      </c>
      <c r="S31" s="2">
        <f>S9/'Output-Calculation-sheet'!S8*'Output-Calculation-sheet'!S17</f>
        <v>1430.6262876826625</v>
      </c>
      <c r="T31" s="2">
        <f>T9/'Output-Calculation-sheet'!T8*'Output-Calculation-sheet'!T17</f>
        <v>451.16899165494476</v>
      </c>
      <c r="U31" s="2">
        <f>U9/'Output-Calculation-sheet'!U8*'Output-Calculation-sheet'!U17</f>
        <v>518.53700479066026</v>
      </c>
      <c r="V31" s="2">
        <f>V9/'Output-Calculation-sheet'!V8*'Output-Calculation-sheet'!V17</f>
        <v>371.40345251312772</v>
      </c>
      <c r="W31" s="2">
        <f>W9/'Output-Calculation-sheet'!W8*'Output-Calculation-sheet'!W17</f>
        <v>206.76906501013983</v>
      </c>
      <c r="X31" s="2">
        <f>X9/'Output-Calculation-sheet'!X8*'Output-Calculation-sheet'!X17</f>
        <v>0</v>
      </c>
      <c r="Y31" s="2">
        <f>Y9/'Output-Calculation-sheet'!Y8*'Output-Calculation-sheet'!Y17</f>
        <v>199.78371384608005</v>
      </c>
      <c r="AA31" s="2">
        <f t="shared" si="1"/>
        <v>61.24122789368915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1728.1570326361011</v>
      </c>
      <c r="O32" s="2">
        <f>O10/'Output-Calculation-sheet'!O9*'Output-Calculation-sheet'!O18</f>
        <v>0</v>
      </c>
      <c r="P32" s="2">
        <f>P10/'Output-Calculation-sheet'!P9*'Output-Calculation-sheet'!P18</f>
        <v>2782.5224597275815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1998.0359635914656</v>
      </c>
      <c r="S32" s="2">
        <f>S10/'Output-Calculation-sheet'!S9*'Output-Calculation-sheet'!S18</f>
        <v>1307.661696844423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645.04403613057991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68.152333639552666</v>
      </c>
    </row>
    <row r="33" spans="1:27" x14ac:dyDescent="0.25">
      <c r="A33" s="2">
        <v>2034</v>
      </c>
      <c r="B33" s="2">
        <f>B11/'Output-Calculation-sheet'!B10*'Output-Calculation-sheet'!B19</f>
        <v>22604.117703659984</v>
      </c>
      <c r="C33" s="2">
        <f>C11/'Output-Calculation-sheet'!C10*'Output-Calculation-sheet'!C19</f>
        <v>0</v>
      </c>
      <c r="D33" s="2">
        <f>D11/'Output-Calculation-sheet'!D10*'Output-Calculation-sheet'!D19</f>
        <v>6742.2193483751253</v>
      </c>
      <c r="E33" s="2">
        <f>E11/'Output-Calculation-sheet'!E10*'Output-Calculation-sheet'!E19</f>
        <v>8353.7245480593047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2295.166266390228</v>
      </c>
      <c r="H33" s="2">
        <f>H11/'Output-Calculation-sheet'!H10*'Output-Calculation-sheet'!H19</f>
        <v>0</v>
      </c>
      <c r="I33" s="2">
        <f>I11/'Output-Calculation-sheet'!I10*'Output-Calculation-sheet'!I19</f>
        <v>2504.3431392829816</v>
      </c>
      <c r="J33" s="2">
        <f>J11/'Output-Calculation-sheet'!J10*'Output-Calculation-sheet'!J19</f>
        <v>2117.3019936002765</v>
      </c>
      <c r="K33" s="2">
        <f>K11/'Output-Calculation-sheet'!K10*'Output-Calculation-sheet'!K19</f>
        <v>2938.4245384624942</v>
      </c>
      <c r="L33" s="2">
        <f>L11/'Output-Calculation-sheet'!L10*'Output-Calculation-sheet'!L19</f>
        <v>2390.801812279059</v>
      </c>
      <c r="M33" s="2">
        <f>M11/'Output-Calculation-sheet'!M10*'Output-Calculation-sheet'!M19</f>
        <v>0</v>
      </c>
      <c r="N33" s="2">
        <f>N11/'Output-Calculation-sheet'!N10*'Output-Calculation-sheet'!N19</f>
        <v>1351.2219225675958</v>
      </c>
      <c r="O33" s="2">
        <f>O11/'Output-Calculation-sheet'!O10*'Output-Calculation-sheet'!O19</f>
        <v>0</v>
      </c>
      <c r="P33" s="2">
        <f>P11/'Output-Calculation-sheet'!P10*'Output-Calculation-sheet'!P19</f>
        <v>2973.1672906064114</v>
      </c>
      <c r="Q33" s="2">
        <f>Q11/'Output-Calculation-sheet'!Q10*'Output-Calculation-sheet'!Q19</f>
        <v>2380.5799305216378</v>
      </c>
      <c r="R33" s="2">
        <f>R11/'Output-Calculation-sheet'!R10*'Output-Calculation-sheet'!R19</f>
        <v>2122.76315157307</v>
      </c>
      <c r="S33" s="2">
        <f>S11/'Output-Calculation-sheet'!S10*'Output-Calculation-sheet'!S19</f>
        <v>992.1665039123634</v>
      </c>
      <c r="T33" s="2">
        <f>T11/'Output-Calculation-sheet'!T10*'Output-Calculation-sheet'!T19</f>
        <v>622.85544714642708</v>
      </c>
      <c r="U33" s="2">
        <f>U11/'Output-Calculation-sheet'!U10*'Output-Calculation-sheet'!U19</f>
        <v>716.29568335895544</v>
      </c>
      <c r="V33" s="2">
        <f>V11/'Output-Calculation-sheet'!V10*'Output-Calculation-sheet'!V19</f>
        <v>488.48173815274652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120.13164101100874</v>
      </c>
      <c r="Y33" s="2">
        <f>Y11/'Output-Calculation-sheet'!Y10*'Output-Calculation-sheet'!Y19</f>
        <v>274.1287733142571</v>
      </c>
      <c r="AA33" s="2">
        <f t="shared" si="1"/>
        <v>66.12465310405598</v>
      </c>
    </row>
    <row r="34" spans="1:27" x14ac:dyDescent="0.25">
      <c r="A34" s="2">
        <v>2035</v>
      </c>
      <c r="B34" s="2">
        <f>B12/'Output-Calculation-sheet'!B11*'Output-Calculation-sheet'!B20</f>
        <v>16406.57272160197</v>
      </c>
      <c r="C34" s="2">
        <f>C12/'Output-Calculation-sheet'!C11*'Output-Calculation-sheet'!C20</f>
        <v>0</v>
      </c>
      <c r="D34" s="2">
        <f>D12/'Output-Calculation-sheet'!D11*'Output-Calculation-sheet'!D20</f>
        <v>6079.8619451256172</v>
      </c>
      <c r="E34" s="2">
        <f>E12/'Output-Calculation-sheet'!E11*'Output-Calculation-sheet'!E20</f>
        <v>5482.5745432974045</v>
      </c>
      <c r="F34" s="2">
        <f>F12/'Output-Calculation-sheet'!F11*'Output-Calculation-sheet'!F20</f>
        <v>3887.0124137630114</v>
      </c>
      <c r="G34" s="2">
        <f>G12/'Output-Calculation-sheet'!G11*'Output-Calculation-sheet'!G20</f>
        <v>1934.129612942495</v>
      </c>
      <c r="H34" s="2">
        <f>H12/'Output-Calculation-sheet'!H11*'Output-Calculation-sheet'!H20</f>
        <v>0</v>
      </c>
      <c r="I34" s="2">
        <f>I12/'Output-Calculation-sheet'!I11*'Output-Calculation-sheet'!I20</f>
        <v>2376.4033771261952</v>
      </c>
      <c r="J34" s="2">
        <f>J12/'Output-Calculation-sheet'!J11*'Output-Calculation-sheet'!J20</f>
        <v>1979.7199732824645</v>
      </c>
      <c r="K34" s="2">
        <f>K12/'Output-Calculation-sheet'!K11*'Output-Calculation-sheet'!K20</f>
        <v>2786.1853148205146</v>
      </c>
      <c r="L34" s="2">
        <f>L12/'Output-Calculation-sheet'!L11*'Output-Calculation-sheet'!L20</f>
        <v>1895.7102112310245</v>
      </c>
      <c r="M34" s="2">
        <f>M12/'Output-Calculation-sheet'!M11*'Output-Calculation-sheet'!M20</f>
        <v>0</v>
      </c>
      <c r="N34" s="2">
        <f>N12/'Output-Calculation-sheet'!N11*'Output-Calculation-sheet'!N20</f>
        <v>1085.0459513745723</v>
      </c>
      <c r="O34" s="2">
        <f>O12/'Output-Calculation-sheet'!O11*'Output-Calculation-sheet'!O20</f>
        <v>0</v>
      </c>
      <c r="P34" s="2">
        <f>P12/'Output-Calculation-sheet'!P11*'Output-Calculation-sheet'!P20</f>
        <v>2304.7720427854333</v>
      </c>
      <c r="Q34" s="2">
        <f>Q12/'Output-Calculation-sheet'!Q11*'Output-Calculation-sheet'!Q20</f>
        <v>1643.164676319248</v>
      </c>
      <c r="R34" s="2">
        <f>R12/'Output-Calculation-sheet'!R11*'Output-Calculation-sheet'!R20</f>
        <v>1999.6215670062072</v>
      </c>
      <c r="S34" s="2">
        <f>S12/'Output-Calculation-sheet'!S11*'Output-Calculation-sheet'!S20</f>
        <v>716.02117187683655</v>
      </c>
      <c r="T34" s="2">
        <f>T12/'Output-Calculation-sheet'!T11*'Output-Calculation-sheet'!T20</f>
        <v>578.80405581249011</v>
      </c>
      <c r="U34" s="2">
        <f>U12/'Output-Calculation-sheet'!U11*'Output-Calculation-sheet'!U20</f>
        <v>529.95237315071461</v>
      </c>
      <c r="V34" s="2">
        <f>V12/'Output-Calculation-sheet'!V11*'Output-Calculation-sheet'!V20</f>
        <v>523.14900935521769</v>
      </c>
      <c r="W34" s="2">
        <f>W12/'Output-Calculation-sheet'!W11*'Output-Calculation-sheet'!W20</f>
        <v>309.01544711601946</v>
      </c>
      <c r="X34" s="2">
        <f>X12/'Output-Calculation-sheet'!X11*'Output-Calculation-sheet'!X20</f>
        <v>89.354715286831052</v>
      </c>
      <c r="Y34" s="2">
        <f>Y12/'Output-Calculation-sheet'!Y11*'Output-Calculation-sheet'!Y20</f>
        <v>166.63244224352499</v>
      </c>
      <c r="AA34" s="2">
        <f t="shared" si="1"/>
        <v>52.773703565517806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0.22074381793704256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0.22074381793704256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0.95708493685632223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0.18593585546620764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1.14302079232253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1.4474900958075354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0.28120838483454302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6.9306431414156453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36321.492547317946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7922.4567949826151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5407.462422607141</v>
      </c>
      <c r="N52" s="2">
        <f>N8/'Output-Calculation-sheet'!N7*'Output-Calculation-sheet'!N43</f>
        <v>172.83472734641936</v>
      </c>
      <c r="O52" s="2">
        <f>O8/'Output-Calculation-sheet'!O7*'Output-Calculation-sheet'!O43</f>
        <v>7358.7012512446008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699.31491012289132</v>
      </c>
      <c r="Y52" s="2">
        <f>Y8/'Output-Calculation-sheet'!Y7*'Output-Calculation-sheet'!Y43</f>
        <v>0</v>
      </c>
      <c r="AA52" s="2">
        <f t="shared" si="3"/>
        <v>57.882262653621609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61823.503163140558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14446.560611927709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9895.2562939871605</v>
      </c>
      <c r="N53" s="2">
        <f>N9/'Output-Calculation-sheet'!N8*'Output-Calculation-sheet'!N44</f>
        <v>3502.0539256488169</v>
      </c>
      <c r="O53" s="2">
        <f>O9/'Output-Calculation-sheet'!O8*'Output-Calculation-sheet'!O44</f>
        <v>12260.431550664065</v>
      </c>
      <c r="P53" s="2">
        <f>P9/'Output-Calculation-sheet'!P8*'Output-Calculation-sheet'!P44</f>
        <v>164.85435986675233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1099.6457142665145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1237.4091802653177</v>
      </c>
      <c r="Y53" s="2">
        <f>Y9/'Output-Calculation-sheet'!Y8*'Output-Calculation-sheet'!Y44</f>
        <v>0</v>
      </c>
      <c r="AA53" s="2">
        <f t="shared" si="3"/>
        <v>104.42971479976688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70168.742312199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12818.632234589664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481.44540662960088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159.93997206426886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60279.560058143798</v>
      </c>
      <c r="D55" s="2">
        <f>D11/'Output-Calculation-sheet'!D10*'Output-Calculation-sheet'!D46</f>
        <v>5949.5857825013791</v>
      </c>
      <c r="E55" s="2">
        <f>E11/'Output-Calculation-sheet'!E10*'Output-Calculation-sheet'!E46</f>
        <v>7269.8131401191067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19822.277429393667</v>
      </c>
      <c r="I55" s="2">
        <f>I11/'Output-Calculation-sheet'!I10*'Output-Calculation-sheet'!I46</f>
        <v>1439.7189594222261</v>
      </c>
      <c r="J55" s="2">
        <f>J11/'Output-Calculation-sheet'!J10*'Output-Calculation-sheet'!J46</f>
        <v>1044.8893293824758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13586.3171793234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11139.841165212265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4073.3462511981093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5089.6261093970516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1172.6132396995281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1418.270888046304</v>
      </c>
      <c r="Y55" s="2">
        <f>Y11/'Output-Calculation-sheet'!Y10*'Output-Calculation-sheet'!Y46</f>
        <v>359.57857375488879</v>
      </c>
      <c r="AA55" s="2">
        <f t="shared" si="3"/>
        <v>222.19270751557201</v>
      </c>
    </row>
    <row r="56" spans="1:27" x14ac:dyDescent="0.25">
      <c r="A56" s="2">
        <v>2035</v>
      </c>
      <c r="B56" s="2">
        <f>B12/'Output-Calculation-sheet'!B11*'Output-Calculation-sheet'!B47</f>
        <v>73702.837793833809</v>
      </c>
      <c r="C56" s="2">
        <f>C12/'Output-Calculation-sheet'!C11*'Output-Calculation-sheet'!C47</f>
        <v>46281.591221214614</v>
      </c>
      <c r="D56" s="2">
        <f>D12/'Output-Calculation-sheet'!D11*'Output-Calculation-sheet'!D47</f>
        <v>12822.323058104697</v>
      </c>
      <c r="E56" s="2">
        <f>E12/'Output-Calculation-sheet'!E11*'Output-Calculation-sheet'!E47</f>
        <v>18995.126527712175</v>
      </c>
      <c r="F56" s="2">
        <f>F12/'Output-Calculation-sheet'!F11*'Output-Calculation-sheet'!F47</f>
        <v>2754.7527954062421</v>
      </c>
      <c r="G56" s="2">
        <f>G12/'Output-Calculation-sheet'!G11*'Output-Calculation-sheet'!G47</f>
        <v>4438.2518002706584</v>
      </c>
      <c r="H56" s="2">
        <f>H12/'Output-Calculation-sheet'!H11*'Output-Calculation-sheet'!H47</f>
        <v>15634.47481573285</v>
      </c>
      <c r="I56" s="2">
        <f>I12/'Output-Calculation-sheet'!I11*'Output-Calculation-sheet'!I47</f>
        <v>4354.8463762372439</v>
      </c>
      <c r="J56" s="2">
        <f>J12/'Output-Calculation-sheet'!J11*'Output-Calculation-sheet'!J47</f>
        <v>3483.8100815180842</v>
      </c>
      <c r="K56" s="2">
        <f>K12/'Output-Calculation-sheet'!K11*'Output-Calculation-sheet'!K47</f>
        <v>4672.4736125134414</v>
      </c>
      <c r="L56" s="2">
        <f>L12/'Output-Calculation-sheet'!L11*'Output-Calculation-sheet'!L47</f>
        <v>3913.8560497577309</v>
      </c>
      <c r="M56" s="2">
        <f>M12/'Output-Calculation-sheet'!M11*'Output-Calculation-sheet'!M47</f>
        <v>10825.2863978967</v>
      </c>
      <c r="N56" s="2">
        <f>N12/'Output-Calculation-sheet'!N11*'Output-Calculation-sheet'!N47</f>
        <v>9066.7209442963904</v>
      </c>
      <c r="O56" s="2">
        <f>O12/'Output-Calculation-sheet'!O11*'Output-Calculation-sheet'!O47</f>
        <v>8473.2526483039928</v>
      </c>
      <c r="P56" s="2">
        <f>P12/'Output-Calculation-sheet'!P11*'Output-Calculation-sheet'!P47</f>
        <v>4847.344809791256</v>
      </c>
      <c r="Q56" s="2">
        <f>Q12/'Output-Calculation-sheet'!Q11*'Output-Calculation-sheet'!Q47</f>
        <v>4898.2977778618579</v>
      </c>
      <c r="R56" s="2">
        <f>R12/'Output-Calculation-sheet'!R11*'Output-Calculation-sheet'!R47</f>
        <v>3824.0488710205541</v>
      </c>
      <c r="S56" s="2">
        <f>S12/'Output-Calculation-sheet'!S11*'Output-Calculation-sheet'!S47</f>
        <v>4788.2230142015569</v>
      </c>
      <c r="T56" s="2">
        <f>T12/'Output-Calculation-sheet'!T11*'Output-Calculation-sheet'!T47</f>
        <v>1444.503501102841</v>
      </c>
      <c r="U56" s="2">
        <f>U12/'Output-Calculation-sheet'!U11*'Output-Calculation-sheet'!U47</f>
        <v>1507.4358476637074</v>
      </c>
      <c r="V56" s="2">
        <f>V12/'Output-Calculation-sheet'!V11*'Output-Calculation-sheet'!V47</f>
        <v>783.4600067129096</v>
      </c>
      <c r="W56" s="2">
        <f>W12/'Output-Calculation-sheet'!W11*'Output-Calculation-sheet'!W47</f>
        <v>419.38533150560272</v>
      </c>
      <c r="X56" s="2">
        <f>X12/'Output-Calculation-sheet'!X11*'Output-Calculation-sheet'!X47</f>
        <v>1088.7201565408834</v>
      </c>
      <c r="Y56" s="2">
        <f>Y12/'Output-Calculation-sheet'!Y11*'Output-Calculation-sheet'!Y47</f>
        <v>607.88781387110566</v>
      </c>
      <c r="AA56" s="2">
        <f t="shared" si="3"/>
        <v>243.62891125307095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8.4525310900621591</v>
      </c>
      <c r="C63" s="2">
        <f>C8*'Output-Calculation-sheet'!C52/10^9</f>
        <v>5.3305052075164534</v>
      </c>
      <c r="D63" s="2">
        <f>D8*'Output-Calculation-sheet'!D52/10^9</f>
        <v>2.8985344311188306</v>
      </c>
      <c r="E63" s="2">
        <f>E8*'Output-Calculation-sheet'!E52/10^9</f>
        <v>2.8819352072479685</v>
      </c>
      <c r="F63" s="2">
        <f>F8*'Output-Calculation-sheet'!F52/10^9</f>
        <v>1.220500293780368</v>
      </c>
      <c r="G63" s="2">
        <f>G8*'Output-Calculation-sheet'!G52/10^9</f>
        <v>0.87748350899474103</v>
      </c>
      <c r="H63" s="2">
        <f>H8*'Output-Calculation-sheet'!H52/10^9</f>
        <v>1.5327424086764514</v>
      </c>
      <c r="I63" s="2">
        <f>I8*'Output-Calculation-sheet'!I52/10^9</f>
        <v>0.81626349345038129</v>
      </c>
      <c r="J63" s="2">
        <f>J8*'Output-Calculation-sheet'!J52/10^9</f>
        <v>1.1232349919549025</v>
      </c>
      <c r="K63" s="2">
        <f>K8*'Output-Calculation-sheet'!K52/10^9</f>
        <v>0.98685928827043445</v>
      </c>
      <c r="L63" s="2">
        <f>L8*'Output-Calculation-sheet'!L52/10^9</f>
        <v>1.3273713546816268</v>
      </c>
      <c r="M63" s="2">
        <f>M8*'Output-Calculation-sheet'!M52/10^9</f>
        <v>1.2441080195576395</v>
      </c>
      <c r="N63" s="2">
        <f>N8*'Output-Calculation-sheet'!N52/10^9</f>
        <v>1.0383305543753252</v>
      </c>
      <c r="O63" s="2">
        <f>O8*'Output-Calculation-sheet'!O52/10^9</f>
        <v>1.1072311094688265</v>
      </c>
      <c r="P63" s="2">
        <f>P8*'Output-Calculation-sheet'!P52/10^9</f>
        <v>0.68189440055627093</v>
      </c>
      <c r="Q63" s="2">
        <f>Q8*'Output-Calculation-sheet'!Q52/10^9</f>
        <v>0.77170042635047309</v>
      </c>
      <c r="R63" s="2">
        <f>R8*'Output-Calculation-sheet'!R52/10^9</f>
        <v>0.69283457543085059</v>
      </c>
      <c r="S63" s="2">
        <f>S8*'Output-Calculation-sheet'!S52/10^9</f>
        <v>0.51341802509353385</v>
      </c>
      <c r="T63" s="2">
        <f>T8*'Output-Calculation-sheet'!T52/10^9</f>
        <v>0.26340688361260745</v>
      </c>
      <c r="U63" s="2">
        <f>U8*'Output-Calculation-sheet'!U52/10^9</f>
        <v>0.18090491885551507</v>
      </c>
      <c r="V63" s="2">
        <f>V8*'Output-Calculation-sheet'!V52/10^9</f>
        <v>0.32106372551180112</v>
      </c>
      <c r="W63" s="2">
        <f>W8*'Output-Calculation-sheet'!W52/10^9</f>
        <v>0.11621025119060319</v>
      </c>
      <c r="X63" s="2">
        <f>X8*'Output-Calculation-sheet'!X52/10^9</f>
        <v>0.13375531811177013</v>
      </c>
      <c r="Y63" s="2">
        <f>Y8*'Output-Calculation-sheet'!Y52/10^9</f>
        <v>7.582388297587353E-2</v>
      </c>
      <c r="AA63" s="2">
        <f t="shared" si="4"/>
        <v>34.588643366845403</v>
      </c>
    </row>
    <row r="64" spans="1:27" x14ac:dyDescent="0.25">
      <c r="A64" s="2">
        <v>2032</v>
      </c>
      <c r="B64" s="2">
        <f>B9*'Output-Calculation-sheet'!B53/10^9</f>
        <v>8.3273124427413627</v>
      </c>
      <c r="C64" s="2">
        <f>C9*'Output-Calculation-sheet'!C53/10^9</f>
        <v>5.6220574445699061</v>
      </c>
      <c r="D64" s="2">
        <f>D9*'Output-Calculation-sheet'!D53/10^9</f>
        <v>2.4643829672149433</v>
      </c>
      <c r="E64" s="2">
        <f>E9*'Output-Calculation-sheet'!E53/10^9</f>
        <v>2.5236483092816018</v>
      </c>
      <c r="F64" s="2">
        <f>F9*'Output-Calculation-sheet'!F53/10^9</f>
        <v>1.0644599259358898</v>
      </c>
      <c r="G64" s="2">
        <f>G9*'Output-Calculation-sheet'!G53/10^9</f>
        <v>0.75764920744445075</v>
      </c>
      <c r="H64" s="2">
        <f>H9*'Output-Calculation-sheet'!H53/10^9</f>
        <v>1.556859156364172</v>
      </c>
      <c r="I64" s="2">
        <f>I9*'Output-Calculation-sheet'!I53/10^9</f>
        <v>0.70827829931527708</v>
      </c>
      <c r="J64" s="2">
        <f>J9*'Output-Calculation-sheet'!J53/10^9</f>
        <v>0.93761747250452288</v>
      </c>
      <c r="K64" s="2">
        <f>K9*'Output-Calculation-sheet'!K53/10^9</f>
        <v>0.86997921381693522</v>
      </c>
      <c r="L64" s="2">
        <f>L9*'Output-Calculation-sheet'!L53/10^9</f>
        <v>1.1192210519197527</v>
      </c>
      <c r="M64" s="2">
        <f>M9*'Output-Calculation-sheet'!M53/10^9</f>
        <v>1.2201364152046954</v>
      </c>
      <c r="N64" s="2">
        <f>N9*'Output-Calculation-sheet'!N53/10^9</f>
        <v>1.0271323090005731</v>
      </c>
      <c r="O64" s="2">
        <f>O9*'Output-Calculation-sheet'!O53/10^9</f>
        <v>1.1627842524385881</v>
      </c>
      <c r="P64" s="2">
        <f>P9*'Output-Calculation-sheet'!P53/10^9</f>
        <v>0.66328887875618237</v>
      </c>
      <c r="Q64" s="2">
        <f>Q9*'Output-Calculation-sheet'!Q53/10^9</f>
        <v>0.73304552167074577</v>
      </c>
      <c r="R64" s="2">
        <f>R9*'Output-Calculation-sheet'!R53/10^9</f>
        <v>0.62839226577575391</v>
      </c>
      <c r="S64" s="2">
        <f>S9*'Output-Calculation-sheet'!S53/10^9</f>
        <v>0.51919162206630542</v>
      </c>
      <c r="T64" s="2">
        <f>T9*'Output-Calculation-sheet'!T53/10^9</f>
        <v>0.22589066336001035</v>
      </c>
      <c r="U64" s="2">
        <f>U9*'Output-Calculation-sheet'!U53/10^9</f>
        <v>0.17002311095431194</v>
      </c>
      <c r="V64" s="2">
        <f>V9*'Output-Calculation-sheet'!V53/10^9</f>
        <v>0.26811703533834913</v>
      </c>
      <c r="W64" s="2">
        <f>W9*'Output-Calculation-sheet'!W53/10^9</f>
        <v>9.9627457721264343E-2</v>
      </c>
      <c r="X64" s="2">
        <f>X9*'Output-Calculation-sheet'!X53/10^9</f>
        <v>0.13522803529661104</v>
      </c>
      <c r="Y64" s="2">
        <f>Y9*'Output-Calculation-sheet'!Y53/10^9</f>
        <v>6.9802236688581543E-2</v>
      </c>
      <c r="AA64" s="2">
        <f t="shared" si="4"/>
        <v>32.874125295380793</v>
      </c>
    </row>
    <row r="65" spans="1:27" x14ac:dyDescent="0.25">
      <c r="A65" s="2">
        <v>2033</v>
      </c>
      <c r="B65" s="2">
        <f>B10*'Output-Calculation-sheet'!B54/10^9</f>
        <v>7.7059314891670398</v>
      </c>
      <c r="C65" s="2">
        <f>C10*'Output-Calculation-sheet'!C54/10^9</f>
        <v>5.4748079381339174</v>
      </c>
      <c r="D65" s="2">
        <f>D10*'Output-Calculation-sheet'!D54/10^9</f>
        <v>1.8205243675273333</v>
      </c>
      <c r="E65" s="2">
        <f>E10*'Output-Calculation-sheet'!E54/10^9</f>
        <v>2.0498896192058376</v>
      </c>
      <c r="F65" s="2">
        <f>F10*'Output-Calculation-sheet'!F54/10^9</f>
        <v>0.83222010560094639</v>
      </c>
      <c r="G65" s="2">
        <f>G10*'Output-Calculation-sheet'!G54/10^9</f>
        <v>0.57139438072276116</v>
      </c>
      <c r="H65" s="2">
        <f>H10*'Output-Calculation-sheet'!H54/10^9</f>
        <v>1.4120807193811029</v>
      </c>
      <c r="I65" s="2">
        <f>I10*'Output-Calculation-sheet'!I54/10^9</f>
        <v>0.55638207698762931</v>
      </c>
      <c r="J65" s="2">
        <f>J10*'Output-Calculation-sheet'!J54/10^9</f>
        <v>0.66500067610236457</v>
      </c>
      <c r="K65" s="2">
        <f>K10*'Output-Calculation-sheet'!K54/10^9</f>
        <v>0.70946763166827909</v>
      </c>
      <c r="L65" s="2">
        <f>L10*'Output-Calculation-sheet'!L54/10^9</f>
        <v>0.83803048281782089</v>
      </c>
      <c r="M65" s="2">
        <f>M10*'Output-Calculation-sheet'!M54/10^9</f>
        <v>1.0662235117650085</v>
      </c>
      <c r="N65" s="2">
        <f>N10*'Output-Calculation-sheet'!N54/10^9</f>
        <v>0.92071206038721565</v>
      </c>
      <c r="O65" s="2">
        <f>O10*'Output-Calculation-sheet'!O54/10^9</f>
        <v>1.1290667882421754</v>
      </c>
      <c r="P65" s="2">
        <f>P10*'Output-Calculation-sheet'!P54/10^9</f>
        <v>0.60030241107041094</v>
      </c>
      <c r="Q65" s="2">
        <f>Q10*'Output-Calculation-sheet'!Q54/10^9</f>
        <v>0.65504582292286406</v>
      </c>
      <c r="R65" s="2">
        <f>R10*'Output-Calculation-sheet'!R54/10^9</f>
        <v>0.52848953591672876</v>
      </c>
      <c r="S65" s="2">
        <f>S10*'Output-Calculation-sheet'!S54/10^9</f>
        <v>0.48004869173145376</v>
      </c>
      <c r="T65" s="2">
        <f>T10*'Output-Calculation-sheet'!T54/10^9</f>
        <v>0.17669764417120468</v>
      </c>
      <c r="U65" s="2">
        <f>U10*'Output-Calculation-sheet'!U54/10^9</f>
        <v>0.1525794623129495</v>
      </c>
      <c r="V65" s="2">
        <f>V10*'Output-Calculation-sheet'!V54/10^9</f>
        <v>0.19554261495569505</v>
      </c>
      <c r="W65" s="2">
        <f>W10*'Output-Calculation-sheet'!W54/10^9</f>
        <v>7.4450428200323174E-2</v>
      </c>
      <c r="X65" s="2">
        <f>X10*'Output-Calculation-sheet'!X54/10^9</f>
        <v>0.12262541735193683</v>
      </c>
      <c r="Y65" s="2">
        <f>Y10*'Output-Calculation-sheet'!Y54/10^9</f>
        <v>6.1276693019610806E-2</v>
      </c>
      <c r="AA65" s="2">
        <f t="shared" si="4"/>
        <v>28.79879056936262</v>
      </c>
    </row>
    <row r="66" spans="1:27" x14ac:dyDescent="0.25">
      <c r="A66" s="2">
        <v>2034</v>
      </c>
      <c r="B66" s="2">
        <f>B11*'Output-Calculation-sheet'!B55/10^9</f>
        <v>6.6583230522667725</v>
      </c>
      <c r="C66" s="2">
        <f>C11*'Output-Calculation-sheet'!C55/10^9</f>
        <v>5.0498160774912213</v>
      </c>
      <c r="D66" s="2">
        <f>D11*'Output-Calculation-sheet'!D55/10^9</f>
        <v>1.3928264567764264</v>
      </c>
      <c r="E66" s="2">
        <f>E11*'Output-Calculation-sheet'!E55/10^9</f>
        <v>1.6864687131743683</v>
      </c>
      <c r="F66" s="2">
        <f>F11*'Output-Calculation-sheet'!F55/10^9</f>
        <v>0.64813817214006431</v>
      </c>
      <c r="G66" s="2">
        <f>G11*'Output-Calculation-sheet'!G55/10^9</f>
        <v>0.46329077935928875</v>
      </c>
      <c r="H66" s="2">
        <f>H11*'Output-Calculation-sheet'!H55/10^9</f>
        <v>1.1897080936290039</v>
      </c>
      <c r="I66" s="2">
        <f>I11*'Output-Calculation-sheet'!I55/10^9</f>
        <v>0.45306964931495919</v>
      </c>
      <c r="J66" s="2">
        <f>J11*'Output-Calculation-sheet'!J55/10^9</f>
        <v>0.46589711780831794</v>
      </c>
      <c r="K66" s="2">
        <f>K11*'Output-Calculation-sheet'!K55/10^9</f>
        <v>0.55720653468661319</v>
      </c>
      <c r="L66" s="2">
        <f>L11*'Output-Calculation-sheet'!L55/10^9</f>
        <v>0.59010750554373304</v>
      </c>
      <c r="M66" s="2">
        <f>M11*'Output-Calculation-sheet'!M55/10^9</f>
        <v>0.85806738277897976</v>
      </c>
      <c r="N66" s="2">
        <f>N11*'Output-Calculation-sheet'!N55/10^9</f>
        <v>0.74972277965534528</v>
      </c>
      <c r="O66" s="2">
        <f>O11*'Output-Calculation-sheet'!O55/10^9</f>
        <v>1.0054695341216182</v>
      </c>
      <c r="P66" s="2">
        <f>P11*'Output-Calculation-sheet'!P55/10^9</f>
        <v>0.51535971390326019</v>
      </c>
      <c r="Q66" s="2">
        <f>Q11*'Output-Calculation-sheet'!Q55/10^9</f>
        <v>0.56261800626925751</v>
      </c>
      <c r="R66" s="2">
        <f>R11*'Output-Calculation-sheet'!R55/10^9</f>
        <v>0.41741506056972599</v>
      </c>
      <c r="S66" s="2">
        <f>S11*'Output-Calculation-sheet'!S55/10^9</f>
        <v>0.41071451616390298</v>
      </c>
      <c r="T66" s="2">
        <f>T11*'Output-Calculation-sheet'!T55/10^9</f>
        <v>0.1308425808098472</v>
      </c>
      <c r="U66" s="2">
        <f>U11*'Output-Calculation-sheet'!U55/10^9</f>
        <v>0.13359102547764623</v>
      </c>
      <c r="V66" s="2">
        <f>V11*'Output-Calculation-sheet'!V55/10^9</f>
        <v>0.12412664235701168</v>
      </c>
      <c r="W66" s="2">
        <f>W11*'Output-Calculation-sheet'!W55/10^9</f>
        <v>5.619985120249197E-2</v>
      </c>
      <c r="X66" s="2">
        <f>X11*'Output-Calculation-sheet'!X55/10^9</f>
        <v>0.10665647274255607</v>
      </c>
      <c r="Y66" s="2">
        <f>Y11*'Output-Calculation-sheet'!Y55/10^9</f>
        <v>5.5148939009094608E-2</v>
      </c>
      <c r="AA66" s="2">
        <f t="shared" si="4"/>
        <v>24.280784657251516</v>
      </c>
    </row>
    <row r="67" spans="1:27" x14ac:dyDescent="0.25">
      <c r="A67" s="2">
        <v>2035</v>
      </c>
      <c r="B67" s="2">
        <f>B12*'Output-Calculation-sheet'!B56/10^9</f>
        <v>5.7366175714647216</v>
      </c>
      <c r="C67" s="2">
        <f>C12*'Output-Calculation-sheet'!C56/10^9</f>
        <v>4.1579133632341874</v>
      </c>
      <c r="D67" s="2">
        <f>D12*'Output-Calculation-sheet'!D56/10^9</f>
        <v>1.3012007599782212</v>
      </c>
      <c r="E67" s="2">
        <f>E12*'Output-Calculation-sheet'!E56/10^9</f>
        <v>1.5488607170817728</v>
      </c>
      <c r="F67" s="2">
        <f>F12*'Output-Calculation-sheet'!F56/10^9</f>
        <v>0.63390311067464078</v>
      </c>
      <c r="G67" s="2">
        <f>G12*'Output-Calculation-sheet'!G56/10^9</f>
        <v>0.44556932057433829</v>
      </c>
      <c r="H67" s="2">
        <f>H12*'Output-Calculation-sheet'!H56/10^9</f>
        <v>1.017333974995392</v>
      </c>
      <c r="I67" s="2">
        <f>I12*'Output-Calculation-sheet'!I56/10^9</f>
        <v>0.4462022840531078</v>
      </c>
      <c r="J67" s="2">
        <f>J12*'Output-Calculation-sheet'!J56/10^9</f>
        <v>0.40367938361412747</v>
      </c>
      <c r="K67" s="2">
        <f>K12*'Output-Calculation-sheet'!K56/10^9</f>
        <v>0.50100077616020344</v>
      </c>
      <c r="L67" s="2">
        <f>L12*'Output-Calculation-sheet'!L56/10^9</f>
        <v>0.46687857628704893</v>
      </c>
      <c r="M67" s="2">
        <f>M12*'Output-Calculation-sheet'!M56/10^9</f>
        <v>0.71755068488964768</v>
      </c>
      <c r="N67" s="2">
        <f>N12*'Output-Calculation-sheet'!N56/10^9</f>
        <v>0.61007492435390431</v>
      </c>
      <c r="O67" s="2">
        <f>O12*'Output-Calculation-sheet'!O56/10^9</f>
        <v>0.8031797733605055</v>
      </c>
      <c r="P67" s="2">
        <f>P12*'Output-Calculation-sheet'!P56/10^9</f>
        <v>0.47102001514374225</v>
      </c>
      <c r="Q67" s="2">
        <f>Q12*'Output-Calculation-sheet'!Q56/10^9</f>
        <v>0.47575997846039891</v>
      </c>
      <c r="R67" s="2">
        <f>R12*'Output-Calculation-sheet'!R56/10^9</f>
        <v>0.36328379003293282</v>
      </c>
      <c r="S67" s="2">
        <f>S12*'Output-Calculation-sheet'!S56/10^9</f>
        <v>0.34740470216333119</v>
      </c>
      <c r="T67" s="2">
        <f>T12*'Output-Calculation-sheet'!T56/10^9</f>
        <v>0.11049592366382102</v>
      </c>
      <c r="U67" s="2">
        <f>U12*'Output-Calculation-sheet'!U56/10^9</f>
        <v>0.12567860019572485</v>
      </c>
      <c r="V67" s="2">
        <f>V12*'Output-Calculation-sheet'!V56/10^9</f>
        <v>8.4714049444585521E-2</v>
      </c>
      <c r="W67" s="2">
        <f>W12*'Output-Calculation-sheet'!W56/10^9</f>
        <v>5.486470117217012E-2</v>
      </c>
      <c r="X67" s="2">
        <f>X12*'Output-Calculation-sheet'!X56/10^9</f>
        <v>8.9860162952376643E-2</v>
      </c>
      <c r="Y67" s="2">
        <f>Y12*'Output-Calculation-sheet'!Y56/10^9</f>
        <v>5.1558097600402947E-2</v>
      </c>
      <c r="AA67" s="2">
        <f t="shared" si="4"/>
        <v>20.9646052415513</v>
      </c>
    </row>
    <row r="68" spans="1:27" x14ac:dyDescent="0.25">
      <c r="B68" s="2">
        <f>SUM(B60:B67)</f>
        <v>56.725454085226957</v>
      </c>
      <c r="C68" s="2">
        <f t="shared" ref="C68:Y68" si="5">SUM(C60:C67)</f>
        <v>36.139485486009825</v>
      </c>
      <c r="D68" s="2">
        <f t="shared" si="5"/>
        <v>17.662738973306055</v>
      </c>
      <c r="E68" s="2">
        <f t="shared" si="5"/>
        <v>18.366423503478998</v>
      </c>
      <c r="F68" s="2">
        <f t="shared" si="5"/>
        <v>7.5804073882192959</v>
      </c>
      <c r="G68" s="2">
        <f t="shared" si="5"/>
        <v>5.430226129577707</v>
      </c>
      <c r="H68" s="2">
        <f t="shared" si="5"/>
        <v>9.980416784092121</v>
      </c>
      <c r="I68" s="2">
        <f t="shared" si="5"/>
        <v>5.1208940833083991</v>
      </c>
      <c r="J68" s="2">
        <f t="shared" si="5"/>
        <v>6.6753220662996355</v>
      </c>
      <c r="K68" s="2">
        <f t="shared" si="5"/>
        <v>6.2182493690112111</v>
      </c>
      <c r="L68" s="2">
        <f t="shared" si="5"/>
        <v>7.99449636408659</v>
      </c>
      <c r="M68" s="2">
        <f t="shared" si="5"/>
        <v>7.9108704567182633</v>
      </c>
      <c r="N68" s="2">
        <f t="shared" si="5"/>
        <v>6.7799508592483875</v>
      </c>
      <c r="O68" s="2">
        <f t="shared" si="5"/>
        <v>7.4030094410824594</v>
      </c>
      <c r="P68" s="2">
        <f t="shared" si="5"/>
        <v>4.579071686436337</v>
      </c>
      <c r="Q68" s="2">
        <f t="shared" si="5"/>
        <v>5.0785048683725798</v>
      </c>
      <c r="R68" s="2">
        <f t="shared" si="5"/>
        <v>4.4333815969207748</v>
      </c>
      <c r="S68" s="2">
        <f t="shared" si="5"/>
        <v>3.4501638386203783</v>
      </c>
      <c r="T68" s="2">
        <f t="shared" si="5"/>
        <v>1.6131104664479374</v>
      </c>
      <c r="U68" s="2">
        <f t="shared" si="5"/>
        <v>1.224415787314665</v>
      </c>
      <c r="V68" s="2">
        <f t="shared" si="5"/>
        <v>1.8865856140195671</v>
      </c>
      <c r="W68" s="2">
        <f t="shared" si="5"/>
        <v>0.71050165134399135</v>
      </c>
      <c r="X68" s="2">
        <f t="shared" si="5"/>
        <v>0.87375789830518713</v>
      </c>
      <c r="Y68" s="2">
        <f t="shared" si="5"/>
        <v>0.50852926897304718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7008.1800991585014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1691.5723072899975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1133.5228241730993</v>
      </c>
      <c r="N74" s="2">
        <f>N8/'Output-Calculation-sheet'!N7*'Output-Calculation-sheet'!N61</f>
        <v>47.507945679347017</v>
      </c>
      <c r="O74" s="2">
        <f>O8/'Output-Calculation-sheet'!O7*'Output-Calculation-sheet'!O61</f>
        <v>1400.8547883328215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140.8564914830977</v>
      </c>
      <c r="Y74" s="2">
        <f>Y8/'Output-Calculation-sheet'!Y7*'Output-Calculation-sheet'!Y61</f>
        <v>0</v>
      </c>
      <c r="AA74" s="2">
        <f t="shared" si="6"/>
        <v>11.422494456116866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11104.765496240989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2751.9708475269417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1869.8176153502759</v>
      </c>
      <c r="N75" s="2">
        <f>N9/'Output-Calculation-sheet'!N8*'Output-Calculation-sheet'!N62</f>
        <v>720.04013197416441</v>
      </c>
      <c r="O75" s="2">
        <f>O9/'Output-Calculation-sheet'!O8*'Output-Calculation-sheet'!O62</f>
        <v>2195.0543767073464</v>
      </c>
      <c r="P75" s="2">
        <f>P9/'Output-Calculation-sheet'!P8*'Output-Calculation-sheet'!P62</f>
        <v>48.384754620891805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242.16500212201765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225.89813347012583</v>
      </c>
      <c r="Y75" s="2">
        <f>Y9/'Output-Calculation-sheet'!Y8*'Output-Calculation-sheet'!Y62</f>
        <v>0</v>
      </c>
      <c r="AA75" s="2">
        <f t="shared" si="6"/>
        <v>19.158096358012756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13081.586537285772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3521.894118515957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2397.8831230195315</v>
      </c>
      <c r="N76" s="2">
        <f>N10/'Output-Calculation-sheet'!N9*'Output-Calculation-sheet'!N63</f>
        <v>1369.930425066555</v>
      </c>
      <c r="O76" s="2">
        <f>O10/'Output-Calculation-sheet'!O9*'Output-Calculation-sheet'!O63</f>
        <v>2360.08059312461</v>
      </c>
      <c r="P76" s="2">
        <f>P10/'Output-Calculation-sheet'!P9*'Output-Calculation-sheet'!P63</f>
        <v>475.70253630989868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361.11907484603569</v>
      </c>
      <c r="S76" s="2">
        <f>S10/'Output-Calculation-sheet'!S9*'Output-Calculation-sheet'!S63</f>
        <v>608.51265939769542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128.1224836341521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282.39512362300621</v>
      </c>
      <c r="Y76" s="2">
        <f>Y10/'Output-Calculation-sheet'!Y9*'Output-Calculation-sheet'!Y63</f>
        <v>5.357397562569548</v>
      </c>
      <c r="AA76" s="2">
        <f t="shared" si="6"/>
        <v>30.323399071446339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11116.793406043249</v>
      </c>
      <c r="D77" s="2">
        <f>D11/'Output-Calculation-sheet'!D10*'Output-Calculation-sheet'!D64</f>
        <v>1376.0648216702875</v>
      </c>
      <c r="E77" s="2">
        <f>E11/'Output-Calculation-sheet'!E10*'Output-Calculation-sheet'!E64</f>
        <v>1673.9483557272629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717.61295099068661</v>
      </c>
      <c r="H77" s="2">
        <f>H11/'Output-Calculation-sheet'!H10*'Output-Calculation-sheet'!H64</f>
        <v>3812.803433785276</v>
      </c>
      <c r="I77" s="2">
        <f>I11/'Output-Calculation-sheet'!I10*'Output-Calculation-sheet'!I64</f>
        <v>425.22099466535451</v>
      </c>
      <c r="J77" s="2">
        <f>J11/'Output-Calculation-sheet'!J10*'Output-Calculation-sheet'!J64</f>
        <v>305.65387632913286</v>
      </c>
      <c r="K77" s="2">
        <f>K11/'Output-Calculation-sheet'!K10*'Output-Calculation-sheet'!K64</f>
        <v>639.84715522991041</v>
      </c>
      <c r="L77" s="2">
        <f>L11/'Output-Calculation-sheet'!L10*'Output-Calculation-sheet'!L64</f>
        <v>279.73198815428987</v>
      </c>
      <c r="M77" s="2">
        <f>M11/'Output-Calculation-sheet'!M10*'Output-Calculation-sheet'!M64</f>
        <v>2555.3301842482938</v>
      </c>
      <c r="N77" s="2">
        <f>N11/'Output-Calculation-sheet'!N10*'Output-Calculation-sheet'!N64</f>
        <v>1799.0949243240909</v>
      </c>
      <c r="O77" s="2">
        <f>O11/'Output-Calculation-sheet'!O10*'Output-Calculation-sheet'!O64</f>
        <v>2083.9005653816621</v>
      </c>
      <c r="P77" s="2">
        <f>P11/'Output-Calculation-sheet'!P10*'Output-Calculation-sheet'!P64</f>
        <v>794.08466170309771</v>
      </c>
      <c r="Q77" s="2">
        <f>Q11/'Output-Calculation-sheet'!Q10*'Output-Calculation-sheet'!Q64</f>
        <v>714.36692713681123</v>
      </c>
      <c r="R77" s="2">
        <f>R11/'Output-Calculation-sheet'!R10*'Output-Calculation-sheet'!R64</f>
        <v>679.5290072071208</v>
      </c>
      <c r="S77" s="2">
        <f>S11/'Output-Calculation-sheet'!S10*'Output-Calculation-sheet'!S64</f>
        <v>904.71109779242863</v>
      </c>
      <c r="T77" s="2">
        <f>T11/'Output-Calculation-sheet'!T10*'Output-Calculation-sheet'!T64</f>
        <v>188.34211140597932</v>
      </c>
      <c r="U77" s="2">
        <f>U11/'Output-Calculation-sheet'!U10*'Output-Calculation-sheet'!U64</f>
        <v>257.71596064346255</v>
      </c>
      <c r="V77" s="2">
        <f>V11/'Output-Calculation-sheet'!V10*'Output-Calculation-sheet'!V64</f>
        <v>99.039071500095659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263.52721646486776</v>
      </c>
      <c r="Y77" s="2">
        <f>Y11/'Output-Calculation-sheet'!Y10*'Output-Calculation-sheet'!Y64</f>
        <v>62.207093259595759</v>
      </c>
      <c r="AA77" s="2">
        <f t="shared" si="6"/>
        <v>41.901841559005561</v>
      </c>
    </row>
    <row r="78" spans="1:27" x14ac:dyDescent="0.25">
      <c r="A78" s="2">
        <v>2035</v>
      </c>
      <c r="B78" s="2">
        <f>B12/'Output-Calculation-sheet'!B11*'Output-Calculation-sheet'!B65</f>
        <v>12269.047896486058</v>
      </c>
      <c r="C78" s="2">
        <f>C12/'Output-Calculation-sheet'!C11*'Output-Calculation-sheet'!C65</f>
        <v>8645.769461287613</v>
      </c>
      <c r="D78" s="2">
        <f>D12/'Output-Calculation-sheet'!D11*'Output-Calculation-sheet'!D65</f>
        <v>2818.0991598316946</v>
      </c>
      <c r="E78" s="2">
        <f>E12/'Output-Calculation-sheet'!E11*'Output-Calculation-sheet'!E65</f>
        <v>2818.8767767124864</v>
      </c>
      <c r="F78" s="2">
        <f>F12/'Output-Calculation-sheet'!F11*'Output-Calculation-sheet'!F65</f>
        <v>654.39433752099296</v>
      </c>
      <c r="G78" s="2">
        <f>G12/'Output-Calculation-sheet'!G11*'Output-Calculation-sheet'!G65</f>
        <v>975.44705021221307</v>
      </c>
      <c r="H78" s="2">
        <f>H12/'Output-Calculation-sheet'!H11*'Output-Calculation-sheet'!H65</f>
        <v>3126.1523255928223</v>
      </c>
      <c r="I78" s="2">
        <f>I12/'Output-Calculation-sheet'!I11*'Output-Calculation-sheet'!I65</f>
        <v>865.94305672154155</v>
      </c>
      <c r="J78" s="2">
        <f>J12/'Output-Calculation-sheet'!J11*'Output-Calculation-sheet'!J65</f>
        <v>770.37097261363033</v>
      </c>
      <c r="K78" s="2">
        <f>K12/'Output-Calculation-sheet'!K11*'Output-Calculation-sheet'!K65</f>
        <v>1026.9098303654541</v>
      </c>
      <c r="L78" s="2">
        <f>L12/'Output-Calculation-sheet'!L11*'Output-Calculation-sheet'!L65</f>
        <v>676.43060662859978</v>
      </c>
      <c r="M78" s="2">
        <f>M12/'Output-Calculation-sheet'!M11*'Output-Calculation-sheet'!M65</f>
        <v>2183.157696339053</v>
      </c>
      <c r="N78" s="2">
        <f>N12/'Output-Calculation-sheet'!N11*'Output-Calculation-sheet'!N65</f>
        <v>1558.9341138494219</v>
      </c>
      <c r="O78" s="2">
        <f>O12/'Output-Calculation-sheet'!O11*'Output-Calculation-sheet'!O65</f>
        <v>1579.7374366124022</v>
      </c>
      <c r="P78" s="2">
        <f>P12/'Output-Calculation-sheet'!P11*'Output-Calculation-sheet'!P65</f>
        <v>863.35240341443307</v>
      </c>
      <c r="Q78" s="2">
        <f>Q12/'Output-Calculation-sheet'!Q11*'Output-Calculation-sheet'!Q65</f>
        <v>837.00676520480613</v>
      </c>
      <c r="R78" s="2">
        <f>R12/'Output-Calculation-sheet'!R11*'Output-Calculation-sheet'!R65</f>
        <v>759.30911531756772</v>
      </c>
      <c r="S78" s="2">
        <f>S12/'Output-Calculation-sheet'!S11*'Output-Calculation-sheet'!S65</f>
        <v>849.4171253753284</v>
      </c>
      <c r="T78" s="2">
        <f>T12/'Output-Calculation-sheet'!T11*'Output-Calculation-sheet'!T65</f>
        <v>264.61179870349486</v>
      </c>
      <c r="U78" s="2">
        <f>U12/'Output-Calculation-sheet'!U11*'Output-Calculation-sheet'!U65</f>
        <v>241.95084294143518</v>
      </c>
      <c r="V78" s="2">
        <f>V12/'Output-Calculation-sheet'!V11*'Output-Calculation-sheet'!V65</f>
        <v>138.4843907865739</v>
      </c>
      <c r="W78" s="2">
        <f>W12/'Output-Calculation-sheet'!W11*'Output-Calculation-sheet'!W65</f>
        <v>92.173494947316684</v>
      </c>
      <c r="X78" s="2">
        <f>X12/'Output-Calculation-sheet'!X11*'Output-Calculation-sheet'!X65</f>
        <v>209.69517334870915</v>
      </c>
      <c r="Y78" s="2">
        <f>Y12/'Output-Calculation-sheet'!Y11*'Output-Calculation-sheet'!Y65</f>
        <v>96.968783498867666</v>
      </c>
      <c r="AA78" s="2">
        <f t="shared" si="6"/>
        <v>44.322240614312527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38.72698560298992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3.872698560298992E-2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419.774095112422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97.86097656116192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0.51763507167358402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698.35048481942488</v>
      </c>
      <c r="D89" s="2">
        <f>D12/'Output-Calculation-sheet'!D11*'Output-Calculation-sheet'!D74</f>
        <v>56.23825902677499</v>
      </c>
      <c r="E89" s="2">
        <f>E12/'Output-Calculation-sheet'!E11*'Output-Calculation-sheet'!E74</f>
        <v>44.694415359322761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58.62928055899819</v>
      </c>
      <c r="I89" s="2">
        <f>I12/'Output-Calculation-sheet'!I11*'Output-Calculation-sheet'!I74</f>
        <v>18.145193234321848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17.833868750051302</v>
      </c>
      <c r="L89" s="2">
        <f>L12/'Output-Calculation-sheet'!L11*'Output-Calculation-sheet'!L74</f>
        <v>14.180637861441054</v>
      </c>
      <c r="M89" s="2">
        <f>M12/'Output-Calculation-sheet'!M11*'Output-Calculation-sheet'!M74</f>
        <v>40.342682228186462</v>
      </c>
      <c r="N89" s="2">
        <f>N12/'Output-Calculation-sheet'!N11*'Output-Calculation-sheet'!N74</f>
        <v>26.433588758881605</v>
      </c>
      <c r="O89" s="2">
        <f>O12/'Output-Calculation-sheet'!O11*'Output-Calculation-sheet'!O74</f>
        <v>160.33811416004644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23.159800368141173</v>
      </c>
      <c r="R89" s="2">
        <f>R12/'Output-Calculation-sheet'!R11*'Output-Calculation-sheet'!R74</f>
        <v>11.483630243304967</v>
      </c>
      <c r="S89" s="2">
        <f>S12/'Output-Calculation-sheet'!S11*'Output-Calculation-sheet'!S74</f>
        <v>15.152604475321382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7.3893914101162128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5.9009222576741651</v>
      </c>
      <c r="Y89" s="2">
        <f>Y12/'Output-Calculation-sheet'!Y11*'Output-Calculation-sheet'!Y74</f>
        <v>2.8472497136819936</v>
      </c>
      <c r="AA89" s="2">
        <f t="shared" si="7"/>
        <v>1.5890436161528323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22075481054.608929</v>
      </c>
      <c r="C96" s="2">
        <f>C8/'Output-Calculation-sheet'!C7*'Output-Calculation-sheet'!C79</f>
        <v>9138960742.0652409</v>
      </c>
      <c r="D96" s="2">
        <f>D8/'Output-Calculation-sheet'!D7*'Output-Calculation-sheet'!D79</f>
        <v>7285185284.5620441</v>
      </c>
      <c r="E96" s="2">
        <f>E8/'Output-Calculation-sheet'!E7*'Output-Calculation-sheet'!E79</f>
        <v>8803043541.5801563</v>
      </c>
      <c r="F96" s="2">
        <f>F8/'Output-Calculation-sheet'!F7*'Output-Calculation-sheet'!F79</f>
        <v>5196386065.6873407</v>
      </c>
      <c r="G96" s="2">
        <f>G8/'Output-Calculation-sheet'!G7*'Output-Calculation-sheet'!G79</f>
        <v>2643151673.1641197</v>
      </c>
      <c r="H96" s="2">
        <f>H8/'Output-Calculation-sheet'!H7*'Output-Calculation-sheet'!H79</f>
        <v>3300418831.8530316</v>
      </c>
      <c r="I96" s="2">
        <f>I8/'Output-Calculation-sheet'!I7*'Output-Calculation-sheet'!I79</f>
        <v>3158962305.7738605</v>
      </c>
      <c r="J96" s="2">
        <f>J8/'Output-Calculation-sheet'!J7*'Output-Calculation-sheet'!J79</f>
        <v>1783031751.2507086</v>
      </c>
      <c r="K96" s="2">
        <f>K8/'Output-Calculation-sheet'!K7*'Output-Calculation-sheet'!K79</f>
        <v>3037113800.018002</v>
      </c>
      <c r="L96" s="2">
        <f>L8/'Output-Calculation-sheet'!L7*'Output-Calculation-sheet'!L79</f>
        <v>2184351942.2346807</v>
      </c>
      <c r="M96" s="2">
        <f>M8/'Output-Calculation-sheet'!M7*'Output-Calculation-sheet'!M79</f>
        <v>2208185639.6916656</v>
      </c>
      <c r="N96" s="2">
        <f>N8/'Output-Calculation-sheet'!N7*'Output-Calculation-sheet'!N79</f>
        <v>1571627872.1389635</v>
      </c>
      <c r="O96" s="2">
        <f>O8/'Output-Calculation-sheet'!O7*'Output-Calculation-sheet'!O79</f>
        <v>1235164456.485517</v>
      </c>
      <c r="P96" s="2">
        <f>P8/'Output-Calculation-sheet'!P7*'Output-Calculation-sheet'!P79</f>
        <v>2625648855.5168509</v>
      </c>
      <c r="Q96" s="2">
        <f>Q8/'Output-Calculation-sheet'!Q7*'Output-Calculation-sheet'!Q79</f>
        <v>1430094355.2685945</v>
      </c>
      <c r="R96" s="2">
        <f>R8/'Output-Calculation-sheet'!R7*'Output-Calculation-sheet'!R79</f>
        <v>1907881870.5167029</v>
      </c>
      <c r="S96" s="2">
        <f>S8/'Output-Calculation-sheet'!S7*'Output-Calculation-sheet'!S79</f>
        <v>1200908788.9891391</v>
      </c>
      <c r="T96" s="2">
        <f>T8/'Output-Calculation-sheet'!T7*'Output-Calculation-sheet'!T79</f>
        <v>771152518.04826891</v>
      </c>
      <c r="U96" s="2">
        <f>U8/'Output-Calculation-sheet'!U7*'Output-Calculation-sheet'!U79</f>
        <v>715079074.95573366</v>
      </c>
      <c r="V96" s="2">
        <f>V8/'Output-Calculation-sheet'!V7*'Output-Calculation-sheet'!V79</f>
        <v>460392269.98827708</v>
      </c>
      <c r="W96" s="2">
        <f>W8/'Output-Calculation-sheet'!W7*'Output-Calculation-sheet'!W79</f>
        <v>550733518.08985293</v>
      </c>
      <c r="X96" s="2">
        <f>X8/'Output-Calculation-sheet'!X7*'Output-Calculation-sheet'!X79</f>
        <v>252073846.78753513</v>
      </c>
      <c r="Y96" s="2">
        <f>Y8/'Output-Calculation-sheet'!Y7*'Output-Calculation-sheet'!Y79</f>
        <v>282139272.70865083</v>
      </c>
      <c r="AA96" s="2">
        <f t="shared" si="8"/>
        <v>83.817169331983877</v>
      </c>
    </row>
    <row r="97" spans="1:27" x14ac:dyDescent="0.25">
      <c r="A97" s="2">
        <v>2032</v>
      </c>
      <c r="B97" s="2">
        <f>B9/'Output-Calculation-sheet'!B8*'Output-Calculation-sheet'!B80</f>
        <v>28772617743.724079</v>
      </c>
      <c r="C97" s="2">
        <f>C9/'Output-Calculation-sheet'!C8*'Output-Calculation-sheet'!C80</f>
        <v>11921875058.584881</v>
      </c>
      <c r="D97" s="2">
        <f>D9/'Output-Calculation-sheet'!D8*'Output-Calculation-sheet'!D80</f>
        <v>9423278120.1715488</v>
      </c>
      <c r="E97" s="2">
        <f>E9/'Output-Calculation-sheet'!E8*'Output-Calculation-sheet'!E80</f>
        <v>11370631288.737129</v>
      </c>
      <c r="F97" s="2">
        <f>F9/'Output-Calculation-sheet'!F8*'Output-Calculation-sheet'!F80</f>
        <v>6737420109.7242069</v>
      </c>
      <c r="G97" s="2">
        <f>G9/'Output-Calculation-sheet'!G8*'Output-Calculation-sheet'!G80</f>
        <v>3372636209.5525026</v>
      </c>
      <c r="H97" s="2">
        <f>H9/'Output-Calculation-sheet'!H8*'Output-Calculation-sheet'!H80</f>
        <v>4292818573.9448857</v>
      </c>
      <c r="I97" s="2">
        <f>I9/'Output-Calculation-sheet'!I8*'Output-Calculation-sheet'!I80</f>
        <v>4097668539.791635</v>
      </c>
      <c r="J97" s="2">
        <f>J9/'Output-Calculation-sheet'!J8*'Output-Calculation-sheet'!J80</f>
        <v>2338190334.482707</v>
      </c>
      <c r="K97" s="2">
        <f>K9/'Output-Calculation-sheet'!K8*'Output-Calculation-sheet'!K80</f>
        <v>3938723543.9650159</v>
      </c>
      <c r="L97" s="2">
        <f>L9/'Output-Calculation-sheet'!L8*'Output-Calculation-sheet'!L80</f>
        <v>2849800733.9484067</v>
      </c>
      <c r="M97" s="2">
        <f>M9/'Output-Calculation-sheet'!M8*'Output-Calculation-sheet'!M80</f>
        <v>2872116295.7633405</v>
      </c>
      <c r="N97" s="2">
        <f>N9/'Output-Calculation-sheet'!N8*'Output-Calculation-sheet'!N80</f>
        <v>2052916948.739393</v>
      </c>
      <c r="O97" s="2">
        <f>O9/'Output-Calculation-sheet'!O8*'Output-Calculation-sheet'!O80</f>
        <v>1619626113.2400424</v>
      </c>
      <c r="P97" s="2">
        <f>P9/'Output-Calculation-sheet'!P8*'Output-Calculation-sheet'!P80</f>
        <v>3384639287.1807804</v>
      </c>
      <c r="Q97" s="2">
        <f>Q9/'Output-Calculation-sheet'!Q8*'Output-Calculation-sheet'!Q80</f>
        <v>1874110508.8130682</v>
      </c>
      <c r="R97" s="2">
        <f>R9/'Output-Calculation-sheet'!R8*'Output-Calculation-sheet'!R80</f>
        <v>2484791850.929492</v>
      </c>
      <c r="S97" s="2">
        <f>S9/'Output-Calculation-sheet'!S8*'Output-Calculation-sheet'!S80</f>
        <v>1567542408.3713019</v>
      </c>
      <c r="T97" s="2">
        <f>T9/'Output-Calculation-sheet'!T8*'Output-Calculation-sheet'!T80</f>
        <v>996373469.43490052</v>
      </c>
      <c r="U97" s="2">
        <f>U9/'Output-Calculation-sheet'!U8*'Output-Calculation-sheet'!U80</f>
        <v>929156979.58047259</v>
      </c>
      <c r="V97" s="2">
        <f>V9/'Output-Calculation-sheet'!V8*'Output-Calculation-sheet'!V80</f>
        <v>601730906.63806772</v>
      </c>
      <c r="W97" s="2">
        <f>W9/'Output-Calculation-sheet'!W8*'Output-Calculation-sheet'!W80</f>
        <v>703894157.88216865</v>
      </c>
      <c r="X97" s="2">
        <f>X9/'Output-Calculation-sheet'!X8*'Output-Calculation-sheet'!X80</f>
        <v>327761557.59929073</v>
      </c>
      <c r="Y97" s="2">
        <f>Y9/'Output-Calculation-sheet'!Y8*'Output-Calculation-sheet'!Y80</f>
        <v>362191624.00261194</v>
      </c>
      <c r="AA97" s="2">
        <f t="shared" si="8"/>
        <v>108.89251236480193</v>
      </c>
    </row>
    <row r="98" spans="1:27" x14ac:dyDescent="0.25">
      <c r="A98" s="2">
        <v>2033</v>
      </c>
      <c r="B98" s="2">
        <f>B10/'Output-Calculation-sheet'!B9*'Output-Calculation-sheet'!B81</f>
        <v>32418031404.944321</v>
      </c>
      <c r="C98" s="2">
        <f>C10/'Output-Calculation-sheet'!C9*'Output-Calculation-sheet'!C81</f>
        <v>13446264654.291273</v>
      </c>
      <c r="D98" s="2">
        <f>D10/'Output-Calculation-sheet'!D9*'Output-Calculation-sheet'!D81</f>
        <v>10547690590.510912</v>
      </c>
      <c r="E98" s="2">
        <f>E10/'Output-Calculation-sheet'!E9*'Output-Calculation-sheet'!E81</f>
        <v>12703499025.797617</v>
      </c>
      <c r="F98" s="2">
        <f>F10/'Output-Calculation-sheet'!F9*'Output-Calculation-sheet'!F81</f>
        <v>7553797753.7638683</v>
      </c>
      <c r="G98" s="2">
        <f>G10/'Output-Calculation-sheet'!G9*'Output-Calculation-sheet'!G81</f>
        <v>3723471036.7122083</v>
      </c>
      <c r="H98" s="2">
        <f>H10/'Output-Calculation-sheet'!H9*'Output-Calculation-sheet'!H81</f>
        <v>4827551059.3401556</v>
      </c>
      <c r="I98" s="2">
        <f>I10/'Output-Calculation-sheet'!I9*'Output-Calculation-sheet'!I81</f>
        <v>4596939150.5976658</v>
      </c>
      <c r="J98" s="2">
        <f>J10/'Output-Calculation-sheet'!J9*'Output-Calculation-sheet'!J81</f>
        <v>2652534309.4568653</v>
      </c>
      <c r="K98" s="2">
        <f>K10/'Output-Calculation-sheet'!K9*'Output-Calculation-sheet'!K81</f>
        <v>4417171944.2177677</v>
      </c>
      <c r="L98" s="2">
        <f>L10/'Output-Calculation-sheet'!L9*'Output-Calculation-sheet'!L81</f>
        <v>3214420645.2145376</v>
      </c>
      <c r="M98" s="2">
        <f>M10/'Output-Calculation-sheet'!M9*'Output-Calculation-sheet'!M81</f>
        <v>3230464422.5616808</v>
      </c>
      <c r="N98" s="2">
        <f>N10/'Output-Calculation-sheet'!N9*'Output-Calculation-sheet'!N81</f>
        <v>2319770433.0288186</v>
      </c>
      <c r="O98" s="2">
        <f>O10/'Output-Calculation-sheet'!O9*'Output-Calculation-sheet'!O81</f>
        <v>1836647623.8892386</v>
      </c>
      <c r="P98" s="2">
        <f>P10/'Output-Calculation-sheet'!P9*'Output-Calculation-sheet'!P81</f>
        <v>3772471015.9772272</v>
      </c>
      <c r="Q98" s="2">
        <f>Q10/'Output-Calculation-sheet'!Q9*'Output-Calculation-sheet'!Q81</f>
        <v>2123929899.0641315</v>
      </c>
      <c r="R98" s="2">
        <f>R10/'Output-Calculation-sheet'!R9*'Output-Calculation-sheet'!R81</f>
        <v>2797812851.031806</v>
      </c>
      <c r="S98" s="2">
        <f>S10/'Output-Calculation-sheet'!S9*'Output-Calculation-sheet'!S81</f>
        <v>1768727286.7445576</v>
      </c>
      <c r="T98" s="2">
        <f>T10/'Output-Calculation-sheet'!T9*'Output-Calculation-sheet'!T81</f>
        <v>1113441685.4442332</v>
      </c>
      <c r="U98" s="2">
        <f>U10/'Output-Calculation-sheet'!U9*'Output-Calculation-sheet'!U81</f>
        <v>1043238251.0786144</v>
      </c>
      <c r="V98" s="2">
        <f>V10/'Output-Calculation-sheet'!V9*'Output-Calculation-sheet'!V81</f>
        <v>679471230.79357469</v>
      </c>
      <c r="W98" s="2">
        <f>W10/'Output-Calculation-sheet'!W9*'Output-Calculation-sheet'!W81</f>
        <v>778095317.61305165</v>
      </c>
      <c r="X98" s="2">
        <f>X10/'Output-Calculation-sheet'!X9*'Output-Calculation-sheet'!X81</f>
        <v>368512793.76423198</v>
      </c>
      <c r="Y98" s="2">
        <f>Y10/'Output-Calculation-sheet'!Y9*'Output-Calculation-sheet'!Y81</f>
        <v>402263224.46851212</v>
      </c>
      <c r="AA98" s="2">
        <f t="shared" si="8"/>
        <v>122.33621761030687</v>
      </c>
    </row>
    <row r="99" spans="1:27" x14ac:dyDescent="0.25">
      <c r="A99" s="2">
        <v>2034</v>
      </c>
      <c r="B99" s="2">
        <f>B11/'Output-Calculation-sheet'!B10*'Output-Calculation-sheet'!B82</f>
        <v>32137618556.110275</v>
      </c>
      <c r="C99" s="2">
        <f>C11/'Output-Calculation-sheet'!C10*'Output-Calculation-sheet'!C82</f>
        <v>13345760269.162601</v>
      </c>
      <c r="D99" s="2">
        <f>D11/'Output-Calculation-sheet'!D10*'Output-Calculation-sheet'!D82</f>
        <v>10398321618.526731</v>
      </c>
      <c r="E99" s="2">
        <f>E11/'Output-Calculation-sheet'!E10*'Output-Calculation-sheet'!E82</f>
        <v>12494344143.897728</v>
      </c>
      <c r="F99" s="2">
        <f>F11/'Output-Calculation-sheet'!F10*'Output-Calculation-sheet'!F82</f>
        <v>7454039508.9882669</v>
      </c>
      <c r="G99" s="2">
        <f>G11/'Output-Calculation-sheet'!G10*'Output-Calculation-sheet'!G82</f>
        <v>3620225147.9947829</v>
      </c>
      <c r="H99" s="2">
        <f>H11/'Output-Calculation-sheet'!H10*'Output-Calculation-sheet'!H82</f>
        <v>4777476402.9889717</v>
      </c>
      <c r="I99" s="2">
        <f>I11/'Output-Calculation-sheet'!I10*'Output-Calculation-sheet'!I82</f>
        <v>4539460273.9058685</v>
      </c>
      <c r="J99" s="2">
        <f>J11/'Output-Calculation-sheet'!J10*'Output-Calculation-sheet'!J82</f>
        <v>2649423758.3306818</v>
      </c>
      <c r="K99" s="2">
        <f>K11/'Output-Calculation-sheet'!K10*'Output-Calculation-sheet'!K82</f>
        <v>4360181850.421483</v>
      </c>
      <c r="L99" s="2">
        <f>L11/'Output-Calculation-sheet'!L10*'Output-Calculation-sheet'!L82</f>
        <v>3190510504.002337</v>
      </c>
      <c r="M99" s="2">
        <f>M11/'Output-Calculation-sheet'!M10*'Output-Calculation-sheet'!M82</f>
        <v>3198069685.6563063</v>
      </c>
      <c r="N99" s="2">
        <f>N11/'Output-Calculation-sheet'!N10*'Output-Calculation-sheet'!N82</f>
        <v>2307929340.4347901</v>
      </c>
      <c r="O99" s="2">
        <f>O11/'Output-Calculation-sheet'!O10*'Output-Calculation-sheet'!O82</f>
        <v>1833229673.9202461</v>
      </c>
      <c r="P99" s="2">
        <f>P11/'Output-Calculation-sheet'!P10*'Output-Calculation-sheet'!P82</f>
        <v>3700599217.7932343</v>
      </c>
      <c r="Q99" s="2">
        <f>Q11/'Output-Calculation-sheet'!Q10*'Output-Calculation-sheet'!Q82</f>
        <v>2118639265.2387652</v>
      </c>
      <c r="R99" s="2">
        <f>R11/'Output-Calculation-sheet'!R10*'Output-Calculation-sheet'!R82</f>
        <v>2772141827.1175318</v>
      </c>
      <c r="S99" s="2">
        <f>S11/'Output-Calculation-sheet'!S10*'Output-Calculation-sheet'!S82</f>
        <v>1755971102.487154</v>
      </c>
      <c r="T99" s="2">
        <f>T11/'Output-Calculation-sheet'!T10*'Output-Calculation-sheet'!T82</f>
        <v>1095346773.235919</v>
      </c>
      <c r="U99" s="2">
        <f>U11/'Output-Calculation-sheet'!U10*'Output-Calculation-sheet'!U82</f>
        <v>1030296590.9191455</v>
      </c>
      <c r="V99" s="2">
        <f>V11/'Output-Calculation-sheet'!V10*'Output-Calculation-sheet'!V82</f>
        <v>674766967.97545767</v>
      </c>
      <c r="W99" s="2">
        <f>W11/'Output-Calculation-sheet'!W10*'Output-Calculation-sheet'!W82</f>
        <v>757168508.80570698</v>
      </c>
      <c r="X99" s="2">
        <f>X11/'Output-Calculation-sheet'!X10*'Output-Calculation-sheet'!X82</f>
        <v>364652466.89282298</v>
      </c>
      <c r="Y99" s="2">
        <f>Y11/'Output-Calculation-sheet'!Y10*'Output-Calculation-sheet'!Y82</f>
        <v>393413034.93489003</v>
      </c>
      <c r="AA99" s="2">
        <f t="shared" si="8"/>
        <v>120.9695864897417</v>
      </c>
    </row>
    <row r="100" spans="1:27" x14ac:dyDescent="0.25">
      <c r="A100" s="2">
        <v>2035</v>
      </c>
      <c r="B100" s="2">
        <f>B12/'Output-Calculation-sheet'!B11*'Output-Calculation-sheet'!B83</f>
        <v>28004951546.555355</v>
      </c>
      <c r="C100" s="2">
        <f>C12/'Output-Calculation-sheet'!C11*'Output-Calculation-sheet'!C83</f>
        <v>11644962591.160055</v>
      </c>
      <c r="D100" s="2">
        <f>D12/'Output-Calculation-sheet'!D11*'Output-Calculation-sheet'!D83</f>
        <v>9019210791.4190388</v>
      </c>
      <c r="E100" s="2">
        <f>E12/'Output-Calculation-sheet'!E11*'Output-Calculation-sheet'!E83</f>
        <v>10807190083.83189</v>
      </c>
      <c r="F100" s="2">
        <f>F12/'Output-Calculation-sheet'!F11*'Output-Calculation-sheet'!F83</f>
        <v>6467560826.5266914</v>
      </c>
      <c r="G100" s="2">
        <f>G12/'Output-Calculation-sheet'!G11*'Output-Calculation-sheet'!G83</f>
        <v>3096739758.9593034</v>
      </c>
      <c r="H100" s="2">
        <f>H12/'Output-Calculation-sheet'!H11*'Output-Calculation-sheet'!H83</f>
        <v>4156485713.352489</v>
      </c>
      <c r="I100" s="2">
        <f>I12/'Output-Calculation-sheet'!I11*'Output-Calculation-sheet'!I83</f>
        <v>3941858149.1854315</v>
      </c>
      <c r="J100" s="2">
        <f>J12/'Output-Calculation-sheet'!J11*'Output-Calculation-sheet'!J83</f>
        <v>2327526332.3486619</v>
      </c>
      <c r="K100" s="2">
        <f>K12/'Output-Calculation-sheet'!K11*'Output-Calculation-sheet'!K83</f>
        <v>3784471785.8421364</v>
      </c>
      <c r="L100" s="2">
        <f>L12/'Output-Calculation-sheet'!L11*'Output-Calculation-sheet'!L83</f>
        <v>2783900283.0445237</v>
      </c>
      <c r="M100" s="2">
        <f>M12/'Output-Calculation-sheet'!M11*'Output-Calculation-sheet'!M83</f>
        <v>2783740551.4261389</v>
      </c>
      <c r="N100" s="2">
        <f>N12/'Output-Calculation-sheet'!N11*'Output-Calculation-sheet'!N83</f>
        <v>2019524859.4991167</v>
      </c>
      <c r="O100" s="2">
        <f>O12/'Output-Calculation-sheet'!O11*'Output-Calculation-sheet'!O83</f>
        <v>1608942407.4216003</v>
      </c>
      <c r="P100" s="2">
        <f>P12/'Output-Calculation-sheet'!P11*'Output-Calculation-sheet'!P83</f>
        <v>3191804397.1422067</v>
      </c>
      <c r="Q100" s="2">
        <f>Q12/'Output-Calculation-sheet'!Q11*'Output-Calculation-sheet'!Q83</f>
        <v>1858217318.6176598</v>
      </c>
      <c r="R100" s="2">
        <f>R12/'Output-Calculation-sheet'!R11*'Output-Calculation-sheet'!R83</f>
        <v>2414635370.5471516</v>
      </c>
      <c r="S100" s="2">
        <f>S12/'Output-Calculation-sheet'!S11*'Output-Calculation-sheet'!S83</f>
        <v>1532372283.7661188</v>
      </c>
      <c r="T100" s="2">
        <f>T12/'Output-Calculation-sheet'!T11*'Output-Calculation-sheet'!T83</f>
        <v>947639331.24438047</v>
      </c>
      <c r="U100" s="2">
        <f>U12/'Output-Calculation-sheet'!U11*'Output-Calculation-sheet'!U83</f>
        <v>894202447.03398955</v>
      </c>
      <c r="V100" s="2">
        <f>V12/'Output-Calculation-sheet'!V11*'Output-Calculation-sheet'!V83</f>
        <v>588787003.82307744</v>
      </c>
      <c r="W100" s="2">
        <f>W12/'Output-Calculation-sheet'!W11*'Output-Calculation-sheet'!W83</f>
        <v>647971306.4427315</v>
      </c>
      <c r="X100" s="2">
        <f>X12/'Output-Calculation-sheet'!X11*'Output-Calculation-sheet'!X83</f>
        <v>317247890.30903798</v>
      </c>
      <c r="Y100" s="2">
        <f>Y12/'Output-Calculation-sheet'!Y11*'Output-Calculation-sheet'!Y83</f>
        <v>338467236.80140406</v>
      </c>
      <c r="AA100" s="2">
        <f t="shared" si="8"/>
        <v>105.17841026630019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1601996488.1314566</v>
      </c>
      <c r="C107" s="2">
        <f>C8/'Output-Calculation-sheet'!C7*'Output-Calculation-sheet'!C88</f>
        <v>26383153868.674316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8231681784.0312948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5679174220.4104118</v>
      </c>
      <c r="N107" s="2">
        <f>N8/'Output-Calculation-sheet'!N7*'Output-Calculation-sheet'!N88</f>
        <v>1900923828.9366393</v>
      </c>
      <c r="O107" s="2">
        <f>O8/'Output-Calculation-sheet'!O7*'Output-Calculation-sheet'!O88</f>
        <v>5126270883.7879133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569957014.72916889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615056385.74676383</v>
      </c>
      <c r="Y107" s="2">
        <f>Y8/'Output-Calculation-sheet'!Y7*'Output-Calculation-sheet'!Y88</f>
        <v>0</v>
      </c>
      <c r="AA107" s="2">
        <f t="shared" si="9"/>
        <v>50108.214474447966</v>
      </c>
    </row>
    <row r="108" spans="1:27" x14ac:dyDescent="0.25">
      <c r="A108" s="2">
        <v>2032</v>
      </c>
      <c r="B108" s="2">
        <f>B9/'Output-Calculation-sheet'!B8*'Output-Calculation-sheet'!B89</f>
        <v>6792783934.8942966</v>
      </c>
      <c r="C108" s="2">
        <f>C9/'Output-Calculation-sheet'!C8*'Output-Calculation-sheet'!C89</f>
        <v>34051699804.961033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10623895128.363331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7329563857.979022</v>
      </c>
      <c r="N108" s="2">
        <f>N9/'Output-Calculation-sheet'!N8*'Output-Calculation-sheet'!N89</f>
        <v>3438947806.1516633</v>
      </c>
      <c r="O108" s="2">
        <f>O9/'Output-Calculation-sheet'!O8*'Output-Calculation-sheet'!O89</f>
        <v>6616274235.3777647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1039141800.5439829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793813674.60868359</v>
      </c>
      <c r="Y108" s="2">
        <f>Y9/'Output-Calculation-sheet'!Y8*'Output-Calculation-sheet'!Y89</f>
        <v>0</v>
      </c>
      <c r="AA108" s="2">
        <f t="shared" si="9"/>
        <v>70686.12024287977</v>
      </c>
    </row>
    <row r="109" spans="1:27" x14ac:dyDescent="0.25">
      <c r="A109" s="2">
        <v>2033</v>
      </c>
      <c r="B109" s="2">
        <f>B10/'Output-Calculation-sheet'!B9*'Output-Calculation-sheet'!B90</f>
        <v>16083984867.279926</v>
      </c>
      <c r="C109" s="2">
        <f>C10/'Output-Calculation-sheet'!C9*'Output-Calculation-sheet'!C90</f>
        <v>38012500812.20649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11859634115.41766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8182116928.3996429</v>
      </c>
      <c r="N109" s="2">
        <f>N10/'Output-Calculation-sheet'!N9*'Output-Calculation-sheet'!N90</f>
        <v>4820426212.9544601</v>
      </c>
      <c r="O109" s="2">
        <f>O10/'Output-Calculation-sheet'!O9*'Output-Calculation-sheet'!O90</f>
        <v>7042221561.2580957</v>
      </c>
      <c r="P109" s="2">
        <f>P10/'Output-Calculation-sheet'!P9*'Output-Calculation-sheet'!P90</f>
        <v>0</v>
      </c>
      <c r="Q109" s="2">
        <f>Q10/'Output-Calculation-sheet'!Q9*'Output-Calculation-sheet'!Q90</f>
        <v>156902408.31289354</v>
      </c>
      <c r="R109" s="2">
        <f>R10/'Output-Calculation-sheet'!R9*'Output-Calculation-sheet'!R90</f>
        <v>0</v>
      </c>
      <c r="S109" s="2">
        <f>S10/'Output-Calculation-sheet'!S9*'Output-Calculation-sheet'!S90</f>
        <v>1943334343.8585436</v>
      </c>
      <c r="T109" s="2">
        <f>T10/'Output-Calculation-sheet'!T9*'Output-Calculation-sheet'!T90</f>
        <v>-3.2297447434474761E-7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886148018.68606889</v>
      </c>
      <c r="Y109" s="2">
        <f>Y10/'Output-Calculation-sheet'!Y9*'Output-Calculation-sheet'!Y90</f>
        <v>0</v>
      </c>
      <c r="AA109" s="2">
        <f t="shared" si="9"/>
        <v>88987.269268373799</v>
      </c>
    </row>
    <row r="110" spans="1:27" x14ac:dyDescent="0.25">
      <c r="A110" s="2">
        <v>2034</v>
      </c>
      <c r="B110" s="2">
        <f>B11/'Output-Calculation-sheet'!B10*'Output-Calculation-sheet'!B91</f>
        <v>31225037534.066326</v>
      </c>
      <c r="C110" s="2">
        <f>C11/'Output-Calculation-sheet'!C10*'Output-Calculation-sheet'!C91</f>
        <v>34588864917.385635</v>
      </c>
      <c r="D110" s="2">
        <f>D11/'Output-Calculation-sheet'!D10*'Output-Calculation-sheet'!D91</f>
        <v>0</v>
      </c>
      <c r="E110" s="2">
        <f>E11/'Output-Calculation-sheet'!E10*'Output-Calculation-sheet'!E91</f>
        <v>653477001.70640063</v>
      </c>
      <c r="F110" s="2">
        <f>F11/'Output-Calculation-sheet'!F10*'Output-Calculation-sheet'!F91</f>
        <v>0</v>
      </c>
      <c r="G110" s="2">
        <f>G11/'Output-Calculation-sheet'!G10*'Output-Calculation-sheet'!G91</f>
        <v>-1.4730873949753872E-6</v>
      </c>
      <c r="H110" s="2">
        <f>H11/'Output-Calculation-sheet'!H10*'Output-Calculation-sheet'!H91</f>
        <v>11654723811.243734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530586153.83500481</v>
      </c>
      <c r="M110" s="2">
        <f>M11/'Output-Calculation-sheet'!M10*'Output-Calculation-sheet'!M91</f>
        <v>8040745282.7320404</v>
      </c>
      <c r="N110" s="2">
        <f>N11/'Output-Calculation-sheet'!N10*'Output-Calculation-sheet'!N91</f>
        <v>5562103785.4157429</v>
      </c>
      <c r="O110" s="2">
        <f>O11/'Output-Calculation-sheet'!O10*'Output-Calculation-sheet'!O91</f>
        <v>6376668532.1973152</v>
      </c>
      <c r="P110" s="2">
        <f>P11/'Output-Calculation-sheet'!P10*'Output-Calculation-sheet'!P91</f>
        <v>5.9363253684883458E-7</v>
      </c>
      <c r="Q110" s="2">
        <f>Q11/'Output-Calculation-sheet'!Q10*'Output-Calculation-sheet'!Q91</f>
        <v>1415516305.0884378</v>
      </c>
      <c r="R110" s="2">
        <f>R11/'Output-Calculation-sheet'!R10*'Output-Calculation-sheet'!R91</f>
        <v>0</v>
      </c>
      <c r="S110" s="2">
        <f>S11/'Output-Calculation-sheet'!S10*'Output-Calculation-sheet'!S91</f>
        <v>2734688169.2159452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793735985.29402852</v>
      </c>
      <c r="Y110" s="2">
        <f>Y11/'Output-Calculation-sheet'!Y10*'Output-Calculation-sheet'!Y91</f>
        <v>34869313.254385144</v>
      </c>
      <c r="AA110" s="2">
        <f t="shared" si="9"/>
        <v>103611.01679143499</v>
      </c>
    </row>
    <row r="111" spans="1:27" x14ac:dyDescent="0.25">
      <c r="A111" s="2">
        <v>2035</v>
      </c>
      <c r="B111" s="2">
        <f>B12/'Output-Calculation-sheet'!B11*'Output-Calculation-sheet'!B92</f>
        <v>33681367547.654423</v>
      </c>
      <c r="C111" s="2">
        <f>C12/'Output-Calculation-sheet'!C11*'Output-Calculation-sheet'!C92</f>
        <v>28299415412.356834</v>
      </c>
      <c r="D111" s="2">
        <f>D12/'Output-Calculation-sheet'!D11*'Output-Calculation-sheet'!D92</f>
        <v>0</v>
      </c>
      <c r="E111" s="2">
        <f>E12/'Output-Calculation-sheet'!E11*'Output-Calculation-sheet'!E92</f>
        <v>3827902814.2502465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9605962037.0596046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1232254746.4392648</v>
      </c>
      <c r="M111" s="2">
        <f>M12/'Output-Calculation-sheet'!M11*'Output-Calculation-sheet'!M92</f>
        <v>6650063532.8849192</v>
      </c>
      <c r="N111" s="2">
        <f>N12/'Output-Calculation-sheet'!N11*'Output-Calculation-sheet'!N92</f>
        <v>4768105278.8008814</v>
      </c>
      <c r="O111" s="2">
        <f>O12/'Output-Calculation-sheet'!O11*'Output-Calculation-sheet'!O92</f>
        <v>5081985597.0287724</v>
      </c>
      <c r="P111" s="2">
        <f>P12/'Output-Calculation-sheet'!P11*'Output-Calculation-sheet'!P92</f>
        <v>261529514.90892398</v>
      </c>
      <c r="Q111" s="2">
        <f>Q12/'Output-Calculation-sheet'!Q11*'Output-Calculation-sheet'!Q92</f>
        <v>2048478552.6119947</v>
      </c>
      <c r="R111" s="2">
        <f>R12/'Output-Calculation-sheet'!R11*'Output-Calculation-sheet'!R92</f>
        <v>0</v>
      </c>
      <c r="S111" s="2">
        <f>S12/'Output-Calculation-sheet'!S11*'Output-Calculation-sheet'!S92</f>
        <v>2564560881.9529972</v>
      </c>
      <c r="T111" s="2">
        <f>T12/'Output-Calculation-sheet'!T11*'Output-Calculation-sheet'!T92</f>
        <v>0</v>
      </c>
      <c r="U111" s="2">
        <f>U12/'Output-Calculation-sheet'!U11*'Output-Calculation-sheet'!U92</f>
        <v>91089988.533385873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653404400.85445416</v>
      </c>
      <c r="Y111" s="2">
        <f>Y12/'Output-Calculation-sheet'!Y11*'Output-Calculation-sheet'!Y92</f>
        <v>154589714.85453564</v>
      </c>
      <c r="AA111" s="2">
        <f t="shared" si="9"/>
        <v>98920.710020191269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54396220261.19532</v>
      </c>
      <c r="C118" s="2">
        <f>C8/'Output-Calculation-sheet'!C7*'Output-Calculation-sheet'!C97</f>
        <v>0</v>
      </c>
      <c r="D118" s="2">
        <f>D8/'Output-Calculation-sheet'!D7*'Output-Calculation-sheet'!D97</f>
        <v>23519896297.849522</v>
      </c>
      <c r="E118" s="2">
        <f>E8/'Output-Calculation-sheet'!E7*'Output-Calculation-sheet'!E97</f>
        <v>18660650988.567005</v>
      </c>
      <c r="F118" s="2">
        <f>F8/'Output-Calculation-sheet'!F7*'Output-Calculation-sheet'!F97</f>
        <v>12012530672.318819</v>
      </c>
      <c r="G118" s="2">
        <f>G8/'Output-Calculation-sheet'!G7*'Output-Calculation-sheet'!G97</f>
        <v>8440333725.3771868</v>
      </c>
      <c r="H118" s="2">
        <f>H8/'Output-Calculation-sheet'!H7*'Output-Calculation-sheet'!H97</f>
        <v>0</v>
      </c>
      <c r="I118" s="2">
        <f>I8/'Output-Calculation-sheet'!I7*'Output-Calculation-sheet'!I97</f>
        <v>7689808423.2663708</v>
      </c>
      <c r="J118" s="2">
        <f>J8/'Output-Calculation-sheet'!J7*'Output-Calculation-sheet'!J97</f>
        <v>7484729877.4735413</v>
      </c>
      <c r="K118" s="2">
        <f>K8/'Output-Calculation-sheet'!K7*'Output-Calculation-sheet'!K97</f>
        <v>7412973862.4553099</v>
      </c>
      <c r="L118" s="2">
        <f>L8/'Output-Calculation-sheet'!L7*'Output-Calculation-sheet'!L97</f>
        <v>5946784021.666748</v>
      </c>
      <c r="M118" s="2">
        <f>M8/'Output-Calculation-sheet'!M7*'Output-Calculation-sheet'!M97</f>
        <v>0</v>
      </c>
      <c r="N118" s="2">
        <f>N8/'Output-Calculation-sheet'!N7*'Output-Calculation-sheet'!N97</f>
        <v>3674137917.4029174</v>
      </c>
      <c r="O118" s="2">
        <f>O8/'Output-Calculation-sheet'!O7*'Output-Calculation-sheet'!O97</f>
        <v>0</v>
      </c>
      <c r="P118" s="2">
        <f>P8/'Output-Calculation-sheet'!P7*'Output-Calculation-sheet'!P97</f>
        <v>5075273559.3558083</v>
      </c>
      <c r="Q118" s="2">
        <f>Q8/'Output-Calculation-sheet'!Q7*'Output-Calculation-sheet'!Q97</f>
        <v>4993247989.741663</v>
      </c>
      <c r="R118" s="2">
        <f>R8/'Output-Calculation-sheet'!R7*'Output-Calculation-sheet'!R97</f>
        <v>4803734206.9801512</v>
      </c>
      <c r="S118" s="2">
        <f>S8/'Output-Calculation-sheet'!S7*'Output-Calculation-sheet'!S97</f>
        <v>2622851690.2974286</v>
      </c>
      <c r="T118" s="2">
        <f>T8/'Output-Calculation-sheet'!T7*'Output-Calculation-sheet'!T97</f>
        <v>1765811733.5424507</v>
      </c>
      <c r="U118" s="2">
        <f>U8/'Output-Calculation-sheet'!U7*'Output-Calculation-sheet'!U97</f>
        <v>1537961382.6834366</v>
      </c>
      <c r="V118" s="2">
        <f>V8/'Output-Calculation-sheet'!V7*'Output-Calculation-sheet'!V97</f>
        <v>1184261489.26285</v>
      </c>
      <c r="W118" s="2">
        <f>W8/'Output-Calculation-sheet'!W7*'Output-Calculation-sheet'!W97</f>
        <v>1025307588.1416088</v>
      </c>
      <c r="X118" s="2">
        <f>X8/'Output-Calculation-sheet'!X7*'Output-Calculation-sheet'!X97</f>
        <v>0</v>
      </c>
      <c r="Y118" s="2">
        <f>Y8/'Output-Calculation-sheet'!Y7*'Output-Calculation-sheet'!Y97</f>
        <v>598261059.83715367</v>
      </c>
      <c r="AA118" s="2">
        <f t="shared" si="10"/>
        <v>172844.77674741531</v>
      </c>
    </row>
    <row r="119" spans="1:27" x14ac:dyDescent="0.25">
      <c r="A119" s="2">
        <v>2032</v>
      </c>
      <c r="B119" s="2">
        <f>B9/'Output-Calculation-sheet'!B8*'Output-Calculation-sheet'!B98</f>
        <v>65478599185.031548</v>
      </c>
      <c r="C119" s="2">
        <f>C9/'Output-Calculation-sheet'!C8*'Output-Calculation-sheet'!C98</f>
        <v>0</v>
      </c>
      <c r="D119" s="2">
        <f>D9/'Output-Calculation-sheet'!D8*'Output-Calculation-sheet'!D98</f>
        <v>30354815982.085598</v>
      </c>
      <c r="E119" s="2">
        <f>E9/'Output-Calculation-sheet'!E8*'Output-Calculation-sheet'!E98</f>
        <v>24083460518.077423</v>
      </c>
      <c r="F119" s="2">
        <f>F9/'Output-Calculation-sheet'!F8*'Output-Calculation-sheet'!F98</f>
        <v>15503392562.034065</v>
      </c>
      <c r="G119" s="2">
        <f>G9/'Output-Calculation-sheet'!G8*'Output-Calculation-sheet'!G98</f>
        <v>10893109128.922485</v>
      </c>
      <c r="H119" s="2">
        <f>H9/'Output-Calculation-sheet'!H8*'Output-Calculation-sheet'!H98</f>
        <v>0</v>
      </c>
      <c r="I119" s="2">
        <f>I9/'Output-Calculation-sheet'!I8*'Output-Calculation-sheet'!I98</f>
        <v>9924480637.2922134</v>
      </c>
      <c r="J119" s="2">
        <f>J9/'Output-Calculation-sheet'!J8*'Output-Calculation-sheet'!J98</f>
        <v>9659802144.8580685</v>
      </c>
      <c r="K119" s="2">
        <f>K9/'Output-Calculation-sheet'!K8*'Output-Calculation-sheet'!K98</f>
        <v>9567195239.1046734</v>
      </c>
      <c r="L119" s="2">
        <f>L9/'Output-Calculation-sheet'!L8*'Output-Calculation-sheet'!L98</f>
        <v>7674930215.8202362</v>
      </c>
      <c r="M119" s="2">
        <f>M9/'Output-Calculation-sheet'!M8*'Output-Calculation-sheet'!M98</f>
        <v>0</v>
      </c>
      <c r="N119" s="2">
        <f>N9/'Output-Calculation-sheet'!N8*'Output-Calculation-sheet'!N98</f>
        <v>3755636088.9797306</v>
      </c>
      <c r="O119" s="2">
        <f>O9/'Output-Calculation-sheet'!O8*'Output-Calculation-sheet'!O98</f>
        <v>6.7397007699782102E-7</v>
      </c>
      <c r="P119" s="2">
        <f>P9/'Output-Calculation-sheet'!P8*'Output-Calculation-sheet'!P98</f>
        <v>6550112945.6367073</v>
      </c>
      <c r="Q119" s="2">
        <f>Q9/'Output-Calculation-sheet'!Q8*'Output-Calculation-sheet'!Q98</f>
        <v>6444293869.5570965</v>
      </c>
      <c r="R119" s="2">
        <f>R9/'Output-Calculation-sheet'!R8*'Output-Calculation-sheet'!R98</f>
        <v>6199707576.3688059</v>
      </c>
      <c r="S119" s="2">
        <f>S9/'Output-Calculation-sheet'!S8*'Output-Calculation-sheet'!S98</f>
        <v>3081281453.527596</v>
      </c>
      <c r="T119" s="2">
        <f>T9/'Output-Calculation-sheet'!T8*'Output-Calculation-sheet'!T98</f>
        <v>2278959105.3377366</v>
      </c>
      <c r="U119" s="2">
        <f>U9/'Output-Calculation-sheet'!U8*'Output-Calculation-sheet'!U98</f>
        <v>1984895901.9355478</v>
      </c>
      <c r="V119" s="2">
        <f>V9/'Output-Calculation-sheet'!V8*'Output-Calculation-sheet'!V98</f>
        <v>1528409542.658776</v>
      </c>
      <c r="W119" s="2">
        <f>W9/'Output-Calculation-sheet'!W8*'Output-Calculation-sheet'!W98</f>
        <v>1323263726.6905212</v>
      </c>
      <c r="X119" s="2">
        <f>X9/'Output-Calculation-sheet'!X8*'Output-Calculation-sheet'!X98</f>
        <v>0</v>
      </c>
      <c r="Y119" s="2">
        <f>Y9/'Output-Calculation-sheet'!Y8*'Output-Calculation-sheet'!Y98</f>
        <v>772116445.27569926</v>
      </c>
      <c r="AA119" s="2">
        <f t="shared" si="10"/>
        <v>217058.46226919454</v>
      </c>
    </row>
    <row r="120" spans="1:27" x14ac:dyDescent="0.25">
      <c r="A120" s="2">
        <v>2033</v>
      </c>
      <c r="B120" s="2">
        <f>B10/'Output-Calculation-sheet'!B9*'Output-Calculation-sheet'!B99</f>
        <v>64586475743.433655</v>
      </c>
      <c r="C120" s="2">
        <f>C10/'Output-Calculation-sheet'!C9*'Output-Calculation-sheet'!C99</f>
        <v>0</v>
      </c>
      <c r="D120" s="2">
        <f>D10/'Output-Calculation-sheet'!D9*'Output-Calculation-sheet'!D99</f>
        <v>33884580182.867886</v>
      </c>
      <c r="E120" s="2">
        <f>E10/'Output-Calculation-sheet'!E9*'Output-Calculation-sheet'!E99</f>
        <v>26883972373.847786</v>
      </c>
      <c r="F120" s="2">
        <f>F10/'Output-Calculation-sheet'!F9*'Output-Calculation-sheet'!F99</f>
        <v>17306177739.055286</v>
      </c>
      <c r="G120" s="2">
        <f>G10/'Output-Calculation-sheet'!G9*'Output-Calculation-sheet'!G99</f>
        <v>12159795434.68869</v>
      </c>
      <c r="H120" s="2">
        <f>H10/'Output-Calculation-sheet'!H9*'Output-Calculation-sheet'!H99</f>
        <v>0</v>
      </c>
      <c r="I120" s="2">
        <f>I10/'Output-Calculation-sheet'!I9*'Output-Calculation-sheet'!I99</f>
        <v>11078532250.431673</v>
      </c>
      <c r="J120" s="2">
        <f>J10/'Output-Calculation-sheet'!J9*'Output-Calculation-sheet'!J99</f>
        <v>10783076044.067907</v>
      </c>
      <c r="K120" s="2">
        <f>K10/'Output-Calculation-sheet'!K9*'Output-Calculation-sheet'!K99</f>
        <v>10679701616.433706</v>
      </c>
      <c r="L120" s="2">
        <f>L10/'Output-Calculation-sheet'!L9*'Output-Calculation-sheet'!L99</f>
        <v>8567396615.5787268</v>
      </c>
      <c r="M120" s="2">
        <f>M10/'Output-Calculation-sheet'!M9*'Output-Calculation-sheet'!M99</f>
        <v>0</v>
      </c>
      <c r="N120" s="2">
        <f>N10/'Output-Calculation-sheet'!N9*'Output-Calculation-sheet'!N99</f>
        <v>3210294721.5518847</v>
      </c>
      <c r="O120" s="2">
        <f>O10/'Output-Calculation-sheet'!O9*'Output-Calculation-sheet'!O99</f>
        <v>0</v>
      </c>
      <c r="P120" s="2">
        <f>P10/'Output-Calculation-sheet'!P9*'Output-Calculation-sheet'!P99</f>
        <v>7311398080.0434132</v>
      </c>
      <c r="Q120" s="2">
        <f>Q10/'Output-Calculation-sheet'!Q9*'Output-Calculation-sheet'!Q99</f>
        <v>7036685063.5444317</v>
      </c>
      <c r="R120" s="2">
        <f>R10/'Output-Calculation-sheet'!R9*'Output-Calculation-sheet'!R99</f>
        <v>6920301694.8853779</v>
      </c>
      <c r="S120" s="2">
        <f>S10/'Output-Calculation-sheet'!S9*'Output-Calculation-sheet'!S99</f>
        <v>2655918261.7523031</v>
      </c>
      <c r="T120" s="2">
        <f>T10/'Output-Calculation-sheet'!T9*'Output-Calculation-sheet'!T99</f>
        <v>2543942166.0143471</v>
      </c>
      <c r="U120" s="2">
        <f>U10/'Output-Calculation-sheet'!U9*'Output-Calculation-sheet'!U99</f>
        <v>2216187755.6332583</v>
      </c>
      <c r="V120" s="2">
        <f>V10/'Output-Calculation-sheet'!V9*'Output-Calculation-sheet'!V99</f>
        <v>1706138173.1559753</v>
      </c>
      <c r="W120" s="2">
        <f>W10/'Output-Calculation-sheet'!W9*'Output-Calculation-sheet'!W99</f>
        <v>1477137540.3018827</v>
      </c>
      <c r="X120" s="2">
        <f>X10/'Output-Calculation-sheet'!X9*'Output-Calculation-sheet'!X99</f>
        <v>0</v>
      </c>
      <c r="Y120" s="2">
        <f>Y10/'Output-Calculation-sheet'!Y9*'Output-Calculation-sheet'!Y99</f>
        <v>861902008.84063983</v>
      </c>
      <c r="AA120" s="2">
        <f t="shared" si="10"/>
        <v>231869.61346612885</v>
      </c>
    </row>
    <row r="121" spans="1:27" x14ac:dyDescent="0.25">
      <c r="A121" s="2">
        <v>2034</v>
      </c>
      <c r="B121" s="2">
        <f>B11/'Output-Calculation-sheet'!B10*'Output-Calculation-sheet'!B100</f>
        <v>48044681776.411743</v>
      </c>
      <c r="C121" s="2">
        <f>C11/'Output-Calculation-sheet'!C10*'Output-Calculation-sheet'!C100</f>
        <v>0</v>
      </c>
      <c r="D121" s="2">
        <f>D11/'Output-Calculation-sheet'!D10*'Output-Calculation-sheet'!D100</f>
        <v>33298403724.072414</v>
      </c>
      <c r="E121" s="2">
        <f>E11/'Output-Calculation-sheet'!E10*'Output-Calculation-sheet'!E100</f>
        <v>25764306424.83992</v>
      </c>
      <c r="F121" s="2">
        <f>F11/'Output-Calculation-sheet'!F10*'Output-Calculation-sheet'!F100</f>
        <v>17006702916.42374</v>
      </c>
      <c r="G121" s="2">
        <f>G11/'Output-Calculation-sheet'!G10*'Output-Calculation-sheet'!G100</f>
        <v>11948790528.960073</v>
      </c>
      <c r="H121" s="2">
        <f>H11/'Output-Calculation-sheet'!H10*'Output-Calculation-sheet'!H100</f>
        <v>1.4384998302212193E-7</v>
      </c>
      <c r="I121" s="2">
        <f>I11/'Output-Calculation-sheet'!I10*'Output-Calculation-sheet'!I100</f>
        <v>10886497299.492739</v>
      </c>
      <c r="J121" s="2">
        <f>J11/'Output-Calculation-sheet'!J10*'Output-Calculation-sheet'!J100</f>
        <v>10596263059.991777</v>
      </c>
      <c r="K121" s="2">
        <f>K11/'Output-Calculation-sheet'!K10*'Output-Calculation-sheet'!K100</f>
        <v>10494955530.121431</v>
      </c>
      <c r="L121" s="2">
        <f>L11/'Output-Calculation-sheet'!L10*'Output-Calculation-sheet'!L100</f>
        <v>7888348303.1340017</v>
      </c>
      <c r="M121" s="2">
        <f>M11/'Output-Calculation-sheet'!M10*'Output-Calculation-sheet'!M100</f>
        <v>-9.3419090129723632E-8</v>
      </c>
      <c r="N121" s="2">
        <f>N11/'Output-Calculation-sheet'!N10*'Output-Calculation-sheet'!N100</f>
        <v>2329862445.9920282</v>
      </c>
      <c r="O121" s="2">
        <f>O11/'Output-Calculation-sheet'!O10*'Output-Calculation-sheet'!O100</f>
        <v>0</v>
      </c>
      <c r="P121" s="2">
        <f>P11/'Output-Calculation-sheet'!P10*'Output-Calculation-sheet'!P100</f>
        <v>7184620643.9471407</v>
      </c>
      <c r="Q121" s="2">
        <f>Q11/'Output-Calculation-sheet'!Q10*'Output-Calculation-sheet'!Q100</f>
        <v>5653049649.4066448</v>
      </c>
      <c r="R121" s="2">
        <f>R11/'Output-Calculation-sheet'!R10*'Output-Calculation-sheet'!R100</f>
        <v>6800292348.3126106</v>
      </c>
      <c r="S121" s="2">
        <f>S11/'Output-Calculation-sheet'!S10*'Output-Calculation-sheet'!S100</f>
        <v>1784963937.2024555</v>
      </c>
      <c r="T121" s="2">
        <f>T11/'Output-Calculation-sheet'!T10*'Output-Calculation-sheet'!T100</f>
        <v>2499784621.0537992</v>
      </c>
      <c r="U121" s="2">
        <f>U11/'Output-Calculation-sheet'!U10*'Output-Calculation-sheet'!U100</f>
        <v>2178549279.1527658</v>
      </c>
      <c r="V121" s="2">
        <f>V11/'Output-Calculation-sheet'!V10*'Output-Calculation-sheet'!V100</f>
        <v>1676623580.3517714</v>
      </c>
      <c r="W121" s="2">
        <f>W11/'Output-Calculation-sheet'!W10*'Output-Calculation-sheet'!W100</f>
        <v>1451627343.7735806</v>
      </c>
      <c r="X121" s="2">
        <f>X11/'Output-Calculation-sheet'!X10*'Output-Calculation-sheet'!X100</f>
        <v>77101360.793305114</v>
      </c>
      <c r="Y121" s="2">
        <f>Y11/'Output-Calculation-sheet'!Y10*'Output-Calculation-sheet'!Y100</f>
        <v>812107079.25921607</v>
      </c>
      <c r="AA121" s="2">
        <f t="shared" si="10"/>
        <v>208377.53185269321</v>
      </c>
    </row>
    <row r="122" spans="1:27" x14ac:dyDescent="0.25">
      <c r="A122" s="2">
        <v>2035</v>
      </c>
      <c r="B122" s="2">
        <f>B12/'Output-Calculation-sheet'!B11*'Output-Calculation-sheet'!B101</f>
        <v>32975505705.480083</v>
      </c>
      <c r="C122" s="2">
        <f>C12/'Output-Calculation-sheet'!C11*'Output-Calculation-sheet'!C101</f>
        <v>0</v>
      </c>
      <c r="D122" s="2">
        <f>D12/'Output-Calculation-sheet'!D11*'Output-Calculation-sheet'!D101</f>
        <v>27638511727.918774</v>
      </c>
      <c r="E122" s="2">
        <f>E12/'Output-Calculation-sheet'!E11*'Output-Calculation-sheet'!E101</f>
        <v>18610535552.986736</v>
      </c>
      <c r="F122" s="2">
        <f>F12/'Output-Calculation-sheet'!F11*'Output-Calculation-sheet'!F101</f>
        <v>14406634700.108912</v>
      </c>
      <c r="G122" s="2">
        <f>G12/'Output-Calculation-sheet'!G11*'Output-Calculation-sheet'!G101</f>
        <v>9817519903.7193394</v>
      </c>
      <c r="H122" s="2">
        <f>H12/'Output-Calculation-sheet'!H11*'Output-Calculation-sheet'!H101</f>
        <v>0</v>
      </c>
      <c r="I122" s="2">
        <f>I12/'Output-Calculation-sheet'!I11*'Output-Calculation-sheet'!I101</f>
        <v>9192968200.0387688</v>
      </c>
      <c r="J122" s="2">
        <f>J12/'Output-Calculation-sheet'!J11*'Output-Calculation-sheet'!J101</f>
        <v>8786336032.9791145</v>
      </c>
      <c r="K122" s="2">
        <f>K12/'Output-Calculation-sheet'!K11*'Output-Calculation-sheet'!K101</f>
        <v>8871919906.9136467</v>
      </c>
      <c r="L122" s="2">
        <f>L12/'Output-Calculation-sheet'!L11*'Output-Calculation-sheet'!L101</f>
        <v>5904576534.6604109</v>
      </c>
      <c r="M122" s="2">
        <f>M12/'Output-Calculation-sheet'!M11*'Output-Calculation-sheet'!M101</f>
        <v>0</v>
      </c>
      <c r="N122" s="2">
        <f>N12/'Output-Calculation-sheet'!N11*'Output-Calculation-sheet'!N101</f>
        <v>1739558790.8771739</v>
      </c>
      <c r="O122" s="2">
        <f>O12/'Output-Calculation-sheet'!O11*'Output-Calculation-sheet'!O101</f>
        <v>0</v>
      </c>
      <c r="P122" s="2">
        <f>P12/'Output-Calculation-sheet'!P11*'Output-Calculation-sheet'!P101</f>
        <v>5822318011.1456127</v>
      </c>
      <c r="Q122" s="2">
        <f>Q12/'Output-Calculation-sheet'!Q11*'Output-Calculation-sheet'!Q101</f>
        <v>3792285299.4210186</v>
      </c>
      <c r="R122" s="2">
        <f>R12/'Output-Calculation-sheet'!R11*'Output-Calculation-sheet'!R101</f>
        <v>5744054429.5499277</v>
      </c>
      <c r="S122" s="2">
        <f>S12/'Output-Calculation-sheet'!S11*'Output-Calculation-sheet'!S101</f>
        <v>1207815617.9883149</v>
      </c>
      <c r="T122" s="2">
        <f>T12/'Output-Calculation-sheet'!T11*'Output-Calculation-sheet'!T101</f>
        <v>2128173837.7017176</v>
      </c>
      <c r="U122" s="2">
        <f>U12/'Output-Calculation-sheet'!U11*'Output-Calculation-sheet'!U101</f>
        <v>1743649936.5838988</v>
      </c>
      <c r="V122" s="2">
        <f>V12/'Output-Calculation-sheet'!V11*'Output-Calculation-sheet'!V101</f>
        <v>1435435766.5755882</v>
      </c>
      <c r="W122" s="2">
        <f>W12/'Output-Calculation-sheet'!W11*'Output-Calculation-sheet'!W101</f>
        <v>1237990960.9890037</v>
      </c>
      <c r="X122" s="2">
        <f>X12/'Output-Calculation-sheet'!X11*'Output-Calculation-sheet'!X101</f>
        <v>59834614.077533826</v>
      </c>
      <c r="Y122" s="2">
        <f>Y12/'Output-Calculation-sheet'!Y11*'Output-Calculation-sheet'!Y101</f>
        <v>558829558.94187915</v>
      </c>
      <c r="AA122" s="2">
        <f t="shared" si="10"/>
        <v>161674.45508865747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55998217769.105721</v>
      </c>
      <c r="C129" s="2">
        <f>C8/'Output-Calculation-sheet'!C7*'Output-Calculation-sheet'!C106</f>
        <v>26389183236.437172</v>
      </c>
      <c r="D129" s="2">
        <f>D8/'Output-Calculation-sheet'!D7*'Output-Calculation-sheet'!D106</f>
        <v>23519896297.849522</v>
      </c>
      <c r="E129" s="2">
        <f>E8/'Output-Calculation-sheet'!E7*'Output-Calculation-sheet'!E106</f>
        <v>18660650988.567005</v>
      </c>
      <c r="F129" s="2">
        <f>F8/'Output-Calculation-sheet'!F7*'Output-Calculation-sheet'!F106</f>
        <v>12012530672.318819</v>
      </c>
      <c r="G129" s="2">
        <f>G8/'Output-Calculation-sheet'!G7*'Output-Calculation-sheet'!G106</f>
        <v>8440333725.3771868</v>
      </c>
      <c r="H129" s="2">
        <f>H8/'Output-Calculation-sheet'!H7*'Output-Calculation-sheet'!H106</f>
        <v>8233221551.8438683</v>
      </c>
      <c r="I129" s="2">
        <f>I8/'Output-Calculation-sheet'!I7*'Output-Calculation-sheet'!I106</f>
        <v>7689808423.2663708</v>
      </c>
      <c r="J129" s="2">
        <f>J8/'Output-Calculation-sheet'!J7*'Output-Calculation-sheet'!J106</f>
        <v>7484729877.4735413</v>
      </c>
      <c r="K129" s="2">
        <f>K8/'Output-Calculation-sheet'!K7*'Output-Calculation-sheet'!K106</f>
        <v>7412973862.4553099</v>
      </c>
      <c r="L129" s="2">
        <f>L8/'Output-Calculation-sheet'!L7*'Output-Calculation-sheet'!L106</f>
        <v>5946784021.666748</v>
      </c>
      <c r="M129" s="2">
        <f>M8/'Output-Calculation-sheet'!M7*'Output-Calculation-sheet'!M106</f>
        <v>5680205155.319437</v>
      </c>
      <c r="N129" s="2">
        <f>N8/'Output-Calculation-sheet'!N7*'Output-Calculation-sheet'!N106</f>
        <v>5575106035.2384386</v>
      </c>
      <c r="O129" s="2">
        <f>O8/'Output-Calculation-sheet'!O7*'Output-Calculation-sheet'!O106</f>
        <v>5127440211.6579742</v>
      </c>
      <c r="P129" s="2">
        <f>P8/'Output-Calculation-sheet'!P7*'Output-Calculation-sheet'!P106</f>
        <v>5075273559.3558083</v>
      </c>
      <c r="Q129" s="2">
        <f>Q8/'Output-Calculation-sheet'!Q7*'Output-Calculation-sheet'!Q106</f>
        <v>4993247989.741663</v>
      </c>
      <c r="R129" s="2">
        <f>R8/'Output-Calculation-sheet'!R7*'Output-Calculation-sheet'!R106</f>
        <v>4803734206.9801512</v>
      </c>
      <c r="S129" s="2">
        <f>S8/'Output-Calculation-sheet'!S7*'Output-Calculation-sheet'!S106</f>
        <v>3192807838.1241684</v>
      </c>
      <c r="T129" s="2">
        <f>T8/'Output-Calculation-sheet'!T7*'Output-Calculation-sheet'!T106</f>
        <v>1765811733.5424507</v>
      </c>
      <c r="U129" s="2">
        <f>U8/'Output-Calculation-sheet'!U7*'Output-Calculation-sheet'!U106</f>
        <v>1537961382.6834366</v>
      </c>
      <c r="V129" s="2">
        <f>V8/'Output-Calculation-sheet'!V7*'Output-Calculation-sheet'!V106</f>
        <v>1184261489.26285</v>
      </c>
      <c r="W129" s="2">
        <f>W8/'Output-Calculation-sheet'!W7*'Output-Calculation-sheet'!W106</f>
        <v>1025307588.1416088</v>
      </c>
      <c r="X129" s="2">
        <f>X8/'Output-Calculation-sheet'!X7*'Output-Calculation-sheet'!X106</f>
        <v>615184673.86131048</v>
      </c>
      <c r="Y129" s="2">
        <f>Y8/'Output-Calculation-sheet'!Y7*'Output-Calculation-sheet'!Y106</f>
        <v>598261059.83715367</v>
      </c>
      <c r="AA129" s="2">
        <f t="shared" si="11"/>
        <v>222962.93335010769</v>
      </c>
    </row>
    <row r="130" spans="1:27" x14ac:dyDescent="0.25">
      <c r="A130" s="2">
        <v>2032</v>
      </c>
      <c r="B130" s="2">
        <f>B9/'Output-Calculation-sheet'!B8*'Output-Calculation-sheet'!B107</f>
        <v>43362836192.983093</v>
      </c>
      <c r="C130" s="2">
        <f>C9/'Output-Calculation-sheet'!C8*'Output-Calculation-sheet'!C107</f>
        <v>20434746436.598827</v>
      </c>
      <c r="D130" s="2">
        <f>D9/'Output-Calculation-sheet'!D8*'Output-Calculation-sheet'!D107</f>
        <v>18212885792.703297</v>
      </c>
      <c r="E130" s="2">
        <f>E9/'Output-Calculation-sheet'!E8*'Output-Calculation-sheet'!E107</f>
        <v>14450074802.224928</v>
      </c>
      <c r="F130" s="2">
        <f>F9/'Output-Calculation-sheet'!F8*'Output-Calculation-sheet'!F107</f>
        <v>9302036486.0399265</v>
      </c>
      <c r="G130" s="2">
        <f>G9/'Output-Calculation-sheet'!G8*'Output-Calculation-sheet'!G107</f>
        <v>6535866158.305172</v>
      </c>
      <c r="H130" s="2">
        <f>H9/'Output-Calculation-sheet'!H8*'Output-Calculation-sheet'!H107</f>
        <v>6375484885.9433298</v>
      </c>
      <c r="I130" s="2">
        <f>I9/'Output-Calculation-sheet'!I8*'Output-Calculation-sheet'!I107</f>
        <v>5954687769.8999462</v>
      </c>
      <c r="J130" s="2">
        <f>J9/'Output-Calculation-sheet'!J8*'Output-Calculation-sheet'!J107</f>
        <v>5795880680.7653008</v>
      </c>
      <c r="K130" s="2">
        <f>K9/'Output-Calculation-sheet'!K8*'Output-Calculation-sheet'!K107</f>
        <v>5740317143.4628038</v>
      </c>
      <c r="L130" s="2">
        <f>L9/'Output-Calculation-sheet'!L8*'Output-Calculation-sheet'!L107</f>
        <v>4604957650.836916</v>
      </c>
      <c r="M130" s="2">
        <f>M9/'Output-Calculation-sheet'!M8*'Output-Calculation-sheet'!M107</f>
        <v>4398529935.2909317</v>
      </c>
      <c r="N130" s="2">
        <f>N9/'Output-Calculation-sheet'!N8*'Output-Calculation-sheet'!N107</f>
        <v>4317142477.8942051</v>
      </c>
      <c r="O130" s="2">
        <f>O9/'Output-Calculation-sheet'!O8*'Output-Calculation-sheet'!O107</f>
        <v>3970489759.2830682</v>
      </c>
      <c r="P130" s="2">
        <f>P9/'Output-Calculation-sheet'!P8*'Output-Calculation-sheet'!P107</f>
        <v>3930092907.6719041</v>
      </c>
      <c r="Q130" s="2">
        <f>Q9/'Output-Calculation-sheet'!Q8*'Output-Calculation-sheet'!Q107</f>
        <v>3866577494.3429508</v>
      </c>
      <c r="R130" s="2">
        <f>R9/'Output-Calculation-sheet'!R8*'Output-Calculation-sheet'!R107</f>
        <v>3719824933.4413385</v>
      </c>
      <c r="S130" s="2">
        <f>S9/'Output-Calculation-sheet'!S8*'Output-Calculation-sheet'!S107</f>
        <v>2472385884.3555031</v>
      </c>
      <c r="T130" s="2">
        <f>T9/'Output-Calculation-sheet'!T8*'Output-Calculation-sheet'!T107</f>
        <v>1367375750.0142446</v>
      </c>
      <c r="U130" s="2">
        <f>U9/'Output-Calculation-sheet'!U8*'Output-Calculation-sheet'!U107</f>
        <v>1190937167.0275075</v>
      </c>
      <c r="V130" s="2">
        <f>V9/'Output-Calculation-sheet'!V8*'Output-Calculation-sheet'!V107</f>
        <v>917045437.10415757</v>
      </c>
      <c r="W130" s="2">
        <f>W9/'Output-Calculation-sheet'!W8*'Output-Calculation-sheet'!W107</f>
        <v>793958319.28484762</v>
      </c>
      <c r="X130" s="2">
        <f>X9/'Output-Calculation-sheet'!X8*'Output-Calculation-sheet'!X107</f>
        <v>476374898.10053575</v>
      </c>
      <c r="Y130" s="2">
        <f>Y9/'Output-Calculation-sheet'!Y8*'Output-Calculation-sheet'!Y107</f>
        <v>463269915.21865135</v>
      </c>
      <c r="AA130" s="2">
        <f t="shared" si="11"/>
        <v>172653.77887879338</v>
      </c>
    </row>
    <row r="131" spans="1:27" x14ac:dyDescent="0.25">
      <c r="A131" s="2">
        <v>2033</v>
      </c>
      <c r="B131" s="2">
        <f>B10/'Output-Calculation-sheet'!B9*'Output-Calculation-sheet'!B108</f>
        <v>26891793650.483841</v>
      </c>
      <c r="C131" s="2">
        <f>C10/'Output-Calculation-sheet'!C9*'Output-Calculation-sheet'!C108</f>
        <v>12672763908.959143</v>
      </c>
      <c r="D131" s="2">
        <f>D10/'Output-Calculation-sheet'!D9*'Output-Calculation-sheet'!D108</f>
        <v>11294863004.028</v>
      </c>
      <c r="E131" s="2">
        <f>E10/'Output-Calculation-sheet'!E9*'Output-Calculation-sheet'!E108</f>
        <v>8961324124.6159286</v>
      </c>
      <c r="F131" s="2">
        <f>F10/'Output-Calculation-sheet'!F9*'Output-Calculation-sheet'!F108</f>
        <v>5768725913.0184288</v>
      </c>
      <c r="G131" s="2">
        <f>G10/'Output-Calculation-sheet'!G9*'Output-Calculation-sheet'!G108</f>
        <v>4053265144.8962297</v>
      </c>
      <c r="H131" s="2">
        <f>H10/'Output-Calculation-sheet'!H9*'Output-Calculation-sheet'!H108</f>
        <v>3953804557.0355549</v>
      </c>
      <c r="I131" s="2">
        <f>I10/'Output-Calculation-sheet'!I9*'Output-Calculation-sheet'!I108</f>
        <v>3692845033.0551758</v>
      </c>
      <c r="J131" s="2">
        <f>J10/'Output-Calculation-sheet'!J9*'Output-Calculation-sheet'!J108</f>
        <v>3594359621.1263785</v>
      </c>
      <c r="K131" s="2">
        <f>K10/'Output-Calculation-sheet'!K9*'Output-Calculation-sheet'!K108</f>
        <v>3559900538.811235</v>
      </c>
      <c r="L131" s="2">
        <f>L10/'Output-Calculation-sheet'!L9*'Output-Calculation-sheet'!L108</f>
        <v>2855799613.9636073</v>
      </c>
      <c r="M131" s="2">
        <f>M10/'Output-Calculation-sheet'!M9*'Output-Calculation-sheet'!M108</f>
        <v>2727780478.9510579</v>
      </c>
      <c r="N131" s="2">
        <f>N10/'Output-Calculation-sheet'!N9*'Output-Calculation-sheet'!N108</f>
        <v>2677308143.2761154</v>
      </c>
      <c r="O131" s="2">
        <f>O10/'Output-Calculation-sheet'!O9*'Output-Calculation-sheet'!O108</f>
        <v>2959088306.5895767</v>
      </c>
      <c r="P131" s="2">
        <f>P10/'Output-Calculation-sheet'!P9*'Output-Calculation-sheet'!P108</f>
        <v>2437277740.1935792</v>
      </c>
      <c r="Q131" s="2">
        <f>Q10/'Output-Calculation-sheet'!Q9*'Output-Calculation-sheet'!Q108</f>
        <v>2397886904.4095106</v>
      </c>
      <c r="R131" s="2">
        <f>R10/'Output-Calculation-sheet'!R9*'Output-Calculation-sheet'!R108</f>
        <v>2306876607.0180779</v>
      </c>
      <c r="S131" s="2">
        <f>S10/'Output-Calculation-sheet'!S9*'Output-Calculation-sheet'!S108</f>
        <v>1533268963.6908021</v>
      </c>
      <c r="T131" s="2">
        <f>T10/'Output-Calculation-sheet'!T9*'Output-Calculation-sheet'!T108</f>
        <v>847987836.73906291</v>
      </c>
      <c r="U131" s="2">
        <f>U10/'Output-Calculation-sheet'!U9*'Output-Calculation-sheet'!U108</f>
        <v>738568576.72397399</v>
      </c>
      <c r="V131" s="2">
        <f>V10/'Output-Calculation-sheet'!V9*'Output-Calculation-sheet'!V108</f>
        <v>568712575.29372942</v>
      </c>
      <c r="W131" s="2">
        <f>W10/'Output-Calculation-sheet'!W9*'Output-Calculation-sheet'!W108</f>
        <v>492379050.99851775</v>
      </c>
      <c r="X131" s="2">
        <f>X10/'Output-Calculation-sheet'!X9*'Output-Calculation-sheet'!X108</f>
        <v>295427372.89196026</v>
      </c>
      <c r="Y131" s="2">
        <f>Y10/'Output-Calculation-sheet'!Y9*'Output-Calculation-sheet'!Y108</f>
        <v>287300222.60498905</v>
      </c>
      <c r="AA131" s="2">
        <f t="shared" si="11"/>
        <v>107569.30788937448</v>
      </c>
    </row>
    <row r="132" spans="1:27" x14ac:dyDescent="0.25">
      <c r="A132" s="2">
        <v>2034</v>
      </c>
      <c r="B132" s="2">
        <f>B11/'Output-Calculation-sheet'!B10*'Output-Calculation-sheet'!B109</f>
        <v>11325678658.360886</v>
      </c>
      <c r="C132" s="2">
        <f>C11/'Output-Calculation-sheet'!C10*'Output-Calculation-sheet'!C109</f>
        <v>10303783334.111412</v>
      </c>
      <c r="D132" s="2">
        <f>D11/'Output-Calculation-sheet'!D10*'Output-Calculation-sheet'!D109</f>
        <v>4756915455.1802502</v>
      </c>
      <c r="E132" s="2">
        <f>E11/'Output-Calculation-sheet'!E10*'Output-Calculation-sheet'!E109</f>
        <v>3774129402.1100211</v>
      </c>
      <c r="F132" s="2">
        <f>F11/'Output-Calculation-sheet'!F10*'Output-Calculation-sheet'!F109</f>
        <v>2429542529.4607277</v>
      </c>
      <c r="G132" s="2">
        <f>G11/'Output-Calculation-sheet'!G10*'Output-Calculation-sheet'!G109</f>
        <v>1707063524.9746687</v>
      </c>
      <c r="H132" s="2">
        <f>H11/'Output-Calculation-sheet'!H10*'Output-Calculation-sheet'!H109</f>
        <v>1665174679.7010336</v>
      </c>
      <c r="I132" s="2">
        <f>I11/'Output-Calculation-sheet'!I10*'Output-Calculation-sheet'!I109</f>
        <v>1555269123.4333348</v>
      </c>
      <c r="J132" s="2">
        <f>J11/'Output-Calculation-sheet'!J10*'Output-Calculation-sheet'!J109</f>
        <v>1513791490.0876799</v>
      </c>
      <c r="K132" s="2">
        <f>K11/'Output-Calculation-sheet'!K10*'Output-Calculation-sheet'!K109</f>
        <v>1499279260.3732677</v>
      </c>
      <c r="L132" s="2">
        <f>L11/'Output-Calculation-sheet'!L10*'Output-Calculation-sheet'!L109</f>
        <v>1202741409.5546341</v>
      </c>
      <c r="M132" s="2">
        <f>M11/'Output-Calculation-sheet'!M10*'Output-Calculation-sheet'!M109</f>
        <v>1148825370.5533917</v>
      </c>
      <c r="N132" s="2">
        <f>N11/'Output-Calculation-sheet'!N10*'Output-Calculation-sheet'!N109</f>
        <v>1127568914.3757284</v>
      </c>
      <c r="O132" s="2">
        <f>O11/'Output-Calculation-sheet'!O10*'Output-Calculation-sheet'!O109</f>
        <v>2320420759.6323347</v>
      </c>
      <c r="P132" s="2">
        <f>P11/'Output-Calculation-sheet'!P10*'Output-Calculation-sheet'!P109</f>
        <v>1026477623.0139377</v>
      </c>
      <c r="Q132" s="2">
        <f>Q11/'Output-Calculation-sheet'!Q10*'Output-Calculation-sheet'!Q109</f>
        <v>1009888044.5279164</v>
      </c>
      <c r="R132" s="2">
        <f>R11/'Output-Calculation-sheet'!R10*'Output-Calculation-sheet'!R109</f>
        <v>971558674.74313629</v>
      </c>
      <c r="S132" s="2">
        <f>S11/'Output-Calculation-sheet'!S10*'Output-Calculation-sheet'!S109</f>
        <v>645747715.28261566</v>
      </c>
      <c r="T132" s="2">
        <f>T11/'Output-Calculation-sheet'!T10*'Output-Calculation-sheet'!T109</f>
        <v>357136600.54149967</v>
      </c>
      <c r="U132" s="2">
        <f>U11/'Output-Calculation-sheet'!U10*'Output-Calculation-sheet'!U109</f>
        <v>311053788.47663015</v>
      </c>
      <c r="V132" s="2">
        <f>V11/'Output-Calculation-sheet'!V10*'Output-Calculation-sheet'!V109</f>
        <v>239517638.18969667</v>
      </c>
      <c r="W132" s="2">
        <f>W11/'Output-Calculation-sheet'!W10*'Output-Calculation-sheet'!W109</f>
        <v>207369192.30505133</v>
      </c>
      <c r="X132" s="2">
        <f>X11/'Output-Calculation-sheet'!X10*'Output-Calculation-sheet'!X109</f>
        <v>124421510.52227034</v>
      </c>
      <c r="Y132" s="2">
        <f>Y11/'Output-Calculation-sheet'!Y10*'Output-Calculation-sheet'!Y109</f>
        <v>120998698.37331021</v>
      </c>
      <c r="AA132" s="2">
        <f t="shared" si="11"/>
        <v>51344.353397885432</v>
      </c>
    </row>
    <row r="133" spans="1:27" x14ac:dyDescent="0.25">
      <c r="A133" s="2">
        <v>2035</v>
      </c>
      <c r="B133" s="2">
        <f>B12/'Output-Calculation-sheet'!B11*'Output-Calculation-sheet'!B110</f>
        <v>3753150481.0156808</v>
      </c>
      <c r="C133" s="2">
        <f>C12/'Output-Calculation-sheet'!C11*'Output-Calculation-sheet'!C110</f>
        <v>7207865813.0444174</v>
      </c>
      <c r="D133" s="2">
        <f>D12/'Output-Calculation-sheet'!D11*'Output-Calculation-sheet'!D110</f>
        <v>1863040236.883162</v>
      </c>
      <c r="E133" s="2">
        <f>E12/'Output-Calculation-sheet'!E11*'Output-Calculation-sheet'!E110</f>
        <v>946656321.73628604</v>
      </c>
      <c r="F133" s="2">
        <f>F12/'Output-Calculation-sheet'!F11*'Output-Calculation-sheet'!F110</f>
        <v>640824369.03137708</v>
      </c>
      <c r="G133" s="2">
        <f>G12/'Output-Calculation-sheet'!G11*'Output-Calculation-sheet'!G110</f>
        <v>809792327.8478837</v>
      </c>
      <c r="H133" s="2">
        <f>H12/'Output-Calculation-sheet'!H11*'Output-Calculation-sheet'!H110</f>
        <v>955276769.08084249</v>
      </c>
      <c r="I133" s="2">
        <f>I12/'Output-Calculation-sheet'!I11*'Output-Calculation-sheet'!I110</f>
        <v>447509275.72817707</v>
      </c>
      <c r="J133" s="2">
        <f>J12/'Output-Calculation-sheet'!J11*'Output-Calculation-sheet'!J110</f>
        <v>541446759.33380973</v>
      </c>
      <c r="K133" s="2">
        <f>K12/'Output-Calculation-sheet'!K11*'Output-Calculation-sheet'!K110</f>
        <v>410559912.68768102</v>
      </c>
      <c r="L133" s="2">
        <f>L12/'Output-Calculation-sheet'!L11*'Output-Calculation-sheet'!L110</f>
        <v>263837432.31190568</v>
      </c>
      <c r="M133" s="2">
        <f>M12/'Output-Calculation-sheet'!M11*'Output-Calculation-sheet'!M110</f>
        <v>594172537.35663474</v>
      </c>
      <c r="N133" s="2">
        <f>N12/'Output-Calculation-sheet'!N11*'Output-Calculation-sheet'!N110</f>
        <v>494373268.58737665</v>
      </c>
      <c r="O133" s="2">
        <f>O12/'Output-Calculation-sheet'!O11*'Output-Calculation-sheet'!O110</f>
        <v>1745961192.9322314</v>
      </c>
      <c r="P133" s="2">
        <f>P12/'Output-Calculation-sheet'!P11*'Output-Calculation-sheet'!P110</f>
        <v>345398348.06755161</v>
      </c>
      <c r="Q133" s="2">
        <f>Q12/'Output-Calculation-sheet'!Q11*'Output-Calculation-sheet'!Q110</f>
        <v>430215409.44757384</v>
      </c>
      <c r="R133" s="2">
        <f>R12/'Output-Calculation-sheet'!R11*'Output-Calculation-sheet'!R110</f>
        <v>270727501.67633408</v>
      </c>
      <c r="S133" s="2">
        <f>S12/'Output-Calculation-sheet'!S11*'Output-Calculation-sheet'!S110</f>
        <v>260300152.42464402</v>
      </c>
      <c r="T133" s="2">
        <f>T12/'Output-Calculation-sheet'!T11*'Output-Calculation-sheet'!T110</f>
        <v>70421839.890206426</v>
      </c>
      <c r="U133" s="2">
        <f>U12/'Output-Calculation-sheet'!U11*'Output-Calculation-sheet'!U110</f>
        <v>114475269.42289475</v>
      </c>
      <c r="V133" s="2">
        <f>V12/'Output-Calculation-sheet'!V11*'Output-Calculation-sheet'!V110</f>
        <v>28887765.856973194</v>
      </c>
      <c r="W133" s="2">
        <f>W12/'Output-Calculation-sheet'!W11*'Output-Calculation-sheet'!W110</f>
        <v>47097022.067529954</v>
      </c>
      <c r="X133" s="2">
        <f>X12/'Output-Calculation-sheet'!X11*'Output-Calculation-sheet'!X110</f>
        <v>82479506.507497936</v>
      </c>
      <c r="Y133" s="2">
        <f>Y12/'Output-Calculation-sheet'!Y11*'Output-Calculation-sheet'!Y110</f>
        <v>43339639.29678756</v>
      </c>
      <c r="AA133" s="2">
        <f t="shared" si="11"/>
        <v>22367.809152235459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1259.365531279843</v>
      </c>
      <c r="C19" s="2">
        <f>C8/'Output-Calculation-sheet'!C7*'Output-Calculation-sheet'!C25</f>
        <v>18985.129897836836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5651.3639422679225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3926.0848111080736</v>
      </c>
      <c r="N19" s="2">
        <f>N8/'Output-Calculation-sheet'!N7*'Output-Calculation-sheet'!N25</f>
        <v>1344.1469305408059</v>
      </c>
      <c r="O19" s="2">
        <f>O8/'Output-Calculation-sheet'!O7*'Output-Calculation-sheet'!O25</f>
        <v>3671.6413023780801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479.61284375721914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438.66159380105921</v>
      </c>
      <c r="Y19" s="2">
        <f>Y8/'Output-Calculation-sheet'!Y7*'Output-Calculation-sheet'!Y25</f>
        <v>0</v>
      </c>
      <c r="AA19" s="2">
        <f t="shared" si="0"/>
        <v>35.75600685296984</v>
      </c>
    </row>
    <row r="20" spans="1:27" x14ac:dyDescent="0.25">
      <c r="A20" s="2">
        <v>2032</v>
      </c>
      <c r="B20" s="2">
        <f>B9/'Output-Calculation-sheet'!B8*'Output-Calculation-sheet'!B26</f>
        <v>6958.2953931066086</v>
      </c>
      <c r="C20" s="2">
        <f>C9/'Output-Calculation-sheet'!C8*'Output-Calculation-sheet'!C26</f>
        <v>25482.264506807933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7570.4145153904219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5260.5697520561916</v>
      </c>
      <c r="N20" s="2">
        <f>N9/'Output-Calculation-sheet'!N8*'Output-Calculation-sheet'!N26</f>
        <v>2368.5456179524626</v>
      </c>
      <c r="O20" s="2">
        <f>O9/'Output-Calculation-sheet'!O8*'Output-Calculation-sheet'!O26</f>
        <v>4965.1081881384489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862.72173741257393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588.44957440364988</v>
      </c>
      <c r="Y20" s="2">
        <f>Y9/'Output-Calculation-sheet'!Y8*'Output-Calculation-sheet'!Y26</f>
        <v>0</v>
      </c>
      <c r="AA20" s="2">
        <f t="shared" si="0"/>
        <v>54.056369285268282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35278.117073343863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9031.9612476267321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6273.4470962076157</v>
      </c>
      <c r="N21" s="2">
        <f>N10/'Output-Calculation-sheet'!N9*'Output-Calculation-sheet'!N27</f>
        <v>3432.5729191515375</v>
      </c>
      <c r="O21" s="2">
        <f>O10/'Output-Calculation-sheet'!O9*'Output-Calculation-sheet'!O27</f>
        <v>5993.3192389733713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1493.8091305074659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737.67035906853323</v>
      </c>
      <c r="Y21" s="2">
        <f>Y10/'Output-Calculation-sheet'!Y9*'Output-Calculation-sheet'!Y27</f>
        <v>0</v>
      </c>
      <c r="AA21" s="2">
        <f t="shared" si="0"/>
        <v>78.097396984941952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33622.697340238657</v>
      </c>
      <c r="D22" s="2">
        <f>D11/'Output-Calculation-sheet'!D10*'Output-Calculation-sheet'!D28</f>
        <v>0</v>
      </c>
      <c r="E22" s="2">
        <f>E11/'Output-Calculation-sheet'!E10*'Output-Calculation-sheet'!E28</f>
        <v>1426.3926657660045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11087.580977661582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841.27449853702933</v>
      </c>
      <c r="M22" s="2">
        <f>M11/'Output-Calculation-sheet'!M10*'Output-Calculation-sheet'!M28</f>
        <v>7642.0915719367349</v>
      </c>
      <c r="N22" s="2">
        <f>N11/'Output-Calculation-sheet'!N10*'Output-Calculation-sheet'!N28</f>
        <v>4398.0662685723319</v>
      </c>
      <c r="O22" s="2">
        <f>O11/'Output-Calculation-sheet'!O10*'Output-Calculation-sheet'!O28</f>
        <v>5920.9864763003034</v>
      </c>
      <c r="P22" s="2">
        <f>P11/'Output-Calculation-sheet'!P10*'Output-Calculation-sheet'!P28</f>
        <v>0</v>
      </c>
      <c r="Q22" s="2">
        <f>Q11/'Output-Calculation-sheet'!Q10*'Output-Calculation-sheet'!Q28</f>
        <v>1649.5054933370211</v>
      </c>
      <c r="R22" s="2">
        <f>R11/'Output-Calculation-sheet'!R10*'Output-Calculation-sheet'!R28</f>
        <v>0</v>
      </c>
      <c r="S22" s="2">
        <f>S11/'Output-Calculation-sheet'!S10*'Output-Calculation-sheet'!S28</f>
        <v>2230.444481327324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782.78632455626757</v>
      </c>
      <c r="Y22" s="2">
        <f>Y11/'Output-Calculation-sheet'!Y10*'Output-Calculation-sheet'!Y28</f>
        <v>76.8034584862027</v>
      </c>
      <c r="AA22" s="2">
        <f t="shared" si="0"/>
        <v>97.28814605408688</v>
      </c>
    </row>
    <row r="23" spans="1:27" x14ac:dyDescent="0.25">
      <c r="A23" s="2">
        <v>2035</v>
      </c>
      <c r="B23" s="2">
        <f>B12/'Output-Calculation-sheet'!B11*'Output-Calculation-sheet'!B29</f>
        <v>33678.824045384674</v>
      </c>
      <c r="C23" s="2">
        <f>C12/'Output-Calculation-sheet'!C11*'Output-Calculation-sheet'!C29</f>
        <v>31403.682500807823</v>
      </c>
      <c r="D23" s="2">
        <f>D12/'Output-Calculation-sheet'!D11*'Output-Calculation-sheet'!D29</f>
        <v>0</v>
      </c>
      <c r="E23" s="2">
        <f>E12/'Output-Calculation-sheet'!E11*'Output-Calculation-sheet'!E29</f>
        <v>6186.3972881089667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10808.068498791346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1793.7186922958749</v>
      </c>
      <c r="M23" s="2">
        <f>M12/'Output-Calculation-sheet'!M11*'Output-Calculation-sheet'!M29</f>
        <v>7682.087602557257</v>
      </c>
      <c r="N23" s="2">
        <f>N12/'Output-Calculation-sheet'!N11*'Output-Calculation-sheet'!N29</f>
        <v>4461.670996774028</v>
      </c>
      <c r="O23" s="2">
        <f>O12/'Output-Calculation-sheet'!O11*'Output-Calculation-sheet'!O29</f>
        <v>5191.7763117469149</v>
      </c>
      <c r="P23" s="2">
        <f>P12/'Output-Calculation-sheet'!P11*'Output-Calculation-sheet'!P29</f>
        <v>717.6519324213748</v>
      </c>
      <c r="Q23" s="2">
        <f>Q12/'Output-Calculation-sheet'!Q11*'Output-Calculation-sheet'!Q29</f>
        <v>2284.5467506499272</v>
      </c>
      <c r="R23" s="2">
        <f>R12/'Output-Calculation-sheet'!R11*'Output-Calculation-sheet'!R29</f>
        <v>0</v>
      </c>
      <c r="S23" s="2">
        <f>S12/'Output-Calculation-sheet'!S11*'Output-Calculation-sheet'!S29</f>
        <v>2467.4796407960944</v>
      </c>
      <c r="T23" s="2">
        <f>T12/'Output-Calculation-sheet'!T11*'Output-Calculation-sheet'!T29</f>
        <v>0</v>
      </c>
      <c r="U23" s="2">
        <f>U12/'Output-Calculation-sheet'!U11*'Output-Calculation-sheet'!U29</f>
        <v>266.26599420001401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733.96719894955982</v>
      </c>
      <c r="Y23" s="2">
        <f>Y12/'Output-Calculation-sheet'!Y11*'Output-Calculation-sheet'!Y29</f>
        <v>226.46723486572813</v>
      </c>
      <c r="AA23" s="2">
        <f t="shared" si="0"/>
        <v>107.90260468834958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21950.332109903386</v>
      </c>
      <c r="C30" s="2">
        <f>C8/'Output-Calculation-sheet'!C7*'Output-Calculation-sheet'!C16</f>
        <v>0</v>
      </c>
      <c r="D30" s="2">
        <f>D8/'Output-Calculation-sheet'!D7*'Output-Calculation-sheet'!D16</f>
        <v>3696.1457514887516</v>
      </c>
      <c r="E30" s="2">
        <f>E8/'Output-Calculation-sheet'!E7*'Output-Calculation-sheet'!E16</f>
        <v>3976.8440042841335</v>
      </c>
      <c r="F30" s="2">
        <f>F8/'Output-Calculation-sheet'!F7*'Output-Calculation-sheet'!F16</f>
        <v>2006.3389620307237</v>
      </c>
      <c r="G30" s="2">
        <f>G8/'Output-Calculation-sheet'!G7*'Output-Calculation-sheet'!G16</f>
        <v>1313.9137240104303</v>
      </c>
      <c r="H30" s="2">
        <f>H8/'Output-Calculation-sheet'!H7*'Output-Calculation-sheet'!H16</f>
        <v>0</v>
      </c>
      <c r="I30" s="2">
        <f>I8/'Output-Calculation-sheet'!I7*'Output-Calculation-sheet'!I16</f>
        <v>1280.869146888876</v>
      </c>
      <c r="J30" s="2">
        <f>J8/'Output-Calculation-sheet'!J7*'Output-Calculation-sheet'!J16</f>
        <v>1140.2198311306033</v>
      </c>
      <c r="K30" s="2">
        <f>K8/'Output-Calculation-sheet'!K7*'Output-Calculation-sheet'!K16</f>
        <v>1522.4114159593273</v>
      </c>
      <c r="L30" s="2">
        <f>L8/'Output-Calculation-sheet'!L7*'Output-Calculation-sheet'!L16</f>
        <v>1285.9426906750323</v>
      </c>
      <c r="M30" s="2">
        <f>M8/'Output-Calculation-sheet'!M7*'Output-Calculation-sheet'!M16</f>
        <v>0</v>
      </c>
      <c r="N30" s="2">
        <f>N8/'Output-Calculation-sheet'!N7*'Output-Calculation-sheet'!N16</f>
        <v>1826.5732530111873</v>
      </c>
      <c r="O30" s="2">
        <f>O8/'Output-Calculation-sheet'!O7*'Output-Calculation-sheet'!O16</f>
        <v>0</v>
      </c>
      <c r="P30" s="2">
        <f>P8/'Output-Calculation-sheet'!P7*'Output-Calculation-sheet'!P16</f>
        <v>1641.6641051517749</v>
      </c>
      <c r="Q30" s="2">
        <f>Q8/'Output-Calculation-sheet'!Q7*'Output-Calculation-sheet'!Q16</f>
        <v>1805.2883399506482</v>
      </c>
      <c r="R30" s="2">
        <f>R8/'Output-Calculation-sheet'!R7*'Output-Calculation-sheet'!R16</f>
        <v>1145.4632981752941</v>
      </c>
      <c r="S30" s="2">
        <f>S8/'Output-Calculation-sheet'!S7*'Output-Calculation-sheet'!S16</f>
        <v>1152.0001907596945</v>
      </c>
      <c r="T30" s="2">
        <f>T8/'Output-Calculation-sheet'!T7*'Output-Calculation-sheet'!T16</f>
        <v>343.85161694706892</v>
      </c>
      <c r="U30" s="2">
        <f>U8/'Output-Calculation-sheet'!U7*'Output-Calculation-sheet'!U16</f>
        <v>343.23699090106425</v>
      </c>
      <c r="V30" s="2">
        <f>V8/'Output-Calculation-sheet'!V7*'Output-Calculation-sheet'!V16</f>
        <v>267.13482560756557</v>
      </c>
      <c r="W30" s="2">
        <f>W8/'Output-Calculation-sheet'!W7*'Output-Calculation-sheet'!W16</f>
        <v>162.03073867497511</v>
      </c>
      <c r="X30" s="2">
        <f>X8/'Output-Calculation-sheet'!X7*'Output-Calculation-sheet'!X16</f>
        <v>0</v>
      </c>
      <c r="Y30" s="2">
        <f>Y8/'Output-Calculation-sheet'!Y7*'Output-Calculation-sheet'!Y16</f>
        <v>137.14059944354372</v>
      </c>
      <c r="AA30" s="2">
        <f t="shared" si="1"/>
        <v>46.997401594994081</v>
      </c>
    </row>
    <row r="31" spans="1:27" x14ac:dyDescent="0.25">
      <c r="A31" s="2">
        <v>2032</v>
      </c>
      <c r="B31" s="2">
        <f>B9/'Output-Calculation-sheet'!B8*'Output-Calculation-sheet'!B17</f>
        <v>29463.72162817344</v>
      </c>
      <c r="C31" s="2">
        <f>C9/'Output-Calculation-sheet'!C8*'Output-Calculation-sheet'!C17</f>
        <v>0</v>
      </c>
      <c r="D31" s="2">
        <f>D9/'Output-Calculation-sheet'!D8*'Output-Calculation-sheet'!D17</f>
        <v>4941.4529650884469</v>
      </c>
      <c r="E31" s="2">
        <f>E9/'Output-Calculation-sheet'!E8*'Output-Calculation-sheet'!E17</f>
        <v>5808.0028185730052</v>
      </c>
      <c r="F31" s="2">
        <f>F9/'Output-Calculation-sheet'!F8*'Output-Calculation-sheet'!F17</f>
        <v>2682.3809900306542</v>
      </c>
      <c r="G31" s="2">
        <f>G9/'Output-Calculation-sheet'!G8*'Output-Calculation-sheet'!G17</f>
        <v>1756.6246829081938</v>
      </c>
      <c r="H31" s="2">
        <f>H9/'Output-Calculation-sheet'!H8*'Output-Calculation-sheet'!H17</f>
        <v>0</v>
      </c>
      <c r="I31" s="2">
        <f>I9/'Output-Calculation-sheet'!I8*'Output-Calculation-sheet'!I17</f>
        <v>1712.4540651353932</v>
      </c>
      <c r="J31" s="2">
        <f>J9/'Output-Calculation-sheet'!J8*'Output-Calculation-sheet'!J17</f>
        <v>1524.41419308786</v>
      </c>
      <c r="K31" s="2">
        <f>K9/'Output-Calculation-sheet'!K8*'Output-Calculation-sheet'!K17</f>
        <v>2170.3610569641205</v>
      </c>
      <c r="L31" s="2">
        <f>L9/'Output-Calculation-sheet'!L8*'Output-Calculation-sheet'!L17</f>
        <v>1850.9364417631803</v>
      </c>
      <c r="M31" s="2">
        <f>M9/'Output-Calculation-sheet'!M8*'Output-Calculation-sheet'!M17</f>
        <v>0</v>
      </c>
      <c r="N31" s="2">
        <f>N9/'Output-Calculation-sheet'!N8*'Output-Calculation-sheet'!N17</f>
        <v>2019.5186837917731</v>
      </c>
      <c r="O31" s="2">
        <f>O9/'Output-Calculation-sheet'!O8*'Output-Calculation-sheet'!O17</f>
        <v>0</v>
      </c>
      <c r="P31" s="2">
        <f>P9/'Output-Calculation-sheet'!P8*'Output-Calculation-sheet'!P17</f>
        <v>2497.3994172152679</v>
      </c>
      <c r="Q31" s="2">
        <f>Q9/'Output-Calculation-sheet'!Q8*'Output-Calculation-sheet'!Q17</f>
        <v>2662.4572321917562</v>
      </c>
      <c r="R31" s="2">
        <f>R9/'Output-Calculation-sheet'!R8*'Output-Calculation-sheet'!R17</f>
        <v>1741.9202305332074</v>
      </c>
      <c r="S31" s="2">
        <f>S9/'Output-Calculation-sheet'!S8*'Output-Calculation-sheet'!S17</f>
        <v>1498.8450557516435</v>
      </c>
      <c r="T31" s="2">
        <f>T9/'Output-Calculation-sheet'!T8*'Output-Calculation-sheet'!T17</f>
        <v>472.68278115162684</v>
      </c>
      <c r="U31" s="2">
        <f>U9/'Output-Calculation-sheet'!U8*'Output-Calculation-sheet'!U17</f>
        <v>543.26320755203756</v>
      </c>
      <c r="V31" s="2">
        <f>V9/'Output-Calculation-sheet'!V8*'Output-Calculation-sheet'!V17</f>
        <v>389.11365831960171</v>
      </c>
      <c r="W31" s="2">
        <f>W9/'Output-Calculation-sheet'!W8*'Output-Calculation-sheet'!W17</f>
        <v>216.62875444211224</v>
      </c>
      <c r="X31" s="2">
        <f>X9/'Output-Calculation-sheet'!X8*'Output-Calculation-sheet'!X17</f>
        <v>0</v>
      </c>
      <c r="Y31" s="2">
        <f>Y9/'Output-Calculation-sheet'!Y8*'Output-Calculation-sheet'!Y17</f>
        <v>209.31030996427501</v>
      </c>
      <c r="AA31" s="2">
        <f t="shared" si="1"/>
        <v>64.161488172637604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1930.1994164576042</v>
      </c>
      <c r="O32" s="2">
        <f>O10/'Output-Calculation-sheet'!O9*'Output-Calculation-sheet'!O18</f>
        <v>0</v>
      </c>
      <c r="P32" s="2">
        <f>P10/'Output-Calculation-sheet'!P9*'Output-Calculation-sheet'!P18</f>
        <v>3107.8328685523406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2231.6304468597682</v>
      </c>
      <c r="S32" s="2">
        <f>S10/'Output-Calculation-sheet'!S9*'Output-Calculation-sheet'!S18</f>
        <v>1460.5431083556837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720.45745763595585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76.120162772840189</v>
      </c>
    </row>
    <row r="33" spans="1:27" x14ac:dyDescent="0.25">
      <c r="A33" s="2">
        <v>2034</v>
      </c>
      <c r="B33" s="2">
        <f>B11/'Output-Calculation-sheet'!B10*'Output-Calculation-sheet'!B19</f>
        <v>27848.143892445431</v>
      </c>
      <c r="C33" s="2">
        <f>C11/'Output-Calculation-sheet'!C10*'Output-Calculation-sheet'!C19</f>
        <v>0</v>
      </c>
      <c r="D33" s="2">
        <f>D11/'Output-Calculation-sheet'!D10*'Output-Calculation-sheet'!D19</f>
        <v>8306.3757245246925</v>
      </c>
      <c r="E33" s="2">
        <f>E11/'Output-Calculation-sheet'!E10*'Output-Calculation-sheet'!E19</f>
        <v>10291.74092535103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2827.6317298229574</v>
      </c>
      <c r="H33" s="2">
        <f>H11/'Output-Calculation-sheet'!H10*'Output-Calculation-sheet'!H19</f>
        <v>0</v>
      </c>
      <c r="I33" s="2">
        <f>I11/'Output-Calculation-sheet'!I10*'Output-Calculation-sheet'!I19</f>
        <v>3085.3364423738908</v>
      </c>
      <c r="J33" s="2">
        <f>J11/'Output-Calculation-sheet'!J10*'Output-Calculation-sheet'!J19</f>
        <v>2608.5039617359184</v>
      </c>
      <c r="K33" s="2">
        <f>K11/'Output-Calculation-sheet'!K10*'Output-Calculation-sheet'!K19</f>
        <v>3620.1222466182121</v>
      </c>
      <c r="L33" s="2">
        <f>L11/'Output-Calculation-sheet'!L10*'Output-Calculation-sheet'!L19</f>
        <v>2945.4541760719212</v>
      </c>
      <c r="M33" s="2">
        <f>M11/'Output-Calculation-sheet'!M10*'Output-Calculation-sheet'!M19</f>
        <v>0</v>
      </c>
      <c r="N33" s="2">
        <f>N11/'Output-Calculation-sheet'!N10*'Output-Calculation-sheet'!N19</f>
        <v>1664.6976901998873</v>
      </c>
      <c r="O33" s="2">
        <f>O11/'Output-Calculation-sheet'!O10*'Output-Calculation-sheet'!O19</f>
        <v>0</v>
      </c>
      <c r="P33" s="2">
        <f>P11/'Output-Calculation-sheet'!P10*'Output-Calculation-sheet'!P19</f>
        <v>3662.9251188031644</v>
      </c>
      <c r="Q33" s="2">
        <f>Q11/'Output-Calculation-sheet'!Q10*'Output-Calculation-sheet'!Q19</f>
        <v>2932.8608761358596</v>
      </c>
      <c r="R33" s="2">
        <f>R11/'Output-Calculation-sheet'!R10*'Output-Calculation-sheet'!R19</f>
        <v>2615.2320771633613</v>
      </c>
      <c r="S33" s="2">
        <f>S11/'Output-Calculation-sheet'!S10*'Output-Calculation-sheet'!S19</f>
        <v>1222.3434654006537</v>
      </c>
      <c r="T33" s="2">
        <f>T11/'Output-Calculation-sheet'!T10*'Output-Calculation-sheet'!T19</f>
        <v>767.35435303093641</v>
      </c>
      <c r="U33" s="2">
        <f>U11/'Output-Calculation-sheet'!U10*'Output-Calculation-sheet'!U19</f>
        <v>882.47219029866778</v>
      </c>
      <c r="V33" s="2">
        <f>V11/'Output-Calculation-sheet'!V10*'Output-Calculation-sheet'!V19</f>
        <v>601.80671111560059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148.00149551373497</v>
      </c>
      <c r="Y33" s="2">
        <f>Y11/'Output-Calculation-sheet'!Y10*'Output-Calculation-sheet'!Y19</f>
        <v>337.72508285421458</v>
      </c>
      <c r="AA33" s="2">
        <f t="shared" si="1"/>
        <v>81.46519490922789</v>
      </c>
    </row>
    <row r="34" spans="1:27" x14ac:dyDescent="0.25">
      <c r="A34" s="2">
        <v>2035</v>
      </c>
      <c r="B34" s="2">
        <f>B12/'Output-Calculation-sheet'!B11*'Output-Calculation-sheet'!B20</f>
        <v>23374.467612499899</v>
      </c>
      <c r="C34" s="2">
        <f>C12/'Output-Calculation-sheet'!C11*'Output-Calculation-sheet'!C20</f>
        <v>0</v>
      </c>
      <c r="D34" s="2">
        <f>D12/'Output-Calculation-sheet'!D11*'Output-Calculation-sheet'!D20</f>
        <v>8661.9880054347595</v>
      </c>
      <c r="E34" s="2">
        <f>E12/'Output-Calculation-sheet'!E11*'Output-Calculation-sheet'!E20</f>
        <v>7811.0317901244507</v>
      </c>
      <c r="F34" s="2">
        <f>F12/'Output-Calculation-sheet'!F11*'Output-Calculation-sheet'!F20</f>
        <v>5537.8321430447495</v>
      </c>
      <c r="G34" s="2">
        <f>G12/'Output-Calculation-sheet'!G11*'Output-Calculation-sheet'!G20</f>
        <v>2755.5572247320029</v>
      </c>
      <c r="H34" s="2">
        <f>H12/'Output-Calculation-sheet'!H11*'Output-Calculation-sheet'!H20</f>
        <v>0</v>
      </c>
      <c r="I34" s="2">
        <f>I12/'Output-Calculation-sheet'!I11*'Output-Calculation-sheet'!I20</f>
        <v>3385.6652888713675</v>
      </c>
      <c r="J34" s="2">
        <f>J12/'Output-Calculation-sheet'!J11*'Output-Calculation-sheet'!J20</f>
        <v>2820.5098762876637</v>
      </c>
      <c r="K34" s="2">
        <f>K12/'Output-Calculation-sheet'!K11*'Output-Calculation-sheet'!K20</f>
        <v>3969.4822013586245</v>
      </c>
      <c r="L34" s="2">
        <f>L12/'Output-Calculation-sheet'!L11*'Output-Calculation-sheet'!L20</f>
        <v>2700.8210481864908</v>
      </c>
      <c r="M34" s="2">
        <f>M12/'Output-Calculation-sheet'!M11*'Output-Calculation-sheet'!M20</f>
        <v>0</v>
      </c>
      <c r="N34" s="2">
        <f>N12/'Output-Calculation-sheet'!N11*'Output-Calculation-sheet'!N20</f>
        <v>1545.8665181842225</v>
      </c>
      <c r="O34" s="2">
        <f>O12/'Output-Calculation-sheet'!O11*'Output-Calculation-sheet'!O20</f>
        <v>0</v>
      </c>
      <c r="P34" s="2">
        <f>P12/'Output-Calculation-sheet'!P11*'Output-Calculation-sheet'!P20</f>
        <v>3283.6120244267008</v>
      </c>
      <c r="Q34" s="2">
        <f>Q12/'Output-Calculation-sheet'!Q11*'Output-Calculation-sheet'!Q20</f>
        <v>2341.0190635401577</v>
      </c>
      <c r="R34" s="2">
        <f>R12/'Output-Calculation-sheet'!R11*'Output-Calculation-sheet'!R20</f>
        <v>2848.8637053186508</v>
      </c>
      <c r="S34" s="2">
        <f>S12/'Output-Calculation-sheet'!S11*'Output-Calculation-sheet'!S20</f>
        <v>1020.1163872490454</v>
      </c>
      <c r="T34" s="2">
        <f>T12/'Output-Calculation-sheet'!T11*'Output-Calculation-sheet'!T20</f>
        <v>824.62296581656892</v>
      </c>
      <c r="U34" s="2">
        <f>U12/'Output-Calculation-sheet'!U11*'Output-Calculation-sheet'!U20</f>
        <v>755.02390368640692</v>
      </c>
      <c r="V34" s="2">
        <f>V12/'Output-Calculation-sheet'!V11*'Output-Calculation-sheet'!V20</f>
        <v>745.3311415603772</v>
      </c>
      <c r="W34" s="2">
        <f>W12/'Output-Calculation-sheet'!W11*'Output-Calculation-sheet'!W20</f>
        <v>440.25474929722537</v>
      </c>
      <c r="X34" s="2">
        <f>X12/'Output-Calculation-sheet'!X11*'Output-Calculation-sheet'!X20</f>
        <v>127.30379061716948</v>
      </c>
      <c r="Y34" s="2">
        <f>Y12/'Output-Calculation-sheet'!Y11*'Output-Calculation-sheet'!Y20</f>
        <v>237.40147869424888</v>
      </c>
      <c r="AA34" s="2">
        <f t="shared" si="1"/>
        <v>75.186770918930762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0.24655143052525075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0.24655143052525075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1.1791231751793321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0.22907191183796957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1.4081950870173017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2.0622412089344619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0.40063798790980054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9.8740971921280369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36734.510850657549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8012.5444933194112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5468.9516621324246</v>
      </c>
      <c r="N52" s="2">
        <f>N8/'Output-Calculation-sheet'!N7*'Output-Calculation-sheet'!N43</f>
        <v>174.80006249209887</v>
      </c>
      <c r="O52" s="2">
        <f>O8/'Output-Calculation-sheet'!O7*'Output-Calculation-sheet'!O43</f>
        <v>7442.3783826734007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707.26694726185997</v>
      </c>
      <c r="Y52" s="2">
        <f>Y8/'Output-Calculation-sheet'!Y7*'Output-Calculation-sheet'!Y43</f>
        <v>0</v>
      </c>
      <c r="AA52" s="2">
        <f t="shared" si="3"/>
        <v>58.540452398536736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64771.528975199231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15135.438326719272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10367.107118982183</v>
      </c>
      <c r="N53" s="2">
        <f>N9/'Output-Calculation-sheet'!N8*'Output-Calculation-sheet'!N44</f>
        <v>3669.0477846152148</v>
      </c>
      <c r="O53" s="2">
        <f>O9/'Output-Calculation-sheet'!O8*'Output-Calculation-sheet'!O44</f>
        <v>12845.064689018567</v>
      </c>
      <c r="P53" s="2">
        <f>P9/'Output-Calculation-sheet'!P8*'Output-Calculation-sheet'!P44</f>
        <v>172.71536552402068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1152.0818232528161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1296.4144778763957</v>
      </c>
      <c r="Y53" s="2">
        <f>Y9/'Output-Calculation-sheet'!Y8*'Output-Calculation-sheet'!Y44</f>
        <v>0</v>
      </c>
      <c r="AA53" s="2">
        <f t="shared" si="3"/>
        <v>109.40939856118771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78372.313919860157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14317.284825238245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537.73217675429248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178.63888229866888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74264.073664803553</v>
      </c>
      <c r="D55" s="2">
        <f>D11/'Output-Calculation-sheet'!D10*'Output-Calculation-sheet'!D46</f>
        <v>7329.8556990224288</v>
      </c>
      <c r="E55" s="2">
        <f>E11/'Output-Calculation-sheet'!E10*'Output-Calculation-sheet'!E46</f>
        <v>8956.3682622501692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24420.932564881656</v>
      </c>
      <c r="I55" s="2">
        <f>I11/'Output-Calculation-sheet'!I10*'Output-Calculation-sheet'!I46</f>
        <v>1773.7255340950621</v>
      </c>
      <c r="J55" s="2">
        <f>J11/'Output-Calculation-sheet'!J10*'Output-Calculation-sheet'!J46</f>
        <v>1287.2976852183224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16738.265157632744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13724.220682923966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5018.3393138477186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6270.3902939899644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1444.6528131488033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1747.301632674862</v>
      </c>
      <c r="Y55" s="2">
        <f>Y11/'Output-Calculation-sheet'!Y10*'Output-Calculation-sheet'!Y46</f>
        <v>442.9987488936618</v>
      </c>
      <c r="AA55" s="2">
        <f t="shared" si="3"/>
        <v>273.74014645764322</v>
      </c>
    </row>
    <row r="56" spans="1:27" x14ac:dyDescent="0.25">
      <c r="A56" s="2">
        <v>2035</v>
      </c>
      <c r="B56" s="2">
        <f>B12/'Output-Calculation-sheet'!B11*'Output-Calculation-sheet'!B47</f>
        <v>105004.53837583013</v>
      </c>
      <c r="C56" s="2">
        <f>C12/'Output-Calculation-sheet'!C11*'Output-Calculation-sheet'!C47</f>
        <v>65937.44918040451</v>
      </c>
      <c r="D56" s="2">
        <f>D12/'Output-Calculation-sheet'!D11*'Output-Calculation-sheet'!D47</f>
        <v>18267.981992610468</v>
      </c>
      <c r="E56" s="2">
        <f>E12/'Output-Calculation-sheet'!E11*'Output-Calculation-sheet'!E47</f>
        <v>27062.383920850516</v>
      </c>
      <c r="F56" s="2">
        <f>F12/'Output-Calculation-sheet'!F11*'Output-Calculation-sheet'!F47</f>
        <v>3924.7002460108865</v>
      </c>
      <c r="G56" s="2">
        <f>G12/'Output-Calculation-sheet'!G11*'Output-Calculation-sheet'!G47</f>
        <v>6323.1836850942454</v>
      </c>
      <c r="H56" s="2">
        <f>H12/'Output-Calculation-sheet'!H11*'Output-Calculation-sheet'!H47</f>
        <v>22274.458622160651</v>
      </c>
      <c r="I56" s="2">
        <f>I12/'Output-Calculation-sheet'!I11*'Output-Calculation-sheet'!I47</f>
        <v>6204.355858231359</v>
      </c>
      <c r="J56" s="2">
        <f>J12/'Output-Calculation-sheet'!J11*'Output-Calculation-sheet'!J47</f>
        <v>4963.3892038479244</v>
      </c>
      <c r="K56" s="2">
        <f>K12/'Output-Calculation-sheet'!K11*'Output-Calculation-sheet'!K47</f>
        <v>6656.8798358571312</v>
      </c>
      <c r="L56" s="2">
        <f>L12/'Output-Calculation-sheet'!L11*'Output-Calculation-sheet'!L47</f>
        <v>5576.0763096240471</v>
      </c>
      <c r="M56" s="2">
        <f>M12/'Output-Calculation-sheet'!M11*'Output-Calculation-sheet'!M47</f>
        <v>15422.801007702799</v>
      </c>
      <c r="N56" s="2">
        <f>N12/'Output-Calculation-sheet'!N11*'Output-Calculation-sheet'!N47</f>
        <v>12917.370291784942</v>
      </c>
      <c r="O56" s="2">
        <f>O12/'Output-Calculation-sheet'!O11*'Output-Calculation-sheet'!O47</f>
        <v>12071.855162018988</v>
      </c>
      <c r="P56" s="2">
        <f>P12/'Output-Calculation-sheet'!P11*'Output-Calculation-sheet'!P47</f>
        <v>6906.0190806274586</v>
      </c>
      <c r="Q56" s="2">
        <f>Q12/'Output-Calculation-sheet'!Q11*'Output-Calculation-sheet'!Q47</f>
        <v>6978.6118470837273</v>
      </c>
      <c r="R56" s="2">
        <f>R12/'Output-Calculation-sheet'!R11*'Output-Calculation-sheet'!R47</f>
        <v>5448.1278936822955</v>
      </c>
      <c r="S56" s="2">
        <f>S12/'Output-Calculation-sheet'!S11*'Output-Calculation-sheet'!S47</f>
        <v>6821.7881739259819</v>
      </c>
      <c r="T56" s="2">
        <f>T12/'Output-Calculation-sheet'!T11*'Output-Calculation-sheet'!T47</f>
        <v>2057.9862031888301</v>
      </c>
      <c r="U56" s="2">
        <f>U12/'Output-Calculation-sheet'!U11*'Output-Calculation-sheet'!U47</f>
        <v>2147.646007306771</v>
      </c>
      <c r="V56" s="2">
        <f>V12/'Output-Calculation-sheet'!V11*'Output-Calculation-sheet'!V47</f>
        <v>1116.1965916554777</v>
      </c>
      <c r="W56" s="2">
        <f>W12/'Output-Calculation-sheet'!W11*'Output-Calculation-sheet'!W47</f>
        <v>597.49888137990524</v>
      </c>
      <c r="X56" s="2">
        <f>X12/'Output-Calculation-sheet'!X11*'Output-Calculation-sheet'!X47</f>
        <v>1551.1011635375776</v>
      </c>
      <c r="Y56" s="2">
        <f>Y12/'Output-Calculation-sheet'!Y11*'Output-Calculation-sheet'!Y47</f>
        <v>866.05863750294134</v>
      </c>
      <c r="AA56" s="2">
        <f t="shared" si="3"/>
        <v>347.09845817191956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8.5486463596974787</v>
      </c>
      <c r="C63" s="2">
        <f>C8*'Output-Calculation-sheet'!C52/10^9</f>
        <v>5.3911193525404562</v>
      </c>
      <c r="D63" s="2">
        <f>D8*'Output-Calculation-sheet'!D52/10^9</f>
        <v>2.9314941937539296</v>
      </c>
      <c r="E63" s="2">
        <f>E8*'Output-Calculation-sheet'!E52/10^9</f>
        <v>2.9147062170868829</v>
      </c>
      <c r="F63" s="2">
        <f>F8*'Output-Calculation-sheet'!F52/10^9</f>
        <v>1.2343788247880336</v>
      </c>
      <c r="G63" s="2">
        <f>G8*'Output-Calculation-sheet'!G52/10^9</f>
        <v>0.88746153370342695</v>
      </c>
      <c r="H63" s="2">
        <f>H8*'Output-Calculation-sheet'!H52/10^9</f>
        <v>1.5501715016098845</v>
      </c>
      <c r="I63" s="2">
        <f>I8*'Output-Calculation-sheet'!I52/10^9</f>
        <v>0.82554537421846186</v>
      </c>
      <c r="J63" s="2">
        <f>J8*'Output-Calculation-sheet'!J52/10^9</f>
        <v>1.1360075015103541</v>
      </c>
      <c r="K63" s="2">
        <f>K8*'Output-Calculation-sheet'!K52/10^9</f>
        <v>0.99808104487488547</v>
      </c>
      <c r="L63" s="2">
        <f>L8*'Output-Calculation-sheet'!L52/10^9</f>
        <v>1.342465135976489</v>
      </c>
      <c r="M63" s="2">
        <f>M8*'Output-Calculation-sheet'!M52/10^9</f>
        <v>1.2582549983124216</v>
      </c>
      <c r="N63" s="2">
        <f>N8*'Output-Calculation-sheet'!N52/10^9</f>
        <v>1.050137600115945</v>
      </c>
      <c r="O63" s="2">
        <f>O8*'Output-Calculation-sheet'!O52/10^9</f>
        <v>1.1198216359633502</v>
      </c>
      <c r="P63" s="2">
        <f>P8*'Output-Calculation-sheet'!P52/10^9</f>
        <v>0.68964834590991031</v>
      </c>
      <c r="Q63" s="2">
        <f>Q8*'Output-Calculation-sheet'!Q52/10^9</f>
        <v>0.78047557237076659</v>
      </c>
      <c r="R63" s="2">
        <f>R8*'Output-Calculation-sheet'!R52/10^9</f>
        <v>0.70071292350442371</v>
      </c>
      <c r="S63" s="2">
        <f>S8*'Output-Calculation-sheet'!S52/10^9</f>
        <v>0.51925619491411179</v>
      </c>
      <c r="T63" s="2">
        <f>T8*'Output-Calculation-sheet'!T52/10^9</f>
        <v>0.26640213123399631</v>
      </c>
      <c r="U63" s="2">
        <f>U8*'Output-Calculation-sheet'!U52/10^9</f>
        <v>0.1829620216178576</v>
      </c>
      <c r="V63" s="2">
        <f>V8*'Output-Calculation-sheet'!V52/10^9</f>
        <v>0.3247145995776734</v>
      </c>
      <c r="W63" s="2">
        <f>W8*'Output-Calculation-sheet'!W52/10^9</f>
        <v>0.1175316991105884</v>
      </c>
      <c r="X63" s="2">
        <f>X8*'Output-Calculation-sheet'!X52/10^9</f>
        <v>0.13527627418143615</v>
      </c>
      <c r="Y63" s="2">
        <f>Y8*'Output-Calculation-sheet'!Y52/10^9</f>
        <v>7.6686090151377603E-2</v>
      </c>
      <c r="AA63" s="2">
        <f t="shared" si="4"/>
        <v>34.981957126724147</v>
      </c>
    </row>
    <row r="64" spans="1:27" x14ac:dyDescent="0.25">
      <c r="A64" s="2">
        <v>2032</v>
      </c>
      <c r="B64" s="2">
        <f>B9*'Output-Calculation-sheet'!B53/10^9</f>
        <v>8.7243965736987832</v>
      </c>
      <c r="C64" s="2">
        <f>C9*'Output-Calculation-sheet'!C53/10^9</f>
        <v>5.8901427133670037</v>
      </c>
      <c r="D64" s="2">
        <f>D9*'Output-Calculation-sheet'!D53/10^9</f>
        <v>2.5818959554222971</v>
      </c>
      <c r="E64" s="2">
        <f>E9*'Output-Calculation-sheet'!E53/10^9</f>
        <v>2.6439873385450885</v>
      </c>
      <c r="F64" s="2">
        <f>F9*'Output-Calculation-sheet'!F53/10^9</f>
        <v>1.1152182165050983</v>
      </c>
      <c r="G64" s="2">
        <f>G9*'Output-Calculation-sheet'!G53/10^9</f>
        <v>0.79377736754139772</v>
      </c>
      <c r="H64" s="2">
        <f>H9*'Output-Calculation-sheet'!H53/10^9</f>
        <v>1.6310972817352016</v>
      </c>
      <c r="I64" s="2">
        <f>I9*'Output-Calculation-sheet'!I53/10^9</f>
        <v>0.74205222996738796</v>
      </c>
      <c r="J64" s="2">
        <f>J9*'Output-Calculation-sheet'!J53/10^9</f>
        <v>0.98232733799833938</v>
      </c>
      <c r="K64" s="2">
        <f>K9*'Output-Calculation-sheet'!K53/10^9</f>
        <v>0.91146377950903179</v>
      </c>
      <c r="L64" s="2">
        <f>L9*'Output-Calculation-sheet'!L53/10^9</f>
        <v>1.1725906020365129</v>
      </c>
      <c r="M64" s="2">
        <f>M9*'Output-Calculation-sheet'!M53/10^9</f>
        <v>1.2783180688189271</v>
      </c>
      <c r="N64" s="2">
        <f>N9*'Output-Calculation-sheet'!N53/10^9</f>
        <v>1.0761106490235055</v>
      </c>
      <c r="O64" s="2">
        <f>O9*'Output-Calculation-sheet'!O53/10^9</f>
        <v>1.2182310940871226</v>
      </c>
      <c r="P64" s="2">
        <f>P9*'Output-Calculation-sheet'!P53/10^9</f>
        <v>0.69491750921836704</v>
      </c>
      <c r="Q64" s="2">
        <f>Q9*'Output-Calculation-sheet'!Q53/10^9</f>
        <v>0.76800046612927664</v>
      </c>
      <c r="R64" s="2">
        <f>R9*'Output-Calculation-sheet'!R53/10^9</f>
        <v>0.65835686701674989</v>
      </c>
      <c r="S64" s="2">
        <f>S9*'Output-Calculation-sheet'!S53/10^9</f>
        <v>0.5439490399566691</v>
      </c>
      <c r="T64" s="2">
        <f>T9*'Output-Calculation-sheet'!T53/10^9</f>
        <v>0.23666215756879211</v>
      </c>
      <c r="U64" s="2">
        <f>U9*'Output-Calculation-sheet'!U53/10^9</f>
        <v>0.17813058617157954</v>
      </c>
      <c r="V64" s="2">
        <f>V9*'Output-Calculation-sheet'!V53/10^9</f>
        <v>0.28090207501402631</v>
      </c>
      <c r="W64" s="2">
        <f>W9*'Output-Calculation-sheet'!W53/10^9</f>
        <v>0.10437814802389959</v>
      </c>
      <c r="X64" s="2">
        <f>X9*'Output-Calculation-sheet'!X53/10^9</f>
        <v>0.14167632305404229</v>
      </c>
      <c r="Y64" s="2">
        <f>Y9*'Output-Calculation-sheet'!Y53/10^9</f>
        <v>7.3130724803439018E-2</v>
      </c>
      <c r="AA64" s="2">
        <f t="shared" si="4"/>
        <v>34.441713105212543</v>
      </c>
    </row>
    <row r="65" spans="1:27" x14ac:dyDescent="0.25">
      <c r="A65" s="2">
        <v>2033</v>
      </c>
      <c r="B65" s="2">
        <f>B10*'Output-Calculation-sheet'!B54/10^9</f>
        <v>8.6068477474896916</v>
      </c>
      <c r="C65" s="2">
        <f>C10*'Output-Calculation-sheet'!C54/10^9</f>
        <v>6.1148789651853033</v>
      </c>
      <c r="D65" s="2">
        <f>D10*'Output-Calculation-sheet'!D54/10^9</f>
        <v>2.0333656059530369</v>
      </c>
      <c r="E65" s="2">
        <f>E10*'Output-Calculation-sheet'!E54/10^9</f>
        <v>2.2895464197244459</v>
      </c>
      <c r="F65" s="2">
        <f>F10*'Output-Calculation-sheet'!F54/10^9</f>
        <v>0.92951666536051547</v>
      </c>
      <c r="G65" s="2">
        <f>G10*'Output-Calculation-sheet'!G54/10^9</f>
        <v>0.63819726992973269</v>
      </c>
      <c r="H65" s="2">
        <f>H10*'Output-Calculation-sheet'!H54/10^9</f>
        <v>1.5771699730219881</v>
      </c>
      <c r="I65" s="2">
        <f>I10*'Output-Calculation-sheet'!I54/10^9</f>
        <v>0.62142984696873282</v>
      </c>
      <c r="J65" s="2">
        <f>J10*'Output-Calculation-sheet'!J54/10^9</f>
        <v>0.74274726932583146</v>
      </c>
      <c r="K65" s="2">
        <f>K10*'Output-Calculation-sheet'!K54/10^9</f>
        <v>0.79241294788633299</v>
      </c>
      <c r="L65" s="2">
        <f>L10*'Output-Calculation-sheet'!L54/10^9</f>
        <v>0.93600634569720487</v>
      </c>
      <c r="M65" s="2">
        <f>M10*'Output-Calculation-sheet'!M54/10^9</f>
        <v>1.1908778897730854</v>
      </c>
      <c r="N65" s="2">
        <f>N10*'Output-Calculation-sheet'!N54/10^9</f>
        <v>1.0283543961129711</v>
      </c>
      <c r="O65" s="2">
        <f>O10*'Output-Calculation-sheet'!O54/10^9</f>
        <v>1.2610683026197016</v>
      </c>
      <c r="P65" s="2">
        <f>P10*'Output-Calculation-sheet'!P54/10^9</f>
        <v>0.6704849974071706</v>
      </c>
      <c r="Q65" s="2">
        <f>Q10*'Output-Calculation-sheet'!Q54/10^9</f>
        <v>0.73162857383976054</v>
      </c>
      <c r="R65" s="2">
        <f>R10*'Output-Calculation-sheet'!R54/10^9</f>
        <v>0.59027633170256044</v>
      </c>
      <c r="S65" s="2">
        <f>S10*'Output-Calculation-sheet'!S54/10^9</f>
        <v>0.53617216905218645</v>
      </c>
      <c r="T65" s="2">
        <f>T10*'Output-Calculation-sheet'!T54/10^9</f>
        <v>0.19735572822826344</v>
      </c>
      <c r="U65" s="2">
        <f>U10*'Output-Calculation-sheet'!U54/10^9</f>
        <v>0.17041784025299569</v>
      </c>
      <c r="V65" s="2">
        <f>V10*'Output-Calculation-sheet'!V54/10^9</f>
        <v>0.2184039032056837</v>
      </c>
      <c r="W65" s="2">
        <f>W10*'Output-Calculation-sheet'!W54/10^9</f>
        <v>8.3154580488602178E-2</v>
      </c>
      <c r="X65" s="2">
        <f>X10*'Output-Calculation-sheet'!X54/10^9</f>
        <v>0.13696180644795539</v>
      </c>
      <c r="Y65" s="2">
        <f>Y10*'Output-Calculation-sheet'!Y54/10^9</f>
        <v>6.8440676903352912E-2</v>
      </c>
      <c r="AA65" s="2">
        <f t="shared" si="4"/>
        <v>32.165716252577106</v>
      </c>
    </row>
    <row r="66" spans="1:27" x14ac:dyDescent="0.25">
      <c r="A66" s="2">
        <v>2034</v>
      </c>
      <c r="B66" s="2">
        <f>B11*'Output-Calculation-sheet'!B55/10^9</f>
        <v>8.2030159669487404</v>
      </c>
      <c r="C66" s="2">
        <f>C11*'Output-Calculation-sheet'!C55/10^9</f>
        <v>6.2213445620834777</v>
      </c>
      <c r="D66" s="2">
        <f>D11*'Output-Calculation-sheet'!D55/10^9</f>
        <v>1.7159542386931774</v>
      </c>
      <c r="E66" s="2">
        <f>E11*'Output-Calculation-sheet'!E55/10^9</f>
        <v>2.0777198212422454</v>
      </c>
      <c r="F66" s="2">
        <f>F11*'Output-Calculation-sheet'!F55/10^9</f>
        <v>0.7985025258039854</v>
      </c>
      <c r="G66" s="2">
        <f>G11*'Output-Calculation-sheet'!G55/10^9</f>
        <v>0.57077159377698894</v>
      </c>
      <c r="H66" s="2">
        <f>H11*'Output-Calculation-sheet'!H55/10^9</f>
        <v>1.4657135755412805</v>
      </c>
      <c r="I66" s="2">
        <f>I11*'Output-Calculation-sheet'!I55/10^9</f>
        <v>0.55817921994716235</v>
      </c>
      <c r="J66" s="2">
        <f>J11*'Output-Calculation-sheet'!J55/10^9</f>
        <v>0.5739825878583561</v>
      </c>
      <c r="K66" s="2">
        <f>K11*'Output-Calculation-sheet'!K55/10^9</f>
        <v>0.68647526787790536</v>
      </c>
      <c r="L66" s="2">
        <f>L11*'Output-Calculation-sheet'!L55/10^9</f>
        <v>0.72700907603808285</v>
      </c>
      <c r="M66" s="2">
        <f>M11*'Output-Calculation-sheet'!M55/10^9</f>
        <v>1.0571341141607129</v>
      </c>
      <c r="N66" s="2">
        <f>N11*'Output-Calculation-sheet'!N55/10^9</f>
        <v>0.92365418199471028</v>
      </c>
      <c r="O66" s="2">
        <f>O11*'Output-Calculation-sheet'!O55/10^9</f>
        <v>1.2387327226293445</v>
      </c>
      <c r="P66" s="2">
        <f>P11*'Output-Calculation-sheet'!P55/10^9</f>
        <v>0.63492022370878465</v>
      </c>
      <c r="Q66" s="2">
        <f>Q11*'Output-Calculation-sheet'!Q55/10^9</f>
        <v>0.69314216995650135</v>
      </c>
      <c r="R66" s="2">
        <f>R11*'Output-Calculation-sheet'!R55/10^9</f>
        <v>0.51425297027795069</v>
      </c>
      <c r="S66" s="2">
        <f>S11*'Output-Calculation-sheet'!S55/10^9</f>
        <v>0.5059979378445959</v>
      </c>
      <c r="T66" s="2">
        <f>T11*'Output-Calculation-sheet'!T55/10^9</f>
        <v>0.16119731216324198</v>
      </c>
      <c r="U66" s="2">
        <f>U11*'Output-Calculation-sheet'!U55/10^9</f>
        <v>0.16458338029439931</v>
      </c>
      <c r="V66" s="2">
        <f>V11*'Output-Calculation-sheet'!V55/10^9</f>
        <v>0.15292331435190129</v>
      </c>
      <c r="W66" s="2">
        <f>W11*'Output-Calculation-sheet'!W55/10^9</f>
        <v>6.9237895658613088E-2</v>
      </c>
      <c r="X66" s="2">
        <f>X11*'Output-Calculation-sheet'!X55/10^9</f>
        <v>0.13140016517939399</v>
      </c>
      <c r="Y66" s="2">
        <f>Y11*'Output-Calculation-sheet'!Y55/10^9</f>
        <v>6.7943177839332014E-2</v>
      </c>
      <c r="AA66" s="2">
        <f t="shared" si="4"/>
        <v>29.913788001870891</v>
      </c>
    </row>
    <row r="67" spans="1:27" x14ac:dyDescent="0.25">
      <c r="A67" s="2">
        <v>2035</v>
      </c>
      <c r="B67" s="2">
        <f>B12*'Output-Calculation-sheet'!B56/10^9</f>
        <v>8.1729672555528765</v>
      </c>
      <c r="C67" s="2">
        <f>C12*'Output-Calculation-sheet'!C56/10^9</f>
        <v>5.9237851130560992</v>
      </c>
      <c r="D67" s="2">
        <f>D12*'Output-Calculation-sheet'!D56/10^9</f>
        <v>1.8538225830325283</v>
      </c>
      <c r="E67" s="2">
        <f>E12*'Output-Calculation-sheet'!E56/10^9</f>
        <v>2.2066640779907054</v>
      </c>
      <c r="F67" s="2">
        <f>F12*'Output-Calculation-sheet'!F56/10^9</f>
        <v>0.90312266805230468</v>
      </c>
      <c r="G67" s="2">
        <f>G12*'Output-Calculation-sheet'!G56/10^9</f>
        <v>0.63480324804067423</v>
      </c>
      <c r="H67" s="2">
        <f>H12*'Output-Calculation-sheet'!H56/10^9</f>
        <v>1.4493971686308218</v>
      </c>
      <c r="I67" s="2">
        <f>I12*'Output-Calculation-sheet'!I56/10^9</f>
        <v>0.63570503201380779</v>
      </c>
      <c r="J67" s="2">
        <f>J12*'Output-Calculation-sheet'!J56/10^9</f>
        <v>0.5751225949645512</v>
      </c>
      <c r="K67" s="2">
        <f>K12*'Output-Calculation-sheet'!K56/10^9</f>
        <v>0.71377652206270992</v>
      </c>
      <c r="L67" s="2">
        <f>L12*'Output-Calculation-sheet'!L56/10^9</f>
        <v>0.66516257511984</v>
      </c>
      <c r="M67" s="2">
        <f>M12*'Output-Calculation-sheet'!M56/10^9</f>
        <v>1.0222954866251008</v>
      </c>
      <c r="N67" s="2">
        <f>N12*'Output-Calculation-sheet'!N56/10^9</f>
        <v>0.86917461693463727</v>
      </c>
      <c r="O67" s="2">
        <f>O12*'Output-Calculation-sheet'!O56/10^9</f>
        <v>1.1442913713911251</v>
      </c>
      <c r="P67" s="2">
        <f>P12*'Output-Calculation-sheet'!P56/10^9</f>
        <v>0.67106288897987409</v>
      </c>
      <c r="Q67" s="2">
        <f>Q12*'Output-Calculation-sheet'!Q56/10^9</f>
        <v>0.67781592149371228</v>
      </c>
      <c r="R67" s="2">
        <f>R12*'Output-Calculation-sheet'!R56/10^9</f>
        <v>0.51757093503693474</v>
      </c>
      <c r="S67" s="2">
        <f>S12*'Output-Calculation-sheet'!S56/10^9</f>
        <v>0.49494797584721084</v>
      </c>
      <c r="T67" s="2">
        <f>T12*'Output-Calculation-sheet'!T56/10^9</f>
        <v>0.15742370041688133</v>
      </c>
      <c r="U67" s="2">
        <f>U12*'Output-Calculation-sheet'!U56/10^9</f>
        <v>0.17905448137814695</v>
      </c>
      <c r="V67" s="2">
        <f>V12*'Output-Calculation-sheet'!V56/10^9</f>
        <v>0.12069222735708775</v>
      </c>
      <c r="W67" s="2">
        <f>W12*'Output-Calculation-sheet'!W56/10^9</f>
        <v>7.8165818198571116E-2</v>
      </c>
      <c r="X67" s="2">
        <f>X12*'Output-Calculation-sheet'!X56/10^9</f>
        <v>0.12802390262889718</v>
      </c>
      <c r="Y67" s="2">
        <f>Y12*'Output-Calculation-sheet'!Y56/10^9</f>
        <v>7.3454895362512665E-2</v>
      </c>
      <c r="AA67" s="2">
        <f t="shared" si="4"/>
        <v>29.868303060167612</v>
      </c>
    </row>
    <row r="68" spans="1:27" x14ac:dyDescent="0.25">
      <c r="B68" s="2">
        <f>SUM(B60:B67)</f>
        <v>62.10061234291247</v>
      </c>
      <c r="C68" s="2">
        <f t="shared" ref="C68:Y68" si="5">SUM(C60:C67)</f>
        <v>40.045656161296485</v>
      </c>
      <c r="D68" s="2">
        <f t="shared" si="5"/>
        <v>18.901802567545268</v>
      </c>
      <c r="E68" s="2">
        <f t="shared" si="5"/>
        <v>19.808244812076815</v>
      </c>
      <c r="F68" s="2">
        <f t="shared" si="5"/>
        <v>8.1619246805973251</v>
      </c>
      <c r="G68" s="2">
        <f t="shared" si="5"/>
        <v>5.8398499454743469</v>
      </c>
      <c r="H68" s="2">
        <f t="shared" si="5"/>
        <v>10.945241931585178</v>
      </c>
      <c r="I68" s="2">
        <f t="shared" si="5"/>
        <v>5.5236099833025971</v>
      </c>
      <c r="J68" s="2">
        <f t="shared" si="5"/>
        <v>7.0900797159728315</v>
      </c>
      <c r="K68" s="2">
        <f t="shared" si="5"/>
        <v>6.6959454866196113</v>
      </c>
      <c r="L68" s="2">
        <f t="shared" si="5"/>
        <v>8.4961211277047379</v>
      </c>
      <c r="M68" s="2">
        <f t="shared" si="5"/>
        <v>8.6116650002125397</v>
      </c>
      <c r="N68" s="2">
        <f t="shared" si="5"/>
        <v>7.3814096756577943</v>
      </c>
      <c r="O68" s="2">
        <f t="shared" si="5"/>
        <v>8.1774231101413903</v>
      </c>
      <c r="P68" s="2">
        <f t="shared" si="5"/>
        <v>5.0082402322305768</v>
      </c>
      <c r="Q68" s="2">
        <f t="shared" si="5"/>
        <v>5.531397816488858</v>
      </c>
      <c r="R68" s="2">
        <f t="shared" si="5"/>
        <v>4.7841363967334027</v>
      </c>
      <c r="S68" s="2">
        <f t="shared" si="5"/>
        <v>3.7797095990166252</v>
      </c>
      <c r="T68" s="2">
        <f t="shared" si="5"/>
        <v>1.7248178004416219</v>
      </c>
      <c r="U68" s="2">
        <f t="shared" si="5"/>
        <v>1.3367869792334963</v>
      </c>
      <c r="V68" s="2">
        <f t="shared" si="5"/>
        <v>1.9906576659184971</v>
      </c>
      <c r="W68" s="2">
        <f t="shared" si="5"/>
        <v>0.76161710333741295</v>
      </c>
      <c r="X68" s="2">
        <f t="shared" si="5"/>
        <v>0.95897096334166154</v>
      </c>
      <c r="Y68" s="2">
        <f t="shared" si="5"/>
        <v>0.55457498473949796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7087.8713907617303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1710.8074839122962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1146.4123185413932</v>
      </c>
      <c r="N74" s="2">
        <f>N8/'Output-Calculation-sheet'!N7*'Output-Calculation-sheet'!N61</f>
        <v>48.048167177515673</v>
      </c>
      <c r="O74" s="2">
        <f>O8/'Output-Calculation-sheet'!O7*'Output-Calculation-sheet'!O61</f>
        <v>1416.7841631278864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142.45819628779228</v>
      </c>
      <c r="Y74" s="2">
        <f>Y8/'Output-Calculation-sheet'!Y7*'Output-Calculation-sheet'!Y61</f>
        <v>0</v>
      </c>
      <c r="AA74" s="2">
        <f t="shared" si="6"/>
        <v>11.552381719808615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11634.291221002815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2883.1973338542221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1958.979023421067</v>
      </c>
      <c r="N75" s="2">
        <f>N9/'Output-Calculation-sheet'!N8*'Output-Calculation-sheet'!N62</f>
        <v>754.37492030177793</v>
      </c>
      <c r="O75" s="2">
        <f>O9/'Output-Calculation-sheet'!O8*'Output-Calculation-sheet'!O62</f>
        <v>2299.7245527782443</v>
      </c>
      <c r="P75" s="2">
        <f>P9/'Output-Calculation-sheet'!P8*'Output-Calculation-sheet'!P62</f>
        <v>50.691959781300071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253.7125308207568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236.66998388773291</v>
      </c>
      <c r="Y75" s="2">
        <f>Y9/'Output-Calculation-sheet'!Y8*'Output-Calculation-sheet'!Y62</f>
        <v>0</v>
      </c>
      <c r="AA75" s="2">
        <f t="shared" si="6"/>
        <v>20.071641525847916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14610.981654886204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3933.6459847144097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2678.2245579418018</v>
      </c>
      <c r="N76" s="2">
        <f>N10/'Output-Calculation-sheet'!N9*'Output-Calculation-sheet'!N63</f>
        <v>1530.0918013321427</v>
      </c>
      <c r="O76" s="2">
        <f>O10/'Output-Calculation-sheet'!O9*'Output-Calculation-sheet'!O63</f>
        <v>2636.0024567288715</v>
      </c>
      <c r="P76" s="2">
        <f>P10/'Output-Calculation-sheet'!P9*'Output-Calculation-sheet'!P63</f>
        <v>531.31789568460738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403.33824668484414</v>
      </c>
      <c r="S76" s="2">
        <f>S10/'Output-Calculation-sheet'!S9*'Output-Calculation-sheet'!S63</f>
        <v>679.65512270887609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143.10154602588932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315.41051683025916</v>
      </c>
      <c r="Y76" s="2">
        <f>Y10/'Output-Calculation-sheet'!Y9*'Output-Calculation-sheet'!Y63</f>
        <v>5.9837419017584192</v>
      </c>
      <c r="AA76" s="2">
        <f t="shared" si="6"/>
        <v>33.868569862216624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13695.825975280357</v>
      </c>
      <c r="D77" s="2">
        <f>D11/'Output-Calculation-sheet'!D10*'Output-Calculation-sheet'!D64</f>
        <v>1695.3039999876501</v>
      </c>
      <c r="E77" s="2">
        <f>E11/'Output-Calculation-sheet'!E10*'Output-Calculation-sheet'!E64</f>
        <v>2062.2948123857668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884.09505649650987</v>
      </c>
      <c r="H77" s="2">
        <f>H11/'Output-Calculation-sheet'!H10*'Output-Calculation-sheet'!H64</f>
        <v>4697.3520510588278</v>
      </c>
      <c r="I77" s="2">
        <f>I11/'Output-Calculation-sheet'!I10*'Output-Calculation-sheet'!I64</f>
        <v>523.86983649497665</v>
      </c>
      <c r="J77" s="2">
        <f>J11/'Output-Calculation-sheet'!J10*'Output-Calculation-sheet'!J64</f>
        <v>376.56382969193243</v>
      </c>
      <c r="K77" s="2">
        <f>K11/'Output-Calculation-sheet'!K10*'Output-Calculation-sheet'!K64</f>
        <v>788.28804033033725</v>
      </c>
      <c r="L77" s="2">
        <f>L11/'Output-Calculation-sheet'!L10*'Output-Calculation-sheet'!L64</f>
        <v>344.62821153064385</v>
      </c>
      <c r="M77" s="2">
        <f>M11/'Output-Calculation-sheet'!M10*'Output-Calculation-sheet'!M64</f>
        <v>3148.1521905247109</v>
      </c>
      <c r="N77" s="2">
        <f>N11/'Output-Calculation-sheet'!N10*'Output-Calculation-sheet'!N64</f>
        <v>2216.4746700391333</v>
      </c>
      <c r="O77" s="2">
        <f>O11/'Output-Calculation-sheet'!O10*'Output-Calculation-sheet'!O64</f>
        <v>2567.3535929650752</v>
      </c>
      <c r="P77" s="2">
        <f>P11/'Output-Calculation-sheet'!P10*'Output-Calculation-sheet'!P64</f>
        <v>978.30776727512455</v>
      </c>
      <c r="Q77" s="2">
        <f>Q11/'Output-Calculation-sheet'!Q10*'Output-Calculation-sheet'!Q64</f>
        <v>880.09597365036109</v>
      </c>
      <c r="R77" s="2">
        <f>R11/'Output-Calculation-sheet'!R10*'Output-Calculation-sheet'!R64</f>
        <v>837.17585529695054</v>
      </c>
      <c r="S77" s="2">
        <f>S11/'Output-Calculation-sheet'!S10*'Output-Calculation-sheet'!S64</f>
        <v>1114.5989046206571</v>
      </c>
      <c r="T77" s="2">
        <f>T11/'Output-Calculation-sheet'!T10*'Output-Calculation-sheet'!T64</f>
        <v>232.03640541083584</v>
      </c>
      <c r="U77" s="2">
        <f>U11/'Output-Calculation-sheet'!U10*'Output-Calculation-sheet'!U64</f>
        <v>317.50459139649968</v>
      </c>
      <c r="V77" s="2">
        <f>V11/'Output-Calculation-sheet'!V10*'Output-Calculation-sheet'!V64</f>
        <v>122.01557036054011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324.6640253736154</v>
      </c>
      <c r="Y77" s="2">
        <f>Y11/'Output-Calculation-sheet'!Y10*'Output-Calculation-sheet'!Y64</f>
        <v>76.638783558603492</v>
      </c>
      <c r="AA77" s="2">
        <f t="shared" si="6"/>
        <v>51.622829450436733</v>
      </c>
    </row>
    <row r="78" spans="1:27" x14ac:dyDescent="0.25">
      <c r="A78" s="2">
        <v>2035</v>
      </c>
      <c r="B78" s="2">
        <f>B12/'Output-Calculation-sheet'!B11*'Output-Calculation-sheet'!B65</f>
        <v>17479.730078849847</v>
      </c>
      <c r="C78" s="2">
        <f>C12/'Output-Calculation-sheet'!C11*'Output-Calculation-sheet'!C65</f>
        <v>12317.640112119378</v>
      </c>
      <c r="D78" s="2">
        <f>D12/'Output-Calculation-sheet'!D11*'Output-Calculation-sheet'!D65</f>
        <v>4014.9499019724149</v>
      </c>
      <c r="E78" s="2">
        <f>E12/'Output-Calculation-sheet'!E11*'Output-Calculation-sheet'!E65</f>
        <v>4016.0577738542165</v>
      </c>
      <c r="F78" s="2">
        <f>F12/'Output-Calculation-sheet'!F11*'Output-Calculation-sheet'!F65</f>
        <v>932.31654823605561</v>
      </c>
      <c r="G78" s="2">
        <f>G12/'Output-Calculation-sheet'!G11*'Output-Calculation-sheet'!G65</f>
        <v>1389.7208070076224</v>
      </c>
      <c r="H78" s="2">
        <f>H12/'Output-Calculation-sheet'!H11*'Output-Calculation-sheet'!H65</f>
        <v>4453.8336876475769</v>
      </c>
      <c r="I78" s="2">
        <f>I12/'Output-Calculation-sheet'!I11*'Output-Calculation-sheet'!I65</f>
        <v>1233.7103109265631</v>
      </c>
      <c r="J78" s="2">
        <f>J12/'Output-Calculation-sheet'!J11*'Output-Calculation-sheet'!J65</f>
        <v>1097.5486260611965</v>
      </c>
      <c r="K78" s="2">
        <f>K12/'Output-Calculation-sheet'!K11*'Output-Calculation-sheet'!K65</f>
        <v>1463.0399034668906</v>
      </c>
      <c r="L78" s="2">
        <f>L12/'Output-Calculation-sheet'!L11*'Output-Calculation-sheet'!L65</f>
        <v>963.7116523383213</v>
      </c>
      <c r="M78" s="2">
        <f>M12/'Output-Calculation-sheet'!M11*'Output-Calculation-sheet'!M65</f>
        <v>3110.3478911757998</v>
      </c>
      <c r="N78" s="2">
        <f>N12/'Output-Calculation-sheet'!N11*'Output-Calculation-sheet'!N65</f>
        <v>2221.0156607672384</v>
      </c>
      <c r="O78" s="2">
        <f>O12/'Output-Calculation-sheet'!O11*'Output-Calculation-sheet'!O65</f>
        <v>2250.6541844496041</v>
      </c>
      <c r="P78" s="2">
        <f>P12/'Output-Calculation-sheet'!P11*'Output-Calculation-sheet'!P65</f>
        <v>1230.0194034561384</v>
      </c>
      <c r="Q78" s="2">
        <f>Q12/'Output-Calculation-sheet'!Q11*'Output-Calculation-sheet'!Q65</f>
        <v>1192.4847350332363</v>
      </c>
      <c r="R78" s="2">
        <f>R12/'Output-Calculation-sheet'!R11*'Output-Calculation-sheet'!R65</f>
        <v>1081.7887821566578</v>
      </c>
      <c r="S78" s="2">
        <f>S12/'Output-Calculation-sheet'!S11*'Output-Calculation-sheet'!S65</f>
        <v>1210.1657929109358</v>
      </c>
      <c r="T78" s="2">
        <f>T12/'Output-Calculation-sheet'!T11*'Output-Calculation-sheet'!T65</f>
        <v>376.99280792120561</v>
      </c>
      <c r="U78" s="2">
        <f>U12/'Output-Calculation-sheet'!U11*'Output-Calculation-sheet'!U65</f>
        <v>344.7077118492432</v>
      </c>
      <c r="V78" s="2">
        <f>V12/'Output-Calculation-sheet'!V11*'Output-Calculation-sheet'!V65</f>
        <v>197.29890954102228</v>
      </c>
      <c r="W78" s="2">
        <f>W12/'Output-Calculation-sheet'!W11*'Output-Calculation-sheet'!W65</f>
        <v>131.31971002939648</v>
      </c>
      <c r="X78" s="2">
        <f>X12/'Output-Calculation-sheet'!X11*'Output-Calculation-sheet'!X65</f>
        <v>298.75301326542746</v>
      </c>
      <c r="Y78" s="2">
        <f>Y12/'Output-Calculation-sheet'!Y11*'Output-Calculation-sheet'!Y65</f>
        <v>138.15156448448559</v>
      </c>
      <c r="AA78" s="2">
        <f t="shared" si="6"/>
        <v>63.145959569520471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43.254636934254513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4.3254636934254513E-2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517.1592873593562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120.56416412524715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0.63772345148460341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994.94093413504743</v>
      </c>
      <c r="D89" s="2">
        <f>D12/'Output-Calculation-sheet'!D11*'Output-Calculation-sheet'!D74</f>
        <v>80.122728037765214</v>
      </c>
      <c r="E89" s="2">
        <f>E12/'Output-Calculation-sheet'!E11*'Output-Calculation-sheet'!E74</f>
        <v>63.676197460824746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83.529219833102445</v>
      </c>
      <c r="I89" s="2">
        <f>I12/'Output-Calculation-sheet'!I11*'Output-Calculation-sheet'!I74</f>
        <v>25.851482742630662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25.407938304798211</v>
      </c>
      <c r="L89" s="2">
        <f>L12/'Output-Calculation-sheet'!L11*'Output-Calculation-sheet'!L74</f>
        <v>20.203175034869737</v>
      </c>
      <c r="M89" s="2">
        <f>M12/'Output-Calculation-sheet'!M11*'Output-Calculation-sheet'!M74</f>
        <v>57.476277047339622</v>
      </c>
      <c r="N89" s="2">
        <f>N12/'Output-Calculation-sheet'!N11*'Output-Calculation-sheet'!N74</f>
        <v>37.659971696166011</v>
      </c>
      <c r="O89" s="2">
        <f>O12/'Output-Calculation-sheet'!O11*'Output-Calculation-sheet'!O74</f>
        <v>228.43394047488624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32.995800695431335</v>
      </c>
      <c r="R89" s="2">
        <f>R12/'Output-Calculation-sheet'!R11*'Output-Calculation-sheet'!R74</f>
        <v>16.360744425472358</v>
      </c>
      <c r="S89" s="2">
        <f>S12/'Output-Calculation-sheet'!S11*'Output-Calculation-sheet'!S74</f>
        <v>21.587937259259437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10.52767650640574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8.4070523768974397</v>
      </c>
      <c r="Y89" s="2">
        <f>Y12/'Output-Calculation-sheet'!Y11*'Output-Calculation-sheet'!Y74</f>
        <v>4.0564807377186947</v>
      </c>
      <c r="AA89" s="2">
        <f t="shared" si="7"/>
        <v>2.2639127117456477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22326505368.070221</v>
      </c>
      <c r="C96" s="2">
        <f>C8/'Output-Calculation-sheet'!C7*'Output-Calculation-sheet'!C79</f>
        <v>9242881528.2239513</v>
      </c>
      <c r="D96" s="2">
        <f>D8/'Output-Calculation-sheet'!D7*'Output-Calculation-sheet'!D79</f>
        <v>7368026452.5516176</v>
      </c>
      <c r="E96" s="2">
        <f>E8/'Output-Calculation-sheet'!E7*'Output-Calculation-sheet'!E79</f>
        <v>8903144552.1053009</v>
      </c>
      <c r="F96" s="2">
        <f>F8/'Output-Calculation-sheet'!F7*'Output-Calculation-sheet'!F79</f>
        <v>5255475117.5359612</v>
      </c>
      <c r="G96" s="2">
        <f>G8/'Output-Calculation-sheet'!G7*'Output-Calculation-sheet'!G79</f>
        <v>2673207431.9713135</v>
      </c>
      <c r="H96" s="2">
        <f>H8/'Output-Calculation-sheet'!H7*'Output-Calculation-sheet'!H79</f>
        <v>3337948495.1637058</v>
      </c>
      <c r="I96" s="2">
        <f>I8/'Output-Calculation-sheet'!I7*'Output-Calculation-sheet'!I79</f>
        <v>3194883441.1772242</v>
      </c>
      <c r="J96" s="2">
        <f>J8/'Output-Calculation-sheet'!J7*'Output-Calculation-sheet'!J79</f>
        <v>1803306929.8586037</v>
      </c>
      <c r="K96" s="2">
        <f>K8/'Output-Calculation-sheet'!K7*'Output-Calculation-sheet'!K79</f>
        <v>3071649373.88239</v>
      </c>
      <c r="L96" s="2">
        <f>L8/'Output-Calculation-sheet'!L7*'Output-Calculation-sheet'!L79</f>
        <v>2209190605.7863784</v>
      </c>
      <c r="M96" s="2">
        <f>M8/'Output-Calculation-sheet'!M7*'Output-Calculation-sheet'!M79</f>
        <v>2233295320.5555835</v>
      </c>
      <c r="N96" s="2">
        <f>N8/'Output-Calculation-sheet'!N7*'Output-Calculation-sheet'!N79</f>
        <v>1589499138.7557313</v>
      </c>
      <c r="O96" s="2">
        <f>O8/'Output-Calculation-sheet'!O7*'Output-Calculation-sheet'!O79</f>
        <v>1249209736.3566139</v>
      </c>
      <c r="P96" s="2">
        <f>P8/'Output-Calculation-sheet'!P7*'Output-Calculation-sheet'!P79</f>
        <v>2655505586.5985479</v>
      </c>
      <c r="Q96" s="2">
        <f>Q8/'Output-Calculation-sheet'!Q7*'Output-Calculation-sheet'!Q79</f>
        <v>1446356218.5017505</v>
      </c>
      <c r="R96" s="2">
        <f>R8/'Output-Calculation-sheet'!R7*'Output-Calculation-sheet'!R79</f>
        <v>1929576742.5571797</v>
      </c>
      <c r="S96" s="2">
        <f>S8/'Output-Calculation-sheet'!S7*'Output-Calculation-sheet'!S79</f>
        <v>1214564541.4295914</v>
      </c>
      <c r="T96" s="2">
        <f>T8/'Output-Calculation-sheet'!T7*'Output-Calculation-sheet'!T79</f>
        <v>779921433.70352244</v>
      </c>
      <c r="U96" s="2">
        <f>U8/'Output-Calculation-sheet'!U7*'Output-Calculation-sheet'!U79</f>
        <v>723210369.28255987</v>
      </c>
      <c r="V96" s="2">
        <f>V8/'Output-Calculation-sheet'!V7*'Output-Calculation-sheet'!V79</f>
        <v>465627474.2953003</v>
      </c>
      <c r="W96" s="2">
        <f>W8/'Output-Calculation-sheet'!W7*'Output-Calculation-sheet'!W79</f>
        <v>556996009.17381346</v>
      </c>
      <c r="X96" s="2">
        <f>X8/'Output-Calculation-sheet'!X7*'Output-Calculation-sheet'!X79</f>
        <v>254940224.3842389</v>
      </c>
      <c r="Y96" s="2">
        <f>Y8/'Output-Calculation-sheet'!Y7*'Output-Calculation-sheet'!Y79</f>
        <v>285347529.73629874</v>
      </c>
      <c r="AA96" s="2">
        <f t="shared" si="8"/>
        <v>84.770269621657405</v>
      </c>
    </row>
    <row r="97" spans="1:27" x14ac:dyDescent="0.25">
      <c r="A97" s="2">
        <v>2032</v>
      </c>
      <c r="B97" s="2">
        <f>B9/'Output-Calculation-sheet'!B8*'Output-Calculation-sheet'!B80</f>
        <v>30144627019.309219</v>
      </c>
      <c r="C97" s="2">
        <f>C9/'Output-Calculation-sheet'!C8*'Output-Calculation-sheet'!C80</f>
        <v>12490364283.598597</v>
      </c>
      <c r="D97" s="2">
        <f>D9/'Output-Calculation-sheet'!D8*'Output-Calculation-sheet'!D80</f>
        <v>9872622879.2216339</v>
      </c>
      <c r="E97" s="2">
        <f>E9/'Output-Calculation-sheet'!E8*'Output-Calculation-sheet'!E80</f>
        <v>11912834703.676975</v>
      </c>
      <c r="F97" s="2">
        <f>F9/'Output-Calculation-sheet'!F8*'Output-Calculation-sheet'!F80</f>
        <v>7058690943.2086496</v>
      </c>
      <c r="G97" s="2">
        <f>G9/'Output-Calculation-sheet'!G8*'Output-Calculation-sheet'!G80</f>
        <v>3533458843.2070189</v>
      </c>
      <c r="H97" s="2">
        <f>H9/'Output-Calculation-sheet'!H8*'Output-Calculation-sheet'!H80</f>
        <v>4497519687.8413181</v>
      </c>
      <c r="I97" s="2">
        <f>I9/'Output-Calculation-sheet'!I8*'Output-Calculation-sheet'!I80</f>
        <v>4293064012.492197</v>
      </c>
      <c r="J97" s="2">
        <f>J9/'Output-Calculation-sheet'!J8*'Output-Calculation-sheet'!J80</f>
        <v>2449685884.021071</v>
      </c>
      <c r="K97" s="2">
        <f>K9/'Output-Calculation-sheet'!K8*'Output-Calculation-sheet'!K80</f>
        <v>4126539796.3622909</v>
      </c>
      <c r="L97" s="2">
        <f>L9/'Output-Calculation-sheet'!L8*'Output-Calculation-sheet'!L80</f>
        <v>2985692194.2031617</v>
      </c>
      <c r="M97" s="2">
        <f>M9/'Output-Calculation-sheet'!M8*'Output-Calculation-sheet'!M80</f>
        <v>3009071863.499476</v>
      </c>
      <c r="N97" s="2">
        <f>N9/'Output-Calculation-sheet'!N8*'Output-Calculation-sheet'!N80</f>
        <v>2150809365.7854838</v>
      </c>
      <c r="O97" s="2">
        <f>O9/'Output-Calculation-sheet'!O8*'Output-Calculation-sheet'!O80</f>
        <v>1696857252.5871029</v>
      </c>
      <c r="P97" s="2">
        <f>P9/'Output-Calculation-sheet'!P8*'Output-Calculation-sheet'!P80</f>
        <v>3546034282.1681519</v>
      </c>
      <c r="Q97" s="2">
        <f>Q9/'Output-Calculation-sheet'!Q8*'Output-Calculation-sheet'!Q80</f>
        <v>1963476621.5687969</v>
      </c>
      <c r="R97" s="2">
        <f>R9/'Output-Calculation-sheet'!R8*'Output-Calculation-sheet'!R80</f>
        <v>2603278027.5345821</v>
      </c>
      <c r="S97" s="2">
        <f>S9/'Output-Calculation-sheet'!S8*'Output-Calculation-sheet'!S80</f>
        <v>1642289959.7868352</v>
      </c>
      <c r="T97" s="2">
        <f>T9/'Output-Calculation-sheet'!T8*'Output-Calculation-sheet'!T80</f>
        <v>1043885088.0921849</v>
      </c>
      <c r="U97" s="2">
        <f>U9/'Output-Calculation-sheet'!U8*'Output-Calculation-sheet'!U80</f>
        <v>973463410.29226089</v>
      </c>
      <c r="V97" s="2">
        <f>V9/'Output-Calculation-sheet'!V8*'Output-Calculation-sheet'!V80</f>
        <v>630424173.01609004</v>
      </c>
      <c r="W97" s="2">
        <f>W9/'Output-Calculation-sheet'!W8*'Output-Calculation-sheet'!W80</f>
        <v>737459032.73110986</v>
      </c>
      <c r="X97" s="2">
        <f>X9/'Output-Calculation-sheet'!X8*'Output-Calculation-sheet'!X80</f>
        <v>343390719.36732441</v>
      </c>
      <c r="Y97" s="2">
        <f>Y9/'Output-Calculation-sheet'!Y8*'Output-Calculation-sheet'!Y80</f>
        <v>379462567.92912412</v>
      </c>
      <c r="AA97" s="2">
        <f t="shared" si="8"/>
        <v>114.08500261150064</v>
      </c>
    </row>
    <row r="98" spans="1:27" x14ac:dyDescent="0.25">
      <c r="A98" s="2">
        <v>2033</v>
      </c>
      <c r="B98" s="2">
        <f>B10/'Output-Calculation-sheet'!B9*'Output-Calculation-sheet'!B81</f>
        <v>36208089958.746185</v>
      </c>
      <c r="C98" s="2">
        <f>C10/'Output-Calculation-sheet'!C9*'Output-Calculation-sheet'!C81</f>
        <v>15018295038.650383</v>
      </c>
      <c r="D98" s="2">
        <f>D10/'Output-Calculation-sheet'!D9*'Output-Calculation-sheet'!D81</f>
        <v>11780842734.947548</v>
      </c>
      <c r="E98" s="2">
        <f>E10/'Output-Calculation-sheet'!E9*'Output-Calculation-sheet'!E81</f>
        <v>14188691156.822409</v>
      </c>
      <c r="F98" s="2">
        <f>F10/'Output-Calculation-sheet'!F9*'Output-Calculation-sheet'!F81</f>
        <v>8436927744.9938564</v>
      </c>
      <c r="G98" s="2">
        <f>G10/'Output-Calculation-sheet'!G9*'Output-Calculation-sheet'!G81</f>
        <v>4158789673.9312549</v>
      </c>
      <c r="H98" s="2">
        <f>H10/'Output-Calculation-sheet'!H9*'Output-Calculation-sheet'!H81</f>
        <v>5391949956.9109936</v>
      </c>
      <c r="I98" s="2">
        <f>I10/'Output-Calculation-sheet'!I9*'Output-Calculation-sheet'!I81</f>
        <v>5134376736.8408594</v>
      </c>
      <c r="J98" s="2">
        <f>J10/'Output-Calculation-sheet'!J9*'Output-Calculation-sheet'!J81</f>
        <v>2962647536.9761829</v>
      </c>
      <c r="K98" s="2">
        <f>K10/'Output-Calculation-sheet'!K9*'Output-Calculation-sheet'!K81</f>
        <v>4933592577.5891953</v>
      </c>
      <c r="L98" s="2">
        <f>L10/'Output-Calculation-sheet'!L9*'Output-Calculation-sheet'!L81</f>
        <v>3590225156.8991847</v>
      </c>
      <c r="M98" s="2">
        <f>M10/'Output-Calculation-sheet'!M9*'Output-Calculation-sheet'!M81</f>
        <v>3608144645.1681385</v>
      </c>
      <c r="N98" s="2">
        <f>N10/'Output-Calculation-sheet'!N9*'Output-Calculation-sheet'!N81</f>
        <v>2590979553.1241426</v>
      </c>
      <c r="O98" s="2">
        <f>O10/'Output-Calculation-sheet'!O9*'Output-Calculation-sheet'!O81</f>
        <v>2051373865.2914107</v>
      </c>
      <c r="P98" s="2">
        <f>P10/'Output-Calculation-sheet'!P9*'Output-Calculation-sheet'!P81</f>
        <v>4213518341.2905526</v>
      </c>
      <c r="Q98" s="2">
        <f>Q10/'Output-Calculation-sheet'!Q9*'Output-Calculation-sheet'!Q81</f>
        <v>2372242900.5869751</v>
      </c>
      <c r="R98" s="2">
        <f>R10/'Output-Calculation-sheet'!R9*'Output-Calculation-sheet'!R81</f>
        <v>3124910890.8706036</v>
      </c>
      <c r="S98" s="2">
        <f>S10/'Output-Calculation-sheet'!S9*'Output-Calculation-sheet'!S81</f>
        <v>1975512822.1995747</v>
      </c>
      <c r="T98" s="2">
        <f>T10/'Output-Calculation-sheet'!T9*'Output-Calculation-sheet'!T81</f>
        <v>1243616437.0003636</v>
      </c>
      <c r="U98" s="2">
        <f>U10/'Output-Calculation-sheet'!U9*'Output-Calculation-sheet'!U81</f>
        <v>1165205375.1079516</v>
      </c>
      <c r="V98" s="2">
        <f>V10/'Output-Calculation-sheet'!V9*'Output-Calculation-sheet'!V81</f>
        <v>758909606.25084245</v>
      </c>
      <c r="W98" s="2">
        <f>W10/'Output-Calculation-sheet'!W9*'Output-Calculation-sheet'!W81</f>
        <v>869064037.37753272</v>
      </c>
      <c r="X98" s="2">
        <f>X10/'Output-Calculation-sheet'!X9*'Output-Calculation-sheet'!X81</f>
        <v>411596380.44921899</v>
      </c>
      <c r="Y98" s="2">
        <f>Y10/'Output-Calculation-sheet'!Y9*'Output-Calculation-sheet'!Y81</f>
        <v>449292643.24266607</v>
      </c>
      <c r="AA98" s="2">
        <f t="shared" si="8"/>
        <v>136.63879577126804</v>
      </c>
    </row>
    <row r="99" spans="1:27" x14ac:dyDescent="0.25">
      <c r="A99" s="2">
        <v>2034</v>
      </c>
      <c r="B99" s="2">
        <f>B11/'Output-Calculation-sheet'!B10*'Output-Calculation-sheet'!B82</f>
        <v>39593362485.728531</v>
      </c>
      <c r="C99" s="2">
        <f>C11/'Output-Calculation-sheet'!C10*'Output-Calculation-sheet'!C82</f>
        <v>16441900418.41555</v>
      </c>
      <c r="D99" s="2">
        <f>D11/'Output-Calculation-sheet'!D10*'Output-Calculation-sheet'!D82</f>
        <v>12810672837.089836</v>
      </c>
      <c r="E99" s="2">
        <f>E11/'Output-Calculation-sheet'!E10*'Output-Calculation-sheet'!E82</f>
        <v>15392960615.519133</v>
      </c>
      <c r="F99" s="2">
        <f>F11/'Output-Calculation-sheet'!F10*'Output-Calculation-sheet'!F82</f>
        <v>9183334096.3654461</v>
      </c>
      <c r="G99" s="2">
        <f>G11/'Output-Calculation-sheet'!G10*'Output-Calculation-sheet'!G82</f>
        <v>4460096703.0040016</v>
      </c>
      <c r="H99" s="2">
        <f>H11/'Output-Calculation-sheet'!H10*'Output-Calculation-sheet'!H82</f>
        <v>5885823638.746026</v>
      </c>
      <c r="I99" s="2">
        <f>I11/'Output-Calculation-sheet'!I10*'Output-Calculation-sheet'!I82</f>
        <v>5592589127.3031893</v>
      </c>
      <c r="J99" s="2">
        <f>J11/'Output-Calculation-sheet'!J10*'Output-Calculation-sheet'!J82</f>
        <v>3264074936.3161354</v>
      </c>
      <c r="K99" s="2">
        <f>K11/'Output-Calculation-sheet'!K10*'Output-Calculation-sheet'!K82</f>
        <v>5371719133.6384706</v>
      </c>
      <c r="L99" s="2">
        <f>L11/'Output-Calculation-sheet'!L10*'Output-Calculation-sheet'!L82</f>
        <v>3930690716.2065167</v>
      </c>
      <c r="M99" s="2">
        <f>M11/'Output-Calculation-sheet'!M10*'Output-Calculation-sheet'!M82</f>
        <v>3940003584.8249102</v>
      </c>
      <c r="N99" s="2">
        <f>N11/'Output-Calculation-sheet'!N10*'Output-Calculation-sheet'!N82</f>
        <v>2843355764.1410646</v>
      </c>
      <c r="O99" s="2">
        <f>O11/'Output-Calculation-sheet'!O10*'Output-Calculation-sheet'!O82</f>
        <v>2258528486.5582547</v>
      </c>
      <c r="P99" s="2">
        <f>P11/'Output-Calculation-sheet'!P10*'Output-Calculation-sheet'!P82</f>
        <v>4559117097.8856964</v>
      </c>
      <c r="Q99" s="2">
        <f>Q11/'Output-Calculation-sheet'!Q10*'Output-Calculation-sheet'!Q82</f>
        <v>2610151472.7558188</v>
      </c>
      <c r="R99" s="2">
        <f>R11/'Output-Calculation-sheet'!R10*'Output-Calculation-sheet'!R82</f>
        <v>3415262896.0756035</v>
      </c>
      <c r="S99" s="2">
        <f>S11/'Output-Calculation-sheet'!S10*'Output-Calculation-sheet'!S82</f>
        <v>2163346367.8664393</v>
      </c>
      <c r="T99" s="2">
        <f>T11/'Output-Calculation-sheet'!T10*'Output-Calculation-sheet'!T82</f>
        <v>1349460967.8244889</v>
      </c>
      <c r="U99" s="2">
        <f>U11/'Output-Calculation-sheet'!U10*'Output-Calculation-sheet'!U82</f>
        <v>1269319514.7876379</v>
      </c>
      <c r="V99" s="2">
        <f>V11/'Output-Calculation-sheet'!V10*'Output-Calculation-sheet'!V82</f>
        <v>831309050.16509831</v>
      </c>
      <c r="W99" s="2">
        <f>W11/'Output-Calculation-sheet'!W10*'Output-Calculation-sheet'!W82</f>
        <v>932827277.77671826</v>
      </c>
      <c r="X99" s="2">
        <f>X11/'Output-Calculation-sheet'!X10*'Output-Calculation-sheet'!X82</f>
        <v>449249756.25667894</v>
      </c>
      <c r="Y99" s="2">
        <f>Y11/'Output-Calculation-sheet'!Y10*'Output-Calculation-sheet'!Y82</f>
        <v>484682611.79937792</v>
      </c>
      <c r="AA99" s="2">
        <f t="shared" si="8"/>
        <v>149.03383955705064</v>
      </c>
    </row>
    <row r="100" spans="1:27" x14ac:dyDescent="0.25">
      <c r="A100" s="2">
        <v>2035</v>
      </c>
      <c r="B100" s="2">
        <f>B12/'Output-Calculation-sheet'!B11*'Output-Calculation-sheet'!B83</f>
        <v>39898694506.299706</v>
      </c>
      <c r="C100" s="2">
        <f>C12/'Output-Calculation-sheet'!C11*'Output-Calculation-sheet'!C83</f>
        <v>16590594852.114</v>
      </c>
      <c r="D100" s="2">
        <f>D12/'Output-Calculation-sheet'!D11*'Output-Calculation-sheet'!D83</f>
        <v>12849682509.056597</v>
      </c>
      <c r="E100" s="2">
        <f>E12/'Output-Calculation-sheet'!E11*'Output-Calculation-sheet'!E83</f>
        <v>15397019163.182854</v>
      </c>
      <c r="F100" s="2">
        <f>F12/'Output-Calculation-sheet'!F11*'Output-Calculation-sheet'!F83</f>
        <v>9214343156.0494804</v>
      </c>
      <c r="G100" s="2">
        <f>G12/'Output-Calculation-sheet'!G11*'Output-Calculation-sheet'!G83</f>
        <v>4411929561.9144516</v>
      </c>
      <c r="H100" s="2">
        <f>H12/'Output-Calculation-sheet'!H11*'Output-Calculation-sheet'!H83</f>
        <v>5921751138.22857</v>
      </c>
      <c r="I100" s="2">
        <f>I12/'Output-Calculation-sheet'!I11*'Output-Calculation-sheet'!I83</f>
        <v>5615970940.7125368</v>
      </c>
      <c r="J100" s="2">
        <f>J12/'Output-Calculation-sheet'!J11*'Output-Calculation-sheet'!J83</f>
        <v>3316030093.2986255</v>
      </c>
      <c r="K100" s="2">
        <f>K12/'Output-Calculation-sheet'!K11*'Output-Calculation-sheet'!K83</f>
        <v>5391742363.8463144</v>
      </c>
      <c r="L100" s="2">
        <f>L12/'Output-Calculation-sheet'!L11*'Output-Calculation-sheet'!L83</f>
        <v>3966226713.3205223</v>
      </c>
      <c r="M100" s="2">
        <f>M12/'Output-Calculation-sheet'!M11*'Output-Calculation-sheet'!M83</f>
        <v>3965999143.4554462</v>
      </c>
      <c r="N100" s="2">
        <f>N12/'Output-Calculation-sheet'!N11*'Output-Calculation-sheet'!N83</f>
        <v>2877219954.5884986</v>
      </c>
      <c r="O100" s="2">
        <f>O12/'Output-Calculation-sheet'!O11*'Output-Calculation-sheet'!O83</f>
        <v>2292262548.115026</v>
      </c>
      <c r="P100" s="2">
        <f>P12/'Output-Calculation-sheet'!P11*'Output-Calculation-sheet'!P83</f>
        <v>4547368287.8449774</v>
      </c>
      <c r="Q100" s="2">
        <f>Q12/'Output-Calculation-sheet'!Q11*'Output-Calculation-sheet'!Q83</f>
        <v>2647404870.4776549</v>
      </c>
      <c r="R100" s="2">
        <f>R12/'Output-Calculation-sheet'!R11*'Output-Calculation-sheet'!R83</f>
        <v>3440134464.5574517</v>
      </c>
      <c r="S100" s="2">
        <f>S12/'Output-Calculation-sheet'!S11*'Output-Calculation-sheet'!S83</f>
        <v>2183172983.4728255</v>
      </c>
      <c r="T100" s="2">
        <f>T12/'Output-Calculation-sheet'!T11*'Output-Calculation-sheet'!T83</f>
        <v>1350103110.0382073</v>
      </c>
      <c r="U100" s="2">
        <f>U12/'Output-Calculation-sheet'!U11*'Output-Calculation-sheet'!U83</f>
        <v>1273971504.7063942</v>
      </c>
      <c r="V100" s="2">
        <f>V12/'Output-Calculation-sheet'!V11*'Output-Calculation-sheet'!V83</f>
        <v>838845686.11960351</v>
      </c>
      <c r="W100" s="2">
        <f>W12/'Output-Calculation-sheet'!W11*'Output-Calculation-sheet'!W83</f>
        <v>923165646.67602265</v>
      </c>
      <c r="X100" s="2">
        <f>X12/'Output-Calculation-sheet'!X11*'Output-Calculation-sheet'!X83</f>
        <v>451983522.88402033</v>
      </c>
      <c r="Y100" s="2">
        <f>Y12/'Output-Calculation-sheet'!Y11*'Output-Calculation-sheet'!Y83</f>
        <v>482214756.16842049</v>
      </c>
      <c r="AA100" s="2">
        <f t="shared" si="8"/>
        <v>149.84783147712827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1620213081.8086596</v>
      </c>
      <c r="C107" s="2">
        <f>C8/'Output-Calculation-sheet'!C7*'Output-Calculation-sheet'!C88</f>
        <v>26683161513.827988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8325285736.0066423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5743753144.248086</v>
      </c>
      <c r="N107" s="2">
        <f>N8/'Output-Calculation-sheet'!N7*'Output-Calculation-sheet'!N88</f>
        <v>1922539579.8197401</v>
      </c>
      <c r="O107" s="2">
        <f>O8/'Output-Calculation-sheet'!O7*'Output-Calculation-sheet'!O88</f>
        <v>5184562643.1401224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576438099.69265914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622050303.86751223</v>
      </c>
      <c r="Y107" s="2">
        <f>Y8/'Output-Calculation-sheet'!Y7*'Output-Calculation-sheet'!Y88</f>
        <v>0</v>
      </c>
      <c r="AA107" s="2">
        <f t="shared" si="9"/>
        <v>50678.004102411411</v>
      </c>
    </row>
    <row r="108" spans="1:27" x14ac:dyDescent="0.25">
      <c r="A108" s="2">
        <v>2032</v>
      </c>
      <c r="B108" s="2">
        <f>B9/'Output-Calculation-sheet'!B8*'Output-Calculation-sheet'!B89</f>
        <v>7116694767.3646421</v>
      </c>
      <c r="C108" s="2">
        <f>C9/'Output-Calculation-sheet'!C8*'Output-Calculation-sheet'!C89</f>
        <v>35675439723.169823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11130490766.9245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7679070798.526144</v>
      </c>
      <c r="N108" s="2">
        <f>N9/'Output-Calculation-sheet'!N8*'Output-Calculation-sheet'!N89</f>
        <v>3602932478.3256931</v>
      </c>
      <c r="O108" s="2">
        <f>O9/'Output-Calculation-sheet'!O8*'Output-Calculation-sheet'!O89</f>
        <v>6931768282.5863581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1088692807.7444165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831666320.98066688</v>
      </c>
      <c r="Y108" s="2">
        <f>Y9/'Output-Calculation-sheet'!Y8*'Output-Calculation-sheet'!Y89</f>
        <v>0</v>
      </c>
      <c r="AA108" s="2">
        <f t="shared" si="9"/>
        <v>74056.755945622237</v>
      </c>
    </row>
    <row r="109" spans="1:27" x14ac:dyDescent="0.25">
      <c r="A109" s="2">
        <v>2033</v>
      </c>
      <c r="B109" s="2">
        <f>B10/'Output-Calculation-sheet'!B9*'Output-Calculation-sheet'!B90</f>
        <v>17964396532.750664</v>
      </c>
      <c r="C109" s="2">
        <f>C10/'Output-Calculation-sheet'!C9*'Output-Calculation-sheet'!C90</f>
        <v>42456620260.888695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13246168268.668051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9138705003.268322</v>
      </c>
      <c r="N109" s="2">
        <f>N10/'Output-Calculation-sheet'!N9*'Output-Calculation-sheet'!N90</f>
        <v>5383992130.1184597</v>
      </c>
      <c r="O109" s="2">
        <f>O10/'Output-Calculation-sheet'!O9*'Output-Calculation-sheet'!O90</f>
        <v>7865542130.3764095</v>
      </c>
      <c r="P109" s="2">
        <f>P10/'Output-Calculation-sheet'!P9*'Output-Calculation-sheet'!P90</f>
        <v>0</v>
      </c>
      <c r="Q109" s="2">
        <f>Q10/'Output-Calculation-sheet'!Q9*'Output-Calculation-sheet'!Q90</f>
        <v>175246190.73787129</v>
      </c>
      <c r="R109" s="2">
        <f>R10/'Output-Calculation-sheet'!R9*'Output-Calculation-sheet'!R90</f>
        <v>0</v>
      </c>
      <c r="S109" s="2">
        <f>S10/'Output-Calculation-sheet'!S9*'Output-Calculation-sheet'!S90</f>
        <v>2170533548.5491362</v>
      </c>
      <c r="T109" s="2">
        <f>T10/'Output-Calculation-sheet'!T9*'Output-Calculation-sheet'!T90</f>
        <v>-3.6073408268923432E-7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989749401.39197469</v>
      </c>
      <c r="Y109" s="2">
        <f>Y10/'Output-Calculation-sheet'!Y9*'Output-Calculation-sheet'!Y90</f>
        <v>0</v>
      </c>
      <c r="AA109" s="2">
        <f t="shared" si="9"/>
        <v>99390.953466749561</v>
      </c>
    </row>
    <row r="110" spans="1:27" x14ac:dyDescent="0.25">
      <c r="A110" s="2">
        <v>2034</v>
      </c>
      <c r="B110" s="2">
        <f>B11/'Output-Calculation-sheet'!B10*'Output-Calculation-sheet'!B91</f>
        <v>38469067879.384308</v>
      </c>
      <c r="C110" s="2">
        <f>C11/'Output-Calculation-sheet'!C10*'Output-Calculation-sheet'!C91</f>
        <v>42613284000.894623</v>
      </c>
      <c r="D110" s="2">
        <f>D11/'Output-Calculation-sheet'!D10*'Output-Calculation-sheet'!D91</f>
        <v>0</v>
      </c>
      <c r="E110" s="2">
        <f>E11/'Output-Calculation-sheet'!E10*'Output-Calculation-sheet'!E91</f>
        <v>805079933.33343327</v>
      </c>
      <c r="F110" s="2">
        <f>F11/'Output-Calculation-sheet'!F10*'Output-Calculation-sheet'!F91</f>
        <v>0</v>
      </c>
      <c r="G110" s="2">
        <f>G11/'Output-Calculation-sheet'!G10*'Output-Calculation-sheet'!G91</f>
        <v>-1.814835256090527E-6</v>
      </c>
      <c r="H110" s="2">
        <f>H11/'Output-Calculation-sheet'!H10*'Output-Calculation-sheet'!H91</f>
        <v>14358553161.739794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653679110.72874773</v>
      </c>
      <c r="M110" s="2">
        <f>M11/'Output-Calculation-sheet'!M10*'Output-Calculation-sheet'!M91</f>
        <v>9906152258.2572346</v>
      </c>
      <c r="N110" s="2">
        <f>N11/'Output-Calculation-sheet'!N10*'Output-Calculation-sheet'!N91</f>
        <v>6852480091.9742613</v>
      </c>
      <c r="O110" s="2">
        <f>O11/'Output-Calculation-sheet'!O10*'Output-Calculation-sheet'!O91</f>
        <v>7856019207.080431</v>
      </c>
      <c r="P110" s="2">
        <f>P11/'Output-Calculation-sheet'!P10*'Output-Calculation-sheet'!P91</f>
        <v>7.3135189447040534E-7</v>
      </c>
      <c r="Q110" s="2">
        <f>Q11/'Output-Calculation-sheet'!Q10*'Output-Calculation-sheet'!Q91</f>
        <v>1743908002.2054045</v>
      </c>
      <c r="R110" s="2">
        <f>R11/'Output-Calculation-sheet'!R10*'Output-Calculation-sheet'!R91</f>
        <v>0</v>
      </c>
      <c r="S110" s="2">
        <f>S11/'Output-Calculation-sheet'!S10*'Output-Calculation-sheet'!S91</f>
        <v>3369120203.4823446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977878199.93084884</v>
      </c>
      <c r="Y110" s="2">
        <f>Y11/'Output-Calculation-sheet'!Y10*'Output-Calculation-sheet'!Y91</f>
        <v>42958794.750110663</v>
      </c>
      <c r="AA110" s="2">
        <f t="shared" si="9"/>
        <v>127648.18084376153</v>
      </c>
    </row>
    <row r="111" spans="1:27" x14ac:dyDescent="0.25">
      <c r="A111" s="2">
        <v>2035</v>
      </c>
      <c r="B111" s="2">
        <f>B12/'Output-Calculation-sheet'!B11*'Output-Calculation-sheet'!B92</f>
        <v>47985892498.484077</v>
      </c>
      <c r="C111" s="2">
        <f>C12/'Output-Calculation-sheet'!C11*'Output-Calculation-sheet'!C92</f>
        <v>40318217596.894104</v>
      </c>
      <c r="D111" s="2">
        <f>D12/'Output-Calculation-sheet'!D11*'Output-Calculation-sheet'!D92</f>
        <v>0</v>
      </c>
      <c r="E111" s="2">
        <f>E12/'Output-Calculation-sheet'!E11*'Output-Calculation-sheet'!E92</f>
        <v>5453618612.111517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13685627847.583103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1755595098.9733253</v>
      </c>
      <c r="M111" s="2">
        <f>M12/'Output-Calculation-sheet'!M11*'Output-Calculation-sheet'!M92</f>
        <v>9474355022.7172356</v>
      </c>
      <c r="N111" s="2">
        <f>N12/'Output-Calculation-sheet'!N11*'Output-Calculation-sheet'!N92</f>
        <v>6793126407.5388575</v>
      </c>
      <c r="O111" s="2">
        <f>O12/'Output-Calculation-sheet'!O11*'Output-Calculation-sheet'!O92</f>
        <v>7240312145.66434</v>
      </c>
      <c r="P111" s="2">
        <f>P12/'Output-Calculation-sheet'!P11*'Output-Calculation-sheet'!P92</f>
        <v>372601473.79242259</v>
      </c>
      <c r="Q111" s="2">
        <f>Q12/'Output-Calculation-sheet'!Q11*'Output-Calculation-sheet'!Q92</f>
        <v>2918470322.5607276</v>
      </c>
      <c r="R111" s="2">
        <f>R12/'Output-Calculation-sheet'!R11*'Output-Calculation-sheet'!R92</f>
        <v>0</v>
      </c>
      <c r="S111" s="2">
        <f>S12/'Output-Calculation-sheet'!S11*'Output-Calculation-sheet'!S92</f>
        <v>3653733555.0018115</v>
      </c>
      <c r="T111" s="2">
        <f>T12/'Output-Calculation-sheet'!T11*'Output-Calculation-sheet'!T92</f>
        <v>0</v>
      </c>
      <c r="U111" s="2">
        <f>U12/'Output-Calculation-sheet'!U11*'Output-Calculation-sheet'!U92</f>
        <v>129776036.89240938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930906184.051952</v>
      </c>
      <c r="Y111" s="2">
        <f>Y12/'Output-Calculation-sheet'!Y11*'Output-Calculation-sheet'!Y92</f>
        <v>220244187.76599389</v>
      </c>
      <c r="AA111" s="2">
        <f t="shared" si="9"/>
        <v>140932.47699003184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55014769583.503525</v>
      </c>
      <c r="C118" s="2">
        <f>C8/'Output-Calculation-sheet'!C7*'Output-Calculation-sheet'!C97</f>
        <v>0</v>
      </c>
      <c r="D118" s="2">
        <f>D8/'Output-Calculation-sheet'!D7*'Output-Calculation-sheet'!D97</f>
        <v>23787345319.967926</v>
      </c>
      <c r="E118" s="2">
        <f>E8/'Output-Calculation-sheet'!E7*'Output-Calculation-sheet'!E97</f>
        <v>18872844647.74744</v>
      </c>
      <c r="F118" s="2">
        <f>F8/'Output-Calculation-sheet'!F7*'Output-Calculation-sheet'!F97</f>
        <v>12149127345.229013</v>
      </c>
      <c r="G118" s="2">
        <f>G8/'Output-Calculation-sheet'!G7*'Output-Calculation-sheet'!G97</f>
        <v>8536310296.5583925</v>
      </c>
      <c r="H118" s="2">
        <f>H8/'Output-Calculation-sheet'!H7*'Output-Calculation-sheet'!H97</f>
        <v>0</v>
      </c>
      <c r="I118" s="2">
        <f>I8/'Output-Calculation-sheet'!I7*'Output-Calculation-sheet'!I97</f>
        <v>7777250634.6195097</v>
      </c>
      <c r="J118" s="2">
        <f>J8/'Output-Calculation-sheet'!J7*'Output-Calculation-sheet'!J97</f>
        <v>7569840103.3521194</v>
      </c>
      <c r="K118" s="2">
        <f>K8/'Output-Calculation-sheet'!K7*'Output-Calculation-sheet'!K97</f>
        <v>7497268137.6254025</v>
      </c>
      <c r="L118" s="2">
        <f>L8/'Output-Calculation-sheet'!L7*'Output-Calculation-sheet'!L97</f>
        <v>6014405985.2673931</v>
      </c>
      <c r="M118" s="2">
        <f>M8/'Output-Calculation-sheet'!M7*'Output-Calculation-sheet'!M97</f>
        <v>0</v>
      </c>
      <c r="N118" s="2">
        <f>N8/'Output-Calculation-sheet'!N7*'Output-Calculation-sheet'!N97</f>
        <v>3715917208.4632869</v>
      </c>
      <c r="O118" s="2">
        <f>O8/'Output-Calculation-sheet'!O7*'Output-Calculation-sheet'!O97</f>
        <v>0</v>
      </c>
      <c r="P118" s="2">
        <f>P8/'Output-Calculation-sheet'!P7*'Output-Calculation-sheet'!P97</f>
        <v>5132985418.8488798</v>
      </c>
      <c r="Q118" s="2">
        <f>Q8/'Output-Calculation-sheet'!Q7*'Output-Calculation-sheet'!Q97</f>
        <v>5050027121.5515776</v>
      </c>
      <c r="R118" s="2">
        <f>R8/'Output-Calculation-sheet'!R7*'Output-Calculation-sheet'!R97</f>
        <v>4858358343.0691805</v>
      </c>
      <c r="S118" s="2">
        <f>S8/'Output-Calculation-sheet'!S7*'Output-Calculation-sheet'!S97</f>
        <v>2652676614.3042488</v>
      </c>
      <c r="T118" s="2">
        <f>T8/'Output-Calculation-sheet'!T7*'Output-Calculation-sheet'!T97</f>
        <v>1785891100.1944332</v>
      </c>
      <c r="U118" s="2">
        <f>U8/'Output-Calculation-sheet'!U7*'Output-Calculation-sheet'!U97</f>
        <v>1555449821.5203106</v>
      </c>
      <c r="V118" s="2">
        <f>V8/'Output-Calculation-sheet'!V7*'Output-Calculation-sheet'!V97</f>
        <v>1197727942.2278152</v>
      </c>
      <c r="W118" s="2">
        <f>W8/'Output-Calculation-sheet'!W7*'Output-Calculation-sheet'!W97</f>
        <v>1036966547.3626206</v>
      </c>
      <c r="X118" s="2">
        <f>X8/'Output-Calculation-sheet'!X7*'Output-Calculation-sheet'!X97</f>
        <v>0</v>
      </c>
      <c r="Y118" s="2">
        <f>Y8/'Output-Calculation-sheet'!Y7*'Output-Calculation-sheet'!Y97</f>
        <v>605063995.24973857</v>
      </c>
      <c r="AA118" s="2">
        <f t="shared" si="10"/>
        <v>174810.22616666282</v>
      </c>
    </row>
    <row r="119" spans="1:27" x14ac:dyDescent="0.25">
      <c r="A119" s="2">
        <v>2032</v>
      </c>
      <c r="B119" s="2">
        <f>B9/'Output-Calculation-sheet'!B8*'Output-Calculation-sheet'!B98</f>
        <v>68600916599.260582</v>
      </c>
      <c r="C119" s="2">
        <f>C9/'Output-Calculation-sheet'!C8*'Output-Calculation-sheet'!C98</f>
        <v>0</v>
      </c>
      <c r="D119" s="2">
        <f>D9/'Output-Calculation-sheet'!D8*'Output-Calculation-sheet'!D98</f>
        <v>31802271665.716805</v>
      </c>
      <c r="E119" s="2">
        <f>E9/'Output-Calculation-sheet'!E8*'Output-Calculation-sheet'!E98</f>
        <v>25231869450.253853</v>
      </c>
      <c r="F119" s="2">
        <f>F9/'Output-Calculation-sheet'!F8*'Output-Calculation-sheet'!F98</f>
        <v>16242664830.81427</v>
      </c>
      <c r="G119" s="2">
        <f>G9/'Output-Calculation-sheet'!G8*'Output-Calculation-sheet'!G98</f>
        <v>11412542115.450201</v>
      </c>
      <c r="H119" s="2">
        <f>H9/'Output-Calculation-sheet'!H8*'Output-Calculation-sheet'!H98</f>
        <v>0</v>
      </c>
      <c r="I119" s="2">
        <f>I9/'Output-Calculation-sheet'!I8*'Output-Calculation-sheet'!I98</f>
        <v>10397725011.89209</v>
      </c>
      <c r="J119" s="2">
        <f>J9/'Output-Calculation-sheet'!J8*'Output-Calculation-sheet'!J98</f>
        <v>10120425445.146877</v>
      </c>
      <c r="K119" s="2">
        <f>K9/'Output-Calculation-sheet'!K8*'Output-Calculation-sheet'!K98</f>
        <v>10023402620.939047</v>
      </c>
      <c r="L119" s="2">
        <f>L9/'Output-Calculation-sheet'!L8*'Output-Calculation-sheet'!L98</f>
        <v>8040905795.0798206</v>
      </c>
      <c r="M119" s="2">
        <f>M9/'Output-Calculation-sheet'!M8*'Output-Calculation-sheet'!M98</f>
        <v>0</v>
      </c>
      <c r="N119" s="2">
        <f>N9/'Output-Calculation-sheet'!N8*'Output-Calculation-sheet'!N98</f>
        <v>3934721898.8180246</v>
      </c>
      <c r="O119" s="2">
        <f>O9/'Output-Calculation-sheet'!O8*'Output-Calculation-sheet'!O98</f>
        <v>7.0610803557162996E-7</v>
      </c>
      <c r="P119" s="2">
        <f>P9/'Output-Calculation-sheet'!P8*'Output-Calculation-sheet'!P98</f>
        <v>6862452121.6403952</v>
      </c>
      <c r="Q119" s="2">
        <f>Q9/'Output-Calculation-sheet'!Q8*'Output-Calculation-sheet'!Q98</f>
        <v>6751587110.7345476</v>
      </c>
      <c r="R119" s="2">
        <f>R9/'Output-Calculation-sheet'!R8*'Output-Calculation-sheet'!R98</f>
        <v>6495337830.6771355</v>
      </c>
      <c r="S119" s="2">
        <f>S9/'Output-Calculation-sheet'!S8*'Output-Calculation-sheet'!S98</f>
        <v>3228210967.295959</v>
      </c>
      <c r="T119" s="2">
        <f>T9/'Output-Calculation-sheet'!T8*'Output-Calculation-sheet'!T98</f>
        <v>2387630240.4792237</v>
      </c>
      <c r="U119" s="2">
        <f>U9/'Output-Calculation-sheet'!U8*'Output-Calculation-sheet'!U98</f>
        <v>2079544766.1015661</v>
      </c>
      <c r="V119" s="2">
        <f>V9/'Output-Calculation-sheet'!V8*'Output-Calculation-sheet'!V98</f>
        <v>1601291061.0558321</v>
      </c>
      <c r="W119" s="2">
        <f>W9/'Output-Calculation-sheet'!W8*'Output-Calculation-sheet'!W98</f>
        <v>1386362959.5526669</v>
      </c>
      <c r="X119" s="2">
        <f>X9/'Output-Calculation-sheet'!X8*'Output-Calculation-sheet'!X98</f>
        <v>0</v>
      </c>
      <c r="Y119" s="2">
        <f>Y9/'Output-Calculation-sheet'!Y8*'Output-Calculation-sheet'!Y98</f>
        <v>808934469.07129753</v>
      </c>
      <c r="AA119" s="2">
        <f t="shared" si="10"/>
        <v>227408.79695998019</v>
      </c>
    </row>
    <row r="120" spans="1:27" x14ac:dyDescent="0.25">
      <c r="A120" s="2">
        <v>2033</v>
      </c>
      <c r="B120" s="2">
        <f>B10/'Output-Calculation-sheet'!B9*'Output-Calculation-sheet'!B99</f>
        <v>72137413115.095993</v>
      </c>
      <c r="C120" s="2">
        <f>C10/'Output-Calculation-sheet'!C9*'Output-Calculation-sheet'!C99</f>
        <v>0</v>
      </c>
      <c r="D120" s="2">
        <f>D10/'Output-Calculation-sheet'!D9*'Output-Calculation-sheet'!D99</f>
        <v>37846095962.770439</v>
      </c>
      <c r="E120" s="2">
        <f>E10/'Output-Calculation-sheet'!E9*'Output-Calculation-sheet'!E99</f>
        <v>30027032733.772495</v>
      </c>
      <c r="F120" s="2">
        <f>F10/'Output-Calculation-sheet'!F9*'Output-Calculation-sheet'!F99</f>
        <v>19329478480.367973</v>
      </c>
      <c r="G120" s="2">
        <f>G10/'Output-Calculation-sheet'!G9*'Output-Calculation-sheet'!G99</f>
        <v>13581422063.525066</v>
      </c>
      <c r="H120" s="2">
        <f>H10/'Output-Calculation-sheet'!H9*'Output-Calculation-sheet'!H99</f>
        <v>0</v>
      </c>
      <c r="I120" s="2">
        <f>I10/'Output-Calculation-sheet'!I9*'Output-Calculation-sheet'!I99</f>
        <v>12373746182.296591</v>
      </c>
      <c r="J120" s="2">
        <f>J10/'Output-Calculation-sheet'!J9*'Output-Calculation-sheet'!J99</f>
        <v>12043747584.748884</v>
      </c>
      <c r="K120" s="2">
        <f>K10/'Output-Calculation-sheet'!K9*'Output-Calculation-sheet'!K99</f>
        <v>11928287440.717987</v>
      </c>
      <c r="L120" s="2">
        <f>L10/'Output-Calculation-sheet'!L9*'Output-Calculation-sheet'!L99</f>
        <v>9569028529.037077</v>
      </c>
      <c r="M120" s="2">
        <f>M10/'Output-Calculation-sheet'!M9*'Output-Calculation-sheet'!M99</f>
        <v>0</v>
      </c>
      <c r="N120" s="2">
        <f>N10/'Output-Calculation-sheet'!N9*'Output-Calculation-sheet'!N99</f>
        <v>3585616863.0372243</v>
      </c>
      <c r="O120" s="2">
        <f>O10/'Output-Calculation-sheet'!O9*'Output-Calculation-sheet'!O99</f>
        <v>0</v>
      </c>
      <c r="P120" s="2">
        <f>P10/'Output-Calculation-sheet'!P9*'Output-Calculation-sheet'!P99</f>
        <v>8166188628.1608009</v>
      </c>
      <c r="Q120" s="2">
        <f>Q10/'Output-Calculation-sheet'!Q9*'Output-Calculation-sheet'!Q99</f>
        <v>7859358349.3574867</v>
      </c>
      <c r="R120" s="2">
        <f>R10/'Output-Calculation-sheet'!R9*'Output-Calculation-sheet'!R99</f>
        <v>7729368362.3200188</v>
      </c>
      <c r="S120" s="2">
        <f>S10/'Output-Calculation-sheet'!S9*'Output-Calculation-sheet'!S99</f>
        <v>2966427114.0763102</v>
      </c>
      <c r="T120" s="2">
        <f>T10/'Output-Calculation-sheet'!T9*'Output-Calculation-sheet'!T99</f>
        <v>2841359663.2782111</v>
      </c>
      <c r="U120" s="2">
        <f>U10/'Output-Calculation-sheet'!U9*'Output-Calculation-sheet'!U99</f>
        <v>2475286812.4250817</v>
      </c>
      <c r="V120" s="2">
        <f>V10/'Output-Calculation-sheet'!V9*'Output-Calculation-sheet'!V99</f>
        <v>1905606286.9462361</v>
      </c>
      <c r="W120" s="2">
        <f>W10/'Output-Calculation-sheet'!W9*'Output-Calculation-sheet'!W99</f>
        <v>1649832720.3339784</v>
      </c>
      <c r="X120" s="2">
        <f>X10/'Output-Calculation-sheet'!X9*'Output-Calculation-sheet'!X99</f>
        <v>0</v>
      </c>
      <c r="Y120" s="2">
        <f>Y10/'Output-Calculation-sheet'!Y9*'Output-Calculation-sheet'!Y99</f>
        <v>962668740.79732633</v>
      </c>
      <c r="AA120" s="2">
        <f t="shared" si="10"/>
        <v>258977.96563306515</v>
      </c>
    </row>
    <row r="121" spans="1:27" x14ac:dyDescent="0.25">
      <c r="A121" s="2">
        <v>2034</v>
      </c>
      <c r="B121" s="2">
        <f>B11/'Output-Calculation-sheet'!B10*'Output-Calculation-sheet'!B100</f>
        <v>59190773509.360535</v>
      </c>
      <c r="C121" s="2">
        <f>C11/'Output-Calculation-sheet'!C10*'Output-Calculation-sheet'!C100</f>
        <v>0</v>
      </c>
      <c r="D121" s="2">
        <f>D11/'Output-Calculation-sheet'!D10*'Output-Calculation-sheet'!D100</f>
        <v>41023443182.060768</v>
      </c>
      <c r="E121" s="2">
        <f>E11/'Output-Calculation-sheet'!E10*'Output-Calculation-sheet'!E100</f>
        <v>31741478345.417801</v>
      </c>
      <c r="F121" s="2">
        <f>F11/'Output-Calculation-sheet'!F10*'Output-Calculation-sheet'!F100</f>
        <v>20952160847.930603</v>
      </c>
      <c r="G121" s="2">
        <f>G11/'Output-Calculation-sheet'!G10*'Output-Calculation-sheet'!G100</f>
        <v>14720841678.208536</v>
      </c>
      <c r="H121" s="2">
        <f>H11/'Output-Calculation-sheet'!H10*'Output-Calculation-sheet'!H100</f>
        <v>1.7722235738832895E-7</v>
      </c>
      <c r="I121" s="2">
        <f>I11/'Output-Calculation-sheet'!I10*'Output-Calculation-sheet'!I100</f>
        <v>13412102487.499624</v>
      </c>
      <c r="J121" s="2">
        <f>J11/'Output-Calculation-sheet'!J10*'Output-Calculation-sheet'!J100</f>
        <v>13054535562.30048</v>
      </c>
      <c r="K121" s="2">
        <f>K11/'Output-Calculation-sheet'!K10*'Output-Calculation-sheet'!K100</f>
        <v>12929725264.1856</v>
      </c>
      <c r="L121" s="2">
        <f>L11/'Output-Calculation-sheet'!L10*'Output-Calculation-sheet'!L100</f>
        <v>9718400049.909235</v>
      </c>
      <c r="M121" s="2">
        <f>M11/'Output-Calculation-sheet'!M10*'Output-Calculation-sheet'!M100</f>
        <v>-1.1509178541450608E-7</v>
      </c>
      <c r="N121" s="2">
        <f>N11/'Output-Calculation-sheet'!N10*'Output-Calculation-sheet'!N100</f>
        <v>2870377224.902051</v>
      </c>
      <c r="O121" s="2">
        <f>O11/'Output-Calculation-sheet'!O10*'Output-Calculation-sheet'!O100</f>
        <v>0</v>
      </c>
      <c r="P121" s="2">
        <f>P11/'Output-Calculation-sheet'!P10*'Output-Calculation-sheet'!P100</f>
        <v>8851411593.5999527</v>
      </c>
      <c r="Q121" s="2">
        <f>Q11/'Output-Calculation-sheet'!Q10*'Output-Calculation-sheet'!Q100</f>
        <v>6964524876.9132166</v>
      </c>
      <c r="R121" s="2">
        <f>R11/'Output-Calculation-sheet'!R10*'Output-Calculation-sheet'!R100</f>
        <v>8377921328.7250834</v>
      </c>
      <c r="S121" s="2">
        <f>S11/'Output-Calculation-sheet'!S10*'Output-Calculation-sheet'!S100</f>
        <v>2199065374.6238174</v>
      </c>
      <c r="T121" s="2">
        <f>T11/'Output-Calculation-sheet'!T10*'Output-Calculation-sheet'!T100</f>
        <v>3079720373.9545493</v>
      </c>
      <c r="U121" s="2">
        <f>U11/'Output-Calculation-sheet'!U10*'Output-Calculation-sheet'!U100</f>
        <v>2683960267.6819468</v>
      </c>
      <c r="V121" s="2">
        <f>V11/'Output-Calculation-sheet'!V10*'Output-Calculation-sheet'!V100</f>
        <v>2065590673.8418348</v>
      </c>
      <c r="W121" s="2">
        <f>W11/'Output-Calculation-sheet'!W10*'Output-Calculation-sheet'!W100</f>
        <v>1788396595.5932677</v>
      </c>
      <c r="X121" s="2">
        <f>X11/'Output-Calculation-sheet'!X10*'Output-Calculation-sheet'!X100</f>
        <v>94988436.081610724</v>
      </c>
      <c r="Y121" s="2">
        <f>Y11/'Output-Calculation-sheet'!Y10*'Output-Calculation-sheet'!Y100</f>
        <v>1000511282.7572287</v>
      </c>
      <c r="AA121" s="2">
        <f t="shared" si="10"/>
        <v>256719.92895554772</v>
      </c>
    </row>
    <row r="122" spans="1:27" x14ac:dyDescent="0.25">
      <c r="A122" s="2">
        <v>2035</v>
      </c>
      <c r="B122" s="2">
        <f>B12/'Output-Calculation-sheet'!B11*'Output-Calculation-sheet'!B101</f>
        <v>46980250122.786697</v>
      </c>
      <c r="C122" s="2">
        <f>C12/'Output-Calculation-sheet'!C11*'Output-Calculation-sheet'!C101</f>
        <v>0</v>
      </c>
      <c r="D122" s="2">
        <f>D12/'Output-Calculation-sheet'!D11*'Output-Calculation-sheet'!D101</f>
        <v>39376627172.799065</v>
      </c>
      <c r="E122" s="2">
        <f>E12/'Output-Calculation-sheet'!E11*'Output-Calculation-sheet'!E101</f>
        <v>26514456609.319866</v>
      </c>
      <c r="F122" s="2">
        <f>F12/'Output-Calculation-sheet'!F11*'Output-Calculation-sheet'!F101</f>
        <v>20525153054.0214</v>
      </c>
      <c r="G122" s="2">
        <f>G12/'Output-Calculation-sheet'!G11*'Output-Calculation-sheet'!G101</f>
        <v>13987034642.671793</v>
      </c>
      <c r="H122" s="2">
        <f>H12/'Output-Calculation-sheet'!H11*'Output-Calculation-sheet'!H101</f>
        <v>0</v>
      </c>
      <c r="I122" s="2">
        <f>I12/'Output-Calculation-sheet'!I11*'Output-Calculation-sheet'!I101</f>
        <v>13097234937.533394</v>
      </c>
      <c r="J122" s="2">
        <f>J12/'Output-Calculation-sheet'!J11*'Output-Calculation-sheet'!J101</f>
        <v>12517905507.772486</v>
      </c>
      <c r="K122" s="2">
        <f>K12/'Output-Calculation-sheet'!K11*'Output-Calculation-sheet'!K101</f>
        <v>12639836975.323965</v>
      </c>
      <c r="L122" s="2">
        <f>L12/'Output-Calculation-sheet'!L11*'Output-Calculation-sheet'!L101</f>
        <v>8412258630.5441656</v>
      </c>
      <c r="M122" s="2">
        <f>M12/'Output-Calculation-sheet'!M11*'Output-Calculation-sheet'!M101</f>
        <v>0</v>
      </c>
      <c r="N122" s="2">
        <f>N12/'Output-Calculation-sheet'!N11*'Output-Calculation-sheet'!N101</f>
        <v>2478351896.3628955</v>
      </c>
      <c r="O122" s="2">
        <f>O12/'Output-Calculation-sheet'!O11*'Output-Calculation-sheet'!O101</f>
        <v>0</v>
      </c>
      <c r="P122" s="2">
        <f>P12/'Output-Calculation-sheet'!P11*'Output-Calculation-sheet'!P101</f>
        <v>8295064794.4898434</v>
      </c>
      <c r="Q122" s="2">
        <f>Q12/'Output-Calculation-sheet'!Q11*'Output-Calculation-sheet'!Q101</f>
        <v>5402874287.8129168</v>
      </c>
      <c r="R122" s="2">
        <f>R12/'Output-Calculation-sheet'!R11*'Output-Calculation-sheet'!R101</f>
        <v>8183562557.8991461</v>
      </c>
      <c r="S122" s="2">
        <f>S12/'Output-Calculation-sheet'!S11*'Output-Calculation-sheet'!S101</f>
        <v>1720776637.7292957</v>
      </c>
      <c r="T122" s="2">
        <f>T12/'Output-Calculation-sheet'!T11*'Output-Calculation-sheet'!T101</f>
        <v>3032012309.1662507</v>
      </c>
      <c r="U122" s="2">
        <f>U12/'Output-Calculation-sheet'!U11*'Output-Calculation-sheet'!U101</f>
        <v>2484180557.5002661</v>
      </c>
      <c r="V122" s="2">
        <f>V12/'Output-Calculation-sheet'!V11*'Output-Calculation-sheet'!V101</f>
        <v>2045067388.8439577</v>
      </c>
      <c r="W122" s="2">
        <f>W12/'Output-Calculation-sheet'!W11*'Output-Calculation-sheet'!W101</f>
        <v>1763767492.0432491</v>
      </c>
      <c r="X122" s="2">
        <f>X12/'Output-Calculation-sheet'!X11*'Output-Calculation-sheet'!X101</f>
        <v>85246460.220192924</v>
      </c>
      <c r="Y122" s="2">
        <f>Y12/'Output-Calculation-sheet'!Y11*'Output-Calculation-sheet'!Y101</f>
        <v>796165271.56801128</v>
      </c>
      <c r="AA122" s="2">
        <f t="shared" si="10"/>
        <v>230337.82730640887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56634983696.687218</v>
      </c>
      <c r="C129" s="2">
        <f>C8/'Output-Calculation-sheet'!C7*'Output-Calculation-sheet'!C106</f>
        <v>26689259442.629196</v>
      </c>
      <c r="D129" s="2">
        <f>D8/'Output-Calculation-sheet'!D7*'Output-Calculation-sheet'!D106</f>
        <v>23787345319.967926</v>
      </c>
      <c r="E129" s="2">
        <f>E8/'Output-Calculation-sheet'!E7*'Output-Calculation-sheet'!E106</f>
        <v>18872844647.74744</v>
      </c>
      <c r="F129" s="2">
        <f>F8/'Output-Calculation-sheet'!F7*'Output-Calculation-sheet'!F106</f>
        <v>12149127345.229013</v>
      </c>
      <c r="G129" s="2">
        <f>G8/'Output-Calculation-sheet'!G7*'Output-Calculation-sheet'!G106</f>
        <v>8536310296.5583925</v>
      </c>
      <c r="H129" s="2">
        <f>H8/'Output-Calculation-sheet'!H7*'Output-Calculation-sheet'!H106</f>
        <v>8326843012.7992954</v>
      </c>
      <c r="I129" s="2">
        <f>I8/'Output-Calculation-sheet'!I7*'Output-Calculation-sheet'!I106</f>
        <v>7777250634.6195097</v>
      </c>
      <c r="J129" s="2">
        <f>J8/'Output-Calculation-sheet'!J7*'Output-Calculation-sheet'!J106</f>
        <v>7569840103.3521194</v>
      </c>
      <c r="K129" s="2">
        <f>K8/'Output-Calculation-sheet'!K7*'Output-Calculation-sheet'!K106</f>
        <v>7497268137.6254025</v>
      </c>
      <c r="L129" s="2">
        <f>L8/'Output-Calculation-sheet'!L7*'Output-Calculation-sheet'!L106</f>
        <v>6014405985.2673931</v>
      </c>
      <c r="M129" s="2">
        <f>M8/'Output-Calculation-sheet'!M7*'Output-Calculation-sheet'!M106</f>
        <v>5744795802.1056223</v>
      </c>
      <c r="N129" s="2">
        <f>N8/'Output-Calculation-sheet'!N7*'Output-Calculation-sheet'!N106</f>
        <v>5638501580.7990408</v>
      </c>
      <c r="O129" s="2">
        <f>O8/'Output-Calculation-sheet'!O7*'Output-Calculation-sheet'!O106</f>
        <v>5185745267.6502457</v>
      </c>
      <c r="P129" s="2">
        <f>P8/'Output-Calculation-sheet'!P7*'Output-Calculation-sheet'!P106</f>
        <v>5132985418.8488798</v>
      </c>
      <c r="Q129" s="2">
        <f>Q8/'Output-Calculation-sheet'!Q7*'Output-Calculation-sheet'!Q106</f>
        <v>5050027121.5515776</v>
      </c>
      <c r="R129" s="2">
        <f>R8/'Output-Calculation-sheet'!R7*'Output-Calculation-sheet'!R106</f>
        <v>4858358343.0691805</v>
      </c>
      <c r="S129" s="2">
        <f>S8/'Output-Calculation-sheet'!S7*'Output-Calculation-sheet'!S106</f>
        <v>3229113837.236774</v>
      </c>
      <c r="T129" s="2">
        <f>T8/'Output-Calculation-sheet'!T7*'Output-Calculation-sheet'!T106</f>
        <v>1785891100.1944332</v>
      </c>
      <c r="U129" s="2">
        <f>U8/'Output-Calculation-sheet'!U7*'Output-Calculation-sheet'!U106</f>
        <v>1555449821.5203106</v>
      </c>
      <c r="V129" s="2">
        <f>V8/'Output-Calculation-sheet'!V7*'Output-Calculation-sheet'!V106</f>
        <v>1197727942.2278152</v>
      </c>
      <c r="W129" s="2">
        <f>W8/'Output-Calculation-sheet'!W7*'Output-Calculation-sheet'!W106</f>
        <v>1036966547.3626206</v>
      </c>
      <c r="X129" s="2">
        <f>X8/'Output-Calculation-sheet'!X7*'Output-Calculation-sheet'!X106</f>
        <v>622180050.76956165</v>
      </c>
      <c r="Y129" s="2">
        <f>Y8/'Output-Calculation-sheet'!Y7*'Output-Calculation-sheet'!Y106</f>
        <v>605063995.24973857</v>
      </c>
      <c r="AA129" s="2">
        <f t="shared" si="11"/>
        <v>225498.28545106863</v>
      </c>
    </row>
    <row r="130" spans="1:27" x14ac:dyDescent="0.25">
      <c r="A130" s="2">
        <v>2032</v>
      </c>
      <c r="B130" s="2">
        <f>B9/'Output-Calculation-sheet'!B8*'Output-Calculation-sheet'!B107</f>
        <v>45430573442.41806</v>
      </c>
      <c r="C130" s="2">
        <f>C9/'Output-Calculation-sheet'!C8*'Output-Calculation-sheet'!C107</f>
        <v>21409168086.549652</v>
      </c>
      <c r="D130" s="2">
        <f>D9/'Output-Calculation-sheet'!D8*'Output-Calculation-sheet'!D107</f>
        <v>19081359021.845341</v>
      </c>
      <c r="E130" s="2">
        <f>E9/'Output-Calculation-sheet'!E8*'Output-Calculation-sheet'!E107</f>
        <v>15139120089.592852</v>
      </c>
      <c r="F130" s="2">
        <f>F9/'Output-Calculation-sheet'!F8*'Output-Calculation-sheet'!F107</f>
        <v>9745599892.5520763</v>
      </c>
      <c r="G130" s="2">
        <f>G9/'Output-Calculation-sheet'!G8*'Output-Calculation-sheet'!G107</f>
        <v>6847525982.6926737</v>
      </c>
      <c r="H130" s="2">
        <f>H9/'Output-Calculation-sheet'!H8*'Output-Calculation-sheet'!H107</f>
        <v>6679497001.8299732</v>
      </c>
      <c r="I130" s="2">
        <f>I9/'Output-Calculation-sheet'!I8*'Output-Calculation-sheet'!I107</f>
        <v>6238634365.4542618</v>
      </c>
      <c r="J130" s="2">
        <f>J9/'Output-Calculation-sheet'!J8*'Output-Calculation-sheet'!J107</f>
        <v>6072254632.0346184</v>
      </c>
      <c r="K130" s="2">
        <f>K9/'Output-Calculation-sheet'!K8*'Output-Calculation-sheet'!K107</f>
        <v>6014041572.5634279</v>
      </c>
      <c r="L130" s="2">
        <f>L9/'Output-Calculation-sheet'!L8*'Output-Calculation-sheet'!L107</f>
        <v>4824542975.5682077</v>
      </c>
      <c r="M130" s="2">
        <f>M9/'Output-Calculation-sheet'!M8*'Output-Calculation-sheet'!M107</f>
        <v>4608271847.6852045</v>
      </c>
      <c r="N130" s="2">
        <f>N9/'Output-Calculation-sheet'!N8*'Output-Calculation-sheet'!N107</f>
        <v>4523003466.1591835</v>
      </c>
      <c r="O130" s="2">
        <f>O9/'Output-Calculation-sheet'!O8*'Output-Calculation-sheet'!O107</f>
        <v>4159820769.3035388</v>
      </c>
      <c r="P130" s="2">
        <f>P9/'Output-Calculation-sheet'!P8*'Output-Calculation-sheet'!P107</f>
        <v>4117497612.0774794</v>
      </c>
      <c r="Q130" s="2">
        <f>Q9/'Output-Calculation-sheet'!Q8*'Output-Calculation-sheet'!Q107</f>
        <v>4050953494.9647379</v>
      </c>
      <c r="R130" s="2">
        <f>R9/'Output-Calculation-sheet'!R8*'Output-Calculation-sheet'!R107</f>
        <v>3897203104.5098238</v>
      </c>
      <c r="S130" s="2">
        <f>S9/'Output-Calculation-sheet'!S8*'Output-Calculation-sheet'!S107</f>
        <v>2590280488.050415</v>
      </c>
      <c r="T130" s="2">
        <f>T9/'Output-Calculation-sheet'!T8*'Output-Calculation-sheet'!T107</f>
        <v>1432578444.7756186</v>
      </c>
      <c r="U130" s="2">
        <f>U9/'Output-Calculation-sheet'!U8*'Output-Calculation-sheet'!U107</f>
        <v>1247726467.6867163</v>
      </c>
      <c r="V130" s="2">
        <f>V9/'Output-Calculation-sheet'!V8*'Output-Calculation-sheet'!V107</f>
        <v>960774334.38582313</v>
      </c>
      <c r="W130" s="2">
        <f>W9/'Output-Calculation-sheet'!W8*'Output-Calculation-sheet'!W107</f>
        <v>831817862.97285283</v>
      </c>
      <c r="X130" s="2">
        <f>X9/'Output-Calculation-sheet'!X8*'Output-Calculation-sheet'!X107</f>
        <v>499090619.85624647</v>
      </c>
      <c r="Y130" s="2">
        <f>Y9/'Output-Calculation-sheet'!Y8*'Output-Calculation-sheet'!Y107</f>
        <v>485360731.78740698</v>
      </c>
      <c r="AA130" s="2">
        <f t="shared" si="11"/>
        <v>180886.69630731616</v>
      </c>
    </row>
    <row r="131" spans="1:27" x14ac:dyDescent="0.25">
      <c r="A131" s="2">
        <v>2033</v>
      </c>
      <c r="B131" s="2">
        <f>B10/'Output-Calculation-sheet'!B9*'Output-Calculation-sheet'!B108</f>
        <v>30035768411.90461</v>
      </c>
      <c r="C131" s="2">
        <f>C10/'Output-Calculation-sheet'!C9*'Output-Calculation-sheet'!C108</f>
        <v>14154362734.424425</v>
      </c>
      <c r="D131" s="2">
        <f>D10/'Output-Calculation-sheet'!D9*'Output-Calculation-sheet'!D108</f>
        <v>12615368608.076107</v>
      </c>
      <c r="E131" s="2">
        <f>E10/'Output-Calculation-sheet'!E9*'Output-Calculation-sheet'!E108</f>
        <v>10009010911.257498</v>
      </c>
      <c r="F131" s="2">
        <f>F10/'Output-Calculation-sheet'!F9*'Output-Calculation-sheet'!F108</f>
        <v>6443159493.4559908</v>
      </c>
      <c r="G131" s="2">
        <f>G10/'Output-Calculation-sheet'!G9*'Output-Calculation-sheet'!G108</f>
        <v>4527140687.8416882</v>
      </c>
      <c r="H131" s="2">
        <f>H10/'Output-Calculation-sheet'!H9*'Output-Calculation-sheet'!H108</f>
        <v>4416051958.6210775</v>
      </c>
      <c r="I131" s="2">
        <f>I10/'Output-Calculation-sheet'!I9*'Output-Calculation-sheet'!I108</f>
        <v>4124583121.3605886</v>
      </c>
      <c r="J131" s="2">
        <f>J10/'Output-Calculation-sheet'!J9*'Output-Calculation-sheet'!J108</f>
        <v>4014583577.8905244</v>
      </c>
      <c r="K131" s="2">
        <f>K10/'Output-Calculation-sheet'!K9*'Output-Calculation-sheet'!K108</f>
        <v>3976095813.5726624</v>
      </c>
      <c r="L131" s="2">
        <f>L10/'Output-Calculation-sheet'!L9*'Output-Calculation-sheet'!L108</f>
        <v>3189677005.2106285</v>
      </c>
      <c r="M131" s="2">
        <f>M10/'Output-Calculation-sheet'!M9*'Output-Calculation-sheet'!M108</f>
        <v>3046690890.505703</v>
      </c>
      <c r="N131" s="2">
        <f>N10/'Output-Calculation-sheet'!N9*'Output-Calculation-sheet'!N108</f>
        <v>2990317730.5282092</v>
      </c>
      <c r="O131" s="2">
        <f>O10/'Output-Calculation-sheet'!O9*'Output-Calculation-sheet'!O108</f>
        <v>3305041390.7776065</v>
      </c>
      <c r="P131" s="2">
        <f>P10/'Output-Calculation-sheet'!P9*'Output-Calculation-sheet'!P108</f>
        <v>2722224880.6236629</v>
      </c>
      <c r="Q131" s="2">
        <f>Q10/'Output-Calculation-sheet'!Q9*'Output-Calculation-sheet'!Q108</f>
        <v>2678228781.4218397</v>
      </c>
      <c r="R131" s="2">
        <f>R10/'Output-Calculation-sheet'!R9*'Output-Calculation-sheet'!R108</f>
        <v>2576578283.4641309</v>
      </c>
      <c r="S131" s="2">
        <f>S10/'Output-Calculation-sheet'!S9*'Output-Calculation-sheet'!S108</f>
        <v>1712526583.5791256</v>
      </c>
      <c r="T131" s="2">
        <f>T10/'Output-Calculation-sheet'!T9*'Output-Calculation-sheet'!T108</f>
        <v>947127834.29186416</v>
      </c>
      <c r="U131" s="2">
        <f>U10/'Output-Calculation-sheet'!U9*'Output-Calculation-sheet'!U108</f>
        <v>824916144.12607825</v>
      </c>
      <c r="V131" s="2">
        <f>V10/'Output-Calculation-sheet'!V9*'Output-Calculation-sheet'!V108</f>
        <v>635201929.12654543</v>
      </c>
      <c r="W131" s="2">
        <f>W10/'Output-Calculation-sheet'!W9*'Output-Calculation-sheet'!W108</f>
        <v>549944095.91562378</v>
      </c>
      <c r="X131" s="2">
        <f>X10/'Output-Calculation-sheet'!X9*'Output-Calculation-sheet'!X108</f>
        <v>329966393.09556258</v>
      </c>
      <c r="Y131" s="2">
        <f>Y10/'Output-Calculation-sheet'!Y9*'Output-Calculation-sheet'!Y108</f>
        <v>320889080.99653041</v>
      </c>
      <c r="AA131" s="2">
        <f t="shared" si="11"/>
        <v>120145.4563420683</v>
      </c>
    </row>
    <row r="132" spans="1:27" x14ac:dyDescent="0.25">
      <c r="A132" s="2">
        <v>2034</v>
      </c>
      <c r="B132" s="2">
        <f>B11/'Output-Calculation-sheet'!B10*'Output-Calculation-sheet'!B109</f>
        <v>13953171412.94853</v>
      </c>
      <c r="C132" s="2">
        <f>C11/'Output-Calculation-sheet'!C10*'Output-Calculation-sheet'!C109</f>
        <v>12694202210.708504</v>
      </c>
      <c r="D132" s="2">
        <f>D11/'Output-Calculation-sheet'!D10*'Output-Calculation-sheet'!D109</f>
        <v>5860492668.4932203</v>
      </c>
      <c r="E132" s="2">
        <f>E11/'Output-Calculation-sheet'!E10*'Output-Calculation-sheet'!E109</f>
        <v>4649705864.9473886</v>
      </c>
      <c r="F132" s="2">
        <f>F11/'Output-Calculation-sheet'!F10*'Output-Calculation-sheet'!F109</f>
        <v>2993182518.3463449</v>
      </c>
      <c r="G132" s="2">
        <f>G11/'Output-Calculation-sheet'!G10*'Output-Calculation-sheet'!G109</f>
        <v>2103092511.7392399</v>
      </c>
      <c r="H132" s="2">
        <f>H11/'Output-Calculation-sheet'!H10*'Output-Calculation-sheet'!H109</f>
        <v>2051485693.6381421</v>
      </c>
      <c r="I132" s="2">
        <f>I11/'Output-Calculation-sheet'!I10*'Output-Calculation-sheet'!I109</f>
        <v>1916082676.1150753</v>
      </c>
      <c r="J132" s="2">
        <f>J11/'Output-Calculation-sheet'!J10*'Output-Calculation-sheet'!J109</f>
        <v>1864982468.7603393</v>
      </c>
      <c r="K132" s="2">
        <f>K11/'Output-Calculation-sheet'!K10*'Output-Calculation-sheet'!K109</f>
        <v>1847103484.6484427</v>
      </c>
      <c r="L132" s="2">
        <f>L11/'Output-Calculation-sheet'!L10*'Output-Calculation-sheet'!L109</f>
        <v>1481770546.3131983</v>
      </c>
      <c r="M132" s="2">
        <f>M11/'Output-Calculation-sheet'!M10*'Output-Calculation-sheet'!M109</f>
        <v>1415346294.2410114</v>
      </c>
      <c r="N132" s="2">
        <f>N11/'Output-Calculation-sheet'!N10*'Output-Calculation-sheet'!N109</f>
        <v>1389158461.6505275</v>
      </c>
      <c r="O132" s="2">
        <f>O11/'Output-Calculation-sheet'!O10*'Output-Calculation-sheet'!O109</f>
        <v>2858745121.2393851</v>
      </c>
      <c r="P132" s="2">
        <f>P11/'Output-Calculation-sheet'!P10*'Output-Calculation-sheet'!P109</f>
        <v>1264614568.1429992</v>
      </c>
      <c r="Q132" s="2">
        <f>Q11/'Output-Calculation-sheet'!Q10*'Output-Calculation-sheet'!Q109</f>
        <v>1244176302.2106404</v>
      </c>
      <c r="R132" s="2">
        <f>R11/'Output-Calculation-sheet'!R10*'Output-Calculation-sheet'!R109</f>
        <v>1196954737.5794992</v>
      </c>
      <c r="S132" s="2">
        <f>S11/'Output-Calculation-sheet'!S10*'Output-Calculation-sheet'!S109</f>
        <v>795557496.61029398</v>
      </c>
      <c r="T132" s="2">
        <f>T11/'Output-Calculation-sheet'!T10*'Output-Calculation-sheet'!T109</f>
        <v>439990251.84372181</v>
      </c>
      <c r="U132" s="2">
        <f>U11/'Output-Calculation-sheet'!U10*'Output-Calculation-sheet'!U109</f>
        <v>383216490.61245662</v>
      </c>
      <c r="V132" s="2">
        <f>V11/'Output-Calculation-sheet'!V10*'Output-Calculation-sheet'!V109</f>
        <v>295084362.08529174</v>
      </c>
      <c r="W132" s="2">
        <f>W11/'Output-Calculation-sheet'!W10*'Output-Calculation-sheet'!W109</f>
        <v>255477660.39265552</v>
      </c>
      <c r="X132" s="2">
        <f>X11/'Output-Calculation-sheet'!X10*'Output-Calculation-sheet'!X109</f>
        <v>153286590.24716419</v>
      </c>
      <c r="Y132" s="2">
        <f>Y11/'Output-Calculation-sheet'!Y10*'Output-Calculation-sheet'!Y109</f>
        <v>149069705.23131511</v>
      </c>
      <c r="AA132" s="2">
        <f t="shared" si="11"/>
        <v>63255.950098745394</v>
      </c>
    </row>
    <row r="133" spans="1:27" x14ac:dyDescent="0.25">
      <c r="A133" s="2">
        <v>2035</v>
      </c>
      <c r="B133" s="2">
        <f>B12/'Output-Calculation-sheet'!B11*'Output-Calculation-sheet'!B110</f>
        <v>5347118856.0808411</v>
      </c>
      <c r="C133" s="2">
        <f>C12/'Output-Calculation-sheet'!C11*'Output-Calculation-sheet'!C110</f>
        <v>10269056728.735315</v>
      </c>
      <c r="D133" s="2">
        <f>D12/'Output-Calculation-sheet'!D11*'Output-Calculation-sheet'!D110</f>
        <v>2654276089.025712</v>
      </c>
      <c r="E133" s="2">
        <f>E12/'Output-Calculation-sheet'!E11*'Output-Calculation-sheet'!E110</f>
        <v>1348702614.9866431</v>
      </c>
      <c r="F133" s="2">
        <f>F12/'Output-Calculation-sheet'!F11*'Output-Calculation-sheet'!F110</f>
        <v>912983394.72828257</v>
      </c>
      <c r="G133" s="2">
        <f>G12/'Output-Calculation-sheet'!G11*'Output-Calculation-sheet'!G110</f>
        <v>1153712287.2230833</v>
      </c>
      <c r="H133" s="2">
        <f>H12/'Output-Calculation-sheet'!H11*'Output-Calculation-sheet'!H110</f>
        <v>1360984178.642853</v>
      </c>
      <c r="I133" s="2">
        <f>I12/'Output-Calculation-sheet'!I11*'Output-Calculation-sheet'!I110</f>
        <v>637567104.92184985</v>
      </c>
      <c r="J133" s="2">
        <f>J12/'Output-Calculation-sheet'!J11*'Output-Calculation-sheet'!J110</f>
        <v>771399972.11467588</v>
      </c>
      <c r="K133" s="2">
        <f>K12/'Output-Calculation-sheet'!K11*'Output-Calculation-sheet'!K110</f>
        <v>584925294.57254934</v>
      </c>
      <c r="L133" s="2">
        <f>L12/'Output-Calculation-sheet'!L11*'Output-Calculation-sheet'!L110</f>
        <v>375889567.01601785</v>
      </c>
      <c r="M133" s="2">
        <f>M12/'Output-Calculation-sheet'!M11*'Output-Calculation-sheet'!M110</f>
        <v>846518463.4444145</v>
      </c>
      <c r="N133" s="2">
        <f>N12/'Output-Calculation-sheet'!N11*'Output-Calculation-sheet'!N110</f>
        <v>704334302.54853547</v>
      </c>
      <c r="O133" s="2">
        <f>O12/'Output-Calculation-sheet'!O11*'Output-Calculation-sheet'!O110</f>
        <v>2487473407.7240763</v>
      </c>
      <c r="P133" s="2">
        <f>P12/'Output-Calculation-sheet'!P11*'Output-Calculation-sheet'!P110</f>
        <v>492089520.29852325</v>
      </c>
      <c r="Q133" s="2">
        <f>Q12/'Output-Calculation-sheet'!Q11*'Output-Calculation-sheet'!Q110</f>
        <v>612928508.90730119</v>
      </c>
      <c r="R133" s="2">
        <f>R12/'Output-Calculation-sheet'!R11*'Output-Calculation-sheet'!R110</f>
        <v>385705858.69006491</v>
      </c>
      <c r="S133" s="2">
        <f>S12/'Output-Calculation-sheet'!S11*'Output-Calculation-sheet'!S110</f>
        <v>370849999.30348271</v>
      </c>
      <c r="T133" s="2">
        <f>T12/'Output-Calculation-sheet'!T11*'Output-Calculation-sheet'!T110</f>
        <v>100330095.97177818</v>
      </c>
      <c r="U133" s="2">
        <f>U12/'Output-Calculation-sheet'!U11*'Output-Calculation-sheet'!U110</f>
        <v>163093080.0089967</v>
      </c>
      <c r="V133" s="2">
        <f>V12/'Output-Calculation-sheet'!V11*'Output-Calculation-sheet'!V110</f>
        <v>41156441.316487752</v>
      </c>
      <c r="W133" s="2">
        <f>W12/'Output-Calculation-sheet'!W11*'Output-Calculation-sheet'!W110</f>
        <v>67099194.672949411</v>
      </c>
      <c r="X133" s="2">
        <f>X12/'Output-Calculation-sheet'!X11*'Output-Calculation-sheet'!X110</f>
        <v>117508670.83995345</v>
      </c>
      <c r="Y133" s="2">
        <f>Y12/'Output-Calculation-sheet'!Y11*'Output-Calculation-sheet'!Y110</f>
        <v>61746046.067644127</v>
      </c>
      <c r="AA133" s="2">
        <f t="shared" si="11"/>
        <v>31867.449677842033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1983.6295847142874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618.8655377603767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426.9700839418449</v>
      </c>
      <c r="N16" s="2">
        <f>N5/'Output-Calculation-sheet'!N4*'Output-Calculation-sheet'!N22</f>
        <v>0</v>
      </c>
      <c r="O16" s="2">
        <f>O5/'Output-Calculation-sheet'!O4*'Output-Calculation-sheet'!O22</f>
        <v>385.41521815063498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46.242265149224508</v>
      </c>
      <c r="Y16" s="2">
        <f>Y5/'Output-Calculation-sheet'!Y4*'Output-Calculation-sheet'!Y22</f>
        <v>0</v>
      </c>
      <c r="AA16" s="2">
        <f>SUM(B16:Y16)/1000</f>
        <v>3.4611226897163689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5907.20971218657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1741.9893210659743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1202.4961204697115</v>
      </c>
      <c r="N17" s="2">
        <f>N6/'Output-Calculation-sheet'!N5*'Output-Calculation-sheet'!N23</f>
        <v>0</v>
      </c>
      <c r="O17" s="2">
        <f>O6/'Output-Calculation-sheet'!O5*'Output-Calculation-sheet'!O23</f>
        <v>1154.9939713928168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133.71066903551042</v>
      </c>
      <c r="Y17" s="2">
        <f>Y6/'Output-Calculation-sheet'!Y5*'Output-Calculation-sheet'!Y23</f>
        <v>0</v>
      </c>
      <c r="AA17" s="2">
        <f t="shared" ref="AA17:AA23" si="0">SUM(B17:Y17)/1000</f>
        <v>10.140399794150582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12106.891247224201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3628.4555971341811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2501.8089914069992</v>
      </c>
      <c r="N18" s="2">
        <f>N7/'Output-Calculation-sheet'!N6*'Output-Calculation-sheet'!N24</f>
        <v>775.35046695385222</v>
      </c>
      <c r="O18" s="2">
        <f>O7/'Output-Calculation-sheet'!O6*'Output-Calculation-sheet'!O24</f>
        <v>2350.7179652737032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169.50445449421477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280.61182153474942</v>
      </c>
      <c r="Y18" s="2">
        <f>Y7/'Output-Calculation-sheet'!Y6*'Output-Calculation-sheet'!Y24</f>
        <v>0</v>
      </c>
      <c r="AA18" s="2">
        <f t="shared" si="0"/>
        <v>21.813340544021898</v>
      </c>
    </row>
    <row r="19" spans="1:27" x14ac:dyDescent="0.25">
      <c r="A19" s="2">
        <v>2031</v>
      </c>
      <c r="B19" s="2">
        <f>B8/'Output-Calculation-sheet'!B7*'Output-Calculation-sheet'!B25</f>
        <v>1268.3828005854234</v>
      </c>
      <c r="C19" s="2">
        <f>C8/'Output-Calculation-sheet'!C7*'Output-Calculation-sheet'!C25</f>
        <v>19121.066625369978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5691.8286598940176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3954.196239584548</v>
      </c>
      <c r="N19" s="2">
        <f>N8/'Output-Calculation-sheet'!N7*'Output-Calculation-sheet'!N25</f>
        <v>1353.7712489439289</v>
      </c>
      <c r="O19" s="2">
        <f>O8/'Output-Calculation-sheet'!O7*'Output-Calculation-sheet'!O25</f>
        <v>3697.9308724788175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483.04695249463953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441.80248469180748</v>
      </c>
      <c r="Y19" s="2">
        <f>Y8/'Output-Calculation-sheet'!Y7*'Output-Calculation-sheet'!Y25</f>
        <v>0</v>
      </c>
      <c r="AA19" s="2">
        <f t="shared" si="0"/>
        <v>36.012025884043155</v>
      </c>
    </row>
    <row r="20" spans="1:27" x14ac:dyDescent="0.25">
      <c r="A20" s="2">
        <v>2032</v>
      </c>
      <c r="B20" s="2">
        <f>B9/'Output-Calculation-sheet'!B8*'Output-Calculation-sheet'!B26</f>
        <v>7137.9463409638593</v>
      </c>
      <c r="C20" s="2">
        <f>C9/'Output-Calculation-sheet'!C8*'Output-Calculation-sheet'!C26</f>
        <v>26140.171754714138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7765.8693023069891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5396.3884100514142</v>
      </c>
      <c r="N20" s="2">
        <f>N9/'Output-Calculation-sheet'!N8*'Output-Calculation-sheet'!N26</f>
        <v>2429.6972996890327</v>
      </c>
      <c r="O20" s="2">
        <f>O9/'Output-Calculation-sheet'!O8*'Output-Calculation-sheet'!O26</f>
        <v>5093.2985482511476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884.99569520067917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603.64230736990783</v>
      </c>
      <c r="Y20" s="2">
        <f>Y9/'Output-Calculation-sheet'!Y8*'Output-Calculation-sheet'!Y26</f>
        <v>0</v>
      </c>
      <c r="AA20" s="2">
        <f t="shared" si="0"/>
        <v>55.452009658547162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37276.623794641084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9543.622207942466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6628.838121227679</v>
      </c>
      <c r="N21" s="2">
        <f>N10/'Output-Calculation-sheet'!N9*'Output-Calculation-sheet'!N27</f>
        <v>3627.0283101806299</v>
      </c>
      <c r="O21" s="2">
        <f>O10/'Output-Calculation-sheet'!O9*'Output-Calculation-sheet'!O27</f>
        <v>6332.8410098509476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1578.433476570144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779.45941395587954</v>
      </c>
      <c r="Y21" s="2">
        <f>Y10/'Output-Calculation-sheet'!Y9*'Output-Calculation-sheet'!Y27</f>
        <v>0</v>
      </c>
      <c r="AA21" s="2">
        <f t="shared" si="0"/>
        <v>82.521617599260267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37082.055656056422</v>
      </c>
      <c r="D22" s="2">
        <f>D11/'Output-Calculation-sheet'!D10*'Output-Calculation-sheet'!D28</f>
        <v>0</v>
      </c>
      <c r="E22" s="2">
        <f>E11/'Output-Calculation-sheet'!E10*'Output-Calculation-sheet'!E28</f>
        <v>1573.1507702692304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12228.355469048782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927.83120464985404</v>
      </c>
      <c r="M22" s="2">
        <f>M11/'Output-Calculation-sheet'!M10*'Output-Calculation-sheet'!M28</f>
        <v>8428.3679602377251</v>
      </c>
      <c r="N22" s="2">
        <f>N11/'Output-Calculation-sheet'!N10*'Output-Calculation-sheet'!N28</f>
        <v>4850.5727098534435</v>
      </c>
      <c r="O22" s="2">
        <f>O11/'Output-Calculation-sheet'!O10*'Output-Calculation-sheet'!O28</f>
        <v>6530.1825082950581</v>
      </c>
      <c r="P22" s="2">
        <f>P11/'Output-Calculation-sheet'!P10*'Output-Calculation-sheet'!P28</f>
        <v>0</v>
      </c>
      <c r="Q22" s="2">
        <f>Q11/'Output-Calculation-sheet'!Q10*'Output-Calculation-sheet'!Q28</f>
        <v>1819.2191390811251</v>
      </c>
      <c r="R22" s="2">
        <f>R11/'Output-Calculation-sheet'!R10*'Output-Calculation-sheet'!R28</f>
        <v>0</v>
      </c>
      <c r="S22" s="2">
        <f>S11/'Output-Calculation-sheet'!S10*'Output-Calculation-sheet'!S28</f>
        <v>2459.9295397796491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863.32532337482326</v>
      </c>
      <c r="Y22" s="2">
        <f>Y11/'Output-Calculation-sheet'!Y10*'Output-Calculation-sheet'!Y28</f>
        <v>84.70558127275973</v>
      </c>
      <c r="AA22" s="2">
        <f t="shared" si="0"/>
        <v>107.29788898687413</v>
      </c>
    </row>
    <row r="23" spans="1:27" x14ac:dyDescent="0.25">
      <c r="A23" s="2">
        <v>2035</v>
      </c>
      <c r="B23" s="2">
        <f>B12/'Output-Calculation-sheet'!B11*'Output-Calculation-sheet'!B29</f>
        <v>39404.143118463413</v>
      </c>
      <c r="C23" s="2">
        <f>C12/'Output-Calculation-sheet'!C11*'Output-Calculation-sheet'!C29</f>
        <v>36742.232984176713</v>
      </c>
      <c r="D23" s="2">
        <f>D12/'Output-Calculation-sheet'!D11*'Output-Calculation-sheet'!D29</f>
        <v>0</v>
      </c>
      <c r="E23" s="2">
        <f>E12/'Output-Calculation-sheet'!E11*'Output-Calculation-sheet'!E29</f>
        <v>7238.0699456674092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12645.414144704768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2098.6465551838537</v>
      </c>
      <c r="M23" s="2">
        <f>M12/'Output-Calculation-sheet'!M11*'Output-Calculation-sheet'!M29</f>
        <v>8988.0240156788477</v>
      </c>
      <c r="N23" s="2">
        <f>N12/'Output-Calculation-sheet'!N11*'Output-Calculation-sheet'!N29</f>
        <v>5220.144333646168</v>
      </c>
      <c r="O23" s="2">
        <f>O12/'Output-Calculation-sheet'!O11*'Output-Calculation-sheet'!O29</f>
        <v>6074.3657958912227</v>
      </c>
      <c r="P23" s="2">
        <f>P12/'Output-Calculation-sheet'!P11*'Output-Calculation-sheet'!P29</f>
        <v>839.65103461648198</v>
      </c>
      <c r="Q23" s="2">
        <f>Q12/'Output-Calculation-sheet'!Q11*'Output-Calculation-sheet'!Q29</f>
        <v>2672.9142027679163</v>
      </c>
      <c r="R23" s="2">
        <f>R12/'Output-Calculation-sheet'!R11*'Output-Calculation-sheet'!R29</f>
        <v>0</v>
      </c>
      <c r="S23" s="2">
        <f>S12/'Output-Calculation-sheet'!S11*'Output-Calculation-sheet'!S29</f>
        <v>2886.9452441926401</v>
      </c>
      <c r="T23" s="2">
        <f>T12/'Output-Calculation-sheet'!T11*'Output-Calculation-sheet'!T29</f>
        <v>0</v>
      </c>
      <c r="U23" s="2">
        <f>U12/'Output-Calculation-sheet'!U11*'Output-Calculation-sheet'!U29</f>
        <v>311.53057270938524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858.73985720797555</v>
      </c>
      <c r="Y23" s="2">
        <f>Y12/'Output-Calculation-sheet'!Y11*'Output-Calculation-sheet'!Y29</f>
        <v>264.96612002445272</v>
      </c>
      <c r="AA23" s="2">
        <f t="shared" si="0"/>
        <v>126.24578792493124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2504.1414456833122</v>
      </c>
      <c r="C27" s="2">
        <f>C5/'Output-Calculation-sheet'!C4*'Output-Calculation-sheet'!C13</f>
        <v>0</v>
      </c>
      <c r="D27" s="2">
        <f>D5/'Output-Calculation-sheet'!D4*'Output-Calculation-sheet'!D13</f>
        <v>447.33558611350941</v>
      </c>
      <c r="E27" s="2">
        <f>E5/'Output-Calculation-sheet'!E4*'Output-Calculation-sheet'!E13</f>
        <v>481.27782588996712</v>
      </c>
      <c r="F27" s="2">
        <f>F5/'Output-Calculation-sheet'!F4*'Output-Calculation-sheet'!F13</f>
        <v>242.82749537111511</v>
      </c>
      <c r="G27" s="2">
        <f>G5/'Output-Calculation-sheet'!G4*'Output-Calculation-sheet'!G13</f>
        <v>159.01580217807515</v>
      </c>
      <c r="H27" s="2">
        <f>H5/'Output-Calculation-sheet'!H4*'Output-Calculation-sheet'!H13</f>
        <v>0</v>
      </c>
      <c r="I27" s="2">
        <f>I5/'Output-Calculation-sheet'!I4*'Output-Calculation-sheet'!I13</f>
        <v>155.02022792977669</v>
      </c>
      <c r="J27" s="2">
        <f>J5/'Output-Calculation-sheet'!J4*'Output-Calculation-sheet'!J13</f>
        <v>137.99817189254861</v>
      </c>
      <c r="K27" s="2">
        <f>K5/'Output-Calculation-sheet'!K4*'Output-Calculation-sheet'!K13</f>
        <v>184.24557097933075</v>
      </c>
      <c r="L27" s="2">
        <f>L5/'Output-Calculation-sheet'!L4*'Output-Calculation-sheet'!L13</f>
        <v>155.62778354434798</v>
      </c>
      <c r="M27" s="2">
        <f>M5/'Output-Calculation-sheet'!M4*'Output-Calculation-sheet'!M13</f>
        <v>0</v>
      </c>
      <c r="N27" s="2">
        <f>N5/'Output-Calculation-sheet'!N4*'Output-Calculation-sheet'!N13</f>
        <v>298.70996831696249</v>
      </c>
      <c r="O27" s="2">
        <f>O5/'Output-Calculation-sheet'!O4*'Output-Calculation-sheet'!O13</f>
        <v>0</v>
      </c>
      <c r="P27" s="2">
        <f>P5/'Output-Calculation-sheet'!P4*'Output-Calculation-sheet'!P13</f>
        <v>182.4874100205131</v>
      </c>
      <c r="Q27" s="2">
        <f>Q5/'Output-Calculation-sheet'!Q4*'Output-Calculation-sheet'!Q13</f>
        <v>203.08851457760323</v>
      </c>
      <c r="R27" s="2">
        <f>R5/'Output-Calculation-sheet'!R4*'Output-Calculation-sheet'!R13</f>
        <v>137.29654783747617</v>
      </c>
      <c r="S27" s="2">
        <f>S5/'Output-Calculation-sheet'!S4*'Output-Calculation-sheet'!S13</f>
        <v>158.46088170778449</v>
      </c>
      <c r="T27" s="2">
        <f>T5/'Output-Calculation-sheet'!T4*'Output-Calculation-sheet'!T13</f>
        <v>41.614483279902437</v>
      </c>
      <c r="U27" s="2">
        <f>U5/'Output-Calculation-sheet'!U4*'Output-Calculation-sheet'!U13</f>
        <v>41.541576899447783</v>
      </c>
      <c r="V27" s="2">
        <f>V5/'Output-Calculation-sheet'!V4*'Output-Calculation-sheet'!V13</f>
        <v>32.331009028422002</v>
      </c>
      <c r="W27" s="2">
        <f>W5/'Output-Calculation-sheet'!W4*'Output-Calculation-sheet'!W13</f>
        <v>19.609201796962768</v>
      </c>
      <c r="X27" s="2">
        <f>X5/'Output-Calculation-sheet'!X4*'Output-Calculation-sheet'!X13</f>
        <v>0</v>
      </c>
      <c r="Y27" s="2">
        <f>Y5/'Output-Calculation-sheet'!Y4*'Output-Calculation-sheet'!Y13</f>
        <v>16.579717952772711</v>
      </c>
      <c r="AA27" s="2">
        <f>SUM(B27:Y27)/1000</f>
        <v>5.599209220999831</v>
      </c>
    </row>
    <row r="28" spans="1:27" x14ac:dyDescent="0.25">
      <c r="A28" s="2">
        <v>2029</v>
      </c>
      <c r="B28" s="2">
        <f>B6/'Output-Calculation-sheet'!B5*'Output-Calculation-sheet'!B14</f>
        <v>6975.0614014457879</v>
      </c>
      <c r="C28" s="2">
        <f>C6/'Output-Calculation-sheet'!C5*'Output-Calculation-sheet'!C14</f>
        <v>0</v>
      </c>
      <c r="D28" s="2">
        <f>D6/'Output-Calculation-sheet'!D5*'Output-Calculation-sheet'!D14</f>
        <v>1245.9238393254443</v>
      </c>
      <c r="E28" s="2">
        <f>E6/'Output-Calculation-sheet'!E5*'Output-Calculation-sheet'!E14</f>
        <v>1340.5773800615191</v>
      </c>
      <c r="F28" s="2">
        <f>F6/'Output-Calculation-sheet'!F5*'Output-Calculation-sheet'!F14</f>
        <v>676.32842181815863</v>
      </c>
      <c r="G28" s="2">
        <f>G6/'Output-Calculation-sheet'!G5*'Output-Calculation-sheet'!G14</f>
        <v>442.9147876716487</v>
      </c>
      <c r="H28" s="2">
        <f>H6/'Output-Calculation-sheet'!H5*'Output-Calculation-sheet'!H14</f>
        <v>0</v>
      </c>
      <c r="I28" s="2">
        <f>I6/'Output-Calculation-sheet'!I5*'Output-Calculation-sheet'!I14</f>
        <v>431.78571184665856</v>
      </c>
      <c r="J28" s="2">
        <f>J6/'Output-Calculation-sheet'!J5*'Output-Calculation-sheet'!J14</f>
        <v>384.35329961501031</v>
      </c>
      <c r="K28" s="2">
        <f>K6/'Output-Calculation-sheet'!K5*'Output-Calculation-sheet'!K14</f>
        <v>513.18854372954593</v>
      </c>
      <c r="L28" s="2">
        <f>L6/'Output-Calculation-sheet'!L5*'Output-Calculation-sheet'!L14</f>
        <v>433.47796734794025</v>
      </c>
      <c r="M28" s="2">
        <f>M6/'Output-Calculation-sheet'!M5*'Output-Calculation-sheet'!M14</f>
        <v>0</v>
      </c>
      <c r="N28" s="2">
        <f>N6/'Output-Calculation-sheet'!N5*'Output-Calculation-sheet'!N14</f>
        <v>832.02677253838363</v>
      </c>
      <c r="O28" s="2">
        <f>O6/'Output-Calculation-sheet'!O5*'Output-Calculation-sheet'!O14</f>
        <v>0</v>
      </c>
      <c r="P28" s="2">
        <f>P6/'Output-Calculation-sheet'!P5*'Output-Calculation-sheet'!P14</f>
        <v>508.2914487421229</v>
      </c>
      <c r="Q28" s="2">
        <f>Q6/'Output-Calculation-sheet'!Q5*'Output-Calculation-sheet'!Q14</f>
        <v>565.68565791721255</v>
      </c>
      <c r="R28" s="2">
        <f>R6/'Output-Calculation-sheet'!R5*'Output-Calculation-sheet'!R14</f>
        <v>382.41904578380706</v>
      </c>
      <c r="S28" s="2">
        <f>S6/'Output-Calculation-sheet'!S5*'Output-Calculation-sheet'!S14</f>
        <v>441.37758385742876</v>
      </c>
      <c r="T28" s="2">
        <f>T6/'Output-Calculation-sheet'!T5*'Output-Calculation-sheet'!T14</f>
        <v>115.91093321242691</v>
      </c>
      <c r="U28" s="2">
        <f>U6/'Output-Calculation-sheet'!U5*'Output-Calculation-sheet'!U14</f>
        <v>115.70374535854505</v>
      </c>
      <c r="V28" s="2">
        <f>V6/'Output-Calculation-sheet'!V5*'Output-Calculation-sheet'!V14</f>
        <v>90.050025661151054</v>
      </c>
      <c r="W28" s="2">
        <f>W6/'Output-Calculation-sheet'!W5*'Output-Calculation-sheet'!W14</f>
        <v>54.621255024991989</v>
      </c>
      <c r="X28" s="2">
        <f>X6/'Output-Calculation-sheet'!X5*'Output-Calculation-sheet'!X14</f>
        <v>0</v>
      </c>
      <c r="Y28" s="2">
        <f>Y6/'Output-Calculation-sheet'!Y5*'Output-Calculation-sheet'!Y14</f>
        <v>46.18033023211477</v>
      </c>
      <c r="AA28" s="2">
        <f t="shared" ref="AA28:AA34" si="1">SUM(B28:Y28)/1000</f>
        <v>15.595878151189893</v>
      </c>
    </row>
    <row r="29" spans="1:27" x14ac:dyDescent="0.25">
      <c r="A29" s="2">
        <v>2030</v>
      </c>
      <c r="B29" s="2">
        <f>B7/'Output-Calculation-sheet'!B6*'Output-Calculation-sheet'!B15</f>
        <v>13552.6126352148</v>
      </c>
      <c r="C29" s="2">
        <f>C7/'Output-Calculation-sheet'!C6*'Output-Calculation-sheet'!C15</f>
        <v>0</v>
      </c>
      <c r="D29" s="2">
        <f>D7/'Output-Calculation-sheet'!D6*'Output-Calculation-sheet'!D15</f>
        <v>2370.7665856164185</v>
      </c>
      <c r="E29" s="2">
        <f>E7/'Output-Calculation-sheet'!E6*'Output-Calculation-sheet'!E15</f>
        <v>2550.8006949201194</v>
      </c>
      <c r="F29" s="2">
        <f>F7/'Output-Calculation-sheet'!F6*'Output-Calculation-sheet'!F15</f>
        <v>1286.9283360530835</v>
      </c>
      <c r="G29" s="2">
        <f>G7/'Output-Calculation-sheet'!G6*'Output-Calculation-sheet'!G15</f>
        <v>842.77219598129716</v>
      </c>
      <c r="H29" s="2">
        <f>H7/'Output-Calculation-sheet'!H6*'Output-Calculation-sheet'!H15</f>
        <v>0</v>
      </c>
      <c r="I29" s="2">
        <f>I7/'Output-Calculation-sheet'!I6*'Output-Calculation-sheet'!I15</f>
        <v>821.59594282078501</v>
      </c>
      <c r="J29" s="2">
        <f>J7/'Output-Calculation-sheet'!J6*'Output-Calculation-sheet'!J15</f>
        <v>731.35489294473336</v>
      </c>
      <c r="K29" s="2">
        <f>K7/'Output-Calculation-sheet'!K6*'Output-Calculation-sheet'!K15</f>
        <v>976.51335185901678</v>
      </c>
      <c r="L29" s="2">
        <f>L7/'Output-Calculation-sheet'!L6*'Output-Calculation-sheet'!L15</f>
        <v>824.83599291676478</v>
      </c>
      <c r="M29" s="2">
        <f>M7/'Output-Calculation-sheet'!M6*'Output-Calculation-sheet'!M15</f>
        <v>0</v>
      </c>
      <c r="N29" s="2">
        <f>N7/'Output-Calculation-sheet'!N6*'Output-Calculation-sheet'!N15</f>
        <v>1064.191500591799</v>
      </c>
      <c r="O29" s="2">
        <f>O7/'Output-Calculation-sheet'!O6*'Output-Calculation-sheet'!O15</f>
        <v>0</v>
      </c>
      <c r="P29" s="2">
        <f>P7/'Output-Calculation-sheet'!P6*'Output-Calculation-sheet'!P15</f>
        <v>967.17001188157531</v>
      </c>
      <c r="Q29" s="2">
        <f>Q7/'Output-Calculation-sheet'!Q6*'Output-Calculation-sheet'!Q15</f>
        <v>1089.8124823691437</v>
      </c>
      <c r="R29" s="2">
        <f>R7/'Output-Calculation-sheet'!R6*'Output-Calculation-sheet'!R15</f>
        <v>727.66172629851314</v>
      </c>
      <c r="S29" s="2">
        <f>S7/'Output-Calculation-sheet'!S6*'Output-Calculation-sheet'!S15</f>
        <v>751.59757644000138</v>
      </c>
      <c r="T29" s="2">
        <f>T7/'Output-Calculation-sheet'!T6*'Output-Calculation-sheet'!T15</f>
        <v>220.55373728929908</v>
      </c>
      <c r="U29" s="2">
        <f>U7/'Output-Calculation-sheet'!U6*'Output-Calculation-sheet'!U15</f>
        <v>220.1621149747352</v>
      </c>
      <c r="V29" s="2">
        <f>V7/'Output-Calculation-sheet'!V6*'Output-Calculation-sheet'!V15</f>
        <v>171.34797035911538</v>
      </c>
      <c r="W29" s="2">
        <f>W7/'Output-Calculation-sheet'!W6*'Output-Calculation-sheet'!W15</f>
        <v>103.93083250045947</v>
      </c>
      <c r="X29" s="2">
        <f>X7/'Output-Calculation-sheet'!X6*'Output-Calculation-sheet'!X15</f>
        <v>0</v>
      </c>
      <c r="Y29" s="2">
        <f>Y7/'Output-Calculation-sheet'!Y6*'Output-Calculation-sheet'!Y15</f>
        <v>87.871300313670062</v>
      </c>
      <c r="AA29" s="2">
        <f t="shared" si="1"/>
        <v>29.362479881345326</v>
      </c>
    </row>
    <row r="30" spans="1:27" x14ac:dyDescent="0.25">
      <c r="A30" s="2">
        <v>2031</v>
      </c>
      <c r="B30" s="2">
        <f>B8/'Output-Calculation-sheet'!B7*'Output-Calculation-sheet'!B16</f>
        <v>22107.500184672572</v>
      </c>
      <c r="C30" s="2">
        <f>C8/'Output-Calculation-sheet'!C7*'Output-Calculation-sheet'!C16</f>
        <v>0</v>
      </c>
      <c r="D30" s="2">
        <f>D8/'Output-Calculation-sheet'!D7*'Output-Calculation-sheet'!D16</f>
        <v>3722.6107775721471</v>
      </c>
      <c r="E30" s="2">
        <f>E8/'Output-Calculation-sheet'!E7*'Output-Calculation-sheet'!E16</f>
        <v>4005.3188771325836</v>
      </c>
      <c r="F30" s="2">
        <f>F8/'Output-Calculation-sheet'!F7*'Output-Calculation-sheet'!F16</f>
        <v>2020.7046869053145</v>
      </c>
      <c r="G30" s="2">
        <f>G8/'Output-Calculation-sheet'!G7*'Output-Calculation-sheet'!G16</f>
        <v>1323.3215675629369</v>
      </c>
      <c r="H30" s="2">
        <f>H8/'Output-Calculation-sheet'!H7*'Output-Calculation-sheet'!H16</f>
        <v>0</v>
      </c>
      <c r="I30" s="2">
        <f>I8/'Output-Calculation-sheet'!I7*'Output-Calculation-sheet'!I16</f>
        <v>1290.0403857038434</v>
      </c>
      <c r="J30" s="2">
        <f>J8/'Output-Calculation-sheet'!J7*'Output-Calculation-sheet'!J16</f>
        <v>1148.3839971566651</v>
      </c>
      <c r="K30" s="2">
        <f>K8/'Output-Calculation-sheet'!K7*'Output-Calculation-sheet'!K16</f>
        <v>1533.3121381012493</v>
      </c>
      <c r="L30" s="2">
        <f>L8/'Output-Calculation-sheet'!L7*'Output-Calculation-sheet'!L16</f>
        <v>1295.150256917992</v>
      </c>
      <c r="M30" s="2">
        <f>M8/'Output-Calculation-sheet'!M7*'Output-Calculation-sheet'!M16</f>
        <v>0</v>
      </c>
      <c r="N30" s="2">
        <f>N8/'Output-Calculation-sheet'!N7*'Output-Calculation-sheet'!N16</f>
        <v>1839.6518251331611</v>
      </c>
      <c r="O30" s="2">
        <f>O8/'Output-Calculation-sheet'!O7*'Output-Calculation-sheet'!O16</f>
        <v>0</v>
      </c>
      <c r="P30" s="2">
        <f>P8/'Output-Calculation-sheet'!P7*'Output-Calculation-sheet'!P16</f>
        <v>1653.4186966327834</v>
      </c>
      <c r="Q30" s="2">
        <f>Q8/'Output-Calculation-sheet'!Q7*'Output-Calculation-sheet'!Q16</f>
        <v>1818.2145085103157</v>
      </c>
      <c r="R30" s="2">
        <f>R8/'Output-Calculation-sheet'!R7*'Output-Calculation-sheet'!R16</f>
        <v>1153.6650083084974</v>
      </c>
      <c r="S30" s="2">
        <f>S8/'Output-Calculation-sheet'!S7*'Output-Calculation-sheet'!S16</f>
        <v>1160.2487061447423</v>
      </c>
      <c r="T30" s="2">
        <f>T8/'Output-Calculation-sheet'!T7*'Output-Calculation-sheet'!T16</f>
        <v>346.31365243570099</v>
      </c>
      <c r="U30" s="2">
        <f>U8/'Output-Calculation-sheet'!U7*'Output-Calculation-sheet'!U16</f>
        <v>345.69462556369194</v>
      </c>
      <c r="V30" s="2">
        <f>V8/'Output-Calculation-sheet'!V7*'Output-Calculation-sheet'!V16</f>
        <v>269.04755594960898</v>
      </c>
      <c r="W30" s="2">
        <f>W8/'Output-Calculation-sheet'!W7*'Output-Calculation-sheet'!W16</f>
        <v>163.19090605301153</v>
      </c>
      <c r="X30" s="2">
        <f>X8/'Output-Calculation-sheet'!X7*'Output-Calculation-sheet'!X16</f>
        <v>0</v>
      </c>
      <c r="Y30" s="2">
        <f>Y8/'Output-Calculation-sheet'!Y7*'Output-Calculation-sheet'!Y16</f>
        <v>138.12254923270021</v>
      </c>
      <c r="AA30" s="2">
        <f t="shared" si="1"/>
        <v>47.333910905689507</v>
      </c>
    </row>
    <row r="31" spans="1:27" x14ac:dyDescent="0.25">
      <c r="A31" s="2">
        <v>2032</v>
      </c>
      <c r="B31" s="2">
        <f>B9/'Output-Calculation-sheet'!B8*'Output-Calculation-sheet'!B17</f>
        <v>30224.423095827049</v>
      </c>
      <c r="C31" s="2">
        <f>C9/'Output-Calculation-sheet'!C8*'Output-Calculation-sheet'!C17</f>
        <v>0</v>
      </c>
      <c r="D31" s="2">
        <f>D9/'Output-Calculation-sheet'!D8*'Output-Calculation-sheet'!D17</f>
        <v>5069.0325889500064</v>
      </c>
      <c r="E31" s="2">
        <f>E9/'Output-Calculation-sheet'!E8*'Output-Calculation-sheet'!E17</f>
        <v>5957.9552354462385</v>
      </c>
      <c r="F31" s="2">
        <f>F9/'Output-Calculation-sheet'!F8*'Output-Calculation-sheet'!F17</f>
        <v>2751.6353490581068</v>
      </c>
      <c r="G31" s="2">
        <f>G9/'Output-Calculation-sheet'!G8*'Output-Calculation-sheet'!G17</f>
        <v>1801.9776424313748</v>
      </c>
      <c r="H31" s="2">
        <f>H9/'Output-Calculation-sheet'!H8*'Output-Calculation-sheet'!H17</f>
        <v>0</v>
      </c>
      <c r="I31" s="2">
        <f>I9/'Output-Calculation-sheet'!I8*'Output-Calculation-sheet'!I17</f>
        <v>1756.6666170009478</v>
      </c>
      <c r="J31" s="2">
        <f>J9/'Output-Calculation-sheet'!J8*'Output-Calculation-sheet'!J17</f>
        <v>1563.7718862071531</v>
      </c>
      <c r="K31" s="2">
        <f>K9/'Output-Calculation-sheet'!K8*'Output-Calculation-sheet'!K17</f>
        <v>2226.3959619298307</v>
      </c>
      <c r="L31" s="2">
        <f>L9/'Output-Calculation-sheet'!L8*'Output-Calculation-sheet'!L17</f>
        <v>1898.7243650116966</v>
      </c>
      <c r="M31" s="2">
        <f>M9/'Output-Calculation-sheet'!M8*'Output-Calculation-sheet'!M17</f>
        <v>0</v>
      </c>
      <c r="N31" s="2">
        <f>N9/'Output-Calculation-sheet'!N8*'Output-Calculation-sheet'!N17</f>
        <v>2071.6591040041781</v>
      </c>
      <c r="O31" s="2">
        <f>O9/'Output-Calculation-sheet'!O8*'Output-Calculation-sheet'!O17</f>
        <v>0</v>
      </c>
      <c r="P31" s="2">
        <f>P9/'Output-Calculation-sheet'!P8*'Output-Calculation-sheet'!P17</f>
        <v>2561.8778774032821</v>
      </c>
      <c r="Q31" s="2">
        <f>Q9/'Output-Calculation-sheet'!Q8*'Output-Calculation-sheet'!Q17</f>
        <v>2731.1971948364135</v>
      </c>
      <c r="R31" s="2">
        <f>R9/'Output-Calculation-sheet'!R8*'Output-Calculation-sheet'!R17</f>
        <v>1786.8935469602488</v>
      </c>
      <c r="S31" s="2">
        <f>S9/'Output-Calculation-sheet'!S8*'Output-Calculation-sheet'!S17</f>
        <v>1537.5425987193787</v>
      </c>
      <c r="T31" s="2">
        <f>T9/'Output-Calculation-sheet'!T8*'Output-Calculation-sheet'!T17</f>
        <v>484.88661914243954</v>
      </c>
      <c r="U31" s="2">
        <f>U9/'Output-Calculation-sheet'!U8*'Output-Calculation-sheet'!U17</f>
        <v>557.28930800609146</v>
      </c>
      <c r="V31" s="2">
        <f>V9/'Output-Calculation-sheet'!V8*'Output-Calculation-sheet'!V17</f>
        <v>399.15988855158793</v>
      </c>
      <c r="W31" s="2">
        <f>W9/'Output-Calculation-sheet'!W8*'Output-Calculation-sheet'!W17</f>
        <v>222.22172784580181</v>
      </c>
      <c r="X31" s="2">
        <f>X9/'Output-Calculation-sheet'!X8*'Output-Calculation-sheet'!X17</f>
        <v>0</v>
      </c>
      <c r="Y31" s="2">
        <f>Y9/'Output-Calculation-sheet'!Y8*'Output-Calculation-sheet'!Y17</f>
        <v>214.71433400421861</v>
      </c>
      <c r="AA31" s="2">
        <f t="shared" si="1"/>
        <v>65.818024941336063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2039.5452894024286</v>
      </c>
      <c r="O32" s="2">
        <f>O10/'Output-Calculation-sheet'!O9*'Output-Calculation-sheet'!O18</f>
        <v>0</v>
      </c>
      <c r="P32" s="2">
        <f>P10/'Output-Calculation-sheet'!P9*'Output-Calculation-sheet'!P18</f>
        <v>3283.8917229281974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2358.052399545863</v>
      </c>
      <c r="S32" s="2">
        <f>S10/'Output-Calculation-sheet'!S9*'Output-Calculation-sheet'!S18</f>
        <v>1543.2829329535984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761.27140097938081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80.432372991188444</v>
      </c>
    </row>
    <row r="33" spans="1:27" x14ac:dyDescent="0.25">
      <c r="A33" s="2">
        <v>2034</v>
      </c>
      <c r="B33" s="2">
        <f>B11/'Output-Calculation-sheet'!B10*'Output-Calculation-sheet'!B19</f>
        <v>30713.37231774276</v>
      </c>
      <c r="C33" s="2">
        <f>C11/'Output-Calculation-sheet'!C10*'Output-Calculation-sheet'!C19</f>
        <v>0</v>
      </c>
      <c r="D33" s="2">
        <f>D11/'Output-Calculation-sheet'!D10*'Output-Calculation-sheet'!D19</f>
        <v>9160.9987087000991</v>
      </c>
      <c r="E33" s="2">
        <f>E11/'Output-Calculation-sheet'!E10*'Output-Calculation-sheet'!E19</f>
        <v>11350.633351323842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3118.5599453568921</v>
      </c>
      <c r="H33" s="2">
        <f>H11/'Output-Calculation-sheet'!H10*'Output-Calculation-sheet'!H19</f>
        <v>0</v>
      </c>
      <c r="I33" s="2">
        <f>I11/'Output-Calculation-sheet'!I10*'Output-Calculation-sheet'!I19</f>
        <v>3402.7792748455208</v>
      </c>
      <c r="J33" s="2">
        <f>J11/'Output-Calculation-sheet'!J10*'Output-Calculation-sheet'!J19</f>
        <v>2876.8866491973245</v>
      </c>
      <c r="K33" s="2">
        <f>K11/'Output-Calculation-sheet'!K10*'Output-Calculation-sheet'!K19</f>
        <v>3992.5879019280269</v>
      </c>
      <c r="L33" s="2">
        <f>L11/'Output-Calculation-sheet'!L10*'Output-Calculation-sheet'!L19</f>
        <v>3248.5048592085241</v>
      </c>
      <c r="M33" s="2">
        <f>M11/'Output-Calculation-sheet'!M10*'Output-Calculation-sheet'!M19</f>
        <v>0</v>
      </c>
      <c r="N33" s="2">
        <f>N11/'Output-Calculation-sheet'!N10*'Output-Calculation-sheet'!N19</f>
        <v>1835.9744244737808</v>
      </c>
      <c r="O33" s="2">
        <f>O11/'Output-Calculation-sheet'!O10*'Output-Calculation-sheet'!O19</f>
        <v>0</v>
      </c>
      <c r="P33" s="2">
        <f>P11/'Output-Calculation-sheet'!P10*'Output-Calculation-sheet'!P19</f>
        <v>4039.79465849904</v>
      </c>
      <c r="Q33" s="2">
        <f>Q11/'Output-Calculation-sheet'!Q10*'Output-Calculation-sheet'!Q19</f>
        <v>3234.6158649854578</v>
      </c>
      <c r="R33" s="2">
        <f>R11/'Output-Calculation-sheet'!R10*'Output-Calculation-sheet'!R19</f>
        <v>2884.307004209777</v>
      </c>
      <c r="S33" s="2">
        <f>S11/'Output-Calculation-sheet'!S10*'Output-Calculation-sheet'!S19</f>
        <v>1348.1074393325928</v>
      </c>
      <c r="T33" s="2">
        <f>T11/'Output-Calculation-sheet'!T10*'Output-Calculation-sheet'!T19</f>
        <v>846.30559348241661</v>
      </c>
      <c r="U33" s="2">
        <f>U11/'Output-Calculation-sheet'!U10*'Output-Calculation-sheet'!U19</f>
        <v>973.26762765146225</v>
      </c>
      <c r="V33" s="2">
        <f>V11/'Output-Calculation-sheet'!V10*'Output-Calculation-sheet'!V19</f>
        <v>663.72515357563418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163.22901277916768</v>
      </c>
      <c r="Y33" s="2">
        <f>Y11/'Output-Calculation-sheet'!Y10*'Output-Calculation-sheet'!Y19</f>
        <v>372.47280288421263</v>
      </c>
      <c r="AA33" s="2">
        <f t="shared" si="1"/>
        <v>89.846952523947351</v>
      </c>
    </row>
    <row r="34" spans="1:27" x14ac:dyDescent="0.25">
      <c r="A34" s="2">
        <v>2035</v>
      </c>
      <c r="B34" s="2">
        <f>B12/'Output-Calculation-sheet'!B11*'Output-Calculation-sheet'!B20</f>
        <v>27348.070879186595</v>
      </c>
      <c r="C34" s="2">
        <f>C12/'Output-Calculation-sheet'!C11*'Output-Calculation-sheet'!C20</f>
        <v>0</v>
      </c>
      <c r="D34" s="2">
        <f>D12/'Output-Calculation-sheet'!D11*'Output-Calculation-sheet'!D20</f>
        <v>10134.505129888545</v>
      </c>
      <c r="E34" s="2">
        <f>E12/'Output-Calculation-sheet'!E11*'Output-Calculation-sheet'!E20</f>
        <v>9138.8884049563567</v>
      </c>
      <c r="F34" s="2">
        <f>F12/'Output-Calculation-sheet'!F11*'Output-Calculation-sheet'!F20</f>
        <v>6479.2502860700715</v>
      </c>
      <c r="G34" s="2">
        <f>G12/'Output-Calculation-sheet'!G11*'Output-Calculation-sheet'!G20</f>
        <v>3223.9953244250969</v>
      </c>
      <c r="H34" s="2">
        <f>H12/'Output-Calculation-sheet'!H11*'Output-Calculation-sheet'!H20</f>
        <v>0</v>
      </c>
      <c r="I34" s="2">
        <f>I12/'Output-Calculation-sheet'!I11*'Output-Calculation-sheet'!I20</f>
        <v>3961.2202437389869</v>
      </c>
      <c r="J34" s="2">
        <f>J12/'Output-Calculation-sheet'!J11*'Output-Calculation-sheet'!J20</f>
        <v>3299.9897705011813</v>
      </c>
      <c r="K34" s="2">
        <f>K12/'Output-Calculation-sheet'!K11*'Output-Calculation-sheet'!K20</f>
        <v>4644.2846269735874</v>
      </c>
      <c r="L34" s="2">
        <f>L12/'Output-Calculation-sheet'!L11*'Output-Calculation-sheet'!L20</f>
        <v>3159.9541295350864</v>
      </c>
      <c r="M34" s="2">
        <f>M12/'Output-Calculation-sheet'!M11*'Output-Calculation-sheet'!M20</f>
        <v>0</v>
      </c>
      <c r="N34" s="2">
        <f>N12/'Output-Calculation-sheet'!N11*'Output-Calculation-sheet'!N20</f>
        <v>1808.6601076832844</v>
      </c>
      <c r="O34" s="2">
        <f>O12/'Output-Calculation-sheet'!O11*'Output-Calculation-sheet'!O20</f>
        <v>0</v>
      </c>
      <c r="P34" s="2">
        <f>P12/'Output-Calculation-sheet'!P11*'Output-Calculation-sheet'!P20</f>
        <v>3841.8181698285389</v>
      </c>
      <c r="Q34" s="2">
        <f>Q12/'Output-Calculation-sheet'!Q11*'Output-Calculation-sheet'!Q20</f>
        <v>2738.9866730049594</v>
      </c>
      <c r="R34" s="2">
        <f>R12/'Output-Calculation-sheet'!R11*'Output-Calculation-sheet'!R20</f>
        <v>3333.1636822621108</v>
      </c>
      <c r="S34" s="2">
        <f>S12/'Output-Calculation-sheet'!S11*'Output-Calculation-sheet'!S20</f>
        <v>1193.5337191845858</v>
      </c>
      <c r="T34" s="2">
        <f>T12/'Output-Calculation-sheet'!T11*'Output-Calculation-sheet'!T20</f>
        <v>964.80688636932223</v>
      </c>
      <c r="U34" s="2">
        <f>U12/'Output-Calculation-sheet'!U11*'Output-Calculation-sheet'!U20</f>
        <v>883.37615109804244</v>
      </c>
      <c r="V34" s="2">
        <f>V12/'Output-Calculation-sheet'!V11*'Output-Calculation-sheet'!V20</f>
        <v>872.03564272659196</v>
      </c>
      <c r="W34" s="2">
        <f>W12/'Output-Calculation-sheet'!W11*'Output-Calculation-sheet'!W20</f>
        <v>515.09699764200775</v>
      </c>
      <c r="X34" s="2">
        <f>X12/'Output-Calculation-sheet'!X11*'Output-Calculation-sheet'!X20</f>
        <v>148.94512879196793</v>
      </c>
      <c r="Y34" s="2">
        <f>Y12/'Output-Calculation-sheet'!Y11*'Output-Calculation-sheet'!Y20</f>
        <v>277.7591590014253</v>
      </c>
      <c r="AA34" s="2">
        <f t="shared" si="1"/>
        <v>87.968341112868302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0.26051857877258355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0.26051857877258355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1.3004403175892132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0.2526405689007265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1.5530808864899397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2.4128172537182899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0.46874548211710521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11.552669962582923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12387.035729186455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2044.71404454815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1444.9893858442663</v>
      </c>
      <c r="N51" s="2">
        <f>N7/'Output-Calculation-sheet'!N6*'Output-Calculation-sheet'!N42</f>
        <v>0</v>
      </c>
      <c r="O51" s="2">
        <f>O7/'Output-Calculation-sheet'!O6*'Output-Calculation-sheet'!O42</f>
        <v>2528.5350100864739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204.40594718443722</v>
      </c>
      <c r="Y51" s="2">
        <f>Y7/'Output-Calculation-sheet'!Y6*'Output-Calculation-sheet'!Y42</f>
        <v>0</v>
      </c>
      <c r="AA51" s="2">
        <f t="shared" si="3"/>
        <v>18.609680116849784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36997.536135153394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8069.9156613597024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5508.1102771109781</v>
      </c>
      <c r="N52" s="2">
        <f>N8/'Output-Calculation-sheet'!N7*'Output-Calculation-sheet'!N43</f>
        <v>176.05166037926801</v>
      </c>
      <c r="O52" s="2">
        <f>O8/'Output-Calculation-sheet'!O7*'Output-Calculation-sheet'!O43</f>
        <v>7495.6670653344163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712.33109772174623</v>
      </c>
      <c r="Y52" s="2">
        <f>Y8/'Output-Calculation-sheet'!Y7*'Output-Calculation-sheet'!Y43</f>
        <v>0</v>
      </c>
      <c r="AA52" s="2">
        <f t="shared" si="3"/>
        <v>58.95961189705951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66443.815924397393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15526.208722055439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10634.767589721598</v>
      </c>
      <c r="N53" s="2">
        <f>N9/'Output-Calculation-sheet'!N8*'Output-Calculation-sheet'!N44</f>
        <v>3763.7761447955932</v>
      </c>
      <c r="O53" s="2">
        <f>O9/'Output-Calculation-sheet'!O8*'Output-Calculation-sheet'!O44</f>
        <v>13176.701665648792</v>
      </c>
      <c r="P53" s="2">
        <f>P9/'Output-Calculation-sheet'!P8*'Output-Calculation-sheet'!P44</f>
        <v>177.17457246666368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1181.82654949159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1329.8856193857209</v>
      </c>
      <c r="Y53" s="2">
        <f>Y9/'Output-Calculation-sheet'!Y8*'Output-Calculation-sheet'!Y44</f>
        <v>0</v>
      </c>
      <c r="AA53" s="2">
        <f t="shared" si="3"/>
        <v>112.2341567879628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82812.108589366588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15128.359574337746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568.19472574087808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188.7587820148776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81904.925265706581</v>
      </c>
      <c r="D55" s="2">
        <f>D11/'Output-Calculation-sheet'!D10*'Output-Calculation-sheet'!D46</f>
        <v>8084.0068906881679</v>
      </c>
      <c r="E55" s="2">
        <f>E11/'Output-Calculation-sheet'!E10*'Output-Calculation-sheet'!E46</f>
        <v>9877.8674124822774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26933.543474513946</v>
      </c>
      <c r="I55" s="2">
        <f>I11/'Output-Calculation-sheet'!I10*'Output-Calculation-sheet'!I46</f>
        <v>1956.2198805259395</v>
      </c>
      <c r="J55" s="2">
        <f>J11/'Output-Calculation-sheet'!J10*'Output-Calculation-sheet'!J46</f>
        <v>1419.7446423208232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18460.424929035798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15136.272680631244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5534.6641542161342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6915.5356429021513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1593.2896602186211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1927.0772875567143</v>
      </c>
      <c r="Y55" s="2">
        <f>Y11/'Output-Calculation-sheet'!Y10*'Output-Calculation-sheet'!Y46</f>
        <v>488.57782276671827</v>
      </c>
      <c r="AA55" s="2">
        <f t="shared" si="3"/>
        <v>301.90461055279826</v>
      </c>
    </row>
    <row r="56" spans="1:27" x14ac:dyDescent="0.25">
      <c r="A56" s="2">
        <v>2035</v>
      </c>
      <c r="B56" s="2">
        <f>B12/'Output-Calculation-sheet'!B11*'Output-Calculation-sheet'!B47</f>
        <v>122855.05731060139</v>
      </c>
      <c r="C56" s="2">
        <f>C12/'Output-Calculation-sheet'!C11*'Output-Calculation-sheet'!C47</f>
        <v>77146.656928097946</v>
      </c>
      <c r="D56" s="2">
        <f>D12/'Output-Calculation-sheet'!D11*'Output-Calculation-sheet'!D47</f>
        <v>21373.494987601294</v>
      </c>
      <c r="E56" s="2">
        <f>E12/'Output-Calculation-sheet'!E11*'Output-Calculation-sheet'!E47</f>
        <v>31662.924088649455</v>
      </c>
      <c r="F56" s="2">
        <f>F12/'Output-Calculation-sheet'!F11*'Output-Calculation-sheet'!F47</f>
        <v>4591.8898469400274</v>
      </c>
      <c r="G56" s="2">
        <f>G12/'Output-Calculation-sheet'!G11*'Output-Calculation-sheet'!G47</f>
        <v>7398.1097010995927</v>
      </c>
      <c r="H56" s="2">
        <f>H12/'Output-Calculation-sheet'!H11*'Output-Calculation-sheet'!H47</f>
        <v>26061.063006568675</v>
      </c>
      <c r="I56" s="2">
        <f>I12/'Output-Calculation-sheet'!I11*'Output-Calculation-sheet'!I47</f>
        <v>7259.0814295111468</v>
      </c>
      <c r="J56" s="2">
        <f>J12/'Output-Calculation-sheet'!J11*'Output-Calculation-sheet'!J47</f>
        <v>5807.1534290361215</v>
      </c>
      <c r="K56" s="2">
        <f>K12/'Output-Calculation-sheet'!K11*'Output-Calculation-sheet'!K47</f>
        <v>7788.5333947838444</v>
      </c>
      <c r="L56" s="2">
        <f>L12/'Output-Calculation-sheet'!L11*'Output-Calculation-sheet'!L47</f>
        <v>6523.9958689712521</v>
      </c>
      <c r="M56" s="2">
        <f>M12/'Output-Calculation-sheet'!M11*'Output-Calculation-sheet'!M47</f>
        <v>18044.64007936123</v>
      </c>
      <c r="N56" s="2">
        <f>N12/'Output-Calculation-sheet'!N11*'Output-Calculation-sheet'!N47</f>
        <v>15113.29216856769</v>
      </c>
      <c r="O56" s="2">
        <f>O12/'Output-Calculation-sheet'!O11*'Output-Calculation-sheet'!O47</f>
        <v>14124.041500633828</v>
      </c>
      <c r="P56" s="2">
        <f>P12/'Output-Calculation-sheet'!P11*'Output-Calculation-sheet'!P47</f>
        <v>8080.0257118590071</v>
      </c>
      <c r="Q56" s="2">
        <f>Q12/'Output-Calculation-sheet'!Q11*'Output-Calculation-sheet'!Q47</f>
        <v>8164.959073990457</v>
      </c>
      <c r="R56" s="2">
        <f>R12/'Output-Calculation-sheet'!R11*'Output-Calculation-sheet'!R47</f>
        <v>6374.2965301001732</v>
      </c>
      <c r="S56" s="2">
        <f>S12/'Output-Calculation-sheet'!S11*'Output-Calculation-sheet'!S47</f>
        <v>7981.4757536362886</v>
      </c>
      <c r="T56" s="2">
        <f>T12/'Output-Calculation-sheet'!T11*'Output-Calculation-sheet'!T47</f>
        <v>2407.8389072313457</v>
      </c>
      <c r="U56" s="2">
        <f>U12/'Output-Calculation-sheet'!U11*'Output-Calculation-sheet'!U47</f>
        <v>2512.7406623720776</v>
      </c>
      <c r="V56" s="2">
        <f>V12/'Output-Calculation-sheet'!V11*'Output-Calculation-sheet'!V47</f>
        <v>1305.9473272185373</v>
      </c>
      <c r="W56" s="2">
        <f>W12/'Output-Calculation-sheet'!W11*'Output-Calculation-sheet'!W47</f>
        <v>699.07225392693113</v>
      </c>
      <c r="X56" s="2">
        <f>X12/'Output-Calculation-sheet'!X11*'Output-Calculation-sheet'!X47</f>
        <v>1814.7846301547356</v>
      </c>
      <c r="Y56" s="2">
        <f>Y12/'Output-Calculation-sheet'!Y11*'Output-Calculation-sheet'!Y47</f>
        <v>1013.2865225685924</v>
      </c>
      <c r="AA56" s="2">
        <f t="shared" si="3"/>
        <v>406.10436111348173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5.2452861806668842</v>
      </c>
      <c r="C60" s="2">
        <f>C5*'Output-Calculation-sheet'!C49/10^9</f>
        <v>2.58410450031201</v>
      </c>
      <c r="D60" s="2">
        <f>D5*'Output-Calculation-sheet'!D49/10^9</f>
        <v>2.1658195386965833</v>
      </c>
      <c r="E60" s="2">
        <f>E5*'Output-Calculation-sheet'!E49/10^9</f>
        <v>2.1274729813927955</v>
      </c>
      <c r="F60" s="2">
        <f>F5*'Output-Calculation-sheet'!F49/10^9</f>
        <v>0.87329625934295263</v>
      </c>
      <c r="G60" s="2">
        <f>G5*'Output-Calculation-sheet'!G49/10^9</f>
        <v>0.63891002130183305</v>
      </c>
      <c r="H60" s="2">
        <f>H5*'Output-Calculation-sheet'!H49/10^9</f>
        <v>0.84163448392708973</v>
      </c>
      <c r="I60" s="2">
        <f>I5*'Output-Calculation-sheet'!I49/10^9</f>
        <v>0.58929478695719806</v>
      </c>
      <c r="J60" s="2">
        <f>J5*'Output-Calculation-sheet'!J49/10^9</f>
        <v>0.86439852305855336</v>
      </c>
      <c r="K60" s="2">
        <f>K5*'Output-Calculation-sheet'!K49/10^9</f>
        <v>0.7147040917405767</v>
      </c>
      <c r="L60" s="2">
        <f>L5*'Output-Calculation-sheet'!L49/10^9</f>
        <v>1.0267798450641354</v>
      </c>
      <c r="M60" s="2">
        <f>M5*'Output-Calculation-sheet'!M49/10^9</f>
        <v>0.73857280185041085</v>
      </c>
      <c r="N60" s="2">
        <f>N5*'Output-Calculation-sheet'!N49/10^9</f>
        <v>0.6449411809477803</v>
      </c>
      <c r="O60" s="2">
        <f>O5*'Output-Calculation-sheet'!O49/10^9</f>
        <v>0.5403530448659255</v>
      </c>
      <c r="P60" s="2">
        <f>P5*'Output-Calculation-sheet'!P49/10^9</f>
        <v>0.44113603652596484</v>
      </c>
      <c r="Q60" s="2">
        <f>Q5*'Output-Calculation-sheet'!Q49/10^9</f>
        <v>0.50411902394713426</v>
      </c>
      <c r="R60" s="2">
        <f>R5*'Output-Calculation-sheet'!R49/10^9</f>
        <v>0.49501191830542857</v>
      </c>
      <c r="S60" s="2">
        <f>S5*'Output-Calculation-sheet'!S49/10^9</f>
        <v>0.30923364365514211</v>
      </c>
      <c r="T60" s="2">
        <f>T5*'Output-Calculation-sheet'!T49/10^9</f>
        <v>0.1961363350031976</v>
      </c>
      <c r="U60" s="2">
        <f>U5*'Output-Calculation-sheet'!U49/10^9</f>
        <v>0.12550101646400827</v>
      </c>
      <c r="V60" s="2">
        <f>V5*'Output-Calculation-sheet'!V49/10^9</f>
        <v>0.25213028937662052</v>
      </c>
      <c r="W60" s="2">
        <f>W5*'Output-Calculation-sheet'!W49/10^9</f>
        <v>8.5643853833426084E-2</v>
      </c>
      <c r="X60" s="2">
        <f>X5*'Output-Calculation-sheet'!X49/10^9</f>
        <v>7.3298787328379827E-2</v>
      </c>
      <c r="Y60" s="2">
        <f>Y5*'Output-Calculation-sheet'!Y49/10^9</f>
        <v>5.3177743884530691E-2</v>
      </c>
      <c r="AA60" s="2">
        <f>SUM(B60:Y60)</f>
        <v>22.130956888448551</v>
      </c>
    </row>
    <row r="61" spans="1:27" x14ac:dyDescent="0.25">
      <c r="A61" s="2">
        <v>2029</v>
      </c>
      <c r="B61" s="2">
        <f>B6*'Output-Calculation-sheet'!B50/10^9</f>
        <v>6.7436047450809831</v>
      </c>
      <c r="C61" s="2">
        <f>C6*'Output-Calculation-sheet'!C50/10^9</f>
        <v>3.4442245035281225</v>
      </c>
      <c r="D61" s="2">
        <f>D6*'Output-Calculation-sheet'!D50/10^9</f>
        <v>2.6715204501506951</v>
      </c>
      <c r="E61" s="2">
        <f>E6*'Output-Calculation-sheet'!E50/10^9</f>
        <v>2.6322864657663607</v>
      </c>
      <c r="F61" s="2">
        <f>F6*'Output-Calculation-sheet'!F50/10^9</f>
        <v>1.0892290117771062</v>
      </c>
      <c r="G61" s="2">
        <f>G6*'Output-Calculation-sheet'!G50/10^9</f>
        <v>0.79329993564422596</v>
      </c>
      <c r="H61" s="2">
        <f>H6*'Output-Calculation-sheet'!H50/10^9</f>
        <v>1.0894287386746575</v>
      </c>
      <c r="I61" s="2">
        <f>I6*'Output-Calculation-sheet'!I50/10^9</f>
        <v>0.73330358631007442</v>
      </c>
      <c r="J61" s="2">
        <f>J6*'Output-Calculation-sheet'!J50/10^9</f>
        <v>1.0584228646801299</v>
      </c>
      <c r="K61" s="2">
        <f>K6*'Output-Calculation-sheet'!K50/10^9</f>
        <v>0.88863606283769736</v>
      </c>
      <c r="L61" s="2">
        <f>L6*'Output-Calculation-sheet'!L50/10^9</f>
        <v>1.255656804711246</v>
      </c>
      <c r="M61" s="2">
        <f>M6*'Output-Calculation-sheet'!M50/10^9</f>
        <v>0.94053459018888419</v>
      </c>
      <c r="N61" s="2">
        <f>N6*'Output-Calculation-sheet'!N50/10^9</f>
        <v>0.82739937681886933</v>
      </c>
      <c r="O61" s="2">
        <f>O6*'Output-Calculation-sheet'!O50/10^9</f>
        <v>0.72090249367815662</v>
      </c>
      <c r="P61" s="2">
        <f>P6*'Output-Calculation-sheet'!P50/10^9</f>
        <v>0.56173267926518033</v>
      </c>
      <c r="Q61" s="2">
        <f>Q6*'Output-Calculation-sheet'!Q50/10^9</f>
        <v>0.64088455067583439</v>
      </c>
      <c r="R61" s="2">
        <f>R6*'Output-Calculation-sheet'!R50/10^9</f>
        <v>0.61734352325534037</v>
      </c>
      <c r="S61" s="2">
        <f>S6*'Output-Calculation-sheet'!S50/10^9</f>
        <v>0.39965179418326408</v>
      </c>
      <c r="T61" s="2">
        <f>T6*'Output-Calculation-sheet'!T50/10^9</f>
        <v>0.24214534652990166</v>
      </c>
      <c r="U61" s="2">
        <f>U6*'Output-Calculation-sheet'!U50/10^9</f>
        <v>0.15781209935011198</v>
      </c>
      <c r="V61" s="2">
        <f>V6*'Output-Calculation-sheet'!V50/10^9</f>
        <v>0.30719871801584409</v>
      </c>
      <c r="W61" s="2">
        <f>W6*'Output-Calculation-sheet'!W50/10^9</f>
        <v>0.10601092401687695</v>
      </c>
      <c r="X61" s="2">
        <f>X6*'Output-Calculation-sheet'!X50/10^9</f>
        <v>9.4938274835478495E-2</v>
      </c>
      <c r="Y61" s="2">
        <f>Y6*'Output-Calculation-sheet'!Y50/10^9</f>
        <v>6.6671925707282587E-2</v>
      </c>
      <c r="AA61" s="2">
        <f t="shared" ref="AA61:AA67" si="4">SUM(B61:Y61)</f>
        <v>28.08283946568233</v>
      </c>
    </row>
    <row r="62" spans="1:27" x14ac:dyDescent="0.25">
      <c r="A62" s="2">
        <v>2030</v>
      </c>
      <c r="B62" s="2">
        <f>B7*'Output-Calculation-sheet'!B51/10^9</f>
        <v>7.8558475137770314</v>
      </c>
      <c r="C62" s="2">
        <f>C7*'Output-Calculation-sheet'!C51/10^9</f>
        <v>4.4760564512240064</v>
      </c>
      <c r="D62" s="2">
        <f>D7*'Output-Calculation-sheet'!D51/10^9</f>
        <v>2.9479300018430195</v>
      </c>
      <c r="E62" s="2">
        <f>E7*'Output-Calculation-sheet'!E51/10^9</f>
        <v>2.9158614903282909</v>
      </c>
      <c r="F62" s="2">
        <f>F7*'Output-Calculation-sheet'!F51/10^9</f>
        <v>1.2186605089673279</v>
      </c>
      <c r="G62" s="2">
        <f>G7*'Output-Calculation-sheet'!G51/10^9</f>
        <v>0.88262897553606723</v>
      </c>
      <c r="H62" s="2">
        <f>H7*'Output-Calculation-sheet'!H51/10^9</f>
        <v>1.3406292084442526</v>
      </c>
      <c r="I62" s="2">
        <f>I7*'Output-Calculation-sheet'!I51/10^9</f>
        <v>0.8180999069197723</v>
      </c>
      <c r="J62" s="2">
        <f>J7*'Output-Calculation-sheet'!J51/10^9</f>
        <v>1.1570710365767169</v>
      </c>
      <c r="K62" s="2">
        <f>K7*'Output-Calculation-sheet'!K51/10^9</f>
        <v>0.99039576983047228</v>
      </c>
      <c r="L62" s="2">
        <f>L7*'Output-Calculation-sheet'!L51/10^9</f>
        <v>1.3704507430612269</v>
      </c>
      <c r="M62" s="2">
        <f>M7*'Output-Calculation-sheet'!M51/10^9</f>
        <v>1.1256770504829978</v>
      </c>
      <c r="N62" s="2">
        <f>N7*'Output-Calculation-sheet'!N51/10^9</f>
        <v>0.96163767370937558</v>
      </c>
      <c r="O62" s="2">
        <f>O7*'Output-Calculation-sheet'!O51/10^9</f>
        <v>0.93402244490666453</v>
      </c>
      <c r="P62" s="2">
        <f>P7*'Output-Calculation-sheet'!P51/10^9</f>
        <v>0.6443375512153251</v>
      </c>
      <c r="Q62" s="2">
        <f>Q7*'Output-Calculation-sheet'!Q51/10^9</f>
        <v>0.73533153807587159</v>
      </c>
      <c r="R62" s="2">
        <f>R7*'Output-Calculation-sheet'!R51/10^9</f>
        <v>0.69061092763401444</v>
      </c>
      <c r="S62" s="2">
        <f>S7*'Output-Calculation-sheet'!S51/10^9</f>
        <v>0.47050084356344474</v>
      </c>
      <c r="T62" s="2">
        <f>T7*'Output-Calculation-sheet'!T51/10^9</f>
        <v>0.26749508929734744</v>
      </c>
      <c r="U62" s="2">
        <f>U7*'Output-Calculation-sheet'!U51/10^9</f>
        <v>0.17832555370439715</v>
      </c>
      <c r="V62" s="2">
        <f>V7*'Output-Calculation-sheet'!V51/10^9</f>
        <v>0.33369253901966001</v>
      </c>
      <c r="W62" s="2">
        <f>W7*'Output-Calculation-sheet'!W51/10^9</f>
        <v>0.11749418400683552</v>
      </c>
      <c r="X62" s="2">
        <f>X7*'Output-Calculation-sheet'!X51/10^9</f>
        <v>0.11739542968607819</v>
      </c>
      <c r="Y62" s="2">
        <f>Y7*'Output-Calculation-sheet'!Y51/10^9</f>
        <v>7.5069750087670473E-2</v>
      </c>
      <c r="AA62" s="2">
        <f t="shared" si="4"/>
        <v>32.625222181897875</v>
      </c>
    </row>
    <row r="63" spans="1:27" x14ac:dyDescent="0.25">
      <c r="A63" s="2">
        <v>2031</v>
      </c>
      <c r="B63" s="2">
        <f>B8*'Output-Calculation-sheet'!B52/10^9</f>
        <v>8.6098561073910034</v>
      </c>
      <c r="C63" s="2">
        <f>C8*'Output-Calculation-sheet'!C52/10^9</f>
        <v>5.4297206750738587</v>
      </c>
      <c r="D63" s="2">
        <f>D8*'Output-Calculation-sheet'!D52/10^9</f>
        <v>2.9524841859017692</v>
      </c>
      <c r="E63" s="2">
        <f>E8*'Output-Calculation-sheet'!E52/10^9</f>
        <v>2.935576004494366</v>
      </c>
      <c r="F63" s="2">
        <f>F8*'Output-Calculation-sheet'!F52/10^9</f>
        <v>1.2432171850668856</v>
      </c>
      <c r="G63" s="2">
        <f>G8*'Output-Calculation-sheet'!G52/10^9</f>
        <v>0.89381590775050335</v>
      </c>
      <c r="H63" s="2">
        <f>H8*'Output-Calculation-sheet'!H52/10^9</f>
        <v>1.5612709906404016</v>
      </c>
      <c r="I63" s="2">
        <f>I8*'Output-Calculation-sheet'!I52/10^9</f>
        <v>0.83145641813574178</v>
      </c>
      <c r="J63" s="2">
        <f>J8*'Output-Calculation-sheet'!J52/10^9</f>
        <v>1.1441415065468967</v>
      </c>
      <c r="K63" s="2">
        <f>K8*'Output-Calculation-sheet'!K52/10^9</f>
        <v>1.0052274732524238</v>
      </c>
      <c r="L63" s="2">
        <f>L8*'Output-Calculation-sheet'!L52/10^9</f>
        <v>1.3520774124472847</v>
      </c>
      <c r="M63" s="2">
        <f>M8*'Output-Calculation-sheet'!M52/10^9</f>
        <v>1.26726431601492</v>
      </c>
      <c r="N63" s="2">
        <f>N8*'Output-Calculation-sheet'!N52/10^9</f>
        <v>1.0576567621963442</v>
      </c>
      <c r="O63" s="2">
        <f>O8*'Output-Calculation-sheet'!O52/10^9</f>
        <v>1.1278397474765616</v>
      </c>
      <c r="P63" s="2">
        <f>P8*'Output-Calculation-sheet'!P52/10^9</f>
        <v>0.69458634421680199</v>
      </c>
      <c r="Q63" s="2">
        <f>Q8*'Output-Calculation-sheet'!Q52/10^9</f>
        <v>0.78606390891618705</v>
      </c>
      <c r="R63" s="2">
        <f>R8*'Output-Calculation-sheet'!R52/10^9</f>
        <v>0.70573014605038176</v>
      </c>
      <c r="S63" s="2">
        <f>S8*'Output-Calculation-sheet'!S52/10^9</f>
        <v>0.5229741567225259</v>
      </c>
      <c r="T63" s="2">
        <f>T8*'Output-Calculation-sheet'!T52/10^9</f>
        <v>0.26830961536092512</v>
      </c>
      <c r="U63" s="2">
        <f>U8*'Output-Calculation-sheet'!U52/10^9</f>
        <v>0.18427206050699965</v>
      </c>
      <c r="V63" s="2">
        <f>V8*'Output-Calculation-sheet'!V52/10^9</f>
        <v>0.3270396107988951</v>
      </c>
      <c r="W63" s="2">
        <f>W8*'Output-Calculation-sheet'!W52/10^9</f>
        <v>0.11837324587084121</v>
      </c>
      <c r="X63" s="2">
        <f>X8*'Output-Calculation-sheet'!X52/10^9</f>
        <v>0.13624487508772731</v>
      </c>
      <c r="Y63" s="2">
        <f>Y8*'Output-Calculation-sheet'!Y52/10^9</f>
        <v>7.7235175472288559E-2</v>
      </c>
      <c r="AA63" s="2">
        <f t="shared" si="4"/>
        <v>35.232433831392534</v>
      </c>
    </row>
    <row r="64" spans="1:27" x14ac:dyDescent="0.25">
      <c r="A64" s="2">
        <v>2032</v>
      </c>
      <c r="B64" s="2">
        <f>B9*'Output-Calculation-sheet'!B53/10^9</f>
        <v>8.9496451475808652</v>
      </c>
      <c r="C64" s="2">
        <f>C9*'Output-Calculation-sheet'!C53/10^9</f>
        <v>6.042215837845041</v>
      </c>
      <c r="D64" s="2">
        <f>D9*'Output-Calculation-sheet'!D53/10^9</f>
        <v>2.6485559676028565</v>
      </c>
      <c r="E64" s="2">
        <f>E9*'Output-Calculation-sheet'!E53/10^9</f>
        <v>2.7122504410231398</v>
      </c>
      <c r="F64" s="2">
        <f>F9*'Output-Calculation-sheet'!F53/10^9</f>
        <v>1.1440111892583524</v>
      </c>
      <c r="G64" s="2">
        <f>G9*'Output-Calculation-sheet'!G53/10^9</f>
        <v>0.81427130296812855</v>
      </c>
      <c r="H64" s="2">
        <f>H9*'Output-Calculation-sheet'!H53/10^9</f>
        <v>1.6732093445546976</v>
      </c>
      <c r="I64" s="2">
        <f>I9*'Output-Calculation-sheet'!I53/10^9</f>
        <v>0.76121071332313839</v>
      </c>
      <c r="J64" s="2">
        <f>J9*'Output-Calculation-sheet'!J53/10^9</f>
        <v>1.0076893020150326</v>
      </c>
      <c r="K64" s="2">
        <f>K9*'Output-Calculation-sheet'!K53/10^9</f>
        <v>0.93499617108995936</v>
      </c>
      <c r="L64" s="2">
        <f>L9*'Output-Calculation-sheet'!L53/10^9</f>
        <v>1.2028648288698629</v>
      </c>
      <c r="M64" s="2">
        <f>M9*'Output-Calculation-sheet'!M53/10^9</f>
        <v>1.3113219928768045</v>
      </c>
      <c r="N64" s="2">
        <f>N9*'Output-Calculation-sheet'!N53/10^9</f>
        <v>1.1038939331720736</v>
      </c>
      <c r="O64" s="2">
        <f>O9*'Output-Calculation-sheet'!O53/10^9</f>
        <v>1.2496836781465377</v>
      </c>
      <c r="P64" s="2">
        <f>P9*'Output-Calculation-sheet'!P53/10^9</f>
        <v>0.71285905699131125</v>
      </c>
      <c r="Q64" s="2">
        <f>Q9*'Output-Calculation-sheet'!Q53/10^9</f>
        <v>0.78782888730145306</v>
      </c>
      <c r="R64" s="2">
        <f>R9*'Output-Calculation-sheet'!R53/10^9</f>
        <v>0.67535448331585957</v>
      </c>
      <c r="S64" s="2">
        <f>S9*'Output-Calculation-sheet'!S53/10^9</f>
        <v>0.55799284739707555</v>
      </c>
      <c r="T64" s="2">
        <f>T9*'Output-Calculation-sheet'!T53/10^9</f>
        <v>0.24277235820374871</v>
      </c>
      <c r="U64" s="2">
        <f>U9*'Output-Calculation-sheet'!U53/10^9</f>
        <v>0.18272960458631871</v>
      </c>
      <c r="V64" s="2">
        <f>V9*'Output-Calculation-sheet'!V53/10^9</f>
        <v>0.28815447250225762</v>
      </c>
      <c r="W64" s="2">
        <f>W9*'Output-Calculation-sheet'!W53/10^9</f>
        <v>0.10707300821144708</v>
      </c>
      <c r="X64" s="2">
        <f>X9*'Output-Calculation-sheet'!X53/10^9</f>
        <v>0.14533415651578402</v>
      </c>
      <c r="Y64" s="2">
        <f>Y9*'Output-Calculation-sheet'!Y53/10^9</f>
        <v>7.5018831485636081E-2</v>
      </c>
      <c r="AA64" s="2">
        <f t="shared" si="4"/>
        <v>35.330937556837384</v>
      </c>
    </row>
    <row r="65" spans="1:27" x14ac:dyDescent="0.25">
      <c r="A65" s="2">
        <v>2033</v>
      </c>
      <c r="B65" s="2">
        <f>B10*'Output-Calculation-sheet'!B54/10^9</f>
        <v>9.0944260112836215</v>
      </c>
      <c r="C65" s="2">
        <f>C10*'Output-Calculation-sheet'!C54/10^9</f>
        <v>6.4612870993392582</v>
      </c>
      <c r="D65" s="2">
        <f>D10*'Output-Calculation-sheet'!D54/10^9</f>
        <v>2.1485558475949942</v>
      </c>
      <c r="E65" s="2">
        <f>E10*'Output-Calculation-sheet'!E54/10^9</f>
        <v>2.419249314553793</v>
      </c>
      <c r="F65" s="2">
        <f>F10*'Output-Calculation-sheet'!F54/10^9</f>
        <v>0.98217382105334039</v>
      </c>
      <c r="G65" s="2">
        <f>G10*'Output-Calculation-sheet'!G54/10^9</f>
        <v>0.6743511704005668</v>
      </c>
      <c r="H65" s="2">
        <f>H10*'Output-Calculation-sheet'!H54/10^9</f>
        <v>1.6665167140954857</v>
      </c>
      <c r="I65" s="2">
        <f>I10*'Output-Calculation-sheet'!I54/10^9</f>
        <v>0.65663387226860115</v>
      </c>
      <c r="J65" s="2">
        <f>J10*'Output-Calculation-sheet'!J54/10^9</f>
        <v>0.78482393137915962</v>
      </c>
      <c r="K65" s="2">
        <f>K10*'Output-Calculation-sheet'!K54/10^9</f>
        <v>0.83730317258572273</v>
      </c>
      <c r="L65" s="2">
        <f>L10*'Output-Calculation-sheet'!L54/10^9</f>
        <v>0.98903114203663745</v>
      </c>
      <c r="M65" s="2">
        <f>M10*'Output-Calculation-sheet'!M54/10^9</f>
        <v>1.2583411691201021</v>
      </c>
      <c r="N65" s="2">
        <f>N10*'Output-Calculation-sheet'!N54/10^9</f>
        <v>1.0866107131447043</v>
      </c>
      <c r="O65" s="2">
        <f>O10*'Output-Calculation-sheet'!O54/10^9</f>
        <v>1.3325078716182592</v>
      </c>
      <c r="P65" s="2">
        <f>P10*'Output-Calculation-sheet'!P54/10^9</f>
        <v>0.70846799891094603</v>
      </c>
      <c r="Q65" s="2">
        <f>Q10*'Output-Calculation-sheet'!Q54/10^9</f>
        <v>0.77307536135599897</v>
      </c>
      <c r="R65" s="2">
        <f>R10*'Output-Calculation-sheet'!R54/10^9</f>
        <v>0.62371550913591611</v>
      </c>
      <c r="S65" s="2">
        <f>S10*'Output-Calculation-sheet'!S54/10^9</f>
        <v>0.56654634354102162</v>
      </c>
      <c r="T65" s="2">
        <f>T10*'Output-Calculation-sheet'!T54/10^9</f>
        <v>0.20853593800336834</v>
      </c>
      <c r="U65" s="2">
        <f>U10*'Output-Calculation-sheet'!U54/10^9</f>
        <v>0.18007201761360972</v>
      </c>
      <c r="V65" s="2">
        <f>V10*'Output-Calculation-sheet'!V54/10^9</f>
        <v>0.23077649292204111</v>
      </c>
      <c r="W65" s="2">
        <f>W10*'Output-Calculation-sheet'!W54/10^9</f>
        <v>8.7865290747531827E-2</v>
      </c>
      <c r="X65" s="2">
        <f>X10*'Output-Calculation-sheet'!X54/10^9</f>
        <v>0.14472069817616698</v>
      </c>
      <c r="Y65" s="2">
        <f>Y10*'Output-Calculation-sheet'!Y54/10^9</f>
        <v>7.2317843944811375E-2</v>
      </c>
      <c r="AA65" s="2">
        <f t="shared" si="4"/>
        <v>33.987905344825641</v>
      </c>
    </row>
    <row r="66" spans="1:27" x14ac:dyDescent="0.25">
      <c r="A66" s="2">
        <v>2034</v>
      </c>
      <c r="B66" s="2">
        <f>B11*'Output-Calculation-sheet'!B55/10^9</f>
        <v>9.0470045147113574</v>
      </c>
      <c r="C66" s="2">
        <f>C11*'Output-Calculation-sheet'!C55/10^9</f>
        <v>6.8614437138149587</v>
      </c>
      <c r="D66" s="2">
        <f>D11*'Output-Calculation-sheet'!D55/10^9</f>
        <v>1.8925046357394557</v>
      </c>
      <c r="E66" s="2">
        <f>E11*'Output-Calculation-sheet'!E55/10^9</f>
        <v>2.2914914074068049</v>
      </c>
      <c r="F66" s="2">
        <f>F11*'Output-Calculation-sheet'!F55/10^9</f>
        <v>0.88065852670090494</v>
      </c>
      <c r="G66" s="2">
        <f>G11*'Output-Calculation-sheet'!G55/10^9</f>
        <v>0.62949690779282652</v>
      </c>
      <c r="H66" s="2">
        <f>H11*'Output-Calculation-sheet'!H55/10^9</f>
        <v>1.6165173137079853</v>
      </c>
      <c r="I66" s="2">
        <f>I11*'Output-Calculation-sheet'!I55/10^9</f>
        <v>0.61560893496083546</v>
      </c>
      <c r="J66" s="2">
        <f>J11*'Output-Calculation-sheet'!J55/10^9</f>
        <v>0.6330382733183707</v>
      </c>
      <c r="K66" s="2">
        <f>K11*'Output-Calculation-sheet'!K55/10^9</f>
        <v>0.75710505413525619</v>
      </c>
      <c r="L66" s="2">
        <f>L11*'Output-Calculation-sheet'!L55/10^9</f>
        <v>0.80180928815126939</v>
      </c>
      <c r="M66" s="2">
        <f>M11*'Output-Calculation-sheet'!M55/10^9</f>
        <v>1.1659000960136887</v>
      </c>
      <c r="N66" s="2">
        <f>N11*'Output-Calculation-sheet'!N55/10^9</f>
        <v>1.0186867352455549</v>
      </c>
      <c r="O66" s="2">
        <f>O11*'Output-Calculation-sheet'!O55/10^9</f>
        <v>1.3661829477478087</v>
      </c>
      <c r="P66" s="2">
        <f>P11*'Output-Calculation-sheet'!P55/10^9</f>
        <v>0.70024563569288656</v>
      </c>
      <c r="Q66" s="2">
        <f>Q11*'Output-Calculation-sheet'!Q55/10^9</f>
        <v>0.7644578977048917</v>
      </c>
      <c r="R66" s="2">
        <f>R11*'Output-Calculation-sheet'!R55/10^9</f>
        <v>0.56716321930297375</v>
      </c>
      <c r="S66" s="2">
        <f>S11*'Output-Calculation-sheet'!S55/10^9</f>
        <v>0.55805884647296111</v>
      </c>
      <c r="T66" s="2">
        <f>T11*'Output-Calculation-sheet'!T55/10^9</f>
        <v>0.17778251520856747</v>
      </c>
      <c r="U66" s="2">
        <f>U11*'Output-Calculation-sheet'!U55/10^9</f>
        <v>0.18151696773104567</v>
      </c>
      <c r="V66" s="2">
        <f>V11*'Output-Calculation-sheet'!V55/10^9</f>
        <v>0.16865722569852465</v>
      </c>
      <c r="W66" s="2">
        <f>W11*'Output-Calculation-sheet'!W55/10^9</f>
        <v>7.6361615914979822E-2</v>
      </c>
      <c r="X66" s="2">
        <f>X11*'Output-Calculation-sheet'!X55/10^9</f>
        <v>0.1449196115674492</v>
      </c>
      <c r="Y66" s="2">
        <f>Y11*'Output-Calculation-sheet'!Y55/10^9</f>
        <v>7.4933687698881285E-2</v>
      </c>
      <c r="AA66" s="2">
        <f t="shared" si="4"/>
        <v>32.991545572440245</v>
      </c>
    </row>
    <row r="67" spans="1:27" x14ac:dyDescent="0.25">
      <c r="A67" s="2">
        <v>2035</v>
      </c>
      <c r="B67" s="2">
        <f>B12*'Output-Calculation-sheet'!B56/10^9</f>
        <v>9.5623520288694301</v>
      </c>
      <c r="C67" s="2">
        <f>C12*'Output-Calculation-sheet'!C56/10^9</f>
        <v>6.9308143325708986</v>
      </c>
      <c r="D67" s="2">
        <f>D12*'Output-Calculation-sheet'!D56/10^9</f>
        <v>2.1689679627654268</v>
      </c>
      <c r="E67" s="2">
        <f>E12*'Output-Calculation-sheet'!E56/10^9</f>
        <v>2.5817916631039166</v>
      </c>
      <c r="F67" s="2">
        <f>F12*'Output-Calculation-sheet'!F56/10^9</f>
        <v>1.0566513491535736</v>
      </c>
      <c r="G67" s="2">
        <f>G12*'Output-Calculation-sheet'!G56/10^9</f>
        <v>0.7427182731841272</v>
      </c>
      <c r="H67" s="2">
        <f>H12*'Output-Calculation-sheet'!H56/10^9</f>
        <v>1.6957912007634719</v>
      </c>
      <c r="I67" s="2">
        <f>I12*'Output-Calculation-sheet'!I56/10^9</f>
        <v>0.74377335826344593</v>
      </c>
      <c r="J67" s="2">
        <f>J12*'Output-Calculation-sheet'!J56/10^9</f>
        <v>0.67289205264727348</v>
      </c>
      <c r="K67" s="2">
        <f>K12*'Output-Calculation-sheet'!K56/10^9</f>
        <v>0.83511681381916947</v>
      </c>
      <c r="L67" s="2">
        <f>L12*'Output-Calculation-sheet'!L56/10^9</f>
        <v>0.77823861283718643</v>
      </c>
      <c r="M67" s="2">
        <f>M12*'Output-Calculation-sheet'!M56/10^9</f>
        <v>1.1960832602127327</v>
      </c>
      <c r="N67" s="2">
        <f>N12*'Output-Calculation-sheet'!N56/10^9</f>
        <v>1.0169322110081673</v>
      </c>
      <c r="O67" s="2">
        <f>O12*'Output-Calculation-sheet'!O56/10^9</f>
        <v>1.3388181519270637</v>
      </c>
      <c r="P67" s="2">
        <f>P12*'Output-Calculation-sheet'!P56/10^9</f>
        <v>0.78514196586018192</v>
      </c>
      <c r="Q67" s="2">
        <f>Q12*'Output-Calculation-sheet'!Q56/10^9</f>
        <v>0.79304299765690778</v>
      </c>
      <c r="R67" s="2">
        <f>R12*'Output-Calculation-sheet'!R56/10^9</f>
        <v>0.60555674897286549</v>
      </c>
      <c r="S67" s="2">
        <f>S12*'Output-Calculation-sheet'!S56/10^9</f>
        <v>0.57908794114056805</v>
      </c>
      <c r="T67" s="2">
        <f>T12*'Output-Calculation-sheet'!T56/10^9</f>
        <v>0.18418535080398615</v>
      </c>
      <c r="U67" s="2">
        <f>U12*'Output-Calculation-sheet'!U56/10^9</f>
        <v>0.20949331249567857</v>
      </c>
      <c r="V67" s="2">
        <f>V12*'Output-Calculation-sheet'!V56/10^9</f>
        <v>0.14120961568183199</v>
      </c>
      <c r="W67" s="2">
        <f>W12*'Output-Calculation-sheet'!W56/10^9</f>
        <v>9.145381926392937E-2</v>
      </c>
      <c r="X67" s="2">
        <f>X12*'Output-Calculation-sheet'!X56/10^9</f>
        <v>0.1497876581134551</v>
      </c>
      <c r="Y67" s="2">
        <f>Y12*'Output-Calculation-sheet'!Y56/10^9</f>
        <v>8.5942050877897386E-2</v>
      </c>
      <c r="AA67" s="2">
        <f t="shared" si="4"/>
        <v>34.945842731993196</v>
      </c>
    </row>
    <row r="68" spans="1:27" x14ac:dyDescent="0.25">
      <c r="B68" s="2">
        <f>SUM(B60:B67)</f>
        <v>65.10802224936117</v>
      </c>
      <c r="C68" s="2">
        <f t="shared" ref="C68:Y68" si="5">SUM(C60:C67)</f>
        <v>42.229867113708153</v>
      </c>
      <c r="D68" s="2">
        <f t="shared" si="5"/>
        <v>19.596338590294799</v>
      </c>
      <c r="E68" s="2">
        <f t="shared" si="5"/>
        <v>20.615979768069469</v>
      </c>
      <c r="F68" s="2">
        <f t="shared" si="5"/>
        <v>8.4878978513204437</v>
      </c>
      <c r="G68" s="2">
        <f t="shared" si="5"/>
        <v>6.0694924945782782</v>
      </c>
      <c r="H68" s="2">
        <f t="shared" si="5"/>
        <v>11.484997994808042</v>
      </c>
      <c r="I68" s="2">
        <f t="shared" si="5"/>
        <v>5.7493815771388075</v>
      </c>
      <c r="J68" s="2">
        <f t="shared" si="5"/>
        <v>7.3224774902221332</v>
      </c>
      <c r="K68" s="2">
        <f t="shared" si="5"/>
        <v>6.9634846092912781</v>
      </c>
      <c r="L68" s="2">
        <f t="shared" si="5"/>
        <v>8.7769086771788487</v>
      </c>
      <c r="M68" s="2">
        <f t="shared" si="5"/>
        <v>9.0036952767605403</v>
      </c>
      <c r="N68" s="2">
        <f t="shared" si="5"/>
        <v>7.7177585862428693</v>
      </c>
      <c r="O68" s="2">
        <f t="shared" si="5"/>
        <v>8.6103103803669754</v>
      </c>
      <c r="P68" s="2">
        <f t="shared" si="5"/>
        <v>5.2485072686785976</v>
      </c>
      <c r="Q68" s="2">
        <f t="shared" si="5"/>
        <v>5.784804165634279</v>
      </c>
      <c r="R68" s="2">
        <f t="shared" si="5"/>
        <v>4.9804864759727803</v>
      </c>
      <c r="S68" s="2">
        <f t="shared" si="5"/>
        <v>3.9640464166760032</v>
      </c>
      <c r="T68" s="2">
        <f t="shared" si="5"/>
        <v>1.7873625484110427</v>
      </c>
      <c r="U68" s="2">
        <f t="shared" si="5"/>
        <v>1.3997226324521699</v>
      </c>
      <c r="V68" s="2">
        <f t="shared" si="5"/>
        <v>2.0488589640156749</v>
      </c>
      <c r="W68" s="2">
        <f t="shared" si="5"/>
        <v>0.7902759418658678</v>
      </c>
      <c r="X68" s="2">
        <f t="shared" si="5"/>
        <v>1.0066394913105192</v>
      </c>
      <c r="Y68" s="2">
        <f t="shared" si="5"/>
        <v>0.58036700915899853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2809.6130823135159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534.05720341927895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364.99291105332077</v>
      </c>
      <c r="N73" s="2">
        <f>N7/'Output-Calculation-sheet'!N6*'Output-Calculation-sheet'!N60</f>
        <v>0</v>
      </c>
      <c r="O73" s="2">
        <f>O7/'Output-Calculation-sheet'!O6*'Output-Calculation-sheet'!O60</f>
        <v>563.44479110968314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48.638186555039709</v>
      </c>
      <c r="Y73" s="2">
        <f>Y7/'Output-Calculation-sheet'!Y6*'Output-Calculation-sheet'!Y60</f>
        <v>0</v>
      </c>
      <c r="AA73" s="2">
        <f t="shared" si="6"/>
        <v>4.3207461744508384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7138.6217436547968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1723.0571536303182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1154.6208238202514</v>
      </c>
      <c r="N74" s="2">
        <f>N8/'Output-Calculation-sheet'!N7*'Output-Calculation-sheet'!N61</f>
        <v>48.392200146751293</v>
      </c>
      <c r="O74" s="2">
        <f>O8/'Output-Calculation-sheet'!O7*'Output-Calculation-sheet'!O61</f>
        <v>1426.9285763498535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143.47822096594015</v>
      </c>
      <c r="Y74" s="2">
        <f>Y8/'Output-Calculation-sheet'!Y7*'Output-Calculation-sheet'!Y61</f>
        <v>0</v>
      </c>
      <c r="AA74" s="2">
        <f t="shared" si="6"/>
        <v>11.635098718567912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11934.6681563613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2957.6364176562047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2009.5564160880579</v>
      </c>
      <c r="N75" s="2">
        <f>N9/'Output-Calculation-sheet'!N8*'Output-Calculation-sheet'!N62</f>
        <v>773.85155384714494</v>
      </c>
      <c r="O75" s="2">
        <f>O9/'Output-Calculation-sheet'!O8*'Output-Calculation-sheet'!O62</f>
        <v>2359.0993956638308</v>
      </c>
      <c r="P75" s="2">
        <f>P9/'Output-Calculation-sheet'!P8*'Output-Calculation-sheet'!P62</f>
        <v>52.000737018965786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260.26294210257237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242.78038658447855</v>
      </c>
      <c r="Y75" s="2">
        <f>Y9/'Output-Calculation-sheet'!Y8*'Output-Calculation-sheet'!Y62</f>
        <v>0</v>
      </c>
      <c r="AA75" s="2">
        <f t="shared" si="6"/>
        <v>20.589856005322556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15438.694340949713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4156.4871846376227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2829.9460846055445</v>
      </c>
      <c r="N76" s="2">
        <f>N10/'Output-Calculation-sheet'!N9*'Output-Calculation-sheet'!N63</f>
        <v>1616.7715621256859</v>
      </c>
      <c r="O76" s="2">
        <f>O10/'Output-Calculation-sheet'!O9*'Output-Calculation-sheet'!O63</f>
        <v>2785.3320996963857</v>
      </c>
      <c r="P76" s="2">
        <f>P10/'Output-Calculation-sheet'!P9*'Output-Calculation-sheet'!P63</f>
        <v>561.4170753960301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426.18737424117194</v>
      </c>
      <c r="S76" s="2">
        <f>S10/'Output-Calculation-sheet'!S9*'Output-Calculation-sheet'!S63</f>
        <v>718.15761217207091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151.20825424294597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333.27853502812928</v>
      </c>
      <c r="Y76" s="2">
        <f>Y10/'Output-Calculation-sheet'!Y9*'Output-Calculation-sheet'!Y63</f>
        <v>6.3227211161056562</v>
      </c>
      <c r="AA76" s="2">
        <f t="shared" si="6"/>
        <v>35.787225678501905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15104.956509934918</v>
      </c>
      <c r="D77" s="2">
        <f>D11/'Output-Calculation-sheet'!D10*'Output-Calculation-sheet'!D64</f>
        <v>1869.7297437300394</v>
      </c>
      <c r="E77" s="2">
        <f>E11/'Output-Calculation-sheet'!E10*'Output-Calculation-sheet'!E64</f>
        <v>2274.4793565554724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975.05746664212211</v>
      </c>
      <c r="H77" s="2">
        <f>H11/'Output-Calculation-sheet'!H10*'Output-Calculation-sheet'!H64</f>
        <v>5180.6512853741751</v>
      </c>
      <c r="I77" s="2">
        <f>I11/'Output-Calculation-sheet'!I10*'Output-Calculation-sheet'!I64</f>
        <v>577.76954171333625</v>
      </c>
      <c r="J77" s="2">
        <f>J11/'Output-Calculation-sheet'!J10*'Output-Calculation-sheet'!J64</f>
        <v>415.30757480252993</v>
      </c>
      <c r="K77" s="2">
        <f>K11/'Output-Calculation-sheet'!K10*'Output-Calculation-sheet'!K64</f>
        <v>869.39309742856358</v>
      </c>
      <c r="L77" s="2">
        <f>L11/'Output-Calculation-sheet'!L10*'Output-Calculation-sheet'!L64</f>
        <v>380.08617783714703</v>
      </c>
      <c r="M77" s="2">
        <f>M11/'Output-Calculation-sheet'!M10*'Output-Calculation-sheet'!M64</f>
        <v>3472.0579839697248</v>
      </c>
      <c r="N77" s="2">
        <f>N11/'Output-Calculation-sheet'!N10*'Output-Calculation-sheet'!N64</f>
        <v>2444.5224082681234</v>
      </c>
      <c r="O77" s="2">
        <f>O11/'Output-Calculation-sheet'!O10*'Output-Calculation-sheet'!O64</f>
        <v>2831.5024181350104</v>
      </c>
      <c r="P77" s="2">
        <f>P11/'Output-Calculation-sheet'!P10*'Output-Calculation-sheet'!P64</f>
        <v>1078.9634962282582</v>
      </c>
      <c r="Q77" s="2">
        <f>Q11/'Output-Calculation-sheet'!Q10*'Output-Calculation-sheet'!Q64</f>
        <v>970.64692779767915</v>
      </c>
      <c r="R77" s="2">
        <f>R11/'Output-Calculation-sheet'!R10*'Output-Calculation-sheet'!R64</f>
        <v>923.31086188243921</v>
      </c>
      <c r="S77" s="2">
        <f>S11/'Output-Calculation-sheet'!S10*'Output-Calculation-sheet'!S64</f>
        <v>1229.2773003032762</v>
      </c>
      <c r="T77" s="2">
        <f>T11/'Output-Calculation-sheet'!T10*'Output-Calculation-sheet'!T64</f>
        <v>255.91007207439029</v>
      </c>
      <c r="U77" s="2">
        <f>U11/'Output-Calculation-sheet'!U10*'Output-Calculation-sheet'!U64</f>
        <v>350.17187378146502</v>
      </c>
      <c r="V77" s="2">
        <f>V11/'Output-Calculation-sheet'!V10*'Output-Calculation-sheet'!V64</f>
        <v>134.56945839976149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358.06792466990868</v>
      </c>
      <c r="Y77" s="2">
        <f>Y11/'Output-Calculation-sheet'!Y10*'Output-Calculation-sheet'!Y64</f>
        <v>84.523963338642261</v>
      </c>
      <c r="AA77" s="2">
        <f t="shared" si="6"/>
        <v>56.934177987952431</v>
      </c>
    </row>
    <row r="78" spans="1:27" x14ac:dyDescent="0.25">
      <c r="A78" s="2">
        <v>2035</v>
      </c>
      <c r="B78" s="2">
        <f>B12/'Output-Calculation-sheet'!B11*'Output-Calculation-sheet'!B65</f>
        <v>20451.242144646625</v>
      </c>
      <c r="C78" s="2">
        <f>C12/'Output-Calculation-sheet'!C11*'Output-Calculation-sheet'!C65</f>
        <v>14411.609301013941</v>
      </c>
      <c r="D78" s="2">
        <f>D12/'Output-Calculation-sheet'!D11*'Output-Calculation-sheet'!D65</f>
        <v>4697.4817273188628</v>
      </c>
      <c r="E78" s="2">
        <f>E12/'Output-Calculation-sheet'!E11*'Output-Calculation-sheet'!E65</f>
        <v>4698.7779347555788</v>
      </c>
      <c r="F78" s="2">
        <f>F12/'Output-Calculation-sheet'!F11*'Output-Calculation-sheet'!F65</f>
        <v>1090.8081187424882</v>
      </c>
      <c r="G78" s="2">
        <f>G12/'Output-Calculation-sheet'!G11*'Output-Calculation-sheet'!G65</f>
        <v>1625.9700012162159</v>
      </c>
      <c r="H78" s="2">
        <f>H12/'Output-Calculation-sheet'!H11*'Output-Calculation-sheet'!H65</f>
        <v>5210.9747008209224</v>
      </c>
      <c r="I78" s="2">
        <f>I12/'Output-Calculation-sheet'!I11*'Output-Calculation-sheet'!I65</f>
        <v>1443.4380960856686</v>
      </c>
      <c r="J78" s="2">
        <f>J12/'Output-Calculation-sheet'!J11*'Output-Calculation-sheet'!J65</f>
        <v>1284.129252331034</v>
      </c>
      <c r="K78" s="2">
        <f>K12/'Output-Calculation-sheet'!K11*'Output-Calculation-sheet'!K65</f>
        <v>1711.7531677039822</v>
      </c>
      <c r="L78" s="2">
        <f>L12/'Output-Calculation-sheet'!L11*'Output-Calculation-sheet'!L65</f>
        <v>1127.5403150210061</v>
      </c>
      <c r="M78" s="2">
        <f>M12/'Output-Calculation-sheet'!M11*'Output-Calculation-sheet'!M65</f>
        <v>3639.0995507130165</v>
      </c>
      <c r="N78" s="2">
        <f>N12/'Output-Calculation-sheet'!N11*'Output-Calculation-sheet'!N65</f>
        <v>2598.5829804296318</v>
      </c>
      <c r="O78" s="2">
        <f>O12/'Output-Calculation-sheet'!O11*'Output-Calculation-sheet'!O65</f>
        <v>2633.2599818423328</v>
      </c>
      <c r="P78" s="2">
        <f>P12/'Output-Calculation-sheet'!P11*'Output-Calculation-sheet'!P65</f>
        <v>1439.1197432237748</v>
      </c>
      <c r="Q78" s="2">
        <f>Q12/'Output-Calculation-sheet'!Q11*'Output-Calculation-sheet'!Q65</f>
        <v>1395.2042714588754</v>
      </c>
      <c r="R78" s="2">
        <f>R12/'Output-Calculation-sheet'!R11*'Output-Calculation-sheet'!R65</f>
        <v>1265.6902728731336</v>
      </c>
      <c r="S78" s="2">
        <f>S12/'Output-Calculation-sheet'!S11*'Output-Calculation-sheet'!S65</f>
        <v>1415.8910666438805</v>
      </c>
      <c r="T78" s="2">
        <f>T12/'Output-Calculation-sheet'!T11*'Output-Calculation-sheet'!T65</f>
        <v>441.08067840908797</v>
      </c>
      <c r="U78" s="2">
        <f>U12/'Output-Calculation-sheet'!U11*'Output-Calculation-sheet'!U65</f>
        <v>403.30719366690653</v>
      </c>
      <c r="V78" s="2">
        <f>V12/'Output-Calculation-sheet'!V11*'Output-Calculation-sheet'!V65</f>
        <v>230.83924955914867</v>
      </c>
      <c r="W78" s="2">
        <f>W12/'Output-Calculation-sheet'!W11*'Output-Calculation-sheet'!W65</f>
        <v>153.6437448439525</v>
      </c>
      <c r="X78" s="2">
        <f>X12/'Output-Calculation-sheet'!X11*'Output-Calculation-sheet'!X65</f>
        <v>349.5403068681772</v>
      </c>
      <c r="Y78" s="2">
        <f>Y12/'Output-Calculation-sheet'!Y11*'Output-Calculation-sheet'!Y65</f>
        <v>161.63699812233514</v>
      </c>
      <c r="AA78" s="2">
        <f t="shared" si="6"/>
        <v>73.880620798310545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45.7050138197515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4.5705013819751499E-2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570.36856034614618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132.96872047406657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0.70333728082021274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1164.0784996009293</v>
      </c>
      <c r="D89" s="2">
        <f>D12/'Output-Calculation-sheet'!D11*'Output-Calculation-sheet'!D74</f>
        <v>93.743399068426726</v>
      </c>
      <c r="E89" s="2">
        <f>E12/'Output-Calculation-sheet'!E11*'Output-Calculation-sheet'!E74</f>
        <v>74.500997855645778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97.728986274632518</v>
      </c>
      <c r="I89" s="2">
        <f>I12/'Output-Calculation-sheet'!I11*'Output-Calculation-sheet'!I74</f>
        <v>30.246172622963112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29.727226697648263</v>
      </c>
      <c r="L89" s="2">
        <f>L12/'Output-Calculation-sheet'!L11*'Output-Calculation-sheet'!L74</f>
        <v>23.637666191924826</v>
      </c>
      <c r="M89" s="2">
        <f>M12/'Output-Calculation-sheet'!M11*'Output-Calculation-sheet'!M74</f>
        <v>67.247105885818243</v>
      </c>
      <c r="N89" s="2">
        <f>N12/'Output-Calculation-sheet'!N11*'Output-Calculation-sheet'!N74</f>
        <v>44.062076293200263</v>
      </c>
      <c r="O89" s="2">
        <f>O12/'Output-Calculation-sheet'!O11*'Output-Calculation-sheet'!O74</f>
        <v>267.26716085624417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38.605007442035259</v>
      </c>
      <c r="R89" s="2">
        <f>R12/'Output-Calculation-sheet'!R11*'Output-Calculation-sheet'!R74</f>
        <v>19.142031621922442</v>
      </c>
      <c r="S89" s="2">
        <f>S12/'Output-Calculation-sheet'!S11*'Output-Calculation-sheet'!S74</f>
        <v>25.257834663405976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12.317356188098419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9.8362310577492451</v>
      </c>
      <c r="Y89" s="2">
        <f>Y12/'Output-Calculation-sheet'!Y11*'Output-Calculation-sheet'!Y74</f>
        <v>4.7460727052393086</v>
      </c>
      <c r="AA89" s="2">
        <f t="shared" si="7"/>
        <v>2.6487724268852286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2460318970.3838544</v>
      </c>
      <c r="C93" s="2">
        <f>C5/'Output-Calculation-sheet'!C4*'Output-Calculation-sheet'!C76</f>
        <v>950334420.62074506</v>
      </c>
      <c r="D93" s="2">
        <f>D5/'Output-Calculation-sheet'!D4*'Output-Calculation-sheet'!D76</f>
        <v>804197223.62677801</v>
      </c>
      <c r="E93" s="2">
        <f>E5/'Output-Calculation-sheet'!E4*'Output-Calculation-sheet'!E76</f>
        <v>1073835097.4804325</v>
      </c>
      <c r="F93" s="2">
        <f>F5/'Output-Calculation-sheet'!F4*'Output-Calculation-sheet'!F76</f>
        <v>597230557.93161428</v>
      </c>
      <c r="G93" s="2">
        <f>G5/'Output-Calculation-sheet'!G4*'Output-Calculation-sheet'!G76</f>
        <v>337975340.75563139</v>
      </c>
      <c r="H93" s="2">
        <f>H5/'Output-Calculation-sheet'!H4*'Output-Calculation-sheet'!H76</f>
        <v>376266430.66253436</v>
      </c>
      <c r="I93" s="2">
        <f>I5/'Output-Calculation-sheet'!I4*'Output-Calculation-sheet'!I76</f>
        <v>352367295.0679093</v>
      </c>
      <c r="J93" s="2">
        <f>J5/'Output-Calculation-sheet'!J4*'Output-Calculation-sheet'!J76</f>
        <v>195510728.06342191</v>
      </c>
      <c r="K93" s="2">
        <f>K5/'Output-Calculation-sheet'!K4*'Output-Calculation-sheet'!K76</f>
        <v>340394584.4246099</v>
      </c>
      <c r="L93" s="2">
        <f>L5/'Output-Calculation-sheet'!L4*'Output-Calculation-sheet'!L76</f>
        <v>237169115.64521053</v>
      </c>
      <c r="M93" s="2">
        <f>M5/'Output-Calculation-sheet'!M4*'Output-Calculation-sheet'!M76</f>
        <v>252803677.69225171</v>
      </c>
      <c r="N93" s="2">
        <f>N5/'Output-Calculation-sheet'!N4*'Output-Calculation-sheet'!N76</f>
        <v>177996129.43152973</v>
      </c>
      <c r="O93" s="2">
        <f>O5/'Output-Calculation-sheet'!O4*'Output-Calculation-sheet'!O76</f>
        <v>122128040.08102329</v>
      </c>
      <c r="P93" s="2">
        <f>P5/'Output-Calculation-sheet'!P4*'Output-Calculation-sheet'!P76</f>
        <v>322925421.20280015</v>
      </c>
      <c r="Q93" s="2">
        <f>Q5/'Output-Calculation-sheet'!Q4*'Output-Calculation-sheet'!Q76</f>
        <v>157527051.13906431</v>
      </c>
      <c r="R93" s="2">
        <f>R5/'Output-Calculation-sheet'!R4*'Output-Calculation-sheet'!R76</f>
        <v>215730934.42124024</v>
      </c>
      <c r="S93" s="2">
        <f>S5/'Output-Calculation-sheet'!S4*'Output-Calculation-sheet'!S76</f>
        <v>133536126.14692995</v>
      </c>
      <c r="T93" s="2">
        <f>T5/'Output-Calculation-sheet'!T4*'Output-Calculation-sheet'!T76</f>
        <v>90139031.27751711</v>
      </c>
      <c r="U93" s="2">
        <f>U5/'Output-Calculation-sheet'!U4*'Output-Calculation-sheet'!U76</f>
        <v>81241917.802061841</v>
      </c>
      <c r="V93" s="2">
        <f>V5/'Output-Calculation-sheet'!V4*'Output-Calculation-sheet'!V76</f>
        <v>48546628.886670001</v>
      </c>
      <c r="W93" s="2">
        <f>W5/'Output-Calculation-sheet'!W4*'Output-Calculation-sheet'!W76</f>
        <v>69296613.114653006</v>
      </c>
      <c r="X93" s="2">
        <f>X5/'Output-Calculation-sheet'!X4*'Output-Calculation-sheet'!X76</f>
        <v>28958269.60746441</v>
      </c>
      <c r="Y93" s="2">
        <f>Y5/'Output-Calculation-sheet'!Y4*'Output-Calculation-sheet'!Y76</f>
        <v>35825988.220567949</v>
      </c>
      <c r="AA93" s="2">
        <f>SUM(B93:Y93)/10^9</f>
        <v>9.4622555936865158</v>
      </c>
    </row>
    <row r="94" spans="1:27" x14ac:dyDescent="0.25">
      <c r="A94" s="2">
        <v>2029</v>
      </c>
      <c r="B94" s="2">
        <f>B6/'Output-Calculation-sheet'!B5*'Output-Calculation-sheet'!B77</f>
        <v>7168450327.3170166</v>
      </c>
      <c r="C94" s="2">
        <f>C6/'Output-Calculation-sheet'!C5*'Output-Calculation-sheet'!C77</f>
        <v>2871953153.5575728</v>
      </c>
      <c r="D94" s="2">
        <f>D6/'Output-Calculation-sheet'!D5*'Output-Calculation-sheet'!D77</f>
        <v>2354477633.3687196</v>
      </c>
      <c r="E94" s="2">
        <f>E6/'Output-Calculation-sheet'!E5*'Output-Calculation-sheet'!E77</f>
        <v>2994252383.3111415</v>
      </c>
      <c r="F94" s="2">
        <f>F6/'Output-Calculation-sheet'!F5*'Output-Calculation-sheet'!F77</f>
        <v>1716793294.0932181</v>
      </c>
      <c r="G94" s="2">
        <f>G6/'Output-Calculation-sheet'!G5*'Output-Calculation-sheet'!G77</f>
        <v>925416236.86138034</v>
      </c>
      <c r="H94" s="2">
        <f>H6/'Output-Calculation-sheet'!H5*'Output-Calculation-sheet'!H77</f>
        <v>1083492395.2811944</v>
      </c>
      <c r="I94" s="2">
        <f>I6/'Output-Calculation-sheet'!I5*'Output-Calculation-sheet'!I77</f>
        <v>1029108964.7455212</v>
      </c>
      <c r="J94" s="2">
        <f>J6/'Output-Calculation-sheet'!J5*'Output-Calculation-sheet'!J77</f>
        <v>569490377.53231108</v>
      </c>
      <c r="K94" s="2">
        <f>K6/'Output-Calculation-sheet'!K5*'Output-Calculation-sheet'!K77</f>
        <v>991155553.18273413</v>
      </c>
      <c r="L94" s="2">
        <f>L6/'Output-Calculation-sheet'!L5*'Output-Calculation-sheet'!L77</f>
        <v>700205372.27290213</v>
      </c>
      <c r="M94" s="2">
        <f>M6/'Output-Calculation-sheet'!M5*'Output-Calculation-sheet'!M77</f>
        <v>725686751.55129409</v>
      </c>
      <c r="N94" s="2">
        <f>N6/'Output-Calculation-sheet'!N5*'Output-Calculation-sheet'!N77</f>
        <v>511229268.54781818</v>
      </c>
      <c r="O94" s="2">
        <f>O6/'Output-Calculation-sheet'!O5*'Output-Calculation-sheet'!O77</f>
        <v>376458833.18806112</v>
      </c>
      <c r="P94" s="2">
        <f>P6/'Output-Calculation-sheet'!P5*'Output-Calculation-sheet'!P77</f>
        <v>899046453.84506154</v>
      </c>
      <c r="Q94" s="2">
        <f>Q6/'Output-Calculation-sheet'!Q5*'Output-Calculation-sheet'!Q77</f>
        <v>458608328.59365988</v>
      </c>
      <c r="R94" s="2">
        <f>R6/'Output-Calculation-sheet'!R5*'Output-Calculation-sheet'!R77</f>
        <v>623547066.30207479</v>
      </c>
      <c r="S94" s="2">
        <f>S6/'Output-Calculation-sheet'!S5*'Output-Calculation-sheet'!S77</f>
        <v>388892250.48945123</v>
      </c>
      <c r="T94" s="2">
        <f>T6/'Output-Calculation-sheet'!T5*'Output-Calculation-sheet'!T77</f>
        <v>257090762.39566341</v>
      </c>
      <c r="U94" s="2">
        <f>U6/'Output-Calculation-sheet'!U5*'Output-Calculation-sheet'!U77</f>
        <v>235330513.56706759</v>
      </c>
      <c r="V94" s="2">
        <f>V6/'Output-Calculation-sheet'!V5*'Output-Calculation-sheet'!V77</f>
        <v>145788892.63264349</v>
      </c>
      <c r="W94" s="2">
        <f>W6/'Output-Calculation-sheet'!W5*'Output-Calculation-sheet'!W77</f>
        <v>191346436.48009285</v>
      </c>
      <c r="X94" s="2">
        <f>X6/'Output-Calculation-sheet'!X5*'Output-Calculation-sheet'!X77</f>
        <v>83052149.175581545</v>
      </c>
      <c r="Y94" s="2">
        <f>Y6/'Output-Calculation-sheet'!Y5*'Output-Calculation-sheet'!Y77</f>
        <v>98164666.694745496</v>
      </c>
      <c r="AA94" s="2">
        <f t="shared" ref="AA94:AA100" si="8">SUM(B94:Y94)/10^9</f>
        <v>27.399038064986922</v>
      </c>
    </row>
    <row r="95" spans="1:27" x14ac:dyDescent="0.25">
      <c r="A95" s="2">
        <v>2030</v>
      </c>
      <c r="B95" s="2">
        <f>B7/'Output-Calculation-sheet'!B6*'Output-Calculation-sheet'!B78</f>
        <v>14173627951.553234</v>
      </c>
      <c r="C95" s="2">
        <f>C7/'Output-Calculation-sheet'!C6*'Output-Calculation-sheet'!C78</f>
        <v>5862877362.1975603</v>
      </c>
      <c r="D95" s="2">
        <f>D7/'Output-Calculation-sheet'!D6*'Output-Calculation-sheet'!D78</f>
        <v>4719208240.516325</v>
      </c>
      <c r="E95" s="2">
        <f>E7/'Output-Calculation-sheet'!E6*'Output-Calculation-sheet'!E78</f>
        <v>5708060795.4100695</v>
      </c>
      <c r="F95" s="2">
        <f>F7/'Output-Calculation-sheet'!F6*'Output-Calculation-sheet'!F78</f>
        <v>3354707126.8193998</v>
      </c>
      <c r="G95" s="2">
        <f>G7/'Output-Calculation-sheet'!G6*'Output-Calculation-sheet'!G78</f>
        <v>1735399642.7032363</v>
      </c>
      <c r="H95" s="2">
        <f>H7/'Output-Calculation-sheet'!H6*'Output-Calculation-sheet'!H78</f>
        <v>2123896701.1741118</v>
      </c>
      <c r="I95" s="2">
        <f>I7/'Output-Calculation-sheet'!I6*'Output-Calculation-sheet'!I78</f>
        <v>2038754736.0326302</v>
      </c>
      <c r="J95" s="2">
        <f>J7/'Output-Calculation-sheet'!J6*'Output-Calculation-sheet'!J78</f>
        <v>1138689735.2304432</v>
      </c>
      <c r="K95" s="2">
        <f>K7/'Output-Calculation-sheet'!K6*'Output-Calculation-sheet'!K78</f>
        <v>1960253729.5626376</v>
      </c>
      <c r="L95" s="2">
        <f>L7/'Output-Calculation-sheet'!L6*'Output-Calculation-sheet'!L78</f>
        <v>1401706718.0611193</v>
      </c>
      <c r="M95" s="2">
        <f>M7/'Output-Calculation-sheet'!M6*'Output-Calculation-sheet'!M78</f>
        <v>1421147821.4985652</v>
      </c>
      <c r="N95" s="2">
        <f>N7/'Output-Calculation-sheet'!N6*'Output-Calculation-sheet'!N78</f>
        <v>1007924213.30665</v>
      </c>
      <c r="O95" s="2">
        <f>O7/'Output-Calculation-sheet'!O6*'Output-Calculation-sheet'!O78</f>
        <v>788623738.00552142</v>
      </c>
      <c r="P95" s="2">
        <f>P7/'Output-Calculation-sheet'!P6*'Output-Calculation-sheet'!P78</f>
        <v>1704674909.1612854</v>
      </c>
      <c r="Q95" s="2">
        <f>Q7/'Output-Calculation-sheet'!Q6*'Output-Calculation-sheet'!Q78</f>
        <v>913760221.01479936</v>
      </c>
      <c r="R95" s="2">
        <f>R7/'Output-Calculation-sheet'!R6*'Output-Calculation-sheet'!R78</f>
        <v>1225921424.3260598</v>
      </c>
      <c r="S95" s="2">
        <f>S7/'Output-Calculation-sheet'!S6*'Output-Calculation-sheet'!S78</f>
        <v>769859689.00600624</v>
      </c>
      <c r="T95" s="2">
        <f>T7/'Output-Calculation-sheet'!T6*'Output-Calculation-sheet'!T78</f>
        <v>499695826.5940178</v>
      </c>
      <c r="U95" s="2">
        <f>U7/'Output-Calculation-sheet'!U6*'Output-Calculation-sheet'!U78</f>
        <v>460233945.62614095</v>
      </c>
      <c r="V95" s="2">
        <f>V7/'Output-Calculation-sheet'!V6*'Output-Calculation-sheet'!V78</f>
        <v>294555374.18142128</v>
      </c>
      <c r="W95" s="2">
        <f>W7/'Output-Calculation-sheet'!W6*'Output-Calculation-sheet'!W78</f>
        <v>360752684.86002862</v>
      </c>
      <c r="X95" s="2">
        <f>X7/'Output-Calculation-sheet'!X6*'Output-Calculation-sheet'!X78</f>
        <v>162267056.29762381</v>
      </c>
      <c r="Y95" s="2">
        <f>Y7/'Output-Calculation-sheet'!Y6*'Output-Calculation-sheet'!Y78</f>
        <v>184085784.94684201</v>
      </c>
      <c r="AA95" s="2">
        <f t="shared" si="8"/>
        <v>54.010685428085729</v>
      </c>
    </row>
    <row r="96" spans="1:27" x14ac:dyDescent="0.25">
      <c r="A96" s="2">
        <v>2031</v>
      </c>
      <c r="B96" s="2">
        <f>B8/'Output-Calculation-sheet'!B7*'Output-Calculation-sheet'!B79</f>
        <v>22486366906.722767</v>
      </c>
      <c r="C96" s="2">
        <f>C8/'Output-Calculation-sheet'!C7*'Output-Calculation-sheet'!C79</f>
        <v>9309062116.6468124</v>
      </c>
      <c r="D96" s="2">
        <f>D8/'Output-Calculation-sheet'!D7*'Output-Calculation-sheet'!D79</f>
        <v>7420782762.8706532</v>
      </c>
      <c r="E96" s="2">
        <f>E8/'Output-Calculation-sheet'!E7*'Output-Calculation-sheet'!E79</f>
        <v>8966892566.5608501</v>
      </c>
      <c r="F96" s="2">
        <f>F8/'Output-Calculation-sheet'!F7*'Output-Calculation-sheet'!F79</f>
        <v>5293105204.5016069</v>
      </c>
      <c r="G96" s="2">
        <f>G8/'Output-Calculation-sheet'!G7*'Output-Calculation-sheet'!G79</f>
        <v>2692348047.4042826</v>
      </c>
      <c r="H96" s="2">
        <f>H8/'Output-Calculation-sheet'!H7*'Output-Calculation-sheet'!H79</f>
        <v>3361848768.5644388</v>
      </c>
      <c r="I96" s="2">
        <f>I8/'Output-Calculation-sheet'!I7*'Output-Calculation-sheet'!I79</f>
        <v>3217759344.6964798</v>
      </c>
      <c r="J96" s="2">
        <f>J8/'Output-Calculation-sheet'!J7*'Output-Calculation-sheet'!J79</f>
        <v>1816218911.1883049</v>
      </c>
      <c r="K96" s="2">
        <f>K8/'Output-Calculation-sheet'!K7*'Output-Calculation-sheet'!K79</f>
        <v>3093642900.7248049</v>
      </c>
      <c r="L96" s="2">
        <f>L8/'Output-Calculation-sheet'!L7*'Output-Calculation-sheet'!L79</f>
        <v>2225008782.5944171</v>
      </c>
      <c r="M96" s="2">
        <f>M8/'Output-Calculation-sheet'!M7*'Output-Calculation-sheet'!M79</f>
        <v>2249286091.1810713</v>
      </c>
      <c r="N96" s="2">
        <f>N8/'Output-Calculation-sheet'!N7*'Output-Calculation-sheet'!N79</f>
        <v>1600880220.2917507</v>
      </c>
      <c r="O96" s="2">
        <f>O8/'Output-Calculation-sheet'!O7*'Output-Calculation-sheet'!O79</f>
        <v>1258154288.4601104</v>
      </c>
      <c r="P96" s="2">
        <f>P8/'Output-Calculation-sheet'!P7*'Output-Calculation-sheet'!P79</f>
        <v>2674519453.8373127</v>
      </c>
      <c r="Q96" s="2">
        <f>Q8/'Output-Calculation-sheet'!Q7*'Output-Calculation-sheet'!Q79</f>
        <v>1456712372.620703</v>
      </c>
      <c r="R96" s="2">
        <f>R8/'Output-Calculation-sheet'!R7*'Output-Calculation-sheet'!R79</f>
        <v>1943392837.0120916</v>
      </c>
      <c r="S96" s="2">
        <f>S8/'Output-Calculation-sheet'!S7*'Output-Calculation-sheet'!S79</f>
        <v>1223261028.1024873</v>
      </c>
      <c r="T96" s="2">
        <f>T8/'Output-Calculation-sheet'!T7*'Output-Calculation-sheet'!T79</f>
        <v>785505802.52275789</v>
      </c>
      <c r="U96" s="2">
        <f>U8/'Output-Calculation-sheet'!U7*'Output-Calculation-sheet'!U79</f>
        <v>728388677.32929623</v>
      </c>
      <c r="V96" s="2">
        <f>V8/'Output-Calculation-sheet'!V7*'Output-Calculation-sheet'!V79</f>
        <v>468961445.43196523</v>
      </c>
      <c r="W96" s="2">
        <f>W8/'Output-Calculation-sheet'!W7*'Output-Calculation-sheet'!W79</f>
        <v>560984194.40844476</v>
      </c>
      <c r="X96" s="2">
        <f>X8/'Output-Calculation-sheet'!X7*'Output-Calculation-sheet'!X79</f>
        <v>256765639.32771561</v>
      </c>
      <c r="Y96" s="2">
        <f>Y8/'Output-Calculation-sheet'!Y7*'Output-Calculation-sheet'!Y79</f>
        <v>287390666.1072771</v>
      </c>
      <c r="AA96" s="2">
        <f t="shared" si="8"/>
        <v>85.377239029108409</v>
      </c>
    </row>
    <row r="97" spans="1:27" x14ac:dyDescent="0.25">
      <c r="A97" s="2">
        <v>2032</v>
      </c>
      <c r="B97" s="2">
        <f>B9/'Output-Calculation-sheet'!B8*'Output-Calculation-sheet'!B80</f>
        <v>30922908266.49329</v>
      </c>
      <c r="C97" s="2">
        <f>C9/'Output-Calculation-sheet'!C8*'Output-Calculation-sheet'!C80</f>
        <v>12812843519.65601</v>
      </c>
      <c r="D97" s="2">
        <f>D9/'Output-Calculation-sheet'!D8*'Output-Calculation-sheet'!D80</f>
        <v>10127516636.656309</v>
      </c>
      <c r="E97" s="2">
        <f>E9/'Output-Calculation-sheet'!E8*'Output-Calculation-sheet'!E80</f>
        <v>12220403141.81809</v>
      </c>
      <c r="F97" s="2">
        <f>F9/'Output-Calculation-sheet'!F8*'Output-Calculation-sheet'!F80</f>
        <v>7240933927.5802374</v>
      </c>
      <c r="G97" s="2">
        <f>G9/'Output-Calculation-sheet'!G8*'Output-Calculation-sheet'!G80</f>
        <v>3624686535.4124398</v>
      </c>
      <c r="H97" s="2">
        <f>H9/'Output-Calculation-sheet'!H8*'Output-Calculation-sheet'!H80</f>
        <v>4613637735.3343563</v>
      </c>
      <c r="I97" s="2">
        <f>I9/'Output-Calculation-sheet'!I8*'Output-Calculation-sheet'!I80</f>
        <v>4403903374.0720654</v>
      </c>
      <c r="J97" s="2">
        <f>J9/'Output-Calculation-sheet'!J8*'Output-Calculation-sheet'!J80</f>
        <v>2512932464.7070384</v>
      </c>
      <c r="K97" s="2">
        <f>K9/'Output-Calculation-sheet'!K8*'Output-Calculation-sheet'!K80</f>
        <v>4233079795.587039</v>
      </c>
      <c r="L97" s="2">
        <f>L9/'Output-Calculation-sheet'!L8*'Output-Calculation-sheet'!L80</f>
        <v>3062777515.0175056</v>
      </c>
      <c r="M97" s="2">
        <f>M9/'Output-Calculation-sheet'!M8*'Output-Calculation-sheet'!M80</f>
        <v>3086760806.2517204</v>
      </c>
      <c r="N97" s="2">
        <f>N9/'Output-Calculation-sheet'!N8*'Output-Calculation-sheet'!N80</f>
        <v>2206339480.4751258</v>
      </c>
      <c r="O97" s="2">
        <f>O9/'Output-Calculation-sheet'!O8*'Output-Calculation-sheet'!O80</f>
        <v>1740667122.1864479</v>
      </c>
      <c r="P97" s="2">
        <f>P9/'Output-Calculation-sheet'!P8*'Output-Calculation-sheet'!P80</f>
        <v>3637586650.0881629</v>
      </c>
      <c r="Q97" s="2">
        <f>Q9/'Output-Calculation-sheet'!Q8*'Output-Calculation-sheet'!Q80</f>
        <v>2014170134.3089767</v>
      </c>
      <c r="R97" s="2">
        <f>R9/'Output-Calculation-sheet'!R8*'Output-Calculation-sheet'!R80</f>
        <v>2670490087.2073951</v>
      </c>
      <c r="S97" s="2">
        <f>S9/'Output-Calculation-sheet'!S8*'Output-Calculation-sheet'!S80</f>
        <v>1684690997.8664255</v>
      </c>
      <c r="T97" s="2">
        <f>T9/'Output-Calculation-sheet'!T8*'Output-Calculation-sheet'!T80</f>
        <v>1070836364.9401895</v>
      </c>
      <c r="U97" s="2">
        <f>U9/'Output-Calculation-sheet'!U8*'Output-Calculation-sheet'!U80</f>
        <v>998596523.28666019</v>
      </c>
      <c r="V97" s="2">
        <f>V9/'Output-Calculation-sheet'!V8*'Output-Calculation-sheet'!V80</f>
        <v>646700616.28790951</v>
      </c>
      <c r="W97" s="2">
        <f>W9/'Output-Calculation-sheet'!W8*'Output-Calculation-sheet'!W80</f>
        <v>756498927.81335723</v>
      </c>
      <c r="X97" s="2">
        <f>X9/'Output-Calculation-sheet'!X8*'Output-Calculation-sheet'!X80</f>
        <v>352256463.73926324</v>
      </c>
      <c r="Y97" s="2">
        <f>Y9/'Output-Calculation-sheet'!Y8*'Output-Calculation-sheet'!Y80</f>
        <v>389259623.98287386</v>
      </c>
      <c r="AA97" s="2">
        <f t="shared" si="8"/>
        <v>117.03047671076888</v>
      </c>
    </row>
    <row r="98" spans="1:27" x14ac:dyDescent="0.25">
      <c r="A98" s="2">
        <v>2033</v>
      </c>
      <c r="B98" s="2">
        <f>B10/'Output-Calculation-sheet'!B9*'Output-Calculation-sheet'!B81</f>
        <v>38259279680.61956</v>
      </c>
      <c r="C98" s="2">
        <f>C10/'Output-Calculation-sheet'!C9*'Output-Calculation-sheet'!C81</f>
        <v>15869082043.942287</v>
      </c>
      <c r="D98" s="2">
        <f>D10/'Output-Calculation-sheet'!D9*'Output-Calculation-sheet'!D81</f>
        <v>12448227939.758495</v>
      </c>
      <c r="E98" s="2">
        <f>E10/'Output-Calculation-sheet'!E9*'Output-Calculation-sheet'!E81</f>
        <v>14992481069.542723</v>
      </c>
      <c r="F98" s="2">
        <f>F10/'Output-Calculation-sheet'!F9*'Output-Calculation-sheet'!F81</f>
        <v>8914880033.955719</v>
      </c>
      <c r="G98" s="2">
        <f>G10/'Output-Calculation-sheet'!G9*'Output-Calculation-sheet'!G81</f>
        <v>4394385272.7137403</v>
      </c>
      <c r="H98" s="2">
        <f>H10/'Output-Calculation-sheet'!H9*'Output-Calculation-sheet'!H81</f>
        <v>5697404134.2805414</v>
      </c>
      <c r="I98" s="2">
        <f>I10/'Output-Calculation-sheet'!I9*'Output-Calculation-sheet'!I81</f>
        <v>5425239381.15137</v>
      </c>
      <c r="J98" s="2">
        <f>J10/'Output-Calculation-sheet'!J9*'Output-Calculation-sheet'!J81</f>
        <v>3130481636.6015105</v>
      </c>
      <c r="K98" s="2">
        <f>K10/'Output-Calculation-sheet'!K9*'Output-Calculation-sheet'!K81</f>
        <v>5213080791.3721285</v>
      </c>
      <c r="L98" s="2">
        <f>L10/'Output-Calculation-sheet'!L9*'Output-Calculation-sheet'!L81</f>
        <v>3793611553.4043117</v>
      </c>
      <c r="M98" s="2">
        <f>M10/'Output-Calculation-sheet'!M9*'Output-Calculation-sheet'!M81</f>
        <v>3812546181.3892899</v>
      </c>
      <c r="N98" s="2">
        <f>N10/'Output-Calculation-sheet'!N9*'Output-Calculation-sheet'!N81</f>
        <v>2737758646.8296518</v>
      </c>
      <c r="O98" s="2">
        <f>O10/'Output-Calculation-sheet'!O9*'Output-Calculation-sheet'!O81</f>
        <v>2167584275.5339704</v>
      </c>
      <c r="P98" s="2">
        <f>P10/'Output-Calculation-sheet'!P9*'Output-Calculation-sheet'!P81</f>
        <v>4452214321.2339096</v>
      </c>
      <c r="Q98" s="2">
        <f>Q10/'Output-Calculation-sheet'!Q9*'Output-Calculation-sheet'!Q81</f>
        <v>2506630554.3133969</v>
      </c>
      <c r="R98" s="2">
        <f>R10/'Output-Calculation-sheet'!R9*'Output-Calculation-sheet'!R81</f>
        <v>3301937215.8832459</v>
      </c>
      <c r="S98" s="2">
        <f>S10/'Output-Calculation-sheet'!S9*'Output-Calculation-sheet'!S81</f>
        <v>2087425701.3639181</v>
      </c>
      <c r="T98" s="2">
        <f>T10/'Output-Calculation-sheet'!T9*'Output-Calculation-sheet'!T81</f>
        <v>1314067357.1244111</v>
      </c>
      <c r="U98" s="2">
        <f>U10/'Output-Calculation-sheet'!U9*'Output-Calculation-sheet'!U81</f>
        <v>1231214305.4883215</v>
      </c>
      <c r="V98" s="2">
        <f>V10/'Output-Calculation-sheet'!V9*'Output-Calculation-sheet'!V81</f>
        <v>801901865.32737184</v>
      </c>
      <c r="W98" s="2">
        <f>W10/'Output-Calculation-sheet'!W9*'Output-Calculation-sheet'!W81</f>
        <v>918296549.31477129</v>
      </c>
      <c r="X98" s="2">
        <f>X10/'Output-Calculation-sheet'!X9*'Output-Calculation-sheet'!X81</f>
        <v>434913331.60846639</v>
      </c>
      <c r="Y98" s="2">
        <f>Y10/'Output-Calculation-sheet'!Y9*'Output-Calculation-sheet'!Y81</f>
        <v>474745089.17347008</v>
      </c>
      <c r="AA98" s="2">
        <f t="shared" si="8"/>
        <v>144.37938893192654</v>
      </c>
    </row>
    <row r="99" spans="1:27" x14ac:dyDescent="0.25">
      <c r="A99" s="2">
        <v>2034</v>
      </c>
      <c r="B99" s="2">
        <f>B11/'Output-Calculation-sheet'!B10*'Output-Calculation-sheet'!B82</f>
        <v>43667028152.113754</v>
      </c>
      <c r="C99" s="2">
        <f>C11/'Output-Calculation-sheet'!C10*'Output-Calculation-sheet'!C82</f>
        <v>18133567935.888126</v>
      </c>
      <c r="D99" s="2">
        <f>D11/'Output-Calculation-sheet'!D10*'Output-Calculation-sheet'!D82</f>
        <v>14128732098.122725</v>
      </c>
      <c r="E99" s="2">
        <f>E11/'Output-Calculation-sheet'!E10*'Output-Calculation-sheet'!E82</f>
        <v>16976705244.080608</v>
      </c>
      <c r="F99" s="2">
        <f>F11/'Output-Calculation-sheet'!F10*'Output-Calculation-sheet'!F82</f>
        <v>10128185214.397997</v>
      </c>
      <c r="G99" s="2">
        <f>G11/'Output-Calculation-sheet'!G10*'Output-Calculation-sheet'!G82</f>
        <v>4918985306.2221375</v>
      </c>
      <c r="H99" s="2">
        <f>H11/'Output-Calculation-sheet'!H10*'Output-Calculation-sheet'!H82</f>
        <v>6491401851.1092911</v>
      </c>
      <c r="I99" s="2">
        <f>I11/'Output-Calculation-sheet'!I10*'Output-Calculation-sheet'!I82</f>
        <v>6167997147.3294306</v>
      </c>
      <c r="J99" s="2">
        <f>J11/'Output-Calculation-sheet'!J10*'Output-Calculation-sheet'!J82</f>
        <v>3599907741.7610483</v>
      </c>
      <c r="K99" s="2">
        <f>K11/'Output-Calculation-sheet'!K10*'Output-Calculation-sheet'!K82</f>
        <v>5924402372.2003679</v>
      </c>
      <c r="L99" s="2">
        <f>L11/'Output-Calculation-sheet'!L10*'Output-Calculation-sheet'!L82</f>
        <v>4335110013.0409622</v>
      </c>
      <c r="M99" s="2">
        <f>M11/'Output-Calculation-sheet'!M10*'Output-Calculation-sheet'!M82</f>
        <v>4345381060.2722473</v>
      </c>
      <c r="N99" s="2">
        <f>N11/'Output-Calculation-sheet'!N10*'Output-Calculation-sheet'!N82</f>
        <v>3135901787.6791019</v>
      </c>
      <c r="O99" s="2">
        <f>O11/'Output-Calculation-sheet'!O10*'Output-Calculation-sheet'!O82</f>
        <v>2490903040.6406889</v>
      </c>
      <c r="P99" s="2">
        <f>P11/'Output-Calculation-sheet'!P10*'Output-Calculation-sheet'!P82</f>
        <v>5028193670.9446583</v>
      </c>
      <c r="Q99" s="2">
        <f>Q11/'Output-Calculation-sheet'!Q10*'Output-Calculation-sheet'!Q82</f>
        <v>2878703668.6564026</v>
      </c>
      <c r="R99" s="2">
        <f>R11/'Output-Calculation-sheet'!R10*'Output-Calculation-sheet'!R82</f>
        <v>3766651066.4144411</v>
      </c>
      <c r="S99" s="2">
        <f>S11/'Output-Calculation-sheet'!S10*'Output-Calculation-sheet'!S82</f>
        <v>2385927863.09694</v>
      </c>
      <c r="T99" s="2">
        <f>T11/'Output-Calculation-sheet'!T10*'Output-Calculation-sheet'!T82</f>
        <v>1488303755.2925925</v>
      </c>
      <c r="U99" s="2">
        <f>U11/'Output-Calculation-sheet'!U10*'Output-Calculation-sheet'!U82</f>
        <v>1399916741.2527294</v>
      </c>
      <c r="V99" s="2">
        <f>V11/'Output-Calculation-sheet'!V10*'Output-Calculation-sheet'!V82</f>
        <v>916840435.30657327</v>
      </c>
      <c r="W99" s="2">
        <f>W11/'Output-Calculation-sheet'!W10*'Output-Calculation-sheet'!W82</f>
        <v>1028803628.7501</v>
      </c>
      <c r="X99" s="2">
        <f>X11/'Output-Calculation-sheet'!X10*'Output-Calculation-sheet'!X82</f>
        <v>495471981.21558255</v>
      </c>
      <c r="Y99" s="2">
        <f>Y11/'Output-Calculation-sheet'!Y10*'Output-Calculation-sheet'!Y82</f>
        <v>534550437.88999438</v>
      </c>
      <c r="AA99" s="2">
        <f t="shared" si="8"/>
        <v>164.3675722136785</v>
      </c>
    </row>
    <row r="100" spans="1:27" x14ac:dyDescent="0.25">
      <c r="A100" s="2">
        <v>2035</v>
      </c>
      <c r="B100" s="2">
        <f>B12/'Output-Calculation-sheet'!B11*'Output-Calculation-sheet'!B83</f>
        <v>46681376595.793976</v>
      </c>
      <c r="C100" s="2">
        <f>C12/'Output-Calculation-sheet'!C11*'Output-Calculation-sheet'!C83</f>
        <v>19410956068.186424</v>
      </c>
      <c r="D100" s="2">
        <f>D12/'Output-Calculation-sheet'!D11*'Output-Calculation-sheet'!D83</f>
        <v>15034097625.598936</v>
      </c>
      <c r="E100" s="2">
        <f>E12/'Output-Calculation-sheet'!E11*'Output-Calculation-sheet'!E83</f>
        <v>18014475383.29129</v>
      </c>
      <c r="F100" s="2">
        <f>F12/'Output-Calculation-sheet'!F11*'Output-Calculation-sheet'!F83</f>
        <v>10780759327.413757</v>
      </c>
      <c r="G100" s="2">
        <f>G12/'Output-Calculation-sheet'!G11*'Output-Calculation-sheet'!G83</f>
        <v>5161946974.5138197</v>
      </c>
      <c r="H100" s="2">
        <f>H12/'Output-Calculation-sheet'!H11*'Output-Calculation-sheet'!H83</f>
        <v>6928434586.915432</v>
      </c>
      <c r="I100" s="2">
        <f>I12/'Output-Calculation-sheet'!I11*'Output-Calculation-sheet'!I83</f>
        <v>6570672491.3779821</v>
      </c>
      <c r="J100" s="2">
        <f>J12/'Output-Calculation-sheet'!J11*'Output-Calculation-sheet'!J83</f>
        <v>3879747232.4268079</v>
      </c>
      <c r="K100" s="2">
        <f>K12/'Output-Calculation-sheet'!K11*'Output-Calculation-sheet'!K83</f>
        <v>6308325595.8278446</v>
      </c>
      <c r="L100" s="2">
        <f>L12/'Output-Calculation-sheet'!L11*'Output-Calculation-sheet'!L83</f>
        <v>4640475713.800106</v>
      </c>
      <c r="M100" s="2">
        <f>M12/'Output-Calculation-sheet'!M11*'Output-Calculation-sheet'!M83</f>
        <v>4640209457.6053886</v>
      </c>
      <c r="N100" s="2">
        <f>N12/'Output-Calculation-sheet'!N11*'Output-Calculation-sheet'!N83</f>
        <v>3366340425.6966853</v>
      </c>
      <c r="O100" s="2">
        <f>O12/'Output-Calculation-sheet'!O11*'Output-Calculation-sheet'!O83</f>
        <v>2681941667.2416787</v>
      </c>
      <c r="P100" s="2">
        <f>P12/'Output-Calculation-sheet'!P11*'Output-Calculation-sheet'!P83</f>
        <v>5320409958.0537729</v>
      </c>
      <c r="Q100" s="2">
        <f>Q12/'Output-Calculation-sheet'!Q11*'Output-Calculation-sheet'!Q83</f>
        <v>3097457330.1087222</v>
      </c>
      <c r="R100" s="2">
        <f>R12/'Output-Calculation-sheet'!R11*'Output-Calculation-sheet'!R83</f>
        <v>4024949048.2657394</v>
      </c>
      <c r="S100" s="2">
        <f>S12/'Output-Calculation-sheet'!S11*'Output-Calculation-sheet'!S83</f>
        <v>2554307139.0259819</v>
      </c>
      <c r="T100" s="2">
        <f>T12/'Output-Calculation-sheet'!T11*'Output-Calculation-sheet'!T83</f>
        <v>1579617391.0626352</v>
      </c>
      <c r="U100" s="2">
        <f>U12/'Output-Calculation-sheet'!U11*'Output-Calculation-sheet'!U83</f>
        <v>1490543595.9595001</v>
      </c>
      <c r="V100" s="2">
        <f>V12/'Output-Calculation-sheet'!V11*'Output-Calculation-sheet'!V83</f>
        <v>981447434.91102397</v>
      </c>
      <c r="W100" s="2">
        <f>W12/'Output-Calculation-sheet'!W11*'Output-Calculation-sheet'!W83</f>
        <v>1080101585.9298048</v>
      </c>
      <c r="X100" s="2">
        <f>X12/'Output-Calculation-sheet'!X11*'Output-Calculation-sheet'!X83</f>
        <v>528819634.52491444</v>
      </c>
      <c r="Y100" s="2">
        <f>Y12/'Output-Calculation-sheet'!Y11*'Output-Calculation-sheet'!Y83</f>
        <v>564190104.74622858</v>
      </c>
      <c r="AA100" s="2">
        <f t="shared" si="8"/>
        <v>175.32160236827838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3230054800.9116292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1007752333.4254093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695261261.1677177</v>
      </c>
      <c r="N104" s="2">
        <f>N5/'Output-Calculation-sheet'!N4*'Output-Calculation-sheet'!N85</f>
        <v>0</v>
      </c>
      <c r="O104" s="2">
        <f>O5/'Output-Calculation-sheet'!O4*'Output-Calculation-sheet'!O85</f>
        <v>627602477.54814255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75299047.652852803</v>
      </c>
      <c r="Y104" s="2">
        <f>Y5/'Output-Calculation-sheet'!Y4*'Output-Calculation-sheet'!Y85</f>
        <v>0</v>
      </c>
      <c r="AA104" s="2">
        <f>SUM(B104:Y104)/10^6</f>
        <v>5635.9699207057511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8996837054.9205227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2806943741.8859582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1936546491.9113607</v>
      </c>
      <c r="N105" s="2">
        <f>N6/'Output-Calculation-sheet'!N5*'Output-Calculation-sheet'!N86</f>
        <v>0</v>
      </c>
      <c r="O105" s="2">
        <f>O6/'Output-Calculation-sheet'!O5*'Output-Calculation-sheet'!O86</f>
        <v>1748093596.4628291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209734194.88965401</v>
      </c>
      <c r="Y105" s="2">
        <f>Y6/'Output-Calculation-sheet'!Y5*'Output-Calculation-sheet'!Y86</f>
        <v>0</v>
      </c>
      <c r="AA105" s="2">
        <f t="shared" ref="AA105:AA111" si="9">SUM(B105:Y105)/10^6</f>
        <v>15698.155080070326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17116504707.831163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5340527824.1593933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3684502382.8913555</v>
      </c>
      <c r="N106" s="2">
        <f>N7/'Output-Calculation-sheet'!N6*'Output-Calculation-sheet'!N87</f>
        <v>1185563784.8372433</v>
      </c>
      <c r="O106" s="2">
        <f>O7/'Output-Calculation-sheet'!O6*'Output-Calculation-sheet'!O87</f>
        <v>3325735015.7010341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251150564.02963817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399035241.34604168</v>
      </c>
      <c r="Y106" s="2">
        <f>Y7/'Output-Calculation-sheet'!Y6*'Output-Calculation-sheet'!Y87</f>
        <v>0</v>
      </c>
      <c r="AA106" s="2">
        <f t="shared" si="9"/>
        <v>31303.019520795868</v>
      </c>
    </row>
    <row r="107" spans="1:27" x14ac:dyDescent="0.25">
      <c r="A107" s="2">
        <v>2031</v>
      </c>
      <c r="B107" s="2">
        <f>B8/'Output-Calculation-sheet'!B7*'Output-Calculation-sheet'!B88</f>
        <v>1631814080.3497627</v>
      </c>
      <c r="C107" s="2">
        <f>C8/'Output-Calculation-sheet'!C7*'Output-Calculation-sheet'!C88</f>
        <v>26874217444.229671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8384896184.0162735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5784879384.1204948</v>
      </c>
      <c r="N107" s="2">
        <f>N8/'Output-Calculation-sheet'!N7*'Output-Calculation-sheet'!N88</f>
        <v>1936305287.0042567</v>
      </c>
      <c r="O107" s="2">
        <f>O8/'Output-Calculation-sheet'!O7*'Output-Calculation-sheet'!O88</f>
        <v>5221684984.846056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580565493.56983113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626504288.80855715</v>
      </c>
      <c r="Y107" s="2">
        <f>Y8/'Output-Calculation-sheet'!Y7*'Output-Calculation-sheet'!Y88</f>
        <v>0</v>
      </c>
      <c r="AA107" s="2">
        <f t="shared" si="9"/>
        <v>51040.867146944904</v>
      </c>
    </row>
    <row r="108" spans="1:27" x14ac:dyDescent="0.25">
      <c r="A108" s="2">
        <v>2032</v>
      </c>
      <c r="B108" s="2">
        <f>B9/'Output-Calculation-sheet'!B8*'Output-Calculation-sheet'!B89</f>
        <v>7300435308.4509535</v>
      </c>
      <c r="C108" s="2">
        <f>C9/'Output-Calculation-sheet'!C8*'Output-Calculation-sheet'!C89</f>
        <v>36596516826.02478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11417860460.711189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7877330899.5538816</v>
      </c>
      <c r="N108" s="2">
        <f>N9/'Output-Calculation-sheet'!N8*'Output-Calculation-sheet'!N89</f>
        <v>3695953857.5902352</v>
      </c>
      <c r="O108" s="2">
        <f>O9/'Output-Calculation-sheet'!O8*'Output-Calculation-sheet'!O89</f>
        <v>7110734347.1094532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1116800941.0999529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853138482.54097438</v>
      </c>
      <c r="Y108" s="2">
        <f>Y9/'Output-Calculation-sheet'!Y8*'Output-Calculation-sheet'!Y89</f>
        <v>0</v>
      </c>
      <c r="AA108" s="2">
        <f t="shared" si="9"/>
        <v>75968.771123081417</v>
      </c>
    </row>
    <row r="109" spans="1:27" x14ac:dyDescent="0.25">
      <c r="A109" s="2">
        <v>2033</v>
      </c>
      <c r="B109" s="2">
        <f>B10/'Output-Calculation-sheet'!B9*'Output-Calculation-sheet'!B90</f>
        <v>18982080303.687469</v>
      </c>
      <c r="C109" s="2">
        <f>C10/'Output-Calculation-sheet'!C9*'Output-Calculation-sheet'!C90</f>
        <v>44861789470.417229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13996564222.662138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9656413001.544241</v>
      </c>
      <c r="N109" s="2">
        <f>N10/'Output-Calculation-sheet'!N9*'Output-Calculation-sheet'!N90</f>
        <v>5688995496.286869</v>
      </c>
      <c r="O109" s="2">
        <f>O10/'Output-Calculation-sheet'!O9*'Output-Calculation-sheet'!O90</f>
        <v>8311125401.7716169</v>
      </c>
      <c r="P109" s="2">
        <f>P10/'Output-Calculation-sheet'!P9*'Output-Calculation-sheet'!P90</f>
        <v>0</v>
      </c>
      <c r="Q109" s="2">
        <f>Q10/'Output-Calculation-sheet'!Q9*'Output-Calculation-sheet'!Q90</f>
        <v>185173894.34357211</v>
      </c>
      <c r="R109" s="2">
        <f>R10/'Output-Calculation-sheet'!R9*'Output-Calculation-sheet'!R90</f>
        <v>0</v>
      </c>
      <c r="S109" s="2">
        <f>S10/'Output-Calculation-sheet'!S9*'Output-Calculation-sheet'!S90</f>
        <v>2293494359.5402141</v>
      </c>
      <c r="T109" s="2">
        <f>T10/'Output-Calculation-sheet'!T9*'Output-Calculation-sheet'!T90</f>
        <v>-3.8116968267765206E-7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1045818743.9526736</v>
      </c>
      <c r="Y109" s="2">
        <f>Y10/'Output-Calculation-sheet'!Y9*'Output-Calculation-sheet'!Y90</f>
        <v>0</v>
      </c>
      <c r="AA109" s="2">
        <f t="shared" si="9"/>
        <v>105021.45489420599</v>
      </c>
    </row>
    <row r="110" spans="1:27" x14ac:dyDescent="0.25">
      <c r="A110" s="2">
        <v>2034</v>
      </c>
      <c r="B110" s="2">
        <f>B11/'Output-Calculation-sheet'!B10*'Output-Calculation-sheet'!B91</f>
        <v>42427057582.698265</v>
      </c>
      <c r="C110" s="2">
        <f>C11/'Output-Calculation-sheet'!C10*'Output-Calculation-sheet'!C91</f>
        <v>46997662115.507614</v>
      </c>
      <c r="D110" s="2">
        <f>D11/'Output-Calculation-sheet'!D10*'Output-Calculation-sheet'!D91</f>
        <v>0</v>
      </c>
      <c r="E110" s="2">
        <f>E11/'Output-Calculation-sheet'!E10*'Output-Calculation-sheet'!E91</f>
        <v>887912667.8428663</v>
      </c>
      <c r="F110" s="2">
        <f>F11/'Output-Calculation-sheet'!F10*'Output-Calculation-sheet'!F91</f>
        <v>0</v>
      </c>
      <c r="G110" s="2">
        <f>G11/'Output-Calculation-sheet'!G10*'Output-Calculation-sheet'!G91</f>
        <v>-2.0015592827640948E-6</v>
      </c>
      <c r="H110" s="2">
        <f>H11/'Output-Calculation-sheet'!H10*'Output-Calculation-sheet'!H91</f>
        <v>15835870099.775303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720934579.39900172</v>
      </c>
      <c r="M110" s="2">
        <f>M11/'Output-Calculation-sheet'!M10*'Output-Calculation-sheet'!M91</f>
        <v>10925372395.344423</v>
      </c>
      <c r="N110" s="2">
        <f>N11/'Output-Calculation-sheet'!N10*'Output-Calculation-sheet'!N91</f>
        <v>7557515257.6620884</v>
      </c>
      <c r="O110" s="2">
        <f>O11/'Output-Calculation-sheet'!O10*'Output-Calculation-sheet'!O91</f>
        <v>8664306094.3050728</v>
      </c>
      <c r="P110" s="2">
        <f>P11/'Output-Calculation-sheet'!P10*'Output-Calculation-sheet'!P91</f>
        <v>8.0659892870812046E-7</v>
      </c>
      <c r="Q110" s="2">
        <f>Q11/'Output-Calculation-sheet'!Q10*'Output-Calculation-sheet'!Q91</f>
        <v>1923334494.62517</v>
      </c>
      <c r="R110" s="2">
        <f>R11/'Output-Calculation-sheet'!R10*'Output-Calculation-sheet'!R91</f>
        <v>0</v>
      </c>
      <c r="S110" s="2">
        <f>S11/'Output-Calculation-sheet'!S10*'Output-Calculation-sheet'!S91</f>
        <v>3715760863.3605728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1078489731.7349675</v>
      </c>
      <c r="Y110" s="2">
        <f>Y11/'Output-Calculation-sheet'!Y10*'Output-Calculation-sheet'!Y91</f>
        <v>47378721.633206151</v>
      </c>
      <c r="AA110" s="2">
        <f t="shared" si="9"/>
        <v>140781.59460388852</v>
      </c>
    </row>
    <row r="111" spans="1:27" x14ac:dyDescent="0.25">
      <c r="A111" s="2">
        <v>2035</v>
      </c>
      <c r="B111" s="2">
        <f>B12/'Output-Calculation-sheet'!B11*'Output-Calculation-sheet'!B92</f>
        <v>56143378792.840797</v>
      </c>
      <c r="C111" s="2">
        <f>C12/'Output-Calculation-sheet'!C11*'Output-Calculation-sheet'!C92</f>
        <v>47172217602.623825</v>
      </c>
      <c r="D111" s="2">
        <f>D12/'Output-Calculation-sheet'!D11*'Output-Calculation-sheet'!D92</f>
        <v>0</v>
      </c>
      <c r="E111" s="2">
        <f>E12/'Output-Calculation-sheet'!E11*'Output-Calculation-sheet'!E92</f>
        <v>6380720657.454402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16012151660.802853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2054042042.7030296</v>
      </c>
      <c r="M111" s="2">
        <f>M12/'Output-Calculation-sheet'!M11*'Output-Calculation-sheet'!M92</f>
        <v>11084972585.954748</v>
      </c>
      <c r="N111" s="2">
        <f>N12/'Output-Calculation-sheet'!N11*'Output-Calculation-sheet'!N92</f>
        <v>7947941555.9094248</v>
      </c>
      <c r="O111" s="2">
        <f>O12/'Output-Calculation-sheet'!O11*'Output-Calculation-sheet'!O92</f>
        <v>8471147793.807951</v>
      </c>
      <c r="P111" s="2">
        <f>P12/'Output-Calculation-sheet'!P11*'Output-Calculation-sheet'!P92</f>
        <v>435942828.04179549</v>
      </c>
      <c r="Q111" s="2">
        <f>Q12/'Output-Calculation-sheet'!Q11*'Output-Calculation-sheet'!Q92</f>
        <v>3414603256.9961581</v>
      </c>
      <c r="R111" s="2">
        <f>R12/'Output-Calculation-sheet'!R11*'Output-Calculation-sheet'!R92</f>
        <v>0</v>
      </c>
      <c r="S111" s="2">
        <f>S12/'Output-Calculation-sheet'!S11*'Output-Calculation-sheet'!S92</f>
        <v>4274859470.2715983</v>
      </c>
      <c r="T111" s="2">
        <f>T12/'Output-Calculation-sheet'!T11*'Output-Calculation-sheet'!T92</f>
        <v>0</v>
      </c>
      <c r="U111" s="2">
        <f>U12/'Output-Calculation-sheet'!U11*'Output-Calculation-sheet'!U92</f>
        <v>151837650.98699367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1089157996.0397277</v>
      </c>
      <c r="Y111" s="2">
        <f>Y12/'Output-Calculation-sheet'!Y11*'Output-Calculation-sheet'!Y92</f>
        <v>257685169.88734511</v>
      </c>
      <c r="AA111" s="2">
        <f t="shared" si="9"/>
        <v>164890.6590643207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6854223304.4515924</v>
      </c>
      <c r="C115" s="2">
        <f>C5/'Output-Calculation-sheet'!C4*'Output-Calculation-sheet'!C94</f>
        <v>0</v>
      </c>
      <c r="D115" s="2">
        <f>D5/'Output-Calculation-sheet'!D4*'Output-Calculation-sheet'!D94</f>
        <v>2878852716.356442</v>
      </c>
      <c r="E115" s="2">
        <f>E5/'Output-Calculation-sheet'!E4*'Output-Calculation-sheet'!E94</f>
        <v>2284077315.1250901</v>
      </c>
      <c r="F115" s="2">
        <f>F5/'Output-Calculation-sheet'!F4*'Output-Calculation-sheet'!F94</f>
        <v>1470342531.0670123</v>
      </c>
      <c r="G115" s="2">
        <f>G5/'Output-Calculation-sheet'!G4*'Output-Calculation-sheet'!G94</f>
        <v>1033103176.2430414</v>
      </c>
      <c r="H115" s="2">
        <f>H5/'Output-Calculation-sheet'!H4*'Output-Calculation-sheet'!H94</f>
        <v>0</v>
      </c>
      <c r="I115" s="2">
        <f>I5/'Output-Calculation-sheet'!I4*'Output-Calculation-sheet'!I94</f>
        <v>941238242.05988562</v>
      </c>
      <c r="J115" s="2">
        <f>J5/'Output-Calculation-sheet'!J4*'Output-Calculation-sheet'!J94</f>
        <v>916136261.89012229</v>
      </c>
      <c r="K115" s="2">
        <f>K5/'Output-Calculation-sheet'!K4*'Output-Calculation-sheet'!K94</f>
        <v>907353559.66903746</v>
      </c>
      <c r="L115" s="2">
        <f>L5/'Output-Calculation-sheet'!L4*'Output-Calculation-sheet'!L94</f>
        <v>727890879.41432273</v>
      </c>
      <c r="M115" s="2">
        <f>M5/'Output-Calculation-sheet'!M4*'Output-Calculation-sheet'!M94</f>
        <v>0</v>
      </c>
      <c r="N115" s="2">
        <f>N5/'Output-Calculation-sheet'!N4*'Output-Calculation-sheet'!N94</f>
        <v>682396999.19296706</v>
      </c>
      <c r="O115" s="2">
        <f>O5/'Output-Calculation-sheet'!O4*'Output-Calculation-sheet'!O94</f>
        <v>0</v>
      </c>
      <c r="P115" s="2">
        <f>P5/'Output-Calculation-sheet'!P4*'Output-Calculation-sheet'!P94</f>
        <v>621217240.6963253</v>
      </c>
      <c r="Q115" s="2">
        <f>Q5/'Output-Calculation-sheet'!Q4*'Output-Calculation-sheet'!Q94</f>
        <v>611177341.19891417</v>
      </c>
      <c r="R115" s="2">
        <f>R5/'Output-Calculation-sheet'!R4*'Output-Calculation-sheet'!R94</f>
        <v>587980668.61542726</v>
      </c>
      <c r="S115" s="2">
        <f>S5/'Output-Calculation-sheet'!S4*'Output-Calculation-sheet'!S94</f>
        <v>390802103.11450291</v>
      </c>
      <c r="T115" s="2">
        <f>T5/'Output-Calculation-sheet'!T4*'Output-Calculation-sheet'!T94</f>
        <v>216136629.34865919</v>
      </c>
      <c r="U115" s="2">
        <f>U5/'Output-Calculation-sheet'!U4*'Output-Calculation-sheet'!U94</f>
        <v>188247626.49791038</v>
      </c>
      <c r="V115" s="2">
        <f>V5/'Output-Calculation-sheet'!V4*'Output-Calculation-sheet'!V94</f>
        <v>144954437.34800616</v>
      </c>
      <c r="W115" s="2">
        <f>W5/'Output-Calculation-sheet'!W4*'Output-Calculation-sheet'!W94</f>
        <v>125498417.65758635</v>
      </c>
      <c r="X115" s="2">
        <f>X5/'Output-Calculation-sheet'!X4*'Output-Calculation-sheet'!X94</f>
        <v>0</v>
      </c>
      <c r="Y115" s="2">
        <f>Y5/'Output-Calculation-sheet'!Y4*'Output-Calculation-sheet'!Y94</f>
        <v>73227585.137814641</v>
      </c>
      <c r="AA115" s="2">
        <f>SUM(B115:Y115)/10^6</f>
        <v>21654.85703508466</v>
      </c>
    </row>
    <row r="116" spans="1:27" x14ac:dyDescent="0.25">
      <c r="A116" s="2">
        <v>2029</v>
      </c>
      <c r="B116" s="2">
        <f>B6/'Output-Calculation-sheet'!B5*'Output-Calculation-sheet'!B95</f>
        <v>19091422149.583855</v>
      </c>
      <c r="C116" s="2">
        <f>C6/'Output-Calculation-sheet'!C5*'Output-Calculation-sheet'!C95</f>
        <v>0</v>
      </c>
      <c r="D116" s="2">
        <f>D6/'Output-Calculation-sheet'!D5*'Output-Calculation-sheet'!D95</f>
        <v>8018617148.9433413</v>
      </c>
      <c r="E116" s="2">
        <f>E6/'Output-Calculation-sheet'!E5*'Output-Calculation-sheet'!E95</f>
        <v>6361956517.5123425</v>
      </c>
      <c r="F116" s="2">
        <f>F6/'Output-Calculation-sheet'!F5*'Output-Calculation-sheet'!F95</f>
        <v>4095419706.9222584</v>
      </c>
      <c r="G116" s="2">
        <f>G6/'Output-Calculation-sheet'!G5*'Output-Calculation-sheet'!G95</f>
        <v>2877554281.8437409</v>
      </c>
      <c r="H116" s="2">
        <f>H6/'Output-Calculation-sheet'!H5*'Output-Calculation-sheet'!H95</f>
        <v>0</v>
      </c>
      <c r="I116" s="2">
        <f>I6/'Output-Calculation-sheet'!I5*'Output-Calculation-sheet'!I95</f>
        <v>2621679474.9866686</v>
      </c>
      <c r="J116" s="2">
        <f>J6/'Output-Calculation-sheet'!J5*'Output-Calculation-sheet'!J95</f>
        <v>2551761246.4316721</v>
      </c>
      <c r="K116" s="2">
        <f>K6/'Output-Calculation-sheet'!K5*'Output-Calculation-sheet'!K95</f>
        <v>2527297542.1538501</v>
      </c>
      <c r="L116" s="2">
        <f>L6/'Output-Calculation-sheet'!L5*'Output-Calculation-sheet'!L95</f>
        <v>2027431740.4565122</v>
      </c>
      <c r="M116" s="2">
        <f>M6/'Output-Calculation-sheet'!M5*'Output-Calculation-sheet'!M95</f>
        <v>0</v>
      </c>
      <c r="N116" s="2">
        <f>N6/'Output-Calculation-sheet'!N5*'Output-Calculation-sheet'!N95</f>
        <v>1900714420.6196604</v>
      </c>
      <c r="O116" s="2">
        <f>O6/'Output-Calculation-sheet'!O5*'Output-Calculation-sheet'!O95</f>
        <v>0</v>
      </c>
      <c r="P116" s="2">
        <f>P6/'Output-Calculation-sheet'!P5*'Output-Calculation-sheet'!P95</f>
        <v>1730308466.5377901</v>
      </c>
      <c r="Q116" s="2">
        <f>Q6/'Output-Calculation-sheet'!Q5*'Output-Calculation-sheet'!Q95</f>
        <v>1702343538.4800799</v>
      </c>
      <c r="R116" s="2">
        <f>R6/'Output-Calculation-sheet'!R5*'Output-Calculation-sheet'!R95</f>
        <v>1637732154.4258313</v>
      </c>
      <c r="S116" s="2">
        <f>S6/'Output-Calculation-sheet'!S5*'Output-Calculation-sheet'!S95</f>
        <v>1088521109.2696822</v>
      </c>
      <c r="T116" s="2">
        <f>T6/'Output-Calculation-sheet'!T5*'Output-Calculation-sheet'!T95</f>
        <v>602016138.42915094</v>
      </c>
      <c r="U116" s="2">
        <f>U6/'Output-Calculation-sheet'!U5*'Output-Calculation-sheet'!U95</f>
        <v>524335589.8055169</v>
      </c>
      <c r="V116" s="2">
        <f>V6/'Output-Calculation-sheet'!V5*'Output-Calculation-sheet'!V95</f>
        <v>403748890.75181609</v>
      </c>
      <c r="W116" s="2">
        <f>W6/'Output-Calculation-sheet'!W5*'Output-Calculation-sheet'!W95</f>
        <v>349557059.76328766</v>
      </c>
      <c r="X116" s="2">
        <f>X6/'Output-Calculation-sheet'!X5*'Output-Calculation-sheet'!X95</f>
        <v>0</v>
      </c>
      <c r="Y116" s="2">
        <f>Y6/'Output-Calculation-sheet'!Y5*'Output-Calculation-sheet'!Y95</f>
        <v>203964447.4708578</v>
      </c>
      <c r="AA116" s="2">
        <f t="shared" ref="AA116:AA122" si="10">SUM(B116:Y116)/10^6</f>
        <v>60316.381624387919</v>
      </c>
    </row>
    <row r="117" spans="1:27" x14ac:dyDescent="0.25">
      <c r="A117" s="2">
        <v>2030</v>
      </c>
      <c r="B117" s="2">
        <f>B7/'Output-Calculation-sheet'!B6*'Output-Calculation-sheet'!B96</f>
        <v>36326887313.390968</v>
      </c>
      <c r="C117" s="2">
        <f>C7/'Output-Calculation-sheet'!C6*'Output-Calculation-sheet'!C96</f>
        <v>0</v>
      </c>
      <c r="D117" s="2">
        <f>D7/'Output-Calculation-sheet'!D6*'Output-Calculation-sheet'!D96</f>
        <v>15257707012.03013</v>
      </c>
      <c r="E117" s="2">
        <f>E7/'Output-Calculation-sheet'!E6*'Output-Calculation-sheet'!E96</f>
        <v>12105440628.337822</v>
      </c>
      <c r="F117" s="2">
        <f>F7/'Output-Calculation-sheet'!F6*'Output-Calculation-sheet'!F96</f>
        <v>7792710553.1004105</v>
      </c>
      <c r="G117" s="2">
        <f>G7/'Output-Calculation-sheet'!G6*'Output-Calculation-sheet'!G96</f>
        <v>5475372329.6950264</v>
      </c>
      <c r="H117" s="2">
        <f>H7/'Output-Calculation-sheet'!H6*'Output-Calculation-sheet'!H96</f>
        <v>0</v>
      </c>
      <c r="I117" s="2">
        <f>I7/'Output-Calculation-sheet'!I6*'Output-Calculation-sheet'!I96</f>
        <v>4988494540.3683395</v>
      </c>
      <c r="J117" s="2">
        <f>J7/'Output-Calculation-sheet'!J6*'Output-Calculation-sheet'!J96</f>
        <v>4855455105.2657185</v>
      </c>
      <c r="K117" s="2">
        <f>K7/'Output-Calculation-sheet'!K6*'Output-Calculation-sheet'!K96</f>
        <v>4808907173.0839252</v>
      </c>
      <c r="L117" s="2">
        <f>L7/'Output-Calculation-sheet'!L6*'Output-Calculation-sheet'!L96</f>
        <v>3857768364.606184</v>
      </c>
      <c r="M117" s="2">
        <f>M7/'Output-Calculation-sheet'!M6*'Output-Calculation-sheet'!M96</f>
        <v>0</v>
      </c>
      <c r="N117" s="2">
        <f>N7/'Output-Calculation-sheet'!N6*'Output-Calculation-sheet'!N96</f>
        <v>2431089600.3879137</v>
      </c>
      <c r="O117" s="2">
        <f>O7/'Output-Calculation-sheet'!O6*'Output-Calculation-sheet'!O96</f>
        <v>0</v>
      </c>
      <c r="P117" s="2">
        <f>P7/'Output-Calculation-sheet'!P6*'Output-Calculation-sheet'!P96</f>
        <v>3292405541.7587481</v>
      </c>
      <c r="Q117" s="2">
        <f>Q7/'Output-Calculation-sheet'!Q6*'Output-Calculation-sheet'!Q96</f>
        <v>3239195985.7141252</v>
      </c>
      <c r="R117" s="2">
        <f>R7/'Output-Calculation-sheet'!R6*'Output-Calculation-sheet'!R96</f>
        <v>3116255140.260684</v>
      </c>
      <c r="S117" s="2">
        <f>S7/'Output-Calculation-sheet'!S6*'Output-Calculation-sheet'!S96</f>
        <v>1820072290.2916818</v>
      </c>
      <c r="T117" s="2">
        <f>T7/'Output-Calculation-sheet'!T6*'Output-Calculation-sheet'!T96</f>
        <v>1145508669.3307405</v>
      </c>
      <c r="U117" s="2">
        <f>U7/'Output-Calculation-sheet'!U6*'Output-Calculation-sheet'!U96</f>
        <v>997698583.90715969</v>
      </c>
      <c r="V117" s="2">
        <f>V7/'Output-Calculation-sheet'!V6*'Output-Calculation-sheet'!V96</f>
        <v>768247863.37045074</v>
      </c>
      <c r="W117" s="2">
        <f>W7/'Output-Calculation-sheet'!W6*'Output-Calculation-sheet'!W96</f>
        <v>665132563.46588147</v>
      </c>
      <c r="X117" s="2">
        <f>X7/'Output-Calculation-sheet'!X6*'Output-Calculation-sheet'!X96</f>
        <v>0</v>
      </c>
      <c r="Y117" s="2">
        <f>Y7/'Output-Calculation-sheet'!Y6*'Output-Calculation-sheet'!Y96</f>
        <v>388100859.70703655</v>
      </c>
      <c r="AA117" s="2">
        <f t="shared" si="10"/>
        <v>113332.45011807294</v>
      </c>
    </row>
    <row r="118" spans="1:27" x14ac:dyDescent="0.25">
      <c r="A118" s="2">
        <v>2031</v>
      </c>
      <c r="B118" s="2">
        <f>B8/'Output-Calculation-sheet'!B7*'Output-Calculation-sheet'!B97</f>
        <v>55408684599.277184</v>
      </c>
      <c r="C118" s="2">
        <f>C8/'Output-Calculation-sheet'!C7*'Output-Calculation-sheet'!C97</f>
        <v>0</v>
      </c>
      <c r="D118" s="2">
        <f>D8/'Output-Calculation-sheet'!D7*'Output-Calculation-sheet'!D97</f>
        <v>23957666718.709877</v>
      </c>
      <c r="E118" s="2">
        <f>E8/'Output-Calculation-sheet'!E7*'Output-Calculation-sheet'!E97</f>
        <v>19007977393.978931</v>
      </c>
      <c r="F118" s="2">
        <f>F8/'Output-Calculation-sheet'!F7*'Output-Calculation-sheet'!F97</f>
        <v>12236117143.169874</v>
      </c>
      <c r="G118" s="2">
        <f>G8/'Output-Calculation-sheet'!G7*'Output-Calculation-sheet'!G97</f>
        <v>8597431715.9622097</v>
      </c>
      <c r="H118" s="2">
        <f>H8/'Output-Calculation-sheet'!H7*'Output-Calculation-sheet'!H97</f>
        <v>0</v>
      </c>
      <c r="I118" s="2">
        <f>I8/'Output-Calculation-sheet'!I7*'Output-Calculation-sheet'!I97</f>
        <v>7832937059.0034523</v>
      </c>
      <c r="J118" s="2">
        <f>J8/'Output-Calculation-sheet'!J7*'Output-Calculation-sheet'!J97</f>
        <v>7624041433.4002275</v>
      </c>
      <c r="K118" s="2">
        <f>K8/'Output-Calculation-sheet'!K7*'Output-Calculation-sheet'!K97</f>
        <v>7550949840.1763783</v>
      </c>
      <c r="L118" s="2">
        <f>L8/'Output-Calculation-sheet'!L7*'Output-Calculation-sheet'!L97</f>
        <v>6057470145.0646954</v>
      </c>
      <c r="M118" s="2">
        <f>M8/'Output-Calculation-sheet'!M7*'Output-Calculation-sheet'!M97</f>
        <v>0</v>
      </c>
      <c r="N118" s="2">
        <f>N8/'Output-Calculation-sheet'!N7*'Output-Calculation-sheet'!N97</f>
        <v>3742523801.5085173</v>
      </c>
      <c r="O118" s="2">
        <f>O8/'Output-Calculation-sheet'!O7*'Output-Calculation-sheet'!O97</f>
        <v>0</v>
      </c>
      <c r="P118" s="2">
        <f>P8/'Output-Calculation-sheet'!P7*'Output-Calculation-sheet'!P97</f>
        <v>5169738458.9422817</v>
      </c>
      <c r="Q118" s="2">
        <f>Q8/'Output-Calculation-sheet'!Q7*'Output-Calculation-sheet'!Q97</f>
        <v>5086186166.2645416</v>
      </c>
      <c r="R118" s="2">
        <f>R8/'Output-Calculation-sheet'!R7*'Output-Calculation-sheet'!R97</f>
        <v>4893145007.0474663</v>
      </c>
      <c r="S118" s="2">
        <f>S8/'Output-Calculation-sheet'!S7*'Output-Calculation-sheet'!S97</f>
        <v>2671670225.6249337</v>
      </c>
      <c r="T118" s="2">
        <f>T8/'Output-Calculation-sheet'!T7*'Output-Calculation-sheet'!T97</f>
        <v>1798678381.2505748</v>
      </c>
      <c r="U118" s="2">
        <f>U8/'Output-Calculation-sheet'!U7*'Output-Calculation-sheet'!U97</f>
        <v>1566587104.2103579</v>
      </c>
      <c r="V118" s="2">
        <f>V8/'Output-Calculation-sheet'!V7*'Output-Calculation-sheet'!V97</f>
        <v>1206303876.0148153</v>
      </c>
      <c r="W118" s="2">
        <f>W8/'Output-Calculation-sheet'!W7*'Output-Calculation-sheet'!W97</f>
        <v>1044391402.4870452</v>
      </c>
      <c r="X118" s="2">
        <f>X8/'Output-Calculation-sheet'!X7*'Output-Calculation-sheet'!X97</f>
        <v>0</v>
      </c>
      <c r="Y118" s="2">
        <f>Y8/'Output-Calculation-sheet'!Y7*'Output-Calculation-sheet'!Y97</f>
        <v>609396355.36025608</v>
      </c>
      <c r="AA118" s="2">
        <f t="shared" si="10"/>
        <v>176061.8968274536</v>
      </c>
    </row>
    <row r="119" spans="1:27" x14ac:dyDescent="0.25">
      <c r="A119" s="2">
        <v>2032</v>
      </c>
      <c r="B119" s="2">
        <f>B9/'Output-Calculation-sheet'!B8*'Output-Calculation-sheet'!B98</f>
        <v>70372071601.26619</v>
      </c>
      <c r="C119" s="2">
        <f>C9/'Output-Calculation-sheet'!C8*'Output-Calculation-sheet'!C98</f>
        <v>0</v>
      </c>
      <c r="D119" s="2">
        <f>D9/'Output-Calculation-sheet'!D8*'Output-Calculation-sheet'!D98</f>
        <v>32623350381.98111</v>
      </c>
      <c r="E119" s="2">
        <f>E9/'Output-Calculation-sheet'!E8*'Output-Calculation-sheet'!E98</f>
        <v>25883311938.228588</v>
      </c>
      <c r="F119" s="2">
        <f>F9/'Output-Calculation-sheet'!F8*'Output-Calculation-sheet'!F98</f>
        <v>16662021866.946165</v>
      </c>
      <c r="G119" s="2">
        <f>G9/'Output-Calculation-sheet'!G8*'Output-Calculation-sheet'!G98</f>
        <v>11707193878.945694</v>
      </c>
      <c r="H119" s="2">
        <f>H9/'Output-Calculation-sheet'!H8*'Output-Calculation-sheet'!H98</f>
        <v>0</v>
      </c>
      <c r="I119" s="2">
        <f>I9/'Output-Calculation-sheet'!I8*'Output-Calculation-sheet'!I98</f>
        <v>10666175982.771538</v>
      </c>
      <c r="J119" s="2">
        <f>J9/'Output-Calculation-sheet'!J8*'Output-Calculation-sheet'!J98</f>
        <v>10381717028.965015</v>
      </c>
      <c r="K119" s="2">
        <f>K9/'Output-Calculation-sheet'!K8*'Output-Calculation-sheet'!K98</f>
        <v>10282189246.093027</v>
      </c>
      <c r="L119" s="2">
        <f>L9/'Output-Calculation-sheet'!L8*'Output-Calculation-sheet'!L98</f>
        <v>8248507839.2741556</v>
      </c>
      <c r="M119" s="2">
        <f>M9/'Output-Calculation-sheet'!M8*'Output-Calculation-sheet'!M98</f>
        <v>0</v>
      </c>
      <c r="N119" s="2">
        <f>N9/'Output-Calculation-sheet'!N8*'Output-Calculation-sheet'!N98</f>
        <v>4036309497.3234897</v>
      </c>
      <c r="O119" s="2">
        <f>O9/'Output-Calculation-sheet'!O8*'Output-Calculation-sheet'!O98</f>
        <v>7.2433850305160136E-7</v>
      </c>
      <c r="P119" s="2">
        <f>P9/'Output-Calculation-sheet'!P8*'Output-Calculation-sheet'!P98</f>
        <v>7039628564.8105192</v>
      </c>
      <c r="Q119" s="2">
        <f>Q9/'Output-Calculation-sheet'!Q8*'Output-Calculation-sheet'!Q98</f>
        <v>6925901214.327486</v>
      </c>
      <c r="R119" s="2">
        <f>R9/'Output-Calculation-sheet'!R8*'Output-Calculation-sheet'!R98</f>
        <v>6663036028.5849457</v>
      </c>
      <c r="S119" s="2">
        <f>S9/'Output-Calculation-sheet'!S8*'Output-Calculation-sheet'!S98</f>
        <v>3311557696.25668</v>
      </c>
      <c r="T119" s="2">
        <f>T9/'Output-Calculation-sheet'!T8*'Output-Calculation-sheet'!T98</f>
        <v>2449274653.6008148</v>
      </c>
      <c r="U119" s="2">
        <f>U9/'Output-Calculation-sheet'!U8*'Output-Calculation-sheet'!U98</f>
        <v>2133234954.1772029</v>
      </c>
      <c r="V119" s="2">
        <f>V9/'Output-Calculation-sheet'!V8*'Output-Calculation-sheet'!V98</f>
        <v>1642633579.6846058</v>
      </c>
      <c r="W119" s="2">
        <f>W9/'Output-Calculation-sheet'!W8*'Output-Calculation-sheet'!W98</f>
        <v>1422156412.6452963</v>
      </c>
      <c r="X119" s="2">
        <f>X9/'Output-Calculation-sheet'!X8*'Output-Calculation-sheet'!X98</f>
        <v>0</v>
      </c>
      <c r="Y119" s="2">
        <f>Y9/'Output-Calculation-sheet'!Y8*'Output-Calculation-sheet'!Y98</f>
        <v>829819734.19916654</v>
      </c>
      <c r="AA119" s="2">
        <f t="shared" si="10"/>
        <v>233280.0921000817</v>
      </c>
    </row>
    <row r="120" spans="1:27" x14ac:dyDescent="0.25">
      <c r="A120" s="2">
        <v>2033</v>
      </c>
      <c r="B120" s="2">
        <f>B10/'Output-Calculation-sheet'!B9*'Output-Calculation-sheet'!B99</f>
        <v>76224000408.510406</v>
      </c>
      <c r="C120" s="2">
        <f>C10/'Output-Calculation-sheet'!C9*'Output-Calculation-sheet'!C99</f>
        <v>0</v>
      </c>
      <c r="D120" s="2">
        <f>D10/'Output-Calculation-sheet'!D9*'Output-Calculation-sheet'!D99</f>
        <v>39990078789.269035</v>
      </c>
      <c r="E120" s="2">
        <f>E10/'Output-Calculation-sheet'!E9*'Output-Calculation-sheet'!E99</f>
        <v>31728065320.469112</v>
      </c>
      <c r="F120" s="2">
        <f>F10/'Output-Calculation-sheet'!F9*'Output-Calculation-sheet'!F99</f>
        <v>20424494197.388039</v>
      </c>
      <c r="G120" s="2">
        <f>G10/'Output-Calculation-sheet'!G9*'Output-Calculation-sheet'!G99</f>
        <v>14350810158.198578</v>
      </c>
      <c r="H120" s="2">
        <f>H10/'Output-Calculation-sheet'!H9*'Output-Calculation-sheet'!H99</f>
        <v>0</v>
      </c>
      <c r="I120" s="2">
        <f>I10/'Output-Calculation-sheet'!I9*'Output-Calculation-sheet'!I99</f>
        <v>13074719390.745712</v>
      </c>
      <c r="J120" s="2">
        <f>J10/'Output-Calculation-sheet'!J9*'Output-Calculation-sheet'!J99</f>
        <v>12726026359.65308</v>
      </c>
      <c r="K120" s="2">
        <f>K10/'Output-Calculation-sheet'!K9*'Output-Calculation-sheet'!K99</f>
        <v>12604025393.916536</v>
      </c>
      <c r="L120" s="2">
        <f>L10/'Output-Calculation-sheet'!L9*'Output-Calculation-sheet'!L99</f>
        <v>10111114371.991983</v>
      </c>
      <c r="M120" s="2">
        <f>M10/'Output-Calculation-sheet'!M9*'Output-Calculation-sheet'!M99</f>
        <v>0</v>
      </c>
      <c r="N120" s="2">
        <f>N10/'Output-Calculation-sheet'!N9*'Output-Calculation-sheet'!N99</f>
        <v>3788742199.513617</v>
      </c>
      <c r="O120" s="2">
        <f>O10/'Output-Calculation-sheet'!O9*'Output-Calculation-sheet'!O99</f>
        <v>0</v>
      </c>
      <c r="P120" s="2">
        <f>P10/'Output-Calculation-sheet'!P9*'Output-Calculation-sheet'!P99</f>
        <v>8628803535.4935913</v>
      </c>
      <c r="Q120" s="2">
        <f>Q10/'Output-Calculation-sheet'!Q9*'Output-Calculation-sheet'!Q99</f>
        <v>8304591309.3144855</v>
      </c>
      <c r="R120" s="2">
        <f>R10/'Output-Calculation-sheet'!R9*'Output-Calculation-sheet'!R99</f>
        <v>8167237384.3929281</v>
      </c>
      <c r="S120" s="2">
        <f>S10/'Output-Calculation-sheet'!S9*'Output-Calculation-sheet'!S99</f>
        <v>3134475326.8931828</v>
      </c>
      <c r="T120" s="2">
        <f>T10/'Output-Calculation-sheet'!T9*'Output-Calculation-sheet'!T99</f>
        <v>3002322800.0827827</v>
      </c>
      <c r="U120" s="2">
        <f>U10/'Output-Calculation-sheet'!U9*'Output-Calculation-sheet'!U99</f>
        <v>2615511907.8145337</v>
      </c>
      <c r="V120" s="2">
        <f>V10/'Output-Calculation-sheet'!V9*'Output-Calculation-sheet'!V99</f>
        <v>2013558958.1358755</v>
      </c>
      <c r="W120" s="2">
        <f>W10/'Output-Calculation-sheet'!W9*'Output-Calculation-sheet'!W99</f>
        <v>1743295808.9038303</v>
      </c>
      <c r="X120" s="2">
        <f>X10/'Output-Calculation-sheet'!X9*'Output-Calculation-sheet'!X99</f>
        <v>0</v>
      </c>
      <c r="Y120" s="2">
        <f>Y10/'Output-Calculation-sheet'!Y9*'Output-Calculation-sheet'!Y99</f>
        <v>1017203962.8690248</v>
      </c>
      <c r="AA120" s="2">
        <f t="shared" si="10"/>
        <v>273649.0775835563</v>
      </c>
    </row>
    <row r="121" spans="1:27" x14ac:dyDescent="0.25">
      <c r="A121" s="2">
        <v>2034</v>
      </c>
      <c r="B121" s="2">
        <f>B11/'Output-Calculation-sheet'!B10*'Output-Calculation-sheet'!B100</f>
        <v>65280769576.220963</v>
      </c>
      <c r="C121" s="2">
        <f>C11/'Output-Calculation-sheet'!C10*'Output-Calculation-sheet'!C100</f>
        <v>0</v>
      </c>
      <c r="D121" s="2">
        <f>D11/'Output-Calculation-sheet'!D10*'Output-Calculation-sheet'!D100</f>
        <v>45244246405.527908</v>
      </c>
      <c r="E121" s="2">
        <f>E11/'Output-Calculation-sheet'!E10*'Output-Calculation-sheet'!E100</f>
        <v>35007282571.634911</v>
      </c>
      <c r="F121" s="2">
        <f>F11/'Output-Calculation-sheet'!F10*'Output-Calculation-sheet'!F100</f>
        <v>23107878193.573093</v>
      </c>
      <c r="G121" s="2">
        <f>G11/'Output-Calculation-sheet'!G10*'Output-Calculation-sheet'!G100</f>
        <v>16235433608.773315</v>
      </c>
      <c r="H121" s="2">
        <f>H11/'Output-Calculation-sheet'!H10*'Output-Calculation-sheet'!H100</f>
        <v>1.9545633872469345E-7</v>
      </c>
      <c r="I121" s="2">
        <f>I11/'Output-Calculation-sheet'!I10*'Output-Calculation-sheet'!I100</f>
        <v>14792041396.125048</v>
      </c>
      <c r="J121" s="2">
        <f>J11/'Output-Calculation-sheet'!J10*'Output-Calculation-sheet'!J100</f>
        <v>14397685271.54574</v>
      </c>
      <c r="K121" s="2">
        <f>K11/'Output-Calculation-sheet'!K10*'Output-Calculation-sheet'!K100</f>
        <v>14260033542.586857</v>
      </c>
      <c r="L121" s="2">
        <f>L11/'Output-Calculation-sheet'!L10*'Output-Calculation-sheet'!L100</f>
        <v>10718302814.66638</v>
      </c>
      <c r="M121" s="2">
        <f>M11/'Output-Calculation-sheet'!M10*'Output-Calculation-sheet'!M100</f>
        <v>-1.2693330190341365E-7</v>
      </c>
      <c r="N121" s="2">
        <f>N11/'Output-Calculation-sheet'!N10*'Output-Calculation-sheet'!N100</f>
        <v>3165703421.4298735</v>
      </c>
      <c r="O121" s="2">
        <f>O11/'Output-Calculation-sheet'!O10*'Output-Calculation-sheet'!O100</f>
        <v>0</v>
      </c>
      <c r="P121" s="2">
        <f>P11/'Output-Calculation-sheet'!P10*'Output-Calculation-sheet'!P100</f>
        <v>9762112005.0865803</v>
      </c>
      <c r="Q121" s="2">
        <f>Q11/'Output-Calculation-sheet'!Q10*'Output-Calculation-sheet'!Q100</f>
        <v>7681088060.5527353</v>
      </c>
      <c r="R121" s="2">
        <f>R11/'Output-Calculation-sheet'!R10*'Output-Calculation-sheet'!R100</f>
        <v>9239905467.7283211</v>
      </c>
      <c r="S121" s="2">
        <f>S11/'Output-Calculation-sheet'!S10*'Output-Calculation-sheet'!S100</f>
        <v>2425321912.395031</v>
      </c>
      <c r="T121" s="2">
        <f>T11/'Output-Calculation-sheet'!T10*'Output-Calculation-sheet'!T100</f>
        <v>3396585382.6783686</v>
      </c>
      <c r="U121" s="2">
        <f>U11/'Output-Calculation-sheet'!U10*'Output-Calculation-sheet'!U100</f>
        <v>2960106472.6510005</v>
      </c>
      <c r="V121" s="2">
        <f>V11/'Output-Calculation-sheet'!V10*'Output-Calculation-sheet'!V100</f>
        <v>2278114321.2554145</v>
      </c>
      <c r="W121" s="2">
        <f>W11/'Output-Calculation-sheet'!W10*'Output-Calculation-sheet'!W100</f>
        <v>1972400412.1919341</v>
      </c>
      <c r="X121" s="2">
        <f>X11/'Output-Calculation-sheet'!X10*'Output-Calculation-sheet'!X100</f>
        <v>104761567.39645575</v>
      </c>
      <c r="Y121" s="2">
        <f>Y11/'Output-Calculation-sheet'!Y10*'Output-Calculation-sheet'!Y100</f>
        <v>1103451477.9191899</v>
      </c>
      <c r="AA121" s="2">
        <f t="shared" si="10"/>
        <v>283133.22388193919</v>
      </c>
    </row>
    <row r="122" spans="1:27" x14ac:dyDescent="0.25">
      <c r="A122" s="2">
        <v>2035</v>
      </c>
      <c r="B122" s="2">
        <f>B12/'Output-Calculation-sheet'!B11*'Output-Calculation-sheet'!B101</f>
        <v>54966779632.354324</v>
      </c>
      <c r="C122" s="2">
        <f>C12/'Output-Calculation-sheet'!C11*'Output-Calculation-sheet'!C101</f>
        <v>0</v>
      </c>
      <c r="D122" s="2">
        <f>D12/'Output-Calculation-sheet'!D11*'Output-Calculation-sheet'!D101</f>
        <v>46070559071.434685</v>
      </c>
      <c r="E122" s="2">
        <f>E12/'Output-Calculation-sheet'!E11*'Output-Calculation-sheet'!E101</f>
        <v>31021850452.201408</v>
      </c>
      <c r="F122" s="2">
        <f>F12/'Output-Calculation-sheet'!F11*'Output-Calculation-sheet'!F101</f>
        <v>24014379699.811993</v>
      </c>
      <c r="G122" s="2">
        <f>G12/'Output-Calculation-sheet'!G11*'Output-Calculation-sheet'!G101</f>
        <v>16364796886.020554</v>
      </c>
      <c r="H122" s="2">
        <f>H12/'Output-Calculation-sheet'!H11*'Output-Calculation-sheet'!H101</f>
        <v>0</v>
      </c>
      <c r="I122" s="2">
        <f>I12/'Output-Calculation-sheet'!I11*'Output-Calculation-sheet'!I101</f>
        <v>15323733371.427769</v>
      </c>
      <c r="J122" s="2">
        <f>J12/'Output-Calculation-sheet'!J11*'Output-Calculation-sheet'!J101</f>
        <v>14645919332.188326</v>
      </c>
      <c r="K122" s="2">
        <f>K12/'Output-Calculation-sheet'!K11*'Output-Calculation-sheet'!K101</f>
        <v>14788578855.916597</v>
      </c>
      <c r="L122" s="2">
        <f>L12/'Output-Calculation-sheet'!L11*'Output-Calculation-sheet'!L101</f>
        <v>9842322361.9922352</v>
      </c>
      <c r="M122" s="2">
        <f>M12/'Output-Calculation-sheet'!M11*'Output-Calculation-sheet'!M101</f>
        <v>0</v>
      </c>
      <c r="N122" s="2">
        <f>N12/'Output-Calculation-sheet'!N11*'Output-Calculation-sheet'!N101</f>
        <v>2899665757.0525136</v>
      </c>
      <c r="O122" s="2">
        <f>O12/'Output-Calculation-sheet'!O11*'Output-Calculation-sheet'!O101</f>
        <v>0</v>
      </c>
      <c r="P122" s="2">
        <f>P12/'Output-Calculation-sheet'!P11*'Output-Calculation-sheet'!P101</f>
        <v>9705205855.7192364</v>
      </c>
      <c r="Q122" s="2">
        <f>Q12/'Output-Calculation-sheet'!Q11*'Output-Calculation-sheet'!Q101</f>
        <v>6321349920.0908537</v>
      </c>
      <c r="R122" s="2">
        <f>R12/'Output-Calculation-sheet'!R11*'Output-Calculation-sheet'!R101</f>
        <v>9574748507.1274967</v>
      </c>
      <c r="S122" s="2">
        <f>S12/'Output-Calculation-sheet'!S11*'Output-Calculation-sheet'!S101</f>
        <v>2013304526.8035567</v>
      </c>
      <c r="T122" s="2">
        <f>T12/'Output-Calculation-sheet'!T11*'Output-Calculation-sheet'!T101</f>
        <v>3547447108.1986108</v>
      </c>
      <c r="U122" s="2">
        <f>U12/'Output-Calculation-sheet'!U11*'Output-Calculation-sheet'!U101</f>
        <v>2906485276.5623536</v>
      </c>
      <c r="V122" s="2">
        <f>V12/'Output-Calculation-sheet'!V11*'Output-Calculation-sheet'!V101</f>
        <v>2392723925.5241394</v>
      </c>
      <c r="W122" s="2">
        <f>W12/'Output-Calculation-sheet'!W11*'Output-Calculation-sheet'!W101</f>
        <v>2063603722.9360948</v>
      </c>
      <c r="X122" s="2">
        <f>X12/'Output-Calculation-sheet'!X11*'Output-Calculation-sheet'!X101</f>
        <v>99738153.396695122</v>
      </c>
      <c r="Y122" s="2">
        <f>Y12/'Output-Calculation-sheet'!Y11*'Output-Calculation-sheet'!Y101</f>
        <v>931511452.55368388</v>
      </c>
      <c r="AA122" s="2">
        <f t="shared" si="10"/>
        <v>269494.70386931312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47979562060.649246</v>
      </c>
      <c r="C126" s="2">
        <f>C5/'Output-Calculation-sheet'!C4*'Output-Calculation-sheet'!C103</f>
        <v>22610384622.559055</v>
      </c>
      <c r="D126" s="2">
        <f>D5/'Output-Calculation-sheet'!D4*'Output-Calculation-sheet'!D103</f>
        <v>20151966314.00861</v>
      </c>
      <c r="E126" s="2">
        <f>E5/'Output-Calculation-sheet'!E4*'Output-Calculation-sheet'!E103</f>
        <v>15988539417.403591</v>
      </c>
      <c r="F126" s="2">
        <f>F5/'Output-Calculation-sheet'!F4*'Output-Calculation-sheet'!F103</f>
        <v>10292398842.295357</v>
      </c>
      <c r="G126" s="2">
        <f>G5/'Output-Calculation-sheet'!G4*'Output-Calculation-sheet'!G103</f>
        <v>7231721910.7937822</v>
      </c>
      <c r="H126" s="2">
        <f>H5/'Output-Calculation-sheet'!H4*'Output-Calculation-sheet'!H103</f>
        <v>7054266333.9778652</v>
      </c>
      <c r="I126" s="2">
        <f>I5/'Output-Calculation-sheet'!I4*'Output-Calculation-sheet'!I103</f>
        <v>6588667549.2011871</v>
      </c>
      <c r="J126" s="2">
        <f>J5/'Output-Calculation-sheet'!J4*'Output-Calculation-sheet'!J103</f>
        <v>6412954120.6671648</v>
      </c>
      <c r="K126" s="2">
        <f>K5/'Output-Calculation-sheet'!K4*'Output-Calculation-sheet'!K103</f>
        <v>6351475345.8626041</v>
      </c>
      <c r="L126" s="2">
        <f>L5/'Output-Calculation-sheet'!L4*'Output-Calculation-sheet'!L103</f>
        <v>5095236382.8787222</v>
      </c>
      <c r="M126" s="2">
        <f>M5/'Output-Calculation-sheet'!M4*'Output-Calculation-sheet'!M103</f>
        <v>4866829366.2856922</v>
      </c>
      <c r="N126" s="2">
        <f>N5/'Output-Calculation-sheet'!N4*'Output-Calculation-sheet'!N103</f>
        <v>4776778571.2488317</v>
      </c>
      <c r="O126" s="2">
        <f>O5/'Output-Calculation-sheet'!O4*'Output-Calculation-sheet'!O103</f>
        <v>4393217244.1290073</v>
      </c>
      <c r="P126" s="2">
        <f>P5/'Output-Calculation-sheet'!P4*'Output-Calculation-sheet'!P103</f>
        <v>4348520098.5693455</v>
      </c>
      <c r="Q126" s="2">
        <f>Q5/'Output-Calculation-sheet'!Q4*'Output-Calculation-sheet'!Q103</f>
        <v>4278241110.3666878</v>
      </c>
      <c r="R126" s="2">
        <f>R5/'Output-Calculation-sheet'!R4*'Output-Calculation-sheet'!R103</f>
        <v>4115864496.4984345</v>
      </c>
      <c r="S126" s="2">
        <f>S5/'Output-Calculation-sheet'!S4*'Output-Calculation-sheet'!S103</f>
        <v>2735614843.06951</v>
      </c>
      <c r="T126" s="2">
        <f>T5/'Output-Calculation-sheet'!T4*'Output-Calculation-sheet'!T103</f>
        <v>1512956269.4344592</v>
      </c>
      <c r="U126" s="2">
        <f>U5/'Output-Calculation-sheet'!U4*'Output-Calculation-sheet'!U103</f>
        <v>1317733474.1925623</v>
      </c>
      <c r="V126" s="2">
        <f>V5/'Output-Calculation-sheet'!V4*'Output-Calculation-sheet'!V103</f>
        <v>1014681129.8373317</v>
      </c>
      <c r="W126" s="2">
        <f>W5/'Output-Calculation-sheet'!W4*'Output-Calculation-sheet'!W103</f>
        <v>878488884.11618984</v>
      </c>
      <c r="X126" s="2">
        <f>X5/'Output-Calculation-sheet'!X4*'Output-Calculation-sheet'!X103</f>
        <v>527093345.376405</v>
      </c>
      <c r="Y126" s="2">
        <f>Y5/'Output-Calculation-sheet'!Y4*'Output-Calculation-sheet'!Y103</f>
        <v>512593107.35813153</v>
      </c>
      <c r="AA126" s="2">
        <f>SUM(B126:Y126)/10^6</f>
        <v>191035.78484077979</v>
      </c>
    </row>
    <row r="127" spans="1:27" x14ac:dyDescent="0.25">
      <c r="A127" s="2">
        <v>2029</v>
      </c>
      <c r="B127" s="2">
        <f>B6/'Output-Calculation-sheet'!B5*'Output-Calculation-sheet'!B104</f>
        <v>57274251539.995758</v>
      </c>
      <c r="C127" s="2">
        <f>C6/'Output-Calculation-sheet'!C5*'Output-Calculation-sheet'!C104</f>
        <v>26990511164.76157</v>
      </c>
      <c r="D127" s="2">
        <f>D6/'Output-Calculation-sheet'!D5*'Output-Calculation-sheet'!D104</f>
        <v>24055845178.661591</v>
      </c>
      <c r="E127" s="2">
        <f>E6/'Output-Calculation-sheet'!E5*'Output-Calculation-sheet'!E104</f>
        <v>19085869552.537029</v>
      </c>
      <c r="F127" s="2">
        <f>F6/'Output-Calculation-sheet'!F5*'Output-Calculation-sheet'!F104</f>
        <v>12286259120.766775</v>
      </c>
      <c r="G127" s="2">
        <f>G6/'Output-Calculation-sheet'!G5*'Output-Calculation-sheet'!G104</f>
        <v>8632662845.5312233</v>
      </c>
      <c r="H127" s="2">
        <f>H6/'Output-Calculation-sheet'!H5*'Output-Calculation-sheet'!H104</f>
        <v>8420831225.6578741</v>
      </c>
      <c r="I127" s="2">
        <f>I6/'Output-Calculation-sheet'!I5*'Output-Calculation-sheet'!I104</f>
        <v>7865036402.5444946</v>
      </c>
      <c r="J127" s="2">
        <f>J6/'Output-Calculation-sheet'!J5*'Output-Calculation-sheet'!J104</f>
        <v>7655281737.7676525</v>
      </c>
      <c r="K127" s="2">
        <f>K6/'Output-Calculation-sheet'!K5*'Output-Calculation-sheet'!K104</f>
        <v>7581892626.4615507</v>
      </c>
      <c r="L127" s="2">
        <f>L6/'Output-Calculation-sheet'!L5*'Output-Calculation-sheet'!L104</f>
        <v>6082293640.8329382</v>
      </c>
      <c r="M127" s="2">
        <f>M6/'Output-Calculation-sheet'!M5*'Output-Calculation-sheet'!M104</f>
        <v>5809639475.7340822</v>
      </c>
      <c r="N127" s="2">
        <f>N6/'Output-Calculation-sheet'!N5*'Output-Calculation-sheet'!N104</f>
        <v>5702144734.9681196</v>
      </c>
      <c r="O127" s="2">
        <f>O6/'Output-Calculation-sheet'!O5*'Output-Calculation-sheet'!O104</f>
        <v>5244279414.706604</v>
      </c>
      <c r="P127" s="2">
        <f>P6/'Output-Calculation-sheet'!P5*'Output-Calculation-sheet'!P104</f>
        <v>5190924038.7259569</v>
      </c>
      <c r="Q127" s="2">
        <f>Q6/'Output-Calculation-sheet'!Q5*'Output-Calculation-sheet'!Q104</f>
        <v>5107029324.7750225</v>
      </c>
      <c r="R127" s="2">
        <f>R6/'Output-Calculation-sheet'!R5*'Output-Calculation-sheet'!R104</f>
        <v>4913196463.2774935</v>
      </c>
      <c r="S127" s="2">
        <f>S6/'Output-Calculation-sheet'!S5*'Output-Calculation-sheet'!S104</f>
        <v>3265562483.3743262</v>
      </c>
      <c r="T127" s="2">
        <f>T6/'Output-Calculation-sheet'!T5*'Output-Calculation-sheet'!T104</f>
        <v>1806048888.8185141</v>
      </c>
      <c r="U127" s="2">
        <f>U6/'Output-Calculation-sheet'!U5*'Output-Calculation-sheet'!U104</f>
        <v>1573007181.2176161</v>
      </c>
      <c r="V127" s="2">
        <f>V6/'Output-Calculation-sheet'!V5*'Output-Calculation-sheet'!V104</f>
        <v>1211246989.7914181</v>
      </c>
      <c r="W127" s="2">
        <f>W6/'Output-Calculation-sheet'!W5*'Output-Calculation-sheet'!W104</f>
        <v>1048671454.2521335</v>
      </c>
      <c r="X127" s="2">
        <f>X6/'Output-Calculation-sheet'!X5*'Output-Calculation-sheet'!X104</f>
        <v>629202749.0942806</v>
      </c>
      <c r="Y127" s="2">
        <f>Y6/'Output-Calculation-sheet'!Y5*'Output-Calculation-sheet'!Y104</f>
        <v>611893501.08605552</v>
      </c>
      <c r="AA127" s="2">
        <f t="shared" ref="AA127:AA133" si="11">SUM(B127:Y127)/10^6</f>
        <v>228043.58173534003</v>
      </c>
    </row>
    <row r="128" spans="1:27" x14ac:dyDescent="0.25">
      <c r="A128" s="2">
        <v>2030</v>
      </c>
      <c r="B128" s="2">
        <f>B7/'Output-Calculation-sheet'!B6*'Output-Calculation-sheet'!B105</f>
        <v>60544818493.02417</v>
      </c>
      <c r="C128" s="2">
        <f>C7/'Output-Calculation-sheet'!C6*'Output-Calculation-sheet'!C105</f>
        <v>28531759531.837246</v>
      </c>
      <c r="D128" s="2">
        <f>D7/'Output-Calculation-sheet'!D6*'Output-Calculation-sheet'!D105</f>
        <v>25429516987.599152</v>
      </c>
      <c r="E128" s="2">
        <f>E7/'Output-Calculation-sheet'!E6*'Output-Calculation-sheet'!E105</f>
        <v>20175736486.956779</v>
      </c>
      <c r="F128" s="2">
        <f>F7/'Output-Calculation-sheet'!F6*'Output-Calculation-sheet'!F105</f>
        <v>12987849597.056797</v>
      </c>
      <c r="G128" s="2">
        <f>G7/'Output-Calculation-sheet'!G6*'Output-Calculation-sheet'!G105</f>
        <v>9125619598.7215309</v>
      </c>
      <c r="H128" s="2">
        <f>H7/'Output-Calculation-sheet'!H6*'Output-Calculation-sheet'!H105</f>
        <v>8901690224.2112427</v>
      </c>
      <c r="I128" s="2">
        <f>I7/'Output-Calculation-sheet'!I6*'Output-Calculation-sheet'!I105</f>
        <v>8314158422.4415779</v>
      </c>
      <c r="J128" s="2">
        <f>J7/'Output-Calculation-sheet'!J6*'Output-Calculation-sheet'!J105</f>
        <v>8092426021.7715034</v>
      </c>
      <c r="K128" s="2">
        <f>K7/'Output-Calculation-sheet'!K6*'Output-Calculation-sheet'!K105</f>
        <v>8014845288.4732084</v>
      </c>
      <c r="L128" s="2">
        <f>L7/'Output-Calculation-sheet'!L6*'Output-Calculation-sheet'!L105</f>
        <v>6429614609.3266191</v>
      </c>
      <c r="M128" s="2">
        <f>M7/'Output-Calculation-sheet'!M6*'Output-Calculation-sheet'!M105</f>
        <v>6141391217.4168329</v>
      </c>
      <c r="N128" s="2">
        <f>N7/'Output-Calculation-sheet'!N6*'Output-Calculation-sheet'!N105</f>
        <v>6027757510.7165327</v>
      </c>
      <c r="O128" s="2">
        <f>O7/'Output-Calculation-sheet'!O6*'Output-Calculation-sheet'!O105</f>
        <v>5543746744.5591574</v>
      </c>
      <c r="P128" s="2">
        <f>P7/'Output-Calculation-sheet'!P6*'Output-Calculation-sheet'!P105</f>
        <v>5487343720.4769993</v>
      </c>
      <c r="Q128" s="2">
        <f>Q7/'Output-Calculation-sheet'!Q6*'Output-Calculation-sheet'!Q105</f>
        <v>5398658338.9501352</v>
      </c>
      <c r="R128" s="2">
        <f>R7/'Output-Calculation-sheet'!R6*'Output-Calculation-sheet'!R105</f>
        <v>5193758025.8915348</v>
      </c>
      <c r="S128" s="2">
        <f>S7/'Output-Calculation-sheet'!S6*'Output-Calculation-sheet'!S105</f>
        <v>3452037912.0045524</v>
      </c>
      <c r="T128" s="2">
        <f>T7/'Output-Calculation-sheet'!T6*'Output-Calculation-sheet'!T105</f>
        <v>1909180715.0941572</v>
      </c>
      <c r="U128" s="2">
        <f>U7/'Output-Calculation-sheet'!U6*'Output-Calculation-sheet'!U105</f>
        <v>1662831495.5582201</v>
      </c>
      <c r="V128" s="2">
        <f>V7/'Output-Calculation-sheet'!V6*'Output-Calculation-sheet'!V105</f>
        <v>1280413508.4194827</v>
      </c>
      <c r="W128" s="2">
        <f>W7/'Output-Calculation-sheet'!W6*'Output-Calculation-sheet'!W105</f>
        <v>1108554156.1777036</v>
      </c>
      <c r="X128" s="2">
        <f>X7/'Output-Calculation-sheet'!X6*'Output-Calculation-sheet'!X105</f>
        <v>665132572.01071906</v>
      </c>
      <c r="Y128" s="2">
        <f>Y7/'Output-Calculation-sheet'!Y6*'Output-Calculation-sheet'!Y105</f>
        <v>646834699.0846765</v>
      </c>
      <c r="AA128" s="2">
        <f t="shared" si="11"/>
        <v>241065.67587778054</v>
      </c>
    </row>
    <row r="129" spans="1:27" x14ac:dyDescent="0.25">
      <c r="A129" s="2">
        <v>2031</v>
      </c>
      <c r="B129" s="2">
        <f>B8/'Output-Calculation-sheet'!B7*'Output-Calculation-sheet'!B106</f>
        <v>57040499718.386803</v>
      </c>
      <c r="C129" s="2">
        <f>C8/'Output-Calculation-sheet'!C7*'Output-Calculation-sheet'!C106</f>
        <v>26880359035.228107</v>
      </c>
      <c r="D129" s="2">
        <f>D8/'Output-Calculation-sheet'!D7*'Output-Calculation-sheet'!D106</f>
        <v>23957666718.709877</v>
      </c>
      <c r="E129" s="2">
        <f>E8/'Output-Calculation-sheet'!E7*'Output-Calculation-sheet'!E106</f>
        <v>19007977393.978931</v>
      </c>
      <c r="F129" s="2">
        <f>F8/'Output-Calculation-sheet'!F7*'Output-Calculation-sheet'!F106</f>
        <v>12236117143.169874</v>
      </c>
      <c r="G129" s="2">
        <f>G8/'Output-Calculation-sheet'!G7*'Output-Calculation-sheet'!G106</f>
        <v>8597431715.9622097</v>
      </c>
      <c r="H129" s="2">
        <f>H8/'Output-Calculation-sheet'!H7*'Output-Calculation-sheet'!H106</f>
        <v>8386464611.1730375</v>
      </c>
      <c r="I129" s="2">
        <f>I8/'Output-Calculation-sheet'!I7*'Output-Calculation-sheet'!I106</f>
        <v>7832937059.0034523</v>
      </c>
      <c r="J129" s="2">
        <f>J8/'Output-Calculation-sheet'!J7*'Output-Calculation-sheet'!J106</f>
        <v>7624041433.4002275</v>
      </c>
      <c r="K129" s="2">
        <f>K8/'Output-Calculation-sheet'!K7*'Output-Calculation-sheet'!K106</f>
        <v>7550949840.1763783</v>
      </c>
      <c r="L129" s="2">
        <f>L8/'Output-Calculation-sheet'!L7*'Output-Calculation-sheet'!L106</f>
        <v>6057470145.0646954</v>
      </c>
      <c r="M129" s="2">
        <f>M8/'Output-Calculation-sheet'!M7*'Output-Calculation-sheet'!M106</f>
        <v>5785929507.5838957</v>
      </c>
      <c r="N129" s="2">
        <f>N8/'Output-Calculation-sheet'!N7*'Output-Calculation-sheet'!N106</f>
        <v>5678874201.7507458</v>
      </c>
      <c r="O129" s="2">
        <f>O8/'Output-Calculation-sheet'!O7*'Output-Calculation-sheet'!O106</f>
        <v>5222876077.1468487</v>
      </c>
      <c r="P129" s="2">
        <f>P8/'Output-Calculation-sheet'!P7*'Output-Calculation-sheet'!P106</f>
        <v>5169738458.9422817</v>
      </c>
      <c r="Q129" s="2">
        <f>Q8/'Output-Calculation-sheet'!Q7*'Output-Calculation-sheet'!Q106</f>
        <v>5086186166.2645416</v>
      </c>
      <c r="R129" s="2">
        <f>R8/'Output-Calculation-sheet'!R7*'Output-Calculation-sheet'!R106</f>
        <v>4893145007.0474663</v>
      </c>
      <c r="S129" s="2">
        <f>S8/'Output-Calculation-sheet'!S7*'Output-Calculation-sheet'!S106</f>
        <v>3252234836.1568804</v>
      </c>
      <c r="T129" s="2">
        <f>T8/'Output-Calculation-sheet'!T7*'Output-Calculation-sheet'!T106</f>
        <v>1798678381.2505748</v>
      </c>
      <c r="U129" s="2">
        <f>U8/'Output-Calculation-sheet'!U7*'Output-Calculation-sheet'!U106</f>
        <v>1566587104.2103579</v>
      </c>
      <c r="V129" s="2">
        <f>V8/'Output-Calculation-sheet'!V7*'Output-Calculation-sheet'!V106</f>
        <v>1206303876.0148153</v>
      </c>
      <c r="W129" s="2">
        <f>W8/'Output-Calculation-sheet'!W7*'Output-Calculation-sheet'!W106</f>
        <v>1044391402.4870452</v>
      </c>
      <c r="X129" s="2">
        <f>X8/'Output-Calculation-sheet'!X7*'Output-Calculation-sheet'!X106</f>
        <v>626634964.72027707</v>
      </c>
      <c r="Y129" s="2">
        <f>Y8/'Output-Calculation-sheet'!Y7*'Output-Calculation-sheet'!Y106</f>
        <v>609396355.36025608</v>
      </c>
      <c r="AA129" s="2">
        <f t="shared" si="11"/>
        <v>227112.89115318962</v>
      </c>
    </row>
    <row r="130" spans="1:27" x14ac:dyDescent="0.25">
      <c r="A130" s="2">
        <v>2032</v>
      </c>
      <c r="B130" s="2">
        <f>B9/'Output-Calculation-sheet'!B8*'Output-Calculation-sheet'!B107</f>
        <v>46603510939.253044</v>
      </c>
      <c r="C130" s="2">
        <f>C9/'Output-Calculation-sheet'!C8*'Output-Calculation-sheet'!C107</f>
        <v>21961915149.198666</v>
      </c>
      <c r="D130" s="2">
        <f>D9/'Output-Calculation-sheet'!D8*'Output-Calculation-sheet'!D107</f>
        <v>19574006148.909683</v>
      </c>
      <c r="E130" s="2">
        <f>E9/'Output-Calculation-sheet'!E8*'Output-Calculation-sheet'!E107</f>
        <v>15529985541.570429</v>
      </c>
      <c r="F130" s="2">
        <f>F9/'Output-Calculation-sheet'!F8*'Output-Calculation-sheet'!F107</f>
        <v>9997214139.8961849</v>
      </c>
      <c r="G130" s="2">
        <f>G9/'Output-Calculation-sheet'!G8*'Output-Calculation-sheet'!G107</f>
        <v>7024317059.2092857</v>
      </c>
      <c r="H130" s="2">
        <f>H9/'Output-Calculation-sheet'!H8*'Output-Calculation-sheet'!H107</f>
        <v>6851949865.6128492</v>
      </c>
      <c r="I130" s="2">
        <f>I9/'Output-Calculation-sheet'!I8*'Output-Calculation-sheet'!I107</f>
        <v>6399704931.414855</v>
      </c>
      <c r="J130" s="2">
        <f>J9/'Output-Calculation-sheet'!J8*'Output-Calculation-sheet'!J107</f>
        <v>6229029565.9295368</v>
      </c>
      <c r="K130" s="2">
        <f>K9/'Output-Calculation-sheet'!K8*'Output-Calculation-sheet'!K107</f>
        <v>6169313547.6558161</v>
      </c>
      <c r="L130" s="2">
        <f>L9/'Output-Calculation-sheet'!L8*'Output-Calculation-sheet'!L107</f>
        <v>4949104189.1374855</v>
      </c>
      <c r="M130" s="2">
        <f>M9/'Output-Calculation-sheet'!M8*'Output-Calculation-sheet'!M107</f>
        <v>4727249321.1395063</v>
      </c>
      <c r="N130" s="2">
        <f>N9/'Output-Calculation-sheet'!N8*'Output-Calculation-sheet'!N107</f>
        <v>4639779459.984066</v>
      </c>
      <c r="O130" s="2">
        <f>O9/'Output-Calculation-sheet'!O8*'Output-Calculation-sheet'!O107</f>
        <v>4267220024.7105465</v>
      </c>
      <c r="P130" s="2">
        <f>P9/'Output-Calculation-sheet'!P8*'Output-Calculation-sheet'!P107</f>
        <v>4223804158.0086131</v>
      </c>
      <c r="Q130" s="2">
        <f>Q9/'Output-Calculation-sheet'!Q8*'Output-Calculation-sheet'!Q107</f>
        <v>4155541988.8388295</v>
      </c>
      <c r="R130" s="2">
        <f>R9/'Output-Calculation-sheet'!R8*'Output-Calculation-sheet'!R107</f>
        <v>3997822033.7393894</v>
      </c>
      <c r="S130" s="2">
        <f>S9/'Output-Calculation-sheet'!S8*'Output-Calculation-sheet'!S107</f>
        <v>2657156974.1155806</v>
      </c>
      <c r="T130" s="2">
        <f>T9/'Output-Calculation-sheet'!T8*'Output-Calculation-sheet'!T107</f>
        <v>1469565100.4066472</v>
      </c>
      <c r="U130" s="2">
        <f>U9/'Output-Calculation-sheet'!U8*'Output-Calculation-sheet'!U107</f>
        <v>1279940570.4120135</v>
      </c>
      <c r="V130" s="2">
        <f>V9/'Output-Calculation-sheet'!V8*'Output-Calculation-sheet'!V107</f>
        <v>985579837.75958395</v>
      </c>
      <c r="W130" s="2">
        <f>W9/'Output-Calculation-sheet'!W8*'Output-Calculation-sheet'!W107</f>
        <v>853293937.08084607</v>
      </c>
      <c r="X130" s="2">
        <f>X9/'Output-Calculation-sheet'!X8*'Output-Calculation-sheet'!X107</f>
        <v>511976261.79272753</v>
      </c>
      <c r="Y130" s="2">
        <f>Y9/'Output-Calculation-sheet'!Y8*'Output-Calculation-sheet'!Y107</f>
        <v>497891892.16393811</v>
      </c>
      <c r="AA130" s="2">
        <f t="shared" si="11"/>
        <v>185556.87263794011</v>
      </c>
    </row>
    <row r="131" spans="1:27" x14ac:dyDescent="0.25">
      <c r="A131" s="2">
        <v>2033</v>
      </c>
      <c r="B131" s="2">
        <f>B10/'Output-Calculation-sheet'!B9*'Output-Calculation-sheet'!B108</f>
        <v>31737295875.111378</v>
      </c>
      <c r="C131" s="2">
        <f>C10/'Output-Calculation-sheet'!C9*'Output-Calculation-sheet'!C108</f>
        <v>14956207940.664192</v>
      </c>
      <c r="D131" s="2">
        <f>D10/'Output-Calculation-sheet'!D9*'Output-Calculation-sheet'!D108</f>
        <v>13330029736.459631</v>
      </c>
      <c r="E131" s="2">
        <f>E10/'Output-Calculation-sheet'!E9*'Output-Calculation-sheet'!E108</f>
        <v>10576021773.489704</v>
      </c>
      <c r="F131" s="2">
        <f>F10/'Output-Calculation-sheet'!F9*'Output-Calculation-sheet'!F108</f>
        <v>6808164732.4626799</v>
      </c>
      <c r="G131" s="2">
        <f>G10/'Output-Calculation-sheet'!G9*'Output-Calculation-sheet'!G108</f>
        <v>4783603386.0661926</v>
      </c>
      <c r="H131" s="2">
        <f>H10/'Output-Calculation-sheet'!H9*'Output-Calculation-sheet'!H108</f>
        <v>4666221475.9610634</v>
      </c>
      <c r="I131" s="2">
        <f>I10/'Output-Calculation-sheet'!I9*'Output-Calculation-sheet'!I108</f>
        <v>4358240917.5930471</v>
      </c>
      <c r="J131" s="2">
        <f>J10/'Output-Calculation-sheet'!J9*'Output-Calculation-sheet'!J108</f>
        <v>4242009895.6541204</v>
      </c>
      <c r="K131" s="2">
        <f>K10/'Output-Calculation-sheet'!K9*'Output-Calculation-sheet'!K108</f>
        <v>4201341797.9721785</v>
      </c>
      <c r="L131" s="2">
        <f>L10/'Output-Calculation-sheet'!L9*'Output-Calculation-sheet'!L108</f>
        <v>3370372333.1508288</v>
      </c>
      <c r="M131" s="2">
        <f>M10/'Output-Calculation-sheet'!M9*'Output-Calculation-sheet'!M108</f>
        <v>3219286049.4177241</v>
      </c>
      <c r="N131" s="2">
        <f>N10/'Output-Calculation-sheet'!N9*'Output-Calculation-sheet'!N108</f>
        <v>3159719347.7077856</v>
      </c>
      <c r="O131" s="2">
        <f>O10/'Output-Calculation-sheet'!O9*'Output-Calculation-sheet'!O108</f>
        <v>3492272115.7027016</v>
      </c>
      <c r="P131" s="2">
        <f>P10/'Output-Calculation-sheet'!P9*'Output-Calculation-sheet'!P108</f>
        <v>2876439027.2998662</v>
      </c>
      <c r="Q131" s="2">
        <f>Q10/'Output-Calculation-sheet'!Q9*'Output-Calculation-sheet'!Q108</f>
        <v>2829950547.3458934</v>
      </c>
      <c r="R131" s="2">
        <f>R10/'Output-Calculation-sheet'!R9*'Output-Calculation-sheet'!R108</f>
        <v>2722541544.6763444</v>
      </c>
      <c r="S131" s="2">
        <f>S10/'Output-Calculation-sheet'!S9*'Output-Calculation-sheet'!S108</f>
        <v>1809541281.9704149</v>
      </c>
      <c r="T131" s="2">
        <f>T10/'Output-Calculation-sheet'!T9*'Output-Calculation-sheet'!T108</f>
        <v>1000782663.3980981</v>
      </c>
      <c r="U131" s="2">
        <f>U10/'Output-Calculation-sheet'!U9*'Output-Calculation-sheet'!U108</f>
        <v>871647676.17227805</v>
      </c>
      <c r="V131" s="2">
        <f>V10/'Output-Calculation-sheet'!V9*'Output-Calculation-sheet'!V108</f>
        <v>671186143.42293596</v>
      </c>
      <c r="W131" s="2">
        <f>W10/'Output-Calculation-sheet'!W9*'Output-Calculation-sheet'!W108</f>
        <v>581098450.60354888</v>
      </c>
      <c r="X131" s="2">
        <f>X10/'Output-Calculation-sheet'!X9*'Output-Calculation-sheet'!X108</f>
        <v>348659002.25700659</v>
      </c>
      <c r="Y131" s="2">
        <f>Y10/'Output-Calculation-sheet'!Y9*'Output-Calculation-sheet'!Y108</f>
        <v>339067460.07014084</v>
      </c>
      <c r="AA131" s="2">
        <f t="shared" si="11"/>
        <v>126951.70117462975</v>
      </c>
    </row>
    <row r="132" spans="1:27" x14ac:dyDescent="0.25">
      <c r="A132" s="2">
        <v>2034</v>
      </c>
      <c r="B132" s="2">
        <f>B11/'Output-Calculation-sheet'!B10*'Output-Calculation-sheet'!B109</f>
        <v>15388779599.613768</v>
      </c>
      <c r="C132" s="2">
        <f>C11/'Output-Calculation-sheet'!C10*'Output-Calculation-sheet'!C109</f>
        <v>14000278089.62771</v>
      </c>
      <c r="D132" s="2">
        <f>D11/'Output-Calculation-sheet'!D10*'Output-Calculation-sheet'!D109</f>
        <v>6463464638.3618679</v>
      </c>
      <c r="E132" s="2">
        <f>E11/'Output-Calculation-sheet'!E10*'Output-Calculation-sheet'!E109</f>
        <v>5128102897.9766893</v>
      </c>
      <c r="F132" s="2">
        <f>F11/'Output-Calculation-sheet'!F10*'Output-Calculation-sheet'!F109</f>
        <v>3301143855.6186471</v>
      </c>
      <c r="G132" s="2">
        <f>G11/'Output-Calculation-sheet'!G10*'Output-Calculation-sheet'!G109</f>
        <v>2319474632.8938169</v>
      </c>
      <c r="H132" s="2">
        <f>H11/'Output-Calculation-sheet'!H10*'Output-Calculation-sheet'!H109</f>
        <v>2262558113.6243582</v>
      </c>
      <c r="I132" s="2">
        <f>I11/'Output-Calculation-sheet'!I10*'Output-Calculation-sheet'!I109</f>
        <v>2113223805.8804243</v>
      </c>
      <c r="J132" s="2">
        <f>J11/'Output-Calculation-sheet'!J10*'Output-Calculation-sheet'!J109</f>
        <v>2056866021.3163469</v>
      </c>
      <c r="K132" s="2">
        <f>K11/'Output-Calculation-sheet'!K10*'Output-Calculation-sheet'!K109</f>
        <v>2037147511.6083927</v>
      </c>
      <c r="L132" s="2">
        <f>L11/'Output-Calculation-sheet'!L10*'Output-Calculation-sheet'!L109</f>
        <v>1634226347.5135314</v>
      </c>
      <c r="M132" s="2">
        <f>M11/'Output-Calculation-sheet'!M10*'Output-Calculation-sheet'!M109</f>
        <v>1560967864.1941416</v>
      </c>
      <c r="N132" s="2">
        <f>N11/'Output-Calculation-sheet'!N10*'Output-Calculation-sheet'!N109</f>
        <v>1532085628.6077175</v>
      </c>
      <c r="O132" s="2">
        <f>O11/'Output-Calculation-sheet'!O10*'Output-Calculation-sheet'!O109</f>
        <v>3152874518.6487823</v>
      </c>
      <c r="P132" s="2">
        <f>P11/'Output-Calculation-sheet'!P10*'Output-Calculation-sheet'!P109</f>
        <v>1394727713.9843409</v>
      </c>
      <c r="Q132" s="2">
        <f>Q11/'Output-Calculation-sheet'!Q10*'Output-Calculation-sheet'!Q109</f>
        <v>1372186604.1159787</v>
      </c>
      <c r="R132" s="2">
        <f>R11/'Output-Calculation-sheet'!R10*'Output-Calculation-sheet'!R109</f>
        <v>1320106526.47978</v>
      </c>
      <c r="S132" s="2">
        <f>S11/'Output-Calculation-sheet'!S10*'Output-Calculation-sheet'!S109</f>
        <v>877410490.54948997</v>
      </c>
      <c r="T132" s="2">
        <f>T11/'Output-Calculation-sheet'!T10*'Output-Calculation-sheet'!T109</f>
        <v>485259788.7042504</v>
      </c>
      <c r="U132" s="2">
        <f>U11/'Output-Calculation-sheet'!U10*'Output-Calculation-sheet'!U109</f>
        <v>422644711.97565347</v>
      </c>
      <c r="V132" s="2">
        <f>V11/'Output-Calculation-sheet'!V10*'Output-Calculation-sheet'!V109</f>
        <v>325444881.09772289</v>
      </c>
      <c r="W132" s="2">
        <f>W11/'Output-Calculation-sheet'!W10*'Output-Calculation-sheet'!W109</f>
        <v>281763141.29984337</v>
      </c>
      <c r="X132" s="2">
        <f>X11/'Output-Calculation-sheet'!X10*'Output-Calculation-sheet'!X109</f>
        <v>169057878.17534181</v>
      </c>
      <c r="Y132" s="2">
        <f>Y11/'Output-Calculation-sheet'!Y10*'Output-Calculation-sheet'!Y109</f>
        <v>164407128.02075016</v>
      </c>
      <c r="AA132" s="2">
        <f t="shared" si="11"/>
        <v>69764.202389889353</v>
      </c>
    </row>
    <row r="133" spans="1:27" x14ac:dyDescent="0.25">
      <c r="A133" s="2">
        <v>2035</v>
      </c>
      <c r="B133" s="2">
        <f>B12/'Output-Calculation-sheet'!B11*'Output-Calculation-sheet'!B110</f>
        <v>6256116199.0843868</v>
      </c>
      <c r="C133" s="2">
        <f>C12/'Output-Calculation-sheet'!C11*'Output-Calculation-sheet'!C110</f>
        <v>12014771670.335629</v>
      </c>
      <c r="D133" s="2">
        <f>D12/'Output-Calculation-sheet'!D11*'Output-Calculation-sheet'!D110</f>
        <v>3105496639.2811852</v>
      </c>
      <c r="E133" s="2">
        <f>E12/'Output-Calculation-sheet'!E11*'Output-Calculation-sheet'!E110</f>
        <v>1577978815.2212052</v>
      </c>
      <c r="F133" s="2">
        <f>F12/'Output-Calculation-sheet'!F11*'Output-Calculation-sheet'!F110</f>
        <v>1068188375.644424</v>
      </c>
      <c r="G133" s="2">
        <f>G12/'Output-Calculation-sheet'!G11*'Output-Calculation-sheet'!G110</f>
        <v>1349840600.788379</v>
      </c>
      <c r="H133" s="2">
        <f>H12/'Output-Calculation-sheet'!H11*'Output-Calculation-sheet'!H110</f>
        <v>1592348215.1555879</v>
      </c>
      <c r="I133" s="2">
        <f>I12/'Output-Calculation-sheet'!I11*'Output-Calculation-sheet'!I110</f>
        <v>745951979.08662605</v>
      </c>
      <c r="J133" s="2">
        <f>J12/'Output-Calculation-sheet'!J11*'Output-Calculation-sheet'!J110</f>
        <v>902536111.76637483</v>
      </c>
      <c r="K133" s="2">
        <f>K12/'Output-Calculation-sheet'!K11*'Output-Calculation-sheet'!K110</f>
        <v>684361187.60817182</v>
      </c>
      <c r="L133" s="2">
        <f>L12/'Output-Calculation-sheet'!L11*'Output-Calculation-sheet'!L110</f>
        <v>439789889.20387161</v>
      </c>
      <c r="M133" s="2">
        <f>M12/'Output-Calculation-sheet'!M11*'Output-Calculation-sheet'!M110</f>
        <v>990424565.92413557</v>
      </c>
      <c r="N133" s="2">
        <f>N12/'Output-Calculation-sheet'!N11*'Output-Calculation-sheet'!N110</f>
        <v>824069439.70090771</v>
      </c>
      <c r="O133" s="2">
        <f>O12/'Output-Calculation-sheet'!O11*'Output-Calculation-sheet'!O110</f>
        <v>2910337903.4032383</v>
      </c>
      <c r="P133" s="2">
        <f>P12/'Output-Calculation-sheet'!P11*'Output-Calculation-sheet'!P110</f>
        <v>575743555.0246377</v>
      </c>
      <c r="Q133" s="2">
        <f>Q12/'Output-Calculation-sheet'!Q11*'Output-Calculation-sheet'!Q110</f>
        <v>717124881.01791203</v>
      </c>
      <c r="R133" s="2">
        <f>R12/'Output-Calculation-sheet'!R11*'Output-Calculation-sheet'!R110</f>
        <v>451274926.84935135</v>
      </c>
      <c r="S133" s="2">
        <f>S12/'Output-Calculation-sheet'!S11*'Output-Calculation-sheet'!S110</f>
        <v>433893607.10291934</v>
      </c>
      <c r="T133" s="2">
        <f>T12/'Output-Calculation-sheet'!T11*'Output-Calculation-sheet'!T110</f>
        <v>117385970.94226311</v>
      </c>
      <c r="U133" s="2">
        <f>U12/'Output-Calculation-sheet'!U11*'Output-Calculation-sheet'!U110</f>
        <v>190818511.28903061</v>
      </c>
      <c r="V133" s="2">
        <f>V12/'Output-Calculation-sheet'!V11*'Output-Calculation-sheet'!V110</f>
        <v>48152937.338195629</v>
      </c>
      <c r="W133" s="2">
        <f>W12/'Output-Calculation-sheet'!W11*'Output-Calculation-sheet'!W110</f>
        <v>78505896.359788939</v>
      </c>
      <c r="X133" s="2">
        <f>X12/'Output-Calculation-sheet'!X11*'Output-Calculation-sheet'!X110</f>
        <v>137484862.21485138</v>
      </c>
      <c r="Y133" s="2">
        <f>Y12/'Output-Calculation-sheet'!Y11*'Output-Calculation-sheet'!Y110</f>
        <v>72242725.368616551</v>
      </c>
      <c r="AA133" s="2">
        <f t="shared" si="11"/>
        <v>37284.839465711688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23.391999999999999</v>
      </c>
      <c r="C13" s="7">
        <v>0</v>
      </c>
      <c r="D13" s="7">
        <v>9.9390000000000001</v>
      </c>
      <c r="E13" s="7">
        <v>13.455</v>
      </c>
      <c r="F13" s="7">
        <v>10.794</v>
      </c>
      <c r="G13" s="7">
        <v>9.8490000000000002</v>
      </c>
      <c r="H13" s="7">
        <v>0</v>
      </c>
      <c r="I13" s="7">
        <v>10.675000000000001</v>
      </c>
      <c r="J13" s="7">
        <v>9.6020000000000003</v>
      </c>
      <c r="K13" s="7">
        <v>12.909000000000001</v>
      </c>
      <c r="L13" s="7">
        <v>13.712999999999999</v>
      </c>
      <c r="M13" s="7">
        <v>0</v>
      </c>
      <c r="N13" s="7">
        <v>28.24</v>
      </c>
      <c r="O13" s="7">
        <v>0</v>
      </c>
      <c r="P13" s="7">
        <v>18.675000000000001</v>
      </c>
      <c r="Q13" s="7">
        <v>21.914000000000001</v>
      </c>
      <c r="R13" s="7">
        <v>14.939</v>
      </c>
      <c r="S13" s="7">
        <v>26.134</v>
      </c>
      <c r="T13" s="7">
        <v>12.239000000000001</v>
      </c>
      <c r="U13" s="7">
        <v>14.048999999999999</v>
      </c>
      <c r="V13" s="7">
        <v>14.18</v>
      </c>
      <c r="W13" s="7">
        <v>9.9320000000000004</v>
      </c>
      <c r="X13" s="7">
        <v>0</v>
      </c>
      <c r="Y13" s="7">
        <v>14.552</v>
      </c>
    </row>
    <row r="14" spans="1:25" ht="28.5" customHeight="1" x14ac:dyDescent="0.25">
      <c r="A14" s="4"/>
      <c r="B14" s="7">
        <v>46.784999999999997</v>
      </c>
      <c r="C14" s="7">
        <v>0</v>
      </c>
      <c r="D14" s="7">
        <v>19.876999999999999</v>
      </c>
      <c r="E14" s="7">
        <v>26.911000000000001</v>
      </c>
      <c r="F14" s="7">
        <v>21.587</v>
      </c>
      <c r="G14" s="7">
        <v>19.698</v>
      </c>
      <c r="H14" s="7">
        <v>0</v>
      </c>
      <c r="I14" s="7">
        <v>21.35</v>
      </c>
      <c r="J14" s="7">
        <v>19.202999999999999</v>
      </c>
      <c r="K14" s="7">
        <v>25.818000000000001</v>
      </c>
      <c r="L14" s="7">
        <v>27.425999999999998</v>
      </c>
      <c r="M14" s="7">
        <v>0</v>
      </c>
      <c r="N14" s="7">
        <v>56.481000000000002</v>
      </c>
      <c r="O14" s="7">
        <v>0</v>
      </c>
      <c r="P14" s="7">
        <v>37.35</v>
      </c>
      <c r="Q14" s="7">
        <v>43.829000000000001</v>
      </c>
      <c r="R14" s="7">
        <v>29.878</v>
      </c>
      <c r="S14" s="7">
        <v>52.268999999999998</v>
      </c>
      <c r="T14" s="7">
        <v>24.478000000000002</v>
      </c>
      <c r="U14" s="7">
        <v>28.097000000000001</v>
      </c>
      <c r="V14" s="7">
        <v>28.359000000000002</v>
      </c>
      <c r="W14" s="7">
        <v>19.864999999999998</v>
      </c>
      <c r="X14" s="7">
        <v>0</v>
      </c>
      <c r="Y14" s="7">
        <v>29.103999999999999</v>
      </c>
    </row>
    <row r="15" spans="1:25" ht="28.5" customHeight="1" x14ac:dyDescent="0.25">
      <c r="A15" s="4"/>
      <c r="B15" s="7">
        <v>71.661000000000001</v>
      </c>
      <c r="C15" s="7">
        <v>0</v>
      </c>
      <c r="D15" s="7">
        <v>29.815999999999999</v>
      </c>
      <c r="E15" s="7">
        <v>40.366</v>
      </c>
      <c r="F15" s="7">
        <v>32.381</v>
      </c>
      <c r="G15" s="7">
        <v>29.547000000000001</v>
      </c>
      <c r="H15" s="7">
        <v>0</v>
      </c>
      <c r="I15" s="7">
        <v>32.024999999999999</v>
      </c>
      <c r="J15" s="7">
        <v>28.805</v>
      </c>
      <c r="K15" s="7">
        <v>38.728000000000002</v>
      </c>
      <c r="L15" s="7">
        <v>41.14</v>
      </c>
      <c r="M15" s="7">
        <v>0</v>
      </c>
      <c r="N15" s="7">
        <v>56.948999999999998</v>
      </c>
      <c r="O15" s="7">
        <v>0</v>
      </c>
      <c r="P15" s="7">
        <v>56.024999999999999</v>
      </c>
      <c r="Q15" s="7">
        <v>66.563999999999993</v>
      </c>
      <c r="R15" s="7">
        <v>44.817</v>
      </c>
      <c r="S15" s="7">
        <v>70.165000000000006</v>
      </c>
      <c r="T15" s="7">
        <v>36.716999999999999</v>
      </c>
      <c r="U15" s="7">
        <v>42.146000000000001</v>
      </c>
      <c r="V15" s="7">
        <v>42.539000000000001</v>
      </c>
      <c r="W15" s="7">
        <v>29.797000000000001</v>
      </c>
      <c r="X15" s="7">
        <v>0</v>
      </c>
      <c r="Y15" s="7">
        <v>43.655999999999999</v>
      </c>
    </row>
    <row r="16" spans="1:25" ht="28.5" customHeight="1" x14ac:dyDescent="0.25">
      <c r="A16" s="4"/>
      <c r="B16" s="7">
        <v>99.262</v>
      </c>
      <c r="C16" s="7">
        <v>0</v>
      </c>
      <c r="D16" s="7">
        <v>39.755000000000003</v>
      </c>
      <c r="E16" s="7">
        <v>53.822000000000003</v>
      </c>
      <c r="F16" s="7">
        <v>43.173999999999999</v>
      </c>
      <c r="G16" s="7">
        <v>39.396000000000001</v>
      </c>
      <c r="H16" s="7">
        <v>0</v>
      </c>
      <c r="I16" s="7">
        <v>42.698999999999998</v>
      </c>
      <c r="J16" s="7">
        <v>38.406999999999996</v>
      </c>
      <c r="K16" s="7">
        <v>51.637</v>
      </c>
      <c r="L16" s="7">
        <v>54.853000000000002</v>
      </c>
      <c r="M16" s="7">
        <v>0</v>
      </c>
      <c r="N16" s="7">
        <v>83.596000000000004</v>
      </c>
      <c r="O16" s="7">
        <v>0</v>
      </c>
      <c r="P16" s="7">
        <v>81.328999999999994</v>
      </c>
      <c r="Q16" s="7">
        <v>94.301000000000002</v>
      </c>
      <c r="R16" s="7">
        <v>60.335999999999999</v>
      </c>
      <c r="S16" s="7">
        <v>91.974999999999994</v>
      </c>
      <c r="T16" s="7">
        <v>48.956000000000003</v>
      </c>
      <c r="U16" s="7">
        <v>56.194000000000003</v>
      </c>
      <c r="V16" s="7">
        <v>56.718000000000004</v>
      </c>
      <c r="W16" s="7">
        <v>39.728999999999999</v>
      </c>
      <c r="X16" s="7">
        <v>0</v>
      </c>
      <c r="Y16" s="7">
        <v>58.27</v>
      </c>
    </row>
    <row r="17" spans="1:25" ht="28.5" customHeight="1" x14ac:dyDescent="0.25">
      <c r="A17" s="4"/>
      <c r="B17" s="7">
        <v>124.574</v>
      </c>
      <c r="C17" s="7">
        <v>0</v>
      </c>
      <c r="D17" s="7">
        <v>49.692999999999998</v>
      </c>
      <c r="E17" s="7">
        <v>73.492999999999995</v>
      </c>
      <c r="F17" s="7">
        <v>53.968000000000004</v>
      </c>
      <c r="G17" s="7">
        <v>49.244999999999997</v>
      </c>
      <c r="H17" s="7">
        <v>0</v>
      </c>
      <c r="I17" s="7">
        <v>53.374000000000002</v>
      </c>
      <c r="J17" s="7">
        <v>48.009</v>
      </c>
      <c r="K17" s="7">
        <v>68.826999999999998</v>
      </c>
      <c r="L17" s="7">
        <v>73.819000000000003</v>
      </c>
      <c r="M17" s="7">
        <v>0</v>
      </c>
      <c r="N17" s="7">
        <v>86.415999999999997</v>
      </c>
      <c r="O17" s="7">
        <v>0</v>
      </c>
      <c r="P17" s="7">
        <v>115.67700000000001</v>
      </c>
      <c r="Q17" s="7">
        <v>130.03200000000001</v>
      </c>
      <c r="R17" s="7">
        <v>85.787000000000006</v>
      </c>
      <c r="S17" s="7">
        <v>111.88500000000001</v>
      </c>
      <c r="T17" s="7">
        <v>62.921999999999997</v>
      </c>
      <c r="U17" s="7">
        <v>83.158000000000001</v>
      </c>
      <c r="V17" s="7">
        <v>77.244</v>
      </c>
      <c r="W17" s="7">
        <v>49.661999999999999</v>
      </c>
      <c r="X17" s="7">
        <v>0</v>
      </c>
      <c r="Y17" s="7">
        <v>83.150999999999996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83.284999999999997</v>
      </c>
      <c r="O18" s="7">
        <v>0</v>
      </c>
      <c r="P18" s="7">
        <v>145.15600000000001</v>
      </c>
      <c r="Q18" s="7">
        <v>166.798</v>
      </c>
      <c r="R18" s="7">
        <v>110.824</v>
      </c>
      <c r="S18" s="7">
        <v>109.938</v>
      </c>
      <c r="T18" s="7">
        <v>87.435000000000002</v>
      </c>
      <c r="U18" s="7">
        <v>111.20399999999999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127.788</v>
      </c>
      <c r="C19" s="7">
        <v>0</v>
      </c>
      <c r="D19" s="7">
        <v>90.658000000000001</v>
      </c>
      <c r="E19" s="7">
        <v>141.339</v>
      </c>
      <c r="F19" s="7">
        <v>103.09099999999999</v>
      </c>
      <c r="G19" s="7">
        <v>86.031999999999996</v>
      </c>
      <c r="H19" s="7">
        <v>0</v>
      </c>
      <c r="I19" s="7">
        <v>104.36799999999999</v>
      </c>
      <c r="J19" s="7">
        <v>89.159000000000006</v>
      </c>
      <c r="K19" s="7">
        <v>124.596</v>
      </c>
      <c r="L19" s="7">
        <v>127.492</v>
      </c>
      <c r="M19" s="7">
        <v>0</v>
      </c>
      <c r="N19" s="7">
        <v>77.31</v>
      </c>
      <c r="O19" s="7">
        <v>0</v>
      </c>
      <c r="P19" s="7">
        <v>184.137</v>
      </c>
      <c r="Q19" s="7">
        <v>155.458</v>
      </c>
      <c r="R19" s="7">
        <v>139.78399999999999</v>
      </c>
      <c r="S19" s="7">
        <v>99.028999999999996</v>
      </c>
      <c r="T19" s="7">
        <v>110.86199999999999</v>
      </c>
      <c r="U19" s="7">
        <v>146.60499999999999</v>
      </c>
      <c r="V19" s="7">
        <v>129.65799999999999</v>
      </c>
      <c r="W19" s="7">
        <v>93.373000000000005</v>
      </c>
      <c r="X19" s="7">
        <v>61.579000000000001</v>
      </c>
      <c r="Y19" s="7">
        <v>145.61099999999999</v>
      </c>
    </row>
    <row r="20" spans="1:25" ht="28.5" customHeight="1" x14ac:dyDescent="0.25">
      <c r="A20" s="4"/>
      <c r="B20" s="7">
        <v>122.655</v>
      </c>
      <c r="C20" s="7">
        <v>0</v>
      </c>
      <c r="D20" s="7">
        <v>108.10899999999999</v>
      </c>
      <c r="E20" s="7">
        <v>122.66800000000001</v>
      </c>
      <c r="F20" s="7">
        <v>138.28</v>
      </c>
      <c r="G20" s="7">
        <v>95.873000000000005</v>
      </c>
      <c r="H20" s="7">
        <v>0</v>
      </c>
      <c r="I20" s="7">
        <v>130.96600000000001</v>
      </c>
      <c r="J20" s="7">
        <v>110.24299999999999</v>
      </c>
      <c r="K20" s="7">
        <v>156.22999999999999</v>
      </c>
      <c r="L20" s="7">
        <v>133.68299999999999</v>
      </c>
      <c r="M20" s="7">
        <v>0</v>
      </c>
      <c r="N20" s="7">
        <v>82.096000000000004</v>
      </c>
      <c r="O20" s="7">
        <v>0</v>
      </c>
      <c r="P20" s="7">
        <v>188.762</v>
      </c>
      <c r="Q20" s="7">
        <v>141.898</v>
      </c>
      <c r="R20" s="7">
        <v>174.12799999999999</v>
      </c>
      <c r="S20" s="7">
        <v>94.507999999999996</v>
      </c>
      <c r="T20" s="7">
        <v>136.23599999999999</v>
      </c>
      <c r="U20" s="7">
        <v>143.43600000000001</v>
      </c>
      <c r="V20" s="7">
        <v>183.62899999999999</v>
      </c>
      <c r="W20" s="7">
        <v>125.261</v>
      </c>
      <c r="X20" s="7">
        <v>60.57</v>
      </c>
      <c r="Y20" s="7">
        <v>117.048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39.040999999999997</v>
      </c>
      <c r="D22" s="7">
        <v>0</v>
      </c>
      <c r="E22" s="7">
        <v>0</v>
      </c>
      <c r="F22" s="7">
        <v>0</v>
      </c>
      <c r="G22" s="7">
        <v>0</v>
      </c>
      <c r="H22" s="7">
        <v>39.567999999999998</v>
      </c>
      <c r="I22" s="7">
        <v>0</v>
      </c>
      <c r="J22" s="7">
        <v>0</v>
      </c>
      <c r="K22" s="7">
        <v>0</v>
      </c>
      <c r="L22" s="7">
        <v>0</v>
      </c>
      <c r="M22" s="7">
        <v>39.673000000000002</v>
      </c>
      <c r="N22" s="7">
        <v>0</v>
      </c>
      <c r="O22" s="7">
        <v>39.045999999999999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39.167000000000002</v>
      </c>
      <c r="Y22" s="7">
        <v>0</v>
      </c>
    </row>
    <row r="23" spans="1:25" x14ac:dyDescent="0.25">
      <c r="B23" s="7">
        <v>0</v>
      </c>
      <c r="C23" s="7">
        <v>83.481999999999999</v>
      </c>
      <c r="D23" s="7">
        <v>0</v>
      </c>
      <c r="E23" s="7">
        <v>0</v>
      </c>
      <c r="F23" s="7">
        <v>0</v>
      </c>
      <c r="G23" s="7">
        <v>0</v>
      </c>
      <c r="H23" s="7">
        <v>79.972999999999999</v>
      </c>
      <c r="I23" s="7">
        <v>0</v>
      </c>
      <c r="J23" s="7">
        <v>0</v>
      </c>
      <c r="K23" s="7">
        <v>0</v>
      </c>
      <c r="L23" s="7">
        <v>0</v>
      </c>
      <c r="M23" s="7">
        <v>80.228999999999999</v>
      </c>
      <c r="N23" s="7">
        <v>0</v>
      </c>
      <c r="O23" s="7">
        <v>84.019000000000005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81.319999999999993</v>
      </c>
      <c r="Y23" s="7">
        <v>0</v>
      </c>
    </row>
    <row r="24" spans="1:25" x14ac:dyDescent="0.25">
      <c r="B24" s="7">
        <v>0</v>
      </c>
      <c r="C24" s="7">
        <v>134.87899999999999</v>
      </c>
      <c r="D24" s="7">
        <v>0</v>
      </c>
      <c r="E24" s="7">
        <v>0</v>
      </c>
      <c r="F24" s="7">
        <v>0</v>
      </c>
      <c r="G24" s="7">
        <v>0</v>
      </c>
      <c r="H24" s="7">
        <v>131.31700000000001</v>
      </c>
      <c r="I24" s="7">
        <v>0</v>
      </c>
      <c r="J24" s="7">
        <v>0</v>
      </c>
      <c r="K24" s="7">
        <v>0</v>
      </c>
      <c r="L24" s="7">
        <v>0</v>
      </c>
      <c r="M24" s="7">
        <v>131.584</v>
      </c>
      <c r="N24" s="7">
        <v>41.491999999999997</v>
      </c>
      <c r="O24" s="7">
        <v>134.803</v>
      </c>
      <c r="P24" s="7">
        <v>0</v>
      </c>
      <c r="Q24" s="7">
        <v>0</v>
      </c>
      <c r="R24" s="7">
        <v>0</v>
      </c>
      <c r="S24" s="7">
        <v>15.824</v>
      </c>
      <c r="T24" s="7">
        <v>0</v>
      </c>
      <c r="U24" s="7">
        <v>0</v>
      </c>
      <c r="V24" s="7">
        <v>0</v>
      </c>
      <c r="W24" s="7">
        <v>0</v>
      </c>
      <c r="X24" s="7">
        <v>134.536</v>
      </c>
      <c r="Y24" s="7">
        <v>0</v>
      </c>
    </row>
    <row r="25" spans="1:25" x14ac:dyDescent="0.25">
      <c r="B25" s="7">
        <v>5.6950000000000003</v>
      </c>
      <c r="C25" s="7">
        <v>180.887</v>
      </c>
      <c r="D25" s="7">
        <v>0</v>
      </c>
      <c r="E25" s="7">
        <v>0</v>
      </c>
      <c r="F25" s="7">
        <v>0</v>
      </c>
      <c r="G25" s="7">
        <v>0</v>
      </c>
      <c r="H25" s="7">
        <v>174.91800000000001</v>
      </c>
      <c r="I25" s="7">
        <v>0</v>
      </c>
      <c r="J25" s="7">
        <v>0</v>
      </c>
      <c r="K25" s="7">
        <v>0</v>
      </c>
      <c r="L25" s="7">
        <v>0</v>
      </c>
      <c r="M25" s="7">
        <v>176.6</v>
      </c>
      <c r="N25" s="7">
        <v>61.517000000000003</v>
      </c>
      <c r="O25" s="7">
        <v>180.07</v>
      </c>
      <c r="P25" s="7">
        <v>0</v>
      </c>
      <c r="Q25" s="7">
        <v>0</v>
      </c>
      <c r="R25" s="7">
        <v>0</v>
      </c>
      <c r="S25" s="7">
        <v>38.292000000000002</v>
      </c>
      <c r="T25" s="7">
        <v>0</v>
      </c>
      <c r="U25" s="7">
        <v>0</v>
      </c>
      <c r="V25" s="7">
        <v>0</v>
      </c>
      <c r="W25" s="7">
        <v>0</v>
      </c>
      <c r="X25" s="7">
        <v>179.864</v>
      </c>
      <c r="Y25" s="7">
        <v>0</v>
      </c>
    </row>
    <row r="26" spans="1:25" x14ac:dyDescent="0.25">
      <c r="B26" s="7">
        <v>29.42</v>
      </c>
      <c r="C26" s="7">
        <v>227.00200000000001</v>
      </c>
      <c r="D26" s="7">
        <v>0</v>
      </c>
      <c r="E26" s="7">
        <v>0</v>
      </c>
      <c r="F26" s="7">
        <v>0</v>
      </c>
      <c r="G26" s="7">
        <v>0</v>
      </c>
      <c r="H26" s="7">
        <v>219.078</v>
      </c>
      <c r="I26" s="7">
        <v>0</v>
      </c>
      <c r="J26" s="7">
        <v>0</v>
      </c>
      <c r="K26" s="7">
        <v>0</v>
      </c>
      <c r="L26" s="7">
        <v>0</v>
      </c>
      <c r="M26" s="7">
        <v>221.239</v>
      </c>
      <c r="N26" s="7">
        <v>101.351</v>
      </c>
      <c r="O26" s="7">
        <v>227.67099999999999</v>
      </c>
      <c r="P26" s="7">
        <v>0</v>
      </c>
      <c r="Q26" s="7">
        <v>0</v>
      </c>
      <c r="R26" s="7">
        <v>0</v>
      </c>
      <c r="S26" s="7">
        <v>64.400000000000006</v>
      </c>
      <c r="T26" s="7">
        <v>0</v>
      </c>
      <c r="U26" s="7">
        <v>0</v>
      </c>
      <c r="V26" s="7">
        <v>0</v>
      </c>
      <c r="W26" s="7">
        <v>0</v>
      </c>
      <c r="X26" s="7">
        <v>225.59100000000001</v>
      </c>
      <c r="Y26" s="7">
        <v>0</v>
      </c>
    </row>
    <row r="27" spans="1:25" x14ac:dyDescent="0.25">
      <c r="B27" s="7">
        <v>66.608999999999995</v>
      </c>
      <c r="C27" s="7">
        <v>316.89499999999998</v>
      </c>
      <c r="D27" s="7">
        <v>0</v>
      </c>
      <c r="E27" s="7">
        <v>0</v>
      </c>
      <c r="F27" s="7">
        <v>0</v>
      </c>
      <c r="G27" s="7">
        <v>0</v>
      </c>
      <c r="H27" s="7">
        <v>263.56</v>
      </c>
      <c r="I27" s="7">
        <v>0</v>
      </c>
      <c r="J27" s="7">
        <v>0</v>
      </c>
      <c r="K27" s="7">
        <v>0</v>
      </c>
      <c r="L27" s="7">
        <v>0</v>
      </c>
      <c r="M27" s="7">
        <v>266.04399999999998</v>
      </c>
      <c r="N27" s="7">
        <v>148.11000000000001</v>
      </c>
      <c r="O27" s="7">
        <v>277.11799999999999</v>
      </c>
      <c r="P27" s="7">
        <v>0</v>
      </c>
      <c r="Q27" s="7">
        <v>11.481</v>
      </c>
      <c r="R27" s="7">
        <v>0</v>
      </c>
      <c r="S27" s="7">
        <v>112.44199999999999</v>
      </c>
      <c r="T27" s="7">
        <v>0</v>
      </c>
      <c r="U27" s="7">
        <v>0</v>
      </c>
      <c r="V27" s="7">
        <v>0</v>
      </c>
      <c r="W27" s="7">
        <v>0</v>
      </c>
      <c r="X27" s="7">
        <v>285.16300000000001</v>
      </c>
      <c r="Y27" s="7">
        <v>0</v>
      </c>
    </row>
    <row r="28" spans="1:25" x14ac:dyDescent="0.25">
      <c r="B28" s="7">
        <v>126.693</v>
      </c>
      <c r="C28" s="7">
        <v>325.07100000000003</v>
      </c>
      <c r="D28" s="7">
        <v>0</v>
      </c>
      <c r="E28" s="7">
        <v>19.588999999999999</v>
      </c>
      <c r="F28" s="7">
        <v>0</v>
      </c>
      <c r="G28" s="7">
        <v>0</v>
      </c>
      <c r="H28" s="7">
        <v>348.233</v>
      </c>
      <c r="I28" s="7">
        <v>0</v>
      </c>
      <c r="J28" s="7">
        <v>0</v>
      </c>
      <c r="K28" s="7">
        <v>0</v>
      </c>
      <c r="L28" s="7">
        <v>36.414000000000001</v>
      </c>
      <c r="M28" s="7">
        <v>348.815</v>
      </c>
      <c r="N28" s="7">
        <v>204.25</v>
      </c>
      <c r="O28" s="7">
        <v>294.66399999999999</v>
      </c>
      <c r="P28" s="7">
        <v>0</v>
      </c>
      <c r="Q28" s="7">
        <v>87.433000000000007</v>
      </c>
      <c r="R28" s="7">
        <v>0</v>
      </c>
      <c r="S28" s="7">
        <v>180.70099999999999</v>
      </c>
      <c r="T28" s="7">
        <v>0</v>
      </c>
      <c r="U28" s="7">
        <v>0</v>
      </c>
      <c r="V28" s="7">
        <v>0</v>
      </c>
      <c r="W28" s="7">
        <v>0</v>
      </c>
      <c r="X28" s="7">
        <v>325.69400000000002</v>
      </c>
      <c r="Y28" s="7">
        <v>33.113999999999997</v>
      </c>
    </row>
    <row r="29" spans="1:25" x14ac:dyDescent="0.25">
      <c r="B29" s="7">
        <v>176.726</v>
      </c>
      <c r="C29" s="7">
        <v>347.197</v>
      </c>
      <c r="D29" s="7">
        <v>0</v>
      </c>
      <c r="E29" s="7">
        <v>97.153999999999996</v>
      </c>
      <c r="F29" s="7">
        <v>0</v>
      </c>
      <c r="G29" s="7">
        <v>0</v>
      </c>
      <c r="H29" s="7">
        <v>388.178</v>
      </c>
      <c r="I29" s="7">
        <v>0</v>
      </c>
      <c r="J29" s="7">
        <v>0</v>
      </c>
      <c r="K29" s="7">
        <v>0</v>
      </c>
      <c r="L29" s="7">
        <v>88.784000000000006</v>
      </c>
      <c r="M29" s="7">
        <v>400.97</v>
      </c>
      <c r="N29" s="7">
        <v>236.94499999999999</v>
      </c>
      <c r="O29" s="7">
        <v>295.45999999999998</v>
      </c>
      <c r="P29" s="7">
        <v>41.255000000000003</v>
      </c>
      <c r="Q29" s="7">
        <v>138.47499999999999</v>
      </c>
      <c r="R29" s="7">
        <v>0</v>
      </c>
      <c r="S29" s="7">
        <v>228.59800000000001</v>
      </c>
      <c r="T29" s="7">
        <v>0</v>
      </c>
      <c r="U29" s="7">
        <v>50.584000000000003</v>
      </c>
      <c r="V29" s="7">
        <v>0</v>
      </c>
      <c r="W29" s="7">
        <v>0</v>
      </c>
      <c r="X29" s="7">
        <v>349.21499999999997</v>
      </c>
      <c r="Y29" s="7">
        <v>111.657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2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2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138</v>
      </c>
      <c r="D42" s="7">
        <v>0</v>
      </c>
      <c r="E42" s="7">
        <v>0</v>
      </c>
      <c r="F42" s="7">
        <v>0</v>
      </c>
      <c r="G42" s="7">
        <v>0</v>
      </c>
      <c r="H42" s="7">
        <v>74</v>
      </c>
      <c r="I42" s="7">
        <v>0</v>
      </c>
      <c r="J42" s="7">
        <v>0</v>
      </c>
      <c r="K42" s="7">
        <v>0</v>
      </c>
      <c r="L42" s="7">
        <v>0</v>
      </c>
      <c r="M42" s="7">
        <v>76</v>
      </c>
      <c r="N42" s="7">
        <v>0</v>
      </c>
      <c r="O42" s="7">
        <v>145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98</v>
      </c>
      <c r="Y42" s="7">
        <v>0</v>
      </c>
    </row>
    <row r="43" spans="1:25" x14ac:dyDescent="0.25">
      <c r="B43" s="7">
        <v>0</v>
      </c>
      <c r="C43" s="7">
        <v>350</v>
      </c>
      <c r="D43" s="7">
        <v>0</v>
      </c>
      <c r="E43" s="7">
        <v>0</v>
      </c>
      <c r="F43" s="7">
        <v>0</v>
      </c>
      <c r="G43" s="7">
        <v>0</v>
      </c>
      <c r="H43" s="7">
        <v>248</v>
      </c>
      <c r="I43" s="7">
        <v>0</v>
      </c>
      <c r="J43" s="7">
        <v>0</v>
      </c>
      <c r="K43" s="7">
        <v>0</v>
      </c>
      <c r="L43" s="7">
        <v>0</v>
      </c>
      <c r="M43" s="7">
        <v>246</v>
      </c>
      <c r="N43" s="7">
        <v>8</v>
      </c>
      <c r="O43" s="7">
        <v>365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290</v>
      </c>
      <c r="Y43" s="7">
        <v>0</v>
      </c>
    </row>
    <row r="44" spans="1:25" x14ac:dyDescent="0.25">
      <c r="B44" s="7">
        <v>0</v>
      </c>
      <c r="C44" s="7">
        <v>577</v>
      </c>
      <c r="D44" s="7">
        <v>0</v>
      </c>
      <c r="E44" s="7">
        <v>0</v>
      </c>
      <c r="F44" s="7">
        <v>0</v>
      </c>
      <c r="G44" s="7">
        <v>0</v>
      </c>
      <c r="H44" s="7">
        <v>438</v>
      </c>
      <c r="I44" s="7">
        <v>0</v>
      </c>
      <c r="J44" s="7">
        <v>0</v>
      </c>
      <c r="K44" s="7">
        <v>0</v>
      </c>
      <c r="L44" s="7">
        <v>0</v>
      </c>
      <c r="M44" s="7">
        <v>436</v>
      </c>
      <c r="N44" s="7">
        <v>157</v>
      </c>
      <c r="O44" s="7">
        <v>589</v>
      </c>
      <c r="P44" s="7">
        <v>8</v>
      </c>
      <c r="Q44" s="7">
        <v>0</v>
      </c>
      <c r="R44" s="7">
        <v>0</v>
      </c>
      <c r="S44" s="7">
        <v>86</v>
      </c>
      <c r="T44" s="7">
        <v>0</v>
      </c>
      <c r="U44" s="7">
        <v>0</v>
      </c>
      <c r="V44" s="7">
        <v>0</v>
      </c>
      <c r="W44" s="7">
        <v>0</v>
      </c>
      <c r="X44" s="7">
        <v>497</v>
      </c>
      <c r="Y44" s="7">
        <v>0</v>
      </c>
    </row>
    <row r="45" spans="1:25" x14ac:dyDescent="0.25">
      <c r="B45" s="7">
        <v>128</v>
      </c>
      <c r="C45" s="7">
        <v>704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662</v>
      </c>
      <c r="P45" s="7">
        <v>106</v>
      </c>
      <c r="Q45" s="7">
        <v>43</v>
      </c>
      <c r="R45" s="7">
        <v>74</v>
      </c>
      <c r="S45" s="7">
        <v>269</v>
      </c>
      <c r="T45" s="7">
        <v>10</v>
      </c>
      <c r="U45" s="7">
        <v>83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718</v>
      </c>
      <c r="D46" s="7">
        <v>80</v>
      </c>
      <c r="E46" s="7">
        <v>123</v>
      </c>
      <c r="F46" s="7">
        <v>6</v>
      </c>
      <c r="G46" s="7">
        <v>99</v>
      </c>
      <c r="H46" s="7">
        <v>767</v>
      </c>
      <c r="I46" s="7">
        <v>60</v>
      </c>
      <c r="J46" s="7">
        <v>44</v>
      </c>
      <c r="K46" s="7">
        <v>119</v>
      </c>
      <c r="L46" s="7">
        <v>55</v>
      </c>
      <c r="M46" s="7">
        <v>764</v>
      </c>
      <c r="N46" s="7">
        <v>589</v>
      </c>
      <c r="O46" s="7">
        <v>683</v>
      </c>
      <c r="P46" s="7">
        <v>237</v>
      </c>
      <c r="Q46" s="7">
        <v>266</v>
      </c>
      <c r="R46" s="7">
        <v>204</v>
      </c>
      <c r="S46" s="7">
        <v>508</v>
      </c>
      <c r="T46" s="7">
        <v>125</v>
      </c>
      <c r="U46" s="7">
        <v>240</v>
      </c>
      <c r="V46" s="7">
        <v>126</v>
      </c>
      <c r="W46" s="7">
        <v>19</v>
      </c>
      <c r="X46" s="7">
        <v>727</v>
      </c>
      <c r="Y46" s="7">
        <v>191</v>
      </c>
    </row>
    <row r="47" spans="1:25" x14ac:dyDescent="0.25">
      <c r="B47" s="7">
        <v>551</v>
      </c>
      <c r="C47" s="7">
        <v>729</v>
      </c>
      <c r="D47" s="7">
        <v>228</v>
      </c>
      <c r="E47" s="7">
        <v>425</v>
      </c>
      <c r="F47" s="7">
        <v>98</v>
      </c>
      <c r="G47" s="7">
        <v>220</v>
      </c>
      <c r="H47" s="7">
        <v>800</v>
      </c>
      <c r="I47" s="7">
        <v>240</v>
      </c>
      <c r="J47" s="7">
        <v>194</v>
      </c>
      <c r="K47" s="7">
        <v>262</v>
      </c>
      <c r="L47" s="7">
        <v>276</v>
      </c>
      <c r="M47" s="7">
        <v>805</v>
      </c>
      <c r="N47" s="7">
        <v>686</v>
      </c>
      <c r="O47" s="7">
        <v>687</v>
      </c>
      <c r="P47" s="7">
        <v>397</v>
      </c>
      <c r="Q47" s="7">
        <v>423</v>
      </c>
      <c r="R47" s="7">
        <v>333</v>
      </c>
      <c r="S47" s="7">
        <v>632</v>
      </c>
      <c r="T47" s="7">
        <v>340</v>
      </c>
      <c r="U47" s="7">
        <v>408</v>
      </c>
      <c r="V47" s="7">
        <v>275</v>
      </c>
      <c r="W47" s="7">
        <v>170</v>
      </c>
      <c r="X47" s="7">
        <v>738</v>
      </c>
      <c r="Y47" s="7">
        <v>427</v>
      </c>
    </row>
    <row r="49" spans="1:25" x14ac:dyDescent="0.25">
      <c r="A49" s="6" t="s">
        <v>20</v>
      </c>
      <c r="B49" s="7">
        <v>9.5657912889317395E-2</v>
      </c>
      <c r="C49" s="7">
        <v>0.10000233173683891</v>
      </c>
      <c r="D49" s="7">
        <v>9.4040053512198338E-2</v>
      </c>
      <c r="E49" s="7">
        <v>0.11642956256913538</v>
      </c>
      <c r="F49" s="7">
        <v>7.4242586411923564E-2</v>
      </c>
      <c r="G49" s="7">
        <v>7.7304732944776286E-2</v>
      </c>
      <c r="H49" s="7">
        <v>0.10439500559953117</v>
      </c>
      <c r="I49" s="7">
        <v>7.8260583516947951E-2</v>
      </c>
      <c r="J49" s="7">
        <v>0.11794077378506367</v>
      </c>
      <c r="K49" s="7">
        <v>9.8459974066722217E-2</v>
      </c>
      <c r="L49" s="7">
        <v>0.17632792121137481</v>
      </c>
      <c r="M49" s="7">
        <v>0.13278691822444375</v>
      </c>
      <c r="N49" s="7">
        <v>0.11813893831005577</v>
      </c>
      <c r="O49" s="7">
        <v>0.1076224601673309</v>
      </c>
      <c r="P49" s="7">
        <v>8.8764453544232638E-2</v>
      </c>
      <c r="Q49" s="7">
        <v>0.10310408474662643</v>
      </c>
      <c r="R49" s="7">
        <v>0.10523558115604668</v>
      </c>
      <c r="S49" s="7">
        <v>9.8909925632854806E-2</v>
      </c>
      <c r="T49" s="7">
        <v>0.11343306324723364</v>
      </c>
      <c r="U49" s="7">
        <v>8.3335055712589756E-2</v>
      </c>
      <c r="V49" s="7">
        <v>0.21742200866251901</v>
      </c>
      <c r="W49" s="7">
        <v>8.5303715440778319E-2</v>
      </c>
      <c r="X49" s="7">
        <v>0.12167946319836349</v>
      </c>
      <c r="Y49" s="7">
        <v>9.0774791340358291E-2</v>
      </c>
    </row>
    <row r="50" spans="1:25" x14ac:dyDescent="0.25">
      <c r="B50" s="7">
        <v>8.8306753797435231E-2</v>
      </c>
      <c r="C50" s="7">
        <v>9.5706537822767876E-2</v>
      </c>
      <c r="D50" s="7">
        <v>8.3291216075501218E-2</v>
      </c>
      <c r="E50" s="7">
        <v>0.10343855929070542</v>
      </c>
      <c r="F50" s="7">
        <v>6.649068286798808E-2</v>
      </c>
      <c r="G50" s="7">
        <v>6.8921370193574014E-2</v>
      </c>
      <c r="H50" s="7">
        <v>9.7029798141116383E-2</v>
      </c>
      <c r="I50" s="7">
        <v>6.9926918617346734E-2</v>
      </c>
      <c r="J50" s="7">
        <v>0.10369534705777043</v>
      </c>
      <c r="K50" s="7">
        <v>8.7903766106684822E-2</v>
      </c>
      <c r="L50" s="7">
        <v>0.15483345559496564</v>
      </c>
      <c r="M50" s="7">
        <v>0.1214190563094333</v>
      </c>
      <c r="N50" s="7">
        <v>0.10882739767851227</v>
      </c>
      <c r="O50" s="7">
        <v>0.10309840343565853</v>
      </c>
      <c r="P50" s="7">
        <v>8.1160803265702464E-2</v>
      </c>
      <c r="Q50" s="7">
        <v>9.4117999343844239E-2</v>
      </c>
      <c r="R50" s="7">
        <v>9.4237540761637179E-2</v>
      </c>
      <c r="S50" s="7">
        <v>9.1787809232338688E-2</v>
      </c>
      <c r="T50" s="7">
        <v>0.100555963470095</v>
      </c>
      <c r="U50" s="7">
        <v>7.524382830047735E-2</v>
      </c>
      <c r="V50" s="7">
        <v>0.19021640966199374</v>
      </c>
      <c r="W50" s="7">
        <v>7.5818024703584147E-2</v>
      </c>
      <c r="X50" s="7">
        <v>0.11316494869978429</v>
      </c>
      <c r="Y50" s="7">
        <v>8.1720017345190618E-2</v>
      </c>
    </row>
    <row r="51" spans="1:25" x14ac:dyDescent="0.25">
      <c r="B51" s="7">
        <v>8.1095377111205902E-2</v>
      </c>
      <c r="C51" s="7">
        <v>9.804985349186375E-2</v>
      </c>
      <c r="D51" s="7">
        <v>7.2453456197205279E-2</v>
      </c>
      <c r="E51" s="7">
        <v>9.0326970082955302E-2</v>
      </c>
      <c r="F51" s="7">
        <v>5.8644268163766528E-2</v>
      </c>
      <c r="G51" s="7">
        <v>6.0449944242507332E-2</v>
      </c>
      <c r="H51" s="7">
        <v>9.4127433574212188E-2</v>
      </c>
      <c r="I51" s="7">
        <v>6.1499015796443582E-2</v>
      </c>
      <c r="J51" s="7">
        <v>8.9363736446465336E-2</v>
      </c>
      <c r="K51" s="7">
        <v>7.7231339115697267E-2</v>
      </c>
      <c r="L51" s="7">
        <v>0.13321665447216377</v>
      </c>
      <c r="M51" s="7">
        <v>0.11455845109846191</v>
      </c>
      <c r="N51" s="7">
        <v>9.9709322226620073E-2</v>
      </c>
      <c r="O51" s="7">
        <v>0.1053013562700864</v>
      </c>
      <c r="P51" s="7">
        <v>7.3389060663361788E-2</v>
      </c>
      <c r="Q51" s="7">
        <v>8.5128958007109332E-2</v>
      </c>
      <c r="R51" s="7">
        <v>8.3105876468037868E-2</v>
      </c>
      <c r="S51" s="7">
        <v>8.5185344462964427E-2</v>
      </c>
      <c r="T51" s="7">
        <v>8.7568670864290959E-2</v>
      </c>
      <c r="U51" s="7">
        <v>6.7026324972138923E-2</v>
      </c>
      <c r="V51" s="7">
        <v>0.16288320930662636</v>
      </c>
      <c r="W51" s="7">
        <v>6.624291804498908E-2</v>
      </c>
      <c r="X51" s="7">
        <v>0.11031206768922178</v>
      </c>
      <c r="Y51" s="7">
        <v>7.2535675723920806E-2</v>
      </c>
    </row>
    <row r="52" spans="1:25" x14ac:dyDescent="0.25">
      <c r="B52" s="7">
        <v>7.5471414775547349E-2</v>
      </c>
      <c r="C52" s="7">
        <v>0.10099791948384929</v>
      </c>
      <c r="D52" s="7">
        <v>6.1618775746554853E-2</v>
      </c>
      <c r="E52" s="7">
        <v>7.7219578486668841E-2</v>
      </c>
      <c r="F52" s="7">
        <v>5.0801131213460228E-2</v>
      </c>
      <c r="G52" s="7">
        <v>5.1981564802138648E-2</v>
      </c>
      <c r="H52" s="7">
        <v>9.3082786551103233E-2</v>
      </c>
      <c r="I52" s="7">
        <v>5.3074371201542896E-2</v>
      </c>
      <c r="J52" s="7">
        <v>7.5035120211466674E-2</v>
      </c>
      <c r="K52" s="7">
        <v>6.6562968691132873E-2</v>
      </c>
      <c r="L52" s="7">
        <v>0.11160411166344311</v>
      </c>
      <c r="M52" s="7">
        <v>0.1095125955435385</v>
      </c>
      <c r="N52" s="7">
        <v>9.3122063418745168E-2</v>
      </c>
      <c r="O52" s="7">
        <v>0.10797111678383833</v>
      </c>
      <c r="P52" s="7">
        <v>6.717809321817346E-2</v>
      </c>
      <c r="Q52" s="7">
        <v>7.7274379488651138E-2</v>
      </c>
      <c r="R52" s="7">
        <v>7.2114152262687442E-2</v>
      </c>
      <c r="S52" s="7">
        <v>8.0402259006987761E-2</v>
      </c>
      <c r="T52" s="7">
        <v>7.4585211608085358E-2</v>
      </c>
      <c r="U52" s="7">
        <v>5.8813207331721955E-2</v>
      </c>
      <c r="V52" s="7">
        <v>0.13555443267782863</v>
      </c>
      <c r="W52" s="7">
        <v>5.6670910116074578E-2</v>
      </c>
      <c r="X52" s="7">
        <v>0.10871151687852713</v>
      </c>
      <c r="Y52" s="7">
        <v>6.3370243203899987E-2</v>
      </c>
    </row>
    <row r="53" spans="1:25" x14ac:dyDescent="0.25">
      <c r="B53" s="7">
        <v>7.2014246229522239E-2</v>
      </c>
      <c r="C53" s="7">
        <v>0.10317089059730314</v>
      </c>
      <c r="D53" s="7">
        <v>5.0741189662266151E-2</v>
      </c>
      <c r="E53" s="7">
        <v>6.5492247059326714E-2</v>
      </c>
      <c r="F53" s="7">
        <v>4.2912385327157902E-2</v>
      </c>
      <c r="G53" s="7">
        <v>4.3470677017186765E-2</v>
      </c>
      <c r="H53" s="7">
        <v>9.1572985283641037E-2</v>
      </c>
      <c r="I53" s="7">
        <v>4.4604252423540561E-2</v>
      </c>
      <c r="J53" s="7">
        <v>6.066490125884854E-2</v>
      </c>
      <c r="K53" s="7">
        <v>5.6833469803254932E-2</v>
      </c>
      <c r="L53" s="7">
        <v>9.1142611730088113E-2</v>
      </c>
      <c r="M53" s="7">
        <v>0.10402368074714206</v>
      </c>
      <c r="N53" s="7">
        <v>8.9219789065825852E-2</v>
      </c>
      <c r="O53" s="7">
        <v>0.10982122925010883</v>
      </c>
      <c r="P53" s="7">
        <v>6.3289419047375686E-2</v>
      </c>
      <c r="Q53" s="7">
        <v>7.1094429927353306E-2</v>
      </c>
      <c r="R53" s="7">
        <v>6.3348979919597134E-2</v>
      </c>
      <c r="S53" s="7">
        <v>7.8748567090714872E-2</v>
      </c>
      <c r="T53" s="7">
        <v>6.1950060079768811E-2</v>
      </c>
      <c r="U53" s="7">
        <v>5.3536539000088673E-2</v>
      </c>
      <c r="V53" s="7">
        <v>0.10963891691203444</v>
      </c>
      <c r="W53" s="7">
        <v>4.7055743591299916E-2</v>
      </c>
      <c r="X53" s="7">
        <v>0.10645083696162633</v>
      </c>
      <c r="Y53" s="7">
        <v>5.650235336955603E-2</v>
      </c>
    </row>
    <row r="54" spans="1:25" x14ac:dyDescent="0.25">
      <c r="B54" s="7">
        <v>7.1638332252391676E-2</v>
      </c>
      <c r="C54" s="7">
        <v>0.10800343116672925</v>
      </c>
      <c r="D54" s="7">
        <v>4.0295421875238102E-2</v>
      </c>
      <c r="E54" s="7">
        <v>5.7187129678051153E-2</v>
      </c>
      <c r="F54" s="7">
        <v>3.6066027323418778E-2</v>
      </c>
      <c r="G54" s="7">
        <v>3.5242844984015337E-2</v>
      </c>
      <c r="H54" s="7">
        <v>8.9286198837799854E-2</v>
      </c>
      <c r="I54" s="7">
        <v>3.7666236100454865E-2</v>
      </c>
      <c r="J54" s="7">
        <v>4.6253079588610919E-2</v>
      </c>
      <c r="K54" s="7">
        <v>4.9823547345959479E-2</v>
      </c>
      <c r="L54" s="7">
        <v>7.3362171670528706E-2</v>
      </c>
      <c r="M54" s="7">
        <v>9.7718962357173866E-2</v>
      </c>
      <c r="N54" s="7">
        <v>8.5973656441534346E-2</v>
      </c>
      <c r="O54" s="7">
        <v>0.11463402871969854</v>
      </c>
      <c r="P54" s="7">
        <v>6.1575116906015227E-2</v>
      </c>
      <c r="Q54" s="7">
        <v>6.8294082789859725E-2</v>
      </c>
      <c r="R54" s="7">
        <v>5.7273266269582568E-2</v>
      </c>
      <c r="S54" s="7">
        <v>7.8272109492936393E-2</v>
      </c>
      <c r="T54" s="7">
        <v>5.2093192562087887E-2</v>
      </c>
      <c r="U54" s="7">
        <v>5.164700921600486E-2</v>
      </c>
      <c r="V54" s="7">
        <v>8.5958437092611917E-2</v>
      </c>
      <c r="W54" s="7">
        <v>3.7801371427476152E-2</v>
      </c>
      <c r="X54" s="7">
        <v>0.10376947139684636</v>
      </c>
      <c r="Y54" s="7">
        <v>5.3321122192760674E-2</v>
      </c>
    </row>
    <row r="55" spans="1:25" x14ac:dyDescent="0.25">
      <c r="B55" s="7">
        <v>7.3487012049988656E-2</v>
      </c>
      <c r="C55" s="7">
        <v>0.1182686470671941</v>
      </c>
      <c r="D55" s="7">
        <v>3.6600045207267701E-2</v>
      </c>
      <c r="E55" s="7">
        <v>5.5856216543327383E-2</v>
      </c>
      <c r="F55" s="7">
        <v>3.3346718789685481E-2</v>
      </c>
      <c r="G55" s="7">
        <v>3.392454681566643E-2</v>
      </c>
      <c r="H55" s="7">
        <v>8.9308054894472438E-2</v>
      </c>
      <c r="I55" s="7">
        <v>3.6414090448980412E-2</v>
      </c>
      <c r="J55" s="7">
        <v>3.8471045973869925E-2</v>
      </c>
      <c r="K55" s="7">
        <v>4.6456197946387202E-2</v>
      </c>
      <c r="L55" s="7">
        <v>6.1329426659958899E-2</v>
      </c>
      <c r="M55" s="7">
        <v>9.3363556896124134E-2</v>
      </c>
      <c r="N55" s="7">
        <v>8.3112754490593896E-2</v>
      </c>
      <c r="O55" s="7">
        <v>0.12119598768635659</v>
      </c>
      <c r="P55" s="7">
        <v>6.2758279245668722E-2</v>
      </c>
      <c r="Q55" s="7">
        <v>6.9638663246610027E-2</v>
      </c>
      <c r="R55" s="7">
        <v>5.3704302054761038E-2</v>
      </c>
      <c r="S55" s="7">
        <v>7.9503675037204055E-2</v>
      </c>
      <c r="T55" s="7">
        <v>4.5795701952596482E-2</v>
      </c>
      <c r="U55" s="7">
        <v>5.3684854991614565E-2</v>
      </c>
      <c r="V55" s="7">
        <v>6.4779486812583637E-2</v>
      </c>
      <c r="W55" s="7">
        <v>3.3876686531547143E-2</v>
      </c>
      <c r="X55" s="7">
        <v>0.10715235646685187</v>
      </c>
      <c r="Y55" s="7">
        <v>5.69726639479897E-2</v>
      </c>
    </row>
    <row r="56" spans="1:25" x14ac:dyDescent="0.25">
      <c r="B56" s="7">
        <v>8.3727187241822765E-2</v>
      </c>
      <c r="C56" s="7">
        <v>0.12877583656249605</v>
      </c>
      <c r="D56" s="7">
        <v>4.5216172646047409E-2</v>
      </c>
      <c r="E56" s="7">
        <v>6.7837598864482498E-2</v>
      </c>
      <c r="F56" s="7">
        <v>4.3129385063850181E-2</v>
      </c>
      <c r="G56" s="7">
        <v>4.3146001486443347E-2</v>
      </c>
      <c r="H56" s="7">
        <v>0.10099006203369741</v>
      </c>
      <c r="I56" s="7">
        <v>4.742432535141064E-2</v>
      </c>
      <c r="J56" s="7">
        <v>4.4080388810206872E-2</v>
      </c>
      <c r="K56" s="7">
        <v>5.5237083149869526E-2</v>
      </c>
      <c r="L56" s="7">
        <v>6.4166239516078222E-2</v>
      </c>
      <c r="M56" s="7">
        <v>0.10324605213486</v>
      </c>
      <c r="N56" s="7">
        <v>8.9436546238146467E-2</v>
      </c>
      <c r="O56" s="7">
        <v>0.12802564288454027</v>
      </c>
      <c r="P56" s="7">
        <v>7.5851609214493784E-2</v>
      </c>
      <c r="Q56" s="7">
        <v>7.7873479560717426E-2</v>
      </c>
      <c r="R56" s="7">
        <v>6.1809020025810679E-2</v>
      </c>
      <c r="S56" s="7">
        <v>8.8929882788532436E-2</v>
      </c>
      <c r="T56" s="7">
        <v>5.1143064919532404E-2</v>
      </c>
      <c r="U56" s="7">
        <v>6.6788349571542213E-2</v>
      </c>
      <c r="V56" s="7">
        <v>5.8464577209120412E-2</v>
      </c>
      <c r="W56" s="7">
        <v>4.373444845007611E-2</v>
      </c>
      <c r="X56" s="7">
        <v>0.11938412678197607</v>
      </c>
      <c r="Y56" s="7">
        <v>7.0435422733731573E-2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31.300999999999998</v>
      </c>
      <c r="D60" s="7">
        <v>0</v>
      </c>
      <c r="E60" s="7">
        <v>0</v>
      </c>
      <c r="F60" s="7">
        <v>0</v>
      </c>
      <c r="G60" s="7">
        <v>0</v>
      </c>
      <c r="H60" s="7">
        <v>19.327999999999999</v>
      </c>
      <c r="I60" s="7">
        <v>0</v>
      </c>
      <c r="J60" s="7">
        <v>0</v>
      </c>
      <c r="K60" s="7">
        <v>0</v>
      </c>
      <c r="L60" s="7">
        <v>0</v>
      </c>
      <c r="M60" s="7">
        <v>19.196999999999999</v>
      </c>
      <c r="N60" s="7">
        <v>0</v>
      </c>
      <c r="O60" s="7">
        <v>32.311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23.318999999999999</v>
      </c>
      <c r="Y60" s="7">
        <v>0</v>
      </c>
    </row>
    <row r="61" spans="1:25" x14ac:dyDescent="0.25">
      <c r="B61" s="7">
        <v>0</v>
      </c>
      <c r="C61" s="7">
        <v>67.531999999999996</v>
      </c>
      <c r="D61" s="7">
        <v>0</v>
      </c>
      <c r="E61" s="7">
        <v>0</v>
      </c>
      <c r="F61" s="7">
        <v>0</v>
      </c>
      <c r="G61" s="7">
        <v>0</v>
      </c>
      <c r="H61" s="7">
        <v>52.951999999999998</v>
      </c>
      <c r="I61" s="7">
        <v>0</v>
      </c>
      <c r="J61" s="7">
        <v>0</v>
      </c>
      <c r="K61" s="7">
        <v>0</v>
      </c>
      <c r="L61" s="7">
        <v>0</v>
      </c>
      <c r="M61" s="7">
        <v>51.567</v>
      </c>
      <c r="N61" s="7">
        <v>2.1989999999999998</v>
      </c>
      <c r="O61" s="7">
        <v>69.483999999999995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58.411999999999999</v>
      </c>
      <c r="Y61" s="7">
        <v>0</v>
      </c>
    </row>
    <row r="62" spans="1:25" x14ac:dyDescent="0.25">
      <c r="B62" s="7">
        <v>0</v>
      </c>
      <c r="C62" s="7">
        <v>103.64100000000001</v>
      </c>
      <c r="D62" s="7">
        <v>0</v>
      </c>
      <c r="E62" s="7">
        <v>0</v>
      </c>
      <c r="F62" s="7">
        <v>0</v>
      </c>
      <c r="G62" s="7">
        <v>0</v>
      </c>
      <c r="H62" s="7">
        <v>83.436000000000007</v>
      </c>
      <c r="I62" s="7">
        <v>0</v>
      </c>
      <c r="J62" s="7">
        <v>0</v>
      </c>
      <c r="K62" s="7">
        <v>0</v>
      </c>
      <c r="L62" s="7">
        <v>0</v>
      </c>
      <c r="M62" s="7">
        <v>82.387</v>
      </c>
      <c r="N62" s="7">
        <v>32.28</v>
      </c>
      <c r="O62" s="7">
        <v>105.452</v>
      </c>
      <c r="P62" s="7">
        <v>2.3479999999999999</v>
      </c>
      <c r="Q62" s="7">
        <v>0</v>
      </c>
      <c r="R62" s="7">
        <v>0</v>
      </c>
      <c r="S62" s="7">
        <v>18.939</v>
      </c>
      <c r="T62" s="7">
        <v>0</v>
      </c>
      <c r="U62" s="7">
        <v>0</v>
      </c>
      <c r="V62" s="7">
        <v>0</v>
      </c>
      <c r="W62" s="7">
        <v>0</v>
      </c>
      <c r="X62" s="7">
        <v>90.730999999999995</v>
      </c>
      <c r="Y62" s="7">
        <v>0</v>
      </c>
    </row>
    <row r="63" spans="1:25" x14ac:dyDescent="0.25">
      <c r="B63" s="7">
        <v>25.687999999999999</v>
      </c>
      <c r="C63" s="7">
        <v>131.24700000000001</v>
      </c>
      <c r="D63" s="7">
        <v>0</v>
      </c>
      <c r="E63" s="7">
        <v>0</v>
      </c>
      <c r="F63" s="7">
        <v>0</v>
      </c>
      <c r="G63" s="7">
        <v>0</v>
      </c>
      <c r="H63" s="7">
        <v>114.78700000000001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113.578</v>
      </c>
      <c r="N63" s="7">
        <v>66.021000000000001</v>
      </c>
      <c r="O63" s="7">
        <v>121.883</v>
      </c>
      <c r="P63" s="7">
        <v>24.815999999999999</v>
      </c>
      <c r="Q63" s="7">
        <v>11.523</v>
      </c>
      <c r="R63" s="7">
        <v>20.03</v>
      </c>
      <c r="S63" s="7">
        <v>51.158999999999999</v>
      </c>
      <c r="T63" s="7">
        <v>3.6970000000000001</v>
      </c>
      <c r="U63" s="7">
        <v>22.088000000000001</v>
      </c>
      <c r="V63" s="7">
        <v>2.198</v>
      </c>
      <c r="W63" s="7">
        <v>0</v>
      </c>
      <c r="X63" s="7">
        <v>121.929</v>
      </c>
      <c r="Y63" s="7">
        <v>2.3969999999999998</v>
      </c>
    </row>
    <row r="64" spans="1:25" x14ac:dyDescent="0.25">
      <c r="B64" s="7">
        <v>62.338000000000001</v>
      </c>
      <c r="C64" s="7">
        <v>132.41399999999999</v>
      </c>
      <c r="D64" s="7">
        <v>18.503</v>
      </c>
      <c r="E64" s="7">
        <v>28.321999999999999</v>
      </c>
      <c r="F64" s="7">
        <v>2.8130000000000002</v>
      </c>
      <c r="G64" s="7">
        <v>26.899000000000001</v>
      </c>
      <c r="H64" s="7">
        <v>147.53200000000001</v>
      </c>
      <c r="I64" s="7">
        <v>17.721</v>
      </c>
      <c r="J64" s="7">
        <v>12.871</v>
      </c>
      <c r="K64" s="7">
        <v>27.131</v>
      </c>
      <c r="L64" s="7">
        <v>14.917</v>
      </c>
      <c r="M64" s="7">
        <v>143.69399999999999</v>
      </c>
      <c r="N64" s="7">
        <v>102.935</v>
      </c>
      <c r="O64" s="7">
        <v>127.767</v>
      </c>
      <c r="P64" s="7">
        <v>49.18</v>
      </c>
      <c r="Q64" s="7">
        <v>46.65</v>
      </c>
      <c r="R64" s="7">
        <v>44.747</v>
      </c>
      <c r="S64" s="7">
        <v>90.3</v>
      </c>
      <c r="T64" s="7">
        <v>33.523000000000003</v>
      </c>
      <c r="U64" s="7">
        <v>52.747</v>
      </c>
      <c r="V64" s="7">
        <v>26.288</v>
      </c>
      <c r="W64" s="7">
        <v>6.415</v>
      </c>
      <c r="X64" s="7">
        <v>135.083</v>
      </c>
      <c r="Y64" s="7">
        <v>33.042999999999999</v>
      </c>
    </row>
    <row r="65" spans="1:25" x14ac:dyDescent="0.25">
      <c r="B65" s="7">
        <v>91.722999999999999</v>
      </c>
      <c r="C65" s="7">
        <v>136.18299999999999</v>
      </c>
      <c r="D65" s="7">
        <v>50.11</v>
      </c>
      <c r="E65" s="7">
        <v>63.07</v>
      </c>
      <c r="F65" s="7">
        <v>23.28</v>
      </c>
      <c r="G65" s="7">
        <v>48.351999999999997</v>
      </c>
      <c r="H65" s="7">
        <v>159.96199999999999</v>
      </c>
      <c r="I65" s="7">
        <v>47.722999999999999</v>
      </c>
      <c r="J65" s="7">
        <v>42.899000000000001</v>
      </c>
      <c r="K65" s="7">
        <v>57.582000000000001</v>
      </c>
      <c r="L65" s="7">
        <v>47.701000000000001</v>
      </c>
      <c r="M65" s="7">
        <v>162.346</v>
      </c>
      <c r="N65" s="7">
        <v>117.95099999999999</v>
      </c>
      <c r="O65" s="7">
        <v>128.083</v>
      </c>
      <c r="P65" s="7">
        <v>70.709000000000003</v>
      </c>
      <c r="Q65" s="7">
        <v>72.281000000000006</v>
      </c>
      <c r="R65" s="7">
        <v>66.120999999999995</v>
      </c>
      <c r="S65" s="7">
        <v>112.11499999999999</v>
      </c>
      <c r="T65" s="7">
        <v>62.283000000000001</v>
      </c>
      <c r="U65" s="7">
        <v>65.486000000000004</v>
      </c>
      <c r="V65" s="7">
        <v>48.609000000000002</v>
      </c>
      <c r="W65" s="7">
        <v>37.363</v>
      </c>
      <c r="X65" s="7">
        <v>142.14400000000001</v>
      </c>
      <c r="Y65" s="7">
        <v>68.114000000000004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2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5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6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11</v>
      </c>
      <c r="D74" s="7">
        <v>1</v>
      </c>
      <c r="E74" s="7">
        <v>1</v>
      </c>
      <c r="F74" s="7">
        <v>1</v>
      </c>
      <c r="G74" s="7">
        <v>2</v>
      </c>
      <c r="H74" s="7">
        <v>3</v>
      </c>
      <c r="I74" s="7">
        <v>1</v>
      </c>
      <c r="J74" s="7">
        <v>1</v>
      </c>
      <c r="K74" s="7">
        <v>1</v>
      </c>
      <c r="L74" s="7">
        <v>1</v>
      </c>
      <c r="M74" s="7">
        <v>3</v>
      </c>
      <c r="N74" s="7">
        <v>2</v>
      </c>
      <c r="O74" s="7">
        <v>13</v>
      </c>
      <c r="P74" s="7">
        <v>2</v>
      </c>
      <c r="Q74" s="7">
        <v>2</v>
      </c>
      <c r="R74" s="7">
        <v>1</v>
      </c>
      <c r="S74" s="7">
        <v>2</v>
      </c>
      <c r="T74" s="7">
        <v>1</v>
      </c>
      <c r="U74" s="7">
        <v>2</v>
      </c>
      <c r="V74" s="7">
        <v>1</v>
      </c>
      <c r="W74" s="7">
        <v>1</v>
      </c>
      <c r="X74" s="7">
        <v>4</v>
      </c>
      <c r="Y74" s="7">
        <v>2</v>
      </c>
    </row>
    <row r="76" spans="1:25" ht="45" x14ac:dyDescent="0.25">
      <c r="A76" s="5" t="s">
        <v>11</v>
      </c>
      <c r="B76" s="7">
        <v>22982640</v>
      </c>
      <c r="C76" s="7">
        <v>18704100</v>
      </c>
      <c r="D76" s="7">
        <v>17867830</v>
      </c>
      <c r="E76" s="7">
        <v>30021020</v>
      </c>
      <c r="F76" s="7">
        <v>26547680</v>
      </c>
      <c r="G76" s="7">
        <v>20933260</v>
      </c>
      <c r="H76" s="7">
        <v>24057100</v>
      </c>
      <c r="I76" s="7">
        <v>24264710</v>
      </c>
      <c r="J76" s="7">
        <v>13603760</v>
      </c>
      <c r="K76" s="7">
        <v>23849440</v>
      </c>
      <c r="L76" s="7">
        <v>20897940</v>
      </c>
      <c r="M76" s="7">
        <v>23489890</v>
      </c>
      <c r="N76" s="7">
        <v>16827730</v>
      </c>
      <c r="O76" s="7">
        <v>12372660</v>
      </c>
      <c r="P76" s="7">
        <v>33046840</v>
      </c>
      <c r="Q76" s="7">
        <v>16997750</v>
      </c>
      <c r="R76" s="7">
        <v>23473310</v>
      </c>
      <c r="S76" s="7">
        <v>22023310</v>
      </c>
      <c r="T76" s="7">
        <v>26510280</v>
      </c>
      <c r="U76" s="7">
        <v>27475310</v>
      </c>
      <c r="V76" s="7">
        <v>21291980</v>
      </c>
      <c r="W76" s="7">
        <v>35098520</v>
      </c>
      <c r="X76" s="7">
        <v>24527530</v>
      </c>
      <c r="Y76" s="7">
        <v>31444430</v>
      </c>
    </row>
    <row r="77" spans="1:25" x14ac:dyDescent="0.25">
      <c r="B77" s="7">
        <v>48082150</v>
      </c>
      <c r="C77" s="7">
        <v>40587080</v>
      </c>
      <c r="D77" s="7">
        <v>37562450</v>
      </c>
      <c r="E77" s="7">
        <v>60107180</v>
      </c>
      <c r="F77" s="7">
        <v>54796480</v>
      </c>
      <c r="G77" s="7">
        <v>41156560</v>
      </c>
      <c r="H77" s="7">
        <v>49742060</v>
      </c>
      <c r="I77" s="7">
        <v>50885140</v>
      </c>
      <c r="J77" s="7">
        <v>28452790</v>
      </c>
      <c r="K77" s="7">
        <v>49864040</v>
      </c>
      <c r="L77" s="7">
        <v>44301750</v>
      </c>
      <c r="M77" s="7">
        <v>48416890</v>
      </c>
      <c r="N77" s="7">
        <v>34704100</v>
      </c>
      <c r="O77" s="7">
        <v>27385160</v>
      </c>
      <c r="P77" s="7">
        <v>66063250</v>
      </c>
      <c r="Q77" s="7">
        <v>35532710</v>
      </c>
      <c r="R77" s="7">
        <v>48717080</v>
      </c>
      <c r="S77" s="7">
        <v>46053560</v>
      </c>
      <c r="T77" s="7">
        <v>54292270</v>
      </c>
      <c r="U77" s="7">
        <v>57146650</v>
      </c>
      <c r="V77" s="7">
        <v>45912560</v>
      </c>
      <c r="W77" s="7">
        <v>69590070</v>
      </c>
      <c r="X77" s="7">
        <v>50510560</v>
      </c>
      <c r="Y77" s="7">
        <v>61865830</v>
      </c>
    </row>
    <row r="78" spans="1:25" x14ac:dyDescent="0.25">
      <c r="B78" s="7">
        <v>74944690</v>
      </c>
      <c r="C78" s="7">
        <v>65316440</v>
      </c>
      <c r="D78" s="7">
        <v>59351230</v>
      </c>
      <c r="E78" s="7">
        <v>90329120</v>
      </c>
      <c r="F78" s="7">
        <v>84409340</v>
      </c>
      <c r="G78" s="7">
        <v>60841890</v>
      </c>
      <c r="H78" s="7">
        <v>76865690</v>
      </c>
      <c r="I78" s="7">
        <v>79468650</v>
      </c>
      <c r="J78" s="7">
        <v>44848210</v>
      </c>
      <c r="K78" s="7">
        <v>77742620</v>
      </c>
      <c r="L78" s="7">
        <v>69912340</v>
      </c>
      <c r="M78" s="7">
        <v>74746040</v>
      </c>
      <c r="N78" s="7">
        <v>53937920</v>
      </c>
      <c r="O78" s="7">
        <v>45223990</v>
      </c>
      <c r="P78" s="7">
        <v>98746250</v>
      </c>
      <c r="Q78" s="7">
        <v>55811010</v>
      </c>
      <c r="R78" s="7">
        <v>75505030</v>
      </c>
      <c r="S78" s="7">
        <v>71869850</v>
      </c>
      <c r="T78" s="7">
        <v>83187580</v>
      </c>
      <c r="U78" s="7">
        <v>88103350</v>
      </c>
      <c r="V78" s="7">
        <v>73126580</v>
      </c>
      <c r="W78" s="7">
        <v>103427900</v>
      </c>
      <c r="X78" s="7">
        <v>77797010</v>
      </c>
      <c r="Y78" s="7">
        <v>91457040</v>
      </c>
    </row>
    <row r="79" spans="1:25" x14ac:dyDescent="0.25">
      <c r="B79" s="7">
        <v>100963100</v>
      </c>
      <c r="C79" s="7">
        <v>88064560</v>
      </c>
      <c r="D79" s="7">
        <v>79249010</v>
      </c>
      <c r="E79" s="7">
        <v>120493800</v>
      </c>
      <c r="F79" s="7">
        <v>113091500</v>
      </c>
      <c r="G79" s="7">
        <v>80152660</v>
      </c>
      <c r="H79" s="7">
        <v>103314400</v>
      </c>
      <c r="I79" s="7">
        <v>106504500</v>
      </c>
      <c r="J79" s="7">
        <v>60742330</v>
      </c>
      <c r="K79" s="7">
        <v>104183900</v>
      </c>
      <c r="L79" s="7">
        <v>94234940</v>
      </c>
      <c r="M79" s="7">
        <v>100456300</v>
      </c>
      <c r="N79" s="7">
        <v>72745930</v>
      </c>
      <c r="O79" s="7">
        <v>61265570</v>
      </c>
      <c r="P79" s="7">
        <v>131555300</v>
      </c>
      <c r="Q79" s="7">
        <v>75551830</v>
      </c>
      <c r="R79" s="7">
        <v>101638300</v>
      </c>
      <c r="S79" s="7">
        <v>96970100</v>
      </c>
      <c r="T79" s="7">
        <v>111041600</v>
      </c>
      <c r="U79" s="7">
        <v>118402400</v>
      </c>
      <c r="V79" s="7">
        <v>98861910</v>
      </c>
      <c r="W79" s="7">
        <v>136572200</v>
      </c>
      <c r="X79" s="7">
        <v>104532900</v>
      </c>
      <c r="Y79" s="7">
        <v>121242000</v>
      </c>
    </row>
    <row r="80" spans="1:25" x14ac:dyDescent="0.25">
      <c r="B80" s="7">
        <v>127452900</v>
      </c>
      <c r="C80" s="7">
        <v>111267100</v>
      </c>
      <c r="D80" s="7">
        <v>99282590</v>
      </c>
      <c r="E80" s="7">
        <v>150742000</v>
      </c>
      <c r="F80" s="7">
        <v>142016900</v>
      </c>
      <c r="G80" s="7">
        <v>99056550</v>
      </c>
      <c r="H80" s="7">
        <v>130152400</v>
      </c>
      <c r="I80" s="7">
        <v>133806800</v>
      </c>
      <c r="J80" s="7">
        <v>77148960</v>
      </c>
      <c r="K80" s="7">
        <v>130861800</v>
      </c>
      <c r="L80" s="7">
        <v>119075300</v>
      </c>
      <c r="M80" s="7">
        <v>126549800</v>
      </c>
      <c r="N80" s="7">
        <v>92033980</v>
      </c>
      <c r="O80" s="7">
        <v>77808010</v>
      </c>
      <c r="P80" s="7">
        <v>164248700</v>
      </c>
      <c r="Q80" s="7">
        <v>95894420</v>
      </c>
      <c r="R80" s="7">
        <v>128207600</v>
      </c>
      <c r="S80" s="7">
        <v>122592800</v>
      </c>
      <c r="T80" s="7">
        <v>138958600</v>
      </c>
      <c r="U80" s="7">
        <v>149009300</v>
      </c>
      <c r="V80" s="7">
        <v>125147200</v>
      </c>
      <c r="W80" s="7">
        <v>169062000</v>
      </c>
      <c r="X80" s="7">
        <v>131644000</v>
      </c>
      <c r="Y80" s="7">
        <v>150746000</v>
      </c>
    </row>
    <row r="81" spans="1:25" x14ac:dyDescent="0.25">
      <c r="B81" s="7">
        <v>154370300</v>
      </c>
      <c r="C81" s="7">
        <v>134905800</v>
      </c>
      <c r="D81" s="7">
        <v>119463500</v>
      </c>
      <c r="E81" s="7">
        <v>181042200</v>
      </c>
      <c r="F81" s="7">
        <v>171166400</v>
      </c>
      <c r="G81" s="7">
        <v>117562400</v>
      </c>
      <c r="H81" s="7">
        <v>157341500</v>
      </c>
      <c r="I81" s="7">
        <v>161367800</v>
      </c>
      <c r="J81" s="7">
        <v>94084480</v>
      </c>
      <c r="K81" s="7">
        <v>157764200</v>
      </c>
      <c r="L81" s="7">
        <v>144383200</v>
      </c>
      <c r="M81" s="7">
        <v>153014000</v>
      </c>
      <c r="N81" s="7">
        <v>111796600</v>
      </c>
      <c r="O81" s="7">
        <v>94851050</v>
      </c>
      <c r="P81" s="7">
        <v>196798700</v>
      </c>
      <c r="Q81" s="7">
        <v>116827500</v>
      </c>
      <c r="R81" s="7">
        <v>155184800</v>
      </c>
      <c r="S81" s="7">
        <v>148700800</v>
      </c>
      <c r="T81" s="7">
        <v>166931200</v>
      </c>
      <c r="U81" s="7">
        <v>179851700</v>
      </c>
      <c r="V81" s="7">
        <v>151913600</v>
      </c>
      <c r="W81" s="7">
        <v>200899200</v>
      </c>
      <c r="X81" s="7">
        <v>159111800</v>
      </c>
      <c r="Y81" s="7">
        <v>179980100</v>
      </c>
    </row>
    <row r="82" spans="1:25" x14ac:dyDescent="0.25">
      <c r="B82" s="7">
        <v>181683800</v>
      </c>
      <c r="C82" s="7">
        <v>158963600</v>
      </c>
      <c r="D82" s="7">
        <v>139819100</v>
      </c>
      <c r="E82" s="7">
        <v>211395300</v>
      </c>
      <c r="F82" s="7">
        <v>200525800</v>
      </c>
      <c r="G82" s="7">
        <v>135700500</v>
      </c>
      <c r="H82" s="7">
        <v>184858900</v>
      </c>
      <c r="I82" s="7">
        <v>189181100</v>
      </c>
      <c r="J82" s="7">
        <v>111566500</v>
      </c>
      <c r="K82" s="7">
        <v>184881800</v>
      </c>
      <c r="L82" s="7">
        <v>170137300</v>
      </c>
      <c r="M82" s="7">
        <v>179837200</v>
      </c>
      <c r="N82" s="7">
        <v>132047900</v>
      </c>
      <c r="O82" s="7">
        <v>112398000</v>
      </c>
      <c r="P82" s="7">
        <v>229189000</v>
      </c>
      <c r="Q82" s="7">
        <v>138352600</v>
      </c>
      <c r="R82" s="7">
        <v>182545600</v>
      </c>
      <c r="S82" s="7">
        <v>175265000</v>
      </c>
      <c r="T82" s="7">
        <v>194960700</v>
      </c>
      <c r="U82" s="7">
        <v>210871900</v>
      </c>
      <c r="V82" s="7">
        <v>179103800</v>
      </c>
      <c r="W82" s="7">
        <v>232093700</v>
      </c>
      <c r="X82" s="7">
        <v>186919400</v>
      </c>
      <c r="Y82" s="7">
        <v>208972100</v>
      </c>
    </row>
    <row r="83" spans="1:25" x14ac:dyDescent="0.25">
      <c r="B83" s="7">
        <v>209364100</v>
      </c>
      <c r="C83" s="7">
        <v>183424500</v>
      </c>
      <c r="D83" s="7">
        <v>160375000</v>
      </c>
      <c r="E83" s="7">
        <v>241801800</v>
      </c>
      <c r="F83" s="7">
        <v>230082700</v>
      </c>
      <c r="G83" s="7">
        <v>153502500</v>
      </c>
      <c r="H83" s="7">
        <v>212683100</v>
      </c>
      <c r="I83" s="7">
        <v>217239800</v>
      </c>
      <c r="J83" s="7">
        <v>129611000</v>
      </c>
      <c r="K83" s="7">
        <v>212207000</v>
      </c>
      <c r="L83" s="7">
        <v>196317000</v>
      </c>
      <c r="M83" s="7">
        <v>207007100</v>
      </c>
      <c r="N83" s="7">
        <v>152799900</v>
      </c>
      <c r="O83" s="7">
        <v>130450900</v>
      </c>
      <c r="P83" s="7">
        <v>261410400</v>
      </c>
      <c r="Q83" s="7">
        <v>160469200</v>
      </c>
      <c r="R83" s="7">
        <v>210267600</v>
      </c>
      <c r="S83" s="7">
        <v>202258600</v>
      </c>
      <c r="T83" s="7">
        <v>223050600</v>
      </c>
      <c r="U83" s="7">
        <v>242023300</v>
      </c>
      <c r="V83" s="7">
        <v>206668400</v>
      </c>
      <c r="W83" s="7">
        <v>262658500</v>
      </c>
      <c r="X83" s="7">
        <v>215049700</v>
      </c>
      <c r="Y83" s="7">
        <v>237750300</v>
      </c>
    </row>
    <row r="85" spans="1:25" ht="45" x14ac:dyDescent="0.25">
      <c r="A85" s="6" t="s">
        <v>46</v>
      </c>
      <c r="B85" s="7">
        <v>0</v>
      </c>
      <c r="C85" s="7">
        <v>63572640</v>
      </c>
      <c r="D85" s="7">
        <v>0</v>
      </c>
      <c r="E85" s="7">
        <v>0</v>
      </c>
      <c r="F85" s="7">
        <v>0</v>
      </c>
      <c r="G85" s="7">
        <v>0</v>
      </c>
      <c r="H85" s="7">
        <v>64432000</v>
      </c>
      <c r="I85" s="7">
        <v>0</v>
      </c>
      <c r="J85" s="7">
        <v>0</v>
      </c>
      <c r="K85" s="7">
        <v>0</v>
      </c>
      <c r="L85" s="7">
        <v>0</v>
      </c>
      <c r="M85" s="7">
        <v>64601950</v>
      </c>
      <c r="N85" s="7">
        <v>0</v>
      </c>
      <c r="O85" s="7">
        <v>63581730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63777970</v>
      </c>
      <c r="Y85" s="7">
        <v>0</v>
      </c>
    </row>
    <row r="86" spans="1:25" x14ac:dyDescent="0.25">
      <c r="B86" s="7">
        <v>0</v>
      </c>
      <c r="C86" s="7">
        <v>127145300</v>
      </c>
      <c r="D86" s="7">
        <v>0</v>
      </c>
      <c r="E86" s="7">
        <v>0</v>
      </c>
      <c r="F86" s="7">
        <v>0</v>
      </c>
      <c r="G86" s="7">
        <v>0</v>
      </c>
      <c r="H86" s="7">
        <v>128864000</v>
      </c>
      <c r="I86" s="7">
        <v>0</v>
      </c>
      <c r="J86" s="7">
        <v>0</v>
      </c>
      <c r="K86" s="7">
        <v>0</v>
      </c>
      <c r="L86" s="7">
        <v>0</v>
      </c>
      <c r="M86" s="7">
        <v>129203900</v>
      </c>
      <c r="N86" s="7">
        <v>0</v>
      </c>
      <c r="O86" s="7">
        <v>127163500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127555900</v>
      </c>
      <c r="Y86" s="7">
        <v>0</v>
      </c>
    </row>
    <row r="87" spans="1:25" x14ac:dyDescent="0.25">
      <c r="B87" s="7">
        <v>0</v>
      </c>
      <c r="C87" s="7">
        <v>190689500</v>
      </c>
      <c r="D87" s="7">
        <v>0</v>
      </c>
      <c r="E87" s="7">
        <v>0</v>
      </c>
      <c r="F87" s="7">
        <v>0</v>
      </c>
      <c r="G87" s="7">
        <v>0</v>
      </c>
      <c r="H87" s="7">
        <v>193278400</v>
      </c>
      <c r="I87" s="7">
        <v>0</v>
      </c>
      <c r="J87" s="7">
        <v>0</v>
      </c>
      <c r="K87" s="7">
        <v>0</v>
      </c>
      <c r="L87" s="7">
        <v>0</v>
      </c>
      <c r="M87" s="7">
        <v>193788400</v>
      </c>
      <c r="N87" s="7">
        <v>63444100</v>
      </c>
      <c r="O87" s="7">
        <v>190715800</v>
      </c>
      <c r="P87" s="7">
        <v>0</v>
      </c>
      <c r="Q87" s="7">
        <v>0</v>
      </c>
      <c r="R87" s="7">
        <v>0</v>
      </c>
      <c r="S87" s="7">
        <v>23446030</v>
      </c>
      <c r="T87" s="7">
        <v>0</v>
      </c>
      <c r="U87" s="7">
        <v>0</v>
      </c>
      <c r="V87" s="7">
        <v>0</v>
      </c>
      <c r="W87" s="7">
        <v>0</v>
      </c>
      <c r="X87" s="7">
        <v>191312700</v>
      </c>
      <c r="Y87" s="7">
        <v>0</v>
      </c>
    </row>
    <row r="88" spans="1:25" x14ac:dyDescent="0.25">
      <c r="B88" s="7">
        <v>7326795.3360000001</v>
      </c>
      <c r="C88" s="7">
        <v>254232500</v>
      </c>
      <c r="D88" s="7">
        <v>0</v>
      </c>
      <c r="E88" s="7">
        <v>0</v>
      </c>
      <c r="F88" s="7">
        <v>0</v>
      </c>
      <c r="G88" s="7">
        <v>0</v>
      </c>
      <c r="H88" s="7">
        <v>257679800</v>
      </c>
      <c r="I88" s="7">
        <v>0</v>
      </c>
      <c r="J88" s="7">
        <v>0</v>
      </c>
      <c r="K88" s="7">
        <v>0</v>
      </c>
      <c r="L88" s="7">
        <v>0</v>
      </c>
      <c r="M88" s="7">
        <v>258360900</v>
      </c>
      <c r="N88" s="7">
        <v>87988050</v>
      </c>
      <c r="O88" s="7">
        <v>254268900</v>
      </c>
      <c r="P88" s="7">
        <v>0</v>
      </c>
      <c r="Q88" s="7">
        <v>0</v>
      </c>
      <c r="R88" s="7">
        <v>0</v>
      </c>
      <c r="S88" s="7">
        <v>46022470</v>
      </c>
      <c r="T88" s="7">
        <v>0</v>
      </c>
      <c r="U88" s="7">
        <v>0</v>
      </c>
      <c r="V88" s="7">
        <v>0</v>
      </c>
      <c r="W88" s="7">
        <v>0</v>
      </c>
      <c r="X88" s="7">
        <v>255058700</v>
      </c>
      <c r="Y88" s="7">
        <v>0</v>
      </c>
    </row>
    <row r="89" spans="1:25" x14ac:dyDescent="0.25">
      <c r="B89" s="7">
        <v>30089720</v>
      </c>
      <c r="C89" s="7">
        <v>317805200</v>
      </c>
      <c r="D89" s="7">
        <v>0</v>
      </c>
      <c r="E89" s="7">
        <v>0</v>
      </c>
      <c r="F89" s="7">
        <v>0</v>
      </c>
      <c r="G89" s="7">
        <v>0</v>
      </c>
      <c r="H89" s="7">
        <v>322102000</v>
      </c>
      <c r="I89" s="7">
        <v>0</v>
      </c>
      <c r="J89" s="7">
        <v>0</v>
      </c>
      <c r="K89" s="7">
        <v>0</v>
      </c>
      <c r="L89" s="7">
        <v>0</v>
      </c>
      <c r="M89" s="7">
        <v>322951700</v>
      </c>
      <c r="N89" s="7">
        <v>154170900</v>
      </c>
      <c r="O89" s="7">
        <v>317850600</v>
      </c>
      <c r="P89" s="7">
        <v>0</v>
      </c>
      <c r="Q89" s="7">
        <v>0</v>
      </c>
      <c r="R89" s="7">
        <v>0</v>
      </c>
      <c r="S89" s="7">
        <v>81268170</v>
      </c>
      <c r="T89" s="7">
        <v>0</v>
      </c>
      <c r="U89" s="7">
        <v>0</v>
      </c>
      <c r="V89" s="7">
        <v>0</v>
      </c>
      <c r="W89" s="7">
        <v>0</v>
      </c>
      <c r="X89" s="7">
        <v>318831800</v>
      </c>
      <c r="Y89" s="7">
        <v>0</v>
      </c>
    </row>
    <row r="90" spans="1:25" x14ac:dyDescent="0.25">
      <c r="B90" s="7">
        <v>76589770</v>
      </c>
      <c r="C90" s="7">
        <v>381377800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232310600</v>
      </c>
      <c r="O90" s="7">
        <v>363685500</v>
      </c>
      <c r="P90" s="7">
        <v>0</v>
      </c>
      <c r="Q90" s="7">
        <v>8630471.3330000006</v>
      </c>
      <c r="R90" s="7">
        <v>0</v>
      </c>
      <c r="S90" s="7">
        <v>163380400</v>
      </c>
      <c r="T90" s="7">
        <v>-4.8421500000000001E-8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176524700</v>
      </c>
      <c r="C91" s="7">
        <v>411993800</v>
      </c>
      <c r="D91" s="7">
        <v>0</v>
      </c>
      <c r="E91" s="7">
        <v>11056360</v>
      </c>
      <c r="F91" s="7">
        <v>0</v>
      </c>
      <c r="G91" s="7">
        <v>-5.5217200000000002E-8</v>
      </c>
      <c r="H91" s="7">
        <v>450966000</v>
      </c>
      <c r="I91" s="7">
        <v>0</v>
      </c>
      <c r="J91" s="7">
        <v>0</v>
      </c>
      <c r="K91" s="7">
        <v>0</v>
      </c>
      <c r="L91" s="7">
        <v>28294060</v>
      </c>
      <c r="M91" s="7">
        <v>452155600</v>
      </c>
      <c r="N91" s="7">
        <v>318235100</v>
      </c>
      <c r="O91" s="7">
        <v>390962900</v>
      </c>
      <c r="P91" s="7">
        <v>3.6765409999999997E-8</v>
      </c>
      <c r="Q91" s="7">
        <v>92436860</v>
      </c>
      <c r="R91" s="7">
        <v>0</v>
      </c>
      <c r="S91" s="7">
        <v>272951600</v>
      </c>
      <c r="T91" s="7">
        <v>0</v>
      </c>
      <c r="U91" s="7">
        <v>0</v>
      </c>
      <c r="V91" s="7">
        <v>0</v>
      </c>
      <c r="W91" s="7">
        <v>0</v>
      </c>
      <c r="X91" s="7">
        <v>406865900</v>
      </c>
      <c r="Y91" s="7">
        <v>18521790</v>
      </c>
    </row>
    <row r="92" spans="1:25" x14ac:dyDescent="0.25">
      <c r="B92" s="7">
        <v>251800800</v>
      </c>
      <c r="C92" s="7">
        <v>445755500</v>
      </c>
      <c r="D92" s="7">
        <v>0</v>
      </c>
      <c r="E92" s="7">
        <v>85646110</v>
      </c>
      <c r="F92" s="7">
        <v>0</v>
      </c>
      <c r="G92" s="7">
        <v>0</v>
      </c>
      <c r="H92" s="7">
        <v>491527200</v>
      </c>
      <c r="I92" s="7">
        <v>0</v>
      </c>
      <c r="J92" s="7">
        <v>0</v>
      </c>
      <c r="K92" s="7">
        <v>0</v>
      </c>
      <c r="L92" s="7">
        <v>86896990</v>
      </c>
      <c r="M92" s="7">
        <v>494518200</v>
      </c>
      <c r="N92" s="7">
        <v>360761100</v>
      </c>
      <c r="O92" s="7">
        <v>412040600</v>
      </c>
      <c r="P92" s="7">
        <v>21419400</v>
      </c>
      <c r="Q92" s="7">
        <v>176899500</v>
      </c>
      <c r="R92" s="7">
        <v>0</v>
      </c>
      <c r="S92" s="7">
        <v>338497700</v>
      </c>
      <c r="T92" s="7">
        <v>0</v>
      </c>
      <c r="U92" s="7">
        <v>24654260</v>
      </c>
      <c r="V92" s="7">
        <v>0</v>
      </c>
      <c r="W92" s="7">
        <v>0</v>
      </c>
      <c r="X92" s="7">
        <v>442916800</v>
      </c>
      <c r="Y92" s="7">
        <v>108588800</v>
      </c>
    </row>
    <row r="94" spans="1:25" ht="45" x14ac:dyDescent="0.25">
      <c r="A94" s="6" t="s">
        <v>47</v>
      </c>
      <c r="B94" s="7">
        <v>64027530</v>
      </c>
      <c r="C94" s="7">
        <v>0</v>
      </c>
      <c r="D94" s="7">
        <v>63962980</v>
      </c>
      <c r="E94" s="7">
        <v>63855550</v>
      </c>
      <c r="F94" s="7">
        <v>65358650</v>
      </c>
      <c r="G94" s="7">
        <v>63987560</v>
      </c>
      <c r="H94" s="7">
        <v>0</v>
      </c>
      <c r="I94" s="7">
        <v>64815530</v>
      </c>
      <c r="J94" s="7">
        <v>63745340</v>
      </c>
      <c r="K94" s="7">
        <v>63572910</v>
      </c>
      <c r="L94" s="7">
        <v>64137440</v>
      </c>
      <c r="M94" s="7">
        <v>0</v>
      </c>
      <c r="N94" s="7">
        <v>64513720</v>
      </c>
      <c r="O94" s="7">
        <v>0</v>
      </c>
      <c r="P94" s="7">
        <v>63572780</v>
      </c>
      <c r="Q94" s="7">
        <v>65948290</v>
      </c>
      <c r="R94" s="7">
        <v>63977160</v>
      </c>
      <c r="S94" s="7">
        <v>64452640</v>
      </c>
      <c r="T94" s="7">
        <v>63566720</v>
      </c>
      <c r="U94" s="7">
        <v>63663710</v>
      </c>
      <c r="V94" s="7">
        <v>63575310</v>
      </c>
      <c r="W94" s="7">
        <v>63564560</v>
      </c>
      <c r="X94" s="7">
        <v>0</v>
      </c>
      <c r="Y94" s="7">
        <v>64271770</v>
      </c>
    </row>
    <row r="95" spans="1:25" x14ac:dyDescent="0.25">
      <c r="B95" s="7">
        <v>128055100</v>
      </c>
      <c r="C95" s="7">
        <v>0</v>
      </c>
      <c r="D95" s="7">
        <v>127926000</v>
      </c>
      <c r="E95" s="7">
        <v>127711100</v>
      </c>
      <c r="F95" s="7">
        <v>130717300</v>
      </c>
      <c r="G95" s="7">
        <v>127975100</v>
      </c>
      <c r="H95" s="7">
        <v>0</v>
      </c>
      <c r="I95" s="7">
        <v>129631100</v>
      </c>
      <c r="J95" s="7">
        <v>127490700</v>
      </c>
      <c r="K95" s="7">
        <v>127145800</v>
      </c>
      <c r="L95" s="7">
        <v>128274900</v>
      </c>
      <c r="M95" s="7">
        <v>0</v>
      </c>
      <c r="N95" s="7">
        <v>129027400</v>
      </c>
      <c r="O95" s="7">
        <v>0</v>
      </c>
      <c r="P95" s="7">
        <v>127145600</v>
      </c>
      <c r="Q95" s="7">
        <v>131896600</v>
      </c>
      <c r="R95" s="7">
        <v>127954300</v>
      </c>
      <c r="S95" s="7">
        <v>128905300</v>
      </c>
      <c r="T95" s="7">
        <v>127133400</v>
      </c>
      <c r="U95" s="7">
        <v>127327400</v>
      </c>
      <c r="V95" s="7">
        <v>127150600</v>
      </c>
      <c r="W95" s="7">
        <v>127129100</v>
      </c>
      <c r="X95" s="7">
        <v>0</v>
      </c>
      <c r="Y95" s="7">
        <v>128543500</v>
      </c>
    </row>
    <row r="96" spans="1:25" x14ac:dyDescent="0.25">
      <c r="B96" s="7">
        <v>192082600</v>
      </c>
      <c r="C96" s="7">
        <v>0</v>
      </c>
      <c r="D96" s="7">
        <v>191888900</v>
      </c>
      <c r="E96" s="7">
        <v>191566600</v>
      </c>
      <c r="F96" s="7">
        <v>196076000</v>
      </c>
      <c r="G96" s="7">
        <v>191962700</v>
      </c>
      <c r="H96" s="7">
        <v>0</v>
      </c>
      <c r="I96" s="7">
        <v>194446600</v>
      </c>
      <c r="J96" s="7">
        <v>191236000</v>
      </c>
      <c r="K96" s="7">
        <v>190718700</v>
      </c>
      <c r="L96" s="7">
        <v>192412300</v>
      </c>
      <c r="M96" s="7">
        <v>0</v>
      </c>
      <c r="N96" s="7">
        <v>130097000</v>
      </c>
      <c r="O96" s="7">
        <v>0</v>
      </c>
      <c r="P96" s="7">
        <v>190718300</v>
      </c>
      <c r="Q96" s="7">
        <v>197844900</v>
      </c>
      <c r="R96" s="7">
        <v>191931500</v>
      </c>
      <c r="S96" s="7">
        <v>169911900</v>
      </c>
      <c r="T96" s="7">
        <v>190700200</v>
      </c>
      <c r="U96" s="7">
        <v>190991100</v>
      </c>
      <c r="V96" s="7">
        <v>190725900</v>
      </c>
      <c r="W96" s="7">
        <v>190693700</v>
      </c>
      <c r="X96" s="7">
        <v>0</v>
      </c>
      <c r="Y96" s="7">
        <v>192815300</v>
      </c>
    </row>
    <row r="97" spans="1:25" x14ac:dyDescent="0.25">
      <c r="B97" s="7">
        <v>248783300</v>
      </c>
      <c r="C97" s="7">
        <v>0</v>
      </c>
      <c r="D97" s="7">
        <v>255851900</v>
      </c>
      <c r="E97" s="7">
        <v>255422200</v>
      </c>
      <c r="F97" s="7">
        <v>261434600</v>
      </c>
      <c r="G97" s="7">
        <v>255950200</v>
      </c>
      <c r="H97" s="7">
        <v>0</v>
      </c>
      <c r="I97" s="7">
        <v>259262100</v>
      </c>
      <c r="J97" s="7">
        <v>254981400</v>
      </c>
      <c r="K97" s="7">
        <v>254291600</v>
      </c>
      <c r="L97" s="7">
        <v>256549700</v>
      </c>
      <c r="M97" s="7">
        <v>0</v>
      </c>
      <c r="N97" s="7">
        <v>170064800</v>
      </c>
      <c r="O97" s="7">
        <v>0</v>
      </c>
      <c r="P97" s="7">
        <v>254291100</v>
      </c>
      <c r="Q97" s="7">
        <v>263793100</v>
      </c>
      <c r="R97" s="7">
        <v>255908600</v>
      </c>
      <c r="S97" s="7">
        <v>211788100</v>
      </c>
      <c r="T97" s="7">
        <v>254266900</v>
      </c>
      <c r="U97" s="7">
        <v>254654800</v>
      </c>
      <c r="V97" s="7">
        <v>254301300</v>
      </c>
      <c r="W97" s="7">
        <v>254258200</v>
      </c>
      <c r="X97" s="7">
        <v>0</v>
      </c>
      <c r="Y97" s="7">
        <v>257087100</v>
      </c>
    </row>
    <row r="98" spans="1:25" x14ac:dyDescent="0.25">
      <c r="B98" s="7">
        <v>290047900</v>
      </c>
      <c r="C98" s="7">
        <v>0</v>
      </c>
      <c r="D98" s="7">
        <v>319814900</v>
      </c>
      <c r="E98" s="7">
        <v>319277700</v>
      </c>
      <c r="F98" s="7">
        <v>326793300</v>
      </c>
      <c r="G98" s="7">
        <v>319937800</v>
      </c>
      <c r="H98" s="7">
        <v>0</v>
      </c>
      <c r="I98" s="7">
        <v>324077700</v>
      </c>
      <c r="J98" s="7">
        <v>318726700</v>
      </c>
      <c r="K98" s="7">
        <v>317864500</v>
      </c>
      <c r="L98" s="7">
        <v>320687200</v>
      </c>
      <c r="M98" s="7">
        <v>0</v>
      </c>
      <c r="N98" s="7">
        <v>168368300</v>
      </c>
      <c r="O98" s="7">
        <v>3.2378009999999997E-8</v>
      </c>
      <c r="P98" s="7">
        <v>317861800</v>
      </c>
      <c r="Q98" s="7">
        <v>329741400</v>
      </c>
      <c r="R98" s="7">
        <v>319885800</v>
      </c>
      <c r="S98" s="7">
        <v>240977800</v>
      </c>
      <c r="T98" s="7">
        <v>317833600</v>
      </c>
      <c r="U98" s="7">
        <v>318318600</v>
      </c>
      <c r="V98" s="7">
        <v>317876600</v>
      </c>
      <c r="W98" s="7">
        <v>317822800</v>
      </c>
      <c r="X98" s="7">
        <v>0</v>
      </c>
      <c r="Y98" s="7">
        <v>321358800</v>
      </c>
    </row>
    <row r="99" spans="1:25" x14ac:dyDescent="0.25">
      <c r="B99" s="7">
        <v>307552100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381437400</v>
      </c>
      <c r="L99" s="7">
        <v>384824600</v>
      </c>
      <c r="M99" s="7">
        <v>0</v>
      </c>
      <c r="N99" s="7">
        <v>154713600</v>
      </c>
      <c r="O99" s="7">
        <v>0</v>
      </c>
      <c r="P99" s="7">
        <v>381414100</v>
      </c>
      <c r="Q99" s="7">
        <v>387055300</v>
      </c>
      <c r="R99" s="7">
        <v>383844700</v>
      </c>
      <c r="S99" s="7">
        <v>223288900</v>
      </c>
      <c r="T99" s="7">
        <v>381397000</v>
      </c>
      <c r="U99" s="7">
        <v>382065300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271611300</v>
      </c>
      <c r="C100" s="7">
        <v>0</v>
      </c>
      <c r="D100" s="7">
        <v>447740800</v>
      </c>
      <c r="E100" s="7">
        <v>435913500</v>
      </c>
      <c r="F100" s="7">
        <v>457508000</v>
      </c>
      <c r="G100" s="7">
        <v>447888400</v>
      </c>
      <c r="H100" s="7">
        <v>5.5661079999999997E-9</v>
      </c>
      <c r="I100" s="7">
        <v>453692600</v>
      </c>
      <c r="J100" s="7">
        <v>446205700</v>
      </c>
      <c r="K100" s="7">
        <v>445010400</v>
      </c>
      <c r="L100" s="7">
        <v>420654400</v>
      </c>
      <c r="M100" s="7">
        <v>-5.2532400000000004E-9</v>
      </c>
      <c r="N100" s="7">
        <v>133302800</v>
      </c>
      <c r="O100" s="7">
        <v>0</v>
      </c>
      <c r="P100" s="7">
        <v>444964700</v>
      </c>
      <c r="Q100" s="7">
        <v>369158700</v>
      </c>
      <c r="R100" s="7">
        <v>447799400</v>
      </c>
      <c r="S100" s="7">
        <v>178158800</v>
      </c>
      <c r="T100" s="7">
        <v>444936500</v>
      </c>
      <c r="U100" s="7">
        <v>445886000</v>
      </c>
      <c r="V100" s="7">
        <v>445027200</v>
      </c>
      <c r="W100" s="7">
        <v>444965100</v>
      </c>
      <c r="X100" s="7">
        <v>39521850</v>
      </c>
      <c r="Y100" s="7">
        <v>431372900</v>
      </c>
    </row>
    <row r="101" spans="1:25" x14ac:dyDescent="0.25">
      <c r="B101" s="7">
        <v>246523800</v>
      </c>
      <c r="C101" s="7">
        <v>0</v>
      </c>
      <c r="D101" s="7">
        <v>491453900</v>
      </c>
      <c r="E101" s="7">
        <v>416395100</v>
      </c>
      <c r="F101" s="7">
        <v>512514300</v>
      </c>
      <c r="G101" s="7">
        <v>486645300</v>
      </c>
      <c r="H101" s="7">
        <v>0</v>
      </c>
      <c r="I101" s="7">
        <v>506633800</v>
      </c>
      <c r="J101" s="7">
        <v>489277300</v>
      </c>
      <c r="K101" s="7">
        <v>497475900</v>
      </c>
      <c r="L101" s="7">
        <v>416383000</v>
      </c>
      <c r="M101" s="7">
        <v>0</v>
      </c>
      <c r="N101" s="7">
        <v>131617300</v>
      </c>
      <c r="O101" s="7">
        <v>0</v>
      </c>
      <c r="P101" s="7">
        <v>476850800</v>
      </c>
      <c r="Q101" s="7">
        <v>327488600</v>
      </c>
      <c r="R101" s="7">
        <v>500195000</v>
      </c>
      <c r="S101" s="7">
        <v>159420200</v>
      </c>
      <c r="T101" s="7">
        <v>500918900</v>
      </c>
      <c r="U101" s="7">
        <v>471933300</v>
      </c>
      <c r="V101" s="7">
        <v>503848100</v>
      </c>
      <c r="W101" s="7">
        <v>501826000</v>
      </c>
      <c r="X101" s="7">
        <v>40559500</v>
      </c>
      <c r="Y101" s="7">
        <v>392539900</v>
      </c>
    </row>
    <row r="103" spans="1:25" ht="45" x14ac:dyDescent="0.25">
      <c r="A103" s="6" t="s">
        <v>49</v>
      </c>
      <c r="B103" s="7">
        <v>448192700</v>
      </c>
      <c r="C103" s="7">
        <v>445008500</v>
      </c>
      <c r="D103" s="7">
        <v>447740800</v>
      </c>
      <c r="E103" s="7">
        <v>446988800</v>
      </c>
      <c r="F103" s="7">
        <v>457510600</v>
      </c>
      <c r="G103" s="7">
        <v>447912900</v>
      </c>
      <c r="H103" s="7">
        <v>451024000</v>
      </c>
      <c r="I103" s="7">
        <v>453708700</v>
      </c>
      <c r="J103" s="7">
        <v>446217400</v>
      </c>
      <c r="K103" s="7">
        <v>445010400</v>
      </c>
      <c r="L103" s="7">
        <v>448962100</v>
      </c>
      <c r="M103" s="7">
        <v>452213700</v>
      </c>
      <c r="N103" s="7">
        <v>451596000</v>
      </c>
      <c r="O103" s="7">
        <v>445072100</v>
      </c>
      <c r="P103" s="7">
        <v>445009400</v>
      </c>
      <c r="Q103" s="7">
        <v>461638000</v>
      </c>
      <c r="R103" s="7">
        <v>447840100</v>
      </c>
      <c r="S103" s="7">
        <v>451168500</v>
      </c>
      <c r="T103" s="7">
        <v>444967000</v>
      </c>
      <c r="U103" s="7">
        <v>445646000</v>
      </c>
      <c r="V103" s="7">
        <v>445027200</v>
      </c>
      <c r="W103" s="7">
        <v>444951900</v>
      </c>
      <c r="X103" s="7">
        <v>446445800</v>
      </c>
      <c r="Y103" s="7">
        <v>449902400</v>
      </c>
    </row>
    <row r="104" spans="1:25" x14ac:dyDescent="0.25">
      <c r="B104" s="7">
        <v>384165200</v>
      </c>
      <c r="C104" s="7">
        <v>381435900</v>
      </c>
      <c r="D104" s="7">
        <v>383777900</v>
      </c>
      <c r="E104" s="7">
        <v>383133300</v>
      </c>
      <c r="F104" s="7">
        <v>392151900</v>
      </c>
      <c r="G104" s="7">
        <v>383925300</v>
      </c>
      <c r="H104" s="7">
        <v>386592000</v>
      </c>
      <c r="I104" s="7">
        <v>388893200</v>
      </c>
      <c r="J104" s="7">
        <v>382472000</v>
      </c>
      <c r="K104" s="7">
        <v>381437400</v>
      </c>
      <c r="L104" s="7">
        <v>384824600</v>
      </c>
      <c r="M104" s="7">
        <v>387611700</v>
      </c>
      <c r="N104" s="7">
        <v>387082300</v>
      </c>
      <c r="O104" s="7">
        <v>381490400</v>
      </c>
      <c r="P104" s="7">
        <v>381436700</v>
      </c>
      <c r="Q104" s="7">
        <v>395689700</v>
      </c>
      <c r="R104" s="7">
        <v>383862900</v>
      </c>
      <c r="S104" s="7">
        <v>386715800</v>
      </c>
      <c r="T104" s="7">
        <v>381400300</v>
      </c>
      <c r="U104" s="7">
        <v>381982300</v>
      </c>
      <c r="V104" s="7">
        <v>381451900</v>
      </c>
      <c r="W104" s="7">
        <v>381387400</v>
      </c>
      <c r="X104" s="7">
        <v>382667800</v>
      </c>
      <c r="Y104" s="7">
        <v>385630600</v>
      </c>
    </row>
    <row r="105" spans="1:25" x14ac:dyDescent="0.25">
      <c r="B105" s="7">
        <v>320137700</v>
      </c>
      <c r="C105" s="7">
        <v>317863200</v>
      </c>
      <c r="D105" s="7">
        <v>319814900</v>
      </c>
      <c r="E105" s="7">
        <v>319277700</v>
      </c>
      <c r="F105" s="7">
        <v>326793300</v>
      </c>
      <c r="G105" s="7">
        <v>319937800</v>
      </c>
      <c r="H105" s="7">
        <v>322160000</v>
      </c>
      <c r="I105" s="7">
        <v>324077700</v>
      </c>
      <c r="J105" s="7">
        <v>318726700</v>
      </c>
      <c r="K105" s="7">
        <v>317864500</v>
      </c>
      <c r="L105" s="7">
        <v>320687200</v>
      </c>
      <c r="M105" s="7">
        <v>323009800</v>
      </c>
      <c r="N105" s="7">
        <v>322568600</v>
      </c>
      <c r="O105" s="7">
        <v>317908700</v>
      </c>
      <c r="P105" s="7">
        <v>317863900</v>
      </c>
      <c r="Q105" s="7">
        <v>329741400</v>
      </c>
      <c r="R105" s="7">
        <v>319885800</v>
      </c>
      <c r="S105" s="7">
        <v>322263200</v>
      </c>
      <c r="T105" s="7">
        <v>317833600</v>
      </c>
      <c r="U105" s="7">
        <v>318318600</v>
      </c>
      <c r="V105" s="7">
        <v>317876600</v>
      </c>
      <c r="W105" s="7">
        <v>317822800</v>
      </c>
      <c r="X105" s="7">
        <v>318889900</v>
      </c>
      <c r="Y105" s="7">
        <v>321358800</v>
      </c>
    </row>
    <row r="106" spans="1:25" x14ac:dyDescent="0.25">
      <c r="B106" s="7">
        <v>256110100</v>
      </c>
      <c r="C106" s="7">
        <v>254290600</v>
      </c>
      <c r="D106" s="7">
        <v>255851900</v>
      </c>
      <c r="E106" s="7">
        <v>255422200</v>
      </c>
      <c r="F106" s="7">
        <v>261434600</v>
      </c>
      <c r="G106" s="7">
        <v>255950200</v>
      </c>
      <c r="H106" s="7">
        <v>257728000</v>
      </c>
      <c r="I106" s="7">
        <v>259262100</v>
      </c>
      <c r="J106" s="7">
        <v>254981400</v>
      </c>
      <c r="K106" s="7">
        <v>254291600</v>
      </c>
      <c r="L106" s="7">
        <v>256549700</v>
      </c>
      <c r="M106" s="7">
        <v>258407800</v>
      </c>
      <c r="N106" s="7">
        <v>258054900</v>
      </c>
      <c r="O106" s="7">
        <v>254326900</v>
      </c>
      <c r="P106" s="7">
        <v>254291100</v>
      </c>
      <c r="Q106" s="7">
        <v>263793100</v>
      </c>
      <c r="R106" s="7">
        <v>255908600</v>
      </c>
      <c r="S106" s="7">
        <v>257810500</v>
      </c>
      <c r="T106" s="7">
        <v>254266900</v>
      </c>
      <c r="U106" s="7">
        <v>254654800</v>
      </c>
      <c r="V106" s="7">
        <v>254301300</v>
      </c>
      <c r="W106" s="7">
        <v>254258200</v>
      </c>
      <c r="X106" s="7">
        <v>255111900</v>
      </c>
      <c r="Y106" s="7">
        <v>257087100</v>
      </c>
    </row>
    <row r="107" spans="1:25" x14ac:dyDescent="0.25">
      <c r="B107" s="7">
        <v>192082600</v>
      </c>
      <c r="C107" s="7">
        <v>190717900</v>
      </c>
      <c r="D107" s="7">
        <v>191888900</v>
      </c>
      <c r="E107" s="7">
        <v>191566600</v>
      </c>
      <c r="F107" s="7">
        <v>196076000</v>
      </c>
      <c r="G107" s="7">
        <v>191962700</v>
      </c>
      <c r="H107" s="7">
        <v>193296000</v>
      </c>
      <c r="I107" s="7">
        <v>194446600</v>
      </c>
      <c r="J107" s="7">
        <v>191236000</v>
      </c>
      <c r="K107" s="7">
        <v>190718700</v>
      </c>
      <c r="L107" s="7">
        <v>192412300</v>
      </c>
      <c r="M107" s="7">
        <v>193805900</v>
      </c>
      <c r="N107" s="7">
        <v>193541100</v>
      </c>
      <c r="O107" s="7">
        <v>190745200</v>
      </c>
      <c r="P107" s="7">
        <v>190718300</v>
      </c>
      <c r="Q107" s="7">
        <v>197844900</v>
      </c>
      <c r="R107" s="7">
        <v>191931500</v>
      </c>
      <c r="S107" s="7">
        <v>193357900</v>
      </c>
      <c r="T107" s="7">
        <v>190700200</v>
      </c>
      <c r="U107" s="7">
        <v>190991100</v>
      </c>
      <c r="V107" s="7">
        <v>190725900</v>
      </c>
      <c r="W107" s="7">
        <v>190693700</v>
      </c>
      <c r="X107" s="7">
        <v>191333900</v>
      </c>
      <c r="Y107" s="7">
        <v>192815300</v>
      </c>
    </row>
    <row r="108" spans="1:25" x14ac:dyDescent="0.25">
      <c r="B108" s="7">
        <v>128055100</v>
      </c>
      <c r="C108" s="7">
        <v>127145300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152817900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122730100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64432000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64601950</v>
      </c>
      <c r="N109" s="7">
        <v>64513720</v>
      </c>
      <c r="O109" s="7">
        <v>142268400</v>
      </c>
      <c r="P109" s="7">
        <v>63572780</v>
      </c>
      <c r="Q109" s="7">
        <v>65948290</v>
      </c>
      <c r="R109" s="7">
        <v>63977160</v>
      </c>
      <c r="S109" s="7">
        <v>64452640</v>
      </c>
      <c r="T109" s="7">
        <v>63566720</v>
      </c>
      <c r="U109" s="7">
        <v>63663710</v>
      </c>
      <c r="V109" s="7">
        <v>63575310</v>
      </c>
      <c r="W109" s="7">
        <v>63564560</v>
      </c>
      <c r="X109" s="7">
        <v>63777970</v>
      </c>
      <c r="Y109" s="7">
        <v>64271770</v>
      </c>
    </row>
    <row r="110" spans="1:25" x14ac:dyDescent="0.25">
      <c r="B110" s="7">
        <v>28058430</v>
      </c>
      <c r="C110" s="7">
        <v>113534000</v>
      </c>
      <c r="D110" s="7">
        <v>33127630</v>
      </c>
      <c r="E110" s="7">
        <v>21180640</v>
      </c>
      <c r="F110" s="7">
        <v>22797250</v>
      </c>
      <c r="G110" s="7">
        <v>40140650</v>
      </c>
      <c r="H110" s="7">
        <v>48880530</v>
      </c>
      <c r="I110" s="7">
        <v>24662690</v>
      </c>
      <c r="J110" s="7">
        <v>30151090</v>
      </c>
      <c r="K110" s="7">
        <v>23021360</v>
      </c>
      <c r="L110" s="7">
        <v>18605470</v>
      </c>
      <c r="M110" s="7">
        <v>44184410</v>
      </c>
      <c r="N110" s="7">
        <v>37404930</v>
      </c>
      <c r="O110" s="7">
        <v>141560200</v>
      </c>
      <c r="P110" s="7">
        <v>28288300</v>
      </c>
      <c r="Q110" s="7">
        <v>37151910</v>
      </c>
      <c r="R110" s="7">
        <v>23575080</v>
      </c>
      <c r="S110" s="7">
        <v>34357150</v>
      </c>
      <c r="T110" s="7">
        <v>16575540</v>
      </c>
      <c r="U110" s="7">
        <v>30983680</v>
      </c>
      <c r="V110" s="7">
        <v>10139810</v>
      </c>
      <c r="W110" s="7">
        <v>19091020</v>
      </c>
      <c r="X110" s="7">
        <v>55909570</v>
      </c>
      <c r="Y110" s="7">
        <v>30443160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S107" s="1"/>
      <c r="T107" s="1"/>
      <c r="X107" s="1"/>
    </row>
    <row r="108" spans="2:25" x14ac:dyDescent="0.25">
      <c r="B108" s="1"/>
      <c r="C108" s="1"/>
      <c r="E108" s="1"/>
      <c r="G108" s="1"/>
      <c r="H108" s="1"/>
      <c r="L108" s="1"/>
      <c r="M108" s="1"/>
      <c r="N108" s="1"/>
      <c r="O108" s="1"/>
      <c r="P108" s="1"/>
      <c r="Q108" s="1"/>
      <c r="S108" s="1"/>
      <c r="X108" s="1"/>
      <c r="Y108" s="1"/>
    </row>
    <row r="109" spans="2:25" x14ac:dyDescent="0.25">
      <c r="B109" s="1"/>
      <c r="C109" s="1"/>
      <c r="E109" s="1"/>
      <c r="H109" s="1"/>
      <c r="L109" s="1"/>
      <c r="M109" s="1"/>
      <c r="N109" s="1"/>
      <c r="O109" s="1"/>
      <c r="P109" s="1"/>
      <c r="Q109" s="1"/>
      <c r="S109" s="1"/>
      <c r="U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2026-02-17T16:30:18Z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